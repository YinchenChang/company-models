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<sst xmlns="http://schemas.openxmlformats.org/spreadsheetml/2006/main" count="3376" uniqueCount="729">
  <si>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</si>
  <si>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</si>
  <si>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</si>
  <si>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</si>
  <si>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</si>
  <si>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</si>
  <si>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</si>
  <si>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</si>
  <si>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不納入、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取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取高值；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</si>
  <si>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</si>
  <si>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</si>
  <si>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</si>
  <si>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</si>
  <si>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</si>
  <si>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</si>
  <si>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</si>
  <si>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</si>
  <si>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</si>
  <si>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</si>
  <si>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</si>
  <si>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</si>
  <si>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</si>
  <si>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</si>
  <si>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</si>
  <si>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</si>
  <si>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</si>
  <si>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</si>
  <si>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</si>
  <si>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</si>
  <si>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</si>
  <si>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</si>
  <si>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</si>
  <si>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</si>
  <si>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</si>
  <si>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</si>
  <si>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</si>
  <si>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</si>
  <si>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</si>
  <si>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</si>
  <si>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</si>
  <si>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</si>
  <si>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</si>
  <si>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</si>
  <si>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</si>
  <si>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</si>
  <si>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</si>
  <si>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</si>
  <si>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</si>
  <si>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</si>
  <si>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</si>
  <si>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</si>
  <si>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</si>
  <si>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</si>
  <si>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</si>
  <si>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</si>
  <si>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</si>
  <si>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</si>
  <si>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</si>
  <si>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</si>
  <si>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</si>
  <si>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</si>
  <si>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</si>
  <si>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</si>
  <si>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</si>
  <si>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</si>
  <si>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</si>
  <si>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</si>
  <si>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</si>
  <si>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</si>
  <si>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</si>
  <si>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</si>
  <si>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</si>
  <si>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</si>
  <si>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</si>
  <si>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</si>
  <si>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</si>
  <si>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</si>
  <si>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</si>
  <si>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</si>
  <si>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</si>
  <si>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</si>
  <si>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</si>
  <si>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</si>
  <si>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</si>
  <si>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</si>
  <si>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</si>
  <si>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</si>
  <si>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</si>
  <si>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</si>
  <si>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</si>
  <si>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In!D43:F43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</si>
  <si>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</si>
  <si>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</si>
  <si>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</si>
  <si>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In!D44:F44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</si>
  <si>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</si>
  <si>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</si>
  <si>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In!D45:F45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</si>
  <si>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</si>
  <si>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</si>
  <si>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In!D46:F46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</si>
  <si>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</si>
  <si>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</si>
  <si>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</si>
  <si>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</si>
  <si>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</si>
  <si>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In!D48:F48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</si>
  <si>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</si>
  <si>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</si>
  <si>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</si>
  <si>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</si>
  <si>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</si>
  <si>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</si>
  <si>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</si>
  <si>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In!D66:F66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</si>
  <si>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不納入、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取高值；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</si>
  <si>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</si>
  <si>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</si>
  <si>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In!D67:F67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</si>
  <si>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</si>
  <si>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</si>
  <si>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In!D68:F68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</si>
  <si>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</si>
  <si>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</si>
  <si>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In!D69:F69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</si>
  <si>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</si>
  <si>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</si>
  <si>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In!D70:F70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</si>
  <si>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</si>
  <si>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</si>
  <si>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In!D71:F71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</si>
  <si>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</si>
  <si>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</si>
  <si>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</si>
  <si>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</si>
  <si>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</si>
  <si>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</si>
  <si>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</si>
  <si>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</si>
  <si>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</si>
  <si>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</si>
  <si>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</si>
  <si>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</si>
  <si>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</si>
  <si>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</si>
  <si>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</si>
  <si>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</si>
  <si>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In!D28:F28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</si>
  <si>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</si>
  <si>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</si>
  <si>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</si>
  <si>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</si>
  <si>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</si>
  <si>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</si>
  <si>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</si>
  <si>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</si>
  <si>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</si>
  <si>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</si>
  <si>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</si>
  <si>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</si>
  <si>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</si>
  <si>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</si>
  <si>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</si>
  <si>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</si>
  <si>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</si>
  <si>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</si>
  <si>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</si>
  <si>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</si>
  <si>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</si>
  <si>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</si>
  <si>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</si>
  <si>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</si>
  <si>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</si>
  <si>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</si>
  <si>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</si>
  <si>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</si>
  <si>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</si>
  <si>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</si>
  <si>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</si>
  <si>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</si>
  <si>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</si>
  <si>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</si>
  <si>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</si>
  <si>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</si>
  <si>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</si>
  <si>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</si>
  <si>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</si>
  <si>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</si>
  <si>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</si>
  <si>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</si>
  <si>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</si>
  <si>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</si>
  <si>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</si>
  <si>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</si>
  <si>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</si>
  <si>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</si>
  <si>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</si>
  <si>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</si>
  <si>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</si>
  <si>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</si>
  <si>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</si>
  <si>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</si>
  <si>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</si>
  <si>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</si>
  <si>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</si>
  <si>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</si>
  <si>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</si>
  <si>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</si>
  <si>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</si>
  <si>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</si>
  <si>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</si>
  <si>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</si>
  <si>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</si>
  <si>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</si>
  <si>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</si>
  <si>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</si>
  <si>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</si>
  <si>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</si>
  <si>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</si>
  <si>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</si>
  <si>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</si>
  <si>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</si>
  <si>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</si>
  <si>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</si>
  <si>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</si>
  <si>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</si>
  <si>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</si>
  <si>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</si>
  <si>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</si>
  <si>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</si>
  <si>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</si>
  <si>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</si>
  <si>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</si>
  <si>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</si>
  <si>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</si>
  <si>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</si>
  <si>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</si>
  <si>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</si>
  <si>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g_o_C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</si>
  <si>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</si>
  <si>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</si>
  <si>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</si>
  <si>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</si>
  <si>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</si>
  <si>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</si>
  <si>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</si>
  <si>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</si>
  <si>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</si>
  <si>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</si>
  <si>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</si>
  <si>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</si>
  <si>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</si>
  <si>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</si>
  <si>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</si>
  <si>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</si>
  <si>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</si>
  <si>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</si>
  <si>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</si>
  <si>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</si>
  <si>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</si>
  <si>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</si>
  <si>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</si>
  <si>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</si>
  <si>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</si>
  <si>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</si>
  <si>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</si>
  <si>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</si>
  <si>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</si>
  <si>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</si>
  <si>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</si>
  <si>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</si>
  <si>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</si>
  <si>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</si>
  <si>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</si>
  <si>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</si>
  <si>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</si>
  <si>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</si>
  <si>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</si>
  <si>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</si>
  <si>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</si>
  <si>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</si>
  <si>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</si>
  <si>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</si>
  <si>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</si>
  <si>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</si>
  <si>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</si>
  <si>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</si>
  <si>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</si>
  <si>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</si>
  <si>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</si>
  <si>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</si>
  <si>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</si>
  <si>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</si>
  <si>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</si>
  <si>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</si>
  <si>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</si>
  <si>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</si>
  <si>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</si>
  <si>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</si>
  <si>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</si>
  <si>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</si>
  <si>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</si>
  <si>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</si>
  <si>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</si>
  <si>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</si>
  <si>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</si>
  <si>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</si>
  <si>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</si>
  <si>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</si>
  <si>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</si>
  <si>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</si>
  <si>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</si>
  <si>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</si>
  <si>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</si>
  <si>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</si>
  <si>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</si>
  <si>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</si>
  <si>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</si>
  <si>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</si>
  <si>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</si>
  <si>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</si>
  <si>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</si>
  <si>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</si>
  <si>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</si>
  <si>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</si>
  <si>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</si>
  <si>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</si>
  <si>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</si>
  <si>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</si>
  <si>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</si>
  <si>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</si>
  <si>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</si>
  <si>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</si>
  <si>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</si>
  <si>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</si>
  <si>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</si>
  <si>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</si>
  <si>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</si>
  <si>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</si>
  <si>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</si>
  <si>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</si>
  <si>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</si>
  <si>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</si>
  <si>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</si>
  <si>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</si>
  <si>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</si>
  <si>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</si>
  <si>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</si>
  <si>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</si>
  <si>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</si>
  <si>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</si>
  <si>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</si>
  <si>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</si>
  <si>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</si>
  <si>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</si>
  <si>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</si>
  <si>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</si>
  <si>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</si>
  <si>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</si>
  <si>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</si>
  <si>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</si>
  <si>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</si>
  <si>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</si>
  <si>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</si>
  <si>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</si>
  <si>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</si>
  <si>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</si>
  <si>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</si>
  <si>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</si>
  <si>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</si>
  <si>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</si>
  <si>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</si>
  <si>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</si>
  <si>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</si>
  <si>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</si>
  <si>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</si>
  <si>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</si>
  <si>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</si>
  <si>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</si>
  <si>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</si>
  <si>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</si>
  <si>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</si>
  <si>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</si>
  <si>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</si>
  <si>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</si>
  <si>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</si>
  <si>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</si>
  <si>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</si>
  <si>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</si>
  <si>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</si>
  <si>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</si>
  <si>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</si>
  <si>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</si>
  <si>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</si>
  <si>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</si>
  <si>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</si>
  <si>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t xml:space="preserve">未找到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</si>
  <si>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</si>
  <si>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</si>
  <si>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</si>
  <si>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</si>
  <si>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</si>
  <si>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</si>
  <si>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</si>
  <si>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</si>
  <si>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</si>
  <si>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</si>
  <si>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</si>
  <si>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</si>
  <si>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</si>
  <si>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</si>
  <si>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</si>
  <si>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</si>
  <si>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</si>
  <si>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</si>
  <si>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</si>
  <si>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</si>
  <si>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</si>
  <si>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</si>
  <si>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</si>
  <si>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</si>
  <si>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</si>
  <si>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</si>
  <si>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</si>
  <si>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</si>
  <si>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</si>
  <si>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</si>
  <si>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</si>
  <si>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</si>
  <si>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</si>
  <si>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</si>
  <si>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</si>
  <si>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</si>
  <si>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</si>
  <si>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</si>
  <si>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</si>
  <si>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</si>
  <si>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</si>
  <si>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</si>
  <si>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</si>
  <si>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：基準顆數；不納入混合鍵合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</si>
  <si>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</si>
  <si>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</si>
  <si>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</si>
  <si>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</si>
  <si>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</si>
  <si>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</si>
  <si>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</si>
  <si>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</si>
  <si>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</si>
  <si>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</si>
  <si>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不納入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</si>
  <si>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</si>
  <si>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</si>
  <si>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t xml:space="preserve">鍵合機在產能需要前一年購入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</si>
  <si>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</si>
  <si>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</si>
  <si>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</si>
  <si>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</si>
  <si>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</si>
  <si>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</si>
  <si>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</si>
  <si>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</si>
  <si>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</si>
  <si>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</si>
  <si>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</si>
  <si>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</si>
  <si>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</si>
  <si>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</si>
  <si>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</si>
  <si>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</si>
  <si>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</si>
  <si>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</si>
  <si>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</si>
  <si>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</si>
  <si>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</si>
  <si>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；混合鍵合取高值；韓華、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</si>
  <si>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</si>
  <si>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</si>
  <si>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</si>
  <si>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</si>
  <si>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</si>
  <si>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</si>
  <si>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</si>
  <si>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</si>
  <si>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</si>
  <si>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</si>
  <si>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</si>
  <si>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</si>
  <si>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</si>
  <si>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</si>
  <si>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</si>
  <si>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</si>
  <si>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</si>
  <si>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</si>
  <si>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</si>
  <si>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</si>
  <si>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</si>
  <si>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</si>
  <si>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</si>
  <si>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</si>
  <si>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</si>
  <si>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</si>
  <si>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</si>
  <si>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</si>
  <si>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</si>
  <si>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</si>
  <si>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</si>
  <si>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</si>
  <si>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</si>
  <si>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</si>
  <si>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</si>
  <si>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</si>
  <si>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</si>
  <si>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</si>
  <si>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</si>
  <si>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</si>
  <si>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</si>
  <si>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</si>
  <si>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</si>
  <si>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</si>
  <si>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</si>
  <si>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</si>
  <si>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</si>
  <si>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</si>
  <si>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</si>
  <si>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</si>
  <si>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</si>
  <si>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</si>
  <si>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</si>
  <si>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</si>
  <si>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</si>
  <si>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</si>
  <si>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</si>
  <si>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</si>
  <si>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</si>
  <si>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</si>
  <si>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</si>
  <si>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</si>
  <si>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</si>
  <si>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</si>
  <si>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</si>
  <si>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</si>
  <si>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</si>
  <si>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</si>
  <si>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</si>
  <si>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</si>
  <si>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</si>
  <si>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</si>
  <si>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</si>
  <si>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</si>
  <si>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</si>
  <si>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</si>
  <si>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</si>
  <si>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</si>
  <si>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</si>
  <si>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</si>
  <si>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</si>
  <si>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</si>
  <si>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</si>
  <si>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</si>
  <si>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</si>
  <si>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</si>
  <si>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</si>
  <si>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</si>
  <si>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</si>
  <si>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</si>
  <si>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</si>
  <si>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</si>
  <si>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</si>
  <si>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</si>
  <si>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</si>
  <si>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</si>
  <si>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</si>
  <si>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</si>
  <si>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</si>
  <si>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</si>
  <si>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</si>
  <si>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</si>
  <si>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</si>
  <si>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</si>
  <si>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</si>
  <si>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</si>
  <si>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</si>
  <si>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</si>
  <si>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</si>
  <si>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</si>
  <si>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</si>
  <si>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</si>
  <si>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</si>
  <si>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</si>
  <si>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</si>
  <si>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</si>
  <si>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</si>
  <si>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</si>
  <si>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</si>
  <si>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</si>
  <si>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</si>
  <si>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</si>
  <si>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</si>
  <si>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</si>
  <si>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</si>
  <si>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</si>
  <si>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</si>
  <si>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</si>
  <si>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</si>
  <si>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</si>
  <si>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</si>
  <si>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</si>
  <si>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</si>
  <si>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</si>
  <si>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</si>
  <si>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</si>
  <si>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</si>
  <si>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</si>
  <si>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</si>
  <si>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</si>
  <si>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</si>
  <si>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</si>
  <si>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</si>
  <si>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</si>
  <si>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</si>
  <si>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</si>
  <si>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Calibri"/>
        <family val="2"/>
        <charset val="1"/>
      </rPr>
      <t xml:space="preserve">2028 15%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2030 40%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</si>
  <si>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</si>
  <si>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</si>
  <si>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</si>
  <si>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</si>
  <si>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</si>
  <si>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</si>
  <si>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</si>
  <si>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</si>
  <si>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</si>
  <si>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</si>
  <si>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</si>
  <si>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</si>
  <si>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</si>
  <si>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</si>
  <si>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</si>
  <si>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</si>
  <si>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</si>
  <si>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</si>
  <si>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</si>
  <si>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</si>
  <si>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</si>
  <si>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</si>
  <si>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</si>
  <si>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</si>
  <si>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</si>
  <si>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</si>
  <si>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</si>
  <si>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</si>
  <si>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</si>
  <si>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</si>
  <si>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</si>
  <si>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</si>
  <si>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</si>
  <si>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</si>
  <si>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；混合鍵合高值；份額回落、毛利率下調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</si>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</sst>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0.0%"/>
    <numFmt numFmtId="168" formatCode="0.0"/>
    <numFmt numFmtId="169" formatCode="0.00"/>
    <numFmt numFmtId="170" formatCode="#,##0.00"/>
    <numFmt numFmtId="171" formatCode="0.000"/>
    <numFmt numFmtId="172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4" t="s">
        <v>12</v>
      </c>
    </row>
    <row r="3" customFormat="false" ht="17.15" hidden="false" customHeight="false" outlineLevel="0" collapsed="false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</row>
    <row r="4" customFormat="false" ht="17.15" hidden="false" customHeight="false" outlineLevel="0" collapsed="false">
      <c r="A4" s="6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0" t="s">
        <v>25</v>
      </c>
      <c r="E5" s="7" t="n">
        <v>2.22511470588235</v>
      </c>
      <c r="G5" s="8" t="s">
        <v>26</v>
      </c>
      <c r="H5" s="8" t="s">
        <v>27</v>
      </c>
      <c r="I5" s="8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0" t="s">
        <v>25</v>
      </c>
      <c r="E6" s="7" t="n">
        <v>3.782695</v>
      </c>
      <c r="G6" s="8" t="s">
        <v>26</v>
      </c>
      <c r="H6" s="8" t="s">
        <v>27</v>
      </c>
      <c r="I6" s="4" t="s">
        <v>31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0" t="s">
        <v>25</v>
      </c>
      <c r="E7" s="7" t="n">
        <v>5.86317725</v>
      </c>
      <c r="G7" s="8" t="s">
        <v>26</v>
      </c>
      <c r="H7" s="8" t="s">
        <v>27</v>
      </c>
      <c r="I7" s="4" t="s">
        <v>31</v>
      </c>
    </row>
    <row r="8" customFormat="false" ht="17.15" hidden="false" customHeight="false" outlineLevel="0" collapsed="false">
      <c r="A8" s="0" t="s">
        <v>34</v>
      </c>
      <c r="B8" s="0" t="s">
        <v>35</v>
      </c>
      <c r="C8" s="0" t="s">
        <v>25</v>
      </c>
      <c r="E8" s="7" t="n">
        <v>8.5016070125</v>
      </c>
      <c r="G8" s="8" t="s">
        <v>26</v>
      </c>
      <c r="H8" s="8" t="s">
        <v>27</v>
      </c>
      <c r="I8" s="4" t="s">
        <v>31</v>
      </c>
    </row>
    <row r="9" customFormat="false" ht="17.15" hidden="false" customHeight="false" outlineLevel="0" collapsed="false">
      <c r="A9" s="0" t="s">
        <v>36</v>
      </c>
      <c r="B9" s="0" t="s">
        <v>37</v>
      </c>
      <c r="C9" s="0" t="s">
        <v>25</v>
      </c>
      <c r="E9" s="7" t="n">
        <v>11.477169466875</v>
      </c>
      <c r="G9" s="8" t="s">
        <v>26</v>
      </c>
      <c r="H9" s="8" t="s">
        <v>27</v>
      </c>
      <c r="I9" s="4" t="s">
        <v>31</v>
      </c>
    </row>
    <row r="10" customFormat="false" ht="17.15" hidden="false" customHeight="false" outlineLevel="0" collapsed="false">
      <c r="A10" s="0" t="s">
        <v>38</v>
      </c>
      <c r="B10" s="0" t="s">
        <v>39</v>
      </c>
      <c r="C10" s="0" t="s">
        <v>25</v>
      </c>
      <c r="E10" s="7" t="n">
        <v>2.22511470588235</v>
      </c>
      <c r="G10" s="8" t="s">
        <v>26</v>
      </c>
      <c r="H10" s="8" t="s">
        <v>40</v>
      </c>
      <c r="I10" s="8" t="s">
        <v>28</v>
      </c>
    </row>
    <row r="11" customFormat="false" ht="17.15" hidden="false" customHeight="false" outlineLevel="0" collapsed="false">
      <c r="A11" s="0" t="s">
        <v>41</v>
      </c>
      <c r="B11" s="0" t="s">
        <v>42</v>
      </c>
      <c r="C11" s="0" t="s">
        <v>25</v>
      </c>
      <c r="E11" s="7" t="n">
        <v>3.782695</v>
      </c>
      <c r="G11" s="8" t="s">
        <v>26</v>
      </c>
      <c r="H11" s="8" t="s">
        <v>40</v>
      </c>
      <c r="I11" s="4" t="s">
        <v>31</v>
      </c>
    </row>
    <row r="12" customFormat="false" ht="17.15" hidden="false" customHeight="false" outlineLevel="0" collapsed="false">
      <c r="A12" s="0" t="s">
        <v>43</v>
      </c>
      <c r="B12" s="0" t="s">
        <v>44</v>
      </c>
      <c r="C12" s="0" t="s">
        <v>25</v>
      </c>
      <c r="E12" s="7" t="n">
        <v>5.86317725</v>
      </c>
      <c r="G12" s="8" t="s">
        <v>26</v>
      </c>
      <c r="H12" s="8" t="s">
        <v>40</v>
      </c>
      <c r="I12" s="4" t="s">
        <v>31</v>
      </c>
    </row>
    <row r="13" customFormat="false" ht="17.15" hidden="false" customHeight="false" outlineLevel="0" collapsed="false">
      <c r="A13" s="0" t="s">
        <v>45</v>
      </c>
      <c r="B13" s="0" t="s">
        <v>46</v>
      </c>
      <c r="C13" s="0" t="s">
        <v>25</v>
      </c>
      <c r="E13" s="7" t="n">
        <v>8.22296</v>
      </c>
      <c r="G13" s="8" t="s">
        <v>26</v>
      </c>
      <c r="H13" s="8" t="s">
        <v>40</v>
      </c>
      <c r="I13" s="4" t="s">
        <v>31</v>
      </c>
    </row>
    <row r="14" customFormat="false" ht="17.15" hidden="false" customHeight="false" outlineLevel="0" collapsed="false">
      <c r="A14" s="0" t="s">
        <v>47</v>
      </c>
      <c r="B14" s="0" t="s">
        <v>48</v>
      </c>
      <c r="C14" s="0" t="s">
        <v>25</v>
      </c>
      <c r="E14" s="7" t="n">
        <v>11.3579635</v>
      </c>
      <c r="G14" s="8" t="s">
        <v>26</v>
      </c>
      <c r="H14" s="8" t="s">
        <v>40</v>
      </c>
      <c r="I14" s="4" t="s">
        <v>31</v>
      </c>
    </row>
    <row r="15" customFormat="false" ht="17.15" hidden="false" customHeight="false" outlineLevel="0" collapsed="false">
      <c r="A15" s="0" t="s">
        <v>49</v>
      </c>
      <c r="B15" s="0" t="s">
        <v>50</v>
      </c>
      <c r="C15" s="0" t="s">
        <v>25</v>
      </c>
      <c r="E15" s="7" t="n">
        <v>2.22511470588235</v>
      </c>
      <c r="G15" s="8" t="s">
        <v>26</v>
      </c>
      <c r="H15" s="8" t="s">
        <v>51</v>
      </c>
      <c r="I15" s="8" t="s">
        <v>28</v>
      </c>
    </row>
    <row r="16" customFormat="false" ht="17.15" hidden="false" customHeight="false" outlineLevel="0" collapsed="false">
      <c r="A16" s="0" t="s">
        <v>52</v>
      </c>
      <c r="B16" s="0" t="s">
        <v>53</v>
      </c>
      <c r="C16" s="0" t="s">
        <v>25</v>
      </c>
      <c r="E16" s="7" t="n">
        <v>3.782695</v>
      </c>
      <c r="G16" s="8" t="s">
        <v>26</v>
      </c>
      <c r="H16" s="8" t="s">
        <v>51</v>
      </c>
      <c r="I16" s="4" t="s">
        <v>31</v>
      </c>
    </row>
    <row r="17" customFormat="false" ht="17.15" hidden="false" customHeight="false" outlineLevel="0" collapsed="false">
      <c r="A17" s="0" t="s">
        <v>54</v>
      </c>
      <c r="B17" s="0" t="s">
        <v>55</v>
      </c>
      <c r="C17" s="0" t="s">
        <v>25</v>
      </c>
      <c r="E17" s="7" t="n">
        <v>5.86317725</v>
      </c>
      <c r="G17" s="8" t="s">
        <v>26</v>
      </c>
      <c r="H17" s="8" t="s">
        <v>51</v>
      </c>
      <c r="I17" s="4" t="s">
        <v>31</v>
      </c>
    </row>
    <row r="18" customFormat="false" ht="17.15" hidden="false" customHeight="false" outlineLevel="0" collapsed="false">
      <c r="A18" s="0" t="s">
        <v>56</v>
      </c>
      <c r="B18" s="0" t="s">
        <v>57</v>
      </c>
      <c r="C18" s="0" t="s">
        <v>25</v>
      </c>
      <c r="E18" s="7" t="n">
        <v>6.16722</v>
      </c>
      <c r="G18" s="8" t="s">
        <v>26</v>
      </c>
      <c r="H18" s="8" t="s">
        <v>51</v>
      </c>
      <c r="I18" s="4" t="s">
        <v>31</v>
      </c>
    </row>
    <row r="19" customFormat="false" ht="17.15" hidden="false" customHeight="false" outlineLevel="0" collapsed="false">
      <c r="A19" s="0" t="s">
        <v>58</v>
      </c>
      <c r="B19" s="0" t="s">
        <v>59</v>
      </c>
      <c r="C19" s="0" t="s">
        <v>25</v>
      </c>
      <c r="E19" s="7" t="n">
        <v>8.017386</v>
      </c>
      <c r="G19" s="8" t="s">
        <v>26</v>
      </c>
      <c r="H19" s="8" t="s">
        <v>51</v>
      </c>
      <c r="I19" s="4" t="s">
        <v>31</v>
      </c>
    </row>
    <row r="20" customFormat="false" ht="17.15" hidden="false" customHeight="false" outlineLevel="0" collapsed="false">
      <c r="A20" s="0" t="s">
        <v>60</v>
      </c>
      <c r="B20" s="0" t="s">
        <v>61</v>
      </c>
      <c r="C20" s="0" t="s">
        <v>62</v>
      </c>
      <c r="D20" s="7" t="n">
        <v>0</v>
      </c>
      <c r="E20" s="7" t="n">
        <v>0.1</v>
      </c>
      <c r="F20" s="7" t="n">
        <v>0.2</v>
      </c>
      <c r="G20" s="8" t="s">
        <v>63</v>
      </c>
      <c r="H20" s="4" t="s">
        <v>64</v>
      </c>
      <c r="I20" s="4" t="s">
        <v>65</v>
      </c>
    </row>
    <row r="21" customFormat="false" ht="17.15" hidden="false" customHeight="false" outlineLevel="0" collapsed="false">
      <c r="A21" s="6" t="s">
        <v>66</v>
      </c>
    </row>
    <row r="22" customFormat="false" ht="17.15" hidden="false" customHeight="false" outlineLevel="0" collapsed="false">
      <c r="A22" s="0" t="s">
        <v>67</v>
      </c>
      <c r="B22" s="0" t="s">
        <v>68</v>
      </c>
      <c r="C22" s="0" t="s">
        <v>69</v>
      </c>
      <c r="D22" s="7" t="n">
        <v>22</v>
      </c>
      <c r="E22" s="7" t="n">
        <v>24</v>
      </c>
      <c r="F22" s="7" t="n">
        <v>24</v>
      </c>
      <c r="G22" s="8" t="s">
        <v>63</v>
      </c>
      <c r="H22" s="8" t="s">
        <v>70</v>
      </c>
      <c r="I22" s="8" t="s">
        <v>71</v>
      </c>
    </row>
    <row r="23" customFormat="false" ht="17.15" hidden="false" customHeight="false" outlineLevel="0" collapsed="false">
      <c r="A23" s="0" t="s">
        <v>72</v>
      </c>
      <c r="B23" s="0" t="s">
        <v>73</v>
      </c>
      <c r="C23" s="0" t="s">
        <v>69</v>
      </c>
      <c r="D23" s="7" t="n">
        <v>24</v>
      </c>
      <c r="E23" s="7" t="n">
        <v>24</v>
      </c>
      <c r="F23" s="7" t="n">
        <v>26</v>
      </c>
      <c r="G23" s="8" t="s">
        <v>63</v>
      </c>
      <c r="H23" s="8" t="s">
        <v>74</v>
      </c>
      <c r="I23" s="4" t="s">
        <v>31</v>
      </c>
    </row>
    <row r="24" customFormat="false" ht="17.15" hidden="false" customHeight="false" outlineLevel="0" collapsed="false">
      <c r="A24" s="0" t="s">
        <v>75</v>
      </c>
      <c r="B24" s="0" t="s">
        <v>76</v>
      </c>
      <c r="C24" s="0" t="s">
        <v>69</v>
      </c>
      <c r="D24" s="7" t="n">
        <v>24</v>
      </c>
      <c r="E24" s="7" t="n">
        <v>26</v>
      </c>
      <c r="F24" s="7" t="n">
        <v>28</v>
      </c>
      <c r="G24" s="8" t="s">
        <v>63</v>
      </c>
      <c r="H24" s="8" t="s">
        <v>77</v>
      </c>
      <c r="I24" s="4" t="s">
        <v>31</v>
      </c>
    </row>
    <row r="25" customFormat="false" ht="17.15" hidden="false" customHeight="false" outlineLevel="0" collapsed="false">
      <c r="A25" s="0" t="s">
        <v>78</v>
      </c>
      <c r="B25" s="0" t="s">
        <v>79</v>
      </c>
      <c r="C25" s="0" t="s">
        <v>69</v>
      </c>
      <c r="D25" s="7" t="n">
        <v>24</v>
      </c>
      <c r="E25" s="7" t="n">
        <v>28</v>
      </c>
      <c r="F25" s="7" t="n">
        <v>32</v>
      </c>
      <c r="G25" s="8" t="s">
        <v>63</v>
      </c>
      <c r="H25" s="8" t="s">
        <v>80</v>
      </c>
      <c r="I25" s="4" t="s">
        <v>31</v>
      </c>
    </row>
    <row r="26" customFormat="false" ht="17.15" hidden="false" customHeight="false" outlineLevel="0" collapsed="false">
      <c r="A26" s="0" t="s">
        <v>81</v>
      </c>
      <c r="B26" s="0" t="s">
        <v>82</v>
      </c>
      <c r="C26" s="0" t="s">
        <v>69</v>
      </c>
      <c r="D26" s="7" t="n">
        <v>26</v>
      </c>
      <c r="E26" s="7" t="n">
        <v>30</v>
      </c>
      <c r="F26" s="7" t="n">
        <v>32</v>
      </c>
      <c r="G26" s="8" t="s">
        <v>63</v>
      </c>
      <c r="H26" s="8" t="s">
        <v>83</v>
      </c>
      <c r="I26" s="4" t="s">
        <v>31</v>
      </c>
    </row>
    <row r="27" customFormat="false" ht="17.15" hidden="false" customHeight="false" outlineLevel="0" collapsed="false">
      <c r="A27" s="0" t="s">
        <v>84</v>
      </c>
      <c r="B27" s="0" t="s">
        <v>85</v>
      </c>
      <c r="C27" s="0" t="s">
        <v>69</v>
      </c>
      <c r="D27" s="7" t="n">
        <v>28</v>
      </c>
      <c r="E27" s="7" t="n">
        <v>32</v>
      </c>
      <c r="F27" s="7" t="n">
        <v>32</v>
      </c>
      <c r="G27" s="8" t="s">
        <v>63</v>
      </c>
      <c r="H27" s="8" t="s">
        <v>86</v>
      </c>
      <c r="I27" s="4" t="s">
        <v>31</v>
      </c>
    </row>
    <row r="28" customFormat="false" ht="17.15" hidden="false" customHeight="false" outlineLevel="0" collapsed="false">
      <c r="A28" s="0" t="s">
        <v>87</v>
      </c>
      <c r="B28" s="0" t="s">
        <v>88</v>
      </c>
      <c r="C28" s="4" t="s">
        <v>89</v>
      </c>
      <c r="D28" s="7" t="n">
        <v>8</v>
      </c>
      <c r="E28" s="7" t="n">
        <v>10</v>
      </c>
      <c r="F28" s="7" t="n">
        <v>12</v>
      </c>
      <c r="G28" s="8" t="s">
        <v>63</v>
      </c>
      <c r="H28" s="8" t="s">
        <v>90</v>
      </c>
      <c r="I28" s="4" t="s">
        <v>91</v>
      </c>
    </row>
    <row r="29" customFormat="false" ht="17.15" hidden="false" customHeight="false" outlineLevel="0" collapsed="false">
      <c r="A29" s="0" t="s">
        <v>92</v>
      </c>
      <c r="B29" s="0" t="s">
        <v>93</v>
      </c>
      <c r="C29" s="4" t="s">
        <v>89</v>
      </c>
      <c r="D29" s="7" t="n">
        <v>10</v>
      </c>
      <c r="E29" s="7" t="n">
        <v>12</v>
      </c>
      <c r="F29" s="7" t="n">
        <v>12</v>
      </c>
      <c r="G29" s="8" t="s">
        <v>63</v>
      </c>
      <c r="H29" s="8" t="s">
        <v>94</v>
      </c>
      <c r="I29" s="4" t="s">
        <v>31</v>
      </c>
    </row>
    <row r="30" customFormat="false" ht="17.15" hidden="false" customHeight="false" outlineLevel="0" collapsed="false">
      <c r="A30" s="0" t="s">
        <v>95</v>
      </c>
      <c r="B30" s="0" t="s">
        <v>96</v>
      </c>
      <c r="C30" s="4" t="s">
        <v>89</v>
      </c>
      <c r="D30" s="7" t="n">
        <v>12</v>
      </c>
      <c r="E30" s="7" t="n">
        <v>12.5</v>
      </c>
      <c r="F30" s="7" t="n">
        <v>14</v>
      </c>
      <c r="G30" s="8" t="s">
        <v>63</v>
      </c>
      <c r="H30" s="8" t="s">
        <v>97</v>
      </c>
      <c r="I30" s="4" t="s">
        <v>31</v>
      </c>
    </row>
    <row r="31" customFormat="false" ht="17.15" hidden="false" customHeight="false" outlineLevel="0" collapsed="false">
      <c r="A31" s="0" t="s">
        <v>98</v>
      </c>
      <c r="B31" s="0" t="s">
        <v>99</v>
      </c>
      <c r="C31" s="4" t="s">
        <v>89</v>
      </c>
      <c r="D31" s="7" t="n">
        <v>12</v>
      </c>
      <c r="E31" s="7" t="n">
        <v>14</v>
      </c>
      <c r="F31" s="7" t="n">
        <v>16</v>
      </c>
      <c r="G31" s="8" t="s">
        <v>63</v>
      </c>
      <c r="H31" s="8" t="s">
        <v>100</v>
      </c>
      <c r="I31" s="4" t="s">
        <v>31</v>
      </c>
    </row>
    <row r="32" customFormat="false" ht="17.15" hidden="false" customHeight="false" outlineLevel="0" collapsed="false">
      <c r="A32" s="0" t="s">
        <v>101</v>
      </c>
      <c r="B32" s="0" t="s">
        <v>102</v>
      </c>
      <c r="C32" s="4" t="s">
        <v>89</v>
      </c>
      <c r="D32" s="7" t="n">
        <v>12</v>
      </c>
      <c r="E32" s="7" t="n">
        <v>15</v>
      </c>
      <c r="F32" s="7" t="n">
        <v>16</v>
      </c>
      <c r="G32" s="8" t="s">
        <v>63</v>
      </c>
      <c r="H32" s="8" t="s">
        <v>103</v>
      </c>
      <c r="I32" s="4" t="s">
        <v>31</v>
      </c>
    </row>
    <row r="33" customFormat="false" ht="17.15" hidden="false" customHeight="false" outlineLevel="0" collapsed="false">
      <c r="A33" s="0" t="s">
        <v>104</v>
      </c>
      <c r="B33" s="0" t="s">
        <v>105</v>
      </c>
      <c r="C33" s="4" t="s">
        <v>89</v>
      </c>
      <c r="D33" s="7" t="n">
        <v>14</v>
      </c>
      <c r="E33" s="7" t="n">
        <v>16</v>
      </c>
      <c r="F33" s="7" t="n">
        <v>16</v>
      </c>
      <c r="G33" s="8" t="s">
        <v>63</v>
      </c>
      <c r="H33" s="8" t="s">
        <v>106</v>
      </c>
      <c r="I33" s="4" t="s">
        <v>31</v>
      </c>
    </row>
    <row r="34" customFormat="false" ht="17.15" hidden="false" customHeight="false" outlineLevel="0" collapsed="false">
      <c r="A34" s="0" t="s">
        <v>107</v>
      </c>
      <c r="B34" s="4" t="s">
        <v>108</v>
      </c>
      <c r="C34" s="0" t="s">
        <v>109</v>
      </c>
      <c r="D34" s="7" t="n">
        <v>0</v>
      </c>
      <c r="E34" s="7" t="n">
        <v>0.1</v>
      </c>
      <c r="F34" s="7" t="n">
        <v>0.25</v>
      </c>
      <c r="G34" s="8" t="s">
        <v>63</v>
      </c>
      <c r="H34" s="4" t="s">
        <v>110</v>
      </c>
      <c r="I34" s="4" t="s">
        <v>111</v>
      </c>
    </row>
    <row r="35" customFormat="false" ht="17.15" hidden="false" customHeight="false" outlineLevel="0" collapsed="false">
      <c r="A35" s="0" t="s">
        <v>112</v>
      </c>
      <c r="B35" s="4" t="s">
        <v>113</v>
      </c>
      <c r="C35" s="0" t="s">
        <v>62</v>
      </c>
      <c r="D35" s="7" t="n">
        <v>0</v>
      </c>
      <c r="E35" s="7" t="n">
        <v>0</v>
      </c>
      <c r="F35" s="7" t="n">
        <v>0</v>
      </c>
      <c r="G35" s="8" t="s">
        <v>63</v>
      </c>
      <c r="H35" s="8" t="s">
        <v>114</v>
      </c>
      <c r="I35" s="8" t="s">
        <v>115</v>
      </c>
    </row>
    <row r="36" customFormat="false" ht="17.15" hidden="false" customHeight="false" outlineLevel="0" collapsed="false">
      <c r="A36" s="0" t="s">
        <v>116</v>
      </c>
      <c r="B36" s="4" t="s">
        <v>117</v>
      </c>
      <c r="C36" s="0" t="s">
        <v>62</v>
      </c>
      <c r="D36" s="7" t="n">
        <v>0</v>
      </c>
      <c r="E36" s="7" t="n">
        <v>0</v>
      </c>
      <c r="F36" s="7" t="n">
        <v>0</v>
      </c>
      <c r="G36" s="8" t="s">
        <v>63</v>
      </c>
      <c r="H36" s="8" t="s">
        <v>118</v>
      </c>
      <c r="I36" s="4" t="s">
        <v>31</v>
      </c>
    </row>
    <row r="37" customFormat="false" ht="17.15" hidden="false" customHeight="false" outlineLevel="0" collapsed="false">
      <c r="A37" s="0" t="s">
        <v>119</v>
      </c>
      <c r="B37" s="4" t="s">
        <v>120</v>
      </c>
      <c r="C37" s="0" t="s">
        <v>62</v>
      </c>
      <c r="D37" s="7" t="n">
        <v>0</v>
      </c>
      <c r="E37" s="7" t="n">
        <v>0</v>
      </c>
      <c r="F37" s="7" t="n">
        <v>0.05</v>
      </c>
      <c r="G37" s="8" t="s">
        <v>63</v>
      </c>
      <c r="H37" s="8" t="s">
        <v>121</v>
      </c>
      <c r="I37" s="4" t="s">
        <v>31</v>
      </c>
    </row>
    <row r="38" customFormat="false" ht="17.15" hidden="false" customHeight="false" outlineLevel="0" collapsed="false">
      <c r="A38" s="0" t="s">
        <v>122</v>
      </c>
      <c r="B38" s="4" t="s">
        <v>123</v>
      </c>
      <c r="C38" s="0" t="s">
        <v>62</v>
      </c>
      <c r="D38" s="7" t="n">
        <v>0</v>
      </c>
      <c r="E38" s="7" t="n">
        <v>0.05</v>
      </c>
      <c r="F38" s="7" t="n">
        <v>0.15</v>
      </c>
      <c r="G38" s="8" t="s">
        <v>63</v>
      </c>
      <c r="H38" s="8" t="s">
        <v>124</v>
      </c>
      <c r="I38" s="4" t="s">
        <v>31</v>
      </c>
    </row>
    <row r="39" customFormat="false" ht="17.15" hidden="false" customHeight="false" outlineLevel="0" collapsed="false">
      <c r="A39" s="0" t="s">
        <v>125</v>
      </c>
      <c r="B39" s="4" t="s">
        <v>126</v>
      </c>
      <c r="C39" s="0" t="s">
        <v>62</v>
      </c>
      <c r="D39" s="7" t="n">
        <v>0.05</v>
      </c>
      <c r="E39" s="7" t="n">
        <v>0.15</v>
      </c>
      <c r="F39" s="7" t="n">
        <v>0.3</v>
      </c>
      <c r="G39" s="8" t="s">
        <v>63</v>
      </c>
      <c r="H39" s="8" t="s">
        <v>127</v>
      </c>
      <c r="I39" s="4" t="s">
        <v>31</v>
      </c>
    </row>
    <row r="40" customFormat="false" ht="17.15" hidden="false" customHeight="false" outlineLevel="0" collapsed="false">
      <c r="A40" s="0" t="s">
        <v>128</v>
      </c>
      <c r="B40" s="4" t="s">
        <v>129</v>
      </c>
      <c r="C40" s="0" t="s">
        <v>62</v>
      </c>
      <c r="D40" s="7" t="n">
        <v>0.1</v>
      </c>
      <c r="E40" s="7" t="n">
        <v>0.25</v>
      </c>
      <c r="F40" s="7" t="n">
        <v>0.4</v>
      </c>
      <c r="G40" s="8" t="s">
        <v>63</v>
      </c>
      <c r="H40" s="8" t="s">
        <v>130</v>
      </c>
      <c r="I40" s="4" t="s">
        <v>31</v>
      </c>
    </row>
    <row r="41" customFormat="false" ht="17.15" hidden="false" customHeight="false" outlineLevel="0" collapsed="false">
      <c r="A41" s="0" t="s">
        <v>131</v>
      </c>
      <c r="B41" s="4" t="s">
        <v>132</v>
      </c>
      <c r="C41" s="0" t="s">
        <v>133</v>
      </c>
      <c r="D41" s="7" t="n">
        <v>0.05</v>
      </c>
      <c r="E41" s="7" t="n">
        <v>0.1</v>
      </c>
      <c r="F41" s="7" t="n">
        <v>0.15</v>
      </c>
      <c r="G41" s="8" t="s">
        <v>63</v>
      </c>
      <c r="H41" s="4" t="s">
        <v>134</v>
      </c>
      <c r="I41" s="4" t="s">
        <v>135</v>
      </c>
    </row>
    <row r="42" customFormat="false" ht="17.15" hidden="false" customHeight="false" outlineLevel="0" collapsed="false">
      <c r="A42" s="6" t="s">
        <v>136</v>
      </c>
    </row>
    <row r="43" customFormat="false" ht="17.15" hidden="false" customHeight="false" outlineLevel="0" collapsed="false">
      <c r="A43" s="0" t="s">
        <v>137</v>
      </c>
      <c r="B43" s="0" t="s">
        <v>138</v>
      </c>
      <c r="C43" s="0" t="s">
        <v>62</v>
      </c>
      <c r="E43" s="7" t="n">
        <v>0.58</v>
      </c>
      <c r="G43" s="8" t="s">
        <v>139</v>
      </c>
      <c r="H43" s="8" t="s">
        <v>140</v>
      </c>
      <c r="I43" s="4" t="s">
        <v>141</v>
      </c>
    </row>
    <row r="44" customFormat="false" ht="17.15" hidden="false" customHeight="false" outlineLevel="0" collapsed="false">
      <c r="A44" s="0" t="s">
        <v>142</v>
      </c>
      <c r="B44" s="0" t="s">
        <v>143</v>
      </c>
      <c r="C44" s="0" t="s">
        <v>62</v>
      </c>
      <c r="E44" s="7" t="n">
        <v>0.52</v>
      </c>
      <c r="G44" s="8" t="s">
        <v>139</v>
      </c>
      <c r="H44" s="8" t="s">
        <v>144</v>
      </c>
      <c r="I44" s="4" t="s">
        <v>31</v>
      </c>
    </row>
    <row r="45" customFormat="false" ht="17.15" hidden="false" customHeight="false" outlineLevel="0" collapsed="false">
      <c r="A45" s="0" t="s">
        <v>145</v>
      </c>
      <c r="B45" s="0" t="s">
        <v>146</v>
      </c>
      <c r="C45" s="0" t="s">
        <v>62</v>
      </c>
      <c r="E45" s="7" t="n">
        <v>0.42</v>
      </c>
      <c r="G45" s="8" t="s">
        <v>139</v>
      </c>
      <c r="H45" s="8" t="s">
        <v>147</v>
      </c>
      <c r="I45" s="4" t="s">
        <v>31</v>
      </c>
    </row>
    <row r="46" customFormat="false" ht="17.15" hidden="false" customHeight="false" outlineLevel="0" collapsed="false">
      <c r="A46" s="0" t="s">
        <v>148</v>
      </c>
      <c r="B46" s="0" t="s">
        <v>149</v>
      </c>
      <c r="C46" s="0" t="s">
        <v>62</v>
      </c>
      <c r="E46" s="7" t="n">
        <v>0.4</v>
      </c>
      <c r="G46" s="8" t="s">
        <v>139</v>
      </c>
      <c r="H46" s="8" t="s">
        <v>150</v>
      </c>
      <c r="I46" s="4" t="s">
        <v>31</v>
      </c>
    </row>
    <row r="47" customFormat="false" ht="17.15" hidden="false" customHeight="false" outlineLevel="0" collapsed="false">
      <c r="A47" s="0" t="s">
        <v>151</v>
      </c>
      <c r="B47" s="0" t="s">
        <v>152</v>
      </c>
      <c r="C47" s="0" t="s">
        <v>62</v>
      </c>
      <c r="E47" s="7" t="n">
        <v>0.4</v>
      </c>
      <c r="G47" s="8" t="s">
        <v>139</v>
      </c>
      <c r="H47" s="8" t="s">
        <v>153</v>
      </c>
      <c r="I47" s="4" t="s">
        <v>31</v>
      </c>
    </row>
    <row r="48" customFormat="false" ht="17.15" hidden="false" customHeight="false" outlineLevel="0" collapsed="false">
      <c r="A48" s="0" t="s">
        <v>154</v>
      </c>
      <c r="B48" s="4" t="s">
        <v>155</v>
      </c>
      <c r="C48" s="0" t="s">
        <v>62</v>
      </c>
      <c r="E48" s="7" t="n">
        <v>0.17</v>
      </c>
      <c r="G48" s="8" t="s">
        <v>139</v>
      </c>
      <c r="H48" s="8" t="s">
        <v>156</v>
      </c>
      <c r="I48" s="4" t="s">
        <v>141</v>
      </c>
    </row>
    <row r="49" customFormat="false" ht="17.15" hidden="false" customHeight="false" outlineLevel="0" collapsed="false">
      <c r="A49" s="0" t="s">
        <v>157</v>
      </c>
      <c r="B49" s="4" t="s">
        <v>158</v>
      </c>
      <c r="C49" s="0" t="s">
        <v>62</v>
      </c>
      <c r="E49" s="7" t="n">
        <v>0.29</v>
      </c>
      <c r="G49" s="8" t="s">
        <v>139</v>
      </c>
      <c r="H49" s="8" t="s">
        <v>159</v>
      </c>
      <c r="I49" s="4" t="s">
        <v>31</v>
      </c>
    </row>
    <row r="50" customFormat="false" ht="17.15" hidden="false" customHeight="false" outlineLevel="0" collapsed="false">
      <c r="A50" s="0" t="s">
        <v>160</v>
      </c>
      <c r="B50" s="4" t="s">
        <v>161</v>
      </c>
      <c r="C50" s="0" t="s">
        <v>62</v>
      </c>
      <c r="E50" s="7" t="n">
        <v>0.38</v>
      </c>
      <c r="G50" s="8" t="s">
        <v>139</v>
      </c>
      <c r="H50" s="8" t="s">
        <v>162</v>
      </c>
      <c r="I50" s="4" t="s">
        <v>31</v>
      </c>
    </row>
    <row r="51" customFormat="false" ht="17.15" hidden="false" customHeight="false" outlineLevel="0" collapsed="false">
      <c r="A51" s="0" t="s">
        <v>163</v>
      </c>
      <c r="B51" s="4" t="s">
        <v>164</v>
      </c>
      <c r="C51" s="0" t="s">
        <v>62</v>
      </c>
      <c r="E51" s="7" t="n">
        <v>0.4</v>
      </c>
      <c r="G51" s="8" t="s">
        <v>139</v>
      </c>
      <c r="H51" s="8" t="s">
        <v>165</v>
      </c>
      <c r="I51" s="4" t="s">
        <v>31</v>
      </c>
    </row>
    <row r="52" customFormat="false" ht="17.15" hidden="false" customHeight="false" outlineLevel="0" collapsed="false">
      <c r="A52" s="0" t="s">
        <v>166</v>
      </c>
      <c r="B52" s="4" t="s">
        <v>167</v>
      </c>
      <c r="C52" s="0" t="s">
        <v>62</v>
      </c>
      <c r="E52" s="7" t="n">
        <v>0.4</v>
      </c>
      <c r="G52" s="8" t="s">
        <v>139</v>
      </c>
      <c r="H52" s="8" t="s">
        <v>168</v>
      </c>
      <c r="I52" s="4" t="s">
        <v>31</v>
      </c>
    </row>
    <row r="53" customFormat="false" ht="17.15" hidden="false" customHeight="false" outlineLevel="0" collapsed="false">
      <c r="A53" s="0" t="s">
        <v>169</v>
      </c>
      <c r="B53" s="4" t="s">
        <v>170</v>
      </c>
      <c r="C53" s="0" t="s">
        <v>62</v>
      </c>
      <c r="E53" s="7" t="n">
        <v>0.21</v>
      </c>
      <c r="G53" s="8" t="s">
        <v>139</v>
      </c>
      <c r="H53" s="8" t="s">
        <v>171</v>
      </c>
      <c r="I53" s="4" t="s">
        <v>141</v>
      </c>
    </row>
    <row r="54" customFormat="false" ht="17.15" hidden="false" customHeight="false" outlineLevel="0" collapsed="false">
      <c r="A54" s="0" t="s">
        <v>172</v>
      </c>
      <c r="B54" s="4" t="s">
        <v>173</v>
      </c>
      <c r="C54" s="0" t="s">
        <v>62</v>
      </c>
      <c r="E54" s="7" t="n">
        <v>0.19</v>
      </c>
      <c r="G54" s="8" t="s">
        <v>139</v>
      </c>
      <c r="H54" s="8" t="s">
        <v>174</v>
      </c>
      <c r="I54" s="4" t="s">
        <v>31</v>
      </c>
    </row>
    <row r="55" customFormat="false" ht="17.15" hidden="false" customHeight="false" outlineLevel="0" collapsed="false">
      <c r="A55" s="0" t="s">
        <v>175</v>
      </c>
      <c r="B55" s="4" t="s">
        <v>176</v>
      </c>
      <c r="C55" s="0" t="s">
        <v>62</v>
      </c>
      <c r="E55" s="7" t="n">
        <v>0.2</v>
      </c>
      <c r="G55" s="8" t="s">
        <v>139</v>
      </c>
      <c r="H55" s="8" t="s">
        <v>177</v>
      </c>
      <c r="I55" s="4" t="s">
        <v>31</v>
      </c>
    </row>
    <row r="56" customFormat="false" ht="17.15" hidden="false" customHeight="false" outlineLevel="0" collapsed="false">
      <c r="A56" s="0" t="s">
        <v>178</v>
      </c>
      <c r="B56" s="4" t="s">
        <v>179</v>
      </c>
      <c r="C56" s="0" t="s">
        <v>62</v>
      </c>
      <c r="E56" s="7" t="n">
        <v>0.2</v>
      </c>
      <c r="G56" s="8" t="s">
        <v>139</v>
      </c>
      <c r="H56" s="8" t="s">
        <v>180</v>
      </c>
      <c r="I56" s="4" t="s">
        <v>31</v>
      </c>
    </row>
    <row r="57" customFormat="false" ht="17.15" hidden="false" customHeight="false" outlineLevel="0" collapsed="false">
      <c r="A57" s="0" t="s">
        <v>181</v>
      </c>
      <c r="B57" s="4" t="s">
        <v>182</v>
      </c>
      <c r="C57" s="0" t="s">
        <v>62</v>
      </c>
      <c r="E57" s="7" t="n">
        <v>0.2</v>
      </c>
      <c r="G57" s="8" t="s">
        <v>139</v>
      </c>
      <c r="H57" s="8" t="s">
        <v>183</v>
      </c>
      <c r="I57" s="4" t="s">
        <v>31</v>
      </c>
    </row>
    <row r="58" customFormat="false" ht="17.15" hidden="false" customHeight="false" outlineLevel="0" collapsed="false">
      <c r="A58" s="6" t="s">
        <v>184</v>
      </c>
    </row>
    <row r="59" customFormat="false" ht="17.15" hidden="false" customHeight="false" outlineLevel="0" collapsed="false">
      <c r="A59" s="0" t="s">
        <v>185</v>
      </c>
      <c r="B59" s="4" t="s">
        <v>186</v>
      </c>
      <c r="C59" s="0" t="s">
        <v>62</v>
      </c>
      <c r="D59" s="7" t="n">
        <v>0.4</v>
      </c>
      <c r="E59" s="7" t="n">
        <v>0.5</v>
      </c>
      <c r="F59" s="7" t="n">
        <v>0.65</v>
      </c>
      <c r="G59" s="8" t="s">
        <v>139</v>
      </c>
      <c r="H59" s="8" t="s">
        <v>187</v>
      </c>
      <c r="I59" s="8" t="s">
        <v>188</v>
      </c>
    </row>
    <row r="60" customFormat="false" ht="17.15" hidden="false" customHeight="false" outlineLevel="0" collapsed="false">
      <c r="A60" s="0" t="s">
        <v>189</v>
      </c>
      <c r="B60" s="4" t="s">
        <v>190</v>
      </c>
      <c r="C60" s="0" t="s">
        <v>62</v>
      </c>
      <c r="D60" s="7" t="n">
        <v>0.35</v>
      </c>
      <c r="E60" s="7" t="n">
        <v>0.45</v>
      </c>
      <c r="F60" s="7" t="n">
        <v>0.55</v>
      </c>
      <c r="G60" s="8" t="s">
        <v>63</v>
      </c>
      <c r="H60" s="4" t="s">
        <v>191</v>
      </c>
      <c r="I60" s="8" t="s">
        <v>192</v>
      </c>
    </row>
    <row r="61" customFormat="false" ht="17.15" hidden="false" customHeight="false" outlineLevel="0" collapsed="false">
      <c r="A61" s="0" t="s">
        <v>193</v>
      </c>
      <c r="B61" s="4" t="s">
        <v>194</v>
      </c>
      <c r="C61" s="0" t="s">
        <v>62</v>
      </c>
      <c r="D61" s="7" t="n">
        <v>0.35</v>
      </c>
      <c r="E61" s="7" t="n">
        <v>0.45</v>
      </c>
      <c r="F61" s="7" t="n">
        <v>0.55</v>
      </c>
      <c r="G61" s="8" t="s">
        <v>63</v>
      </c>
      <c r="H61" s="4" t="s">
        <v>191</v>
      </c>
      <c r="I61" s="8" t="s">
        <v>192</v>
      </c>
    </row>
    <row r="62" customFormat="false" ht="17.15" hidden="false" customHeight="false" outlineLevel="0" collapsed="false">
      <c r="A62" s="0" t="s">
        <v>195</v>
      </c>
      <c r="B62" s="4" t="s">
        <v>196</v>
      </c>
      <c r="C62" s="0" t="s">
        <v>62</v>
      </c>
      <c r="D62" s="7" t="n">
        <v>0.25</v>
      </c>
      <c r="E62" s="7" t="n">
        <v>0.35</v>
      </c>
      <c r="F62" s="7" t="n">
        <v>0.45</v>
      </c>
      <c r="G62" s="8" t="s">
        <v>63</v>
      </c>
      <c r="H62" s="4" t="s">
        <v>191</v>
      </c>
      <c r="I62" s="8" t="s">
        <v>197</v>
      </c>
    </row>
    <row r="63" customFormat="false" ht="17.15" hidden="false" customHeight="false" outlineLevel="0" collapsed="false">
      <c r="A63" s="0" t="s">
        <v>198</v>
      </c>
      <c r="B63" s="4" t="s">
        <v>199</v>
      </c>
      <c r="C63" s="0" t="s">
        <v>62</v>
      </c>
      <c r="D63" s="7" t="n">
        <v>0.7</v>
      </c>
      <c r="E63" s="7" t="n">
        <v>0.8</v>
      </c>
      <c r="F63" s="7" t="n">
        <v>0.9</v>
      </c>
      <c r="G63" s="8" t="s">
        <v>139</v>
      </c>
      <c r="H63" s="4" t="s">
        <v>200</v>
      </c>
      <c r="I63" s="8" t="s">
        <v>201</v>
      </c>
    </row>
    <row r="64" customFormat="false" ht="17.15" hidden="false" customHeight="false" outlineLevel="0" collapsed="false">
      <c r="A64" s="0" t="s">
        <v>202</v>
      </c>
      <c r="B64" s="4" t="s">
        <v>203</v>
      </c>
      <c r="C64" s="0" t="s">
        <v>62</v>
      </c>
      <c r="D64" s="7" t="n">
        <v>0.65</v>
      </c>
      <c r="E64" s="7" t="n">
        <v>0.75</v>
      </c>
      <c r="F64" s="7" t="n">
        <v>0.85</v>
      </c>
      <c r="G64" s="8" t="s">
        <v>63</v>
      </c>
      <c r="H64" s="4" t="s">
        <v>204</v>
      </c>
      <c r="I64" s="8" t="s">
        <v>205</v>
      </c>
    </row>
    <row r="65" customFormat="false" ht="17.15" hidden="false" customHeight="false" outlineLevel="0" collapsed="false">
      <c r="A65" s="0" t="s">
        <v>206</v>
      </c>
      <c r="B65" s="4" t="s">
        <v>207</v>
      </c>
      <c r="C65" s="0" t="s">
        <v>62</v>
      </c>
      <c r="D65" s="7" t="n">
        <v>0.6</v>
      </c>
      <c r="E65" s="7" t="n">
        <v>0.7</v>
      </c>
      <c r="F65" s="7" t="n">
        <v>0.8</v>
      </c>
      <c r="G65" s="8" t="s">
        <v>63</v>
      </c>
      <c r="H65" s="4" t="s">
        <v>204</v>
      </c>
      <c r="I65" s="8" t="s">
        <v>205</v>
      </c>
    </row>
    <row r="66" customFormat="false" ht="17.15" hidden="false" customHeight="false" outlineLevel="0" collapsed="false">
      <c r="A66" s="0" t="s">
        <v>208</v>
      </c>
      <c r="B66" s="4" t="s">
        <v>209</v>
      </c>
      <c r="C66" s="0" t="s">
        <v>62</v>
      </c>
      <c r="D66" s="7" t="n">
        <v>0.45</v>
      </c>
      <c r="E66" s="7" t="n">
        <v>0.55</v>
      </c>
      <c r="F66" s="7" t="n">
        <v>0.65</v>
      </c>
      <c r="G66" s="8" t="s">
        <v>63</v>
      </c>
      <c r="H66" s="4" t="s">
        <v>204</v>
      </c>
      <c r="I66" s="8" t="s">
        <v>210</v>
      </c>
    </row>
    <row r="67" customFormat="false" ht="17.15" hidden="false" customHeight="false" outlineLevel="0" collapsed="false">
      <c r="A67" s="0" t="s">
        <v>211</v>
      </c>
      <c r="B67" s="4" t="s">
        <v>212</v>
      </c>
      <c r="C67" s="0" t="s">
        <v>62</v>
      </c>
      <c r="D67" s="7" t="n">
        <v>0</v>
      </c>
      <c r="E67" s="7" t="n">
        <v>0</v>
      </c>
      <c r="F67" s="7" t="n">
        <v>0.1</v>
      </c>
      <c r="G67" s="8" t="s">
        <v>63</v>
      </c>
      <c r="H67" s="4" t="s">
        <v>213</v>
      </c>
      <c r="I67" s="8" t="s">
        <v>214</v>
      </c>
    </row>
    <row r="68" customFormat="false" ht="17.15" hidden="false" customHeight="false" outlineLevel="0" collapsed="false">
      <c r="A68" s="6" t="s">
        <v>215</v>
      </c>
    </row>
    <row r="69" customFormat="false" ht="17.15" hidden="false" customHeight="false" outlineLevel="0" collapsed="false">
      <c r="A69" s="0" t="s">
        <v>216</v>
      </c>
      <c r="B69" s="0" t="s">
        <v>217</v>
      </c>
      <c r="C69" s="0" t="s">
        <v>62</v>
      </c>
      <c r="D69" s="7" t="n">
        <v>0.5</v>
      </c>
      <c r="E69" s="7" t="n">
        <v>0.6</v>
      </c>
      <c r="F69" s="7" t="n">
        <v>0.7</v>
      </c>
      <c r="G69" s="8" t="s">
        <v>139</v>
      </c>
      <c r="H69" s="8" t="s">
        <v>218</v>
      </c>
      <c r="I69" s="4" t="s">
        <v>219</v>
      </c>
    </row>
    <row r="70" customFormat="false" ht="17.15" hidden="false" customHeight="false" outlineLevel="0" collapsed="false">
      <c r="A70" s="0" t="s">
        <v>220</v>
      </c>
      <c r="B70" s="4" t="s">
        <v>221</v>
      </c>
      <c r="C70" s="0" t="s">
        <v>62</v>
      </c>
      <c r="D70" s="7" t="n">
        <v>0.1</v>
      </c>
      <c r="E70" s="7" t="n">
        <v>0.17</v>
      </c>
      <c r="F70" s="7" t="n">
        <v>0.25</v>
      </c>
      <c r="G70" s="8" t="s">
        <v>139</v>
      </c>
      <c r="H70" s="8" t="s">
        <v>222</v>
      </c>
      <c r="I70" s="4" t="s">
        <v>223</v>
      </c>
    </row>
    <row r="71" customFormat="false" ht="17.15" hidden="false" customHeight="false" outlineLevel="0" collapsed="false">
      <c r="A71" s="0" t="s">
        <v>224</v>
      </c>
      <c r="B71" s="0" t="s">
        <v>225</v>
      </c>
      <c r="C71" s="4" t="s">
        <v>226</v>
      </c>
      <c r="E71" s="0" t="n">
        <f aca="false">a25_rev*tcb_sh25*(1-cn_sh25)</f>
        <v>2871.966</v>
      </c>
      <c r="G71" s="0" t="s">
        <v>26</v>
      </c>
      <c r="H71" s="4" t="s">
        <v>227</v>
      </c>
      <c r="I71" s="4" t="s">
        <v>228</v>
      </c>
    </row>
    <row r="72" customFormat="false" ht="17.15" hidden="false" customHeight="false" outlineLevel="0" collapsed="false">
      <c r="A72" s="0" t="s">
        <v>229</v>
      </c>
      <c r="B72" s="4" t="s">
        <v>230</v>
      </c>
      <c r="C72" s="0" t="s">
        <v>62</v>
      </c>
      <c r="D72" s="7" t="n">
        <v>0</v>
      </c>
      <c r="E72" s="7" t="n">
        <v>0.15</v>
      </c>
      <c r="F72" s="7" t="n">
        <v>0.35</v>
      </c>
      <c r="G72" s="8" t="s">
        <v>63</v>
      </c>
      <c r="H72" s="4" t="s">
        <v>231</v>
      </c>
      <c r="I72" s="8" t="s">
        <v>232</v>
      </c>
    </row>
    <row r="73" customFormat="false" ht="17.15" hidden="false" customHeight="false" outlineLevel="0" collapsed="false">
      <c r="A73" s="0" t="s">
        <v>233</v>
      </c>
      <c r="B73" s="4" t="s">
        <v>234</v>
      </c>
      <c r="C73" s="0" t="s">
        <v>62</v>
      </c>
      <c r="D73" s="7" t="n">
        <v>0.07</v>
      </c>
      <c r="E73" s="7" t="n">
        <v>0.12</v>
      </c>
      <c r="F73" s="7" t="n">
        <v>0.17</v>
      </c>
      <c r="G73" s="8" t="s">
        <v>63</v>
      </c>
      <c r="H73" s="4" t="s">
        <v>235</v>
      </c>
      <c r="I73" s="8" t="s">
        <v>205</v>
      </c>
    </row>
    <row r="74" customFormat="false" ht="17.15" hidden="false" customHeight="false" outlineLevel="0" collapsed="false">
      <c r="A74" s="0" t="s">
        <v>236</v>
      </c>
      <c r="B74" s="4" t="s">
        <v>237</v>
      </c>
      <c r="C74" s="0" t="s">
        <v>62</v>
      </c>
      <c r="D74" s="7" t="n">
        <v>0.03</v>
      </c>
      <c r="E74" s="7" t="n">
        <v>0.08</v>
      </c>
      <c r="F74" s="7" t="n">
        <v>0.13</v>
      </c>
      <c r="G74" s="8" t="s">
        <v>63</v>
      </c>
      <c r="H74" s="4" t="s">
        <v>235</v>
      </c>
      <c r="I74" s="8" t="s">
        <v>205</v>
      </c>
    </row>
    <row r="75" customFormat="false" ht="17.15" hidden="false" customHeight="false" outlineLevel="0" collapsed="false">
      <c r="A75" s="0" t="s">
        <v>238</v>
      </c>
      <c r="B75" s="4" t="s">
        <v>239</v>
      </c>
      <c r="C75" s="0" t="s">
        <v>62</v>
      </c>
      <c r="D75" s="7" t="n">
        <v>-0.1</v>
      </c>
      <c r="E75" s="7" t="n">
        <v>-0.05</v>
      </c>
      <c r="F75" s="7" t="n">
        <v>0</v>
      </c>
      <c r="G75" s="8" t="s">
        <v>63</v>
      </c>
      <c r="H75" s="4" t="s">
        <v>235</v>
      </c>
      <c r="I75" s="8" t="s">
        <v>240</v>
      </c>
    </row>
    <row r="76" customFormat="false" ht="17.15" hidden="false" customHeight="false" outlineLevel="0" collapsed="false">
      <c r="A76" s="6" t="s">
        <v>241</v>
      </c>
    </row>
    <row r="77" customFormat="false" ht="17.15" hidden="false" customHeight="false" outlineLevel="0" collapsed="false">
      <c r="A77" s="0" t="s">
        <v>242</v>
      </c>
      <c r="B77" s="0" t="s">
        <v>243</v>
      </c>
      <c r="C77" s="0" t="s">
        <v>109</v>
      </c>
      <c r="D77" s="7" t="n">
        <v>0.7</v>
      </c>
      <c r="E77" s="7" t="n">
        <v>0.9</v>
      </c>
      <c r="F77" s="7" t="n">
        <v>1.1</v>
      </c>
      <c r="G77" s="8" t="s">
        <v>63</v>
      </c>
      <c r="H77" s="4" t="s">
        <v>244</v>
      </c>
      <c r="I77" s="8" t="s">
        <v>245</v>
      </c>
    </row>
    <row r="78" customFormat="false" ht="17.15" hidden="false" customHeight="false" outlineLevel="0" collapsed="false">
      <c r="A78" s="0" t="s">
        <v>246</v>
      </c>
      <c r="B78" s="0" t="s">
        <v>247</v>
      </c>
      <c r="C78" s="0" t="s">
        <v>62</v>
      </c>
      <c r="D78" s="7" t="n">
        <v>0.42</v>
      </c>
      <c r="E78" s="7" t="n">
        <v>0.48</v>
      </c>
      <c r="F78" s="7" t="n">
        <v>0.52</v>
      </c>
      <c r="G78" s="8" t="s">
        <v>63</v>
      </c>
      <c r="H78" s="4" t="s">
        <v>248</v>
      </c>
      <c r="I78" s="4" t="s">
        <v>249</v>
      </c>
    </row>
    <row r="79" customFormat="false" ht="17.15" hidden="false" customHeight="false" outlineLevel="0" collapsed="false">
      <c r="A79" s="0" t="s">
        <v>250</v>
      </c>
      <c r="B79" s="0" t="s">
        <v>251</v>
      </c>
      <c r="C79" s="4" t="s">
        <v>226</v>
      </c>
      <c r="E79" s="0" t="n">
        <f aca="false">q1_rev+q2_rev+h2f*2*q2_rev</f>
        <v>7539.8</v>
      </c>
      <c r="G79" s="0" t="s">
        <v>26</v>
      </c>
      <c r="H79" s="4" t="s">
        <v>252</v>
      </c>
      <c r="I79" s="0" t="s">
        <v>205</v>
      </c>
    </row>
    <row r="80" customFormat="false" ht="17.15" hidden="false" customHeight="false" outlineLevel="0" collapsed="false">
      <c r="A80" s="0" t="s">
        <v>253</v>
      </c>
      <c r="B80" s="0" t="s">
        <v>254</v>
      </c>
      <c r="C80" s="4" t="s">
        <v>226</v>
      </c>
      <c r="E80" s="0" t="n">
        <f aca="false">q1_oi+q2_oi+h2f*2*q2_rev*m_h2</f>
        <v>3557.504</v>
      </c>
      <c r="G80" s="0" t="s">
        <v>26</v>
      </c>
      <c r="H80" s="4" t="s">
        <v>255</v>
      </c>
      <c r="I80" s="0" t="s">
        <v>205</v>
      </c>
    </row>
    <row r="81" customFormat="false" ht="17.15" hidden="false" customHeight="false" outlineLevel="0" collapsed="false">
      <c r="A81" s="6" t="s">
        <v>256</v>
      </c>
    </row>
    <row r="82" customFormat="false" ht="17.15" hidden="false" customHeight="false" outlineLevel="0" collapsed="false">
      <c r="A82" s="0" t="s">
        <v>257</v>
      </c>
      <c r="B82" s="0" t="s">
        <v>258</v>
      </c>
      <c r="C82" s="0" t="s">
        <v>62</v>
      </c>
      <c r="D82" s="7" t="n">
        <v>0.3</v>
      </c>
      <c r="E82" s="7" t="n">
        <v>0.5</v>
      </c>
      <c r="F82" s="7" t="n">
        <v>0.7</v>
      </c>
      <c r="G82" s="8" t="s">
        <v>63</v>
      </c>
      <c r="H82" s="4" t="s">
        <v>259</v>
      </c>
      <c r="I82" s="4" t="s">
        <v>260</v>
      </c>
    </row>
    <row r="83" customFormat="false" ht="17.15" hidden="false" customHeight="false" outlineLevel="0" collapsed="false">
      <c r="A83" s="0" t="s">
        <v>261</v>
      </c>
      <c r="B83" s="4" t="s">
        <v>262</v>
      </c>
      <c r="C83" s="4" t="s">
        <v>226</v>
      </c>
      <c r="E83" s="0" t="n">
        <f aca="false">a25_gp-a25_oi</f>
        <v>806.7</v>
      </c>
      <c r="G83" s="0" t="s">
        <v>26</v>
      </c>
      <c r="H83" s="0" t="s">
        <v>263</v>
      </c>
      <c r="I83" s="0" t="s">
        <v>205</v>
      </c>
    </row>
    <row r="84" customFormat="false" ht="15" hidden="false" customHeight="false" outlineLevel="0" collapsed="false">
      <c r="A84" s="0" t="s">
        <v>264</v>
      </c>
      <c r="B84" s="4" t="s">
        <v>265</v>
      </c>
      <c r="C84" s="4" t="s">
        <v>226</v>
      </c>
      <c r="E84" s="0" t="n">
        <f aca="false">(1-phi)*opex25</f>
        <v>403.35</v>
      </c>
      <c r="G84" s="0" t="s">
        <v>26</v>
      </c>
      <c r="H84" s="0" t="s">
        <v>205</v>
      </c>
      <c r="I84" s="0" t="s">
        <v>205</v>
      </c>
    </row>
    <row r="85" customFormat="false" ht="15" hidden="false" customHeight="false" outlineLevel="0" collapsed="false">
      <c r="A85" s="0" t="s">
        <v>266</v>
      </c>
      <c r="B85" s="4" t="s">
        <v>267</v>
      </c>
      <c r="C85" s="0" t="s">
        <v>62</v>
      </c>
      <c r="E85" s="0" t="n">
        <f aca="false">phi*opex25/a25_rev</f>
        <v>0.0699410438702965</v>
      </c>
      <c r="G85" s="0" t="s">
        <v>26</v>
      </c>
      <c r="H85" s="0" t="s">
        <v>205</v>
      </c>
      <c r="I85" s="0" t="s">
        <v>205</v>
      </c>
    </row>
    <row r="86" customFormat="false" ht="17.15" hidden="false" customHeight="false" outlineLevel="0" collapsed="false">
      <c r="A86" s="0" t="s">
        <v>268</v>
      </c>
      <c r="B86" s="4" t="s">
        <v>269</v>
      </c>
      <c r="C86" s="0" t="s">
        <v>270</v>
      </c>
      <c r="D86" s="7" t="n">
        <v>-0.06</v>
      </c>
      <c r="E86" s="7" t="n">
        <v>-0.03</v>
      </c>
      <c r="F86" s="7" t="n">
        <v>0</v>
      </c>
      <c r="G86" s="8" t="s">
        <v>63</v>
      </c>
      <c r="H86" s="4" t="s">
        <v>271</v>
      </c>
      <c r="I86" s="8" t="s">
        <v>205</v>
      </c>
    </row>
    <row r="87" customFormat="false" ht="17.15" hidden="false" customHeight="false" outlineLevel="0" collapsed="false">
      <c r="A87" s="0" t="s">
        <v>272</v>
      </c>
      <c r="B87" s="4" t="s">
        <v>273</v>
      </c>
      <c r="C87" s="0" t="s">
        <v>270</v>
      </c>
      <c r="D87" s="7" t="n">
        <v>-0.08</v>
      </c>
      <c r="E87" s="7" t="n">
        <v>-0.05</v>
      </c>
      <c r="F87" s="7" t="n">
        <v>0</v>
      </c>
      <c r="G87" s="8" t="s">
        <v>63</v>
      </c>
      <c r="H87" s="4" t="s">
        <v>274</v>
      </c>
      <c r="I87" s="8" t="s">
        <v>205</v>
      </c>
    </row>
    <row r="88" customFormat="false" ht="17.15" hidden="false" customHeight="false" outlineLevel="0" collapsed="false">
      <c r="A88" s="0" t="s">
        <v>275</v>
      </c>
      <c r="B88" s="4" t="s">
        <v>276</v>
      </c>
      <c r="C88" s="0" t="s">
        <v>109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26</v>
      </c>
      <c r="H88" s="4" t="s">
        <v>277</v>
      </c>
      <c r="I88" s="8" t="s">
        <v>278</v>
      </c>
    </row>
    <row r="89" customFormat="false" ht="17.15" hidden="false" customHeight="false" outlineLevel="0" collapsed="false">
      <c r="A89" s="0" t="s">
        <v>279</v>
      </c>
      <c r="B89" s="4" t="s">
        <v>280</v>
      </c>
      <c r="C89" s="4" t="s">
        <v>281</v>
      </c>
      <c r="E89" s="0" t="n">
        <f aca="false">a25_ni/a25_eps*100</f>
        <v>95.8910247793162</v>
      </c>
      <c r="G89" s="0" t="s">
        <v>26</v>
      </c>
      <c r="H89" s="0" t="s">
        <v>282</v>
      </c>
      <c r="I89" s="4" t="s">
        <v>283</v>
      </c>
    </row>
    <row r="90" customFormat="false" ht="15" hidden="false" customHeight="false" outlineLevel="0" collapsed="false">
      <c r="A90" s="0" t="s">
        <v>284</v>
      </c>
      <c r="B90" s="4" t="s">
        <v>285</v>
      </c>
      <c r="C90" s="0" t="s">
        <v>286</v>
      </c>
      <c r="D90" s="7" t="n">
        <v>1350</v>
      </c>
      <c r="E90" s="7" t="n">
        <v>1420</v>
      </c>
      <c r="F90" s="7" t="n">
        <v>1500</v>
      </c>
      <c r="G90" s="8" t="s">
        <v>63</v>
      </c>
      <c r="H90" s="4" t="s">
        <v>287</v>
      </c>
      <c r="I90" s="8" t="s">
        <v>205</v>
      </c>
    </row>
    <row r="91" customFormat="false" ht="17.15" hidden="false" customHeight="false" outlineLevel="0" collapsed="false">
      <c r="A91" s="6" t="s">
        <v>288</v>
      </c>
    </row>
    <row r="92" customFormat="false" ht="17.15" hidden="false" customHeight="false" outlineLevel="0" collapsed="false">
      <c r="A92" s="0" t="s">
        <v>289</v>
      </c>
      <c r="B92" s="4" t="s">
        <v>290</v>
      </c>
      <c r="C92" s="4" t="s">
        <v>291</v>
      </c>
      <c r="E92" s="7" t="n">
        <v>2029</v>
      </c>
      <c r="G92" s="8" t="s">
        <v>26</v>
      </c>
      <c r="H92" s="8" t="s">
        <v>292</v>
      </c>
      <c r="I92" s="4" t="s">
        <v>293</v>
      </c>
    </row>
    <row r="93" customFormat="false" ht="17.15" hidden="false" customHeight="false" outlineLevel="0" collapsed="false">
      <c r="A93" s="0" t="s">
        <v>294</v>
      </c>
      <c r="B93" s="4" t="s">
        <v>295</v>
      </c>
      <c r="C93" s="4" t="s">
        <v>291</v>
      </c>
      <c r="E93" s="7" t="n">
        <v>2028</v>
      </c>
      <c r="G93" s="8" t="s">
        <v>26</v>
      </c>
      <c r="H93" s="8" t="s">
        <v>296</v>
      </c>
      <c r="I93" s="4" t="s">
        <v>31</v>
      </c>
    </row>
    <row r="94" customFormat="false" ht="17.15" hidden="false" customHeight="false" outlineLevel="0" collapsed="false">
      <c r="A94" s="0" t="s">
        <v>297</v>
      </c>
      <c r="B94" s="4" t="s">
        <v>298</v>
      </c>
      <c r="C94" s="4" t="s">
        <v>291</v>
      </c>
      <c r="E94" s="7" t="n">
        <v>2027</v>
      </c>
      <c r="G94" s="8" t="s">
        <v>26</v>
      </c>
      <c r="H94" s="8" t="s">
        <v>299</v>
      </c>
      <c r="I94" s="4" t="s">
        <v>31</v>
      </c>
    </row>
    <row r="95" customFormat="false" ht="17.15" hidden="false" customHeight="false" outlineLevel="0" collapsed="false">
      <c r="A95" s="0" t="s">
        <v>300</v>
      </c>
      <c r="B95" s="4" t="s">
        <v>301</v>
      </c>
      <c r="C95" s="0" t="s">
        <v>302</v>
      </c>
      <c r="E95" s="7" t="n">
        <v>188500</v>
      </c>
      <c r="G95" s="8" t="s">
        <v>303</v>
      </c>
      <c r="H95" s="8" t="s">
        <v>304</v>
      </c>
      <c r="I95" s="8" t="s">
        <v>305</v>
      </c>
    </row>
    <row r="96" customFormat="false" ht="17.15" hidden="false" customHeight="false" outlineLevel="0" collapsed="false">
      <c r="A96" s="0" t="s">
        <v>306</v>
      </c>
      <c r="B96" s="4" t="s">
        <v>307</v>
      </c>
      <c r="C96" s="0" t="s">
        <v>62</v>
      </c>
      <c r="E96" s="7" t="n">
        <v>0.3</v>
      </c>
      <c r="G96" s="8" t="s">
        <v>63</v>
      </c>
      <c r="H96" s="8" t="s">
        <v>308</v>
      </c>
      <c r="I96" s="8" t="s">
        <v>205</v>
      </c>
    </row>
    <row r="97" customFormat="false" ht="17.15" hidden="false" customHeight="false" outlineLevel="0" collapsed="false">
      <c r="A97" s="0" t="s">
        <v>309</v>
      </c>
      <c r="B97" s="4" t="s">
        <v>310</v>
      </c>
      <c r="C97" s="0" t="s">
        <v>62</v>
      </c>
      <c r="E97" s="7" t="n">
        <v>0.5</v>
      </c>
      <c r="G97" s="8" t="s">
        <v>63</v>
      </c>
      <c r="H97" s="8" t="s">
        <v>308</v>
      </c>
      <c r="I97" s="8" t="s">
        <v>205</v>
      </c>
    </row>
    <row r="98" customFormat="false" ht="17.15" hidden="false" customHeight="false" outlineLevel="0" collapsed="false">
      <c r="A98" s="0" t="s">
        <v>311</v>
      </c>
      <c r="B98" s="4" t="s">
        <v>312</v>
      </c>
      <c r="C98" s="0" t="s">
        <v>62</v>
      </c>
      <c r="E98" s="7" t="n">
        <v>0.2</v>
      </c>
      <c r="G98" s="8" t="s">
        <v>63</v>
      </c>
      <c r="H98" s="8" t="s">
        <v>308</v>
      </c>
      <c r="I98" s="8" t="s">
        <v>205</v>
      </c>
    </row>
    <row r="99" customFormat="false" ht="17.15" hidden="false" customHeight="false" outlineLevel="0" collapsed="false">
      <c r="A99" s="0" t="s">
        <v>313</v>
      </c>
      <c r="B99" s="4" t="s">
        <v>314</v>
      </c>
      <c r="C99" s="4" t="s">
        <v>226</v>
      </c>
      <c r="E99" s="7" t="n">
        <v>7280</v>
      </c>
      <c r="G99" s="8" t="s">
        <v>139</v>
      </c>
      <c r="H99" s="8" t="s">
        <v>315</v>
      </c>
      <c r="I99" s="4" t="s">
        <v>316</v>
      </c>
    </row>
    <row r="100" customFormat="false" ht="17.15" hidden="false" customHeight="false" outlineLevel="0" collapsed="false">
      <c r="A100" s="0" t="s">
        <v>317</v>
      </c>
      <c r="B100" s="4" t="s">
        <v>318</v>
      </c>
      <c r="C100" s="4" t="s">
        <v>226</v>
      </c>
      <c r="E100" s="7" t="n">
        <v>3694</v>
      </c>
      <c r="G100" s="8" t="s">
        <v>139</v>
      </c>
      <c r="H100" s="4" t="s">
        <v>319</v>
      </c>
      <c r="I100" s="4" t="s">
        <v>320</v>
      </c>
    </row>
    <row r="101" customFormat="false" ht="17.15" hidden="false" customHeight="false" outlineLevel="0" collapsed="false">
      <c r="A101" s="0" t="s">
        <v>321</v>
      </c>
      <c r="B101" s="4" t="s">
        <v>322</v>
      </c>
      <c r="C101" s="0" t="s">
        <v>302</v>
      </c>
      <c r="E101" s="7" t="n">
        <v>3400</v>
      </c>
      <c r="G101" s="8" t="s">
        <v>139</v>
      </c>
      <c r="H101" s="8" t="s">
        <v>323</v>
      </c>
      <c r="I101" s="8" t="s">
        <v>324</v>
      </c>
    </row>
    <row r="102" customFormat="false" ht="17.15" hidden="false" customHeight="false" outlineLevel="0" collapsed="false">
      <c r="A102" s="0" t="s">
        <v>325</v>
      </c>
      <c r="B102" s="4" t="s">
        <v>326</v>
      </c>
      <c r="C102" s="4" t="s">
        <v>226</v>
      </c>
      <c r="E102" s="7" t="n">
        <v>9900</v>
      </c>
      <c r="G102" s="8" t="s">
        <v>139</v>
      </c>
      <c r="H102" s="8" t="s">
        <v>327</v>
      </c>
      <c r="I102" s="4" t="s">
        <v>328</v>
      </c>
    </row>
    <row r="103" customFormat="false" ht="17.15" hidden="false" customHeight="false" outlineLevel="0" collapsed="false">
      <c r="A103" s="0" t="s">
        <v>329</v>
      </c>
      <c r="B103" s="4" t="s">
        <v>330</v>
      </c>
      <c r="C103" s="0" t="s">
        <v>302</v>
      </c>
      <c r="E103" s="7" t="n">
        <v>4650</v>
      </c>
      <c r="G103" s="8" t="s">
        <v>139</v>
      </c>
      <c r="H103" s="8" t="s">
        <v>327</v>
      </c>
      <c r="I103" s="4" t="s">
        <v>328</v>
      </c>
    </row>
    <row r="104" customFormat="false" ht="17.15" hidden="false" customHeight="false" outlineLevel="0" collapsed="false">
      <c r="A104" s="0" t="s">
        <v>331</v>
      </c>
      <c r="B104" s="0" t="s">
        <v>332</v>
      </c>
      <c r="C104" s="0" t="s">
        <v>333</v>
      </c>
      <c r="E104" s="7" t="n">
        <v>759</v>
      </c>
      <c r="G104" s="8" t="s">
        <v>139</v>
      </c>
      <c r="H104" s="8" t="s">
        <v>334</v>
      </c>
      <c r="I104" s="4" t="s">
        <v>335</v>
      </c>
    </row>
    <row r="105" customFormat="false" ht="17.15" hidden="false" customHeight="false" outlineLevel="0" collapsed="false">
      <c r="A105" s="0" t="s">
        <v>336</v>
      </c>
      <c r="B105" s="0" t="s">
        <v>337</v>
      </c>
      <c r="C105" s="0" t="s">
        <v>333</v>
      </c>
      <c r="E105" s="7" t="n">
        <v>1600</v>
      </c>
      <c r="G105" s="8" t="s">
        <v>139</v>
      </c>
      <c r="H105" s="4" t="s">
        <v>31</v>
      </c>
      <c r="I105" s="8" t="s">
        <v>205</v>
      </c>
    </row>
    <row r="106" customFormat="false" ht="17.15" hidden="false" customHeight="false" outlineLevel="0" collapsed="false">
      <c r="A106" s="0" t="s">
        <v>338</v>
      </c>
      <c r="B106" s="4" t="s">
        <v>339</v>
      </c>
      <c r="C106" s="0" t="s">
        <v>62</v>
      </c>
      <c r="E106" s="7" t="n">
        <v>0.712</v>
      </c>
      <c r="G106" s="8" t="s">
        <v>139</v>
      </c>
      <c r="H106" s="4" t="s">
        <v>340</v>
      </c>
      <c r="I106" s="4" t="s">
        <v>341</v>
      </c>
    </row>
    <row r="107" customFormat="false" ht="17.15" hidden="false" customHeight="false" outlineLevel="0" collapsed="false">
      <c r="A107" s="0" t="s">
        <v>342</v>
      </c>
      <c r="B107" s="0" t="s">
        <v>343</v>
      </c>
      <c r="C107" s="0" t="s">
        <v>344</v>
      </c>
      <c r="E107" s="7" t="n">
        <v>6.11313868613139</v>
      </c>
      <c r="G107" s="8" t="s">
        <v>26</v>
      </c>
      <c r="H107" s="8" t="s">
        <v>345</v>
      </c>
      <c r="I107" s="8" t="s">
        <v>346</v>
      </c>
    </row>
    <row r="108" customFormat="false" ht="17.15" hidden="false" customHeight="false" outlineLevel="0" collapsed="false">
      <c r="A108" s="0" t="s">
        <v>347</v>
      </c>
      <c r="B108" s="0" t="s">
        <v>348</v>
      </c>
      <c r="C108" s="0" t="s">
        <v>344</v>
      </c>
      <c r="E108" s="7" t="n">
        <v>8.6</v>
      </c>
      <c r="G108" s="8" t="s">
        <v>139</v>
      </c>
      <c r="H108" s="8" t="s">
        <v>345</v>
      </c>
      <c r="I108" s="8" t="s">
        <v>349</v>
      </c>
    </row>
    <row r="109" customFormat="false" ht="17.15" hidden="false" customHeight="false" outlineLevel="0" collapsed="false">
      <c r="A109" s="0" t="s">
        <v>350</v>
      </c>
      <c r="B109" s="0" t="s">
        <v>351</v>
      </c>
      <c r="C109" s="4" t="s">
        <v>352</v>
      </c>
      <c r="D109" s="7" t="n">
        <v>25</v>
      </c>
      <c r="E109" s="7" t="n">
        <v>30</v>
      </c>
      <c r="F109" s="7" t="n">
        <v>40</v>
      </c>
      <c r="G109" s="8" t="s">
        <v>139</v>
      </c>
      <c r="H109" s="4" t="s">
        <v>353</v>
      </c>
      <c r="I109" s="8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355</v>
      </c>
    </row>
    <row r="2" customFormat="false" ht="17.15" hidden="false" customHeight="false" outlineLevel="0" collapsed="false">
      <c r="A2" s="0" t="s">
        <v>356</v>
      </c>
    </row>
    <row r="3" customFormat="false" ht="17.15" hidden="false" customHeight="false" outlineLevel="0" collapsed="false">
      <c r="A3" s="5" t="s">
        <v>14</v>
      </c>
      <c r="B3" s="9" t="s">
        <v>357</v>
      </c>
      <c r="C3" s="9" t="s">
        <v>358</v>
      </c>
      <c r="D3" s="9" t="s">
        <v>359</v>
      </c>
      <c r="E3" s="9" t="s">
        <v>360</v>
      </c>
      <c r="F3" s="9" t="s">
        <v>361</v>
      </c>
      <c r="G3" s="9" t="s">
        <v>362</v>
      </c>
      <c r="H3" s="9" t="s">
        <v>363</v>
      </c>
      <c r="I3" s="9" t="s">
        <v>364</v>
      </c>
      <c r="J3" s="9" t="s">
        <v>365</v>
      </c>
      <c r="K3" s="5" t="s">
        <v>19</v>
      </c>
      <c r="L3" s="5" t="s">
        <v>20</v>
      </c>
      <c r="M3" s="5" t="s">
        <v>21</v>
      </c>
    </row>
    <row r="4" customFormat="false" ht="17.15" hidden="false" customHeight="false" outlineLevel="0" collapsed="false">
      <c r="A4" s="4" t="s">
        <v>366</v>
      </c>
      <c r="B4" s="10" t="n">
        <v>5589</v>
      </c>
      <c r="C4" s="11" t="n">
        <f aca="false">G4-D4-E4-F4</f>
        <v>1475</v>
      </c>
      <c r="D4" s="10" t="n">
        <v>1800</v>
      </c>
      <c r="E4" s="10" t="n">
        <v>1662</v>
      </c>
      <c r="F4" s="10" t="n">
        <v>830</v>
      </c>
      <c r="G4" s="10" t="n">
        <v>5767</v>
      </c>
      <c r="H4" s="10" t="n">
        <v>509</v>
      </c>
      <c r="I4" s="10" t="n">
        <v>2511</v>
      </c>
      <c r="J4" s="4" t="s">
        <v>367</v>
      </c>
      <c r="K4" s="8" t="s">
        <v>368</v>
      </c>
      <c r="L4" s="4" t="s">
        <v>369</v>
      </c>
      <c r="M4" s="8" t="s">
        <v>370</v>
      </c>
    </row>
    <row r="5" customFormat="false" ht="17.15" hidden="false" customHeight="false" outlineLevel="0" collapsed="false">
      <c r="A5" s="4" t="s">
        <v>371</v>
      </c>
      <c r="B5" s="12" t="n">
        <v>3143</v>
      </c>
      <c r="G5" s="12" t="n">
        <v>3320.6</v>
      </c>
      <c r="K5" s="8" t="s">
        <v>303</v>
      </c>
      <c r="L5" s="8" t="s">
        <v>372</v>
      </c>
      <c r="M5" s="8" t="s">
        <v>373</v>
      </c>
    </row>
    <row r="6" customFormat="false" ht="17.15" hidden="false" customHeight="false" outlineLevel="0" collapsed="false">
      <c r="A6" s="4" t="s">
        <v>374</v>
      </c>
      <c r="B6" s="12" t="n">
        <v>2554</v>
      </c>
      <c r="C6" s="13" t="n">
        <f aca="false">G6-D6-E6-F6</f>
        <v>696.9</v>
      </c>
      <c r="D6" s="12" t="n">
        <v>863</v>
      </c>
      <c r="E6" s="12" t="n">
        <v>678</v>
      </c>
      <c r="F6" s="12" t="n">
        <v>276</v>
      </c>
      <c r="G6" s="12" t="n">
        <v>2513.9</v>
      </c>
      <c r="H6" s="12" t="n">
        <v>85</v>
      </c>
      <c r="I6" s="12" t="n">
        <v>1303</v>
      </c>
      <c r="J6" s="4" t="s">
        <v>367</v>
      </c>
      <c r="K6" s="8" t="s">
        <v>368</v>
      </c>
      <c r="L6" s="4" t="s">
        <v>375</v>
      </c>
      <c r="M6" s="8" t="s">
        <v>376</v>
      </c>
    </row>
    <row r="7" customFormat="false" ht="17.15" hidden="false" customHeight="false" outlineLevel="0" collapsed="false">
      <c r="A7" s="4" t="s">
        <v>377</v>
      </c>
      <c r="B7" s="14" t="n">
        <f aca="false">B6/B4</f>
        <v>0.456969046341027</v>
      </c>
      <c r="C7" s="14" t="n">
        <f aca="false">C6/C4</f>
        <v>0.472474576271187</v>
      </c>
      <c r="D7" s="14" t="n">
        <f aca="false">D6/D4</f>
        <v>0.479444444444444</v>
      </c>
      <c r="E7" s="14" t="n">
        <f aca="false">E6/E4</f>
        <v>0.407942238267148</v>
      </c>
      <c r="F7" s="14" t="n">
        <f aca="false">F6/F4</f>
        <v>0.332530120481928</v>
      </c>
      <c r="G7" s="14" t="n">
        <f aca="false">G6/G4</f>
        <v>0.435911219004682</v>
      </c>
      <c r="H7" s="14" t="n">
        <f aca="false">H6/H4</f>
        <v>0.166994106090373</v>
      </c>
      <c r="I7" s="14" t="n">
        <f aca="false">I6/I4</f>
        <v>0.518916766228594</v>
      </c>
      <c r="K7" s="8" t="s">
        <v>26</v>
      </c>
      <c r="L7" s="8" t="s">
        <v>205</v>
      </c>
      <c r="M7" s="4" t="s">
        <v>378</v>
      </c>
    </row>
    <row r="8" customFormat="false" ht="17.15" hidden="false" customHeight="false" outlineLevel="0" collapsed="false">
      <c r="A8" s="4" t="s">
        <v>379</v>
      </c>
      <c r="B8" s="13" t="n">
        <f aca="false">B5-B6</f>
        <v>589</v>
      </c>
      <c r="G8" s="13" t="n">
        <f aca="false">G5-G6</f>
        <v>806.7</v>
      </c>
      <c r="K8" s="8" t="s">
        <v>26</v>
      </c>
      <c r="L8" s="8" t="s">
        <v>205</v>
      </c>
      <c r="M8" s="8" t="s">
        <v>380</v>
      </c>
    </row>
    <row r="9" customFormat="false" ht="17.15" hidden="false" customHeight="false" outlineLevel="0" collapsed="false">
      <c r="A9" s="4" t="s">
        <v>381</v>
      </c>
      <c r="B9" s="12" t="n">
        <v>1526</v>
      </c>
      <c r="G9" s="12" t="n">
        <v>2140</v>
      </c>
      <c r="H9" s="12" t="n">
        <v>190</v>
      </c>
      <c r="K9" s="8" t="s">
        <v>303</v>
      </c>
      <c r="L9" s="8" t="s">
        <v>382</v>
      </c>
      <c r="M9" s="8" t="s">
        <v>383</v>
      </c>
    </row>
    <row r="10" customFormat="false" ht="17.15" hidden="false" customHeight="false" outlineLevel="0" collapsed="false">
      <c r="A10" s="0" t="s">
        <v>384</v>
      </c>
      <c r="B10" s="12" t="n">
        <v>1584</v>
      </c>
      <c r="G10" s="12" t="n">
        <v>2231.7</v>
      </c>
      <c r="K10" s="8" t="s">
        <v>385</v>
      </c>
      <c r="L10" s="8" t="s">
        <v>386</v>
      </c>
      <c r="M10" s="8" t="s">
        <v>387</v>
      </c>
    </row>
    <row r="11" customFormat="false" ht="17.15" hidden="false" customHeight="false" outlineLevel="0" collapsed="false">
      <c r="A11" s="4" t="s">
        <v>388</v>
      </c>
      <c r="B11" s="15" t="n">
        <f aca="false">SUM(C4:F4)-G4</f>
        <v>0</v>
      </c>
      <c r="C11" s="15" t="n">
        <f aca="false">SUM(C6:F6)-G6</f>
        <v>0</v>
      </c>
      <c r="K11" s="8" t="s">
        <v>205</v>
      </c>
      <c r="L11" s="8" t="s">
        <v>205</v>
      </c>
      <c r="M11" s="8" t="s">
        <v>205</v>
      </c>
    </row>
    <row r="13" customFormat="false" ht="15" hidden="false" customHeight="false" outlineLevel="0" collapsed="false">
      <c r="A13" s="1" t="s">
        <v>389</v>
      </c>
    </row>
    <row r="14" customFormat="false" ht="17.15" hidden="false" customHeight="false" outlineLevel="0" collapsed="false">
      <c r="A14" s="5" t="s">
        <v>390</v>
      </c>
      <c r="B14" s="9" t="s">
        <v>357</v>
      </c>
      <c r="C14" s="5" t="s">
        <v>391</v>
      </c>
      <c r="D14" s="5"/>
      <c r="E14" s="5"/>
      <c r="F14" s="5"/>
      <c r="G14" s="9" t="s">
        <v>362</v>
      </c>
      <c r="H14" s="5"/>
      <c r="I14" s="5"/>
      <c r="J14" s="5"/>
      <c r="K14" s="5" t="s">
        <v>19</v>
      </c>
      <c r="L14" s="5" t="s">
        <v>20</v>
      </c>
      <c r="M14" s="5" t="s">
        <v>21</v>
      </c>
    </row>
    <row r="15" customFormat="false" ht="17.15" hidden="false" customHeight="false" outlineLevel="0" collapsed="false">
      <c r="A15" s="0" t="s">
        <v>392</v>
      </c>
      <c r="B15" s="10" t="n">
        <v>2996</v>
      </c>
      <c r="C15" s="14" t="n">
        <f aca="false">B15/B4</f>
        <v>0.536052961173734</v>
      </c>
      <c r="G15" s="8" t="s">
        <v>393</v>
      </c>
      <c r="K15" s="8" t="s">
        <v>303</v>
      </c>
      <c r="L15" s="4" t="s">
        <v>394</v>
      </c>
    </row>
    <row r="16" customFormat="false" ht="17.15" hidden="false" customHeight="false" outlineLevel="0" collapsed="false">
      <c r="A16" s="4" t="s">
        <v>395</v>
      </c>
      <c r="B16" s="10" t="n">
        <v>1111</v>
      </c>
      <c r="C16" s="14" t="n">
        <f aca="false">B16/B4</f>
        <v>0.198783324387189</v>
      </c>
      <c r="G16" s="4" t="s">
        <v>396</v>
      </c>
      <c r="K16" s="8" t="s">
        <v>303</v>
      </c>
      <c r="L16" s="4" t="s">
        <v>394</v>
      </c>
    </row>
    <row r="17" customFormat="false" ht="17.15" hidden="false" customHeight="false" outlineLevel="0" collapsed="false">
      <c r="A17" s="4" t="s">
        <v>397</v>
      </c>
      <c r="B17" s="11" t="n">
        <f aca="false">B4-B15-B16</f>
        <v>1482</v>
      </c>
      <c r="C17" s="14" t="n">
        <f aca="false">B17/B4</f>
        <v>0.265163714439077</v>
      </c>
      <c r="G17" s="8" t="s">
        <v>398</v>
      </c>
      <c r="K17" s="8" t="s">
        <v>26</v>
      </c>
      <c r="L17" s="4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400</v>
      </c>
    </row>
    <row r="3" customFormat="false" ht="15" hidden="false" customHeight="false" outlineLevel="0" collapsed="false">
      <c r="A3" s="5" t="s">
        <v>14</v>
      </c>
      <c r="B3" s="5" t="s">
        <v>15</v>
      </c>
      <c r="C3" s="9" t="s">
        <v>401</v>
      </c>
      <c r="D3" s="9" t="s">
        <v>402</v>
      </c>
      <c r="E3" s="9" t="s">
        <v>403</v>
      </c>
      <c r="F3" s="9" t="s">
        <v>404</v>
      </c>
      <c r="G3" s="9" t="s">
        <v>405</v>
      </c>
      <c r="H3" s="9" t="s">
        <v>406</v>
      </c>
      <c r="I3" s="5" t="s">
        <v>407</v>
      </c>
    </row>
    <row r="4" customFormat="false" ht="17.15" hidden="false" customHeight="false" outlineLevel="0" collapsed="false">
      <c r="A4" s="1" t="s">
        <v>408</v>
      </c>
    </row>
    <row r="5" customFormat="false" ht="17.15" hidden="false" customHeight="false" outlineLevel="0" collapsed="false">
      <c r="A5" s="0" t="s">
        <v>409</v>
      </c>
      <c r="B5" s="0" t="s">
        <v>25</v>
      </c>
      <c r="C5" s="16" t="n">
        <f aca="false">PL!C43</f>
        <v>2.22511470588235</v>
      </c>
      <c r="D5" s="16" t="n">
        <f aca="false">PL!D43</f>
        <v>3.782695</v>
      </c>
      <c r="E5" s="16" t="n">
        <f aca="false">PL!E43</f>
        <v>5.86317725</v>
      </c>
      <c r="F5" s="16" t="n">
        <f aca="false">PL!F43</f>
        <v>8.5016070125</v>
      </c>
      <c r="G5" s="16" t="n">
        <f aca="false">PL!G43</f>
        <v>11.477169466875</v>
      </c>
      <c r="H5" s="16" t="n">
        <f aca="false">PL!H43</f>
        <v>12.6248864135625</v>
      </c>
    </row>
    <row r="6" customFormat="false" ht="15" hidden="false" customHeight="false" outlineLevel="0" collapsed="false">
      <c r="A6" s="4" t="s">
        <v>410</v>
      </c>
      <c r="B6" s="4" t="s">
        <v>411</v>
      </c>
      <c r="C6" s="11" t="n">
        <f aca="false">PL!C45</f>
        <v>741.704901960783</v>
      </c>
      <c r="D6" s="11" t="n">
        <f aca="false">PL!D45</f>
        <v>1260.89833333333</v>
      </c>
      <c r="E6" s="11" t="n">
        <f aca="false">PL!E45</f>
        <v>1804.05453846154</v>
      </c>
      <c r="F6" s="11" t="n">
        <f aca="false">PL!F45</f>
        <v>2429.030575</v>
      </c>
      <c r="G6" s="11" t="n">
        <f aca="false">PL!G45</f>
        <v>3060.5785245</v>
      </c>
      <c r="H6" s="11" t="n">
        <f aca="false">PL!H45</f>
        <v>3156.22160339063</v>
      </c>
    </row>
    <row r="7" customFormat="false" ht="17.15" hidden="false" customHeight="false" outlineLevel="0" collapsed="false">
      <c r="A7" s="0" t="s">
        <v>412</v>
      </c>
      <c r="B7" s="4" t="s">
        <v>413</v>
      </c>
      <c r="C7" s="11" t="n">
        <f aca="false">PL!C49</f>
        <v>741.704901960783</v>
      </c>
      <c r="D7" s="11" t="n">
        <f aca="false">PL!D49</f>
        <v>1323.94325</v>
      </c>
      <c r="E7" s="11" t="n">
        <f aca="false">PL!E49</f>
        <v>1916.80794711538</v>
      </c>
      <c r="F7" s="11" t="n">
        <f aca="false">PL!F49</f>
        <v>2671.9336325</v>
      </c>
      <c r="G7" s="11" t="n">
        <f aca="false">PL!G49</f>
        <v>3443.1508400625</v>
      </c>
      <c r="H7" s="11" t="n">
        <f aca="false">PL!H49</f>
        <v>3629.65484389922</v>
      </c>
    </row>
    <row r="8" customFormat="false" ht="15" hidden="false" customHeight="false" outlineLevel="0" collapsed="false">
      <c r="A8" s="4" t="s">
        <v>414</v>
      </c>
      <c r="B8" s="4" t="s">
        <v>413</v>
      </c>
      <c r="C8" s="11" t="n">
        <f aca="false">PL!C50</f>
        <v>656.408838235295</v>
      </c>
      <c r="D8" s="11" t="n">
        <f aca="false">PL!D50</f>
        <v>725.259022115385</v>
      </c>
      <c r="E8" s="11" t="n">
        <f aca="false">PL!E50</f>
        <v>946.806480096154</v>
      </c>
      <c r="F8" s="11" t="n">
        <f aca="false">PL!F50</f>
        <v>1038.4105708125</v>
      </c>
      <c r="G8" s="11" t="n">
        <f aca="false">PL!G50</f>
        <v>530.819087842968</v>
      </c>
    </row>
    <row r="9" customFormat="false" ht="15" hidden="false" customHeight="false" outlineLevel="0" collapsed="false">
      <c r="A9" s="4" t="s">
        <v>415</v>
      </c>
      <c r="B9" s="0" t="s">
        <v>62</v>
      </c>
      <c r="C9" s="14" t="n">
        <f aca="false">PL!C54</f>
        <v>0.412</v>
      </c>
      <c r="D9" s="14" t="n">
        <f aca="false">PL!D54</f>
        <v>0.339</v>
      </c>
      <c r="E9" s="14" t="n">
        <f aca="false">PL!E54</f>
        <v>0.33</v>
      </c>
      <c r="F9" s="14" t="n">
        <f aca="false">PL!F54</f>
        <v>0.33</v>
      </c>
      <c r="G9" s="14" t="n">
        <f aca="false">PL!G54</f>
        <v>0.33</v>
      </c>
    </row>
    <row r="10" customFormat="false" ht="15" hidden="false" customHeight="false" outlineLevel="0" collapsed="false">
      <c r="A10" s="4" t="s">
        <v>416</v>
      </c>
      <c r="B10" s="4" t="s">
        <v>413</v>
      </c>
      <c r="C10" s="11" t="n">
        <f aca="false">PL!C55</f>
        <v>270.440441352942</v>
      </c>
      <c r="D10" s="11" t="n">
        <f aca="false">PL!D55</f>
        <v>245.862808497115</v>
      </c>
      <c r="E10" s="11" t="n">
        <f aca="false">PL!E55</f>
        <v>312.446138431731</v>
      </c>
      <c r="F10" s="11" t="n">
        <f aca="false">PL!F55</f>
        <v>342.675488368125</v>
      </c>
      <c r="G10" s="11" t="n">
        <f aca="false">PL!G55</f>
        <v>175.17029898818</v>
      </c>
    </row>
    <row r="11" customFormat="false" ht="17.15" hidden="false" customHeight="false" outlineLevel="0" collapsed="false">
      <c r="A11" s="4" t="s">
        <v>417</v>
      </c>
      <c r="B11" s="4" t="s">
        <v>226</v>
      </c>
      <c r="C11" s="11" t="n">
        <f aca="false">PL!C69</f>
        <v>9004.3989362985</v>
      </c>
      <c r="D11" s="11" t="n">
        <f aca="false">PL!D69</f>
        <v>9948.86294467556</v>
      </c>
      <c r="E11" s="11" t="n">
        <f aca="false">PL!E69</f>
        <v>12987.9775616341</v>
      </c>
      <c r="F11" s="11" t="n">
        <f aca="false">PL!F69</f>
        <v>14244.5721242917</v>
      </c>
      <c r="G11" s="11" t="n">
        <f aca="false">PL!G69</f>
        <v>7281.60035564122</v>
      </c>
    </row>
    <row r="13" customFormat="false" ht="17.15" hidden="false" customHeight="false" outlineLevel="0" collapsed="false">
      <c r="A13" s="1" t="s">
        <v>418</v>
      </c>
    </row>
    <row r="14" customFormat="false" ht="17.15" hidden="false" customHeight="false" outlineLevel="0" collapsed="false">
      <c r="A14" s="0" t="s">
        <v>409</v>
      </c>
      <c r="B14" s="0" t="s">
        <v>25</v>
      </c>
      <c r="C14" s="16" t="n">
        <f aca="false">PL!C76</f>
        <v>2.22511470588235</v>
      </c>
      <c r="D14" s="16" t="n">
        <f aca="false">PL!D76</f>
        <v>3.782695</v>
      </c>
      <c r="E14" s="16" t="n">
        <f aca="false">PL!E76</f>
        <v>5.86317725</v>
      </c>
      <c r="F14" s="16" t="n">
        <f aca="false">PL!F76</f>
        <v>8.22296</v>
      </c>
      <c r="G14" s="16" t="n">
        <f aca="false">PL!G76</f>
        <v>11.3579635</v>
      </c>
      <c r="H14" s="16" t="n">
        <f aca="false">PL!H76</f>
        <v>12.49375985</v>
      </c>
    </row>
    <row r="15" customFormat="false" ht="15" hidden="false" customHeight="false" outlineLevel="0" collapsed="false">
      <c r="A15" s="4" t="s">
        <v>410</v>
      </c>
      <c r="B15" s="4" t="s">
        <v>411</v>
      </c>
      <c r="C15" s="11" t="n">
        <f aca="false">PL!C78</f>
        <v>741.704901960783</v>
      </c>
      <c r="D15" s="11" t="n">
        <f aca="false">PL!D78</f>
        <v>1260.89833333333</v>
      </c>
      <c r="E15" s="11" t="n">
        <f aca="false">PL!E78</f>
        <v>1804.05453846154</v>
      </c>
      <c r="F15" s="11" t="n">
        <f aca="false">PL!F78</f>
        <v>2349.41714285714</v>
      </c>
      <c r="G15" s="11" t="n">
        <f aca="false">PL!G78</f>
        <v>3028.79026666667</v>
      </c>
      <c r="H15" s="11" t="n">
        <f aca="false">PL!H78</f>
        <v>3123.4399625</v>
      </c>
    </row>
    <row r="16" customFormat="false" ht="17.15" hidden="false" customHeight="false" outlineLevel="0" collapsed="false">
      <c r="A16" s="0" t="s">
        <v>412</v>
      </c>
      <c r="B16" s="4" t="s">
        <v>413</v>
      </c>
      <c r="C16" s="11" t="n">
        <f aca="false">PL!C82</f>
        <v>741.704901960783</v>
      </c>
      <c r="D16" s="11" t="n">
        <f aca="false">PL!D82</f>
        <v>1323.94325</v>
      </c>
      <c r="E16" s="11" t="n">
        <f aca="false">PL!E82</f>
        <v>1916.80794711538</v>
      </c>
      <c r="F16" s="11" t="n">
        <f aca="false">PL!F82</f>
        <v>2455.14091428571</v>
      </c>
      <c r="G16" s="11" t="n">
        <f aca="false">PL!G82</f>
        <v>2896.2806925</v>
      </c>
      <c r="H16" s="11" t="n">
        <f aca="false">PL!H82</f>
        <v>2693.96696765625</v>
      </c>
    </row>
    <row r="17" customFormat="false" ht="15" hidden="false" customHeight="false" outlineLevel="0" collapsed="false">
      <c r="A17" s="4" t="s">
        <v>414</v>
      </c>
      <c r="B17" s="4" t="s">
        <v>413</v>
      </c>
      <c r="C17" s="11" t="n">
        <f aca="false">PL!C83</f>
        <v>656.408838235295</v>
      </c>
      <c r="D17" s="11" t="n">
        <f aca="false">PL!D83</f>
        <v>725.259022115385</v>
      </c>
      <c r="E17" s="11" t="n">
        <f aca="false">PL!E83</f>
        <v>730.013761881869</v>
      </c>
      <c r="F17" s="11" t="n">
        <f aca="false">PL!F83</f>
        <v>686.653869642856</v>
      </c>
      <c r="G17" s="11" t="n">
        <f aca="false">PL!G83</f>
        <v>289.62806925</v>
      </c>
    </row>
    <row r="18" customFormat="false" ht="15" hidden="false" customHeight="false" outlineLevel="0" collapsed="false">
      <c r="A18" s="4" t="s">
        <v>415</v>
      </c>
      <c r="B18" s="0" t="s">
        <v>62</v>
      </c>
      <c r="C18" s="14" t="n">
        <f aca="false">PL!C87</f>
        <v>0.412</v>
      </c>
      <c r="D18" s="14" t="n">
        <f aca="false">PL!D87</f>
        <v>0.329</v>
      </c>
      <c r="E18" s="14" t="n">
        <f aca="false">PL!E87</f>
        <v>0.32</v>
      </c>
      <c r="F18" s="14" t="n">
        <f aca="false">PL!F87</f>
        <v>0.32</v>
      </c>
      <c r="G18" s="14" t="n">
        <f aca="false">PL!G87</f>
        <v>0.32</v>
      </c>
    </row>
    <row r="19" customFormat="false" ht="15" hidden="false" customHeight="false" outlineLevel="0" collapsed="false">
      <c r="A19" s="4" t="s">
        <v>416</v>
      </c>
      <c r="B19" s="4" t="s">
        <v>413</v>
      </c>
      <c r="C19" s="11" t="n">
        <f aca="false">PL!C88</f>
        <v>270.440441352942</v>
      </c>
      <c r="D19" s="11" t="n">
        <f aca="false">PL!D88</f>
        <v>238.610218275962</v>
      </c>
      <c r="E19" s="11" t="n">
        <f aca="false">PL!E88</f>
        <v>233.604403802198</v>
      </c>
      <c r="F19" s="11" t="n">
        <f aca="false">PL!F88</f>
        <v>219.729238285714</v>
      </c>
      <c r="G19" s="11" t="n">
        <f aca="false">PL!G88</f>
        <v>92.68098216</v>
      </c>
    </row>
    <row r="20" customFormat="false" ht="17.15" hidden="false" customHeight="false" outlineLevel="0" collapsed="false">
      <c r="A20" s="4" t="s">
        <v>417</v>
      </c>
      <c r="B20" s="4" t="s">
        <v>226</v>
      </c>
      <c r="C20" s="11" t="n">
        <f aca="false">PL!C102</f>
        <v>9132.68718116666</v>
      </c>
      <c r="D20" s="11" t="n">
        <f aca="false">PL!D102</f>
        <v>10090.6072381743</v>
      </c>
      <c r="E20" s="11" t="n">
        <f aca="false">PL!E102</f>
        <v>10156.7604469456</v>
      </c>
      <c r="F20" s="11" t="n">
        <f aca="false">PL!F102</f>
        <v>9553.48957525448</v>
      </c>
      <c r="G20" s="11" t="n">
        <f aca="false">PL!G102</f>
        <v>4029.6266614213</v>
      </c>
    </row>
    <row r="22" customFormat="false" ht="17.15" hidden="false" customHeight="false" outlineLevel="0" collapsed="false">
      <c r="A22" s="1" t="s">
        <v>419</v>
      </c>
    </row>
    <row r="23" customFormat="false" ht="17.15" hidden="false" customHeight="false" outlineLevel="0" collapsed="false">
      <c r="A23" s="0" t="s">
        <v>409</v>
      </c>
      <c r="B23" s="0" t="s">
        <v>25</v>
      </c>
      <c r="C23" s="16" t="n">
        <f aca="false">PL!C109</f>
        <v>2.22511470588235</v>
      </c>
      <c r="D23" s="16" t="n">
        <f aca="false">PL!D109</f>
        <v>3.782695</v>
      </c>
      <c r="E23" s="16" t="n">
        <f aca="false">PL!E109</f>
        <v>5.86317725</v>
      </c>
      <c r="F23" s="16" t="n">
        <f aca="false">PL!F109</f>
        <v>6.16722</v>
      </c>
      <c r="G23" s="16" t="n">
        <f aca="false">PL!G109</f>
        <v>8.017386</v>
      </c>
      <c r="H23" s="16" t="n">
        <f aca="false">PL!H109</f>
        <v>8.8191246</v>
      </c>
    </row>
    <row r="24" customFormat="false" ht="15" hidden="false" customHeight="false" outlineLevel="0" collapsed="false">
      <c r="A24" s="4" t="s">
        <v>410</v>
      </c>
      <c r="B24" s="4" t="s">
        <v>411</v>
      </c>
      <c r="C24" s="11" t="n">
        <f aca="false">PL!C111</f>
        <v>741.704901960783</v>
      </c>
      <c r="D24" s="11" t="n">
        <f aca="false">PL!D111</f>
        <v>1260.89833333333</v>
      </c>
      <c r="E24" s="11" t="n">
        <f aca="false">PL!E111</f>
        <v>1804.05453846154</v>
      </c>
      <c r="F24" s="11" t="n">
        <f aca="false">PL!F111</f>
        <v>1762.06285714286</v>
      </c>
      <c r="G24" s="11" t="n">
        <f aca="false">PL!G111</f>
        <v>2137.9696</v>
      </c>
      <c r="H24" s="11" t="n">
        <f aca="false">PL!H111</f>
        <v>2204.78115</v>
      </c>
    </row>
    <row r="25" customFormat="false" ht="17.15" hidden="false" customHeight="false" outlineLevel="0" collapsed="false">
      <c r="A25" s="0" t="s">
        <v>412</v>
      </c>
      <c r="B25" s="4" t="s">
        <v>413</v>
      </c>
      <c r="C25" s="11" t="n">
        <f aca="false">PL!C115</f>
        <v>741.704901960783</v>
      </c>
      <c r="D25" s="11" t="n">
        <f aca="false">PL!D115</f>
        <v>1323.94325</v>
      </c>
      <c r="E25" s="11" t="n">
        <f aca="false">PL!E115</f>
        <v>1820.96754975962</v>
      </c>
      <c r="F25" s="11" t="n">
        <f aca="false">PL!F115</f>
        <v>1647.52877142857</v>
      </c>
      <c r="G25" s="11" t="n">
        <f aca="false">PL!G115</f>
        <v>1683.65106</v>
      </c>
      <c r="H25" s="11" t="n">
        <f aca="false">PL!H115</f>
        <v>1521.2989935</v>
      </c>
    </row>
    <row r="26" customFormat="false" ht="15" hidden="false" customHeight="false" outlineLevel="0" collapsed="false">
      <c r="A26" s="4" t="s">
        <v>414</v>
      </c>
      <c r="B26" s="4" t="s">
        <v>413</v>
      </c>
      <c r="C26" s="11" t="n">
        <f aca="false">PL!C116</f>
        <v>656.408838235295</v>
      </c>
      <c r="D26" s="11" t="n">
        <f aca="false">PL!D116</f>
        <v>629.418624759615</v>
      </c>
      <c r="E26" s="11" t="n">
        <f aca="false">PL!E116</f>
        <v>182.096754975962</v>
      </c>
      <c r="F26" s="11" t="n">
        <f aca="false">PL!F116</f>
        <v>200.875165714285</v>
      </c>
      <c r="G26" s="11" t="n">
        <f aca="false">PL!G116</f>
        <v>168.365106</v>
      </c>
    </row>
    <row r="27" customFormat="false" ht="15" hidden="false" customHeight="false" outlineLevel="0" collapsed="false">
      <c r="A27" s="4" t="s">
        <v>415</v>
      </c>
      <c r="B27" s="0" t="s">
        <v>62</v>
      </c>
      <c r="C27" s="14" t="n">
        <f aca="false">PL!C120</f>
        <v>0.412</v>
      </c>
      <c r="D27" s="14" t="n">
        <f aca="false">PL!D120</f>
        <v>0.257</v>
      </c>
      <c r="E27" s="14" t="n">
        <f aca="false">PL!E120</f>
        <v>0.25</v>
      </c>
      <c r="F27" s="14" t="n">
        <f aca="false">PL!F120</f>
        <v>0.25</v>
      </c>
      <c r="G27" s="14" t="n">
        <f aca="false">PL!G120</f>
        <v>0.25</v>
      </c>
    </row>
    <row r="28" customFormat="false" ht="15" hidden="false" customHeight="false" outlineLevel="0" collapsed="false">
      <c r="A28" s="4" t="s">
        <v>416</v>
      </c>
      <c r="B28" s="4" t="s">
        <v>413</v>
      </c>
      <c r="C28" s="11" t="n">
        <f aca="false">PL!C121</f>
        <v>270.440441352942</v>
      </c>
      <c r="D28" s="11" t="n">
        <f aca="false">PL!D121</f>
        <v>161.760586563221</v>
      </c>
      <c r="E28" s="11" t="n">
        <f aca="false">PL!E121</f>
        <v>45.5241887439904</v>
      </c>
      <c r="F28" s="11" t="n">
        <f aca="false">PL!F121</f>
        <v>50.2187914285714</v>
      </c>
      <c r="G28" s="11" t="n">
        <f aca="false">PL!G121</f>
        <v>42.0912765</v>
      </c>
    </row>
    <row r="29" customFormat="false" ht="17.15" hidden="false" customHeight="false" outlineLevel="0" collapsed="false">
      <c r="A29" s="4" t="s">
        <v>417</v>
      </c>
      <c r="B29" s="4" t="s">
        <v>226</v>
      </c>
      <c r="C29" s="11" t="n">
        <f aca="false">PL!C135</f>
        <v>10756.5695902489</v>
      </c>
      <c r="D29" s="11" t="n">
        <f aca="false">PL!D135</f>
        <v>10314.2810459823</v>
      </c>
      <c r="E29" s="11" t="n">
        <f aca="false">PL!E135</f>
        <v>2984.01895733663</v>
      </c>
      <c r="F29" s="11" t="n">
        <f aca="false">PL!F135</f>
        <v>3291.74071569092</v>
      </c>
      <c r="G29" s="11" t="n">
        <f aca="false">PL!G135</f>
        <v>2758.99846828305</v>
      </c>
    </row>
    <row r="31" customFormat="false" ht="17.15" hidden="false" customHeight="false" outlineLevel="0" collapsed="false">
      <c r="A31" s="1" t="s">
        <v>420</v>
      </c>
    </row>
    <row r="32" customFormat="false" ht="17.15" hidden="false" customHeight="false" outlineLevel="0" collapsed="false">
      <c r="A32" s="4" t="s">
        <v>421</v>
      </c>
      <c r="B32" s="4" t="s">
        <v>422</v>
      </c>
      <c r="C32" s="11" t="n">
        <f aca="false">C11/asp</f>
        <v>300.14663120995</v>
      </c>
      <c r="D32" s="11" t="n">
        <f aca="false">D11/asp</f>
        <v>331.628764822519</v>
      </c>
      <c r="E32" s="11" t="n">
        <f aca="false">E11/asp</f>
        <v>432.932585387804</v>
      </c>
      <c r="F32" s="11" t="n">
        <f aca="false">F11/asp</f>
        <v>474.819070809724</v>
      </c>
      <c r="G32" s="11" t="n">
        <f aca="false">G11/asp</f>
        <v>242.720011854707</v>
      </c>
    </row>
    <row r="33" customFormat="false" ht="17.15" hidden="false" customHeight="false" outlineLevel="0" collapsed="false">
      <c r="A33" s="4" t="s">
        <v>423</v>
      </c>
      <c r="B33" s="4" t="s">
        <v>422</v>
      </c>
      <c r="C33" s="11" t="n">
        <f aca="false">C20/asp</f>
        <v>304.422906038889</v>
      </c>
      <c r="D33" s="11" t="n">
        <f aca="false">D20/asp</f>
        <v>336.353574605809</v>
      </c>
      <c r="E33" s="11" t="n">
        <f aca="false">E20/asp</f>
        <v>338.558681564855</v>
      </c>
      <c r="F33" s="11" t="n">
        <f aca="false">F20/asp</f>
        <v>318.449652508483</v>
      </c>
      <c r="G33" s="11" t="n">
        <f aca="false">G20/asp</f>
        <v>134.320888714043</v>
      </c>
    </row>
    <row r="34" customFormat="false" ht="17.15" hidden="false" customHeight="false" outlineLevel="0" collapsed="false">
      <c r="A34" s="4" t="s">
        <v>424</v>
      </c>
      <c r="B34" s="4" t="s">
        <v>422</v>
      </c>
      <c r="C34" s="11" t="n">
        <f aca="false">C29/asp</f>
        <v>358.552319674964</v>
      </c>
      <c r="D34" s="11" t="n">
        <f aca="false">D29/asp</f>
        <v>343.80936819941</v>
      </c>
      <c r="E34" s="11" t="n">
        <f aca="false">E29/asp</f>
        <v>99.4672985778877</v>
      </c>
      <c r="F34" s="11" t="n">
        <f aca="false">F29/asp</f>
        <v>109.724690523031</v>
      </c>
      <c r="G34" s="11" t="n">
        <f aca="false">G29/asp</f>
        <v>91.9666156094349</v>
      </c>
    </row>
    <row r="35" customFormat="false" ht="17.15" hidden="false" customHeight="false" outlineLevel="0" collapsed="false">
      <c r="I35" s="4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426</v>
      </c>
    </row>
    <row r="3" customFormat="false" ht="17.15" hidden="false" customHeight="false" outlineLevel="0" collapsed="false">
      <c r="A3" s="5" t="s">
        <v>427</v>
      </c>
      <c r="B3" s="5" t="s">
        <v>15</v>
      </c>
      <c r="C3" s="9" t="s">
        <v>428</v>
      </c>
      <c r="D3" s="9" t="s">
        <v>429</v>
      </c>
      <c r="E3" s="9" t="s">
        <v>430</v>
      </c>
      <c r="F3" s="9" t="s">
        <v>431</v>
      </c>
      <c r="G3" s="9" t="s">
        <v>432</v>
      </c>
      <c r="H3" s="5" t="s">
        <v>407</v>
      </c>
    </row>
    <row r="4" customFormat="false" ht="17.15" hidden="false" customHeight="false" outlineLevel="0" collapsed="false">
      <c r="A4" s="1" t="s">
        <v>408</v>
      </c>
    </row>
    <row r="5" customFormat="false" ht="17.15" hidden="false" customHeight="false" outlineLevel="0" collapsed="false">
      <c r="A5" s="4" t="s">
        <v>366</v>
      </c>
      <c r="B5" s="4" t="s">
        <v>226</v>
      </c>
      <c r="C5" s="11" t="n">
        <f aca="false">C60</f>
        <v>5767</v>
      </c>
      <c r="D5" s="11" t="n">
        <f aca="false">D60</f>
        <v>7539.8</v>
      </c>
      <c r="E5" s="11" t="n">
        <f aca="false">E60</f>
        <v>8014.83638733926</v>
      </c>
      <c r="F5" s="11" t="n">
        <f aca="false">F60</f>
        <v>8876.96904805627</v>
      </c>
      <c r="G5" s="11" t="n">
        <f aca="false">G60</f>
        <v>7080.33959404641</v>
      </c>
      <c r="H5" s="8" t="s">
        <v>433</v>
      </c>
    </row>
    <row r="6" customFormat="false" ht="17.15" hidden="false" customHeight="false" outlineLevel="0" collapsed="false">
      <c r="A6" s="0" t="s">
        <v>434</v>
      </c>
      <c r="B6" s="4" t="s">
        <v>226</v>
      </c>
      <c r="C6" s="11" t="n">
        <f aca="false">C58</f>
        <v>2871.966</v>
      </c>
      <c r="D6" s="11" t="n">
        <f aca="false">D58</f>
        <v>4210.5109</v>
      </c>
      <c r="E6" s="11" t="n">
        <f aca="false">E58</f>
        <v>4286.03259533926</v>
      </c>
      <c r="F6" s="11" t="n">
        <f aca="false">F58</f>
        <v>4700.70880101627</v>
      </c>
      <c r="G6" s="11" t="n">
        <f aca="false">G58</f>
        <v>2402.9281173616</v>
      </c>
    </row>
    <row r="7" customFormat="false" ht="15" hidden="false" customHeight="false" outlineLevel="0" collapsed="false">
      <c r="A7" s="4" t="s">
        <v>435</v>
      </c>
      <c r="B7" s="4" t="s">
        <v>226</v>
      </c>
      <c r="C7" s="11" t="n">
        <f aca="false">C57</f>
        <v>2895.034</v>
      </c>
      <c r="D7" s="11" t="n">
        <f aca="false">D57</f>
        <v>3329.2891</v>
      </c>
      <c r="E7" s="11" t="n">
        <f aca="false">E57</f>
        <v>3728.803792</v>
      </c>
      <c r="F7" s="11" t="n">
        <f aca="false">F57</f>
        <v>4176.26024704</v>
      </c>
      <c r="G7" s="11" t="n">
        <f aca="false">G57</f>
        <v>4677.4114766848</v>
      </c>
    </row>
    <row r="8" customFormat="false" ht="15" hidden="false" customHeight="false" outlineLevel="0" collapsed="false">
      <c r="A8" s="4" t="s">
        <v>436</v>
      </c>
      <c r="B8" s="0" t="s">
        <v>62</v>
      </c>
      <c r="C8" s="14" t="n">
        <f aca="false">C63</f>
        <v>0.575793306745275</v>
      </c>
      <c r="D8" s="14" t="n">
        <f aca="false">D63</f>
        <v>0.595267179842073</v>
      </c>
      <c r="E8" s="14" t="n">
        <f aca="false">E63</f>
        <v>0.595267179842073</v>
      </c>
      <c r="F8" s="14" t="n">
        <f aca="false">F63</f>
        <v>0.595267179842073</v>
      </c>
      <c r="G8" s="14" t="n">
        <f aca="false">G63</f>
        <v>0.595267179842073</v>
      </c>
    </row>
    <row r="9" customFormat="false" ht="15" hidden="false" customHeight="false" outlineLevel="0" collapsed="false">
      <c r="A9" s="4" t="s">
        <v>374</v>
      </c>
      <c r="B9" s="4" t="s">
        <v>226</v>
      </c>
      <c r="C9" s="11" t="n">
        <f aca="false">C65</f>
        <v>2513.9</v>
      </c>
      <c r="D9" s="11" t="n">
        <f aca="false">D65</f>
        <v>3557.504</v>
      </c>
      <c r="E9" s="11" t="n">
        <f aca="false">E65</f>
        <v>3807.05302980693</v>
      </c>
      <c r="F9" s="11" t="n">
        <f aca="false">F65</f>
        <v>4259.95384915646</v>
      </c>
      <c r="G9" s="11" t="n">
        <f aca="false">G65</f>
        <v>3316.13744030837</v>
      </c>
    </row>
    <row r="10" customFormat="false" ht="15" hidden="false" customHeight="false" outlineLevel="0" collapsed="false">
      <c r="A10" s="4" t="s">
        <v>377</v>
      </c>
      <c r="B10" s="0" t="s">
        <v>62</v>
      </c>
      <c r="C10" s="14" t="n">
        <f aca="false">C66</f>
        <v>0.435911219004682</v>
      </c>
      <c r="D10" s="14" t="n">
        <f aca="false">D66</f>
        <v>0.471830022016499</v>
      </c>
      <c r="E10" s="14" t="n">
        <f aca="false">E66</f>
        <v>0.475000716898075</v>
      </c>
      <c r="F10" s="14" t="n">
        <f aca="false">F66</f>
        <v>0.479888329687173</v>
      </c>
      <c r="G10" s="14" t="n">
        <f aca="false">G66</f>
        <v>0.468358529454829</v>
      </c>
    </row>
    <row r="11" customFormat="false" ht="15" hidden="false" customHeight="false" outlineLevel="0" collapsed="false">
      <c r="A11" s="4" t="s">
        <v>437</v>
      </c>
      <c r="B11" s="4" t="s">
        <v>226</v>
      </c>
      <c r="C11" s="11" t="n">
        <f aca="false">C67</f>
        <v>2140</v>
      </c>
      <c r="D11" s="11" t="n">
        <f aca="false">D67</f>
        <v>3028.38560006365</v>
      </c>
      <c r="E11" s="11" t="n">
        <f aca="false">E67</f>
        <v>3240.81844297181</v>
      </c>
      <c r="F11" s="11" t="n">
        <f aca="false">F67</f>
        <v>3626.35794470537</v>
      </c>
      <c r="G11" s="11" t="n">
        <f aca="false">G67</f>
        <v>2822.91822358086</v>
      </c>
    </row>
    <row r="12" customFormat="false" ht="15" hidden="false" customHeight="false" outlineLevel="0" collapsed="false">
      <c r="A12" s="0" t="s">
        <v>438</v>
      </c>
      <c r="B12" s="0" t="s">
        <v>302</v>
      </c>
      <c r="C12" s="11" t="n">
        <f aca="false">C68</f>
        <v>2231.7</v>
      </c>
      <c r="D12" s="11" t="n">
        <f aca="false">D68</f>
        <v>3158.15333815983</v>
      </c>
      <c r="E12" s="11" t="n">
        <f aca="false">E68</f>
        <v>3379.68902765429</v>
      </c>
      <c r="F12" s="11" t="n">
        <f aca="false">F68</f>
        <v>3781.74907719578</v>
      </c>
      <c r="G12" s="11" t="n">
        <f aca="false">G68</f>
        <v>2943.88158858196</v>
      </c>
    </row>
    <row r="14" customFormat="false" ht="17.15" hidden="false" customHeight="false" outlineLevel="0" collapsed="false">
      <c r="A14" s="1" t="s">
        <v>418</v>
      </c>
    </row>
    <row r="15" customFormat="false" ht="15" hidden="false" customHeight="false" outlineLevel="0" collapsed="false">
      <c r="A15" s="4" t="s">
        <v>366</v>
      </c>
      <c r="B15" s="4" t="s">
        <v>226</v>
      </c>
      <c r="C15" s="11" t="n">
        <f aca="false">C93</f>
        <v>5767</v>
      </c>
      <c r="D15" s="11" t="n">
        <f aca="false">D93</f>
        <v>7539.8</v>
      </c>
      <c r="E15" s="11" t="n">
        <f aca="false">E93</f>
        <v>6845.79557102261</v>
      </c>
      <c r="F15" s="11" t="n">
        <f aca="false">F93</f>
        <v>6940.39947032143</v>
      </c>
      <c r="G15" s="11" t="n">
        <f aca="false">G93</f>
        <v>5483.42596239402</v>
      </c>
    </row>
    <row r="16" customFormat="false" ht="17.15" hidden="false" customHeight="false" outlineLevel="0" collapsed="false">
      <c r="A16" s="0" t="s">
        <v>434</v>
      </c>
      <c r="B16" s="4" t="s">
        <v>226</v>
      </c>
      <c r="C16" s="11" t="n">
        <f aca="false">C91</f>
        <v>2871.966</v>
      </c>
      <c r="D16" s="11" t="n">
        <f aca="false">D91</f>
        <v>4210.5109</v>
      </c>
      <c r="E16" s="11" t="n">
        <f aca="false">E91</f>
        <v>3250.16334302261</v>
      </c>
      <c r="F16" s="11" t="n">
        <f aca="false">F91</f>
        <v>3057.11666408143</v>
      </c>
      <c r="G16" s="11" t="n">
        <f aca="false">G91</f>
        <v>1289.48053165481</v>
      </c>
    </row>
    <row r="17" customFormat="false" ht="15" hidden="false" customHeight="false" outlineLevel="0" collapsed="false">
      <c r="A17" s="4" t="s">
        <v>435</v>
      </c>
      <c r="B17" s="4" t="s">
        <v>226</v>
      </c>
      <c r="C17" s="11" t="n">
        <f aca="false">C90</f>
        <v>2895.034</v>
      </c>
      <c r="D17" s="11" t="n">
        <f aca="false">D90</f>
        <v>3329.2891</v>
      </c>
      <c r="E17" s="11" t="n">
        <f aca="false">E90</f>
        <v>3595.632228</v>
      </c>
      <c r="F17" s="11" t="n">
        <f aca="false">F90</f>
        <v>3883.28280624</v>
      </c>
      <c r="G17" s="11" t="n">
        <f aca="false">G90</f>
        <v>4193.9454307392</v>
      </c>
    </row>
    <row r="18" customFormat="false" ht="15" hidden="false" customHeight="false" outlineLevel="0" collapsed="false">
      <c r="A18" s="4" t="s">
        <v>436</v>
      </c>
      <c r="B18" s="0" t="s">
        <v>62</v>
      </c>
      <c r="C18" s="14" t="n">
        <f aca="false">C96</f>
        <v>0.575793306745275</v>
      </c>
      <c r="D18" s="14" t="n">
        <f aca="false">D96</f>
        <v>0.595267179842073</v>
      </c>
      <c r="E18" s="14" t="n">
        <f aca="false">E96</f>
        <v>0.595267179842073</v>
      </c>
      <c r="F18" s="14" t="n">
        <f aca="false">F96</f>
        <v>0.595267179842073</v>
      </c>
      <c r="G18" s="14" t="n">
        <f aca="false">G96</f>
        <v>0.595267179842073</v>
      </c>
    </row>
    <row r="19" customFormat="false" ht="15" hidden="false" customHeight="false" outlineLevel="0" collapsed="false">
      <c r="A19" s="4" t="s">
        <v>374</v>
      </c>
      <c r="B19" s="4" t="s">
        <v>226</v>
      </c>
      <c r="C19" s="11" t="n">
        <f aca="false">C98</f>
        <v>2513.9</v>
      </c>
      <c r="D19" s="11" t="n">
        <f aca="false">D98</f>
        <v>3557.504</v>
      </c>
      <c r="E19" s="11" t="n">
        <f aca="false">E98</f>
        <v>3192.92533497801</v>
      </c>
      <c r="F19" s="11" t="n">
        <f aca="false">F98</f>
        <v>3242.62323584452</v>
      </c>
      <c r="G19" s="11" t="n">
        <f aca="false">G98</f>
        <v>2477.23697271177</v>
      </c>
    </row>
    <row r="20" customFormat="false" ht="15" hidden="false" customHeight="false" outlineLevel="0" collapsed="false">
      <c r="A20" s="4" t="s">
        <v>377</v>
      </c>
      <c r="B20" s="0" t="s">
        <v>62</v>
      </c>
      <c r="C20" s="14" t="n">
        <f aca="false">C99</f>
        <v>0.435911219004682</v>
      </c>
      <c r="D20" s="14" t="n">
        <f aca="false">D99</f>
        <v>0.471830022016499</v>
      </c>
      <c r="E20" s="14" t="n">
        <f aca="false">E99</f>
        <v>0.466406760449181</v>
      </c>
      <c r="F20" s="14" t="n">
        <f aca="false">F99</f>
        <v>0.467209884634255</v>
      </c>
      <c r="G20" s="14" t="n">
        <f aca="false">G99</f>
        <v>0.451768108058895</v>
      </c>
    </row>
    <row r="21" customFormat="false" ht="15" hidden="false" customHeight="false" outlineLevel="0" collapsed="false">
      <c r="A21" s="4" t="s">
        <v>437</v>
      </c>
      <c r="B21" s="4" t="s">
        <v>226</v>
      </c>
      <c r="C21" s="11" t="n">
        <f aca="false">C100</f>
        <v>2140</v>
      </c>
      <c r="D21" s="11" t="n">
        <f aca="false">D100</f>
        <v>3028.38560006365</v>
      </c>
      <c r="E21" s="11" t="n">
        <f aca="false">E100</f>
        <v>2718.03182976767</v>
      </c>
      <c r="F21" s="11" t="n">
        <f aca="false">F100</f>
        <v>2760.33801054428</v>
      </c>
      <c r="G21" s="11" t="n">
        <f aca="false">G100</f>
        <v>2108.78997637264</v>
      </c>
    </row>
    <row r="22" customFormat="false" ht="15" hidden="false" customHeight="false" outlineLevel="0" collapsed="false">
      <c r="A22" s="0" t="s">
        <v>438</v>
      </c>
      <c r="B22" s="0" t="s">
        <v>302</v>
      </c>
      <c r="C22" s="11" t="n">
        <f aca="false">C101</f>
        <v>2231.7</v>
      </c>
      <c r="D22" s="11" t="n">
        <f aca="false">D101</f>
        <v>3158.15333815983</v>
      </c>
      <c r="E22" s="11" t="n">
        <f aca="false">E101</f>
        <v>2834.50076378154</v>
      </c>
      <c r="F22" s="11" t="n">
        <f aca="false">F101</f>
        <v>2878.61978417368</v>
      </c>
      <c r="G22" s="11" t="n">
        <f aca="false">G101</f>
        <v>2199.15261227609</v>
      </c>
    </row>
    <row r="24" customFormat="false" ht="17.15" hidden="false" customHeight="false" outlineLevel="0" collapsed="false">
      <c r="A24" s="1" t="s">
        <v>419</v>
      </c>
    </row>
    <row r="25" customFormat="false" ht="15" hidden="false" customHeight="false" outlineLevel="0" collapsed="false">
      <c r="A25" s="4" t="s">
        <v>366</v>
      </c>
      <c r="B25" s="4" t="s">
        <v>226</v>
      </c>
      <c r="C25" s="11" t="n">
        <f aca="false">C126</f>
        <v>5767</v>
      </c>
      <c r="D25" s="11" t="n">
        <f aca="false">D126</f>
        <v>7539.8</v>
      </c>
      <c r="E25" s="11" t="n">
        <f aca="false">E126</f>
        <v>3908.82938433416</v>
      </c>
      <c r="F25" s="11" t="n">
        <f aca="false">F126</f>
        <v>3827.61859167273</v>
      </c>
      <c r="G25" s="11" t="n">
        <f aca="false">G126</f>
        <v>3544.19885918326</v>
      </c>
    </row>
    <row r="26" customFormat="false" ht="17.15" hidden="false" customHeight="false" outlineLevel="0" collapsed="false">
      <c r="A26" s="0" t="s">
        <v>434</v>
      </c>
      <c r="B26" s="4" t="s">
        <v>226</v>
      </c>
      <c r="C26" s="11" t="n">
        <f aca="false">C124</f>
        <v>2871.966</v>
      </c>
      <c r="D26" s="11" t="n">
        <f aca="false">D124</f>
        <v>4210.5109</v>
      </c>
      <c r="E26" s="11" t="n">
        <f aca="false">E124</f>
        <v>746.004739334158</v>
      </c>
      <c r="F26" s="11" t="n">
        <f aca="false">F124</f>
        <v>822.935178922729</v>
      </c>
      <c r="G26" s="11" t="n">
        <f aca="false">G124</f>
        <v>689.749617070762</v>
      </c>
    </row>
    <row r="27" customFormat="false" ht="15" hidden="false" customHeight="false" outlineLevel="0" collapsed="false">
      <c r="A27" s="4" t="s">
        <v>435</v>
      </c>
      <c r="B27" s="4" t="s">
        <v>226</v>
      </c>
      <c r="C27" s="11" t="n">
        <f aca="false">C123</f>
        <v>2895.034</v>
      </c>
      <c r="D27" s="11" t="n">
        <f aca="false">D123</f>
        <v>3329.2891</v>
      </c>
      <c r="E27" s="11" t="n">
        <f aca="false">E123</f>
        <v>3162.824645</v>
      </c>
      <c r="F27" s="11" t="n">
        <f aca="false">F123</f>
        <v>3004.68341275</v>
      </c>
      <c r="G27" s="11" t="n">
        <f aca="false">G123</f>
        <v>2854.4492421125</v>
      </c>
    </row>
    <row r="28" customFormat="false" ht="15" hidden="false" customHeight="false" outlineLevel="0" collapsed="false">
      <c r="A28" s="4" t="s">
        <v>436</v>
      </c>
      <c r="B28" s="0" t="s">
        <v>62</v>
      </c>
      <c r="C28" s="14" t="n">
        <f aca="false">C129</f>
        <v>0.575793306745275</v>
      </c>
      <c r="D28" s="14" t="n">
        <f aca="false">D129</f>
        <v>0.595267179842073</v>
      </c>
      <c r="E28" s="14" t="n">
        <f aca="false">E129</f>
        <v>0.595267179842073</v>
      </c>
      <c r="F28" s="14" t="n">
        <f aca="false">F129</f>
        <v>0.565267179842073</v>
      </c>
      <c r="G28" s="14" t="n">
        <f aca="false">G129</f>
        <v>0.545267179842073</v>
      </c>
    </row>
    <row r="29" customFormat="false" ht="15" hidden="false" customHeight="false" outlineLevel="0" collapsed="false">
      <c r="A29" s="4" t="s">
        <v>374</v>
      </c>
      <c r="B29" s="4" t="s">
        <v>226</v>
      </c>
      <c r="C29" s="11" t="n">
        <f aca="false">C131</f>
        <v>2513.9</v>
      </c>
      <c r="D29" s="11" t="n">
        <f aca="false">D131</f>
        <v>3557.504</v>
      </c>
      <c r="E29" s="11" t="n">
        <f aca="false">E131</f>
        <v>1650.0602366452</v>
      </c>
      <c r="F29" s="11" t="n">
        <f aca="false">F131</f>
        <v>1492.56952698699</v>
      </c>
      <c r="G29" s="11" t="n">
        <f aca="false">G131</f>
        <v>1281.30034885116</v>
      </c>
    </row>
    <row r="30" customFormat="false" ht="15" hidden="false" customHeight="false" outlineLevel="0" collapsed="false">
      <c r="A30" s="4" t="s">
        <v>377</v>
      </c>
      <c r="B30" s="0" t="s">
        <v>62</v>
      </c>
      <c r="C30" s="14" t="n">
        <f aca="false">C132</f>
        <v>0.435911219004682</v>
      </c>
      <c r="D30" s="14" t="n">
        <f aca="false">D132</f>
        <v>0.471830022016499</v>
      </c>
      <c r="E30" s="14" t="n">
        <f aca="false">E132</f>
        <v>0.422136674283694</v>
      </c>
      <c r="F30" s="14" t="n">
        <f aca="false">F132</f>
        <v>0.389947297840538</v>
      </c>
      <c r="G30" s="14" t="n">
        <f aca="false">G132</f>
        <v>0.361520445031243</v>
      </c>
    </row>
    <row r="31" customFormat="false" ht="15" hidden="false" customHeight="false" outlineLevel="0" collapsed="false">
      <c r="A31" s="4" t="s">
        <v>437</v>
      </c>
      <c r="B31" s="4" t="s">
        <v>226</v>
      </c>
      <c r="C31" s="11" t="n">
        <f aca="false">C133</f>
        <v>2140</v>
      </c>
      <c r="D31" s="11" t="n">
        <f aca="false">D133</f>
        <v>3028.38560006365</v>
      </c>
      <c r="E31" s="11" t="n">
        <f aca="false">E133</f>
        <v>1404.64175441375</v>
      </c>
      <c r="F31" s="11" t="n">
        <f aca="false">F133</f>
        <v>1270.57511744785</v>
      </c>
      <c r="G31" s="11" t="n">
        <f aca="false">G133</f>
        <v>1090.7286473374</v>
      </c>
    </row>
    <row r="32" customFormat="false" ht="15" hidden="false" customHeight="false" outlineLevel="0" collapsed="false">
      <c r="A32" s="0" t="s">
        <v>438</v>
      </c>
      <c r="B32" s="0" t="s">
        <v>302</v>
      </c>
      <c r="C32" s="11" t="n">
        <f aca="false">C134</f>
        <v>2231.7</v>
      </c>
      <c r="D32" s="11" t="n">
        <f aca="false">D134</f>
        <v>3158.15333815983</v>
      </c>
      <c r="E32" s="11" t="n">
        <f aca="false">E134</f>
        <v>1464.83130996503</v>
      </c>
      <c r="F32" s="11" t="n">
        <f aca="false">F134</f>
        <v>1325.01985495718</v>
      </c>
      <c r="G32" s="11" t="n">
        <f aca="false">G134</f>
        <v>1137.46687956209</v>
      </c>
    </row>
    <row r="34" customFormat="false" ht="17.15" hidden="false" customHeight="false" outlineLevel="0" collapsed="false">
      <c r="A34" s="1" t="s">
        <v>439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440</v>
      </c>
    </row>
    <row r="41" customFormat="false" ht="15" hidden="false" customHeight="false" outlineLevel="0" collapsed="false">
      <c r="A41" s="5" t="s">
        <v>14</v>
      </c>
      <c r="B41" s="5" t="s">
        <v>15</v>
      </c>
      <c r="C41" s="9" t="s">
        <v>401</v>
      </c>
      <c r="D41" s="9" t="s">
        <v>402</v>
      </c>
      <c r="E41" s="9" t="s">
        <v>403</v>
      </c>
      <c r="F41" s="9" t="s">
        <v>404</v>
      </c>
      <c r="G41" s="9" t="s">
        <v>405</v>
      </c>
      <c r="H41" s="9" t="s">
        <v>406</v>
      </c>
      <c r="I41" s="5" t="s">
        <v>407</v>
      </c>
    </row>
    <row r="42" customFormat="false" ht="17.15" hidden="false" customHeight="false" outlineLevel="0" collapsed="false">
      <c r="A42" s="6" t="s">
        <v>441</v>
      </c>
    </row>
    <row r="43" customFormat="false" ht="17.15" hidden="false" customHeight="false" outlineLevel="0" collapsed="false">
      <c r="A43" s="0" t="s">
        <v>442</v>
      </c>
      <c r="B43" s="0" t="s">
        <v>25</v>
      </c>
      <c r="C43" s="17" t="n">
        <f aca="false">hsA_25</f>
        <v>2.22511470588235</v>
      </c>
      <c r="D43" s="17" t="n">
        <f aca="false">hsA_26</f>
        <v>3.782695</v>
      </c>
      <c r="E43" s="17" t="n">
        <f aca="false">hsA_27</f>
        <v>5.86317725</v>
      </c>
      <c r="F43" s="17" t="n">
        <f aca="false">hsA_28</f>
        <v>8.5016070125</v>
      </c>
      <c r="G43" s="17" t="n">
        <f aca="false">hsA_29</f>
        <v>11.477169466875</v>
      </c>
      <c r="H43" s="17" t="n">
        <f aca="false">G43*(1+g_tail)</f>
        <v>12.6248864135625</v>
      </c>
      <c r="I43" s="8" t="s">
        <v>443</v>
      </c>
    </row>
    <row r="44" customFormat="false" ht="17.15" hidden="false" customHeight="false" outlineLevel="0" collapsed="false">
      <c r="A44" s="0" t="s">
        <v>444</v>
      </c>
      <c r="B44" s="0" t="s">
        <v>445</v>
      </c>
      <c r="C44" s="15" t="n">
        <f aca="false">den_25</f>
        <v>24</v>
      </c>
      <c r="D44" s="15" t="n">
        <f aca="false">den_26</f>
        <v>24</v>
      </c>
      <c r="E44" s="15" t="n">
        <f aca="false">den_27</f>
        <v>26</v>
      </c>
      <c r="F44" s="15" t="n">
        <f aca="false">den_28</f>
        <v>28</v>
      </c>
      <c r="G44" s="15" t="n">
        <f aca="false">den_29</f>
        <v>30</v>
      </c>
      <c r="H44" s="15" t="n">
        <f aca="false">den_30</f>
        <v>32</v>
      </c>
    </row>
    <row r="45" customFormat="false" ht="17.15" hidden="false" customHeight="false" outlineLevel="0" collapsed="false">
      <c r="A45" s="4" t="s">
        <v>446</v>
      </c>
      <c r="B45" s="4" t="s">
        <v>411</v>
      </c>
      <c r="C45" s="11" t="n">
        <f aca="false">C43*8000/C44</f>
        <v>741.704901960783</v>
      </c>
      <c r="D45" s="11" t="n">
        <f aca="false">D43*8000/D44</f>
        <v>1260.89833333333</v>
      </c>
      <c r="E45" s="11" t="n">
        <f aca="false">E43*8000/E44</f>
        <v>1804.05453846154</v>
      </c>
      <c r="F45" s="11" t="n">
        <f aca="false">F43*8000/F44</f>
        <v>2429.030575</v>
      </c>
      <c r="G45" s="11" t="n">
        <f aca="false">G43*8000/G44</f>
        <v>3060.5785245</v>
      </c>
      <c r="H45" s="11" t="n">
        <f aca="false">H43*8000/H44</f>
        <v>3156.22160339063</v>
      </c>
      <c r="I45" s="8" t="s">
        <v>447</v>
      </c>
    </row>
    <row r="46" customFormat="false" ht="15" hidden="false" customHeight="false" outlineLevel="0" collapsed="false">
      <c r="A46" s="4" t="s">
        <v>448</v>
      </c>
      <c r="B46" s="4" t="s">
        <v>89</v>
      </c>
      <c r="C46" s="15" t="n">
        <f aca="false">stk_25</f>
        <v>10</v>
      </c>
      <c r="D46" s="15" t="n">
        <f aca="false">stk_26</f>
        <v>12</v>
      </c>
      <c r="E46" s="15" t="n">
        <f aca="false">stk_27</f>
        <v>12.5</v>
      </c>
      <c r="F46" s="15" t="n">
        <f aca="false">stk_28</f>
        <v>14</v>
      </c>
      <c r="G46" s="15" t="n">
        <f aca="false">stk_29</f>
        <v>15</v>
      </c>
      <c r="H46" s="15" t="n">
        <f aca="false">stk_30</f>
        <v>16</v>
      </c>
    </row>
    <row r="47" customFormat="false" ht="15" hidden="false" customHeight="false" outlineLevel="0" collapsed="false">
      <c r="A47" s="4" t="s">
        <v>449</v>
      </c>
      <c r="B47" s="0" t="s">
        <v>109</v>
      </c>
      <c r="C47" s="18" t="n">
        <f aca="false">1+beta*(C46-$C46)/4</f>
        <v>1</v>
      </c>
      <c r="D47" s="18" t="n">
        <f aca="false">1+beta*(D46-$C46)/4</f>
        <v>1.05</v>
      </c>
      <c r="E47" s="18" t="n">
        <f aca="false">1+beta*(E46-$C46)/4</f>
        <v>1.0625</v>
      </c>
      <c r="F47" s="18" t="n">
        <f aca="false">1+beta*(F46-$C46)/4</f>
        <v>1.1</v>
      </c>
      <c r="G47" s="18" t="n">
        <f aca="false">1+beta*(G46-$C46)/4</f>
        <v>1.125</v>
      </c>
      <c r="H47" s="18" t="n">
        <f aca="false">1+beta*(H46-$C46)/4</f>
        <v>1.15</v>
      </c>
    </row>
    <row r="48" customFormat="false" ht="17.15" hidden="false" customHeight="false" outlineLevel="0" collapsed="false">
      <c r="A48" s="4" t="s">
        <v>450</v>
      </c>
      <c r="B48" s="0" t="s">
        <v>62</v>
      </c>
      <c r="C48" s="14" t="n">
        <f aca="false">0</f>
        <v>0</v>
      </c>
      <c r="D48" s="14" t="n">
        <f aca="false">0</f>
        <v>0</v>
      </c>
      <c r="E48" s="14" t="n">
        <f aca="false">0</f>
        <v>0</v>
      </c>
      <c r="F48" s="14" t="n">
        <f aca="false">0</f>
        <v>0</v>
      </c>
      <c r="G48" s="14" t="n">
        <f aca="false">0</f>
        <v>0</v>
      </c>
      <c r="H48" s="14" t="n">
        <f aca="false">0</f>
        <v>0</v>
      </c>
      <c r="I48" s="4" t="s">
        <v>451</v>
      </c>
    </row>
    <row r="49" customFormat="false" ht="17.15" hidden="false" customHeight="false" outlineLevel="0" collapsed="false">
      <c r="A49" s="0" t="s">
        <v>452</v>
      </c>
      <c r="B49" s="4" t="s">
        <v>413</v>
      </c>
      <c r="C49" s="11" t="n">
        <f aca="false">C45*C47*(1-C48)</f>
        <v>741.704901960783</v>
      </c>
      <c r="D49" s="11" t="n">
        <f aca="false">D45*D47*(1-D48)</f>
        <v>1323.94325</v>
      </c>
      <c r="E49" s="11" t="n">
        <f aca="false">E45*E47*(1-E48)</f>
        <v>1916.80794711538</v>
      </c>
      <c r="F49" s="11" t="n">
        <f aca="false">F45*F47*(1-F48)</f>
        <v>2671.9336325</v>
      </c>
      <c r="G49" s="11" t="n">
        <f aca="false">G45*G47*(1-G48)</f>
        <v>3443.1508400625</v>
      </c>
      <c r="H49" s="11" t="n">
        <f aca="false">H45*H47*(1-H48)</f>
        <v>3629.65484389922</v>
      </c>
    </row>
    <row r="50" customFormat="false" ht="17.15" hidden="false" customHeight="false" outlineLevel="0" collapsed="false">
      <c r="A50" s="4" t="s">
        <v>453</v>
      </c>
      <c r="B50" s="4" t="s">
        <v>413</v>
      </c>
      <c r="C50" s="11" t="n">
        <f aca="false">MAX(0,D49-C49)+dlt*C49</f>
        <v>656.408838235295</v>
      </c>
      <c r="D50" s="11" t="n">
        <f aca="false">MAX(0,E49-D49)+dlt*D49</f>
        <v>725.259022115385</v>
      </c>
      <c r="E50" s="11" t="n">
        <f aca="false">MAX(0,F49-E49)+dlt*E49</f>
        <v>946.806480096154</v>
      </c>
      <c r="F50" s="11" t="n">
        <f aca="false">MAX(0,G49-F49)+dlt*F49</f>
        <v>1038.4105708125</v>
      </c>
      <c r="G50" s="11" t="n">
        <f aca="false">MAX(0,H49-G49)+dlt*G49</f>
        <v>530.819087842968</v>
      </c>
      <c r="I50" s="4" t="s">
        <v>454</v>
      </c>
    </row>
    <row r="51" customFormat="false" ht="17.15" hidden="false" customHeight="false" outlineLevel="0" collapsed="false">
      <c r="A51" s="0" t="s">
        <v>455</v>
      </c>
      <c r="B51" s="0" t="s">
        <v>62</v>
      </c>
      <c r="C51" s="14" t="n">
        <f aca="false">ms_sk_26/(ms_sk_26+ms_ss_26+ms_mu_26)</f>
        <v>0.52</v>
      </c>
      <c r="D51" s="14" t="n">
        <f aca="false">ms_sk_27/(ms_sk_27+ms_ss_27+ms_mu_27)</f>
        <v>0.42</v>
      </c>
      <c r="E51" s="14" t="n">
        <f aca="false">ms_sk_28/(ms_sk_28+ms_ss_28+ms_mu_28)</f>
        <v>0.4</v>
      </c>
      <c r="F51" s="14" t="n">
        <f aca="false">ms_sk_29/(ms_sk_29+ms_ss_29+ms_mu_29)</f>
        <v>0.4</v>
      </c>
      <c r="G51" s="14" t="n">
        <f aca="false">ms_sk_29/(ms_sk_29+ms_ss_29+ms_mu_29)</f>
        <v>0.4</v>
      </c>
    </row>
    <row r="52" customFormat="false" ht="17.15" hidden="false" customHeight="false" outlineLevel="0" collapsed="false">
      <c r="A52" s="4" t="s">
        <v>456</v>
      </c>
      <c r="B52" s="0" t="s">
        <v>62</v>
      </c>
      <c r="C52" s="14" t="n">
        <f aca="false">ms_ss_26/(ms_sk_26+ms_ss_26+ms_mu_26)</f>
        <v>0.29</v>
      </c>
      <c r="D52" s="14" t="n">
        <f aca="false">ms_ss_27/(ms_sk_27+ms_ss_27+ms_mu_27)</f>
        <v>0.38</v>
      </c>
      <c r="E52" s="14" t="n">
        <f aca="false">ms_ss_28/(ms_sk_28+ms_ss_28+ms_mu_28)</f>
        <v>0.4</v>
      </c>
      <c r="F52" s="14" t="n">
        <f aca="false">ms_ss_29/(ms_sk_29+ms_ss_29+ms_mu_29)</f>
        <v>0.4</v>
      </c>
      <c r="G52" s="14" t="n">
        <f aca="false">ms_ss_29/(ms_sk_29+ms_ss_29+ms_mu_29)</f>
        <v>0.4</v>
      </c>
    </row>
    <row r="53" customFormat="false" ht="17.15" hidden="false" customHeight="false" outlineLevel="0" collapsed="false">
      <c r="A53" s="4" t="s">
        <v>457</v>
      </c>
      <c r="B53" s="0" t="s">
        <v>62</v>
      </c>
      <c r="C53" s="14" t="n">
        <f aca="false">ms_mu_26/(ms_sk_26+ms_ss_26+ms_mu_26)</f>
        <v>0.19</v>
      </c>
      <c r="D53" s="14" t="n">
        <f aca="false">ms_mu_27/(ms_sk_27+ms_ss_27+ms_mu_27)</f>
        <v>0.2</v>
      </c>
      <c r="E53" s="14" t="n">
        <f aca="false">ms_mu_28/(ms_sk_28+ms_ss_28+ms_mu_28)</f>
        <v>0.2</v>
      </c>
      <c r="F53" s="14" t="n">
        <f aca="false">ms_mu_29/(ms_sk_29+ms_ss_29+ms_mu_29)</f>
        <v>0.2</v>
      </c>
      <c r="G53" s="14" t="n">
        <f aca="false">ms_mu_29/(ms_sk_29+ms_ss_29+ms_mu_29)</f>
        <v>0.2</v>
      </c>
    </row>
    <row r="54" customFormat="false" ht="17.15" hidden="false" customHeight="false" outlineLevel="0" collapsed="false">
      <c r="A54" s="4" t="s">
        <v>458</v>
      </c>
      <c r="B54" s="0" t="s">
        <v>62</v>
      </c>
      <c r="C54" s="14" t="n">
        <f aca="false">C51*hsk_25+C52*hss+C53*hmu_25</f>
        <v>0.412</v>
      </c>
      <c r="D54" s="14" t="n">
        <f aca="false">D51*hsk_A+D52*hss+D53*hmu_A</f>
        <v>0.339</v>
      </c>
      <c r="E54" s="14" t="n">
        <f aca="false">E51*hsk_A+E52*hss+E53*hmu_A</f>
        <v>0.33</v>
      </c>
      <c r="F54" s="14" t="n">
        <f aca="false">F51*hsk_A+F52*hss+F53*hmu_A</f>
        <v>0.33</v>
      </c>
      <c r="G54" s="14" t="n">
        <f aca="false">G51*hsk_A+G52*hss+G53*hmu_A</f>
        <v>0.33</v>
      </c>
    </row>
    <row r="55" customFormat="false" ht="17.15" hidden="false" customHeight="false" outlineLevel="0" collapsed="false">
      <c r="A55" s="4" t="s">
        <v>459</v>
      </c>
      <c r="B55" s="4" t="s">
        <v>413</v>
      </c>
      <c r="C55" s="11" t="n">
        <f aca="false">C50*C54</f>
        <v>270.440441352942</v>
      </c>
      <c r="D55" s="11" t="n">
        <f aca="false">D50*D54</f>
        <v>245.862808497115</v>
      </c>
      <c r="E55" s="11" t="n">
        <f aca="false">E50*E54</f>
        <v>312.446138431731</v>
      </c>
      <c r="F55" s="11" t="n">
        <f aca="false">F50*F54</f>
        <v>342.675488368125</v>
      </c>
      <c r="G55" s="11" t="n">
        <f aca="false">G50*G54</f>
        <v>175.17029898818</v>
      </c>
    </row>
    <row r="56" customFormat="false" ht="17.15" hidden="false" customHeight="false" outlineLevel="0" collapsed="false">
      <c r="A56" s="6" t="s">
        <v>460</v>
      </c>
    </row>
    <row r="57" customFormat="false" ht="17.15" hidden="false" customHeight="false" outlineLevel="0" collapsed="false">
      <c r="A57" s="4" t="s">
        <v>461</v>
      </c>
      <c r="B57" s="4" t="s">
        <v>226</v>
      </c>
      <c r="C57" s="11" t="n">
        <f aca="false">a25_rev-a25_hbm</f>
        <v>2895.034</v>
      </c>
      <c r="D57" s="11" t="n">
        <f aca="false">C57*(1+g_o26)</f>
        <v>3329.2891</v>
      </c>
      <c r="E57" s="11" t="n">
        <f aca="false">D57*(1+g_o_A)</f>
        <v>3728.803792</v>
      </c>
      <c r="F57" s="11" t="n">
        <f aca="false">E57*(1+g_o_A)</f>
        <v>4176.26024704</v>
      </c>
      <c r="G57" s="11" t="n">
        <f aca="false">F57*(1+g_o_A)</f>
        <v>4677.4114766848</v>
      </c>
    </row>
    <row r="58" customFormat="false" ht="17.15" hidden="false" customHeight="false" outlineLevel="0" collapsed="false">
      <c r="A58" s="0" t="s">
        <v>462</v>
      </c>
      <c r="B58" s="4" t="s">
        <v>226</v>
      </c>
      <c r="C58" s="11" t="n">
        <f aca="false">a25_hbm</f>
        <v>2871.966</v>
      </c>
      <c r="D58" s="11" t="n">
        <f aca="false">rev26-D57</f>
        <v>4210.5109</v>
      </c>
      <c r="E58" s="11" t="n">
        <f aca="false">$C59*E55</f>
        <v>4286.03259533926</v>
      </c>
      <c r="F58" s="11" t="n">
        <f aca="false">$C59*F55</f>
        <v>4700.70880101627</v>
      </c>
      <c r="G58" s="11" t="n">
        <f aca="false">$C59*G55</f>
        <v>2402.9281173616</v>
      </c>
      <c r="I58" s="8" t="s">
        <v>463</v>
      </c>
    </row>
    <row r="59" customFormat="false" ht="17.15" hidden="false" customHeight="false" outlineLevel="0" collapsed="false">
      <c r="A59" s="4" t="s">
        <v>464</v>
      </c>
      <c r="B59" s="4" t="s">
        <v>465</v>
      </c>
      <c r="C59" s="18" t="n">
        <f aca="false">(C58+D58)/(C55+D55)</f>
        <v>13.7176686415529</v>
      </c>
      <c r="I59" s="4" t="s">
        <v>466</v>
      </c>
    </row>
    <row r="60" customFormat="false" ht="15" hidden="false" customHeight="false" outlineLevel="0" collapsed="false">
      <c r="A60" s="4" t="s">
        <v>366</v>
      </c>
      <c r="B60" s="4" t="s">
        <v>226</v>
      </c>
      <c r="C60" s="11" t="n">
        <f aca="false">a25_rev</f>
        <v>5767</v>
      </c>
      <c r="D60" s="11" t="n">
        <f aca="false">D57+D58</f>
        <v>7539.8</v>
      </c>
      <c r="E60" s="11" t="n">
        <f aca="false">E57+E58</f>
        <v>8014.83638733926</v>
      </c>
      <c r="F60" s="11" t="n">
        <f aca="false">F57+F58</f>
        <v>8876.96904805627</v>
      </c>
      <c r="G60" s="11" t="n">
        <f aca="false">G57+G58</f>
        <v>7080.33959404641</v>
      </c>
    </row>
    <row r="61" customFormat="false" ht="17.15" hidden="false" customHeight="false" outlineLevel="0" collapsed="false">
      <c r="A61" s="0" t="s">
        <v>467</v>
      </c>
      <c r="B61" s="0" t="s">
        <v>62</v>
      </c>
      <c r="C61" s="14" t="n">
        <f aca="false">C58/C60</f>
        <v>0.498</v>
      </c>
      <c r="D61" s="14" t="n">
        <f aca="false">D58/D60</f>
        <v>0.558438008965755</v>
      </c>
      <c r="E61" s="14" t="n">
        <f aca="false">E58/E60</f>
        <v>0.534762331781314</v>
      </c>
      <c r="F61" s="14" t="n">
        <f aca="false">F58/F60</f>
        <v>0.529539843562432</v>
      </c>
      <c r="G61" s="14" t="n">
        <f aca="false">G58/G60</f>
        <v>0.339380348279077</v>
      </c>
    </row>
    <row r="62" customFormat="false" ht="17.15" hidden="false" customHeight="false" outlineLevel="0" collapsed="false">
      <c r="A62" s="4" t="s">
        <v>468</v>
      </c>
      <c r="B62" s="4" t="s">
        <v>226</v>
      </c>
      <c r="C62" s="11" t="n">
        <f aca="false">opex25</f>
        <v>806.7</v>
      </c>
      <c r="D62" s="11" t="n">
        <f aca="false">opex_fix+opex_var*D60</f>
        <v>930.691482573261</v>
      </c>
      <c r="E62" s="11" t="n">
        <f aca="false">opex_fix+opex_var*E60</f>
        <v>963.916023380144</v>
      </c>
      <c r="F62" s="11" t="n">
        <f aca="false">opex_fix+opex_var*F60</f>
        <v>1024.21448162537</v>
      </c>
      <c r="G62" s="11" t="n">
        <f aca="false">opex_fix+opex_var*G60</f>
        <v>898.556342163797</v>
      </c>
      <c r="I62" s="4" t="s">
        <v>469</v>
      </c>
    </row>
    <row r="63" customFormat="false" ht="17.15" hidden="false" customHeight="false" outlineLevel="0" collapsed="false">
      <c r="A63" s="4" t="s">
        <v>436</v>
      </c>
      <c r="B63" s="0" t="s">
        <v>62</v>
      </c>
      <c r="C63" s="14" t="n">
        <f aca="false">a25_gp/a25_rev</f>
        <v>0.575793306745275</v>
      </c>
      <c r="D63" s="14" t="n">
        <f aca="false">(oi26+D62)/D60</f>
        <v>0.595267179842073</v>
      </c>
      <c r="E63" s="14" t="n">
        <f aca="false">$D63+0</f>
        <v>0.595267179842073</v>
      </c>
      <c r="F63" s="14" t="n">
        <f aca="false">$D63+0</f>
        <v>0.595267179842073</v>
      </c>
      <c r="G63" s="14" t="n">
        <f aca="false">$D63+0</f>
        <v>0.595267179842073</v>
      </c>
      <c r="I63" s="8" t="s">
        <v>470</v>
      </c>
    </row>
    <row r="64" customFormat="false" ht="15" hidden="false" customHeight="false" outlineLevel="0" collapsed="false">
      <c r="A64" s="4" t="s">
        <v>371</v>
      </c>
      <c r="B64" s="4" t="s">
        <v>226</v>
      </c>
      <c r="C64" s="11" t="n">
        <f aca="false">C60*C63</f>
        <v>3320.6</v>
      </c>
      <c r="D64" s="11" t="n">
        <f aca="false">D60*D63</f>
        <v>4488.19548257326</v>
      </c>
      <c r="E64" s="11" t="n">
        <f aca="false">E60*E63</f>
        <v>4770.96905318707</v>
      </c>
      <c r="F64" s="11" t="n">
        <f aca="false">F60*F63</f>
        <v>5284.16833078183</v>
      </c>
      <c r="G64" s="11" t="n">
        <f aca="false">G60*G63</f>
        <v>4214.69378247217</v>
      </c>
    </row>
    <row r="65" customFormat="false" ht="15" hidden="false" customHeight="false" outlineLevel="0" collapsed="false">
      <c r="A65" s="4" t="s">
        <v>374</v>
      </c>
      <c r="B65" s="4" t="s">
        <v>226</v>
      </c>
      <c r="C65" s="11" t="n">
        <f aca="false">a25_oi</f>
        <v>2513.9</v>
      </c>
      <c r="D65" s="11" t="n">
        <f aca="false">oi26</f>
        <v>3557.504</v>
      </c>
      <c r="E65" s="11" t="n">
        <f aca="false">E64-E62</f>
        <v>3807.05302980693</v>
      </c>
      <c r="F65" s="11" t="n">
        <f aca="false">F64-F62</f>
        <v>4259.95384915646</v>
      </c>
      <c r="G65" s="11" t="n">
        <f aca="false">G64-G62</f>
        <v>3316.13744030837</v>
      </c>
    </row>
    <row r="66" customFormat="false" ht="15" hidden="false" customHeight="false" outlineLevel="0" collapsed="false">
      <c r="A66" s="4" t="s">
        <v>377</v>
      </c>
      <c r="B66" s="0" t="s">
        <v>62</v>
      </c>
      <c r="C66" s="14" t="n">
        <f aca="false">C65/C60</f>
        <v>0.435911219004682</v>
      </c>
      <c r="D66" s="14" t="n">
        <f aca="false">D65/D60</f>
        <v>0.471830022016499</v>
      </c>
      <c r="E66" s="14" t="n">
        <f aca="false">E65/E60</f>
        <v>0.475000716898075</v>
      </c>
      <c r="F66" s="14" t="n">
        <f aca="false">F65/F60</f>
        <v>0.479888329687173</v>
      </c>
      <c r="G66" s="14" t="n">
        <f aca="false">G65/G60</f>
        <v>0.468358529454829</v>
      </c>
    </row>
    <row r="67" customFormat="false" ht="15" hidden="false" customHeight="false" outlineLevel="0" collapsed="false">
      <c r="A67" s="4" t="s">
        <v>437</v>
      </c>
      <c r="B67" s="4" t="s">
        <v>226</v>
      </c>
      <c r="C67" s="11" t="n">
        <f aca="false">a25_ni</f>
        <v>2140</v>
      </c>
      <c r="D67" s="11" t="n">
        <f aca="false">D65*nioi</f>
        <v>3028.38560006365</v>
      </c>
      <c r="E67" s="11" t="n">
        <f aca="false">E65*nioi</f>
        <v>3240.81844297181</v>
      </c>
      <c r="F67" s="11" t="n">
        <f aca="false">F65*nioi</f>
        <v>3626.35794470537</v>
      </c>
      <c r="G67" s="11" t="n">
        <f aca="false">G65*nioi</f>
        <v>2822.91822358086</v>
      </c>
    </row>
    <row r="68" customFormat="false" ht="15" hidden="false" customHeight="false" outlineLevel="0" collapsed="false">
      <c r="A68" s="0" t="s">
        <v>438</v>
      </c>
      <c r="B68" s="0" t="s">
        <v>302</v>
      </c>
      <c r="C68" s="11" t="n">
        <f aca="false">a25_eps</f>
        <v>2231.7</v>
      </c>
      <c r="D68" s="11" t="n">
        <f aca="false">D67*100/shares</f>
        <v>3158.15333815983</v>
      </c>
      <c r="E68" s="11" t="n">
        <f aca="false">E67*100/shares</f>
        <v>3379.68902765429</v>
      </c>
      <c r="F68" s="11" t="n">
        <f aca="false">F67*100/shares</f>
        <v>3781.74907719578</v>
      </c>
      <c r="G68" s="11" t="n">
        <f aca="false">G67*100/shares</f>
        <v>2943.88158858196</v>
      </c>
    </row>
    <row r="69" customFormat="false" ht="17.15" hidden="false" customHeight="false" outlineLevel="0" collapsed="false">
      <c r="A69" s="4" t="s">
        <v>471</v>
      </c>
      <c r="B69" s="4" t="s">
        <v>226</v>
      </c>
      <c r="C69" s="11" t="n">
        <f aca="false">$C59*C50</f>
        <v>9004.3989362985</v>
      </c>
      <c r="D69" s="11" t="n">
        <f aca="false">$C59*D50</f>
        <v>9948.86294467556</v>
      </c>
      <c r="E69" s="11" t="n">
        <f aca="false">$C59*E50</f>
        <v>12987.9775616341</v>
      </c>
      <c r="F69" s="11" t="n">
        <f aca="false">$C59*F50</f>
        <v>14244.5721242917</v>
      </c>
      <c r="G69" s="11" t="n">
        <f aca="false">$C59*G50</f>
        <v>7281.60035564122</v>
      </c>
      <c r="I69" s="4" t="s">
        <v>472</v>
      </c>
    </row>
    <row r="70" customFormat="false" ht="15" hidden="false" customHeight="false" outlineLevel="0" collapsed="false">
      <c r="A70" s="4" t="s">
        <v>473</v>
      </c>
      <c r="B70" s="0" t="s">
        <v>333</v>
      </c>
      <c r="C70" s="11" t="n">
        <f aca="false">C69/fx*100</f>
        <v>634.112601147782</v>
      </c>
      <c r="D70" s="11" t="n">
        <f aca="false">D69/fx*100</f>
        <v>700.62415103349</v>
      </c>
      <c r="E70" s="11" t="n">
        <f aca="false">E69/fx*100</f>
        <v>914.646307157333</v>
      </c>
      <c r="F70" s="11" t="n">
        <f aca="false">F69/fx*100</f>
        <v>1003.13888199238</v>
      </c>
      <c r="G70" s="11" t="n">
        <f aca="false">G69/fx*100</f>
        <v>512.788757439523</v>
      </c>
    </row>
    <row r="73" customFormat="false" ht="17.15" hidden="false" customHeight="false" outlineLevel="0" collapsed="false">
      <c r="A73" s="1" t="s">
        <v>474</v>
      </c>
    </row>
    <row r="74" customFormat="false" ht="15" hidden="false" customHeight="false" outlineLevel="0" collapsed="false">
      <c r="A74" s="5" t="s">
        <v>14</v>
      </c>
      <c r="B74" s="5" t="s">
        <v>15</v>
      </c>
      <c r="C74" s="9" t="s">
        <v>401</v>
      </c>
      <c r="D74" s="9" t="s">
        <v>402</v>
      </c>
      <c r="E74" s="9" t="s">
        <v>403</v>
      </c>
      <c r="F74" s="9" t="s">
        <v>404</v>
      </c>
      <c r="G74" s="9" t="s">
        <v>405</v>
      </c>
      <c r="H74" s="9" t="s">
        <v>406</v>
      </c>
      <c r="I74" s="5" t="s">
        <v>407</v>
      </c>
    </row>
    <row r="75" customFormat="false" ht="17.15" hidden="false" customHeight="false" outlineLevel="0" collapsed="false">
      <c r="A75" s="6" t="s">
        <v>441</v>
      </c>
    </row>
    <row r="76" customFormat="false" ht="17.15" hidden="false" customHeight="false" outlineLevel="0" collapsed="false">
      <c r="A76" s="0" t="s">
        <v>442</v>
      </c>
      <c r="B76" s="0" t="s">
        <v>25</v>
      </c>
      <c r="C76" s="17" t="n">
        <f aca="false">hsB_25</f>
        <v>2.22511470588235</v>
      </c>
      <c r="D76" s="17" t="n">
        <f aca="false">hsB_26</f>
        <v>3.782695</v>
      </c>
      <c r="E76" s="17" t="n">
        <f aca="false">hsB_27</f>
        <v>5.86317725</v>
      </c>
      <c r="F76" s="17" t="n">
        <f aca="false">hsB_28</f>
        <v>8.22296</v>
      </c>
      <c r="G76" s="17" t="n">
        <f aca="false">hsB_29</f>
        <v>11.3579635</v>
      </c>
      <c r="H76" s="17" t="n">
        <f aca="false">G76*(1+g_tail)</f>
        <v>12.49375985</v>
      </c>
      <c r="I76" s="8" t="s">
        <v>443</v>
      </c>
    </row>
    <row r="77" customFormat="false" ht="17.15" hidden="false" customHeight="false" outlineLevel="0" collapsed="false">
      <c r="A77" s="0" t="s">
        <v>444</v>
      </c>
      <c r="B77" s="0" t="s">
        <v>445</v>
      </c>
      <c r="C77" s="15" t="n">
        <f aca="false">den_25</f>
        <v>24</v>
      </c>
      <c r="D77" s="15" t="n">
        <f aca="false">den_26</f>
        <v>24</v>
      </c>
      <c r="E77" s="15" t="n">
        <f aca="false">den_27</f>
        <v>26</v>
      </c>
      <c r="F77" s="15" t="n">
        <f aca="false">den_28</f>
        <v>28</v>
      </c>
      <c r="G77" s="15" t="n">
        <f aca="false">den_29</f>
        <v>30</v>
      </c>
      <c r="H77" s="15" t="n">
        <f aca="false">den_30</f>
        <v>32</v>
      </c>
    </row>
    <row r="78" customFormat="false" ht="17.15" hidden="false" customHeight="false" outlineLevel="0" collapsed="false">
      <c r="A78" s="4" t="s">
        <v>446</v>
      </c>
      <c r="B78" s="4" t="s">
        <v>411</v>
      </c>
      <c r="C78" s="11" t="n">
        <f aca="false">C76*8000/C77</f>
        <v>741.704901960783</v>
      </c>
      <c r="D78" s="11" t="n">
        <f aca="false">D76*8000/D77</f>
        <v>1260.89833333333</v>
      </c>
      <c r="E78" s="11" t="n">
        <f aca="false">E76*8000/E77</f>
        <v>1804.05453846154</v>
      </c>
      <c r="F78" s="11" t="n">
        <f aca="false">F76*8000/F77</f>
        <v>2349.41714285714</v>
      </c>
      <c r="G78" s="11" t="n">
        <f aca="false">G76*8000/G77</f>
        <v>3028.79026666667</v>
      </c>
      <c r="H78" s="11" t="n">
        <f aca="false">H76*8000/H77</f>
        <v>3123.4399625</v>
      </c>
      <c r="I78" s="8" t="s">
        <v>447</v>
      </c>
    </row>
    <row r="79" customFormat="false" ht="15" hidden="false" customHeight="false" outlineLevel="0" collapsed="false">
      <c r="A79" s="4" t="s">
        <v>448</v>
      </c>
      <c r="B79" s="4" t="s">
        <v>89</v>
      </c>
      <c r="C79" s="15" t="n">
        <f aca="false">stk_25</f>
        <v>10</v>
      </c>
      <c r="D79" s="15" t="n">
        <f aca="false">stk_26</f>
        <v>12</v>
      </c>
      <c r="E79" s="15" t="n">
        <f aca="false">stk_27</f>
        <v>12.5</v>
      </c>
      <c r="F79" s="15" t="n">
        <f aca="false">stk_28</f>
        <v>14</v>
      </c>
      <c r="G79" s="15" t="n">
        <f aca="false">stk_29</f>
        <v>15</v>
      </c>
      <c r="H79" s="15" t="n">
        <f aca="false">stk_30</f>
        <v>16</v>
      </c>
    </row>
    <row r="80" customFormat="false" ht="15" hidden="false" customHeight="false" outlineLevel="0" collapsed="false">
      <c r="A80" s="4" t="s">
        <v>449</v>
      </c>
      <c r="B80" s="0" t="s">
        <v>109</v>
      </c>
      <c r="C80" s="18" t="n">
        <f aca="false">1+beta*(C79-$C79)/4</f>
        <v>1</v>
      </c>
      <c r="D80" s="18" t="n">
        <f aca="false">1+beta*(D79-$C79)/4</f>
        <v>1.05</v>
      </c>
      <c r="E80" s="18" t="n">
        <f aca="false">1+beta*(E79-$C79)/4</f>
        <v>1.0625</v>
      </c>
      <c r="F80" s="18" t="n">
        <f aca="false">1+beta*(F79-$C79)/4</f>
        <v>1.1</v>
      </c>
      <c r="G80" s="18" t="n">
        <f aca="false">1+beta*(G79-$C79)/4</f>
        <v>1.125</v>
      </c>
      <c r="H80" s="18" t="n">
        <f aca="false">1+beta*(H79-$C79)/4</f>
        <v>1.15</v>
      </c>
    </row>
    <row r="81" customFormat="false" ht="17.15" hidden="false" customHeight="false" outlineLevel="0" collapsed="false">
      <c r="A81" s="4" t="s">
        <v>450</v>
      </c>
      <c r="B81" s="0" t="s">
        <v>62</v>
      </c>
      <c r="C81" s="14" t="n">
        <f aca="false">hbp_25</f>
        <v>0</v>
      </c>
      <c r="D81" s="14" t="n">
        <f aca="false">hbp_26</f>
        <v>0</v>
      </c>
      <c r="E81" s="14" t="n">
        <f aca="false">hbp_27</f>
        <v>0</v>
      </c>
      <c r="F81" s="14" t="n">
        <f aca="false">hbp_28</f>
        <v>0.05</v>
      </c>
      <c r="G81" s="14" t="n">
        <f aca="false">hbp_29</f>
        <v>0.15</v>
      </c>
      <c r="H81" s="14" t="n">
        <f aca="false">hbp_30</f>
        <v>0.25</v>
      </c>
      <c r="I81" s="4" t="s">
        <v>475</v>
      </c>
    </row>
    <row r="82" customFormat="false" ht="17.15" hidden="false" customHeight="false" outlineLevel="0" collapsed="false">
      <c r="A82" s="0" t="s">
        <v>452</v>
      </c>
      <c r="B82" s="4" t="s">
        <v>413</v>
      </c>
      <c r="C82" s="11" t="n">
        <f aca="false">C78*C80*(1-C81)</f>
        <v>741.704901960783</v>
      </c>
      <c r="D82" s="11" t="n">
        <f aca="false">D78*D80*(1-D81)</f>
        <v>1323.94325</v>
      </c>
      <c r="E82" s="11" t="n">
        <f aca="false">E78*E80*(1-E81)</f>
        <v>1916.80794711538</v>
      </c>
      <c r="F82" s="11" t="n">
        <f aca="false">F78*F80*(1-F81)</f>
        <v>2455.14091428571</v>
      </c>
      <c r="G82" s="11" t="n">
        <f aca="false">G78*G80*(1-G81)</f>
        <v>2896.2806925</v>
      </c>
      <c r="H82" s="11" t="n">
        <f aca="false">H78*H80*(1-H81)</f>
        <v>2693.96696765625</v>
      </c>
    </row>
    <row r="83" customFormat="false" ht="17.15" hidden="false" customHeight="false" outlineLevel="0" collapsed="false">
      <c r="A83" s="4" t="s">
        <v>453</v>
      </c>
      <c r="B83" s="4" t="s">
        <v>413</v>
      </c>
      <c r="C83" s="11" t="n">
        <f aca="false">MAX(0,D82-C82)+dlt*C82</f>
        <v>656.408838235295</v>
      </c>
      <c r="D83" s="11" t="n">
        <f aca="false">MAX(0,E82-D82)+dlt*D82</f>
        <v>725.259022115385</v>
      </c>
      <c r="E83" s="11" t="n">
        <f aca="false">MAX(0,F82-E82)+dlt*E82</f>
        <v>730.013761881869</v>
      </c>
      <c r="F83" s="11" t="n">
        <f aca="false">MAX(0,G82-F82)+dlt*F82</f>
        <v>686.653869642856</v>
      </c>
      <c r="G83" s="11" t="n">
        <f aca="false">MAX(0,H82-G82)+dlt*G82</f>
        <v>289.62806925</v>
      </c>
      <c r="I83" s="4" t="s">
        <v>454</v>
      </c>
    </row>
    <row r="84" customFormat="false" ht="17.15" hidden="false" customHeight="false" outlineLevel="0" collapsed="false">
      <c r="A84" s="0" t="s">
        <v>455</v>
      </c>
      <c r="B84" s="0" t="s">
        <v>62</v>
      </c>
      <c r="C84" s="14" t="n">
        <f aca="false">ms_sk_26/(ms_sk_26+ms_ss_26+ms_mu_26)</f>
        <v>0.52</v>
      </c>
      <c r="D84" s="14" t="n">
        <f aca="false">ms_sk_27/(ms_sk_27+ms_ss_27+ms_mu_27)</f>
        <v>0.42</v>
      </c>
      <c r="E84" s="14" t="n">
        <f aca="false">ms_sk_28/(ms_sk_28+ms_ss_28+ms_mu_28)</f>
        <v>0.4</v>
      </c>
      <c r="F84" s="14" t="n">
        <f aca="false">ms_sk_29/(ms_sk_29+ms_ss_29+ms_mu_29)</f>
        <v>0.4</v>
      </c>
      <c r="G84" s="14" t="n">
        <f aca="false">ms_sk_29/(ms_sk_29+ms_ss_29+ms_mu_29)</f>
        <v>0.4</v>
      </c>
    </row>
    <row r="85" customFormat="false" ht="17.15" hidden="false" customHeight="false" outlineLevel="0" collapsed="false">
      <c r="A85" s="4" t="s">
        <v>456</v>
      </c>
      <c r="B85" s="0" t="s">
        <v>62</v>
      </c>
      <c r="C85" s="14" t="n">
        <f aca="false">ms_ss_26/(ms_sk_26+ms_ss_26+ms_mu_26)</f>
        <v>0.29</v>
      </c>
      <c r="D85" s="14" t="n">
        <f aca="false">ms_ss_27/(ms_sk_27+ms_ss_27+ms_mu_27)</f>
        <v>0.38</v>
      </c>
      <c r="E85" s="14" t="n">
        <f aca="false">ms_ss_28/(ms_sk_28+ms_ss_28+ms_mu_28)</f>
        <v>0.4</v>
      </c>
      <c r="F85" s="14" t="n">
        <f aca="false">ms_ss_29/(ms_sk_29+ms_ss_29+ms_mu_29)</f>
        <v>0.4</v>
      </c>
      <c r="G85" s="14" t="n">
        <f aca="false">ms_ss_29/(ms_sk_29+ms_ss_29+ms_mu_29)</f>
        <v>0.4</v>
      </c>
    </row>
    <row r="86" customFormat="false" ht="17.15" hidden="false" customHeight="false" outlineLevel="0" collapsed="false">
      <c r="A86" s="4" t="s">
        <v>457</v>
      </c>
      <c r="B86" s="0" t="s">
        <v>62</v>
      </c>
      <c r="C86" s="14" t="n">
        <f aca="false">ms_mu_26/(ms_sk_26+ms_ss_26+ms_mu_26)</f>
        <v>0.19</v>
      </c>
      <c r="D86" s="14" t="n">
        <f aca="false">ms_mu_27/(ms_sk_27+ms_ss_27+ms_mu_27)</f>
        <v>0.2</v>
      </c>
      <c r="E86" s="14" t="n">
        <f aca="false">ms_mu_28/(ms_sk_28+ms_ss_28+ms_mu_28)</f>
        <v>0.2</v>
      </c>
      <c r="F86" s="14" t="n">
        <f aca="false">ms_mu_29/(ms_sk_29+ms_ss_29+ms_mu_29)</f>
        <v>0.2</v>
      </c>
      <c r="G86" s="14" t="n">
        <f aca="false">ms_mu_29/(ms_sk_29+ms_ss_29+ms_mu_29)</f>
        <v>0.2</v>
      </c>
    </row>
    <row r="87" customFormat="false" ht="17.15" hidden="false" customHeight="false" outlineLevel="0" collapsed="false">
      <c r="A87" s="4" t="s">
        <v>458</v>
      </c>
      <c r="B87" s="0" t="s">
        <v>62</v>
      </c>
      <c r="C87" s="14" t="n">
        <f aca="false">C84*hsk_25+C85*hss+C86*hmu_25</f>
        <v>0.412</v>
      </c>
      <c r="D87" s="14" t="n">
        <f aca="false">D84*hsk_B+D85*hss+D86*hmu_B</f>
        <v>0.329</v>
      </c>
      <c r="E87" s="14" t="n">
        <f aca="false">E84*hsk_B+E85*hss+E86*hmu_B</f>
        <v>0.32</v>
      </c>
      <c r="F87" s="14" t="n">
        <f aca="false">F84*hsk_B+F85*hss+F86*hmu_B</f>
        <v>0.32</v>
      </c>
      <c r="G87" s="14" t="n">
        <f aca="false">G84*hsk_B+G85*hss+G86*hmu_B</f>
        <v>0.32</v>
      </c>
    </row>
    <row r="88" customFormat="false" ht="17.15" hidden="false" customHeight="false" outlineLevel="0" collapsed="false">
      <c r="A88" s="4" t="s">
        <v>459</v>
      </c>
      <c r="B88" s="4" t="s">
        <v>413</v>
      </c>
      <c r="C88" s="11" t="n">
        <f aca="false">C83*C87</f>
        <v>270.440441352942</v>
      </c>
      <c r="D88" s="11" t="n">
        <f aca="false">D83*D87</f>
        <v>238.610218275962</v>
      </c>
      <c r="E88" s="11" t="n">
        <f aca="false">E83*E87</f>
        <v>233.604403802198</v>
      </c>
      <c r="F88" s="11" t="n">
        <f aca="false">F83*F87</f>
        <v>219.729238285714</v>
      </c>
      <c r="G88" s="11" t="n">
        <f aca="false">G83*G87</f>
        <v>92.68098216</v>
      </c>
    </row>
    <row r="89" customFormat="false" ht="17.15" hidden="false" customHeight="false" outlineLevel="0" collapsed="false">
      <c r="A89" s="6" t="s">
        <v>460</v>
      </c>
    </row>
    <row r="90" customFormat="false" ht="17.15" hidden="false" customHeight="false" outlineLevel="0" collapsed="false">
      <c r="A90" s="4" t="s">
        <v>461</v>
      </c>
      <c r="B90" s="4" t="s">
        <v>226</v>
      </c>
      <c r="C90" s="11" t="n">
        <f aca="false">a25_rev-a25_hbm</f>
        <v>2895.034</v>
      </c>
      <c r="D90" s="11" t="n">
        <f aca="false">C90*(1+g_o26)</f>
        <v>3329.2891</v>
      </c>
      <c r="E90" s="11" t="n">
        <f aca="false">D90*(1+g_o_B)</f>
        <v>3595.632228</v>
      </c>
      <c r="F90" s="11" t="n">
        <f aca="false">E90*(1+g_o_B)</f>
        <v>3883.28280624</v>
      </c>
      <c r="G90" s="11" t="n">
        <f aca="false">F90*(1+g_o_B)</f>
        <v>4193.9454307392</v>
      </c>
    </row>
    <row r="91" customFormat="false" ht="17.15" hidden="false" customHeight="false" outlineLevel="0" collapsed="false">
      <c r="A91" s="0" t="s">
        <v>462</v>
      </c>
      <c r="B91" s="4" t="s">
        <v>226</v>
      </c>
      <c r="C91" s="11" t="n">
        <f aca="false">a25_hbm</f>
        <v>2871.966</v>
      </c>
      <c r="D91" s="11" t="n">
        <f aca="false">rev26-D90</f>
        <v>4210.5109</v>
      </c>
      <c r="E91" s="11" t="n">
        <f aca="false">$C92*E88</f>
        <v>3250.16334302261</v>
      </c>
      <c r="F91" s="11" t="n">
        <f aca="false">$C92*F88</f>
        <v>3057.11666408143</v>
      </c>
      <c r="G91" s="11" t="n">
        <f aca="false">$C92*G88</f>
        <v>1289.48053165481</v>
      </c>
      <c r="I91" s="8" t="s">
        <v>463</v>
      </c>
    </row>
    <row r="92" customFormat="false" ht="17.15" hidden="false" customHeight="false" outlineLevel="0" collapsed="false">
      <c r="A92" s="4" t="s">
        <v>464</v>
      </c>
      <c r="B92" s="4" t="s">
        <v>465</v>
      </c>
      <c r="C92" s="18" t="n">
        <f aca="false">(C91+D91)/(C88+D88)</f>
        <v>13.9131081868416</v>
      </c>
      <c r="I92" s="4" t="s">
        <v>466</v>
      </c>
    </row>
    <row r="93" customFormat="false" ht="15" hidden="false" customHeight="false" outlineLevel="0" collapsed="false">
      <c r="A93" s="4" t="s">
        <v>366</v>
      </c>
      <c r="B93" s="4" t="s">
        <v>226</v>
      </c>
      <c r="C93" s="11" t="n">
        <f aca="false">a25_rev</f>
        <v>5767</v>
      </c>
      <c r="D93" s="11" t="n">
        <f aca="false">D90+D91</f>
        <v>7539.8</v>
      </c>
      <c r="E93" s="11" t="n">
        <f aca="false">E90+E91</f>
        <v>6845.79557102261</v>
      </c>
      <c r="F93" s="11" t="n">
        <f aca="false">F90+F91</f>
        <v>6940.39947032143</v>
      </c>
      <c r="G93" s="11" t="n">
        <f aca="false">G90+G91</f>
        <v>5483.42596239402</v>
      </c>
    </row>
    <row r="94" customFormat="false" ht="17.15" hidden="false" customHeight="false" outlineLevel="0" collapsed="false">
      <c r="A94" s="0" t="s">
        <v>467</v>
      </c>
      <c r="B94" s="0" t="s">
        <v>62</v>
      </c>
      <c r="C94" s="14" t="n">
        <f aca="false">C91/C93</f>
        <v>0.498</v>
      </c>
      <c r="D94" s="14" t="n">
        <f aca="false">D91/D93</f>
        <v>0.558438008965755</v>
      </c>
      <c r="E94" s="14" t="n">
        <f aca="false">E91/E93</f>
        <v>0.474767805918737</v>
      </c>
      <c r="F94" s="14" t="n">
        <f aca="false">F91/F93</f>
        <v>0.440481369574516</v>
      </c>
      <c r="G94" s="14" t="n">
        <f aca="false">G91/G93</f>
        <v>0.235159650280358</v>
      </c>
    </row>
    <row r="95" customFormat="false" ht="17.15" hidden="false" customHeight="false" outlineLevel="0" collapsed="false">
      <c r="A95" s="4" t="s">
        <v>468</v>
      </c>
      <c r="B95" s="4" t="s">
        <v>226</v>
      </c>
      <c r="C95" s="11" t="n">
        <f aca="false">opex25</f>
        <v>806.7</v>
      </c>
      <c r="D95" s="11" t="n">
        <f aca="false">opex_fix+opex_var*D93</f>
        <v>930.691482573261</v>
      </c>
      <c r="E95" s="11" t="n">
        <f aca="false">opex_fix+opex_var*E93</f>
        <v>882.152088359974</v>
      </c>
      <c r="F95" s="11" t="n">
        <f aca="false">opex_fix+opex_var*F93</f>
        <v>888.768783831134</v>
      </c>
      <c r="G95" s="11" t="n">
        <f aca="false">opex_fix+opex_var*G93</f>
        <v>786.866535795323</v>
      </c>
      <c r="I95" s="4" t="s">
        <v>469</v>
      </c>
    </row>
    <row r="96" customFormat="false" ht="17.15" hidden="false" customHeight="false" outlineLevel="0" collapsed="false">
      <c r="A96" s="4" t="s">
        <v>436</v>
      </c>
      <c r="B96" s="0" t="s">
        <v>62</v>
      </c>
      <c r="C96" s="14" t="n">
        <f aca="false">a25_gp/a25_rev</f>
        <v>0.575793306745275</v>
      </c>
      <c r="D96" s="14" t="n">
        <f aca="false">(oi26+D95)/D93</f>
        <v>0.595267179842073</v>
      </c>
      <c r="E96" s="14" t="n">
        <f aca="false">$D96+0</f>
        <v>0.595267179842073</v>
      </c>
      <c r="F96" s="14" t="n">
        <f aca="false">$D96+0</f>
        <v>0.595267179842073</v>
      </c>
      <c r="G96" s="14" t="n">
        <f aca="false">$D96+0</f>
        <v>0.595267179842073</v>
      </c>
      <c r="I96" s="8" t="s">
        <v>470</v>
      </c>
    </row>
    <row r="97" customFormat="false" ht="15" hidden="false" customHeight="false" outlineLevel="0" collapsed="false">
      <c r="A97" s="4" t="s">
        <v>371</v>
      </c>
      <c r="B97" s="4" t="s">
        <v>226</v>
      </c>
      <c r="C97" s="11" t="n">
        <f aca="false">C93*C96</f>
        <v>3320.6</v>
      </c>
      <c r="D97" s="11" t="n">
        <f aca="false">D93*D96</f>
        <v>4488.19548257326</v>
      </c>
      <c r="E97" s="11" t="n">
        <f aca="false">E93*E96</f>
        <v>4075.07742333798</v>
      </c>
      <c r="F97" s="11" t="n">
        <f aca="false">F93*F96</f>
        <v>4131.39201967566</v>
      </c>
      <c r="G97" s="11" t="n">
        <f aca="false">G93*G96</f>
        <v>3264.10350850709</v>
      </c>
    </row>
    <row r="98" customFormat="false" ht="15" hidden="false" customHeight="false" outlineLevel="0" collapsed="false">
      <c r="A98" s="4" t="s">
        <v>374</v>
      </c>
      <c r="B98" s="4" t="s">
        <v>226</v>
      </c>
      <c r="C98" s="11" t="n">
        <f aca="false">a25_oi</f>
        <v>2513.9</v>
      </c>
      <c r="D98" s="11" t="n">
        <f aca="false">oi26</f>
        <v>3557.504</v>
      </c>
      <c r="E98" s="11" t="n">
        <f aca="false">E97-E95</f>
        <v>3192.92533497801</v>
      </c>
      <c r="F98" s="11" t="n">
        <f aca="false">F97-F95</f>
        <v>3242.62323584452</v>
      </c>
      <c r="G98" s="11" t="n">
        <f aca="false">G97-G95</f>
        <v>2477.23697271177</v>
      </c>
    </row>
    <row r="99" customFormat="false" ht="15" hidden="false" customHeight="false" outlineLevel="0" collapsed="false">
      <c r="A99" s="4" t="s">
        <v>377</v>
      </c>
      <c r="B99" s="0" t="s">
        <v>62</v>
      </c>
      <c r="C99" s="14" t="n">
        <f aca="false">C98/C93</f>
        <v>0.435911219004682</v>
      </c>
      <c r="D99" s="14" t="n">
        <f aca="false">D98/D93</f>
        <v>0.471830022016499</v>
      </c>
      <c r="E99" s="14" t="n">
        <f aca="false">E98/E93</f>
        <v>0.466406760449181</v>
      </c>
      <c r="F99" s="14" t="n">
        <f aca="false">F98/F93</f>
        <v>0.467209884634255</v>
      </c>
      <c r="G99" s="14" t="n">
        <f aca="false">G98/G93</f>
        <v>0.451768108058895</v>
      </c>
    </row>
    <row r="100" customFormat="false" ht="15" hidden="false" customHeight="false" outlineLevel="0" collapsed="false">
      <c r="A100" s="4" t="s">
        <v>437</v>
      </c>
      <c r="B100" s="4" t="s">
        <v>226</v>
      </c>
      <c r="C100" s="11" t="n">
        <f aca="false">a25_ni</f>
        <v>2140</v>
      </c>
      <c r="D100" s="11" t="n">
        <f aca="false">D98*nioi</f>
        <v>3028.38560006365</v>
      </c>
      <c r="E100" s="11" t="n">
        <f aca="false">E98*nioi</f>
        <v>2718.03182976767</v>
      </c>
      <c r="F100" s="11" t="n">
        <f aca="false">F98*nioi</f>
        <v>2760.33801054428</v>
      </c>
      <c r="G100" s="11" t="n">
        <f aca="false">G98*nioi</f>
        <v>2108.78997637264</v>
      </c>
    </row>
    <row r="101" customFormat="false" ht="15" hidden="false" customHeight="false" outlineLevel="0" collapsed="false">
      <c r="A101" s="0" t="s">
        <v>438</v>
      </c>
      <c r="B101" s="0" t="s">
        <v>302</v>
      </c>
      <c r="C101" s="11" t="n">
        <f aca="false">a25_eps</f>
        <v>2231.7</v>
      </c>
      <c r="D101" s="11" t="n">
        <f aca="false">D100*100/shares</f>
        <v>3158.15333815983</v>
      </c>
      <c r="E101" s="11" t="n">
        <f aca="false">E100*100/shares</f>
        <v>2834.50076378154</v>
      </c>
      <c r="F101" s="11" t="n">
        <f aca="false">F100*100/shares</f>
        <v>2878.61978417368</v>
      </c>
      <c r="G101" s="11" t="n">
        <f aca="false">G100*100/shares</f>
        <v>2199.15261227609</v>
      </c>
    </row>
    <row r="102" customFormat="false" ht="17.15" hidden="false" customHeight="false" outlineLevel="0" collapsed="false">
      <c r="A102" s="4" t="s">
        <v>471</v>
      </c>
      <c r="B102" s="4" t="s">
        <v>226</v>
      </c>
      <c r="C102" s="11" t="n">
        <f aca="false">$C92*C83</f>
        <v>9132.68718116666</v>
      </c>
      <c r="D102" s="11" t="n">
        <f aca="false">$C92*D83</f>
        <v>10090.6072381743</v>
      </c>
      <c r="E102" s="11" t="n">
        <f aca="false">$C92*E83</f>
        <v>10156.7604469456</v>
      </c>
      <c r="F102" s="11" t="n">
        <f aca="false">$C92*F83</f>
        <v>9553.48957525448</v>
      </c>
      <c r="G102" s="11" t="n">
        <f aca="false">$C92*G83</f>
        <v>4029.6266614213</v>
      </c>
      <c r="I102" s="4" t="s">
        <v>472</v>
      </c>
    </row>
    <row r="103" customFormat="false" ht="15" hidden="false" customHeight="false" outlineLevel="0" collapsed="false">
      <c r="A103" s="4" t="s">
        <v>473</v>
      </c>
      <c r="B103" s="0" t="s">
        <v>333</v>
      </c>
      <c r="C103" s="11" t="n">
        <f aca="false">C102/fx*100</f>
        <v>643.146984589201</v>
      </c>
      <c r="D103" s="11" t="n">
        <f aca="false">D102/fx*100</f>
        <v>710.6061435334</v>
      </c>
      <c r="E103" s="11" t="n">
        <f aca="false">E102/fx*100</f>
        <v>715.26482020744</v>
      </c>
      <c r="F103" s="11" t="n">
        <f aca="false">F102/fx*100</f>
        <v>672.780956003836</v>
      </c>
      <c r="G103" s="11" t="n">
        <f aca="false">G102/fx*100</f>
        <v>283.776525452204</v>
      </c>
    </row>
    <row r="106" customFormat="false" ht="17.15" hidden="false" customHeight="false" outlineLevel="0" collapsed="false">
      <c r="A106" s="1" t="s">
        <v>476</v>
      </c>
    </row>
    <row r="107" customFormat="false" ht="15" hidden="false" customHeight="false" outlineLevel="0" collapsed="false">
      <c r="A107" s="5" t="s">
        <v>14</v>
      </c>
      <c r="B107" s="5" t="s">
        <v>15</v>
      </c>
      <c r="C107" s="9" t="s">
        <v>401</v>
      </c>
      <c r="D107" s="9" t="s">
        <v>402</v>
      </c>
      <c r="E107" s="9" t="s">
        <v>403</v>
      </c>
      <c r="F107" s="9" t="s">
        <v>404</v>
      </c>
      <c r="G107" s="9" t="s">
        <v>405</v>
      </c>
      <c r="H107" s="9" t="s">
        <v>406</v>
      </c>
      <c r="I107" s="5" t="s">
        <v>407</v>
      </c>
    </row>
    <row r="108" customFormat="false" ht="17.15" hidden="false" customHeight="false" outlineLevel="0" collapsed="false">
      <c r="A108" s="6" t="s">
        <v>441</v>
      </c>
    </row>
    <row r="109" customFormat="false" ht="17.15" hidden="false" customHeight="false" outlineLevel="0" collapsed="false">
      <c r="A109" s="0" t="s">
        <v>442</v>
      </c>
      <c r="B109" s="0" t="s">
        <v>25</v>
      </c>
      <c r="C109" s="17" t="n">
        <f aca="false">hsC_25</f>
        <v>2.22511470588235</v>
      </c>
      <c r="D109" s="17" t="n">
        <f aca="false">hsC_26</f>
        <v>3.782695</v>
      </c>
      <c r="E109" s="17" t="n">
        <f aca="false">hsC_27</f>
        <v>5.86317725</v>
      </c>
      <c r="F109" s="17" t="n">
        <f aca="false">hsC_28</f>
        <v>6.16722</v>
      </c>
      <c r="G109" s="17" t="n">
        <f aca="false">hsC_29</f>
        <v>8.017386</v>
      </c>
      <c r="H109" s="17" t="n">
        <f aca="false">G109*(1+g_tail)</f>
        <v>8.8191246</v>
      </c>
      <c r="I109" s="8" t="s">
        <v>443</v>
      </c>
    </row>
    <row r="110" customFormat="false" ht="17.15" hidden="false" customHeight="false" outlineLevel="0" collapsed="false">
      <c r="A110" s="0" t="s">
        <v>444</v>
      </c>
      <c r="B110" s="0" t="s">
        <v>445</v>
      </c>
      <c r="C110" s="15" t="n">
        <f aca="false">den_25</f>
        <v>24</v>
      </c>
      <c r="D110" s="15" t="n">
        <f aca="false">den_26</f>
        <v>24</v>
      </c>
      <c r="E110" s="15" t="n">
        <f aca="false">den_27</f>
        <v>26</v>
      </c>
      <c r="F110" s="15" t="n">
        <f aca="false">den_28</f>
        <v>28</v>
      </c>
      <c r="G110" s="15" t="n">
        <f aca="false">den_29</f>
        <v>30</v>
      </c>
      <c r="H110" s="15" t="n">
        <f aca="false">den_30</f>
        <v>32</v>
      </c>
    </row>
    <row r="111" customFormat="false" ht="17.15" hidden="false" customHeight="false" outlineLevel="0" collapsed="false">
      <c r="A111" s="4" t="s">
        <v>446</v>
      </c>
      <c r="B111" s="4" t="s">
        <v>411</v>
      </c>
      <c r="C111" s="11" t="n">
        <f aca="false">C109*8000/C110</f>
        <v>741.704901960783</v>
      </c>
      <c r="D111" s="11" t="n">
        <f aca="false">D109*8000/D110</f>
        <v>1260.89833333333</v>
      </c>
      <c r="E111" s="11" t="n">
        <f aca="false">E109*8000/E110</f>
        <v>1804.05453846154</v>
      </c>
      <c r="F111" s="11" t="n">
        <f aca="false">F109*8000/F110</f>
        <v>1762.06285714286</v>
      </c>
      <c r="G111" s="11" t="n">
        <f aca="false">G109*8000/G110</f>
        <v>2137.9696</v>
      </c>
      <c r="H111" s="11" t="n">
        <f aca="false">H109*8000/H110</f>
        <v>2204.78115</v>
      </c>
      <c r="I111" s="8" t="s">
        <v>447</v>
      </c>
    </row>
    <row r="112" customFormat="false" ht="15" hidden="false" customHeight="false" outlineLevel="0" collapsed="false">
      <c r="A112" s="4" t="s">
        <v>448</v>
      </c>
      <c r="B112" s="4" t="s">
        <v>89</v>
      </c>
      <c r="C112" s="15" t="n">
        <f aca="false">stk_25</f>
        <v>10</v>
      </c>
      <c r="D112" s="15" t="n">
        <f aca="false">stk_26</f>
        <v>12</v>
      </c>
      <c r="E112" s="15" t="n">
        <f aca="false">stk_27</f>
        <v>12.5</v>
      </c>
      <c r="F112" s="15" t="n">
        <f aca="false">stk_28</f>
        <v>14</v>
      </c>
      <c r="G112" s="15" t="n">
        <f aca="false">stk_29</f>
        <v>15</v>
      </c>
      <c r="H112" s="15" t="n">
        <f aca="false">stk_30</f>
        <v>16</v>
      </c>
    </row>
    <row r="113" customFormat="false" ht="15" hidden="false" customHeight="false" outlineLevel="0" collapsed="false">
      <c r="A113" s="4" t="s">
        <v>449</v>
      </c>
      <c r="B113" s="0" t="s">
        <v>109</v>
      </c>
      <c r="C113" s="18" t="n">
        <f aca="false">1+beta*(C112-$C112)/4</f>
        <v>1</v>
      </c>
      <c r="D113" s="18" t="n">
        <f aca="false">1+beta*(D112-$C112)/4</f>
        <v>1.05</v>
      </c>
      <c r="E113" s="18" t="n">
        <f aca="false">1+beta*(E112-$C112)/4</f>
        <v>1.0625</v>
      </c>
      <c r="F113" s="18" t="n">
        <f aca="false">1+beta*(F112-$C112)/4</f>
        <v>1.1</v>
      </c>
      <c r="G113" s="18" t="n">
        <f aca="false">1+beta*(G112-$C112)/4</f>
        <v>1.125</v>
      </c>
      <c r="H113" s="18" t="n">
        <f aca="false">1+beta*(H112-$C112)/4</f>
        <v>1.15</v>
      </c>
    </row>
    <row r="114" customFormat="false" ht="17.15" hidden="false" customHeight="false" outlineLevel="0" collapsed="false">
      <c r="A114" s="4" t="s">
        <v>450</v>
      </c>
      <c r="B114" s="0" t="s">
        <v>62</v>
      </c>
      <c r="C114" s="14" t="n">
        <f aca="false">hbp_25_hi</f>
        <v>0</v>
      </c>
      <c r="D114" s="14" t="n">
        <f aca="false">hbp_26_hi</f>
        <v>0</v>
      </c>
      <c r="E114" s="14" t="n">
        <f aca="false">hbp_27_hi</f>
        <v>0.05</v>
      </c>
      <c r="F114" s="14" t="n">
        <f aca="false">hbp_28_hi</f>
        <v>0.15</v>
      </c>
      <c r="G114" s="14" t="n">
        <f aca="false">hbp_29_hi</f>
        <v>0.3</v>
      </c>
      <c r="H114" s="14" t="n">
        <f aca="false">hbp_30_hi</f>
        <v>0.4</v>
      </c>
      <c r="I114" s="4" t="s">
        <v>477</v>
      </c>
    </row>
    <row r="115" customFormat="false" ht="17.15" hidden="false" customHeight="false" outlineLevel="0" collapsed="false">
      <c r="A115" s="0" t="s">
        <v>452</v>
      </c>
      <c r="B115" s="4" t="s">
        <v>413</v>
      </c>
      <c r="C115" s="11" t="n">
        <f aca="false">C111*C113*(1-C114)</f>
        <v>741.704901960783</v>
      </c>
      <c r="D115" s="11" t="n">
        <f aca="false">D111*D113*(1-D114)</f>
        <v>1323.94325</v>
      </c>
      <c r="E115" s="11" t="n">
        <f aca="false">E111*E113*(1-E114)</f>
        <v>1820.96754975962</v>
      </c>
      <c r="F115" s="11" t="n">
        <f aca="false">F111*F113*(1-F114)</f>
        <v>1647.52877142857</v>
      </c>
      <c r="G115" s="11" t="n">
        <f aca="false">G111*G113*(1-G114)</f>
        <v>1683.65106</v>
      </c>
      <c r="H115" s="11" t="n">
        <f aca="false">H111*H113*(1-H114)</f>
        <v>1521.2989935</v>
      </c>
    </row>
    <row r="116" customFormat="false" ht="17.15" hidden="false" customHeight="false" outlineLevel="0" collapsed="false">
      <c r="A116" s="4" t="s">
        <v>453</v>
      </c>
      <c r="B116" s="4" t="s">
        <v>413</v>
      </c>
      <c r="C116" s="11" t="n">
        <f aca="false">MAX(0,D115-C115)+dlt*C115</f>
        <v>656.408838235295</v>
      </c>
      <c r="D116" s="11" t="n">
        <f aca="false">MAX(0,E115-D115)+dlt*D115</f>
        <v>629.418624759615</v>
      </c>
      <c r="E116" s="11" t="n">
        <f aca="false">MAX(0,F115-E115)+dlt*E115</f>
        <v>182.096754975962</v>
      </c>
      <c r="F116" s="11" t="n">
        <f aca="false">MAX(0,G115-F115)+dlt*F115</f>
        <v>200.875165714285</v>
      </c>
      <c r="G116" s="11" t="n">
        <f aca="false">MAX(0,H115-G115)+dlt*G115</f>
        <v>168.365106</v>
      </c>
      <c r="I116" s="4" t="s">
        <v>454</v>
      </c>
    </row>
    <row r="117" customFormat="false" ht="17.15" hidden="false" customHeight="false" outlineLevel="0" collapsed="false">
      <c r="A117" s="0" t="s">
        <v>455</v>
      </c>
      <c r="B117" s="0" t="s">
        <v>62</v>
      </c>
      <c r="C117" s="14" t="n">
        <f aca="false">ms_sk_26/(ms_sk_26+ms_ss_26+ms_mu_26)</f>
        <v>0.52</v>
      </c>
      <c r="D117" s="14" t="n">
        <f aca="false">ms_sk_27/(ms_sk_27+ms_ss_27+ms_mu_27)</f>
        <v>0.42</v>
      </c>
      <c r="E117" s="14" t="n">
        <f aca="false">ms_sk_28/(ms_sk_28+ms_ss_28+ms_mu_28)</f>
        <v>0.4</v>
      </c>
      <c r="F117" s="14" t="n">
        <f aca="false">ms_sk_29/(ms_sk_29+ms_ss_29+ms_mu_29)</f>
        <v>0.4</v>
      </c>
      <c r="G117" s="14" t="n">
        <f aca="false">ms_sk_29/(ms_sk_29+ms_ss_29+ms_mu_29)</f>
        <v>0.4</v>
      </c>
    </row>
    <row r="118" customFormat="false" ht="17.15" hidden="false" customHeight="false" outlineLevel="0" collapsed="false">
      <c r="A118" s="4" t="s">
        <v>456</v>
      </c>
      <c r="B118" s="0" t="s">
        <v>62</v>
      </c>
      <c r="C118" s="14" t="n">
        <f aca="false">ms_ss_26/(ms_sk_26+ms_ss_26+ms_mu_26)</f>
        <v>0.29</v>
      </c>
      <c r="D118" s="14" t="n">
        <f aca="false">ms_ss_27/(ms_sk_27+ms_ss_27+ms_mu_27)</f>
        <v>0.38</v>
      </c>
      <c r="E118" s="14" t="n">
        <f aca="false">ms_ss_28/(ms_sk_28+ms_ss_28+ms_mu_28)</f>
        <v>0.4</v>
      </c>
      <c r="F118" s="14" t="n">
        <f aca="false">ms_ss_29/(ms_sk_29+ms_ss_29+ms_mu_29)</f>
        <v>0.4</v>
      </c>
      <c r="G118" s="14" t="n">
        <f aca="false">ms_ss_29/(ms_sk_29+ms_ss_29+ms_mu_29)</f>
        <v>0.4</v>
      </c>
    </row>
    <row r="119" customFormat="false" ht="17.15" hidden="false" customHeight="false" outlineLevel="0" collapsed="false">
      <c r="A119" s="4" t="s">
        <v>457</v>
      </c>
      <c r="B119" s="0" t="s">
        <v>62</v>
      </c>
      <c r="C119" s="14" t="n">
        <f aca="false">ms_mu_26/(ms_sk_26+ms_ss_26+ms_mu_26)</f>
        <v>0.19</v>
      </c>
      <c r="D119" s="14" t="n">
        <f aca="false">ms_mu_27/(ms_sk_27+ms_ss_27+ms_mu_27)</f>
        <v>0.2</v>
      </c>
      <c r="E119" s="14" t="n">
        <f aca="false">ms_mu_28/(ms_sk_28+ms_ss_28+ms_mu_28)</f>
        <v>0.2</v>
      </c>
      <c r="F119" s="14" t="n">
        <f aca="false">ms_mu_29/(ms_sk_29+ms_ss_29+ms_mu_29)</f>
        <v>0.2</v>
      </c>
      <c r="G119" s="14" t="n">
        <f aca="false">ms_mu_29/(ms_sk_29+ms_ss_29+ms_mu_29)</f>
        <v>0.2</v>
      </c>
    </row>
    <row r="120" customFormat="false" ht="17.15" hidden="false" customHeight="false" outlineLevel="0" collapsed="false">
      <c r="A120" s="4" t="s">
        <v>458</v>
      </c>
      <c r="B120" s="0" t="s">
        <v>62</v>
      </c>
      <c r="C120" s="14" t="n">
        <f aca="false">C117*hsk_25+C118*hss+C119*hmu_25</f>
        <v>0.412</v>
      </c>
      <c r="D120" s="14" t="n">
        <f aca="false">D117*hsk_C+D118*hss+D119*hmu_C</f>
        <v>0.257</v>
      </c>
      <c r="E120" s="14" t="n">
        <f aca="false">E117*hsk_C+E118*hss+E119*hmu_C</f>
        <v>0.25</v>
      </c>
      <c r="F120" s="14" t="n">
        <f aca="false">F117*hsk_C+F118*hss+F119*hmu_C</f>
        <v>0.25</v>
      </c>
      <c r="G120" s="14" t="n">
        <f aca="false">G117*hsk_C+G118*hss+G119*hmu_C</f>
        <v>0.25</v>
      </c>
    </row>
    <row r="121" customFormat="false" ht="17.15" hidden="false" customHeight="false" outlineLevel="0" collapsed="false">
      <c r="A121" s="4" t="s">
        <v>459</v>
      </c>
      <c r="B121" s="4" t="s">
        <v>413</v>
      </c>
      <c r="C121" s="11" t="n">
        <f aca="false">C116*C120</f>
        <v>270.440441352942</v>
      </c>
      <c r="D121" s="11" t="n">
        <f aca="false">D116*D120</f>
        <v>161.760586563221</v>
      </c>
      <c r="E121" s="11" t="n">
        <f aca="false">E116*E120</f>
        <v>45.5241887439904</v>
      </c>
      <c r="F121" s="11" t="n">
        <f aca="false">F116*F120</f>
        <v>50.2187914285714</v>
      </c>
      <c r="G121" s="11" t="n">
        <f aca="false">G116*G120</f>
        <v>42.0912765</v>
      </c>
    </row>
    <row r="122" customFormat="false" ht="17.15" hidden="false" customHeight="false" outlineLevel="0" collapsed="false">
      <c r="A122" s="6" t="s">
        <v>460</v>
      </c>
    </row>
    <row r="123" customFormat="false" ht="17.15" hidden="false" customHeight="false" outlineLevel="0" collapsed="false">
      <c r="A123" s="4" t="s">
        <v>461</v>
      </c>
      <c r="B123" s="4" t="s">
        <v>226</v>
      </c>
      <c r="C123" s="11" t="n">
        <f aca="false">a25_rev-a25_hbm</f>
        <v>2895.034</v>
      </c>
      <c r="D123" s="11" t="n">
        <f aca="false">C123*(1+g_o26)</f>
        <v>3329.2891</v>
      </c>
      <c r="E123" s="11" t="n">
        <f aca="false">D123*(1+g_o_C)</f>
        <v>3162.824645</v>
      </c>
      <c r="F123" s="11" t="n">
        <f aca="false">E123*(1+g_o_C)</f>
        <v>3004.68341275</v>
      </c>
      <c r="G123" s="11" t="n">
        <f aca="false">F123*(1+g_o_C)</f>
        <v>2854.4492421125</v>
      </c>
    </row>
    <row r="124" customFormat="false" ht="17.15" hidden="false" customHeight="false" outlineLevel="0" collapsed="false">
      <c r="A124" s="0" t="s">
        <v>462</v>
      </c>
      <c r="B124" s="4" t="s">
        <v>226</v>
      </c>
      <c r="C124" s="11" t="n">
        <f aca="false">a25_hbm</f>
        <v>2871.966</v>
      </c>
      <c r="D124" s="11" t="n">
        <f aca="false">rev26-D123</f>
        <v>4210.5109</v>
      </c>
      <c r="E124" s="11" t="n">
        <f aca="false">$C125*E121</f>
        <v>746.004739334158</v>
      </c>
      <c r="F124" s="11" t="n">
        <f aca="false">$C125*F121</f>
        <v>822.935178922729</v>
      </c>
      <c r="G124" s="11" t="n">
        <f aca="false">$C125*G121</f>
        <v>689.749617070762</v>
      </c>
      <c r="I124" s="8" t="s">
        <v>463</v>
      </c>
    </row>
    <row r="125" customFormat="false" ht="17.15" hidden="false" customHeight="false" outlineLevel="0" collapsed="false">
      <c r="A125" s="4" t="s">
        <v>464</v>
      </c>
      <c r="B125" s="4" t="s">
        <v>465</v>
      </c>
      <c r="C125" s="18" t="n">
        <f aca="false">(C124+D124)/(C121+D121)</f>
        <v>16.3869968892666</v>
      </c>
      <c r="I125" s="4" t="s">
        <v>466</v>
      </c>
    </row>
    <row r="126" customFormat="false" ht="15" hidden="false" customHeight="false" outlineLevel="0" collapsed="false">
      <c r="A126" s="4" t="s">
        <v>366</v>
      </c>
      <c r="B126" s="4" t="s">
        <v>226</v>
      </c>
      <c r="C126" s="11" t="n">
        <f aca="false">a25_rev</f>
        <v>5767</v>
      </c>
      <c r="D126" s="11" t="n">
        <f aca="false">D123+D124</f>
        <v>7539.8</v>
      </c>
      <c r="E126" s="11" t="n">
        <f aca="false">E123+E124</f>
        <v>3908.82938433416</v>
      </c>
      <c r="F126" s="11" t="n">
        <f aca="false">F123+F124</f>
        <v>3827.61859167273</v>
      </c>
      <c r="G126" s="11" t="n">
        <f aca="false">G123+G124</f>
        <v>3544.19885918326</v>
      </c>
    </row>
    <row r="127" customFormat="false" ht="17.15" hidden="false" customHeight="false" outlineLevel="0" collapsed="false">
      <c r="A127" s="0" t="s">
        <v>467</v>
      </c>
      <c r="B127" s="0" t="s">
        <v>62</v>
      </c>
      <c r="C127" s="14" t="n">
        <f aca="false">C124/C126</f>
        <v>0.498</v>
      </c>
      <c r="D127" s="14" t="n">
        <f aca="false">D124/D126</f>
        <v>0.558438008965755</v>
      </c>
      <c r="E127" s="14" t="n">
        <f aca="false">E124/E126</f>
        <v>0.190851189955745</v>
      </c>
      <c r="F127" s="14" t="n">
        <f aca="false">F124/F126</f>
        <v>0.214999263697038</v>
      </c>
      <c r="G127" s="14" t="n">
        <f aca="false">G124/G126</f>
        <v>0.194613689715399</v>
      </c>
    </row>
    <row r="128" customFormat="false" ht="17.15" hidden="false" customHeight="false" outlineLevel="0" collapsed="false">
      <c r="A128" s="4" t="s">
        <v>468</v>
      </c>
      <c r="B128" s="4" t="s">
        <v>226</v>
      </c>
      <c r="C128" s="11" t="n">
        <f aca="false">opex25</f>
        <v>806.7</v>
      </c>
      <c r="D128" s="11" t="n">
        <f aca="false">opex_fix+opex_var*D126</f>
        <v>930.691482573261</v>
      </c>
      <c r="E128" s="11" t="n">
        <f aca="false">opex_fix+opex_var*E126</f>
        <v>676.737607451219</v>
      </c>
      <c r="F128" s="11" t="n">
        <f aca="false">opex_fix+opex_var*F126</f>
        <v>671.057639838945</v>
      </c>
      <c r="G128" s="11" t="n">
        <f aca="false">opex_fix+opex_var*G126</f>
        <v>651.234967895191</v>
      </c>
      <c r="I128" s="4" t="s">
        <v>469</v>
      </c>
    </row>
    <row r="129" customFormat="false" ht="17.15" hidden="false" customHeight="false" outlineLevel="0" collapsed="false">
      <c r="A129" s="4" t="s">
        <v>436</v>
      </c>
      <c r="B129" s="0" t="s">
        <v>62</v>
      </c>
      <c r="C129" s="14" t="n">
        <f aca="false">a25_gp/a25_rev</f>
        <v>0.575793306745275</v>
      </c>
      <c r="D129" s="14" t="n">
        <f aca="false">(oi26+D128)/D126</f>
        <v>0.595267179842073</v>
      </c>
      <c r="E129" s="14" t="n">
        <f aca="false">$D129+0</f>
        <v>0.595267179842073</v>
      </c>
      <c r="F129" s="14" t="n">
        <f aca="false">$D129+gm_adj_C28</f>
        <v>0.565267179842073</v>
      </c>
      <c r="G129" s="14" t="n">
        <f aca="false">$D129+gm_adj_C29</f>
        <v>0.545267179842073</v>
      </c>
      <c r="I129" s="8" t="s">
        <v>470</v>
      </c>
    </row>
    <row r="130" customFormat="false" ht="15" hidden="false" customHeight="false" outlineLevel="0" collapsed="false">
      <c r="A130" s="4" t="s">
        <v>371</v>
      </c>
      <c r="B130" s="4" t="s">
        <v>226</v>
      </c>
      <c r="C130" s="11" t="n">
        <f aca="false">C126*C129</f>
        <v>3320.6</v>
      </c>
      <c r="D130" s="11" t="n">
        <f aca="false">D126*D129</f>
        <v>4488.19548257326</v>
      </c>
      <c r="E130" s="11" t="n">
        <f aca="false">E126*E129</f>
        <v>2326.79784409642</v>
      </c>
      <c r="F130" s="11" t="n">
        <f aca="false">F126*F129</f>
        <v>2163.62716682593</v>
      </c>
      <c r="G130" s="11" t="n">
        <f aca="false">G126*G129</f>
        <v>1932.53531674635</v>
      </c>
    </row>
    <row r="131" customFormat="false" ht="15" hidden="false" customHeight="false" outlineLevel="0" collapsed="false">
      <c r="A131" s="4" t="s">
        <v>374</v>
      </c>
      <c r="B131" s="4" t="s">
        <v>226</v>
      </c>
      <c r="C131" s="11" t="n">
        <f aca="false">a25_oi</f>
        <v>2513.9</v>
      </c>
      <c r="D131" s="11" t="n">
        <f aca="false">oi26</f>
        <v>3557.504</v>
      </c>
      <c r="E131" s="11" t="n">
        <f aca="false">E130-E128</f>
        <v>1650.0602366452</v>
      </c>
      <c r="F131" s="11" t="n">
        <f aca="false">F130-F128</f>
        <v>1492.56952698699</v>
      </c>
      <c r="G131" s="11" t="n">
        <f aca="false">G130-G128</f>
        <v>1281.30034885116</v>
      </c>
    </row>
    <row r="132" customFormat="false" ht="15" hidden="false" customHeight="false" outlineLevel="0" collapsed="false">
      <c r="A132" s="4" t="s">
        <v>377</v>
      </c>
      <c r="B132" s="0" t="s">
        <v>62</v>
      </c>
      <c r="C132" s="14" t="n">
        <f aca="false">C131/C126</f>
        <v>0.435911219004682</v>
      </c>
      <c r="D132" s="14" t="n">
        <f aca="false">D131/D126</f>
        <v>0.471830022016499</v>
      </c>
      <c r="E132" s="14" t="n">
        <f aca="false">E131/E126</f>
        <v>0.422136674283694</v>
      </c>
      <c r="F132" s="14" t="n">
        <f aca="false">F131/F126</f>
        <v>0.389947297840538</v>
      </c>
      <c r="G132" s="14" t="n">
        <f aca="false">G131/G126</f>
        <v>0.361520445031243</v>
      </c>
    </row>
    <row r="133" customFormat="false" ht="15" hidden="false" customHeight="false" outlineLevel="0" collapsed="false">
      <c r="A133" s="4" t="s">
        <v>437</v>
      </c>
      <c r="B133" s="4" t="s">
        <v>226</v>
      </c>
      <c r="C133" s="11" t="n">
        <f aca="false">a25_ni</f>
        <v>2140</v>
      </c>
      <c r="D133" s="11" t="n">
        <f aca="false">D131*nioi</f>
        <v>3028.38560006365</v>
      </c>
      <c r="E133" s="11" t="n">
        <f aca="false">E131*nioi</f>
        <v>1404.64175441375</v>
      </c>
      <c r="F133" s="11" t="n">
        <f aca="false">F131*nioi</f>
        <v>1270.57511744785</v>
      </c>
      <c r="G133" s="11" t="n">
        <f aca="false">G131*nioi</f>
        <v>1090.7286473374</v>
      </c>
    </row>
    <row r="134" customFormat="false" ht="15" hidden="false" customHeight="false" outlineLevel="0" collapsed="false">
      <c r="A134" s="0" t="s">
        <v>438</v>
      </c>
      <c r="B134" s="0" t="s">
        <v>302</v>
      </c>
      <c r="C134" s="11" t="n">
        <f aca="false">a25_eps</f>
        <v>2231.7</v>
      </c>
      <c r="D134" s="11" t="n">
        <f aca="false">D133*100/shares</f>
        <v>3158.15333815983</v>
      </c>
      <c r="E134" s="11" t="n">
        <f aca="false">E133*100/shares</f>
        <v>1464.83130996503</v>
      </c>
      <c r="F134" s="11" t="n">
        <f aca="false">F133*100/shares</f>
        <v>1325.01985495718</v>
      </c>
      <c r="G134" s="11" t="n">
        <f aca="false">G133*100/shares</f>
        <v>1137.46687956209</v>
      </c>
    </row>
    <row r="135" customFormat="false" ht="17.15" hidden="false" customHeight="false" outlineLevel="0" collapsed="false">
      <c r="A135" s="4" t="s">
        <v>471</v>
      </c>
      <c r="B135" s="4" t="s">
        <v>226</v>
      </c>
      <c r="C135" s="11" t="n">
        <f aca="false">$C125*C116</f>
        <v>10756.5695902489</v>
      </c>
      <c r="D135" s="11" t="n">
        <f aca="false">$C125*D116</f>
        <v>10314.2810459823</v>
      </c>
      <c r="E135" s="11" t="n">
        <f aca="false">$C125*E116</f>
        <v>2984.01895733663</v>
      </c>
      <c r="F135" s="11" t="n">
        <f aca="false">$C125*F116</f>
        <v>3291.74071569092</v>
      </c>
      <c r="G135" s="11" t="n">
        <f aca="false">$C125*G116</f>
        <v>2758.99846828305</v>
      </c>
      <c r="I135" s="4" t="s">
        <v>472</v>
      </c>
    </row>
    <row r="136" customFormat="false" ht="15" hidden="false" customHeight="false" outlineLevel="0" collapsed="false">
      <c r="A136" s="4" t="s">
        <v>473</v>
      </c>
      <c r="B136" s="0" t="s">
        <v>333</v>
      </c>
      <c r="C136" s="11" t="n">
        <f aca="false">C135/fx*100</f>
        <v>757.504900721754</v>
      </c>
      <c r="D136" s="11" t="n">
        <f aca="false">D135/fx*100</f>
        <v>726.357820139599</v>
      </c>
      <c r="E136" s="11" t="n">
        <f aca="false">E135/fx*100</f>
        <v>210.142180094129</v>
      </c>
      <c r="F136" s="11" t="n">
        <f aca="false">F135/fx*100</f>
        <v>231.812726457107</v>
      </c>
      <c r="G136" s="11" t="n">
        <f aca="false">G135/fx*100</f>
        <v>194.295666780496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478</v>
      </c>
    </row>
    <row r="2" customFormat="false" ht="17.15" hidden="false" customHeight="false" outlineLevel="0" collapsed="false">
      <c r="A2" s="0" t="s">
        <v>479</v>
      </c>
    </row>
    <row r="4" customFormat="false" ht="17.15" hidden="false" customHeight="false" outlineLevel="0" collapsed="false">
      <c r="A4" s="6" t="s">
        <v>480</v>
      </c>
    </row>
    <row r="5" customFormat="false" ht="15" hidden="false" customHeight="false" outlineLevel="0" collapsed="false">
      <c r="A5" s="5" t="s">
        <v>14</v>
      </c>
      <c r="B5" s="5" t="s">
        <v>481</v>
      </c>
      <c r="C5" s="5"/>
      <c r="D5" s="5"/>
      <c r="E5" s="5" t="s">
        <v>407</v>
      </c>
    </row>
    <row r="6" customFormat="false" ht="17.15" hidden="false" customHeight="false" outlineLevel="0" collapsed="false">
      <c r="A6" s="19" t="s">
        <v>482</v>
      </c>
      <c r="B6" s="20" t="n">
        <f aca="false">tp_wA*B8+tp_wB*B9+tp_wC*B10</f>
        <v>57464.4298285149</v>
      </c>
      <c r="C6" s="19"/>
      <c r="D6" s="19"/>
      <c r="E6" s="19" t="s">
        <v>483</v>
      </c>
    </row>
    <row r="7" customFormat="false" ht="17.15" hidden="false" customHeight="false" outlineLevel="0" collapsed="false">
      <c r="A7" s="4" t="s">
        <v>484</v>
      </c>
      <c r="B7" s="14" t="n">
        <f aca="false">B6/px-1</f>
        <v>-0.695148913376579</v>
      </c>
      <c r="E7" s="4" t="s">
        <v>485</v>
      </c>
    </row>
    <row r="8" customFormat="false" ht="17.15" hidden="false" customHeight="false" outlineLevel="0" collapsed="false">
      <c r="A8" s="4" t="s">
        <v>486</v>
      </c>
      <c r="B8" s="11" t="n">
        <f aca="false">F44</f>
        <v>72899.892326503</v>
      </c>
      <c r="E8" s="8" t="s">
        <v>487</v>
      </c>
    </row>
    <row r="9" customFormat="false" ht="17.15" hidden="false" customHeight="false" outlineLevel="0" collapsed="false">
      <c r="A9" s="4" t="s">
        <v>488</v>
      </c>
      <c r="B9" s="11" t="n">
        <f aca="false">F51</f>
        <v>61140.1814747679</v>
      </c>
      <c r="E9" s="8" t="s">
        <v>489</v>
      </c>
    </row>
    <row r="10" customFormat="false" ht="17.15" hidden="false" customHeight="false" outlineLevel="0" collapsed="false">
      <c r="A10" s="4" t="s">
        <v>490</v>
      </c>
      <c r="B10" s="11" t="n">
        <f aca="false">F58</f>
        <v>25121.8569659003</v>
      </c>
      <c r="E10" s="8" t="s">
        <v>491</v>
      </c>
    </row>
    <row r="11" customFormat="false" ht="17.15" hidden="false" customHeight="false" outlineLevel="0" collapsed="false">
      <c r="A11" s="4" t="s">
        <v>492</v>
      </c>
      <c r="B11" s="21" t="n">
        <f aca="false">tp_wA</f>
        <v>0.3</v>
      </c>
      <c r="C11" s="21" t="n">
        <f aca="false">tp_wB</f>
        <v>0.5</v>
      </c>
      <c r="D11" s="21" t="n">
        <f aca="false">tp_wC</f>
        <v>0.2</v>
      </c>
      <c r="E11" s="8" t="s">
        <v>493</v>
      </c>
    </row>
    <row r="12" customFormat="false" ht="17.15" hidden="false" customHeight="false" outlineLevel="0" collapsed="false">
      <c r="A12" s="4" t="s">
        <v>494</v>
      </c>
      <c r="B12" s="0" t="s">
        <v>495</v>
      </c>
    </row>
    <row r="14" customFormat="false" ht="17.15" hidden="false" customHeight="false" outlineLevel="0" collapsed="false">
      <c r="A14" s="6" t="s">
        <v>496</v>
      </c>
    </row>
    <row r="15" customFormat="false" ht="17.15" hidden="false" customHeight="false" outlineLevel="0" collapsed="false">
      <c r="A15" s="5" t="s">
        <v>497</v>
      </c>
      <c r="B15" s="5" t="s">
        <v>498</v>
      </c>
      <c r="C15" s="5" t="s">
        <v>499</v>
      </c>
      <c r="D15" s="5" t="s">
        <v>500</v>
      </c>
      <c r="E15" s="5" t="s">
        <v>19</v>
      </c>
      <c r="F15" s="5" t="s">
        <v>501</v>
      </c>
    </row>
    <row r="16" customFormat="false" ht="17.15" hidden="false" customHeight="false" outlineLevel="0" collapsed="false">
      <c r="A16" s="0" t="s">
        <v>502</v>
      </c>
      <c r="B16" s="22" t="n">
        <v>23.2</v>
      </c>
      <c r="C16" s="15"/>
      <c r="D16" s="15" t="str">
        <f aca="false">IF(C16="","",B16-C16)</f>
        <v/>
      </c>
      <c r="E16" s="8" t="s">
        <v>503</v>
      </c>
      <c r="F16" s="4" t="s">
        <v>504</v>
      </c>
    </row>
    <row r="17" customFormat="false" ht="17.15" hidden="false" customHeight="false" outlineLevel="0" collapsed="false">
      <c r="A17" s="0" t="s">
        <v>505</v>
      </c>
      <c r="B17" s="22" t="n">
        <v>55</v>
      </c>
      <c r="C17" s="15"/>
      <c r="D17" s="15" t="str">
        <f aca="false">IF(C17="","",B17-C17)</f>
        <v/>
      </c>
      <c r="E17" s="8" t="s">
        <v>503</v>
      </c>
      <c r="F17" s="4" t="s">
        <v>396</v>
      </c>
    </row>
    <row r="18" customFormat="false" ht="17.15" hidden="false" customHeight="false" outlineLevel="0" collapsed="false">
      <c r="A18" s="0" t="s">
        <v>506</v>
      </c>
      <c r="B18" s="22" t="n">
        <v>7.16</v>
      </c>
      <c r="C18" s="22" t="n">
        <v>9.7</v>
      </c>
      <c r="D18" s="15" t="n">
        <f aca="false">IF(C18="","",B18-C18)</f>
        <v>-2.54</v>
      </c>
      <c r="E18" s="8" t="s">
        <v>503</v>
      </c>
      <c r="F18" s="8" t="s">
        <v>507</v>
      </c>
    </row>
    <row r="19" customFormat="false" ht="17.15" hidden="false" customHeight="false" outlineLevel="0" collapsed="false">
      <c r="A19" s="0" t="s">
        <v>508</v>
      </c>
      <c r="B19" s="22" t="n">
        <v>19.7</v>
      </c>
      <c r="C19" s="22" t="n">
        <v>24.1</v>
      </c>
      <c r="D19" s="15" t="n">
        <f aca="false">IF(C19="","",B19-C19)</f>
        <v>-4.4</v>
      </c>
      <c r="E19" s="8" t="s">
        <v>503</v>
      </c>
      <c r="F19" s="8" t="s">
        <v>509</v>
      </c>
    </row>
    <row r="20" customFormat="false" ht="17.15" hidden="false" customHeight="false" outlineLevel="0" collapsed="false">
      <c r="A20" s="0" t="s">
        <v>510</v>
      </c>
      <c r="B20" s="22" t="n">
        <v>17.2</v>
      </c>
      <c r="C20" s="22" t="n">
        <v>18.78</v>
      </c>
      <c r="D20" s="15" t="n">
        <f aca="false">IF(C20="","",B20-C20)</f>
        <v>-1.58</v>
      </c>
      <c r="E20" s="8" t="s">
        <v>503</v>
      </c>
      <c r="F20" s="8" t="s">
        <v>511</v>
      </c>
    </row>
    <row r="21" customFormat="false" ht="17.15" hidden="false" customHeight="false" outlineLevel="0" collapsed="false">
      <c r="A21" s="0" t="s">
        <v>512</v>
      </c>
      <c r="B21" s="22" t="n">
        <v>34.8</v>
      </c>
      <c r="C21" s="22" t="n">
        <v>17.93</v>
      </c>
      <c r="D21" s="15" t="n">
        <f aca="false">IF(C21="","",B21-C21)</f>
        <v>16.87</v>
      </c>
      <c r="E21" s="8" t="s">
        <v>503</v>
      </c>
      <c r="F21" s="8" t="s">
        <v>513</v>
      </c>
    </row>
    <row r="22" customFormat="false" ht="17.15" hidden="false" customHeight="false" outlineLevel="0" collapsed="false">
      <c r="A22" s="0" t="s">
        <v>514</v>
      </c>
      <c r="B22" s="22" t="n">
        <v>12.1</v>
      </c>
      <c r="C22" s="22" t="n">
        <v>12.13</v>
      </c>
      <c r="D22" s="15" t="n">
        <f aca="false">IF(C22="","",B22-C22)</f>
        <v>-0.0300000000000011</v>
      </c>
      <c r="E22" s="8" t="s">
        <v>503</v>
      </c>
      <c r="F22" s="8" t="s">
        <v>515</v>
      </c>
    </row>
    <row r="23" customFormat="false" ht="17.15" hidden="false" customHeight="false" outlineLevel="0" collapsed="false">
      <c r="A23" s="0" t="s">
        <v>516</v>
      </c>
      <c r="B23" s="22" t="n">
        <v>21.8</v>
      </c>
      <c r="C23" s="22" t="n">
        <v>22.48</v>
      </c>
      <c r="D23" s="15" t="n">
        <f aca="false">IF(C23="","",B23-C23)</f>
        <v>-0.68</v>
      </c>
      <c r="E23" s="8" t="s">
        <v>503</v>
      </c>
      <c r="F23" s="8" t="s">
        <v>517</v>
      </c>
    </row>
    <row r="24" customFormat="false" ht="17.15" hidden="false" customHeight="false" outlineLevel="0" collapsed="false">
      <c r="A24" s="0" t="s">
        <v>518</v>
      </c>
      <c r="B24" s="22" t="n">
        <v>51.5</v>
      </c>
      <c r="C24" s="22" t="n">
        <v>51.76</v>
      </c>
      <c r="D24" s="15" t="n">
        <f aca="false">IF(C24="","",B24-C24)</f>
        <v>-0.259999999999998</v>
      </c>
      <c r="E24" s="8" t="s">
        <v>503</v>
      </c>
      <c r="F24" s="8" t="s">
        <v>517</v>
      </c>
    </row>
    <row r="25" customFormat="false" ht="17.15" hidden="false" customHeight="false" outlineLevel="0" collapsed="false">
      <c r="A25" s="0" t="s">
        <v>519</v>
      </c>
      <c r="B25" s="22" t="n">
        <v>56.5</v>
      </c>
      <c r="C25" s="22" t="n">
        <v>56.47</v>
      </c>
      <c r="D25" s="15" t="n">
        <f aca="false">IF(C25="","",B25-C25)</f>
        <v>0.0300000000000011</v>
      </c>
      <c r="E25" s="8" t="s">
        <v>503</v>
      </c>
      <c r="F25" s="8" t="s">
        <v>517</v>
      </c>
    </row>
    <row r="26" customFormat="false" ht="17.15" hidden="false" customHeight="false" outlineLevel="0" collapsed="false">
      <c r="A26" s="4" t="s">
        <v>520</v>
      </c>
    </row>
    <row r="28" customFormat="false" ht="17.15" hidden="false" customHeight="false" outlineLevel="0" collapsed="false">
      <c r="A28" s="6" t="s">
        <v>521</v>
      </c>
    </row>
    <row r="29" customFormat="false" ht="17.15" hidden="false" customHeight="false" outlineLevel="0" collapsed="false">
      <c r="A29" s="5" t="s">
        <v>522</v>
      </c>
      <c r="B29" s="5" t="s">
        <v>523</v>
      </c>
      <c r="C29" s="5" t="s">
        <v>20</v>
      </c>
      <c r="D29" s="5" t="s">
        <v>524</v>
      </c>
      <c r="E29" s="5" t="s">
        <v>525</v>
      </c>
    </row>
    <row r="30" customFormat="false" ht="17.15" hidden="false" customHeight="false" outlineLevel="0" collapsed="false">
      <c r="A30" s="0" t="s">
        <v>526</v>
      </c>
      <c r="B30" s="15" t="n">
        <f aca="false">ROUND(AVERAGE(C30,D30),2)</f>
        <v>17.15</v>
      </c>
      <c r="C30" s="15" t="n">
        <f aca="false">PERCENTILE(B16:B25,0.25)</f>
        <v>17.825</v>
      </c>
      <c r="D30" s="15" t="n">
        <f aca="false">PERCENTILE(C16:C25,0.25)</f>
        <v>16.48</v>
      </c>
      <c r="E30" s="4" t="s">
        <v>527</v>
      </c>
    </row>
    <row r="31" customFormat="false" ht="15" hidden="false" customHeight="false" outlineLevel="0" collapsed="false">
      <c r="A31" s="4" t="s">
        <v>528</v>
      </c>
      <c r="B31" s="15" t="n">
        <f aca="false">ROUND(AVERAGE(C31,D31),2)</f>
        <v>21.57</v>
      </c>
      <c r="C31" s="15" t="n">
        <f aca="false">PERCENTILE(B16:B25,0.5)</f>
        <v>22.5</v>
      </c>
      <c r="D31" s="15" t="n">
        <f aca="false">PERCENTILE(C16:C25,0.5)</f>
        <v>20.63</v>
      </c>
      <c r="E31" s="4" t="s">
        <v>529</v>
      </c>
    </row>
    <row r="32" customFormat="false" ht="17.15" hidden="false" customHeight="false" outlineLevel="0" collapsed="false">
      <c r="A32" s="0" t="s">
        <v>530</v>
      </c>
      <c r="B32" s="15" t="n">
        <f aca="false">ROUND(AVERAGE(C32,D32),2)</f>
        <v>39.17</v>
      </c>
      <c r="C32" s="15" t="n">
        <f aca="false">PERCENTILE(B16:B25,0.75)</f>
        <v>47.325</v>
      </c>
      <c r="D32" s="15" t="n">
        <f aca="false">PERCENTILE(C16:C25,0.75)</f>
        <v>31.015</v>
      </c>
      <c r="E32" s="4" t="s">
        <v>531</v>
      </c>
    </row>
    <row r="33" customFormat="false" ht="15" hidden="false" customHeight="false" outlineLevel="0" collapsed="false">
      <c r="A33" s="4" t="s">
        <v>532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533</v>
      </c>
    </row>
    <row r="36" customFormat="false" ht="17.15" hidden="false" customHeight="false" outlineLevel="0" collapsed="false">
      <c r="A36" s="4" t="s">
        <v>534</v>
      </c>
    </row>
    <row r="37" customFormat="false" ht="17.15" hidden="false" customHeight="false" outlineLevel="0" collapsed="false">
      <c r="A37" s="5" t="s">
        <v>535</v>
      </c>
      <c r="B37" s="5" t="s">
        <v>536</v>
      </c>
      <c r="C37" s="9" t="s">
        <v>537</v>
      </c>
      <c r="D37" s="5" t="s">
        <v>538</v>
      </c>
      <c r="E37" s="5" t="s">
        <v>539</v>
      </c>
      <c r="F37" s="5" t="s">
        <v>540</v>
      </c>
    </row>
    <row r="38" customFormat="false" ht="15" hidden="false" customHeight="false" outlineLevel="0" collapsed="false">
      <c r="A38" s="0" t="s">
        <v>541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5" t="n">
        <f aca="false">IF(D38="見頂",pe_peak,IF(D38="谷底",pe_trough,pe_mid))</f>
        <v>21.57</v>
      </c>
      <c r="F38" s="8" t="s">
        <v>542</v>
      </c>
    </row>
    <row r="39" customFormat="false" ht="15" hidden="false" customHeight="false" outlineLevel="0" collapsed="false">
      <c r="A39" s="0" t="s">
        <v>543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5" t="n">
        <f aca="false">IF(D39="見頂",pe_peak,IF(D39="谷底",pe_trough,pe_mid))</f>
        <v>21.57</v>
      </c>
      <c r="F39" s="8" t="s">
        <v>542</v>
      </c>
    </row>
    <row r="40" customFormat="false" ht="15" hidden="false" customHeight="false" outlineLevel="0" collapsed="false">
      <c r="A40" s="0" t="s">
        <v>544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5" t="n">
        <f aca="false">IF(D40="見頂",pe_peak,IF(D40="谷底",pe_trough,pe_mid))</f>
        <v>17.15</v>
      </c>
      <c r="F40" s="8" t="s">
        <v>542</v>
      </c>
    </row>
    <row r="42" customFormat="false" ht="17.15" hidden="false" customHeight="false" outlineLevel="0" collapsed="false">
      <c r="A42" s="6" t="s">
        <v>545</v>
      </c>
    </row>
    <row r="43" customFormat="false" ht="17.15" hidden="false" customHeight="false" outlineLevel="0" collapsed="false">
      <c r="A43" s="5" t="s">
        <v>535</v>
      </c>
      <c r="B43" s="9" t="s">
        <v>546</v>
      </c>
      <c r="C43" s="9" t="s">
        <v>438</v>
      </c>
      <c r="D43" s="5" t="s">
        <v>547</v>
      </c>
      <c r="E43" s="5" t="s">
        <v>539</v>
      </c>
      <c r="F43" s="5" t="s">
        <v>548</v>
      </c>
      <c r="G43" s="5" t="s">
        <v>549</v>
      </c>
      <c r="H43" s="5" t="s">
        <v>550</v>
      </c>
    </row>
    <row r="44" customFormat="false" ht="15" hidden="false" customHeight="false" outlineLevel="0" collapsed="false">
      <c r="A44" s="23" t="s">
        <v>541</v>
      </c>
      <c r="B44" s="23" t="s">
        <v>430</v>
      </c>
      <c r="C44" s="20" t="n">
        <f aca="false">PL!E12</f>
        <v>3379.68902765429</v>
      </c>
      <c r="D44" s="23" t="str">
        <f aca="false">"規則值："&amp;D38</f>
        <v>規則值：中段</v>
      </c>
      <c r="E44" s="24" t="n">
        <f aca="false">E38</f>
        <v>21.57</v>
      </c>
      <c r="F44" s="20" t="n">
        <f aca="false">C44*E44</f>
        <v>72899.892326503</v>
      </c>
      <c r="G44" s="25" t="n">
        <f aca="false">F44/px-1</f>
        <v>-0.613263170681682</v>
      </c>
      <c r="H44" s="23"/>
    </row>
    <row r="45" customFormat="false" ht="17.15" hidden="false" customHeight="false" outlineLevel="0" collapsed="false">
      <c r="A45" s="0" t="s">
        <v>541</v>
      </c>
      <c r="B45" s="0" t="s">
        <v>430</v>
      </c>
      <c r="C45" s="11" t="n">
        <f aca="false">PL!E12</f>
        <v>3379.68902765429</v>
      </c>
      <c r="D45" s="4" t="s">
        <v>551</v>
      </c>
      <c r="E45" s="15" t="n">
        <f aca="false">pe_peak</f>
        <v>17.15</v>
      </c>
      <c r="F45" s="11" t="n">
        <f aca="false">C45*E45</f>
        <v>57961.6668242711</v>
      </c>
      <c r="G45" s="21" t="n">
        <f aca="false">F45/px-1</f>
        <v>-0.692511051330127</v>
      </c>
    </row>
    <row r="46" customFormat="false" ht="15" hidden="false" customHeight="false" outlineLevel="0" collapsed="false">
      <c r="A46" s="0" t="s">
        <v>541</v>
      </c>
      <c r="B46" s="0" t="s">
        <v>430</v>
      </c>
      <c r="C46" s="11" t="n">
        <f aca="false">PL!E12</f>
        <v>3379.68902765429</v>
      </c>
      <c r="D46" s="4" t="s">
        <v>552</v>
      </c>
      <c r="E46" s="15" t="n">
        <f aca="false">pe_mid</f>
        <v>21.57</v>
      </c>
      <c r="F46" s="11" t="n">
        <f aca="false">C46*E46</f>
        <v>72899.892326503</v>
      </c>
      <c r="G46" s="21" t="n">
        <f aca="false">F46/px-1</f>
        <v>-0.613263170681682</v>
      </c>
    </row>
    <row r="47" customFormat="false" ht="17.15" hidden="false" customHeight="false" outlineLevel="0" collapsed="false">
      <c r="A47" s="0" t="s">
        <v>541</v>
      </c>
      <c r="B47" s="0" t="s">
        <v>430</v>
      </c>
      <c r="C47" s="11" t="n">
        <f aca="false">PL!E12</f>
        <v>3379.68902765429</v>
      </c>
      <c r="D47" s="4" t="s">
        <v>553</v>
      </c>
      <c r="E47" s="15" t="n">
        <f aca="false">pe_trough</f>
        <v>39.17</v>
      </c>
      <c r="F47" s="11" t="n">
        <f aca="false">C47*E47</f>
        <v>132382.419213219</v>
      </c>
      <c r="G47" s="21" t="n">
        <f aca="false">F47/px-1</f>
        <v>-0.297705998868867</v>
      </c>
    </row>
    <row r="48" customFormat="false" ht="17.15" hidden="false" customHeight="false" outlineLevel="0" collapsed="false">
      <c r="A48" s="0" t="s">
        <v>541</v>
      </c>
      <c r="B48" s="0" t="s">
        <v>431</v>
      </c>
      <c r="C48" s="11" t="n">
        <f aca="false">PL!F12</f>
        <v>3781.74907719578</v>
      </c>
      <c r="D48" s="4" t="s">
        <v>551</v>
      </c>
      <c r="E48" s="15" t="n">
        <f aca="false">pe_peak</f>
        <v>17.15</v>
      </c>
      <c r="F48" s="11" t="n">
        <f aca="false">C48*E48</f>
        <v>64856.9966739076</v>
      </c>
      <c r="G48" s="21" t="n">
        <f aca="false">F48/px-1</f>
        <v>-0.655931052127811</v>
      </c>
    </row>
    <row r="49" customFormat="false" ht="15" hidden="false" customHeight="false" outlineLevel="0" collapsed="false">
      <c r="A49" s="0" t="s">
        <v>541</v>
      </c>
      <c r="B49" s="0" t="s">
        <v>431</v>
      </c>
      <c r="C49" s="11" t="n">
        <f aca="false">PL!F12</f>
        <v>3781.74907719578</v>
      </c>
      <c r="D49" s="4" t="s">
        <v>552</v>
      </c>
      <c r="E49" s="15" t="n">
        <f aca="false">pe_mid</f>
        <v>21.57</v>
      </c>
      <c r="F49" s="11" t="n">
        <f aca="false">C49*E49</f>
        <v>81572.327595113</v>
      </c>
      <c r="G49" s="21" t="n">
        <f aca="false">F49/px-1</f>
        <v>-0.5672555565246</v>
      </c>
    </row>
    <row r="50" customFormat="false" ht="17.15" hidden="false" customHeight="false" outlineLevel="0" collapsed="false">
      <c r="A50" s="0" t="s">
        <v>541</v>
      </c>
      <c r="B50" s="0" t="s">
        <v>431</v>
      </c>
      <c r="C50" s="11" t="n">
        <f aca="false">PL!F12</f>
        <v>3781.74907719578</v>
      </c>
      <c r="D50" s="4" t="s">
        <v>553</v>
      </c>
      <c r="E50" s="15" t="n">
        <f aca="false">pe_trough</f>
        <v>39.17</v>
      </c>
      <c r="F50" s="11" t="n">
        <f aca="false">C50*E50</f>
        <v>148131.111353759</v>
      </c>
      <c r="G50" s="21" t="n">
        <f aca="false">F50/px-1</f>
        <v>-0.214158560457514</v>
      </c>
    </row>
    <row r="51" customFormat="false" ht="15" hidden="false" customHeight="false" outlineLevel="0" collapsed="false">
      <c r="A51" s="23" t="s">
        <v>543</v>
      </c>
      <c r="B51" s="23" t="s">
        <v>430</v>
      </c>
      <c r="C51" s="20" t="n">
        <f aca="false">PL!E22</f>
        <v>2834.50076378154</v>
      </c>
      <c r="D51" s="23" t="str">
        <f aca="false">"規則值："&amp;D39</f>
        <v>規則值：中段</v>
      </c>
      <c r="E51" s="24" t="n">
        <f aca="false">E39</f>
        <v>21.57</v>
      </c>
      <c r="F51" s="20" t="n">
        <f aca="false">C51*E51</f>
        <v>61140.1814747679</v>
      </c>
      <c r="G51" s="25" t="n">
        <f aca="false">F51/px-1</f>
        <v>-0.675648904643141</v>
      </c>
      <c r="H51" s="23"/>
    </row>
    <row r="52" customFormat="false" ht="17.15" hidden="false" customHeight="false" outlineLevel="0" collapsed="false">
      <c r="A52" s="0" t="s">
        <v>543</v>
      </c>
      <c r="B52" s="0" t="s">
        <v>430</v>
      </c>
      <c r="C52" s="11" t="n">
        <f aca="false">PL!E22</f>
        <v>2834.50076378154</v>
      </c>
      <c r="D52" s="4" t="s">
        <v>551</v>
      </c>
      <c r="E52" s="15" t="n">
        <f aca="false">pe_peak</f>
        <v>17.15</v>
      </c>
      <c r="F52" s="11" t="n">
        <f aca="false">C52*E52</f>
        <v>48611.6880988534</v>
      </c>
      <c r="G52" s="21" t="n">
        <f aca="false">F52/px-1</f>
        <v>-0.742113060483536</v>
      </c>
    </row>
    <row r="53" customFormat="false" ht="15" hidden="false" customHeight="false" outlineLevel="0" collapsed="false">
      <c r="A53" s="0" t="s">
        <v>543</v>
      </c>
      <c r="B53" s="0" t="s">
        <v>430</v>
      </c>
      <c r="C53" s="11" t="n">
        <f aca="false">PL!E22</f>
        <v>2834.50076378154</v>
      </c>
      <c r="D53" s="4" t="s">
        <v>552</v>
      </c>
      <c r="E53" s="15" t="n">
        <f aca="false">pe_mid</f>
        <v>21.57</v>
      </c>
      <c r="F53" s="11" t="n">
        <f aca="false">C53*E53</f>
        <v>61140.1814747679</v>
      </c>
      <c r="G53" s="21" t="n">
        <f aca="false">F53/px-1</f>
        <v>-0.675648904643141</v>
      </c>
    </row>
    <row r="54" customFormat="false" ht="17.15" hidden="false" customHeight="false" outlineLevel="0" collapsed="false">
      <c r="A54" s="0" t="s">
        <v>543</v>
      </c>
      <c r="B54" s="0" t="s">
        <v>430</v>
      </c>
      <c r="C54" s="11" t="n">
        <f aca="false">PL!E22</f>
        <v>2834.50076378154</v>
      </c>
      <c r="D54" s="4" t="s">
        <v>553</v>
      </c>
      <c r="E54" s="15" t="n">
        <f aca="false">pe_trough</f>
        <v>39.17</v>
      </c>
      <c r="F54" s="11" t="n">
        <f aca="false">C54*E54</f>
        <v>111027.394917323</v>
      </c>
      <c r="G54" s="21" t="n">
        <f aca="false">F54/px-1</f>
        <v>-0.410995252427995</v>
      </c>
    </row>
    <row r="55" customFormat="false" ht="17.15" hidden="false" customHeight="false" outlineLevel="0" collapsed="false">
      <c r="A55" s="0" t="s">
        <v>543</v>
      </c>
      <c r="B55" s="0" t="s">
        <v>431</v>
      </c>
      <c r="C55" s="11" t="n">
        <f aca="false">PL!F22</f>
        <v>2878.61978417368</v>
      </c>
      <c r="D55" s="4" t="s">
        <v>551</v>
      </c>
      <c r="E55" s="15" t="n">
        <f aca="false">pe_peak</f>
        <v>17.15</v>
      </c>
      <c r="F55" s="11" t="n">
        <f aca="false">C55*E55</f>
        <v>49368.3292985786</v>
      </c>
      <c r="G55" s="21" t="n">
        <f aca="false">F55/px-1</f>
        <v>-0.738099048813906</v>
      </c>
    </row>
    <row r="56" customFormat="false" ht="15" hidden="false" customHeight="false" outlineLevel="0" collapsed="false">
      <c r="A56" s="0" t="s">
        <v>543</v>
      </c>
      <c r="B56" s="0" t="s">
        <v>431</v>
      </c>
      <c r="C56" s="11" t="n">
        <f aca="false">PL!F22</f>
        <v>2878.61978417368</v>
      </c>
      <c r="D56" s="4" t="s">
        <v>552</v>
      </c>
      <c r="E56" s="15" t="n">
        <f aca="false">pe_mid</f>
        <v>21.57</v>
      </c>
      <c r="F56" s="11" t="n">
        <f aca="false">C56*E56</f>
        <v>62091.8287446263</v>
      </c>
      <c r="G56" s="21" t="n">
        <f aca="false">F56/px-1</f>
        <v>-0.670600378012592</v>
      </c>
    </row>
    <row r="57" customFormat="false" ht="17.15" hidden="false" customHeight="false" outlineLevel="0" collapsed="false">
      <c r="A57" s="0" t="s">
        <v>543</v>
      </c>
      <c r="B57" s="0" t="s">
        <v>431</v>
      </c>
      <c r="C57" s="11" t="n">
        <f aca="false">PL!F22</f>
        <v>2878.61978417368</v>
      </c>
      <c r="D57" s="4" t="s">
        <v>553</v>
      </c>
      <c r="E57" s="15" t="n">
        <f aca="false">pe_trough</f>
        <v>39.17</v>
      </c>
      <c r="F57" s="11" t="n">
        <f aca="false">C57*E57</f>
        <v>112755.536946083</v>
      </c>
      <c r="G57" s="21" t="n">
        <f aca="false">F57/px-1</f>
        <v>-0.401827390206456</v>
      </c>
    </row>
    <row r="58" customFormat="false" ht="15" hidden="false" customHeight="false" outlineLevel="0" collapsed="false">
      <c r="A58" s="23" t="s">
        <v>544</v>
      </c>
      <c r="B58" s="23" t="s">
        <v>430</v>
      </c>
      <c r="C58" s="20" t="n">
        <f aca="false">PL!E32</f>
        <v>1464.83130996503</v>
      </c>
      <c r="D58" s="23" t="str">
        <f aca="false">"規則值："&amp;D40</f>
        <v>規則值：見頂</v>
      </c>
      <c r="E58" s="24" t="n">
        <f aca="false">E40</f>
        <v>17.15</v>
      </c>
      <c r="F58" s="20" t="n">
        <f aca="false">C58*E58</f>
        <v>25121.8569659003</v>
      </c>
      <c r="G58" s="25" t="n">
        <f aca="false">F58/px-1</f>
        <v>-0.866727549252518</v>
      </c>
      <c r="H58" s="23"/>
    </row>
    <row r="59" customFormat="false" ht="17.15" hidden="false" customHeight="false" outlineLevel="0" collapsed="false">
      <c r="A59" s="0" t="s">
        <v>544</v>
      </c>
      <c r="B59" s="0" t="s">
        <v>430</v>
      </c>
      <c r="C59" s="11" t="n">
        <f aca="false">PL!E32</f>
        <v>1464.83130996503</v>
      </c>
      <c r="D59" s="4" t="s">
        <v>551</v>
      </c>
      <c r="E59" s="15" t="n">
        <f aca="false">pe_peak</f>
        <v>17.15</v>
      </c>
      <c r="F59" s="11" t="n">
        <f aca="false">C59*E59</f>
        <v>25121.8569659003</v>
      </c>
      <c r="G59" s="21" t="n">
        <f aca="false">F59/px-1</f>
        <v>-0.866727549252518</v>
      </c>
    </row>
    <row r="60" customFormat="false" ht="15" hidden="false" customHeight="false" outlineLevel="0" collapsed="false">
      <c r="A60" s="0" t="s">
        <v>544</v>
      </c>
      <c r="B60" s="0" t="s">
        <v>430</v>
      </c>
      <c r="C60" s="11" t="n">
        <f aca="false">PL!E32</f>
        <v>1464.83130996503</v>
      </c>
      <c r="D60" s="4" t="s">
        <v>552</v>
      </c>
      <c r="E60" s="15" t="n">
        <f aca="false">pe_mid</f>
        <v>21.57</v>
      </c>
      <c r="F60" s="11" t="n">
        <f aca="false">C60*E60</f>
        <v>31596.4113559457</v>
      </c>
      <c r="G60" s="21" t="n">
        <f aca="false">F60/px-1</f>
        <v>-0.832379780605062</v>
      </c>
    </row>
    <row r="61" customFormat="false" ht="17.15" hidden="false" customHeight="false" outlineLevel="0" collapsed="false">
      <c r="A61" s="0" t="s">
        <v>544</v>
      </c>
      <c r="B61" s="0" t="s">
        <v>430</v>
      </c>
      <c r="C61" s="11" t="n">
        <f aca="false">PL!E32</f>
        <v>1464.83130996503</v>
      </c>
      <c r="D61" s="4" t="s">
        <v>553</v>
      </c>
      <c r="E61" s="15" t="n">
        <f aca="false">pe_trough</f>
        <v>39.17</v>
      </c>
      <c r="F61" s="11" t="n">
        <f aca="false">C61*E61</f>
        <v>57377.4424113303</v>
      </c>
      <c r="G61" s="21" t="n">
        <f aca="false">F61/px-1</f>
        <v>-0.695610385085781</v>
      </c>
    </row>
    <row r="62" customFormat="false" ht="17.15" hidden="false" customHeight="false" outlineLevel="0" collapsed="false">
      <c r="A62" s="0" t="s">
        <v>544</v>
      </c>
      <c r="B62" s="0" t="s">
        <v>431</v>
      </c>
      <c r="C62" s="11" t="n">
        <f aca="false">PL!F32</f>
        <v>1325.01985495718</v>
      </c>
      <c r="D62" s="4" t="s">
        <v>551</v>
      </c>
      <c r="E62" s="15" t="n">
        <f aca="false">pe_peak</f>
        <v>17.15</v>
      </c>
      <c r="F62" s="11" t="n">
        <f aca="false">C62*E62</f>
        <v>22724.0905125156</v>
      </c>
      <c r="G62" s="21" t="n">
        <f aca="false">F62/px-1</f>
        <v>-0.879447795689572</v>
      </c>
    </row>
    <row r="63" customFormat="false" ht="15" hidden="false" customHeight="false" outlineLevel="0" collapsed="false">
      <c r="A63" s="0" t="s">
        <v>544</v>
      </c>
      <c r="B63" s="0" t="s">
        <v>431</v>
      </c>
      <c r="C63" s="11" t="n">
        <f aca="false">PL!F32</f>
        <v>1325.01985495718</v>
      </c>
      <c r="D63" s="4" t="s">
        <v>552</v>
      </c>
      <c r="E63" s="15" t="n">
        <f aca="false">pe_mid</f>
        <v>21.57</v>
      </c>
      <c r="F63" s="11" t="n">
        <f aca="false">C63*E63</f>
        <v>28580.6782714264</v>
      </c>
      <c r="G63" s="21" t="n">
        <f aca="false">F63/px-1</f>
        <v>-0.848378364607818</v>
      </c>
    </row>
    <row r="64" customFormat="false" ht="17.15" hidden="false" customHeight="false" outlineLevel="0" collapsed="false">
      <c r="A64" s="0" t="s">
        <v>544</v>
      </c>
      <c r="B64" s="0" t="s">
        <v>431</v>
      </c>
      <c r="C64" s="11" t="n">
        <f aca="false">PL!F32</f>
        <v>1325.01985495718</v>
      </c>
      <c r="D64" s="4" t="s">
        <v>553</v>
      </c>
      <c r="E64" s="15" t="n">
        <f aca="false">pe_trough</f>
        <v>39.17</v>
      </c>
      <c r="F64" s="11" t="n">
        <f aca="false">C64*E64</f>
        <v>51901.0277186727</v>
      </c>
      <c r="G64" s="21" t="n">
        <f aca="false">F64/px-1</f>
        <v>-0.724662982924813</v>
      </c>
    </row>
    <row r="66" customFormat="false" ht="17.15" hidden="false" customHeight="false" outlineLevel="0" collapsed="false">
      <c r="A66" s="6" t="s">
        <v>554</v>
      </c>
    </row>
    <row r="67" customFormat="false" ht="15" hidden="false" customHeight="false" outlineLevel="0" collapsed="false">
      <c r="A67" s="5" t="s">
        <v>14</v>
      </c>
      <c r="B67" s="9" t="s">
        <v>541</v>
      </c>
      <c r="C67" s="9" t="s">
        <v>543</v>
      </c>
      <c r="D67" s="9" t="s">
        <v>544</v>
      </c>
      <c r="E67" s="5" t="s">
        <v>550</v>
      </c>
    </row>
    <row r="68" customFormat="false" ht="17.15" hidden="false" customHeight="false" outlineLevel="0" collapsed="false">
      <c r="A68" s="4" t="s">
        <v>555</v>
      </c>
      <c r="B68" s="11" t="n">
        <f aca="false">px</f>
        <v>188500</v>
      </c>
    </row>
    <row r="69" customFormat="false" ht="17.15" hidden="false" customHeight="false" outlineLevel="0" collapsed="false">
      <c r="A69" s="4" t="s">
        <v>556</v>
      </c>
      <c r="B69" s="15" t="n">
        <f aca="false">px/PL!D12</f>
        <v>59.6867788914372</v>
      </c>
      <c r="C69" s="15" t="n">
        <f aca="false">px/PL!D22</f>
        <v>59.6867788914372</v>
      </c>
      <c r="D69" s="15" t="n">
        <f aca="false">px/PL!D32</f>
        <v>59.6867788914372</v>
      </c>
    </row>
    <row r="70" customFormat="false" ht="17.15" hidden="false" customHeight="false" outlineLevel="0" collapsed="false">
      <c r="A70" s="4" t="s">
        <v>557</v>
      </c>
      <c r="B70" s="15" t="n">
        <f aca="false">px/PL!E12</f>
        <v>55.7743622142746</v>
      </c>
      <c r="C70" s="15" t="n">
        <f aca="false">px/PL!E22</f>
        <v>66.5020106569031</v>
      </c>
      <c r="D70" s="15" t="n">
        <f aca="false">px/PL!E32</f>
        <v>128.683759500266</v>
      </c>
    </row>
    <row r="71" customFormat="false" ht="17.15" hidden="false" customHeight="false" outlineLevel="0" collapsed="false">
      <c r="A71" s="4" t="s">
        <v>558</v>
      </c>
      <c r="B71" s="15" t="n">
        <f aca="false">px/PL!F12</f>
        <v>49.8446608043534</v>
      </c>
      <c r="C71" s="15" t="n">
        <f aca="false">px/PL!F22</f>
        <v>65.4827709572314</v>
      </c>
      <c r="D71" s="15" t="n">
        <f aca="false">px/PL!F32</f>
        <v>142.262019165057</v>
      </c>
    </row>
    <row r="72" customFormat="false" ht="17.15" hidden="false" customHeight="false" outlineLevel="0" collapsed="false">
      <c r="A72" s="4" t="s">
        <v>559</v>
      </c>
      <c r="B72" s="7" t="n">
        <v>116.68</v>
      </c>
      <c r="E72" s="4" t="s">
        <v>560</v>
      </c>
      <c r="F72" s="15" t="n">
        <f aca="false">px/2331.18</f>
        <v>80.8603368251272</v>
      </c>
    </row>
    <row r="73" customFormat="false" ht="17.15" hidden="false" customHeight="false" outlineLevel="0" collapsed="false">
      <c r="A73" s="4" t="s">
        <v>561</v>
      </c>
      <c r="B73" s="15" t="n">
        <f aca="false">px/cons_eps26</f>
        <v>55.4411764705882</v>
      </c>
    </row>
    <row r="74" customFormat="false" ht="17.15" hidden="false" customHeight="false" outlineLevel="0" collapsed="false">
      <c r="A74" s="4" t="s">
        <v>562</v>
      </c>
      <c r="B74" s="16" t="n">
        <f aca="false">B70/E38</f>
        <v>2.58573770117175</v>
      </c>
      <c r="E74" s="8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564</v>
      </c>
    </row>
    <row r="3" customFormat="false" ht="17.15" hidden="false" customHeight="false" outlineLevel="0" collapsed="false">
      <c r="A3" s="5" t="s">
        <v>14</v>
      </c>
      <c r="B3" s="5" t="s">
        <v>565</v>
      </c>
      <c r="C3" s="5" t="s">
        <v>566</v>
      </c>
      <c r="D3" s="5" t="s">
        <v>567</v>
      </c>
      <c r="E3" s="5" t="s">
        <v>568</v>
      </c>
      <c r="F3" s="5" t="s">
        <v>569</v>
      </c>
      <c r="G3" s="5" t="s">
        <v>570</v>
      </c>
      <c r="H3" s="5" t="s">
        <v>571</v>
      </c>
      <c r="I3" s="5" t="s">
        <v>572</v>
      </c>
      <c r="J3" s="5" t="s">
        <v>407</v>
      </c>
    </row>
    <row r="4" customFormat="false" ht="17.15" hidden="false" customHeight="false" outlineLevel="0" collapsed="false">
      <c r="A4" s="6" t="s">
        <v>573</v>
      </c>
    </row>
    <row r="5" customFormat="false" ht="17.15" hidden="false" customHeight="false" outlineLevel="0" collapsed="false">
      <c r="A5" s="4" t="s">
        <v>366</v>
      </c>
      <c r="B5" s="11" t="n">
        <f aca="false">cons_rev26</f>
        <v>7280</v>
      </c>
      <c r="C5" s="11" t="n">
        <f aca="false">PL!D5</f>
        <v>7539.8</v>
      </c>
      <c r="D5" s="14" t="n">
        <f aca="false">C5/B5-1</f>
        <v>0.0356868131868131</v>
      </c>
      <c r="E5" s="11" t="n">
        <f aca="false">PL!D15</f>
        <v>7539.8</v>
      </c>
      <c r="F5" s="14" t="n">
        <f aca="false">E5/B5-1</f>
        <v>0.0356868131868131</v>
      </c>
      <c r="G5" s="11" t="n">
        <f aca="false">PL!D25</f>
        <v>7539.8</v>
      </c>
      <c r="H5" s="14" t="n">
        <f aca="false">G5/B5-1</f>
        <v>0.0356868131868131</v>
      </c>
      <c r="I5" s="8" t="s">
        <v>574</v>
      </c>
      <c r="J5" s="4" t="s">
        <v>575</v>
      </c>
    </row>
    <row r="6" customFormat="false" ht="17.15" hidden="false" customHeight="false" outlineLevel="0" collapsed="false">
      <c r="A6" s="4" t="s">
        <v>374</v>
      </c>
      <c r="B6" s="11" t="n">
        <f aca="false">cons_oi26</f>
        <v>3694</v>
      </c>
      <c r="C6" s="11" t="n">
        <f aca="false">PL!D9</f>
        <v>3557.504</v>
      </c>
      <c r="D6" s="14" t="n">
        <f aca="false">C6/B6-1</f>
        <v>-0.0369507309149973</v>
      </c>
      <c r="E6" s="11" t="n">
        <f aca="false">PL!D19</f>
        <v>3557.504</v>
      </c>
      <c r="F6" s="14" t="n">
        <f aca="false">E6/B6-1</f>
        <v>-0.0369507309149973</v>
      </c>
      <c r="G6" s="11" t="n">
        <f aca="false">PL!D29</f>
        <v>3557.504</v>
      </c>
      <c r="H6" s="14" t="n">
        <f aca="false">G6/B6-1</f>
        <v>-0.0369507309149973</v>
      </c>
      <c r="I6" s="4" t="s">
        <v>576</v>
      </c>
    </row>
    <row r="7" customFormat="false" ht="17.15" hidden="false" customHeight="false" outlineLevel="0" collapsed="false">
      <c r="A7" s="0" t="s">
        <v>384</v>
      </c>
      <c r="B7" s="11" t="n">
        <f aca="false">cons_eps26</f>
        <v>3400</v>
      </c>
      <c r="C7" s="11" t="n">
        <f aca="false">PL!D12</f>
        <v>3158.15333815983</v>
      </c>
      <c r="D7" s="14" t="n">
        <f aca="false">C7/B7-1</f>
        <v>-0.0711313711294614</v>
      </c>
      <c r="E7" s="11" t="n">
        <f aca="false">PL!D22</f>
        <v>3158.15333815983</v>
      </c>
      <c r="F7" s="14" t="n">
        <f aca="false">E7/B7-1</f>
        <v>-0.0711313711294614</v>
      </c>
      <c r="G7" s="11" t="n">
        <f aca="false">PL!D32</f>
        <v>3158.15333815983</v>
      </c>
      <c r="H7" s="14" t="n">
        <f aca="false">G7/B7-1</f>
        <v>-0.0711313711294614</v>
      </c>
      <c r="I7" s="8" t="s">
        <v>577</v>
      </c>
      <c r="J7" s="8" t="s">
        <v>578</v>
      </c>
    </row>
    <row r="8" customFormat="false" ht="17.15" hidden="false" customHeight="false" outlineLevel="0" collapsed="false">
      <c r="A8" s="6" t="s">
        <v>579</v>
      </c>
    </row>
    <row r="9" customFormat="false" ht="15" hidden="false" customHeight="false" outlineLevel="0" collapsed="false">
      <c r="A9" s="4" t="s">
        <v>366</v>
      </c>
      <c r="B9" s="11" t="n">
        <f aca="false">cons_rev27</f>
        <v>9900</v>
      </c>
      <c r="C9" s="11" t="n">
        <f aca="false">PL!E5</f>
        <v>8014.83638733926</v>
      </c>
      <c r="D9" s="14" t="n">
        <f aca="false">C9/B9-1</f>
        <v>-0.190420566935428</v>
      </c>
      <c r="E9" s="11" t="n">
        <f aca="false">PL!E15</f>
        <v>6845.79557102261</v>
      </c>
      <c r="F9" s="14" t="n">
        <f aca="false">E9/B9-1</f>
        <v>-0.308505497876504</v>
      </c>
      <c r="G9" s="11" t="n">
        <f aca="false">PL!E25</f>
        <v>3908.82938433416</v>
      </c>
      <c r="H9" s="14" t="n">
        <f aca="false">G9/B9-1</f>
        <v>-0.605168749057156</v>
      </c>
      <c r="I9" s="8" t="s">
        <v>580</v>
      </c>
    </row>
    <row r="10" customFormat="false" ht="17.15" hidden="false" customHeight="false" outlineLevel="0" collapsed="false">
      <c r="A10" s="0" t="s">
        <v>384</v>
      </c>
      <c r="B10" s="11" t="n">
        <f aca="false">cons_eps27</f>
        <v>4650</v>
      </c>
      <c r="C10" s="11" t="n">
        <f aca="false">PL!E12</f>
        <v>3379.68902765429</v>
      </c>
      <c r="D10" s="14" t="n">
        <f aca="false">C10/B10-1</f>
        <v>-0.273185155343164</v>
      </c>
      <c r="E10" s="11" t="n">
        <f aca="false">PL!E22</f>
        <v>2834.50076378154</v>
      </c>
      <c r="F10" s="14" t="n">
        <f aca="false">E10/B10-1</f>
        <v>-0.390429943272787</v>
      </c>
      <c r="G10" s="11" t="n">
        <f aca="false">PL!E32</f>
        <v>1464.83130996503</v>
      </c>
      <c r="H10" s="14" t="n">
        <f aca="false">G10/B10-1</f>
        <v>-0.684982513986015</v>
      </c>
      <c r="I10" s="8" t="s">
        <v>580</v>
      </c>
    </row>
    <row r="11" customFormat="false" ht="17.15" hidden="false" customHeight="false" outlineLevel="0" collapsed="false">
      <c r="A11" s="6" t="s">
        <v>581</v>
      </c>
    </row>
    <row r="12" customFormat="false" ht="17.15" hidden="false" customHeight="false" outlineLevel="0" collapsed="false">
      <c r="A12" s="0" t="s">
        <v>582</v>
      </c>
      <c r="B12" s="11" t="n">
        <f aca="false">tam25</f>
        <v>759</v>
      </c>
      <c r="C12" s="11" t="n">
        <f aca="false">PL!C70</f>
        <v>634.112601147782</v>
      </c>
      <c r="D12" s="14" t="n">
        <f aca="false">C12/B12-1</f>
        <v>-0.164542027473278</v>
      </c>
      <c r="E12" s="11" t="n">
        <f aca="false">PL!C103</f>
        <v>643.146984589201</v>
      </c>
      <c r="F12" s="14" t="n">
        <f aca="false">E12/B12-1</f>
        <v>-0.15263901898656</v>
      </c>
      <c r="G12" s="11" t="n">
        <f aca="false">PL!C136</f>
        <v>757.504900721754</v>
      </c>
      <c r="H12" s="14" t="n">
        <f aca="false">G12/B12-1</f>
        <v>-0.00196982777107524</v>
      </c>
      <c r="I12" s="8" t="s">
        <v>583</v>
      </c>
      <c r="J12" s="4" t="s">
        <v>584</v>
      </c>
    </row>
    <row r="13" customFormat="false" ht="17.15" hidden="false" customHeight="false" outlineLevel="0" collapsed="false">
      <c r="A13" s="0" t="s">
        <v>585</v>
      </c>
      <c r="B13" s="11" t="n">
        <f aca="false">tam28</f>
        <v>1600</v>
      </c>
      <c r="C13" s="11" t="n">
        <f aca="false">PL!F70</f>
        <v>1003.13888199238</v>
      </c>
      <c r="D13" s="14" t="n">
        <f aca="false">C13/B13-1</f>
        <v>-0.373038198754766</v>
      </c>
      <c r="E13" s="11" t="n">
        <f aca="false">PL!F103</f>
        <v>672.780956003836</v>
      </c>
      <c r="F13" s="14" t="n">
        <f aca="false">E13/B13-1</f>
        <v>-0.579511902497602</v>
      </c>
      <c r="G13" s="11" t="n">
        <f aca="false">PL!F136</f>
        <v>231.812726457107</v>
      </c>
      <c r="H13" s="14" t="n">
        <f aca="false">G13/B13-1</f>
        <v>-0.855117045964308</v>
      </c>
      <c r="I13" s="8" t="s">
        <v>586</v>
      </c>
    </row>
    <row r="14" customFormat="false" ht="17.15" hidden="false" customHeight="false" outlineLevel="0" collapsed="false">
      <c r="A14" s="4" t="s">
        <v>587</v>
      </c>
      <c r="B14" s="14" t="n">
        <f aca="false">sh_claim</f>
        <v>0.712</v>
      </c>
      <c r="C14" s="14" t="n">
        <f aca="false">PL!C54</f>
        <v>0.412</v>
      </c>
      <c r="D14" s="14" t="n">
        <f aca="false">C14-B14</f>
        <v>-0.3</v>
      </c>
      <c r="E14" s="14" t="n">
        <f aca="false">PL!C87</f>
        <v>0.412</v>
      </c>
      <c r="F14" s="14" t="n">
        <f aca="false">E14-B14</f>
        <v>-0.3</v>
      </c>
      <c r="G14" s="14" t="n">
        <f aca="false">PL!C120</f>
        <v>0.412</v>
      </c>
      <c r="H14" s="14" t="n">
        <f aca="false">G14-B14</f>
        <v>-0.3</v>
      </c>
      <c r="I14" s="4" t="s">
        <v>588</v>
      </c>
      <c r="J14" s="4" t="s">
        <v>589</v>
      </c>
    </row>
    <row r="15" customFormat="false" ht="17.15" hidden="false" customHeight="false" outlineLevel="0" collapsed="false">
      <c r="A15" s="6" t="s">
        <v>590</v>
      </c>
    </row>
    <row r="16" customFormat="false" ht="17.15" hidden="false" customHeight="false" outlineLevel="0" collapsed="false">
      <c r="A16" s="0" t="s">
        <v>591</v>
      </c>
      <c r="B16" s="16" t="n">
        <f aca="false">semi_pkg25</f>
        <v>6.11313868613139</v>
      </c>
      <c r="C16" s="16" t="n">
        <f aca="false">PL!C70/1000</f>
        <v>0.634112601147782</v>
      </c>
      <c r="D16" s="14" t="n">
        <f aca="false">C16/B16-1</f>
        <v>-0.896270535692841</v>
      </c>
      <c r="E16" s="16" t="n">
        <f aca="false">PL!C103/1000</f>
        <v>0.643146984589201</v>
      </c>
      <c r="F16" s="14" t="n">
        <f aca="false">E16/B16-1</f>
        <v>-0.894792672371677</v>
      </c>
      <c r="G16" s="16" t="n">
        <f aca="false">PL!C136/1000</f>
        <v>0.757504900721754</v>
      </c>
      <c r="H16" s="14" t="n">
        <f aca="false">G16/B16-1</f>
        <v>-0.876085765493874</v>
      </c>
      <c r="I16" s="8" t="s">
        <v>592</v>
      </c>
      <c r="J16" s="4" t="s">
        <v>593</v>
      </c>
    </row>
    <row r="17" customFormat="false" ht="17.15" hidden="false" customHeight="false" outlineLevel="0" collapsed="false">
      <c r="A17" s="0" t="s">
        <v>594</v>
      </c>
      <c r="B17" s="16" t="n">
        <f aca="false">semi_pkg28</f>
        <v>8.6</v>
      </c>
      <c r="C17" s="16" t="n">
        <f aca="false">PL!F70/1000</f>
        <v>1.00313888199238</v>
      </c>
      <c r="D17" s="14" t="n">
        <f aca="false">C17/B17-1</f>
        <v>-0.883355943954375</v>
      </c>
      <c r="E17" s="16" t="n">
        <f aca="false">PL!F103/1000</f>
        <v>0.672780956003837</v>
      </c>
      <c r="F17" s="14" t="n">
        <f aca="false">E17/B17-1</f>
        <v>-0.921769656278624</v>
      </c>
      <c r="G17" s="16" t="n">
        <f aca="false">PL!F136/1000</f>
        <v>0.231812726457107</v>
      </c>
      <c r="H17" s="14" t="n">
        <f aca="false">G17/B17-1</f>
        <v>-0.973045031807313</v>
      </c>
      <c r="I17" s="8" t="s">
        <v>595</v>
      </c>
    </row>
    <row r="18" customFormat="false" ht="17.15" hidden="false" customHeight="false" outlineLevel="0" collapsed="false">
      <c r="A18" s="6" t="s">
        <v>596</v>
      </c>
    </row>
    <row r="19" customFormat="false" ht="17.15" hidden="false" customHeight="false" outlineLevel="0" collapsed="false">
      <c r="A19" s="0" t="s">
        <v>597</v>
      </c>
      <c r="C19" s="14" t="n">
        <f aca="false">(q1_rev+q2_rev)/PL!D5</f>
        <v>0.400541128411894</v>
      </c>
    </row>
    <row r="20" customFormat="false" ht="17.15" hidden="false" customHeight="false" outlineLevel="0" collapsed="false">
      <c r="A20" s="0" t="s">
        <v>598</v>
      </c>
      <c r="C20" s="11" t="n">
        <f aca="false">Units!D32</f>
        <v>331.628764822519</v>
      </c>
      <c r="J20" s="4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600</v>
      </c>
    </row>
    <row r="3" customFormat="false" ht="17.15" hidden="false" customHeight="false" outlineLevel="0" collapsed="false">
      <c r="A3" s="5" t="s">
        <v>601</v>
      </c>
      <c r="B3" s="5" t="s">
        <v>602</v>
      </c>
      <c r="C3" s="9" t="s">
        <v>603</v>
      </c>
      <c r="D3" s="9" t="s">
        <v>604</v>
      </c>
      <c r="E3" s="5" t="s">
        <v>605</v>
      </c>
      <c r="F3" s="9" t="s">
        <v>606</v>
      </c>
      <c r="G3" s="9" t="s">
        <v>607</v>
      </c>
      <c r="H3" s="5" t="s">
        <v>605</v>
      </c>
    </row>
    <row r="4" customFormat="false" ht="17.15" hidden="false" customHeight="false" outlineLevel="0" collapsed="false">
      <c r="A4" s="4" t="s">
        <v>608</v>
      </c>
      <c r="B4" s="0" t="s">
        <v>609</v>
      </c>
      <c r="C4" s="11" t="n">
        <f aca="false">PL!E60</f>
        <v>8014.83638733926</v>
      </c>
      <c r="D4" s="11" t="n">
        <f aca="false">PL!E68</f>
        <v>3379.68902765429</v>
      </c>
      <c r="E4" s="14" t="n">
        <f aca="false">D4/D$4-1</f>
        <v>0</v>
      </c>
      <c r="F4" s="11" t="n">
        <f aca="false">PL!F60</f>
        <v>8876.96904805627</v>
      </c>
      <c r="G4" s="11" t="n">
        <f aca="false">PL!F68</f>
        <v>3781.74907719578</v>
      </c>
      <c r="H4" s="14" t="n">
        <f aca="false">G4/G$4-1</f>
        <v>0</v>
      </c>
    </row>
    <row r="5" customFormat="false" ht="17.15" hidden="false" customHeight="false" outlineLevel="0" collapsed="false">
      <c r="A5" s="0" t="s">
        <v>610</v>
      </c>
      <c r="B5" s="0" t="s">
        <v>611</v>
      </c>
      <c r="C5" s="11" t="n">
        <f aca="false">E80</f>
        <v>7731.46653483074</v>
      </c>
      <c r="D5" s="11" t="n">
        <f aca="false">E88</f>
        <v>3247.5380233722</v>
      </c>
      <c r="E5" s="14" t="n">
        <f aca="false">D5/D$4-1</f>
        <v>-0.0391015277443468</v>
      </c>
      <c r="F5" s="11" t="n">
        <f aca="false">F80</f>
        <v>8566.18299358762</v>
      </c>
      <c r="G5" s="11" t="n">
        <f aca="false">F88</f>
        <v>3636.81238456132</v>
      </c>
      <c r="H5" s="14" t="n">
        <f aca="false">G5/G$4-1</f>
        <v>-0.0383253065382991</v>
      </c>
    </row>
    <row r="6" customFormat="false" ht="17.15" hidden="false" customHeight="false" outlineLevel="0" collapsed="false">
      <c r="A6" s="0" t="s">
        <v>612</v>
      </c>
      <c r="B6" s="0" t="s">
        <v>613</v>
      </c>
      <c r="C6" s="11" t="n">
        <f aca="false">E120</f>
        <v>8266.63249784454</v>
      </c>
      <c r="D6" s="11" t="n">
        <f aca="false">E128</f>
        <v>3497.11545316508</v>
      </c>
      <c r="E6" s="14" t="n">
        <f aca="false">D6/D$4-1</f>
        <v>0.034744742652342</v>
      </c>
      <c r="F6" s="11" t="n">
        <f aca="false">F120</f>
        <v>9153.12658218257</v>
      </c>
      <c r="G6" s="11" t="n">
        <f aca="false">F128</f>
        <v>3910.53657929521</v>
      </c>
      <c r="H6" s="14" t="n">
        <f aca="false">G6/G$4-1</f>
        <v>0.0340550098566887</v>
      </c>
    </row>
    <row r="7" customFormat="false" ht="17.15" hidden="false" customHeight="false" outlineLevel="0" collapsed="false">
      <c r="A7" s="4" t="s">
        <v>614</v>
      </c>
      <c r="B7" s="0" t="s">
        <v>615</v>
      </c>
      <c r="C7" s="11" t="n">
        <f aca="false">E160</f>
        <v>7871.46193317101</v>
      </c>
      <c r="D7" s="11" t="n">
        <f aca="false">E168</f>
        <v>3312.82560538476</v>
      </c>
      <c r="E7" s="14" t="n">
        <f aca="false">D7/D$4-1</f>
        <v>-0.0197838977853928</v>
      </c>
      <c r="F7" s="11" t="n">
        <f aca="false">F160</f>
        <v>8719.72303007627</v>
      </c>
      <c r="G7" s="11" t="n">
        <f aca="false">F168</f>
        <v>3708.41657900848</v>
      </c>
      <c r="H7" s="14" t="n">
        <f aca="false">G7/G$4-1</f>
        <v>-0.0193911591410179</v>
      </c>
    </row>
    <row r="8" customFormat="false" ht="17.15" hidden="false" customHeight="false" outlineLevel="0" collapsed="false">
      <c r="A8" s="4" t="s">
        <v>616</v>
      </c>
      <c r="B8" s="0" t="s">
        <v>617</v>
      </c>
      <c r="C8" s="11" t="n">
        <f aca="false">E200</f>
        <v>8150.37497376373</v>
      </c>
      <c r="D8" s="11" t="n">
        <f aca="false">E208</f>
        <v>3442.89815225384</v>
      </c>
      <c r="E8" s="14" t="n">
        <f aca="false">D8/D$4-1</f>
        <v>0.0187026451494041</v>
      </c>
      <c r="F8" s="11" t="n">
        <f aca="false">F200</f>
        <v>9025.62107342249</v>
      </c>
      <c r="G8" s="11" t="n">
        <f aca="false">F208</f>
        <v>3851.07372223762</v>
      </c>
      <c r="H8" s="14" t="n">
        <f aca="false">G8/G$4-1</f>
        <v>0.018331370915081</v>
      </c>
    </row>
    <row r="9" customFormat="false" ht="17.15" hidden="false" customHeight="false" outlineLevel="0" collapsed="false">
      <c r="A9" s="4" t="s">
        <v>618</v>
      </c>
      <c r="B9" s="4" t="s">
        <v>619</v>
      </c>
      <c r="C9" s="11" t="n">
        <f aca="false">E240</f>
        <v>8136.5611049422</v>
      </c>
      <c r="D9" s="11" t="n">
        <f aca="false">E248</f>
        <v>3436.45598269478</v>
      </c>
      <c r="E9" s="14" t="n">
        <f aca="false">D9/D$4-1</f>
        <v>0.0167965024521468</v>
      </c>
      <c r="F9" s="11" t="n">
        <f aca="false">F240</f>
        <v>9010.47070456713</v>
      </c>
      <c r="G9" s="11" t="n">
        <f aca="false">F248</f>
        <v>3844.00826893779</v>
      </c>
      <c r="H9" s="14" t="n">
        <f aca="false">G9/G$4-1</f>
        <v>0.0164630678744488</v>
      </c>
    </row>
    <row r="10" customFormat="false" ht="17.15" hidden="false" customHeight="false" outlineLevel="0" collapsed="false">
      <c r="A10" s="4" t="s">
        <v>620</v>
      </c>
      <c r="B10" s="0" t="s">
        <v>621</v>
      </c>
      <c r="C10" s="11" t="n">
        <f aca="false">E280</f>
        <v>7410.06683399214</v>
      </c>
      <c r="D10" s="11" t="n">
        <f aca="false">E288</f>
        <v>3097.6516015606</v>
      </c>
      <c r="E10" s="14" t="n">
        <f aca="false">D10/D$4-1</f>
        <v>-0.0834507032410141</v>
      </c>
      <c r="F10" s="11" t="n">
        <f aca="false">F280</f>
        <v>7083.27753187901</v>
      </c>
      <c r="G10" s="11" t="n">
        <f aca="false">F288</f>
        <v>2945.25171116791</v>
      </c>
      <c r="H10" s="14" t="n">
        <f aca="false">G10/G$4-1</f>
        <v>-0.221193249195726</v>
      </c>
    </row>
    <row r="11" customFormat="false" ht="17.15" hidden="false" customHeight="false" outlineLevel="0" collapsed="false">
      <c r="A11" s="4" t="s">
        <v>622</v>
      </c>
      <c r="B11" s="0" t="s">
        <v>623</v>
      </c>
      <c r="C11" s="11" t="n">
        <f aca="false">E320</f>
        <v>6783.20264790962</v>
      </c>
      <c r="D11" s="11" t="n">
        <f aca="false">E328</f>
        <v>2805.31022859543</v>
      </c>
      <c r="E11" s="14" t="n">
        <f aca="false">D11/D$4-1</f>
        <v>-0.169950191972991</v>
      </c>
      <c r="F11" s="11" t="n">
        <f aca="false">F320</f>
        <v>5945.19394971952</v>
      </c>
      <c r="G11" s="11" t="n">
        <f aca="false">F328</f>
        <v>2414.5005144265</v>
      </c>
      <c r="H11" s="14" t="n">
        <f aca="false">G11/G$4-1</f>
        <v>-0.361538678230632</v>
      </c>
    </row>
    <row r="12" customFormat="false" ht="15" hidden="false" customHeight="false" outlineLevel="0" collapsed="false">
      <c r="A12" s="4" t="s">
        <v>624</v>
      </c>
      <c r="B12" s="4" t="s">
        <v>625</v>
      </c>
      <c r="C12" s="11" t="n">
        <f aca="false">E360</f>
        <v>9077.970644124</v>
      </c>
      <c r="D12" s="11" t="n">
        <f aca="false">E368</f>
        <v>3875.48721675971</v>
      </c>
      <c r="E12" s="14" t="n">
        <f aca="false">D12/D$4-1</f>
        <v>0.146699351641098</v>
      </c>
      <c r="F12" s="11" t="n">
        <f aca="false">F360</f>
        <v>9178.21036777218</v>
      </c>
      <c r="G12" s="11" t="n">
        <f aca="false">F368</f>
        <v>3922.23453314428</v>
      </c>
      <c r="H12" s="14" t="n">
        <f aca="false">G12/G$4-1</f>
        <v>0.0371482753299628</v>
      </c>
    </row>
    <row r="13" customFormat="false" ht="15" hidden="false" customHeight="false" outlineLevel="0" collapsed="false">
      <c r="A13" s="4" t="s">
        <v>626</v>
      </c>
      <c r="B13" s="4" t="s">
        <v>627</v>
      </c>
      <c r="C13" s="11" t="n">
        <f aca="false">E400</f>
        <v>7476.67479969568</v>
      </c>
      <c r="D13" s="11" t="n">
        <f aca="false">E408</f>
        <v>3128.71457273762</v>
      </c>
      <c r="E13" s="14" t="n">
        <f aca="false">D13/D$4-1</f>
        <v>-0.0742596294697741</v>
      </c>
      <c r="F13" s="11" t="n">
        <f aca="false">F400</f>
        <v>9898.62752228573</v>
      </c>
      <c r="G13" s="11" t="n">
        <f aca="false">F408</f>
        <v>4258.2048194264</v>
      </c>
      <c r="H13" s="14" t="n">
        <f aca="false">G13/G$4-1</f>
        <v>0.125988195542555</v>
      </c>
    </row>
    <row r="14" customFormat="false" ht="15" hidden="false" customHeight="false" outlineLevel="0" collapsed="false">
      <c r="A14" s="4" t="s">
        <v>628</v>
      </c>
      <c r="C14" s="11" t="n">
        <f aca="false">E440</f>
        <v>7568.64721920796</v>
      </c>
      <c r="D14" s="11" t="n">
        <f aca="false">E448</f>
        <v>3171.60638884723</v>
      </c>
      <c r="E14" s="14" t="n">
        <f aca="false">D14/D$4-1</f>
        <v>-0.0615685754234868</v>
      </c>
      <c r="F14" s="11" t="n">
        <f aca="false">F440</f>
        <v>8345.40864656531</v>
      </c>
      <c r="G14" s="11" t="n">
        <f aca="false">F448</f>
        <v>3533.85311976852</v>
      </c>
      <c r="H14" s="14" t="n">
        <f aca="false">G14/G$4-1</f>
        <v>-0.0655506096166153</v>
      </c>
    </row>
    <row r="15" customFormat="false" ht="15" hidden="false" customHeight="false" outlineLevel="0" collapsed="false">
      <c r="A15" s="4" t="s">
        <v>629</v>
      </c>
      <c r="C15" s="11" t="n">
        <f aca="false">E480</f>
        <v>8232.17488616461</v>
      </c>
      <c r="D15" s="11" t="n">
        <f aca="false">E488</f>
        <v>3481.04596677352</v>
      </c>
      <c r="E15" s="14" t="n">
        <f aca="false">D15/D$4-1</f>
        <v>0.0299900192857618</v>
      </c>
      <c r="F15" s="11" t="n">
        <f aca="false">F480</f>
        <v>8655.3893435758</v>
      </c>
      <c r="G15" s="11" t="n">
        <f aca="false">F488</f>
        <v>3678.41422976439</v>
      </c>
      <c r="H15" s="14" t="n">
        <f aca="false">G15/G$4-1</f>
        <v>-0.0273246176100107</v>
      </c>
    </row>
    <row r="16" customFormat="false" ht="17.15" hidden="false" customHeight="false" outlineLevel="0" collapsed="false">
      <c r="A16" s="4" t="s">
        <v>630</v>
      </c>
      <c r="B16" s="0" t="s">
        <v>631</v>
      </c>
      <c r="C16" s="11" t="n">
        <f aca="false">E520</f>
        <v>7722.41826505685</v>
      </c>
      <c r="D16" s="11" t="n">
        <f aca="false">E528</f>
        <v>3243.31831571082</v>
      </c>
      <c r="E16" s="14" t="n">
        <f aca="false">D16/D$4-1</f>
        <v>-0.0403500768347677</v>
      </c>
      <c r="F16" s="11" t="n">
        <f aca="false">F520</f>
        <v>8512.3670973062</v>
      </c>
      <c r="G16" s="11" t="n">
        <f aca="false">F528</f>
        <v>3611.71506147994</v>
      </c>
      <c r="H16" s="14" t="n">
        <f aca="false">G16/G$4-1</f>
        <v>-0.0449617391965953</v>
      </c>
    </row>
    <row r="17" customFormat="false" ht="17.15" hidden="false" customHeight="false" outlineLevel="0" collapsed="false">
      <c r="A17" s="4" t="s">
        <v>632</v>
      </c>
      <c r="B17" s="0" t="s">
        <v>633</v>
      </c>
      <c r="C17" s="11" t="n">
        <f aca="false">E560</f>
        <v>8369.00089821876</v>
      </c>
      <c r="D17" s="11" t="n">
        <f aca="false">E568</f>
        <v>3544.85548901027</v>
      </c>
      <c r="E17" s="14" t="n">
        <f aca="false">D17/D$4-1</f>
        <v>0.048870313216544</v>
      </c>
      <c r="F17" s="11" t="n">
        <f aca="false">F560</f>
        <v>9318.55957105537</v>
      </c>
      <c r="G17" s="11" t="n">
        <f aca="false">F568</f>
        <v>3987.68711393181</v>
      </c>
      <c r="H17" s="14" t="n">
        <f aca="false">G17/G$4-1</f>
        <v>0.0544557643916279</v>
      </c>
    </row>
    <row r="18" customFormat="false" ht="17.15" hidden="false" customHeight="false" outlineLevel="0" collapsed="false">
      <c r="A18" s="4" t="s">
        <v>634</v>
      </c>
      <c r="C18" s="11" t="n">
        <f aca="false">E600</f>
        <v>7884.59601067093</v>
      </c>
      <c r="D18" s="11" t="n">
        <f aca="false">E608</f>
        <v>3318.95075072598</v>
      </c>
      <c r="E18" s="14" t="n">
        <f aca="false">D18/D$4-1</f>
        <v>-0.0179715578656268</v>
      </c>
      <c r="F18" s="11" t="n">
        <f aca="false">F600</f>
        <v>8595.02451543679</v>
      </c>
      <c r="G18" s="11" t="n">
        <f aca="false">F608</f>
        <v>3650.26277825582</v>
      </c>
      <c r="H18" s="14" t="n">
        <f aca="false">G18/G$4-1</f>
        <v>-0.0347686470614443</v>
      </c>
    </row>
    <row r="19" customFormat="false" ht="17.15" hidden="false" customHeight="false" outlineLevel="0" collapsed="false">
      <c r="A19" s="4" t="s">
        <v>635</v>
      </c>
      <c r="C19" s="11" t="n">
        <f aca="false">E640</f>
        <v>8127.34226625429</v>
      </c>
      <c r="D19" s="11" t="n">
        <f aca="false">E648</f>
        <v>3432.15672933336</v>
      </c>
      <c r="E19" s="14" t="n">
        <f aca="false">D19/D$4-1</f>
        <v>0.0155244169655127</v>
      </c>
      <c r="F19" s="11" t="n">
        <f aca="false">F640</f>
        <v>9120.52191744347</v>
      </c>
      <c r="G19" s="11" t="n">
        <f aca="false">F648</f>
        <v>3895.33122434509</v>
      </c>
      <c r="H19" s="14" t="n">
        <f aca="false">G19/G$4-1</f>
        <v>0.0300342896450281</v>
      </c>
    </row>
    <row r="20" customFormat="false" ht="17.15" hidden="false" customHeight="false" outlineLevel="0" collapsed="false">
      <c r="A20" s="0" t="s">
        <v>636</v>
      </c>
      <c r="B20" s="4" t="s">
        <v>637</v>
      </c>
      <c r="C20" s="11" t="n">
        <f aca="false">E680</f>
        <v>7407.01355931723</v>
      </c>
      <c r="D20" s="11" t="n">
        <f aca="false">E688</f>
        <v>3142.03282764213</v>
      </c>
      <c r="E20" s="14" t="n">
        <f aca="false">D20/D$4-1</f>
        <v>-0.0703189548113855</v>
      </c>
      <c r="F20" s="11" t="n">
        <f aca="false">F680</f>
        <v>8210.3389995007</v>
      </c>
      <c r="G20" s="11" t="n">
        <f aca="false">F688</f>
        <v>3521.63560647196</v>
      </c>
      <c r="H20" s="14" t="n">
        <f aca="false">G20/G$4-1</f>
        <v>-0.0687812611080735</v>
      </c>
    </row>
    <row r="21" customFormat="false" ht="17.15" hidden="false" customHeight="false" outlineLevel="0" collapsed="false">
      <c r="A21" s="0" t="s">
        <v>638</v>
      </c>
      <c r="B21" s="4" t="s">
        <v>639</v>
      </c>
      <c r="C21" s="11" t="n">
        <f aca="false">E720</f>
        <v>8622.6592153613</v>
      </c>
      <c r="D21" s="11" t="n">
        <f aca="false">E728</f>
        <v>3622.3641840976</v>
      </c>
      <c r="E21" s="14" t="n">
        <f aca="false">D21/D$4-1</f>
        <v>0.0718039897924387</v>
      </c>
      <c r="F21" s="11" t="n">
        <f aca="false">F720</f>
        <v>9543.59909661185</v>
      </c>
      <c r="G21" s="11" t="n">
        <f aca="false">F728</f>
        <v>4047.49313407556</v>
      </c>
      <c r="H21" s="14" t="n">
        <f aca="false">G21/G$4-1</f>
        <v>0.0702701452304788</v>
      </c>
    </row>
    <row r="22" customFormat="false" ht="17.15" hidden="false" customHeight="false" outlineLevel="0" collapsed="false">
      <c r="A22" s="4" t="s">
        <v>640</v>
      </c>
      <c r="B22" s="4" t="s">
        <v>641</v>
      </c>
      <c r="C22" s="11" t="n">
        <f aca="false">E760</f>
        <v>8014.83638733926</v>
      </c>
      <c r="D22" s="11" t="n">
        <f aca="false">E768</f>
        <v>3123.7755733673</v>
      </c>
      <c r="E22" s="14" t="n">
        <f aca="false">D22/D$4-1</f>
        <v>-0.0757210063390374</v>
      </c>
      <c r="F22" s="11" t="n">
        <f aca="false">F760</f>
        <v>8876.96904805627</v>
      </c>
      <c r="G22" s="11" t="n">
        <f aca="false">F768</f>
        <v>3498.3077562631</v>
      </c>
      <c r="H22" s="14" t="n">
        <f aca="false">G22/G$4-1</f>
        <v>-0.0749497957550511</v>
      </c>
    </row>
    <row r="23" customFormat="false" ht="17.15" hidden="false" customHeight="false" outlineLevel="0" collapsed="false">
      <c r="A23" s="4" t="s">
        <v>642</v>
      </c>
      <c r="C23" s="11" t="n">
        <f aca="false">E800</f>
        <v>8014.83638733926</v>
      </c>
      <c r="D23" s="11" t="n">
        <f aca="false">E808</f>
        <v>3550.29799717895</v>
      </c>
      <c r="E23" s="14" t="n">
        <f aca="false">D23/D$4-1</f>
        <v>0.0504806708926915</v>
      </c>
      <c r="F23" s="11" t="n">
        <f aca="false">F800</f>
        <v>8876.96904805627</v>
      </c>
      <c r="G23" s="11" t="n">
        <f aca="false">F808</f>
        <v>3970.70995781757</v>
      </c>
      <c r="H23" s="14" t="n">
        <f aca="false">G23/G$4-1</f>
        <v>0.0499665305033681</v>
      </c>
    </row>
    <row r="24" customFormat="false" ht="17.15" hidden="false" customHeight="false" outlineLevel="0" collapsed="false">
      <c r="A24" s="0" t="s">
        <v>643</v>
      </c>
      <c r="B24" s="0" t="s">
        <v>644</v>
      </c>
      <c r="C24" s="11" t="n">
        <f aca="false">E840</f>
        <v>8008.56867313069</v>
      </c>
      <c r="D24" s="11" t="n">
        <f aca="false">E848</f>
        <v>3376.76604654009</v>
      </c>
      <c r="E24" s="14" t="n">
        <f aca="false">D24/D$4-1</f>
        <v>-0.000864866882805959</v>
      </c>
      <c r="F24" s="11" t="n">
        <f aca="false">F840</f>
        <v>8884.42854397367</v>
      </c>
      <c r="G24" s="11" t="n">
        <f aca="false">F848</f>
        <v>3785.22785190733</v>
      </c>
      <c r="H24" s="14" t="n">
        <f aca="false">G24/G$4-1</f>
        <v>0.000919885122079522</v>
      </c>
    </row>
    <row r="25" customFormat="false" ht="17.15" hidden="false" customHeight="false" outlineLevel="0" collapsed="false">
      <c r="A25" s="0" t="s">
        <v>645</v>
      </c>
      <c r="C25" s="11" t="n">
        <f aca="false">E880</f>
        <v>8021.10410154784</v>
      </c>
      <c r="D25" s="11" t="n">
        <f aca="false">E888</f>
        <v>3382.61200876849</v>
      </c>
      <c r="E25" s="14" t="n">
        <f aca="false">D25/D$4-1</f>
        <v>0.000864866882805737</v>
      </c>
      <c r="F25" s="11" t="n">
        <f aca="false">F880</f>
        <v>8869.50955213887</v>
      </c>
      <c r="G25" s="11" t="n">
        <f aca="false">F888</f>
        <v>3778.27030248423</v>
      </c>
      <c r="H25" s="14" t="n">
        <f aca="false">G25/G$4-1</f>
        <v>-0.0009198851220793</v>
      </c>
    </row>
    <row r="26" customFormat="false" ht="15" hidden="false" customHeight="false" outlineLevel="0" collapsed="false">
      <c r="A26" s="4" t="s">
        <v>646</v>
      </c>
      <c r="B26" s="0" t="s">
        <v>647</v>
      </c>
      <c r="C26" s="11" t="n">
        <f aca="false">E920</f>
        <v>7848.37193233926</v>
      </c>
      <c r="D26" s="11" t="n">
        <f aca="false">E928</f>
        <v>3302.05746342549</v>
      </c>
      <c r="E26" s="14" t="n">
        <f aca="false">D26/D$4-1</f>
        <v>-0.0229700317377067</v>
      </c>
      <c r="F26" s="11" t="n">
        <f aca="false">F920</f>
        <v>8512.41189160627</v>
      </c>
      <c r="G26" s="11" t="n">
        <f aca="false">F928</f>
        <v>3611.73595153471</v>
      </c>
      <c r="H26" s="14" t="n">
        <f aca="false">G26/G$4-1</f>
        <v>-0.0449562152830972</v>
      </c>
    </row>
    <row r="27" customFormat="false" ht="15" hidden="false" customHeight="false" outlineLevel="0" collapsed="false">
      <c r="A27" s="4" t="s">
        <v>648</v>
      </c>
      <c r="B27" s="0" t="s">
        <v>649</v>
      </c>
      <c r="C27" s="11" t="n">
        <f aca="false">E960</f>
        <v>8181.30084233926</v>
      </c>
      <c r="D27" s="11" t="n">
        <f aca="false">E968</f>
        <v>3457.32059188309</v>
      </c>
      <c r="E27" s="14" t="n">
        <f aca="false">D27/D$4-1</f>
        <v>0.0229700317377064</v>
      </c>
      <c r="F27" s="11" t="n">
        <f aca="false">F960</f>
        <v>9258.17265000627</v>
      </c>
      <c r="G27" s="11" t="n">
        <f aca="false">F968</f>
        <v>3959.52535927973</v>
      </c>
      <c r="H27" s="14" t="n">
        <f aca="false">G27/G$4-1</f>
        <v>0.0470090105015033</v>
      </c>
    </row>
    <row r="28" customFormat="false" ht="17.15" hidden="false" customHeight="false" outlineLevel="0" collapsed="false">
      <c r="A28" s="4" t="s">
        <v>650</v>
      </c>
      <c r="C28" s="11" t="n">
        <f aca="false">E1000</f>
        <v>8014.83638733926</v>
      </c>
      <c r="D28" s="11" t="n">
        <f aca="false">E1008</f>
        <v>3388.71298262537</v>
      </c>
      <c r="E28" s="14" t="n">
        <f aca="false">D28/D$4-1</f>
        <v>0.00267005481783822</v>
      </c>
      <c r="F28" s="11" t="n">
        <f aca="false">F1000</f>
        <v>8876.96904805627</v>
      </c>
      <c r="G28" s="11" t="n">
        <f aca="false">F1008</f>
        <v>3807.15040138901</v>
      </c>
      <c r="H28" s="14" t="n">
        <f aca="false">G28/G$4-1</f>
        <v>0.00671681903656807</v>
      </c>
    </row>
    <row r="29" customFormat="false" ht="17.15" hidden="false" customHeight="false" outlineLevel="0" collapsed="false">
      <c r="A29" s="4" t="s">
        <v>651</v>
      </c>
      <c r="C29" s="11" t="n">
        <f aca="false">E1040</f>
        <v>8014.83638733926</v>
      </c>
      <c r="D29" s="11" t="n">
        <f aca="false">E1048</f>
        <v>3370.66507268321</v>
      </c>
      <c r="E29" s="14" t="n">
        <f aca="false">D29/D$4-1</f>
        <v>-0.00267005481783833</v>
      </c>
      <c r="F29" s="11" t="n">
        <f aca="false">F1040</f>
        <v>8876.96904805627</v>
      </c>
      <c r="G29" s="11" t="n">
        <f aca="false">F1048</f>
        <v>3756.34775300255</v>
      </c>
      <c r="H29" s="14" t="n">
        <f aca="false">G29/G$4-1</f>
        <v>-0.00671681903656773</v>
      </c>
    </row>
    <row r="30" customFormat="false" ht="17.15" hidden="false" customHeight="false" outlineLevel="0" collapsed="false">
      <c r="A30" s="4" t="s">
        <v>652</v>
      </c>
      <c r="C30" s="11" t="n">
        <f aca="false">E1080</f>
        <v>8014.83638733926</v>
      </c>
      <c r="D30" s="11" t="n">
        <f aca="false">E1088</f>
        <v>2858.53466241425</v>
      </c>
      <c r="E30" s="14" t="n">
        <f aca="false">D30/D$4-1</f>
        <v>-0.154201869158879</v>
      </c>
      <c r="F30" s="11" t="n">
        <f aca="false">F1080</f>
        <v>8876.96904805627</v>
      </c>
      <c r="G30" s="11" t="n">
        <f aca="false">F1088</f>
        <v>3198.59630080233</v>
      </c>
      <c r="H30" s="14" t="n">
        <f aca="false">G30/G$4-1</f>
        <v>-0.154201869158878</v>
      </c>
    </row>
    <row r="31" customFormat="false" ht="17.15" hidden="false" customHeight="false" outlineLevel="0" collapsed="false">
      <c r="A31" s="4" t="s">
        <v>653</v>
      </c>
      <c r="B31" s="4" t="s">
        <v>654</v>
      </c>
      <c r="C31" s="11" t="n">
        <f aca="false">E1120</f>
        <v>8014.83638733926</v>
      </c>
      <c r="D31" s="11" t="n">
        <f aca="false">E1128</f>
        <v>3771.67767957435</v>
      </c>
      <c r="E31" s="14" t="n">
        <f aca="false">D31/D$4-1</f>
        <v>0.115983644859813</v>
      </c>
      <c r="F31" s="11" t="n">
        <f aca="false">F1120</f>
        <v>8876.96904805627</v>
      </c>
      <c r="G31" s="11" t="n">
        <f aca="false">F1128</f>
        <v>4220.37011911418</v>
      </c>
      <c r="H31" s="14" t="n">
        <f aca="false">G31/G$4-1</f>
        <v>0.115983644859813</v>
      </c>
    </row>
    <row r="32" customFormat="false" ht="17.15" hidden="false" customHeight="false" outlineLevel="0" collapsed="false">
      <c r="A32" s="4" t="s">
        <v>655</v>
      </c>
      <c r="B32" s="0" t="s">
        <v>656</v>
      </c>
      <c r="C32" s="11" t="n">
        <f aca="false">PL!E93</f>
        <v>6845.79557102261</v>
      </c>
      <c r="D32" s="11" t="n">
        <f aca="false">PL!E101</f>
        <v>2834.50076378154</v>
      </c>
      <c r="E32" s="14" t="n">
        <f aca="false">D32/D$4-1</f>
        <v>-0.161313144319417</v>
      </c>
      <c r="F32" s="11" t="n">
        <f aca="false">PL!F93</f>
        <v>6940.39947032143</v>
      </c>
      <c r="G32" s="11" t="n">
        <f aca="false">PL!F101</f>
        <v>2878.61978417368</v>
      </c>
      <c r="H32" s="14" t="n">
        <f aca="false">G32/G$4-1</f>
        <v>-0.238812590308551</v>
      </c>
    </row>
    <row r="33" customFormat="false" ht="17.15" hidden="false" customHeight="false" outlineLevel="0" collapsed="false">
      <c r="A33" s="4" t="s">
        <v>657</v>
      </c>
      <c r="B33" s="0" t="s">
        <v>658</v>
      </c>
      <c r="C33" s="11" t="n">
        <f aca="false">PL!E126</f>
        <v>3908.82938433416</v>
      </c>
      <c r="D33" s="11" t="n">
        <f aca="false">PL!E134</f>
        <v>1464.83130996503</v>
      </c>
      <c r="E33" s="14" t="n">
        <f aca="false">D33/D$4-1</f>
        <v>-0.56657807923183</v>
      </c>
      <c r="F33" s="11" t="n">
        <f aca="false">PL!F126</f>
        <v>3827.61859167273</v>
      </c>
      <c r="G33" s="11" t="n">
        <f aca="false">PL!F134</f>
        <v>1325.01985495718</v>
      </c>
      <c r="H33" s="14" t="n">
        <f aca="false">G33/G$4-1</f>
        <v>-0.64962777066645</v>
      </c>
    </row>
    <row r="35" customFormat="false" ht="17.15" hidden="false" customHeight="false" outlineLevel="0" collapsed="false">
      <c r="A35" s="4" t="s">
        <v>659</v>
      </c>
    </row>
    <row r="60" customFormat="false" ht="17.15" hidden="false" customHeight="false" outlineLevel="0" collapsed="false">
      <c r="A60" s="1" t="s">
        <v>660</v>
      </c>
    </row>
    <row r="61" customFormat="false" ht="15" hidden="false" customHeight="false" outlineLevel="0" collapsed="false">
      <c r="A61" s="5" t="s">
        <v>14</v>
      </c>
      <c r="B61" s="5" t="s">
        <v>15</v>
      </c>
      <c r="C61" s="9" t="s">
        <v>401</v>
      </c>
      <c r="D61" s="9" t="s">
        <v>402</v>
      </c>
      <c r="E61" s="9" t="s">
        <v>403</v>
      </c>
      <c r="F61" s="9" t="s">
        <v>404</v>
      </c>
      <c r="G61" s="9" t="s">
        <v>405</v>
      </c>
      <c r="H61" s="9" t="s">
        <v>406</v>
      </c>
      <c r="I61" s="5" t="s">
        <v>407</v>
      </c>
    </row>
    <row r="62" customFormat="false" ht="17.15" hidden="false" customHeight="false" outlineLevel="0" collapsed="false">
      <c r="A62" s="6" t="s">
        <v>441</v>
      </c>
    </row>
    <row r="63" customFormat="false" ht="17.15" hidden="false" customHeight="false" outlineLevel="0" collapsed="false">
      <c r="A63" s="0" t="s">
        <v>442</v>
      </c>
      <c r="B63" s="0" t="s">
        <v>25</v>
      </c>
      <c r="C63" s="17" t="n">
        <f aca="false">hsA_25</f>
        <v>2.22511470588235</v>
      </c>
      <c r="D63" s="17" t="n">
        <f aca="false">hsA_26</f>
        <v>3.782695</v>
      </c>
      <c r="E63" s="17" t="n">
        <f aca="false">hsA_27</f>
        <v>5.86317725</v>
      </c>
      <c r="F63" s="17" t="n">
        <f aca="false">hsA_28</f>
        <v>8.5016070125</v>
      </c>
      <c r="G63" s="17" t="n">
        <f aca="false">hsA_29</f>
        <v>11.477169466875</v>
      </c>
      <c r="H63" s="17" t="n">
        <f aca="false">G63*(1+g_tail)</f>
        <v>12.6248864135625</v>
      </c>
      <c r="I63" s="8" t="s">
        <v>443</v>
      </c>
    </row>
    <row r="64" customFormat="false" ht="17.15" hidden="false" customHeight="false" outlineLevel="0" collapsed="false">
      <c r="A64" s="0" t="s">
        <v>444</v>
      </c>
      <c r="B64" s="0" t="s">
        <v>445</v>
      </c>
      <c r="C64" s="15" t="n">
        <f aca="false">den_25</f>
        <v>24</v>
      </c>
      <c r="D64" s="15" t="n">
        <f aca="false">den_26</f>
        <v>24</v>
      </c>
      <c r="E64" s="15" t="n">
        <f aca="false">den_27</f>
        <v>26</v>
      </c>
      <c r="F64" s="15" t="n">
        <f aca="false">den_28</f>
        <v>28</v>
      </c>
      <c r="G64" s="15" t="n">
        <f aca="false">den_29</f>
        <v>30</v>
      </c>
      <c r="H64" s="15" t="n">
        <f aca="false">den_30</f>
        <v>32</v>
      </c>
    </row>
    <row r="65" customFormat="false" ht="17.15" hidden="false" customHeight="false" outlineLevel="0" collapsed="false">
      <c r="A65" s="4" t="s">
        <v>446</v>
      </c>
      <c r="B65" s="4" t="s">
        <v>411</v>
      </c>
      <c r="C65" s="11" t="n">
        <f aca="false">C63*8000/C64</f>
        <v>741.704901960783</v>
      </c>
      <c r="D65" s="11" t="n">
        <f aca="false">D63*8000/D64</f>
        <v>1260.89833333333</v>
      </c>
      <c r="E65" s="11" t="n">
        <f aca="false">E63*8000/E64</f>
        <v>1804.05453846154</v>
      </c>
      <c r="F65" s="11" t="n">
        <f aca="false">F63*8000/F64</f>
        <v>2429.030575</v>
      </c>
      <c r="G65" s="11" t="n">
        <f aca="false">G63*8000/G64</f>
        <v>3060.5785245</v>
      </c>
      <c r="H65" s="11" t="n">
        <f aca="false">H63*8000/H64</f>
        <v>3156.22160339063</v>
      </c>
      <c r="I65" s="8" t="s">
        <v>447</v>
      </c>
    </row>
    <row r="66" customFormat="false" ht="15" hidden="false" customHeight="false" outlineLevel="0" collapsed="false">
      <c r="A66" s="4" t="s">
        <v>448</v>
      </c>
      <c r="B66" s="4" t="s">
        <v>89</v>
      </c>
      <c r="C66" s="15" t="n">
        <f aca="false">stk_25</f>
        <v>10</v>
      </c>
      <c r="D66" s="15" t="n">
        <f aca="false">stk_26</f>
        <v>12</v>
      </c>
      <c r="E66" s="15" t="n">
        <f aca="false">stk_27</f>
        <v>12.5</v>
      </c>
      <c r="F66" s="15" t="n">
        <f aca="false">stk_28</f>
        <v>14</v>
      </c>
      <c r="G66" s="15" t="n">
        <f aca="false">stk_29</f>
        <v>15</v>
      </c>
      <c r="H66" s="15" t="n">
        <f aca="false">stk_30</f>
        <v>16</v>
      </c>
    </row>
    <row r="67" customFormat="false" ht="15" hidden="false" customHeight="false" outlineLevel="0" collapsed="false">
      <c r="A67" s="4" t="s">
        <v>449</v>
      </c>
      <c r="B67" s="0" t="s">
        <v>109</v>
      </c>
      <c r="C67" s="18" t="n">
        <f aca="false">1+beta*(C66-$C66)/4</f>
        <v>1</v>
      </c>
      <c r="D67" s="18" t="n">
        <f aca="false">1+beta*(D66-$C66)/4</f>
        <v>1.05</v>
      </c>
      <c r="E67" s="18" t="n">
        <f aca="false">1+beta*(E66-$C66)/4</f>
        <v>1.0625</v>
      </c>
      <c r="F67" s="18" t="n">
        <f aca="false">1+beta*(F66-$C66)/4</f>
        <v>1.1</v>
      </c>
      <c r="G67" s="18" t="n">
        <f aca="false">1+beta*(G66-$C66)/4</f>
        <v>1.125</v>
      </c>
      <c r="H67" s="18" t="n">
        <f aca="false">1+beta*(H66-$C66)/4</f>
        <v>1.15</v>
      </c>
    </row>
    <row r="68" customFormat="false" ht="17.15" hidden="false" customHeight="false" outlineLevel="0" collapsed="false">
      <c r="A68" s="4" t="s">
        <v>450</v>
      </c>
      <c r="B68" s="0" t="s">
        <v>62</v>
      </c>
      <c r="C68" s="14" t="n">
        <f aca="false">0</f>
        <v>0</v>
      </c>
      <c r="D68" s="14" t="n">
        <f aca="false">0</f>
        <v>0</v>
      </c>
      <c r="E68" s="14" t="n">
        <f aca="false">0</f>
        <v>0</v>
      </c>
      <c r="F68" s="14" t="n">
        <f aca="false">0</f>
        <v>0</v>
      </c>
      <c r="G68" s="14" t="n">
        <f aca="false">0</f>
        <v>0</v>
      </c>
      <c r="H68" s="14" t="n">
        <f aca="false">0</f>
        <v>0</v>
      </c>
      <c r="I68" s="4" t="s">
        <v>451</v>
      </c>
    </row>
    <row r="69" customFormat="false" ht="17.15" hidden="false" customHeight="false" outlineLevel="0" collapsed="false">
      <c r="A69" s="0" t="s">
        <v>452</v>
      </c>
      <c r="B69" s="4" t="s">
        <v>413</v>
      </c>
      <c r="C69" s="11" t="n">
        <f aca="false">C65*C67*(1-C68)</f>
        <v>741.704901960783</v>
      </c>
      <c r="D69" s="11" t="n">
        <f aca="false">D65*D67*(1-D68)</f>
        <v>1323.94325</v>
      </c>
      <c r="E69" s="11" t="n">
        <f aca="false">E65*E67*(1-E68)</f>
        <v>1916.80794711538</v>
      </c>
      <c r="F69" s="11" t="n">
        <f aca="false">F65*F67*(1-F68)</f>
        <v>2671.9336325</v>
      </c>
      <c r="G69" s="11" t="n">
        <f aca="false">G65*G67*(1-G68)</f>
        <v>3443.1508400625</v>
      </c>
      <c r="H69" s="11" t="n">
        <f aca="false">H65*H67*(1-H68)</f>
        <v>3629.65484389922</v>
      </c>
    </row>
    <row r="70" customFormat="false" ht="17.15" hidden="false" customHeight="false" outlineLevel="0" collapsed="false">
      <c r="A70" s="4" t="s">
        <v>453</v>
      </c>
      <c r="B70" s="4" t="s">
        <v>413</v>
      </c>
      <c r="C70" s="11" t="n">
        <f aca="false">MAX(0,D69-C69)+dlt*C69</f>
        <v>656.408838235295</v>
      </c>
      <c r="D70" s="11" t="n">
        <f aca="false">MAX(0,E69-D69)+dlt*D69</f>
        <v>725.259022115385</v>
      </c>
      <c r="E70" s="11" t="n">
        <f aca="false">MAX(0,F69-E69)+dlt*E69</f>
        <v>946.806480096154</v>
      </c>
      <c r="F70" s="11" t="n">
        <f aca="false">MAX(0,G69-F69)+dlt*F69</f>
        <v>1038.4105708125</v>
      </c>
      <c r="G70" s="11" t="n">
        <f aca="false">MAX(0,H69-G69)+dlt*G69</f>
        <v>530.819087842968</v>
      </c>
      <c r="I70" s="4" t="s">
        <v>454</v>
      </c>
    </row>
    <row r="71" customFormat="false" ht="17.15" hidden="false" customHeight="false" outlineLevel="0" collapsed="false">
      <c r="A71" s="0" t="s">
        <v>455</v>
      </c>
      <c r="B71" s="0" t="s">
        <v>62</v>
      </c>
      <c r="C71" s="14" t="n">
        <f aca="false">ms_sk_26/(ms_sk_26+ms_ss_26+ms_mu_26)</f>
        <v>0.52</v>
      </c>
      <c r="D71" s="14" t="n">
        <f aca="false">ms_sk_27/(ms_sk_27+ms_ss_27+ms_mu_27)</f>
        <v>0.42</v>
      </c>
      <c r="E71" s="14" t="n">
        <f aca="false">ms_sk_28/(ms_sk_28+ms_ss_28+ms_mu_28)</f>
        <v>0.4</v>
      </c>
      <c r="F71" s="14" t="n">
        <f aca="false">ms_sk_29/(ms_sk_29+ms_ss_29+ms_mu_29)</f>
        <v>0.4</v>
      </c>
      <c r="G71" s="14" t="n">
        <f aca="false">ms_sk_29/(ms_sk_29+ms_ss_29+ms_mu_29)</f>
        <v>0.4</v>
      </c>
    </row>
    <row r="72" customFormat="false" ht="17.15" hidden="false" customHeight="false" outlineLevel="0" collapsed="false">
      <c r="A72" s="4" t="s">
        <v>456</v>
      </c>
      <c r="B72" s="0" t="s">
        <v>62</v>
      </c>
      <c r="C72" s="14" t="n">
        <f aca="false">ms_ss_26/(ms_sk_26+ms_ss_26+ms_mu_26)</f>
        <v>0.29</v>
      </c>
      <c r="D72" s="14" t="n">
        <f aca="false">ms_ss_27/(ms_sk_27+ms_ss_27+ms_mu_27)</f>
        <v>0.38</v>
      </c>
      <c r="E72" s="14" t="n">
        <f aca="false">ms_ss_28/(ms_sk_28+ms_ss_28+ms_mu_28)</f>
        <v>0.4</v>
      </c>
      <c r="F72" s="14" t="n">
        <f aca="false">ms_ss_29/(ms_sk_29+ms_ss_29+ms_mu_29)</f>
        <v>0.4</v>
      </c>
      <c r="G72" s="14" t="n">
        <f aca="false">ms_ss_29/(ms_sk_29+ms_ss_29+ms_mu_29)</f>
        <v>0.4</v>
      </c>
    </row>
    <row r="73" customFormat="false" ht="17.15" hidden="false" customHeight="false" outlineLevel="0" collapsed="false">
      <c r="A73" s="4" t="s">
        <v>457</v>
      </c>
      <c r="B73" s="0" t="s">
        <v>62</v>
      </c>
      <c r="C73" s="14" t="n">
        <f aca="false">ms_mu_26/(ms_sk_26+ms_ss_26+ms_mu_26)</f>
        <v>0.19</v>
      </c>
      <c r="D73" s="14" t="n">
        <f aca="false">ms_mu_27/(ms_sk_27+ms_ss_27+ms_mu_27)</f>
        <v>0.2</v>
      </c>
      <c r="E73" s="14" t="n">
        <f aca="false">ms_mu_28/(ms_sk_28+ms_ss_28+ms_mu_28)</f>
        <v>0.2</v>
      </c>
      <c r="F73" s="14" t="n">
        <f aca="false">ms_mu_29/(ms_sk_29+ms_ss_29+ms_mu_29)</f>
        <v>0.2</v>
      </c>
      <c r="G73" s="14" t="n">
        <f aca="false">ms_mu_29/(ms_sk_29+ms_ss_29+ms_mu_29)</f>
        <v>0.2</v>
      </c>
    </row>
    <row r="74" customFormat="false" ht="17.15" hidden="false" customHeight="false" outlineLevel="0" collapsed="false">
      <c r="A74" s="4" t="s">
        <v>458</v>
      </c>
      <c r="B74" s="0" t="s">
        <v>62</v>
      </c>
      <c r="C74" s="14" t="n">
        <f aca="false">C71*hsk_25+C72*hss+C73*hmu_25</f>
        <v>0.412</v>
      </c>
      <c r="D74" s="14" t="n">
        <f aca="false">D71*hsk_A_lo+D72*hss+D73*hmu_A</f>
        <v>0.297</v>
      </c>
      <c r="E74" s="14" t="n">
        <f aca="false">E71*hsk_A_lo+E72*hss+E73*hmu_A</f>
        <v>0.29</v>
      </c>
      <c r="F74" s="14" t="n">
        <f aca="false">F71*hsk_A_lo+F72*hss+F73*hmu_A</f>
        <v>0.29</v>
      </c>
      <c r="G74" s="14" t="n">
        <f aca="false">G71*hsk_A_lo+G72*hss+G73*hmu_A</f>
        <v>0.29</v>
      </c>
    </row>
    <row r="75" customFormat="false" ht="17.15" hidden="false" customHeight="false" outlineLevel="0" collapsed="false">
      <c r="A75" s="4" t="s">
        <v>459</v>
      </c>
      <c r="B75" s="4" t="s">
        <v>413</v>
      </c>
      <c r="C75" s="11" t="n">
        <f aca="false">C70*C74</f>
        <v>270.440441352942</v>
      </c>
      <c r="D75" s="11" t="n">
        <f aca="false">D70*D74</f>
        <v>215.401929568269</v>
      </c>
      <c r="E75" s="11" t="n">
        <f aca="false">E70*E74</f>
        <v>274.573879227885</v>
      </c>
      <c r="F75" s="11" t="n">
        <f aca="false">F70*F74</f>
        <v>301.139065535625</v>
      </c>
      <c r="G75" s="11" t="n">
        <f aca="false">G70*G74</f>
        <v>153.937535474461</v>
      </c>
    </row>
    <row r="76" customFormat="false" ht="17.15" hidden="false" customHeight="false" outlineLevel="0" collapsed="false">
      <c r="A76" s="6" t="s">
        <v>460</v>
      </c>
    </row>
    <row r="77" customFormat="false" ht="17.15" hidden="false" customHeight="false" outlineLevel="0" collapsed="false">
      <c r="A77" s="4" t="s">
        <v>461</v>
      </c>
      <c r="B77" s="4" t="s">
        <v>226</v>
      </c>
      <c r="C77" s="11" t="n">
        <f aca="false">a25_rev-a25_hbm</f>
        <v>2895.034</v>
      </c>
      <c r="D77" s="11" t="n">
        <f aca="false">C77*(1+g_o26)</f>
        <v>3329.2891</v>
      </c>
      <c r="E77" s="11" t="n">
        <f aca="false">D77*(1+g_o_A)</f>
        <v>3728.803792</v>
      </c>
      <c r="F77" s="11" t="n">
        <f aca="false">E77*(1+g_o_A)</f>
        <v>4176.26024704</v>
      </c>
      <c r="G77" s="11" t="n">
        <f aca="false">F77*(1+g_o_A)</f>
        <v>4677.4114766848</v>
      </c>
    </row>
    <row r="78" customFormat="false" ht="17.15" hidden="false" customHeight="false" outlineLevel="0" collapsed="false">
      <c r="A78" s="0" t="s">
        <v>462</v>
      </c>
      <c r="B78" s="4" t="s">
        <v>226</v>
      </c>
      <c r="C78" s="11" t="n">
        <f aca="false">a25_hbm</f>
        <v>2871.966</v>
      </c>
      <c r="D78" s="11" t="n">
        <f aca="false">rev26-D77</f>
        <v>4210.5109</v>
      </c>
      <c r="E78" s="11" t="n">
        <f aca="false">$C79*E75</f>
        <v>4002.66274283074</v>
      </c>
      <c r="F78" s="11" t="n">
        <f aca="false">$C79*F75</f>
        <v>4389.92274654762</v>
      </c>
      <c r="G78" s="11" t="n">
        <f aca="false">$C79*G75</f>
        <v>2244.05919346546</v>
      </c>
      <c r="I78" s="8" t="s">
        <v>463</v>
      </c>
    </row>
    <row r="79" customFormat="false" ht="17.15" hidden="false" customHeight="false" outlineLevel="0" collapsed="false">
      <c r="A79" s="4" t="s">
        <v>464</v>
      </c>
      <c r="B79" s="4" t="s">
        <v>465</v>
      </c>
      <c r="C79" s="18" t="n">
        <f aca="false">(C78+D78)/(C75+D75)</f>
        <v>14.5777258713991</v>
      </c>
      <c r="I79" s="4" t="s">
        <v>466</v>
      </c>
    </row>
    <row r="80" customFormat="false" ht="15" hidden="false" customHeight="false" outlineLevel="0" collapsed="false">
      <c r="A80" s="4" t="s">
        <v>366</v>
      </c>
      <c r="B80" s="4" t="s">
        <v>226</v>
      </c>
      <c r="C80" s="11" t="n">
        <f aca="false">a25_rev</f>
        <v>5767</v>
      </c>
      <c r="D80" s="11" t="n">
        <f aca="false">D77+D78</f>
        <v>7539.8</v>
      </c>
      <c r="E80" s="11" t="n">
        <f aca="false">E77+E78</f>
        <v>7731.46653483074</v>
      </c>
      <c r="F80" s="11" t="n">
        <f aca="false">F77+F78</f>
        <v>8566.18299358762</v>
      </c>
      <c r="G80" s="11" t="n">
        <f aca="false">G77+G78</f>
        <v>6921.47067015026</v>
      </c>
    </row>
    <row r="81" customFormat="false" ht="17.15" hidden="false" customHeight="false" outlineLevel="0" collapsed="false">
      <c r="A81" s="0" t="s">
        <v>467</v>
      </c>
      <c r="B81" s="0" t="s">
        <v>62</v>
      </c>
      <c r="C81" s="14" t="n">
        <f aca="false">C78/C80</f>
        <v>0.498</v>
      </c>
      <c r="D81" s="14" t="n">
        <f aca="false">D78/D80</f>
        <v>0.558438008965755</v>
      </c>
      <c r="E81" s="14" t="n">
        <f aca="false">E78/E80</f>
        <v>0.517710672974977</v>
      </c>
      <c r="F81" s="14" t="n">
        <f aca="false">F78/F80</f>
        <v>0.51247127802824</v>
      </c>
      <c r="G81" s="14" t="n">
        <f aca="false">G78/G80</f>
        <v>0.324217106509352</v>
      </c>
    </row>
    <row r="82" customFormat="false" ht="17.15" hidden="false" customHeight="false" outlineLevel="0" collapsed="false">
      <c r="A82" s="4" t="s">
        <v>468</v>
      </c>
      <c r="B82" s="4" t="s">
        <v>226</v>
      </c>
      <c r="C82" s="11" t="n">
        <f aca="false">opex25</f>
        <v>806.7</v>
      </c>
      <c r="D82" s="11" t="n">
        <f aca="false">opex_fix+opex_var*D80</f>
        <v>930.691482573261</v>
      </c>
      <c r="E82" s="11" t="n">
        <f aca="false">opex_fix+opex_var*E80</f>
        <v>944.096840094326</v>
      </c>
      <c r="F82" s="11" t="n">
        <f aca="false">opex_fix+opex_var*F80</f>
        <v>1002.4777805555</v>
      </c>
      <c r="G82" s="11" t="n">
        <f aca="false">opex_fix+opex_var*G80</f>
        <v>887.44488378795</v>
      </c>
      <c r="I82" s="4" t="s">
        <v>469</v>
      </c>
    </row>
    <row r="83" customFormat="false" ht="17.15" hidden="false" customHeight="false" outlineLevel="0" collapsed="false">
      <c r="A83" s="4" t="s">
        <v>436</v>
      </c>
      <c r="B83" s="0" t="s">
        <v>62</v>
      </c>
      <c r="C83" s="14" t="n">
        <f aca="false">a25_gp/a25_rev</f>
        <v>0.575793306745275</v>
      </c>
      <c r="D83" s="14" t="n">
        <f aca="false">(oi26+D82)/D80</f>
        <v>0.595267179842073</v>
      </c>
      <c r="E83" s="14" t="n">
        <f aca="false">$D83+0</f>
        <v>0.595267179842073</v>
      </c>
      <c r="F83" s="14" t="n">
        <f aca="false">$D83+0</f>
        <v>0.595267179842073</v>
      </c>
      <c r="G83" s="14" t="n">
        <f aca="false">$D83+0</f>
        <v>0.595267179842073</v>
      </c>
      <c r="I83" s="8" t="s">
        <v>470</v>
      </c>
    </row>
    <row r="84" customFormat="false" ht="15" hidden="false" customHeight="false" outlineLevel="0" collapsed="false">
      <c r="A84" s="4" t="s">
        <v>371</v>
      </c>
      <c r="B84" s="4" t="s">
        <v>226</v>
      </c>
      <c r="C84" s="11" t="n">
        <f aca="false">C80*C83</f>
        <v>3320.6</v>
      </c>
      <c r="D84" s="11" t="n">
        <f aca="false">D80*D83</f>
        <v>4488.19548257326</v>
      </c>
      <c r="E84" s="11" t="n">
        <f aca="false">E80*E83</f>
        <v>4602.28828023206</v>
      </c>
      <c r="F84" s="11" t="n">
        <f aca="false">F80*F83</f>
        <v>5099.16759260403</v>
      </c>
      <c r="G84" s="11" t="n">
        <f aca="false">G80*G83</f>
        <v>4120.12432617997</v>
      </c>
    </row>
    <row r="85" customFormat="false" ht="15" hidden="false" customHeight="false" outlineLevel="0" collapsed="false">
      <c r="A85" s="4" t="s">
        <v>374</v>
      </c>
      <c r="B85" s="4" t="s">
        <v>226</v>
      </c>
      <c r="C85" s="11" t="n">
        <f aca="false">a25_oi</f>
        <v>2513.9</v>
      </c>
      <c r="D85" s="11" t="n">
        <f aca="false">oi26</f>
        <v>3557.504</v>
      </c>
      <c r="E85" s="11" t="n">
        <f aca="false">E84-E82</f>
        <v>3658.19144013773</v>
      </c>
      <c r="F85" s="11" t="n">
        <f aca="false">F84-F82</f>
        <v>4096.68981204853</v>
      </c>
      <c r="G85" s="11" t="n">
        <f aca="false">G84-G82</f>
        <v>3232.67944239202</v>
      </c>
    </row>
    <row r="86" customFormat="false" ht="15" hidden="false" customHeight="false" outlineLevel="0" collapsed="false">
      <c r="A86" s="4" t="s">
        <v>377</v>
      </c>
      <c r="B86" s="0" t="s">
        <v>62</v>
      </c>
      <c r="C86" s="14" t="n">
        <f aca="false">C85/C80</f>
        <v>0.435911219004682</v>
      </c>
      <c r="D86" s="14" t="n">
        <f aca="false">D85/D80</f>
        <v>0.471830022016499</v>
      </c>
      <c r="E86" s="14" t="n">
        <f aca="false">E85/E80</f>
        <v>0.473156214756586</v>
      </c>
      <c r="F86" s="14" t="n">
        <f aca="false">F85/F80</f>
        <v>0.478239819895884</v>
      </c>
      <c r="G86" s="14" t="n">
        <f aca="false">G85/G80</f>
        <v>0.467050948627633</v>
      </c>
    </row>
    <row r="87" customFormat="false" ht="15" hidden="false" customHeight="false" outlineLevel="0" collapsed="false">
      <c r="A87" s="4" t="s">
        <v>437</v>
      </c>
      <c r="B87" s="4" t="s">
        <v>226</v>
      </c>
      <c r="C87" s="11" t="n">
        <f aca="false">a25_ni</f>
        <v>2140</v>
      </c>
      <c r="D87" s="11" t="n">
        <f aca="false">D85*nioi</f>
        <v>3028.38560006365</v>
      </c>
      <c r="E87" s="11" t="n">
        <f aca="false">E85*nioi</f>
        <v>3114.09749070955</v>
      </c>
      <c r="F87" s="11" t="n">
        <f aca="false">F85*nioi</f>
        <v>3487.37666485694</v>
      </c>
      <c r="G87" s="11" t="n">
        <f aca="false">G85*nioi</f>
        <v>2751.8731877636</v>
      </c>
    </row>
    <row r="88" customFormat="false" ht="15" hidden="false" customHeight="false" outlineLevel="0" collapsed="false">
      <c r="A88" s="0" t="s">
        <v>438</v>
      </c>
      <c r="B88" s="0" t="s">
        <v>302</v>
      </c>
      <c r="C88" s="11" t="n">
        <f aca="false">a25_eps</f>
        <v>2231.7</v>
      </c>
      <c r="D88" s="11" t="n">
        <f aca="false">D87*100/shares</f>
        <v>3158.15333815983</v>
      </c>
      <c r="E88" s="11" t="n">
        <f aca="false">E87*100/shares</f>
        <v>3247.5380233722</v>
      </c>
      <c r="F88" s="11" t="n">
        <f aca="false">F87*100/shares</f>
        <v>3636.81238456132</v>
      </c>
      <c r="G88" s="11" t="n">
        <f aca="false">G87*100/shares</f>
        <v>2869.79223978132</v>
      </c>
    </row>
    <row r="89" customFormat="false" ht="17.15" hidden="false" customHeight="false" outlineLevel="0" collapsed="false">
      <c r="A89" s="4" t="s">
        <v>471</v>
      </c>
      <c r="B89" s="4" t="s">
        <v>226</v>
      </c>
      <c r="C89" s="11" t="n">
        <f aca="false">$C79*C70</f>
        <v>9568.94810335767</v>
      </c>
      <c r="D89" s="11" t="n">
        <f aca="false">$C79*D70</f>
        <v>10572.627210157</v>
      </c>
      <c r="E89" s="11" t="n">
        <f aca="false">$C79*E70</f>
        <v>13802.285320106</v>
      </c>
      <c r="F89" s="11" t="n">
        <f aca="false">$C79*F70</f>
        <v>15137.6646432677</v>
      </c>
      <c r="G89" s="11" t="n">
        <f aca="false">$C79*G70</f>
        <v>7738.1351498809</v>
      </c>
      <c r="I89" s="4" t="s">
        <v>472</v>
      </c>
    </row>
    <row r="90" customFormat="false" ht="15" hidden="false" customHeight="false" outlineLevel="0" collapsed="false">
      <c r="A90" s="4" t="s">
        <v>473</v>
      </c>
      <c r="B90" s="0" t="s">
        <v>333</v>
      </c>
      <c r="C90" s="11" t="n">
        <f aca="false">C89/fx*100</f>
        <v>673.869584743498</v>
      </c>
      <c r="D90" s="11" t="n">
        <f aca="false">D89/fx*100</f>
        <v>744.55121198289</v>
      </c>
      <c r="E90" s="11" t="n">
        <f aca="false">E89/fx*100</f>
        <v>971.991923951126</v>
      </c>
      <c r="F90" s="11" t="n">
        <f aca="false">F89/fx*100</f>
        <v>1066.03272135688</v>
      </c>
      <c r="G90" s="11" t="n">
        <f aca="false">G89/fx*100</f>
        <v>544.939095062035</v>
      </c>
    </row>
    <row r="100" customFormat="false" ht="17.15" hidden="false" customHeight="false" outlineLevel="0" collapsed="false">
      <c r="A100" s="1" t="s">
        <v>661</v>
      </c>
    </row>
    <row r="101" customFormat="false" ht="15" hidden="false" customHeight="false" outlineLevel="0" collapsed="false">
      <c r="A101" s="5" t="s">
        <v>14</v>
      </c>
      <c r="B101" s="5" t="s">
        <v>15</v>
      </c>
      <c r="C101" s="9" t="s">
        <v>401</v>
      </c>
      <c r="D101" s="9" t="s">
        <v>402</v>
      </c>
      <c r="E101" s="9" t="s">
        <v>403</v>
      </c>
      <c r="F101" s="9" t="s">
        <v>404</v>
      </c>
      <c r="G101" s="9" t="s">
        <v>405</v>
      </c>
      <c r="H101" s="9" t="s">
        <v>406</v>
      </c>
      <c r="I101" s="5" t="s">
        <v>407</v>
      </c>
    </row>
    <row r="102" customFormat="false" ht="17.15" hidden="false" customHeight="false" outlineLevel="0" collapsed="false">
      <c r="A102" s="6" t="s">
        <v>441</v>
      </c>
    </row>
    <row r="103" customFormat="false" ht="17.15" hidden="false" customHeight="false" outlineLevel="0" collapsed="false">
      <c r="A103" s="0" t="s">
        <v>442</v>
      </c>
      <c r="B103" s="0" t="s">
        <v>25</v>
      </c>
      <c r="C103" s="17" t="n">
        <f aca="false">hsA_25</f>
        <v>2.22511470588235</v>
      </c>
      <c r="D103" s="17" t="n">
        <f aca="false">hsA_26</f>
        <v>3.782695</v>
      </c>
      <c r="E103" s="17" t="n">
        <f aca="false">hsA_27</f>
        <v>5.86317725</v>
      </c>
      <c r="F103" s="17" t="n">
        <f aca="false">hsA_28</f>
        <v>8.5016070125</v>
      </c>
      <c r="G103" s="17" t="n">
        <f aca="false">hsA_29</f>
        <v>11.477169466875</v>
      </c>
      <c r="H103" s="17" t="n">
        <f aca="false">G103*(1+g_tail)</f>
        <v>12.6248864135625</v>
      </c>
      <c r="I103" s="8" t="s">
        <v>443</v>
      </c>
    </row>
    <row r="104" customFormat="false" ht="17.15" hidden="false" customHeight="false" outlineLevel="0" collapsed="false">
      <c r="A104" s="0" t="s">
        <v>444</v>
      </c>
      <c r="B104" s="0" t="s">
        <v>445</v>
      </c>
      <c r="C104" s="15" t="n">
        <f aca="false">den_25</f>
        <v>24</v>
      </c>
      <c r="D104" s="15" t="n">
        <f aca="false">den_26</f>
        <v>24</v>
      </c>
      <c r="E104" s="15" t="n">
        <f aca="false">den_27</f>
        <v>26</v>
      </c>
      <c r="F104" s="15" t="n">
        <f aca="false">den_28</f>
        <v>28</v>
      </c>
      <c r="G104" s="15" t="n">
        <f aca="false">den_29</f>
        <v>30</v>
      </c>
      <c r="H104" s="15" t="n">
        <f aca="false">den_30</f>
        <v>32</v>
      </c>
    </row>
    <row r="105" customFormat="false" ht="17.15" hidden="false" customHeight="false" outlineLevel="0" collapsed="false">
      <c r="A105" s="4" t="s">
        <v>446</v>
      </c>
      <c r="B105" s="4" t="s">
        <v>411</v>
      </c>
      <c r="C105" s="11" t="n">
        <f aca="false">C103*8000/C104</f>
        <v>741.704901960783</v>
      </c>
      <c r="D105" s="11" t="n">
        <f aca="false">D103*8000/D104</f>
        <v>1260.89833333333</v>
      </c>
      <c r="E105" s="11" t="n">
        <f aca="false">E103*8000/E104</f>
        <v>1804.05453846154</v>
      </c>
      <c r="F105" s="11" t="n">
        <f aca="false">F103*8000/F104</f>
        <v>2429.030575</v>
      </c>
      <c r="G105" s="11" t="n">
        <f aca="false">G103*8000/G104</f>
        <v>3060.5785245</v>
      </c>
      <c r="H105" s="11" t="n">
        <f aca="false">H103*8000/H104</f>
        <v>3156.22160339063</v>
      </c>
      <c r="I105" s="8" t="s">
        <v>447</v>
      </c>
    </row>
    <row r="106" customFormat="false" ht="15" hidden="false" customHeight="false" outlineLevel="0" collapsed="false">
      <c r="A106" s="4" t="s">
        <v>448</v>
      </c>
      <c r="B106" s="4" t="s">
        <v>89</v>
      </c>
      <c r="C106" s="15" t="n">
        <f aca="false">stk_25</f>
        <v>10</v>
      </c>
      <c r="D106" s="15" t="n">
        <f aca="false">stk_26</f>
        <v>12</v>
      </c>
      <c r="E106" s="15" t="n">
        <f aca="false">stk_27</f>
        <v>12.5</v>
      </c>
      <c r="F106" s="15" t="n">
        <f aca="false">stk_28</f>
        <v>14</v>
      </c>
      <c r="G106" s="15" t="n">
        <f aca="false">stk_29</f>
        <v>15</v>
      </c>
      <c r="H106" s="15" t="n">
        <f aca="false">stk_30</f>
        <v>16</v>
      </c>
    </row>
    <row r="107" customFormat="false" ht="15" hidden="false" customHeight="false" outlineLevel="0" collapsed="false">
      <c r="A107" s="4" t="s">
        <v>449</v>
      </c>
      <c r="B107" s="0" t="s">
        <v>109</v>
      </c>
      <c r="C107" s="18" t="n">
        <f aca="false">1+beta*(C106-$C106)/4</f>
        <v>1</v>
      </c>
      <c r="D107" s="18" t="n">
        <f aca="false">1+beta*(D106-$C106)/4</f>
        <v>1.05</v>
      </c>
      <c r="E107" s="18" t="n">
        <f aca="false">1+beta*(E106-$C106)/4</f>
        <v>1.0625</v>
      </c>
      <c r="F107" s="18" t="n">
        <f aca="false">1+beta*(F106-$C106)/4</f>
        <v>1.1</v>
      </c>
      <c r="G107" s="18" t="n">
        <f aca="false">1+beta*(G106-$C106)/4</f>
        <v>1.125</v>
      </c>
      <c r="H107" s="18" t="n">
        <f aca="false">1+beta*(H106-$C106)/4</f>
        <v>1.15</v>
      </c>
    </row>
    <row r="108" customFormat="false" ht="17.15" hidden="false" customHeight="false" outlineLevel="0" collapsed="false">
      <c r="A108" s="4" t="s">
        <v>450</v>
      </c>
      <c r="B108" s="0" t="s">
        <v>62</v>
      </c>
      <c r="C108" s="14" t="n">
        <f aca="false">0</f>
        <v>0</v>
      </c>
      <c r="D108" s="14" t="n">
        <f aca="false">0</f>
        <v>0</v>
      </c>
      <c r="E108" s="14" t="n">
        <f aca="false">0</f>
        <v>0</v>
      </c>
      <c r="F108" s="14" t="n">
        <f aca="false">0</f>
        <v>0</v>
      </c>
      <c r="G108" s="14" t="n">
        <f aca="false">0</f>
        <v>0</v>
      </c>
      <c r="H108" s="14" t="n">
        <f aca="false">0</f>
        <v>0</v>
      </c>
      <c r="I108" s="4" t="s">
        <v>451</v>
      </c>
    </row>
    <row r="109" customFormat="false" ht="17.15" hidden="false" customHeight="false" outlineLevel="0" collapsed="false">
      <c r="A109" s="0" t="s">
        <v>452</v>
      </c>
      <c r="B109" s="4" t="s">
        <v>413</v>
      </c>
      <c r="C109" s="11" t="n">
        <f aca="false">C105*C107*(1-C108)</f>
        <v>741.704901960783</v>
      </c>
      <c r="D109" s="11" t="n">
        <f aca="false">D105*D107*(1-D108)</f>
        <v>1323.94325</v>
      </c>
      <c r="E109" s="11" t="n">
        <f aca="false">E105*E107*(1-E108)</f>
        <v>1916.80794711538</v>
      </c>
      <c r="F109" s="11" t="n">
        <f aca="false">F105*F107*(1-F108)</f>
        <v>2671.9336325</v>
      </c>
      <c r="G109" s="11" t="n">
        <f aca="false">G105*G107*(1-G108)</f>
        <v>3443.1508400625</v>
      </c>
      <c r="H109" s="11" t="n">
        <f aca="false">H105*H107*(1-H108)</f>
        <v>3629.65484389922</v>
      </c>
    </row>
    <row r="110" customFormat="false" ht="17.15" hidden="false" customHeight="false" outlineLevel="0" collapsed="false">
      <c r="A110" s="4" t="s">
        <v>453</v>
      </c>
      <c r="B110" s="4" t="s">
        <v>413</v>
      </c>
      <c r="C110" s="11" t="n">
        <f aca="false">MAX(0,D109-C109)+dlt*C109</f>
        <v>656.408838235295</v>
      </c>
      <c r="D110" s="11" t="n">
        <f aca="false">MAX(0,E109-D109)+dlt*D109</f>
        <v>725.259022115385</v>
      </c>
      <c r="E110" s="11" t="n">
        <f aca="false">MAX(0,F109-E109)+dlt*E109</f>
        <v>946.806480096154</v>
      </c>
      <c r="F110" s="11" t="n">
        <f aca="false">MAX(0,G109-F109)+dlt*F109</f>
        <v>1038.4105708125</v>
      </c>
      <c r="G110" s="11" t="n">
        <f aca="false">MAX(0,H109-G109)+dlt*G109</f>
        <v>530.819087842968</v>
      </c>
      <c r="I110" s="4" t="s">
        <v>454</v>
      </c>
    </row>
    <row r="111" customFormat="false" ht="17.15" hidden="false" customHeight="false" outlineLevel="0" collapsed="false">
      <c r="A111" s="0" t="s">
        <v>455</v>
      </c>
      <c r="B111" s="0" t="s">
        <v>62</v>
      </c>
      <c r="C111" s="14" t="n">
        <f aca="false">ms_sk_26/(ms_sk_26+ms_ss_26+ms_mu_26)</f>
        <v>0.52</v>
      </c>
      <c r="D111" s="14" t="n">
        <f aca="false">ms_sk_27/(ms_sk_27+ms_ss_27+ms_mu_27)</f>
        <v>0.42</v>
      </c>
      <c r="E111" s="14" t="n">
        <f aca="false">ms_sk_28/(ms_sk_28+ms_ss_28+ms_mu_28)</f>
        <v>0.4</v>
      </c>
      <c r="F111" s="14" t="n">
        <f aca="false">ms_sk_29/(ms_sk_29+ms_ss_29+ms_mu_29)</f>
        <v>0.4</v>
      </c>
      <c r="G111" s="14" t="n">
        <f aca="false">ms_sk_29/(ms_sk_29+ms_ss_29+ms_mu_29)</f>
        <v>0.4</v>
      </c>
    </row>
    <row r="112" customFormat="false" ht="17.15" hidden="false" customHeight="false" outlineLevel="0" collapsed="false">
      <c r="A112" s="4" t="s">
        <v>456</v>
      </c>
      <c r="B112" s="0" t="s">
        <v>62</v>
      </c>
      <c r="C112" s="14" t="n">
        <f aca="false">ms_ss_26/(ms_sk_26+ms_ss_26+ms_mu_26)</f>
        <v>0.29</v>
      </c>
      <c r="D112" s="14" t="n">
        <f aca="false">ms_ss_27/(ms_sk_27+ms_ss_27+ms_mu_27)</f>
        <v>0.38</v>
      </c>
      <c r="E112" s="14" t="n">
        <f aca="false">ms_ss_28/(ms_sk_28+ms_ss_28+ms_mu_28)</f>
        <v>0.4</v>
      </c>
      <c r="F112" s="14" t="n">
        <f aca="false">ms_ss_29/(ms_sk_29+ms_ss_29+ms_mu_29)</f>
        <v>0.4</v>
      </c>
      <c r="G112" s="14" t="n">
        <f aca="false">ms_ss_29/(ms_sk_29+ms_ss_29+ms_mu_29)</f>
        <v>0.4</v>
      </c>
    </row>
    <row r="113" customFormat="false" ht="17.15" hidden="false" customHeight="false" outlineLevel="0" collapsed="false">
      <c r="A113" s="4" t="s">
        <v>457</v>
      </c>
      <c r="B113" s="0" t="s">
        <v>62</v>
      </c>
      <c r="C113" s="14" t="n">
        <f aca="false">ms_mu_26/(ms_sk_26+ms_ss_26+ms_mu_26)</f>
        <v>0.19</v>
      </c>
      <c r="D113" s="14" t="n">
        <f aca="false">ms_mu_27/(ms_sk_27+ms_ss_27+ms_mu_27)</f>
        <v>0.2</v>
      </c>
      <c r="E113" s="14" t="n">
        <f aca="false">ms_mu_28/(ms_sk_28+ms_ss_28+ms_mu_28)</f>
        <v>0.2</v>
      </c>
      <c r="F113" s="14" t="n">
        <f aca="false">ms_mu_29/(ms_sk_29+ms_ss_29+ms_mu_29)</f>
        <v>0.2</v>
      </c>
      <c r="G113" s="14" t="n">
        <f aca="false">ms_mu_29/(ms_sk_29+ms_ss_29+ms_mu_29)</f>
        <v>0.2</v>
      </c>
    </row>
    <row r="114" customFormat="false" ht="17.15" hidden="false" customHeight="false" outlineLevel="0" collapsed="false">
      <c r="A114" s="4" t="s">
        <v>458</v>
      </c>
      <c r="B114" s="0" t="s">
        <v>62</v>
      </c>
      <c r="C114" s="14" t="n">
        <f aca="false">C111*hsk_25+C112*hss+C113*hmu_25</f>
        <v>0.412</v>
      </c>
      <c r="D114" s="14" t="n">
        <f aca="false">D111*hsk_A_hi+D112*hss+D113*hmu_A</f>
        <v>0.381</v>
      </c>
      <c r="E114" s="14" t="n">
        <f aca="false">E111*hsk_A_hi+E112*hss+E113*hmu_A</f>
        <v>0.37</v>
      </c>
      <c r="F114" s="14" t="n">
        <f aca="false">F111*hsk_A_hi+F112*hss+F113*hmu_A</f>
        <v>0.37</v>
      </c>
      <c r="G114" s="14" t="n">
        <f aca="false">G111*hsk_A_hi+G112*hss+G113*hmu_A</f>
        <v>0.37</v>
      </c>
    </row>
    <row r="115" customFormat="false" ht="17.15" hidden="false" customHeight="false" outlineLevel="0" collapsed="false">
      <c r="A115" s="4" t="s">
        <v>459</v>
      </c>
      <c r="B115" s="4" t="s">
        <v>413</v>
      </c>
      <c r="C115" s="11" t="n">
        <f aca="false">C110*C114</f>
        <v>270.440441352942</v>
      </c>
      <c r="D115" s="11" t="n">
        <f aca="false">D110*D114</f>
        <v>276.323687425962</v>
      </c>
      <c r="E115" s="11" t="n">
        <f aca="false">E110*E114</f>
        <v>350.318397635577</v>
      </c>
      <c r="F115" s="11" t="n">
        <f aca="false">F110*F114</f>
        <v>384.211911200625</v>
      </c>
      <c r="G115" s="11" t="n">
        <f aca="false">G110*G114</f>
        <v>196.403062501898</v>
      </c>
    </row>
    <row r="116" customFormat="false" ht="17.15" hidden="false" customHeight="false" outlineLevel="0" collapsed="false">
      <c r="A116" s="6" t="s">
        <v>460</v>
      </c>
    </row>
    <row r="117" customFormat="false" ht="17.15" hidden="false" customHeight="false" outlineLevel="0" collapsed="false">
      <c r="A117" s="4" t="s">
        <v>461</v>
      </c>
      <c r="B117" s="4" t="s">
        <v>226</v>
      </c>
      <c r="C117" s="11" t="n">
        <f aca="false">a25_rev-a25_hbm</f>
        <v>2895.034</v>
      </c>
      <c r="D117" s="11" t="n">
        <f aca="false">C117*(1+g_o26)</f>
        <v>3329.2891</v>
      </c>
      <c r="E117" s="11" t="n">
        <f aca="false">D117*(1+g_o_A)</f>
        <v>3728.803792</v>
      </c>
      <c r="F117" s="11" t="n">
        <f aca="false">E117*(1+g_o_A)</f>
        <v>4176.26024704</v>
      </c>
      <c r="G117" s="11" t="n">
        <f aca="false">F117*(1+g_o_A)</f>
        <v>4677.4114766848</v>
      </c>
    </row>
    <row r="118" customFormat="false" ht="17.15" hidden="false" customHeight="false" outlineLevel="0" collapsed="false">
      <c r="A118" s="0" t="s">
        <v>462</v>
      </c>
      <c r="B118" s="4" t="s">
        <v>226</v>
      </c>
      <c r="C118" s="11" t="n">
        <f aca="false">a25_hbm</f>
        <v>2871.966</v>
      </c>
      <c r="D118" s="11" t="n">
        <f aca="false">rev26-D117</f>
        <v>4210.5109</v>
      </c>
      <c r="E118" s="11" t="n">
        <f aca="false">$C119*E115</f>
        <v>4537.82870584454</v>
      </c>
      <c r="F118" s="11" t="n">
        <f aca="false">$C119*F115</f>
        <v>4976.86633514257</v>
      </c>
      <c r="G118" s="11" t="n">
        <f aca="false">$C119*G115</f>
        <v>2544.09548842485</v>
      </c>
      <c r="I118" s="8" t="s">
        <v>463</v>
      </c>
    </row>
    <row r="119" customFormat="false" ht="17.15" hidden="false" customHeight="false" outlineLevel="0" collapsed="false">
      <c r="A119" s="4" t="s">
        <v>464</v>
      </c>
      <c r="B119" s="4" t="s">
        <v>465</v>
      </c>
      <c r="C119" s="18" t="n">
        <f aca="false">(C118+D118)/(C115+D115)</f>
        <v>12.9534410309934</v>
      </c>
      <c r="I119" s="4" t="s">
        <v>466</v>
      </c>
    </row>
    <row r="120" customFormat="false" ht="15" hidden="false" customHeight="false" outlineLevel="0" collapsed="false">
      <c r="A120" s="4" t="s">
        <v>366</v>
      </c>
      <c r="B120" s="4" t="s">
        <v>226</v>
      </c>
      <c r="C120" s="11" t="n">
        <f aca="false">a25_rev</f>
        <v>5767</v>
      </c>
      <c r="D120" s="11" t="n">
        <f aca="false">D117+D118</f>
        <v>7539.8</v>
      </c>
      <c r="E120" s="11" t="n">
        <f aca="false">E117+E118</f>
        <v>8266.63249784454</v>
      </c>
      <c r="F120" s="11" t="n">
        <f aca="false">F117+F118</f>
        <v>9153.12658218257</v>
      </c>
      <c r="G120" s="11" t="n">
        <f aca="false">G117+G118</f>
        <v>7221.50696510965</v>
      </c>
    </row>
    <row r="121" customFormat="false" ht="17.15" hidden="false" customHeight="false" outlineLevel="0" collapsed="false">
      <c r="A121" s="0" t="s">
        <v>467</v>
      </c>
      <c r="B121" s="0" t="s">
        <v>62</v>
      </c>
      <c r="C121" s="14" t="n">
        <f aca="false">C118/C120</f>
        <v>0.498</v>
      </c>
      <c r="D121" s="14" t="n">
        <f aca="false">D118/D120</f>
        <v>0.558438008965755</v>
      </c>
      <c r="E121" s="14" t="n">
        <f aca="false">E118/E120</f>
        <v>0.548933160755331</v>
      </c>
      <c r="F121" s="14" t="n">
        <f aca="false">F118/F120</f>
        <v>0.543734022517564</v>
      </c>
      <c r="G121" s="14" t="n">
        <f aca="false">G118/G120</f>
        <v>0.352294264994345</v>
      </c>
    </row>
    <row r="122" customFormat="false" ht="17.15" hidden="false" customHeight="false" outlineLevel="0" collapsed="false">
      <c r="A122" s="4" t="s">
        <v>468</v>
      </c>
      <c r="B122" s="4" t="s">
        <v>226</v>
      </c>
      <c r="C122" s="11" t="n">
        <f aca="false">opex25</f>
        <v>806.7</v>
      </c>
      <c r="D122" s="11" t="n">
        <f aca="false">opex_fix+opex_var*D120</f>
        <v>930.691482573261</v>
      </c>
      <c r="E122" s="11" t="n">
        <f aca="false">opex_fix+opex_var*E120</f>
        <v>981.526906191364</v>
      </c>
      <c r="F122" s="11" t="n">
        <f aca="false">opex_fix+opex_var*F120</f>
        <v>1043.52922783481</v>
      </c>
      <c r="G122" s="11" t="n">
        <f aca="false">opex_fix+opex_var*G120</f>
        <v>908.429735456386</v>
      </c>
      <c r="I122" s="4" t="s">
        <v>469</v>
      </c>
    </row>
    <row r="123" customFormat="false" ht="17.15" hidden="false" customHeight="false" outlineLevel="0" collapsed="false">
      <c r="A123" s="4" t="s">
        <v>436</v>
      </c>
      <c r="B123" s="0" t="s">
        <v>62</v>
      </c>
      <c r="C123" s="14" t="n">
        <f aca="false">a25_gp/a25_rev</f>
        <v>0.575793306745275</v>
      </c>
      <c r="D123" s="14" t="n">
        <f aca="false">(oi26+D122)/D120</f>
        <v>0.595267179842073</v>
      </c>
      <c r="E123" s="14" t="n">
        <f aca="false">$D123+0</f>
        <v>0.595267179842073</v>
      </c>
      <c r="F123" s="14" t="n">
        <f aca="false">$D123+0</f>
        <v>0.595267179842073</v>
      </c>
      <c r="G123" s="14" t="n">
        <f aca="false">$D123+0</f>
        <v>0.595267179842073</v>
      </c>
      <c r="I123" s="8" t="s">
        <v>470</v>
      </c>
    </row>
    <row r="124" customFormat="false" ht="15" hidden="false" customHeight="false" outlineLevel="0" collapsed="false">
      <c r="A124" s="4" t="s">
        <v>371</v>
      </c>
      <c r="B124" s="4" t="s">
        <v>226</v>
      </c>
      <c r="C124" s="11" t="n">
        <f aca="false">C120*C123</f>
        <v>3320.6</v>
      </c>
      <c r="D124" s="11" t="n">
        <f aca="false">D120*D123</f>
        <v>4488.19548257326</v>
      </c>
      <c r="E124" s="11" t="n">
        <f aca="false">E120*E123</f>
        <v>4920.85501378275</v>
      </c>
      <c r="F124" s="11" t="n">
        <f aca="false">F120*F123</f>
        <v>5448.55584731333</v>
      </c>
      <c r="G124" s="11" t="n">
        <f aca="false">G120*G123</f>
        <v>4298.72608533071</v>
      </c>
    </row>
    <row r="125" customFormat="false" ht="15" hidden="false" customHeight="false" outlineLevel="0" collapsed="false">
      <c r="A125" s="4" t="s">
        <v>374</v>
      </c>
      <c r="B125" s="4" t="s">
        <v>226</v>
      </c>
      <c r="C125" s="11" t="n">
        <f aca="false">a25_oi</f>
        <v>2513.9</v>
      </c>
      <c r="D125" s="11" t="n">
        <f aca="false">oi26</f>
        <v>3557.504</v>
      </c>
      <c r="E125" s="11" t="n">
        <f aca="false">E124-E122</f>
        <v>3939.32810759139</v>
      </c>
      <c r="F125" s="11" t="n">
        <f aca="false">F124-F122</f>
        <v>4405.02661947852</v>
      </c>
      <c r="G125" s="11" t="n">
        <f aca="false">G124-G122</f>
        <v>3390.29634987432</v>
      </c>
    </row>
    <row r="126" customFormat="false" ht="15" hidden="false" customHeight="false" outlineLevel="0" collapsed="false">
      <c r="A126" s="4" t="s">
        <v>377</v>
      </c>
      <c r="B126" s="0" t="s">
        <v>62</v>
      </c>
      <c r="C126" s="14" t="n">
        <f aca="false">C125/C120</f>
        <v>0.435911219004682</v>
      </c>
      <c r="D126" s="14" t="n">
        <f aca="false">D125/D120</f>
        <v>0.471830022016499</v>
      </c>
      <c r="E126" s="14" t="n">
        <f aca="false">E125/E120</f>
        <v>0.47653359558666</v>
      </c>
      <c r="F126" s="14" t="n">
        <f aca="false">F125/F120</f>
        <v>0.481259226552523</v>
      </c>
      <c r="G126" s="14" t="n">
        <f aca="false">G125/G120</f>
        <v>0.469472142899587</v>
      </c>
    </row>
    <row r="127" customFormat="false" ht="15" hidden="false" customHeight="false" outlineLevel="0" collapsed="false">
      <c r="A127" s="4" t="s">
        <v>437</v>
      </c>
      <c r="B127" s="4" t="s">
        <v>226</v>
      </c>
      <c r="C127" s="11" t="n">
        <f aca="false">a25_ni</f>
        <v>2140</v>
      </c>
      <c r="D127" s="11" t="n">
        <f aca="false">D125*nioi</f>
        <v>3028.38560006365</v>
      </c>
      <c r="E127" s="11" t="n">
        <f aca="false">E125*nioi</f>
        <v>3353.41984575583</v>
      </c>
      <c r="F127" s="11" t="n">
        <f aca="false">F125*nioi</f>
        <v>3749.85360025619</v>
      </c>
      <c r="G127" s="11" t="n">
        <f aca="false">G125*nioi</f>
        <v>2886.04725276704</v>
      </c>
    </row>
    <row r="128" customFormat="false" ht="15" hidden="false" customHeight="false" outlineLevel="0" collapsed="false">
      <c r="A128" s="0" t="s">
        <v>438</v>
      </c>
      <c r="B128" s="0" t="s">
        <v>302</v>
      </c>
      <c r="C128" s="11" t="n">
        <f aca="false">a25_eps</f>
        <v>2231.7</v>
      </c>
      <c r="D128" s="11" t="n">
        <f aca="false">D127*100/shares</f>
        <v>3158.15333815983</v>
      </c>
      <c r="E128" s="11" t="n">
        <f aca="false">E127*100/shares</f>
        <v>3497.11545316508</v>
      </c>
      <c r="F128" s="11" t="n">
        <f aca="false">F127*100/shares</f>
        <v>3910.53657929521</v>
      </c>
      <c r="G128" s="11" t="n">
        <f aca="false">G127*100/shares</f>
        <v>3009.71572616831</v>
      </c>
    </row>
    <row r="129" customFormat="false" ht="17.15" hidden="false" customHeight="false" outlineLevel="0" collapsed="false">
      <c r="A129" s="4" t="s">
        <v>471</v>
      </c>
      <c r="B129" s="4" t="s">
        <v>226</v>
      </c>
      <c r="C129" s="11" t="n">
        <f aca="false">$C119*C110</f>
        <v>8502.75317830378</v>
      </c>
      <c r="D129" s="11" t="n">
        <f aca="false">$C119*D110</f>
        <v>9394.59997516757</v>
      </c>
      <c r="E129" s="11" t="n">
        <f aca="false">$C119*E110</f>
        <v>12264.4019076879</v>
      </c>
      <c r="F129" s="11" t="n">
        <f aca="false">$C119*F110</f>
        <v>13450.9900949799</v>
      </c>
      <c r="G129" s="11" t="n">
        <f aca="false">$C119*G110</f>
        <v>6875.93375249959</v>
      </c>
      <c r="I129" s="4" t="s">
        <v>472</v>
      </c>
    </row>
    <row r="130" customFormat="false" ht="15" hidden="false" customHeight="false" outlineLevel="0" collapsed="false">
      <c r="A130" s="4" t="s">
        <v>473</v>
      </c>
      <c r="B130" s="0" t="s">
        <v>333</v>
      </c>
      <c r="C130" s="11" t="n">
        <f aca="false">C129/fx*100</f>
        <v>598.785435091815</v>
      </c>
      <c r="D130" s="11" t="n">
        <f aca="false">D129/fx*100</f>
        <v>661.591547547012</v>
      </c>
      <c r="E130" s="11" t="n">
        <f aca="false">E129/fx*100</f>
        <v>863.690275189292</v>
      </c>
      <c r="F130" s="11" t="n">
        <f aca="false">F129/fx*100</f>
        <v>947.252823590135</v>
      </c>
      <c r="G130" s="11" t="n">
        <f aca="false">G129/fx*100</f>
        <v>484.220686795746</v>
      </c>
    </row>
    <row r="140" customFormat="false" ht="17.15" hidden="false" customHeight="false" outlineLevel="0" collapsed="false">
      <c r="A140" s="1" t="s">
        <v>662</v>
      </c>
    </row>
    <row r="141" customFormat="false" ht="15" hidden="false" customHeight="false" outlineLevel="0" collapsed="false">
      <c r="A141" s="5" t="s">
        <v>14</v>
      </c>
      <c r="B141" s="5" t="s">
        <v>15</v>
      </c>
      <c r="C141" s="9" t="s">
        <v>401</v>
      </c>
      <c r="D141" s="9" t="s">
        <v>402</v>
      </c>
      <c r="E141" s="9" t="s">
        <v>403</v>
      </c>
      <c r="F141" s="9" t="s">
        <v>404</v>
      </c>
      <c r="G141" s="9" t="s">
        <v>405</v>
      </c>
      <c r="H141" s="9" t="s">
        <v>406</v>
      </c>
      <c r="I141" s="5" t="s">
        <v>407</v>
      </c>
    </row>
    <row r="142" customFormat="false" ht="17.15" hidden="false" customHeight="false" outlineLevel="0" collapsed="false">
      <c r="A142" s="6" t="s">
        <v>441</v>
      </c>
    </row>
    <row r="143" customFormat="false" ht="17.15" hidden="false" customHeight="false" outlineLevel="0" collapsed="false">
      <c r="A143" s="0" t="s">
        <v>442</v>
      </c>
      <c r="B143" s="0" t="s">
        <v>25</v>
      </c>
      <c r="C143" s="17" t="n">
        <f aca="false">hsA_25</f>
        <v>2.22511470588235</v>
      </c>
      <c r="D143" s="17" t="n">
        <f aca="false">hsA_26</f>
        <v>3.782695</v>
      </c>
      <c r="E143" s="17" t="n">
        <f aca="false">hsA_27</f>
        <v>5.86317725</v>
      </c>
      <c r="F143" s="17" t="n">
        <f aca="false">hsA_28</f>
        <v>8.5016070125</v>
      </c>
      <c r="G143" s="17" t="n">
        <f aca="false">hsA_29</f>
        <v>11.477169466875</v>
      </c>
      <c r="H143" s="17" t="n">
        <f aca="false">G143*(1+g_tail)</f>
        <v>12.6248864135625</v>
      </c>
      <c r="I143" s="8" t="s">
        <v>443</v>
      </c>
    </row>
    <row r="144" customFormat="false" ht="17.15" hidden="false" customHeight="false" outlineLevel="0" collapsed="false">
      <c r="A144" s="0" t="s">
        <v>444</v>
      </c>
      <c r="B144" s="0" t="s">
        <v>445</v>
      </c>
      <c r="C144" s="15" t="n">
        <f aca="false">den_25</f>
        <v>24</v>
      </c>
      <c r="D144" s="15" t="n">
        <f aca="false">den_26</f>
        <v>24</v>
      </c>
      <c r="E144" s="15" t="n">
        <f aca="false">den_27</f>
        <v>26</v>
      </c>
      <c r="F144" s="15" t="n">
        <f aca="false">den_28</f>
        <v>28</v>
      </c>
      <c r="G144" s="15" t="n">
        <f aca="false">den_29</f>
        <v>30</v>
      </c>
      <c r="H144" s="15" t="n">
        <f aca="false">den_30</f>
        <v>32</v>
      </c>
    </row>
    <row r="145" customFormat="false" ht="17.15" hidden="false" customHeight="false" outlineLevel="0" collapsed="false">
      <c r="A145" s="4" t="s">
        <v>446</v>
      </c>
      <c r="B145" s="4" t="s">
        <v>411</v>
      </c>
      <c r="C145" s="11" t="n">
        <f aca="false">C143*8000/C144</f>
        <v>741.704901960783</v>
      </c>
      <c r="D145" s="11" t="n">
        <f aca="false">D143*8000/D144</f>
        <v>1260.89833333333</v>
      </c>
      <c r="E145" s="11" t="n">
        <f aca="false">E143*8000/E144</f>
        <v>1804.05453846154</v>
      </c>
      <c r="F145" s="11" t="n">
        <f aca="false">F143*8000/F144</f>
        <v>2429.030575</v>
      </c>
      <c r="G145" s="11" t="n">
        <f aca="false">G143*8000/G144</f>
        <v>3060.5785245</v>
      </c>
      <c r="H145" s="11" t="n">
        <f aca="false">H143*8000/H144</f>
        <v>3156.22160339063</v>
      </c>
      <c r="I145" s="8" t="s">
        <v>447</v>
      </c>
    </row>
    <row r="146" customFormat="false" ht="15" hidden="false" customHeight="false" outlineLevel="0" collapsed="false">
      <c r="A146" s="4" t="s">
        <v>448</v>
      </c>
      <c r="B146" s="4" t="s">
        <v>89</v>
      </c>
      <c r="C146" s="15" t="n">
        <f aca="false">stk_25</f>
        <v>10</v>
      </c>
      <c r="D146" s="15" t="n">
        <f aca="false">stk_26</f>
        <v>12</v>
      </c>
      <c r="E146" s="15" t="n">
        <f aca="false">stk_27</f>
        <v>12.5</v>
      </c>
      <c r="F146" s="15" t="n">
        <f aca="false">stk_28</f>
        <v>14</v>
      </c>
      <c r="G146" s="15" t="n">
        <f aca="false">stk_29</f>
        <v>15</v>
      </c>
      <c r="H146" s="15" t="n">
        <f aca="false">stk_30</f>
        <v>16</v>
      </c>
    </row>
    <row r="147" customFormat="false" ht="15" hidden="false" customHeight="false" outlineLevel="0" collapsed="false">
      <c r="A147" s="4" t="s">
        <v>449</v>
      </c>
      <c r="B147" s="0" t="s">
        <v>109</v>
      </c>
      <c r="C147" s="18" t="n">
        <f aca="false">1+beta*(C146-$C146)/4</f>
        <v>1</v>
      </c>
      <c r="D147" s="18" t="n">
        <f aca="false">1+beta*(D146-$C146)/4</f>
        <v>1.05</v>
      </c>
      <c r="E147" s="18" t="n">
        <f aca="false">1+beta*(E146-$C146)/4</f>
        <v>1.0625</v>
      </c>
      <c r="F147" s="18" t="n">
        <f aca="false">1+beta*(F146-$C146)/4</f>
        <v>1.1</v>
      </c>
      <c r="G147" s="18" t="n">
        <f aca="false">1+beta*(G146-$C146)/4</f>
        <v>1.125</v>
      </c>
      <c r="H147" s="18" t="n">
        <f aca="false">1+beta*(H146-$C146)/4</f>
        <v>1.15</v>
      </c>
    </row>
    <row r="148" customFormat="false" ht="17.15" hidden="false" customHeight="false" outlineLevel="0" collapsed="false">
      <c r="A148" s="4" t="s">
        <v>450</v>
      </c>
      <c r="B148" s="0" t="s">
        <v>62</v>
      </c>
      <c r="C148" s="14" t="n">
        <f aca="false">0</f>
        <v>0</v>
      </c>
      <c r="D148" s="14" t="n">
        <f aca="false">0</f>
        <v>0</v>
      </c>
      <c r="E148" s="14" t="n">
        <f aca="false">0</f>
        <v>0</v>
      </c>
      <c r="F148" s="14" t="n">
        <f aca="false">0</f>
        <v>0</v>
      </c>
      <c r="G148" s="14" t="n">
        <f aca="false">0</f>
        <v>0</v>
      </c>
      <c r="H148" s="14" t="n">
        <f aca="false">0</f>
        <v>0</v>
      </c>
      <c r="I148" s="4" t="s">
        <v>451</v>
      </c>
    </row>
    <row r="149" customFormat="false" ht="17.15" hidden="false" customHeight="false" outlineLevel="0" collapsed="false">
      <c r="A149" s="0" t="s">
        <v>452</v>
      </c>
      <c r="B149" s="4" t="s">
        <v>413</v>
      </c>
      <c r="C149" s="11" t="n">
        <f aca="false">C145*C147*(1-C148)</f>
        <v>741.704901960783</v>
      </c>
      <c r="D149" s="11" t="n">
        <f aca="false">D145*D147*(1-D148)</f>
        <v>1323.94325</v>
      </c>
      <c r="E149" s="11" t="n">
        <f aca="false">E145*E147*(1-E148)</f>
        <v>1916.80794711538</v>
      </c>
      <c r="F149" s="11" t="n">
        <f aca="false">F145*F147*(1-F148)</f>
        <v>2671.9336325</v>
      </c>
      <c r="G149" s="11" t="n">
        <f aca="false">G145*G147*(1-G148)</f>
        <v>3443.1508400625</v>
      </c>
      <c r="H149" s="11" t="n">
        <f aca="false">H145*H147*(1-H148)</f>
        <v>3629.65484389922</v>
      </c>
    </row>
    <row r="150" customFormat="false" ht="17.15" hidden="false" customHeight="false" outlineLevel="0" collapsed="false">
      <c r="A150" s="4" t="s">
        <v>453</v>
      </c>
      <c r="B150" s="4" t="s">
        <v>413</v>
      </c>
      <c r="C150" s="11" t="n">
        <f aca="false">MAX(0,D149-C149)+dlt*C149</f>
        <v>656.408838235295</v>
      </c>
      <c r="D150" s="11" t="n">
        <f aca="false">MAX(0,E149-D149)+dlt*D149</f>
        <v>725.259022115385</v>
      </c>
      <c r="E150" s="11" t="n">
        <f aca="false">MAX(0,F149-E149)+dlt*E149</f>
        <v>946.806480096154</v>
      </c>
      <c r="F150" s="11" t="n">
        <f aca="false">MAX(0,G149-F149)+dlt*F149</f>
        <v>1038.4105708125</v>
      </c>
      <c r="G150" s="11" t="n">
        <f aca="false">MAX(0,H149-G149)+dlt*G149</f>
        <v>530.819087842968</v>
      </c>
      <c r="I150" s="4" t="s">
        <v>454</v>
      </c>
    </row>
    <row r="151" customFormat="false" ht="17.15" hidden="false" customHeight="false" outlineLevel="0" collapsed="false">
      <c r="A151" s="0" t="s">
        <v>455</v>
      </c>
      <c r="B151" s="0" t="s">
        <v>62</v>
      </c>
      <c r="C151" s="14" t="n">
        <f aca="false">ms_sk_26/(ms_sk_26+ms_ss_26+ms_mu_26)</f>
        <v>0.52</v>
      </c>
      <c r="D151" s="14" t="n">
        <f aca="false">ms_sk_27/(ms_sk_27+ms_ss_27+ms_mu_27)</f>
        <v>0.42</v>
      </c>
      <c r="E151" s="14" t="n">
        <f aca="false">ms_sk_28/(ms_sk_28+ms_ss_28+ms_mu_28)</f>
        <v>0.4</v>
      </c>
      <c r="F151" s="14" t="n">
        <f aca="false">ms_sk_29/(ms_sk_29+ms_ss_29+ms_mu_29)</f>
        <v>0.4</v>
      </c>
      <c r="G151" s="14" t="n">
        <f aca="false">ms_sk_29/(ms_sk_29+ms_ss_29+ms_mu_29)</f>
        <v>0.4</v>
      </c>
    </row>
    <row r="152" customFormat="false" ht="17.15" hidden="false" customHeight="false" outlineLevel="0" collapsed="false">
      <c r="A152" s="4" t="s">
        <v>456</v>
      </c>
      <c r="B152" s="0" t="s">
        <v>62</v>
      </c>
      <c r="C152" s="14" t="n">
        <f aca="false">ms_ss_26/(ms_sk_26+ms_ss_26+ms_mu_26)</f>
        <v>0.29</v>
      </c>
      <c r="D152" s="14" t="n">
        <f aca="false">ms_ss_27/(ms_sk_27+ms_ss_27+ms_mu_27)</f>
        <v>0.38</v>
      </c>
      <c r="E152" s="14" t="n">
        <f aca="false">ms_ss_28/(ms_sk_28+ms_ss_28+ms_mu_28)</f>
        <v>0.4</v>
      </c>
      <c r="F152" s="14" t="n">
        <f aca="false">ms_ss_29/(ms_sk_29+ms_ss_29+ms_mu_29)</f>
        <v>0.4</v>
      </c>
      <c r="G152" s="14" t="n">
        <f aca="false">ms_ss_29/(ms_sk_29+ms_ss_29+ms_mu_29)</f>
        <v>0.4</v>
      </c>
    </row>
    <row r="153" customFormat="false" ht="17.15" hidden="false" customHeight="false" outlineLevel="0" collapsed="false">
      <c r="A153" s="4" t="s">
        <v>457</v>
      </c>
      <c r="B153" s="0" t="s">
        <v>62</v>
      </c>
      <c r="C153" s="14" t="n">
        <f aca="false">ms_mu_26/(ms_sk_26+ms_ss_26+ms_mu_26)</f>
        <v>0.19</v>
      </c>
      <c r="D153" s="14" t="n">
        <f aca="false">ms_mu_27/(ms_sk_27+ms_ss_27+ms_mu_27)</f>
        <v>0.2</v>
      </c>
      <c r="E153" s="14" t="n">
        <f aca="false">ms_mu_28/(ms_sk_28+ms_ss_28+ms_mu_28)</f>
        <v>0.2</v>
      </c>
      <c r="F153" s="14" t="n">
        <f aca="false">ms_mu_29/(ms_sk_29+ms_ss_29+ms_mu_29)</f>
        <v>0.2</v>
      </c>
      <c r="G153" s="14" t="n">
        <f aca="false">ms_mu_29/(ms_sk_29+ms_ss_29+ms_mu_29)</f>
        <v>0.2</v>
      </c>
    </row>
    <row r="154" customFormat="false" ht="17.15" hidden="false" customHeight="false" outlineLevel="0" collapsed="false">
      <c r="A154" s="4" t="s">
        <v>458</v>
      </c>
      <c r="B154" s="0" t="s">
        <v>62</v>
      </c>
      <c r="C154" s="14" t="n">
        <f aca="false">C151*hsk_25+C152*hss+C153*hmu_25</f>
        <v>0.412</v>
      </c>
      <c r="D154" s="14" t="n">
        <f aca="false">D151*hsk_A+D152*hss+D153*hmu_A_lo</f>
        <v>0.319</v>
      </c>
      <c r="E154" s="14" t="n">
        <f aca="false">E151*hsk_A+E152*hss+E153*hmu_A_lo</f>
        <v>0.31</v>
      </c>
      <c r="F154" s="14" t="n">
        <f aca="false">F151*hsk_A+F152*hss+F153*hmu_A_lo</f>
        <v>0.31</v>
      </c>
      <c r="G154" s="14" t="n">
        <f aca="false">G151*hsk_A+G152*hss+G153*hmu_A_lo</f>
        <v>0.31</v>
      </c>
    </row>
    <row r="155" customFormat="false" ht="17.15" hidden="false" customHeight="false" outlineLevel="0" collapsed="false">
      <c r="A155" s="4" t="s">
        <v>459</v>
      </c>
      <c r="B155" s="4" t="s">
        <v>413</v>
      </c>
      <c r="C155" s="11" t="n">
        <f aca="false">C150*C154</f>
        <v>270.440441352942</v>
      </c>
      <c r="D155" s="11" t="n">
        <f aca="false">D150*D154</f>
        <v>231.357628054808</v>
      </c>
      <c r="E155" s="11" t="n">
        <f aca="false">E150*E154</f>
        <v>293.510008829808</v>
      </c>
      <c r="F155" s="11" t="n">
        <f aca="false">F150*F154</f>
        <v>321.907276951875</v>
      </c>
      <c r="G155" s="11" t="n">
        <f aca="false">G150*G154</f>
        <v>164.55391723132</v>
      </c>
    </row>
    <row r="156" customFormat="false" ht="17.15" hidden="false" customHeight="false" outlineLevel="0" collapsed="false">
      <c r="A156" s="6" t="s">
        <v>460</v>
      </c>
    </row>
    <row r="157" customFormat="false" ht="17.15" hidden="false" customHeight="false" outlineLevel="0" collapsed="false">
      <c r="A157" s="4" t="s">
        <v>461</v>
      </c>
      <c r="B157" s="4" t="s">
        <v>226</v>
      </c>
      <c r="C157" s="11" t="n">
        <f aca="false">a25_rev-a25_hbm</f>
        <v>2895.034</v>
      </c>
      <c r="D157" s="11" t="n">
        <f aca="false">C157*(1+g_o26)</f>
        <v>3329.2891</v>
      </c>
      <c r="E157" s="11" t="n">
        <f aca="false">D157*(1+g_o_A)</f>
        <v>3728.803792</v>
      </c>
      <c r="F157" s="11" t="n">
        <f aca="false">E157*(1+g_o_A)</f>
        <v>4176.26024704</v>
      </c>
      <c r="G157" s="11" t="n">
        <f aca="false">F157*(1+g_o_A)</f>
        <v>4677.4114766848</v>
      </c>
    </row>
    <row r="158" customFormat="false" ht="17.15" hidden="false" customHeight="false" outlineLevel="0" collapsed="false">
      <c r="A158" s="0" t="s">
        <v>462</v>
      </c>
      <c r="B158" s="4" t="s">
        <v>226</v>
      </c>
      <c r="C158" s="11" t="n">
        <f aca="false">a25_hbm</f>
        <v>2871.966</v>
      </c>
      <c r="D158" s="11" t="n">
        <f aca="false">rev26-D157</f>
        <v>4210.5109</v>
      </c>
      <c r="E158" s="11" t="n">
        <f aca="false">$C159*E155</f>
        <v>4142.65814117101</v>
      </c>
      <c r="F158" s="11" t="n">
        <f aca="false">$C159*F155</f>
        <v>4543.46278303627</v>
      </c>
      <c r="G158" s="11" t="n">
        <f aca="false">$C159*G155</f>
        <v>2322.54643580209</v>
      </c>
      <c r="I158" s="8" t="s">
        <v>463</v>
      </c>
    </row>
    <row r="159" customFormat="false" ht="17.15" hidden="false" customHeight="false" outlineLevel="0" collapsed="false">
      <c r="A159" s="4" t="s">
        <v>464</v>
      </c>
      <c r="B159" s="4" t="s">
        <v>465</v>
      </c>
      <c r="C159" s="18" t="n">
        <f aca="false">(C158+D158)/(C155+D155)</f>
        <v>14.1141971876439</v>
      </c>
      <c r="I159" s="4" t="s">
        <v>466</v>
      </c>
    </row>
    <row r="160" customFormat="false" ht="15" hidden="false" customHeight="false" outlineLevel="0" collapsed="false">
      <c r="A160" s="4" t="s">
        <v>366</v>
      </c>
      <c r="B160" s="4" t="s">
        <v>226</v>
      </c>
      <c r="C160" s="11" t="n">
        <f aca="false">a25_rev</f>
        <v>5767</v>
      </c>
      <c r="D160" s="11" t="n">
        <f aca="false">D157+D158</f>
        <v>7539.8</v>
      </c>
      <c r="E160" s="11" t="n">
        <f aca="false">E157+E158</f>
        <v>7871.46193317101</v>
      </c>
      <c r="F160" s="11" t="n">
        <f aca="false">F157+F158</f>
        <v>8719.72303007627</v>
      </c>
      <c r="G160" s="11" t="n">
        <f aca="false">G157+G158</f>
        <v>6999.95791248689</v>
      </c>
    </row>
    <row r="161" customFormat="false" ht="17.15" hidden="false" customHeight="false" outlineLevel="0" collapsed="false">
      <c r="A161" s="0" t="s">
        <v>467</v>
      </c>
      <c r="B161" s="0" t="s">
        <v>62</v>
      </c>
      <c r="C161" s="14" t="n">
        <f aca="false">C158/C160</f>
        <v>0.498</v>
      </c>
      <c r="D161" s="14" t="n">
        <f aca="false">D158/D160</f>
        <v>0.558438008965755</v>
      </c>
      <c r="E161" s="14" t="n">
        <f aca="false">E158/E160</f>
        <v>0.526288277367321</v>
      </c>
      <c r="F161" s="14" t="n">
        <f aca="false">F158/F160</f>
        <v>0.521055860073176</v>
      </c>
      <c r="G161" s="14" t="n">
        <f aca="false">G158/G160</f>
        <v>0.331794342885835</v>
      </c>
    </row>
    <row r="162" customFormat="false" ht="17.15" hidden="false" customHeight="false" outlineLevel="0" collapsed="false">
      <c r="A162" s="4" t="s">
        <v>468</v>
      </c>
      <c r="B162" s="4" t="s">
        <v>226</v>
      </c>
      <c r="C162" s="11" t="n">
        <f aca="false">opex25</f>
        <v>806.7</v>
      </c>
      <c r="D162" s="11" t="n">
        <f aca="false">opex_fix+opex_var*D160</f>
        <v>930.691482573261</v>
      </c>
      <c r="E162" s="11" t="n">
        <f aca="false">opex_fix+opex_var*E160</f>
        <v>953.888264391283</v>
      </c>
      <c r="F162" s="11" t="n">
        <f aca="false">opex_fix+opex_var*F160</f>
        <v>1013.2165309834</v>
      </c>
      <c r="G162" s="11" t="n">
        <f aca="false">opex_fix+opex_var*G160</f>
        <v>892.934363447475</v>
      </c>
      <c r="I162" s="4" t="s">
        <v>469</v>
      </c>
    </row>
    <row r="163" customFormat="false" ht="17.15" hidden="false" customHeight="false" outlineLevel="0" collapsed="false">
      <c r="A163" s="4" t="s">
        <v>436</v>
      </c>
      <c r="B163" s="0" t="s">
        <v>62</v>
      </c>
      <c r="C163" s="14" t="n">
        <f aca="false">a25_gp/a25_rev</f>
        <v>0.575793306745275</v>
      </c>
      <c r="D163" s="14" t="n">
        <f aca="false">(oi26+D162)/D160</f>
        <v>0.595267179842073</v>
      </c>
      <c r="E163" s="14" t="n">
        <f aca="false">$D163+0</f>
        <v>0.595267179842073</v>
      </c>
      <c r="F163" s="14" t="n">
        <f aca="false">$D163+0</f>
        <v>0.595267179842073</v>
      </c>
      <c r="G163" s="14" t="n">
        <f aca="false">$D163+0</f>
        <v>0.595267179842073</v>
      </c>
      <c r="I163" s="8" t="s">
        <v>470</v>
      </c>
    </row>
    <row r="164" customFormat="false" ht="15" hidden="false" customHeight="false" outlineLevel="0" collapsed="false">
      <c r="A164" s="4" t="s">
        <v>371</v>
      </c>
      <c r="B164" s="4" t="s">
        <v>226</v>
      </c>
      <c r="C164" s="11" t="n">
        <f aca="false">C160*C163</f>
        <v>3320.6</v>
      </c>
      <c r="D164" s="11" t="n">
        <f aca="false">D160*D163</f>
        <v>4488.19548257326</v>
      </c>
      <c r="E164" s="11" t="n">
        <f aca="false">E160*E163</f>
        <v>4685.62294619294</v>
      </c>
      <c r="F164" s="11" t="n">
        <f aca="false">F160*F163</f>
        <v>5190.56493711747</v>
      </c>
      <c r="G164" s="11" t="n">
        <f aca="false">G160*G163</f>
        <v>4166.84520557928</v>
      </c>
    </row>
    <row r="165" customFormat="false" ht="15" hidden="false" customHeight="false" outlineLevel="0" collapsed="false">
      <c r="A165" s="4" t="s">
        <v>374</v>
      </c>
      <c r="B165" s="4" t="s">
        <v>226</v>
      </c>
      <c r="C165" s="11" t="n">
        <f aca="false">a25_oi</f>
        <v>2513.9</v>
      </c>
      <c r="D165" s="11" t="n">
        <f aca="false">oi26</f>
        <v>3557.504</v>
      </c>
      <c r="E165" s="11" t="n">
        <f aca="false">E164-E162</f>
        <v>3731.73468180166</v>
      </c>
      <c r="F165" s="11" t="n">
        <f aca="false">F164-F162</f>
        <v>4177.34840613408</v>
      </c>
      <c r="G165" s="11" t="n">
        <f aca="false">G164-G162</f>
        <v>3273.9108421318</v>
      </c>
    </row>
    <row r="166" customFormat="false" ht="15" hidden="false" customHeight="false" outlineLevel="0" collapsed="false">
      <c r="A166" s="4" t="s">
        <v>377</v>
      </c>
      <c r="B166" s="0" t="s">
        <v>62</v>
      </c>
      <c r="C166" s="14" t="n">
        <f aca="false">C165/C160</f>
        <v>0.435911219004682</v>
      </c>
      <c r="D166" s="14" t="n">
        <f aca="false">D165/D160</f>
        <v>0.471830022016499</v>
      </c>
      <c r="E166" s="14" t="n">
        <f aca="false">E165/E160</f>
        <v>0.474084066401415</v>
      </c>
      <c r="F166" s="14" t="n">
        <f aca="false">F165/F160</f>
        <v>0.479068932777506</v>
      </c>
      <c r="G166" s="14" t="n">
        <f aca="false">G165/G160</f>
        <v>0.467704360949318</v>
      </c>
    </row>
    <row r="167" customFormat="false" ht="15" hidden="false" customHeight="false" outlineLevel="0" collapsed="false">
      <c r="A167" s="4" t="s">
        <v>437</v>
      </c>
      <c r="B167" s="4" t="s">
        <v>226</v>
      </c>
      <c r="C167" s="11" t="n">
        <f aca="false">a25_ni</f>
        <v>2140</v>
      </c>
      <c r="D167" s="11" t="n">
        <f aca="false">D165*nioi</f>
        <v>3028.38560006365</v>
      </c>
      <c r="E167" s="11" t="n">
        <f aca="false">E165*nioi</f>
        <v>3176.70242215504</v>
      </c>
      <c r="F167" s="11" t="n">
        <f aca="false">F165*nioi</f>
        <v>3556.03866069729</v>
      </c>
      <c r="G167" s="11" t="n">
        <f aca="false">G165*nioi</f>
        <v>2786.97211590042</v>
      </c>
    </row>
    <row r="168" customFormat="false" ht="15" hidden="false" customHeight="false" outlineLevel="0" collapsed="false">
      <c r="A168" s="0" t="s">
        <v>438</v>
      </c>
      <c r="B168" s="0" t="s">
        <v>302</v>
      </c>
      <c r="C168" s="11" t="n">
        <f aca="false">a25_eps</f>
        <v>2231.7</v>
      </c>
      <c r="D168" s="11" t="n">
        <f aca="false">D167*100/shares</f>
        <v>3158.15333815983</v>
      </c>
      <c r="E168" s="11" t="n">
        <f aca="false">E167*100/shares</f>
        <v>3312.82560538476</v>
      </c>
      <c r="F168" s="11" t="n">
        <f aca="false">F167*100/shares</f>
        <v>3708.41657900848</v>
      </c>
      <c r="G168" s="11" t="n">
        <f aca="false">G167*100/shares</f>
        <v>2906.39517339017</v>
      </c>
    </row>
    <row r="169" customFormat="false" ht="17.15" hidden="false" customHeight="false" outlineLevel="0" collapsed="false">
      <c r="A169" s="4" t="s">
        <v>471</v>
      </c>
      <c r="B169" s="4" t="s">
        <v>226</v>
      </c>
      <c r="C169" s="11" t="n">
        <f aca="false">$C159*C150</f>
        <v>9264.68377856521</v>
      </c>
      <c r="D169" s="11" t="n">
        <f aca="false">$C159*D150</f>
        <v>10236.4488502543</v>
      </c>
      <c r="E169" s="11" t="n">
        <f aca="false">$C159*E150</f>
        <v>13363.4133586162</v>
      </c>
      <c r="F169" s="11" t="n">
        <f aca="false">$C159*F150</f>
        <v>14656.3315581815</v>
      </c>
      <c r="G169" s="11" t="n">
        <f aca="false">$C159*G150</f>
        <v>7492.08527678093</v>
      </c>
      <c r="I169" s="4" t="s">
        <v>472</v>
      </c>
    </row>
    <row r="170" customFormat="false" ht="15" hidden="false" customHeight="false" outlineLevel="0" collapsed="false">
      <c r="A170" s="4" t="s">
        <v>473</v>
      </c>
      <c r="B170" s="0" t="s">
        <v>333</v>
      </c>
      <c r="C170" s="11" t="n">
        <f aca="false">C169/fx*100</f>
        <v>652.442519617268</v>
      </c>
      <c r="D170" s="11" t="n">
        <f aca="false">D169/fx*100</f>
        <v>720.876679595376</v>
      </c>
      <c r="E170" s="11" t="n">
        <f aca="false">E169/fx*100</f>
        <v>941.085447789871</v>
      </c>
      <c r="F170" s="11" t="n">
        <f aca="false">F169/fx*100</f>
        <v>1032.13602522405</v>
      </c>
      <c r="G170" s="11" t="n">
        <f aca="false">G169/fx*100</f>
        <v>527.611639209925</v>
      </c>
    </row>
    <row r="180" customFormat="false" ht="17.15" hidden="false" customHeight="false" outlineLevel="0" collapsed="false">
      <c r="A180" s="1" t="s">
        <v>663</v>
      </c>
    </row>
    <row r="181" customFormat="false" ht="15" hidden="false" customHeight="false" outlineLevel="0" collapsed="false">
      <c r="A181" s="5" t="s">
        <v>14</v>
      </c>
      <c r="B181" s="5" t="s">
        <v>15</v>
      </c>
      <c r="C181" s="9" t="s">
        <v>401</v>
      </c>
      <c r="D181" s="9" t="s">
        <v>402</v>
      </c>
      <c r="E181" s="9" t="s">
        <v>403</v>
      </c>
      <c r="F181" s="9" t="s">
        <v>404</v>
      </c>
      <c r="G181" s="9" t="s">
        <v>405</v>
      </c>
      <c r="H181" s="9" t="s">
        <v>406</v>
      </c>
      <c r="I181" s="5" t="s">
        <v>407</v>
      </c>
    </row>
    <row r="182" customFormat="false" ht="17.15" hidden="false" customHeight="false" outlineLevel="0" collapsed="false">
      <c r="A182" s="6" t="s">
        <v>441</v>
      </c>
    </row>
    <row r="183" customFormat="false" ht="17.15" hidden="false" customHeight="false" outlineLevel="0" collapsed="false">
      <c r="A183" s="0" t="s">
        <v>442</v>
      </c>
      <c r="B183" s="0" t="s">
        <v>25</v>
      </c>
      <c r="C183" s="17" t="n">
        <f aca="false">hsA_25</f>
        <v>2.22511470588235</v>
      </c>
      <c r="D183" s="17" t="n">
        <f aca="false">hsA_26</f>
        <v>3.782695</v>
      </c>
      <c r="E183" s="17" t="n">
        <f aca="false">hsA_27</f>
        <v>5.86317725</v>
      </c>
      <c r="F183" s="17" t="n">
        <f aca="false">hsA_28</f>
        <v>8.5016070125</v>
      </c>
      <c r="G183" s="17" t="n">
        <f aca="false">hsA_29</f>
        <v>11.477169466875</v>
      </c>
      <c r="H183" s="17" t="n">
        <f aca="false">G183*(1+g_tail)</f>
        <v>12.6248864135625</v>
      </c>
      <c r="I183" s="8" t="s">
        <v>443</v>
      </c>
    </row>
    <row r="184" customFormat="false" ht="17.15" hidden="false" customHeight="false" outlineLevel="0" collapsed="false">
      <c r="A184" s="0" t="s">
        <v>444</v>
      </c>
      <c r="B184" s="0" t="s">
        <v>445</v>
      </c>
      <c r="C184" s="15" t="n">
        <f aca="false">den_25</f>
        <v>24</v>
      </c>
      <c r="D184" s="15" t="n">
        <f aca="false">den_26</f>
        <v>24</v>
      </c>
      <c r="E184" s="15" t="n">
        <f aca="false">den_27</f>
        <v>26</v>
      </c>
      <c r="F184" s="15" t="n">
        <f aca="false">den_28</f>
        <v>28</v>
      </c>
      <c r="G184" s="15" t="n">
        <f aca="false">den_29</f>
        <v>30</v>
      </c>
      <c r="H184" s="15" t="n">
        <f aca="false">den_30</f>
        <v>32</v>
      </c>
    </row>
    <row r="185" customFormat="false" ht="17.15" hidden="false" customHeight="false" outlineLevel="0" collapsed="false">
      <c r="A185" s="4" t="s">
        <v>446</v>
      </c>
      <c r="B185" s="4" t="s">
        <v>411</v>
      </c>
      <c r="C185" s="11" t="n">
        <f aca="false">C183*8000/C184</f>
        <v>741.704901960783</v>
      </c>
      <c r="D185" s="11" t="n">
        <f aca="false">D183*8000/D184</f>
        <v>1260.89833333333</v>
      </c>
      <c r="E185" s="11" t="n">
        <f aca="false">E183*8000/E184</f>
        <v>1804.05453846154</v>
      </c>
      <c r="F185" s="11" t="n">
        <f aca="false">F183*8000/F184</f>
        <v>2429.030575</v>
      </c>
      <c r="G185" s="11" t="n">
        <f aca="false">G183*8000/G184</f>
        <v>3060.5785245</v>
      </c>
      <c r="H185" s="11" t="n">
        <f aca="false">H183*8000/H184</f>
        <v>3156.22160339063</v>
      </c>
      <c r="I185" s="8" t="s">
        <v>447</v>
      </c>
    </row>
    <row r="186" customFormat="false" ht="15" hidden="false" customHeight="false" outlineLevel="0" collapsed="false">
      <c r="A186" s="4" t="s">
        <v>448</v>
      </c>
      <c r="B186" s="4" t="s">
        <v>89</v>
      </c>
      <c r="C186" s="15" t="n">
        <f aca="false">stk_25</f>
        <v>10</v>
      </c>
      <c r="D186" s="15" t="n">
        <f aca="false">stk_26</f>
        <v>12</v>
      </c>
      <c r="E186" s="15" t="n">
        <f aca="false">stk_27</f>
        <v>12.5</v>
      </c>
      <c r="F186" s="15" t="n">
        <f aca="false">stk_28</f>
        <v>14</v>
      </c>
      <c r="G186" s="15" t="n">
        <f aca="false">stk_29</f>
        <v>15</v>
      </c>
      <c r="H186" s="15" t="n">
        <f aca="false">stk_30</f>
        <v>16</v>
      </c>
    </row>
    <row r="187" customFormat="false" ht="15" hidden="false" customHeight="false" outlineLevel="0" collapsed="false">
      <c r="A187" s="4" t="s">
        <v>449</v>
      </c>
      <c r="B187" s="0" t="s">
        <v>109</v>
      </c>
      <c r="C187" s="18" t="n">
        <f aca="false">1+beta*(C186-$C186)/4</f>
        <v>1</v>
      </c>
      <c r="D187" s="18" t="n">
        <f aca="false">1+beta*(D186-$C186)/4</f>
        <v>1.05</v>
      </c>
      <c r="E187" s="18" t="n">
        <f aca="false">1+beta*(E186-$C186)/4</f>
        <v>1.0625</v>
      </c>
      <c r="F187" s="18" t="n">
        <f aca="false">1+beta*(F186-$C186)/4</f>
        <v>1.1</v>
      </c>
      <c r="G187" s="18" t="n">
        <f aca="false">1+beta*(G186-$C186)/4</f>
        <v>1.125</v>
      </c>
      <c r="H187" s="18" t="n">
        <f aca="false">1+beta*(H186-$C186)/4</f>
        <v>1.15</v>
      </c>
    </row>
    <row r="188" customFormat="false" ht="17.15" hidden="false" customHeight="false" outlineLevel="0" collapsed="false">
      <c r="A188" s="4" t="s">
        <v>450</v>
      </c>
      <c r="B188" s="0" t="s">
        <v>62</v>
      </c>
      <c r="C188" s="14" t="n">
        <f aca="false">0</f>
        <v>0</v>
      </c>
      <c r="D188" s="14" t="n">
        <f aca="false">0</f>
        <v>0</v>
      </c>
      <c r="E188" s="14" t="n">
        <f aca="false">0</f>
        <v>0</v>
      </c>
      <c r="F188" s="14" t="n">
        <f aca="false">0</f>
        <v>0</v>
      </c>
      <c r="G188" s="14" t="n">
        <f aca="false">0</f>
        <v>0</v>
      </c>
      <c r="H188" s="14" t="n">
        <f aca="false">0</f>
        <v>0</v>
      </c>
      <c r="I188" s="4" t="s">
        <v>451</v>
      </c>
    </row>
    <row r="189" customFormat="false" ht="17.15" hidden="false" customHeight="false" outlineLevel="0" collapsed="false">
      <c r="A189" s="0" t="s">
        <v>452</v>
      </c>
      <c r="B189" s="4" t="s">
        <v>413</v>
      </c>
      <c r="C189" s="11" t="n">
        <f aca="false">C185*C187*(1-C188)</f>
        <v>741.704901960783</v>
      </c>
      <c r="D189" s="11" t="n">
        <f aca="false">D185*D187*(1-D188)</f>
        <v>1323.94325</v>
      </c>
      <c r="E189" s="11" t="n">
        <f aca="false">E185*E187*(1-E188)</f>
        <v>1916.80794711538</v>
      </c>
      <c r="F189" s="11" t="n">
        <f aca="false">F185*F187*(1-F188)</f>
        <v>2671.9336325</v>
      </c>
      <c r="G189" s="11" t="n">
        <f aca="false">G185*G187*(1-G188)</f>
        <v>3443.1508400625</v>
      </c>
      <c r="H189" s="11" t="n">
        <f aca="false">H185*H187*(1-H188)</f>
        <v>3629.65484389922</v>
      </c>
    </row>
    <row r="190" customFormat="false" ht="17.15" hidden="false" customHeight="false" outlineLevel="0" collapsed="false">
      <c r="A190" s="4" t="s">
        <v>453</v>
      </c>
      <c r="B190" s="4" t="s">
        <v>413</v>
      </c>
      <c r="C190" s="11" t="n">
        <f aca="false">MAX(0,D189-C189)+dlt*C189</f>
        <v>656.408838235295</v>
      </c>
      <c r="D190" s="11" t="n">
        <f aca="false">MAX(0,E189-D189)+dlt*D189</f>
        <v>725.259022115385</v>
      </c>
      <c r="E190" s="11" t="n">
        <f aca="false">MAX(0,F189-E189)+dlt*E189</f>
        <v>946.806480096154</v>
      </c>
      <c r="F190" s="11" t="n">
        <f aca="false">MAX(0,G189-F189)+dlt*F189</f>
        <v>1038.4105708125</v>
      </c>
      <c r="G190" s="11" t="n">
        <f aca="false">MAX(0,H189-G189)+dlt*G189</f>
        <v>530.819087842968</v>
      </c>
      <c r="I190" s="4" t="s">
        <v>454</v>
      </c>
    </row>
    <row r="191" customFormat="false" ht="17.15" hidden="false" customHeight="false" outlineLevel="0" collapsed="false">
      <c r="A191" s="0" t="s">
        <v>455</v>
      </c>
      <c r="B191" s="0" t="s">
        <v>62</v>
      </c>
      <c r="C191" s="14" t="n">
        <f aca="false">ms_sk_26/(ms_sk_26+ms_ss_26+ms_mu_26)</f>
        <v>0.52</v>
      </c>
      <c r="D191" s="14" t="n">
        <f aca="false">ms_sk_27/(ms_sk_27+ms_ss_27+ms_mu_27)</f>
        <v>0.42</v>
      </c>
      <c r="E191" s="14" t="n">
        <f aca="false">ms_sk_28/(ms_sk_28+ms_ss_28+ms_mu_28)</f>
        <v>0.4</v>
      </c>
      <c r="F191" s="14" t="n">
        <f aca="false">ms_sk_29/(ms_sk_29+ms_ss_29+ms_mu_29)</f>
        <v>0.4</v>
      </c>
      <c r="G191" s="14" t="n">
        <f aca="false">ms_sk_29/(ms_sk_29+ms_ss_29+ms_mu_29)</f>
        <v>0.4</v>
      </c>
    </row>
    <row r="192" customFormat="false" ht="17.15" hidden="false" customHeight="false" outlineLevel="0" collapsed="false">
      <c r="A192" s="4" t="s">
        <v>456</v>
      </c>
      <c r="B192" s="0" t="s">
        <v>62</v>
      </c>
      <c r="C192" s="14" t="n">
        <f aca="false">ms_ss_26/(ms_sk_26+ms_ss_26+ms_mu_26)</f>
        <v>0.29</v>
      </c>
      <c r="D192" s="14" t="n">
        <f aca="false">ms_ss_27/(ms_sk_27+ms_ss_27+ms_mu_27)</f>
        <v>0.38</v>
      </c>
      <c r="E192" s="14" t="n">
        <f aca="false">ms_ss_28/(ms_sk_28+ms_ss_28+ms_mu_28)</f>
        <v>0.4</v>
      </c>
      <c r="F192" s="14" t="n">
        <f aca="false">ms_ss_29/(ms_sk_29+ms_ss_29+ms_mu_29)</f>
        <v>0.4</v>
      </c>
      <c r="G192" s="14" t="n">
        <f aca="false">ms_ss_29/(ms_sk_29+ms_ss_29+ms_mu_29)</f>
        <v>0.4</v>
      </c>
    </row>
    <row r="193" customFormat="false" ht="17.15" hidden="false" customHeight="false" outlineLevel="0" collapsed="false">
      <c r="A193" s="4" t="s">
        <v>457</v>
      </c>
      <c r="B193" s="0" t="s">
        <v>62</v>
      </c>
      <c r="C193" s="14" t="n">
        <f aca="false">ms_mu_26/(ms_sk_26+ms_ss_26+ms_mu_26)</f>
        <v>0.19</v>
      </c>
      <c r="D193" s="14" t="n">
        <f aca="false">ms_mu_27/(ms_sk_27+ms_ss_27+ms_mu_27)</f>
        <v>0.2</v>
      </c>
      <c r="E193" s="14" t="n">
        <f aca="false">ms_mu_28/(ms_sk_28+ms_ss_28+ms_mu_28)</f>
        <v>0.2</v>
      </c>
      <c r="F193" s="14" t="n">
        <f aca="false">ms_mu_29/(ms_sk_29+ms_ss_29+ms_mu_29)</f>
        <v>0.2</v>
      </c>
      <c r="G193" s="14" t="n">
        <f aca="false">ms_mu_29/(ms_sk_29+ms_ss_29+ms_mu_29)</f>
        <v>0.2</v>
      </c>
    </row>
    <row r="194" customFormat="false" ht="17.15" hidden="false" customHeight="false" outlineLevel="0" collapsed="false">
      <c r="A194" s="4" t="s">
        <v>458</v>
      </c>
      <c r="B194" s="0" t="s">
        <v>62</v>
      </c>
      <c r="C194" s="14" t="n">
        <f aca="false">C191*hsk_25+C192*hss+C193*hmu_25</f>
        <v>0.412</v>
      </c>
      <c r="D194" s="14" t="n">
        <f aca="false">D191*hsk_A+D192*hss+D193*hmu_A_hi</f>
        <v>0.359</v>
      </c>
      <c r="E194" s="14" t="n">
        <f aca="false">E191*hsk_A+E192*hss+E193*hmu_A_hi</f>
        <v>0.35</v>
      </c>
      <c r="F194" s="14" t="n">
        <f aca="false">F191*hsk_A+F192*hss+F193*hmu_A_hi</f>
        <v>0.35</v>
      </c>
      <c r="G194" s="14" t="n">
        <f aca="false">G191*hsk_A+G192*hss+G193*hmu_A_hi</f>
        <v>0.35</v>
      </c>
    </row>
    <row r="195" customFormat="false" ht="17.15" hidden="false" customHeight="false" outlineLevel="0" collapsed="false">
      <c r="A195" s="4" t="s">
        <v>459</v>
      </c>
      <c r="B195" s="4" t="s">
        <v>413</v>
      </c>
      <c r="C195" s="11" t="n">
        <f aca="false">C190*C194</f>
        <v>270.440441352942</v>
      </c>
      <c r="D195" s="11" t="n">
        <f aca="false">D190*D194</f>
        <v>260.367988939423</v>
      </c>
      <c r="E195" s="11" t="n">
        <f aca="false">E190*E194</f>
        <v>331.382268033654</v>
      </c>
      <c r="F195" s="11" t="n">
        <f aca="false">F190*F194</f>
        <v>363.443699784375</v>
      </c>
      <c r="G195" s="11" t="n">
        <f aca="false">G190*G194</f>
        <v>185.786680745039</v>
      </c>
    </row>
    <row r="196" customFormat="false" ht="17.15" hidden="false" customHeight="false" outlineLevel="0" collapsed="false">
      <c r="A196" s="6" t="s">
        <v>460</v>
      </c>
    </row>
    <row r="197" customFormat="false" ht="17.15" hidden="false" customHeight="false" outlineLevel="0" collapsed="false">
      <c r="A197" s="4" t="s">
        <v>461</v>
      </c>
      <c r="B197" s="4" t="s">
        <v>226</v>
      </c>
      <c r="C197" s="11" t="n">
        <f aca="false">a25_rev-a25_hbm</f>
        <v>2895.034</v>
      </c>
      <c r="D197" s="11" t="n">
        <f aca="false">C197*(1+g_o26)</f>
        <v>3329.2891</v>
      </c>
      <c r="E197" s="11" t="n">
        <f aca="false">D197*(1+g_o_A)</f>
        <v>3728.803792</v>
      </c>
      <c r="F197" s="11" t="n">
        <f aca="false">E197*(1+g_o_A)</f>
        <v>4176.26024704</v>
      </c>
      <c r="G197" s="11" t="n">
        <f aca="false">F197*(1+g_o_A)</f>
        <v>4677.4114766848</v>
      </c>
    </row>
    <row r="198" customFormat="false" ht="17.15" hidden="false" customHeight="false" outlineLevel="0" collapsed="false">
      <c r="A198" s="0" t="s">
        <v>462</v>
      </c>
      <c r="B198" s="4" t="s">
        <v>226</v>
      </c>
      <c r="C198" s="11" t="n">
        <f aca="false">a25_hbm</f>
        <v>2871.966</v>
      </c>
      <c r="D198" s="11" t="n">
        <f aca="false">rev26-D197</f>
        <v>4210.5109</v>
      </c>
      <c r="E198" s="11" t="n">
        <f aca="false">$C199*E195</f>
        <v>4421.57118176373</v>
      </c>
      <c r="F198" s="11" t="n">
        <f aca="false">$C199*F195</f>
        <v>4849.36082638249</v>
      </c>
      <c r="G198" s="11" t="n">
        <f aca="false">$C199*G195</f>
        <v>2478.91668559157</v>
      </c>
      <c r="I198" s="8" t="s">
        <v>463</v>
      </c>
    </row>
    <row r="199" customFormat="false" ht="17.15" hidden="false" customHeight="false" outlineLevel="0" collapsed="false">
      <c r="A199" s="4" t="s">
        <v>464</v>
      </c>
      <c r="B199" s="4" t="s">
        <v>465</v>
      </c>
      <c r="C199" s="18" t="n">
        <f aca="false">(C198+D198)/(C195+D195)</f>
        <v>13.3428116356386</v>
      </c>
      <c r="I199" s="4" t="s">
        <v>466</v>
      </c>
    </row>
    <row r="200" customFormat="false" ht="15" hidden="false" customHeight="false" outlineLevel="0" collapsed="false">
      <c r="A200" s="4" t="s">
        <v>366</v>
      </c>
      <c r="B200" s="4" t="s">
        <v>226</v>
      </c>
      <c r="C200" s="11" t="n">
        <f aca="false">a25_rev</f>
        <v>5767</v>
      </c>
      <c r="D200" s="11" t="n">
        <f aca="false">D197+D198</f>
        <v>7539.8</v>
      </c>
      <c r="E200" s="11" t="n">
        <f aca="false">E197+E198</f>
        <v>8150.37497376373</v>
      </c>
      <c r="F200" s="11" t="n">
        <f aca="false">F197+F198</f>
        <v>9025.62107342249</v>
      </c>
      <c r="G200" s="11" t="n">
        <f aca="false">G197+G198</f>
        <v>7156.32816227637</v>
      </c>
    </row>
    <row r="201" customFormat="false" ht="17.15" hidden="false" customHeight="false" outlineLevel="0" collapsed="false">
      <c r="A201" s="0" t="s">
        <v>467</v>
      </c>
      <c r="B201" s="0" t="s">
        <v>62</v>
      </c>
      <c r="C201" s="14" t="n">
        <f aca="false">C198/C200</f>
        <v>0.498</v>
      </c>
      <c r="D201" s="14" t="n">
        <f aca="false">D198/D200</f>
        <v>0.558438008965755</v>
      </c>
      <c r="E201" s="14" t="n">
        <f aca="false">E198/E200</f>
        <v>0.542499111512892</v>
      </c>
      <c r="F201" s="14" t="n">
        <f aca="false">F198/F200</f>
        <v>0.537288324751664</v>
      </c>
      <c r="G201" s="14" t="n">
        <f aca="false">G198/G200</f>
        <v>0.34639505475152</v>
      </c>
    </row>
    <row r="202" customFormat="false" ht="17.15" hidden="false" customHeight="false" outlineLevel="0" collapsed="false">
      <c r="A202" s="4" t="s">
        <v>468</v>
      </c>
      <c r="B202" s="4" t="s">
        <v>226</v>
      </c>
      <c r="C202" s="11" t="n">
        <f aca="false">opex25</f>
        <v>806.7</v>
      </c>
      <c r="D202" s="11" t="n">
        <f aca="false">opex_fix+opex_var*D200</f>
        <v>930.691482573261</v>
      </c>
      <c r="E202" s="11" t="n">
        <f aca="false">opex_fix+opex_var*E200</f>
        <v>973.395733599376</v>
      </c>
      <c r="F202" s="11" t="n">
        <f aca="false">opex_fix+opex_var*F200</f>
        <v>1034.61135945291</v>
      </c>
      <c r="G202" s="11" t="n">
        <f aca="false">opex_fix+opex_var*G200</f>
        <v>903.87106194801</v>
      </c>
      <c r="I202" s="4" t="s">
        <v>469</v>
      </c>
    </row>
    <row r="203" customFormat="false" ht="17.15" hidden="false" customHeight="false" outlineLevel="0" collapsed="false">
      <c r="A203" s="4" t="s">
        <v>436</v>
      </c>
      <c r="B203" s="0" t="s">
        <v>62</v>
      </c>
      <c r="C203" s="14" t="n">
        <f aca="false">a25_gp/a25_rev</f>
        <v>0.575793306745275</v>
      </c>
      <c r="D203" s="14" t="n">
        <f aca="false">(oi26+D202)/D200</f>
        <v>0.595267179842073</v>
      </c>
      <c r="E203" s="14" t="n">
        <f aca="false">$D203+0</f>
        <v>0.595267179842073</v>
      </c>
      <c r="F203" s="14" t="n">
        <f aca="false">$D203+0</f>
        <v>0.595267179842073</v>
      </c>
      <c r="G203" s="14" t="n">
        <f aca="false">$D203+0</f>
        <v>0.595267179842073</v>
      </c>
      <c r="I203" s="8" t="s">
        <v>470</v>
      </c>
    </row>
    <row r="204" customFormat="false" ht="15" hidden="false" customHeight="false" outlineLevel="0" collapsed="false">
      <c r="A204" s="4" t="s">
        <v>371</v>
      </c>
      <c r="B204" s="4" t="s">
        <v>226</v>
      </c>
      <c r="C204" s="11" t="n">
        <f aca="false">C200*C203</f>
        <v>3320.6</v>
      </c>
      <c r="D204" s="11" t="n">
        <f aca="false">D200*D203</f>
        <v>4488.19548257326</v>
      </c>
      <c r="E204" s="11" t="n">
        <f aca="false">E200*E203</f>
        <v>4851.65072528775</v>
      </c>
      <c r="F204" s="11" t="n">
        <f aca="false">F200*F203</f>
        <v>5372.65600269939</v>
      </c>
      <c r="G204" s="11" t="n">
        <f aca="false">G200*G203</f>
        <v>4259.92728318266</v>
      </c>
    </row>
    <row r="205" customFormat="false" ht="15" hidden="false" customHeight="false" outlineLevel="0" collapsed="false">
      <c r="A205" s="4" t="s">
        <v>374</v>
      </c>
      <c r="B205" s="4" t="s">
        <v>226</v>
      </c>
      <c r="C205" s="11" t="n">
        <f aca="false">a25_oi</f>
        <v>2513.9</v>
      </c>
      <c r="D205" s="11" t="n">
        <f aca="false">oi26</f>
        <v>3557.504</v>
      </c>
      <c r="E205" s="11" t="n">
        <f aca="false">E204-E202</f>
        <v>3878.25499168837</v>
      </c>
      <c r="F205" s="11" t="n">
        <f aca="false">F204-F202</f>
        <v>4338.04464324647</v>
      </c>
      <c r="G205" s="11" t="n">
        <f aca="false">G204-G202</f>
        <v>3356.05622123465</v>
      </c>
    </row>
    <row r="206" customFormat="false" ht="15" hidden="false" customHeight="false" outlineLevel="0" collapsed="false">
      <c r="A206" s="4" t="s">
        <v>377</v>
      </c>
      <c r="B206" s="0" t="s">
        <v>62</v>
      </c>
      <c r="C206" s="14" t="n">
        <f aca="false">C205/C200</f>
        <v>0.435911219004682</v>
      </c>
      <c r="D206" s="14" t="n">
        <f aca="false">D205/D200</f>
        <v>0.471830022016499</v>
      </c>
      <c r="E206" s="14" t="n">
        <f aca="false">E205/E200</f>
        <v>0.475837615345622</v>
      </c>
      <c r="F206" s="14" t="n">
        <f aca="false">F205/F200</f>
        <v>0.480636690589704</v>
      </c>
      <c r="G206" s="14" t="n">
        <f aca="false">G205/G200</f>
        <v>0.468963432801426</v>
      </c>
    </row>
    <row r="207" customFormat="false" ht="15" hidden="false" customHeight="false" outlineLevel="0" collapsed="false">
      <c r="A207" s="4" t="s">
        <v>437</v>
      </c>
      <c r="B207" s="4" t="s">
        <v>226</v>
      </c>
      <c r="C207" s="11" t="n">
        <f aca="false">a25_ni</f>
        <v>2140</v>
      </c>
      <c r="D207" s="11" t="n">
        <f aca="false">D205*nioi</f>
        <v>3028.38560006365</v>
      </c>
      <c r="E207" s="11" t="n">
        <f aca="false">E205*nioi</f>
        <v>3301.43032030435</v>
      </c>
      <c r="F207" s="11" t="n">
        <f aca="false">F205*nioi</f>
        <v>3692.83405726061</v>
      </c>
      <c r="G207" s="11" t="n">
        <f aca="false">G205*nioi</f>
        <v>2856.89976269627</v>
      </c>
    </row>
    <row r="208" customFormat="false" ht="15" hidden="false" customHeight="false" outlineLevel="0" collapsed="false">
      <c r="A208" s="0" t="s">
        <v>438</v>
      </c>
      <c r="B208" s="0" t="s">
        <v>302</v>
      </c>
      <c r="C208" s="11" t="n">
        <f aca="false">a25_eps</f>
        <v>2231.7</v>
      </c>
      <c r="D208" s="11" t="n">
        <f aca="false">D207*100/shares</f>
        <v>3158.15333815983</v>
      </c>
      <c r="E208" s="11" t="n">
        <f aca="false">E207*100/shares</f>
        <v>3442.89815225384</v>
      </c>
      <c r="F208" s="11" t="n">
        <f aca="false">F207*100/shares</f>
        <v>3851.07372223762</v>
      </c>
      <c r="G208" s="11" t="n">
        <f aca="false">G207*100/shares</f>
        <v>2979.31925252769</v>
      </c>
    </row>
    <row r="209" customFormat="false" ht="17.15" hidden="false" customHeight="false" outlineLevel="0" collapsed="false">
      <c r="A209" s="4" t="s">
        <v>471</v>
      </c>
      <c r="B209" s="4" t="s">
        <v>226</v>
      </c>
      <c r="C209" s="11" t="n">
        <f aca="false">$C199*C190</f>
        <v>8758.33948454188</v>
      </c>
      <c r="D209" s="11" t="n">
        <f aca="false">$C199*D190</f>
        <v>9676.994519133</v>
      </c>
      <c r="E209" s="11" t="n">
        <f aca="false">$C199*E190</f>
        <v>12633.0605193249</v>
      </c>
      <c r="F209" s="11" t="n">
        <f aca="false">$C199*F190</f>
        <v>13855.3166468071</v>
      </c>
      <c r="G209" s="11" t="n">
        <f aca="false">$C199*G190</f>
        <v>7082.6191016902</v>
      </c>
      <c r="I209" s="4" t="s">
        <v>472</v>
      </c>
    </row>
    <row r="210" customFormat="false" ht="15" hidden="false" customHeight="false" outlineLevel="0" collapsed="false">
      <c r="A210" s="4" t="s">
        <v>473</v>
      </c>
      <c r="B210" s="0" t="s">
        <v>333</v>
      </c>
      <c r="C210" s="11" t="n">
        <f aca="false">C209/fx*100</f>
        <v>616.784470742386</v>
      </c>
      <c r="D210" s="11" t="n">
        <f aca="false">D209/fx*100</f>
        <v>681.478487262887</v>
      </c>
      <c r="E210" s="11" t="n">
        <f aca="false">E209/fx*100</f>
        <v>889.652149248236</v>
      </c>
      <c r="F210" s="11" t="n">
        <f aca="false">F209/fx*100</f>
        <v>975.726524423035</v>
      </c>
      <c r="G210" s="11" t="n">
        <f aca="false">G209/fx*100</f>
        <v>498.775993076775</v>
      </c>
    </row>
    <row r="220" customFormat="false" ht="17.15" hidden="false" customHeight="false" outlineLevel="0" collapsed="false">
      <c r="A220" s="1" t="s">
        <v>664</v>
      </c>
    </row>
    <row r="221" customFormat="false" ht="15" hidden="false" customHeight="false" outlineLevel="0" collapsed="false">
      <c r="A221" s="5" t="s">
        <v>14</v>
      </c>
      <c r="B221" s="5" t="s">
        <v>15</v>
      </c>
      <c r="C221" s="9" t="s">
        <v>401</v>
      </c>
      <c r="D221" s="9" t="s">
        <v>402</v>
      </c>
      <c r="E221" s="9" t="s">
        <v>403</v>
      </c>
      <c r="F221" s="9" t="s">
        <v>404</v>
      </c>
      <c r="G221" s="9" t="s">
        <v>405</v>
      </c>
      <c r="H221" s="9" t="s">
        <v>406</v>
      </c>
      <c r="I221" s="5" t="s">
        <v>407</v>
      </c>
    </row>
    <row r="222" customFormat="false" ht="17.15" hidden="false" customHeight="false" outlineLevel="0" collapsed="false">
      <c r="A222" s="6" t="s">
        <v>441</v>
      </c>
    </row>
    <row r="223" customFormat="false" ht="17.15" hidden="false" customHeight="false" outlineLevel="0" collapsed="false">
      <c r="A223" s="0" t="s">
        <v>442</v>
      </c>
      <c r="B223" s="0" t="s">
        <v>25</v>
      </c>
      <c r="C223" s="17" t="n">
        <f aca="false">hsA_25</f>
        <v>2.22511470588235</v>
      </c>
      <c r="D223" s="17" t="n">
        <f aca="false">hsA_26</f>
        <v>3.782695</v>
      </c>
      <c r="E223" s="17" t="n">
        <f aca="false">hsA_27</f>
        <v>5.86317725</v>
      </c>
      <c r="F223" s="17" t="n">
        <f aca="false">hsA_28</f>
        <v>8.5016070125</v>
      </c>
      <c r="G223" s="17" t="n">
        <f aca="false">hsA_29</f>
        <v>11.477169466875</v>
      </c>
      <c r="H223" s="17" t="n">
        <f aca="false">G223*(1+g_tail)</f>
        <v>12.6248864135625</v>
      </c>
      <c r="I223" s="8" t="s">
        <v>443</v>
      </c>
    </row>
    <row r="224" customFormat="false" ht="17.15" hidden="false" customHeight="false" outlineLevel="0" collapsed="false">
      <c r="A224" s="0" t="s">
        <v>444</v>
      </c>
      <c r="B224" s="0" t="s">
        <v>445</v>
      </c>
      <c r="C224" s="15" t="n">
        <f aca="false">den_25</f>
        <v>24</v>
      </c>
      <c r="D224" s="15" t="n">
        <f aca="false">den_26</f>
        <v>24</v>
      </c>
      <c r="E224" s="15" t="n">
        <f aca="false">den_27</f>
        <v>26</v>
      </c>
      <c r="F224" s="15" t="n">
        <f aca="false">den_28</f>
        <v>28</v>
      </c>
      <c r="G224" s="15" t="n">
        <f aca="false">den_29</f>
        <v>30</v>
      </c>
      <c r="H224" s="15" t="n">
        <f aca="false">den_30</f>
        <v>32</v>
      </c>
    </row>
    <row r="225" customFormat="false" ht="17.15" hidden="false" customHeight="false" outlineLevel="0" collapsed="false">
      <c r="A225" s="4" t="s">
        <v>446</v>
      </c>
      <c r="B225" s="4" t="s">
        <v>411</v>
      </c>
      <c r="C225" s="11" t="n">
        <f aca="false">C223*8000/C224</f>
        <v>741.704901960783</v>
      </c>
      <c r="D225" s="11" t="n">
        <f aca="false">D223*8000/D224</f>
        <v>1260.89833333333</v>
      </c>
      <c r="E225" s="11" t="n">
        <f aca="false">E223*8000/E224</f>
        <v>1804.05453846154</v>
      </c>
      <c r="F225" s="11" t="n">
        <f aca="false">F223*8000/F224</f>
        <v>2429.030575</v>
      </c>
      <c r="G225" s="11" t="n">
        <f aca="false">G223*8000/G224</f>
        <v>3060.5785245</v>
      </c>
      <c r="H225" s="11" t="n">
        <f aca="false">H223*8000/H224</f>
        <v>3156.22160339063</v>
      </c>
      <c r="I225" s="8" t="s">
        <v>447</v>
      </c>
    </row>
    <row r="226" customFormat="false" ht="15" hidden="false" customHeight="false" outlineLevel="0" collapsed="false">
      <c r="A226" s="4" t="s">
        <v>448</v>
      </c>
      <c r="B226" s="4" t="s">
        <v>89</v>
      </c>
      <c r="C226" s="15" t="n">
        <f aca="false">stk_25</f>
        <v>10</v>
      </c>
      <c r="D226" s="15" t="n">
        <f aca="false">stk_26</f>
        <v>12</v>
      </c>
      <c r="E226" s="15" t="n">
        <f aca="false">stk_27</f>
        <v>12.5</v>
      </c>
      <c r="F226" s="15" t="n">
        <f aca="false">stk_28</f>
        <v>14</v>
      </c>
      <c r="G226" s="15" t="n">
        <f aca="false">stk_29</f>
        <v>15</v>
      </c>
      <c r="H226" s="15" t="n">
        <f aca="false">stk_30</f>
        <v>16</v>
      </c>
    </row>
    <row r="227" customFormat="false" ht="15" hidden="false" customHeight="false" outlineLevel="0" collapsed="false">
      <c r="A227" s="4" t="s">
        <v>449</v>
      </c>
      <c r="B227" s="0" t="s">
        <v>109</v>
      </c>
      <c r="C227" s="18" t="n">
        <f aca="false">1+beta*(C226-$C226)/4</f>
        <v>1</v>
      </c>
      <c r="D227" s="18" t="n">
        <f aca="false">1+beta*(D226-$C226)/4</f>
        <v>1.05</v>
      </c>
      <c r="E227" s="18" t="n">
        <f aca="false">1+beta*(E226-$C226)/4</f>
        <v>1.0625</v>
      </c>
      <c r="F227" s="18" t="n">
        <f aca="false">1+beta*(F226-$C226)/4</f>
        <v>1.1</v>
      </c>
      <c r="G227" s="18" t="n">
        <f aca="false">1+beta*(G226-$C226)/4</f>
        <v>1.125</v>
      </c>
      <c r="H227" s="18" t="n">
        <f aca="false">1+beta*(H226-$C226)/4</f>
        <v>1.15</v>
      </c>
    </row>
    <row r="228" customFormat="false" ht="17.15" hidden="false" customHeight="false" outlineLevel="0" collapsed="false">
      <c r="A228" s="4" t="s">
        <v>450</v>
      </c>
      <c r="B228" s="0" t="s">
        <v>62</v>
      </c>
      <c r="C228" s="14" t="n">
        <f aca="false">0</f>
        <v>0</v>
      </c>
      <c r="D228" s="14" t="n">
        <f aca="false">0</f>
        <v>0</v>
      </c>
      <c r="E228" s="14" t="n">
        <f aca="false">0</f>
        <v>0</v>
      </c>
      <c r="F228" s="14" t="n">
        <f aca="false">0</f>
        <v>0</v>
      </c>
      <c r="G228" s="14" t="n">
        <f aca="false">0</f>
        <v>0</v>
      </c>
      <c r="H228" s="14" t="n">
        <f aca="false">0</f>
        <v>0</v>
      </c>
      <c r="I228" s="4" t="s">
        <v>451</v>
      </c>
    </row>
    <row r="229" customFormat="false" ht="17.15" hidden="false" customHeight="false" outlineLevel="0" collapsed="false">
      <c r="A229" s="0" t="s">
        <v>452</v>
      </c>
      <c r="B229" s="4" t="s">
        <v>413</v>
      </c>
      <c r="C229" s="11" t="n">
        <f aca="false">C225*C227*(1-C228)</f>
        <v>741.704901960783</v>
      </c>
      <c r="D229" s="11" t="n">
        <f aca="false">D225*D227*(1-D228)</f>
        <v>1323.94325</v>
      </c>
      <c r="E229" s="11" t="n">
        <f aca="false">E225*E227*(1-E228)</f>
        <v>1916.80794711538</v>
      </c>
      <c r="F229" s="11" t="n">
        <f aca="false">F225*F227*(1-F228)</f>
        <v>2671.9336325</v>
      </c>
      <c r="G229" s="11" t="n">
        <f aca="false">G225*G227*(1-G228)</f>
        <v>3443.1508400625</v>
      </c>
      <c r="H229" s="11" t="n">
        <f aca="false">H225*H227*(1-H228)</f>
        <v>3629.65484389922</v>
      </c>
    </row>
    <row r="230" customFormat="false" ht="17.15" hidden="false" customHeight="false" outlineLevel="0" collapsed="false">
      <c r="A230" s="4" t="s">
        <v>453</v>
      </c>
      <c r="B230" s="4" t="s">
        <v>413</v>
      </c>
      <c r="C230" s="11" t="n">
        <f aca="false">MAX(0,D229-C229)+dlt*C229</f>
        <v>656.408838235295</v>
      </c>
      <c r="D230" s="11" t="n">
        <f aca="false">MAX(0,E229-D229)+dlt*D229</f>
        <v>725.259022115385</v>
      </c>
      <c r="E230" s="11" t="n">
        <f aca="false">MAX(0,F229-E229)+dlt*E229</f>
        <v>946.806480096154</v>
      </c>
      <c r="F230" s="11" t="n">
        <f aca="false">MAX(0,G229-F229)+dlt*F229</f>
        <v>1038.4105708125</v>
      </c>
      <c r="G230" s="11" t="n">
        <f aca="false">MAX(0,H229-G229)+dlt*G229</f>
        <v>530.819087842968</v>
      </c>
      <c r="I230" s="4" t="s">
        <v>454</v>
      </c>
    </row>
    <row r="231" customFormat="false" ht="17.15" hidden="false" customHeight="false" outlineLevel="0" collapsed="false">
      <c r="A231" s="0" t="s">
        <v>455</v>
      </c>
      <c r="B231" s="0" t="s">
        <v>62</v>
      </c>
      <c r="C231" s="14" t="n">
        <f aca="false">ms_sk_26/(ms_sk_26+ms_ss_26+ms_mu_26)</f>
        <v>0.52</v>
      </c>
      <c r="D231" s="14" t="n">
        <f aca="false">ms_sk_27/(ms_sk_27+ms_ss_27+ms_mu_27)</f>
        <v>0.42</v>
      </c>
      <c r="E231" s="14" t="n">
        <f aca="false">ms_sk_28/(ms_sk_28+ms_ss_28+ms_mu_28)</f>
        <v>0.4</v>
      </c>
      <c r="F231" s="14" t="n">
        <f aca="false">ms_sk_29/(ms_sk_29+ms_ss_29+ms_mu_29)</f>
        <v>0.4</v>
      </c>
      <c r="G231" s="14" t="n">
        <f aca="false">ms_sk_29/(ms_sk_29+ms_ss_29+ms_mu_29)</f>
        <v>0.4</v>
      </c>
    </row>
    <row r="232" customFormat="false" ht="17.15" hidden="false" customHeight="false" outlineLevel="0" collapsed="false">
      <c r="A232" s="4" t="s">
        <v>456</v>
      </c>
      <c r="B232" s="0" t="s">
        <v>62</v>
      </c>
      <c r="C232" s="14" t="n">
        <f aca="false">ms_ss_26/(ms_sk_26+ms_ss_26+ms_mu_26)</f>
        <v>0.29</v>
      </c>
      <c r="D232" s="14" t="n">
        <f aca="false">ms_ss_27/(ms_sk_27+ms_ss_27+ms_mu_27)</f>
        <v>0.38</v>
      </c>
      <c r="E232" s="14" t="n">
        <f aca="false">ms_ss_28/(ms_sk_28+ms_ss_28+ms_mu_28)</f>
        <v>0.4</v>
      </c>
      <c r="F232" s="14" t="n">
        <f aca="false">ms_ss_29/(ms_sk_29+ms_ss_29+ms_mu_29)</f>
        <v>0.4</v>
      </c>
      <c r="G232" s="14" t="n">
        <f aca="false">ms_ss_29/(ms_sk_29+ms_ss_29+ms_mu_29)</f>
        <v>0.4</v>
      </c>
    </row>
    <row r="233" customFormat="false" ht="17.15" hidden="false" customHeight="false" outlineLevel="0" collapsed="false">
      <c r="A233" s="4" t="s">
        <v>457</v>
      </c>
      <c r="B233" s="0" t="s">
        <v>62</v>
      </c>
      <c r="C233" s="14" t="n">
        <f aca="false">ms_mu_26/(ms_sk_26+ms_ss_26+ms_mu_26)</f>
        <v>0.19</v>
      </c>
      <c r="D233" s="14" t="n">
        <f aca="false">ms_mu_27/(ms_sk_27+ms_ss_27+ms_mu_27)</f>
        <v>0.2</v>
      </c>
      <c r="E233" s="14" t="n">
        <f aca="false">ms_mu_28/(ms_sk_28+ms_ss_28+ms_mu_28)</f>
        <v>0.2</v>
      </c>
      <c r="F233" s="14" t="n">
        <f aca="false">ms_mu_29/(ms_sk_29+ms_ss_29+ms_mu_29)</f>
        <v>0.2</v>
      </c>
      <c r="G233" s="14" t="n">
        <f aca="false">ms_mu_29/(ms_sk_29+ms_ss_29+ms_mu_29)</f>
        <v>0.2</v>
      </c>
    </row>
    <row r="234" customFormat="false" ht="17.15" hidden="false" customHeight="false" outlineLevel="0" collapsed="false">
      <c r="A234" s="4" t="s">
        <v>458</v>
      </c>
      <c r="B234" s="0" t="s">
        <v>62</v>
      </c>
      <c r="C234" s="14" t="n">
        <f aca="false">C231*hsk_25+C232*hss_hi+C233*hmu_25</f>
        <v>0.441</v>
      </c>
      <c r="D234" s="14" t="n">
        <f aca="false">D231*hsk_A+D232*hss_hi+D233*hmu_A</f>
        <v>0.377</v>
      </c>
      <c r="E234" s="14" t="n">
        <f aca="false">E231*hsk_A+E232*hss_hi+E233*hmu_A</f>
        <v>0.37</v>
      </c>
      <c r="F234" s="14" t="n">
        <f aca="false">F231*hsk_A+F232*hss_hi+F233*hmu_A</f>
        <v>0.37</v>
      </c>
      <c r="G234" s="14" t="n">
        <f aca="false">G231*hsk_A+G232*hss_hi+G233*hmu_A</f>
        <v>0.37</v>
      </c>
    </row>
    <row r="235" customFormat="false" ht="17.15" hidden="false" customHeight="false" outlineLevel="0" collapsed="false">
      <c r="A235" s="4" t="s">
        <v>459</v>
      </c>
      <c r="B235" s="4" t="s">
        <v>413</v>
      </c>
      <c r="C235" s="11" t="n">
        <f aca="false">C230*C234</f>
        <v>289.476297661765</v>
      </c>
      <c r="D235" s="11" t="n">
        <f aca="false">D230*D234</f>
        <v>273.4226513375</v>
      </c>
      <c r="E235" s="11" t="n">
        <f aca="false">E230*E234</f>
        <v>350.318397635577</v>
      </c>
      <c r="F235" s="11" t="n">
        <f aca="false">F230*F234</f>
        <v>384.211911200625</v>
      </c>
      <c r="G235" s="11" t="n">
        <f aca="false">G230*G234</f>
        <v>196.403062501898</v>
      </c>
    </row>
    <row r="236" customFormat="false" ht="17.15" hidden="false" customHeight="false" outlineLevel="0" collapsed="false">
      <c r="A236" s="6" t="s">
        <v>460</v>
      </c>
    </row>
    <row r="237" customFormat="false" ht="17.15" hidden="false" customHeight="false" outlineLevel="0" collapsed="false">
      <c r="A237" s="4" t="s">
        <v>461</v>
      </c>
      <c r="B237" s="4" t="s">
        <v>226</v>
      </c>
      <c r="C237" s="11" t="n">
        <f aca="false">a25_rev-a25_hbm</f>
        <v>2895.034</v>
      </c>
      <c r="D237" s="11" t="n">
        <f aca="false">C237*(1+g_o26)</f>
        <v>3329.2891</v>
      </c>
      <c r="E237" s="11" t="n">
        <f aca="false">D237*(1+g_o_A)</f>
        <v>3728.803792</v>
      </c>
      <c r="F237" s="11" t="n">
        <f aca="false">E237*(1+g_o_A)</f>
        <v>4176.26024704</v>
      </c>
      <c r="G237" s="11" t="n">
        <f aca="false">F237*(1+g_o_A)</f>
        <v>4677.4114766848</v>
      </c>
    </row>
    <row r="238" customFormat="false" ht="17.15" hidden="false" customHeight="false" outlineLevel="0" collapsed="false">
      <c r="A238" s="0" t="s">
        <v>462</v>
      </c>
      <c r="B238" s="4" t="s">
        <v>226</v>
      </c>
      <c r="C238" s="11" t="n">
        <f aca="false">a25_hbm</f>
        <v>2871.966</v>
      </c>
      <c r="D238" s="11" t="n">
        <f aca="false">rev26-D237</f>
        <v>4210.5109</v>
      </c>
      <c r="E238" s="11" t="n">
        <f aca="false">$C239*E235</f>
        <v>4407.7573129422</v>
      </c>
      <c r="F238" s="11" t="n">
        <f aca="false">$C239*F235</f>
        <v>4834.21045752713</v>
      </c>
      <c r="G238" s="11" t="n">
        <f aca="false">$C239*G235</f>
        <v>2471.17205624906</v>
      </c>
      <c r="I238" s="8" t="s">
        <v>463</v>
      </c>
    </row>
    <row r="239" customFormat="false" ht="17.15" hidden="false" customHeight="false" outlineLevel="0" collapsed="false">
      <c r="A239" s="4" t="s">
        <v>464</v>
      </c>
      <c r="B239" s="4" t="s">
        <v>465</v>
      </c>
      <c r="C239" s="18" t="n">
        <f aca="false">(C238+D238)/(C235+D235)</f>
        <v>12.5821462495025</v>
      </c>
      <c r="I239" s="4" t="s">
        <v>466</v>
      </c>
    </row>
    <row r="240" customFormat="false" ht="15" hidden="false" customHeight="false" outlineLevel="0" collapsed="false">
      <c r="A240" s="4" t="s">
        <v>366</v>
      </c>
      <c r="B240" s="4" t="s">
        <v>226</v>
      </c>
      <c r="C240" s="11" t="n">
        <f aca="false">a25_rev</f>
        <v>5767</v>
      </c>
      <c r="D240" s="11" t="n">
        <f aca="false">D237+D238</f>
        <v>7539.8</v>
      </c>
      <c r="E240" s="11" t="n">
        <f aca="false">E237+E238</f>
        <v>8136.5611049422</v>
      </c>
      <c r="F240" s="11" t="n">
        <f aca="false">F237+F238</f>
        <v>9010.47070456713</v>
      </c>
      <c r="G240" s="11" t="n">
        <f aca="false">G237+G238</f>
        <v>7148.58353293387</v>
      </c>
    </row>
    <row r="241" customFormat="false" ht="17.15" hidden="false" customHeight="false" outlineLevel="0" collapsed="false">
      <c r="A241" s="0" t="s">
        <v>467</v>
      </c>
      <c r="B241" s="0" t="s">
        <v>62</v>
      </c>
      <c r="C241" s="14" t="n">
        <f aca="false">C238/C240</f>
        <v>0.498</v>
      </c>
      <c r="D241" s="14" t="n">
        <f aca="false">D238/D240</f>
        <v>0.558438008965755</v>
      </c>
      <c r="E241" s="14" t="n">
        <f aca="false">E238/E240</f>
        <v>0.54172238813089</v>
      </c>
      <c r="F241" s="14" t="n">
        <f aca="false">F238/F240</f>
        <v>0.536510312949225</v>
      </c>
      <c r="G241" s="14" t="n">
        <f aca="false">G238/G240</f>
        <v>0.34568695250804</v>
      </c>
    </row>
    <row r="242" customFormat="false" ht="17.15" hidden="false" customHeight="false" outlineLevel="0" collapsed="false">
      <c r="A242" s="4" t="s">
        <v>468</v>
      </c>
      <c r="B242" s="4" t="s">
        <v>226</v>
      </c>
      <c r="C242" s="11" t="n">
        <f aca="false">opex25</f>
        <v>806.7</v>
      </c>
      <c r="D242" s="11" t="n">
        <f aca="false">opex_fix+opex_var*D240</f>
        <v>930.691482573261</v>
      </c>
      <c r="E242" s="11" t="n">
        <f aca="false">opex_fix+opex_var*E240</f>
        <v>972.42957719411</v>
      </c>
      <c r="F242" s="11" t="n">
        <f aca="false">opex_fix+opex_var*F240</f>
        <v>1033.55172684015</v>
      </c>
      <c r="G242" s="11" t="n">
        <f aca="false">opex_fix+opex_var*G240</f>
        <v>903.329394487407</v>
      </c>
      <c r="I242" s="4" t="s">
        <v>469</v>
      </c>
    </row>
    <row r="243" customFormat="false" ht="17.15" hidden="false" customHeight="false" outlineLevel="0" collapsed="false">
      <c r="A243" s="4" t="s">
        <v>436</v>
      </c>
      <c r="B243" s="0" t="s">
        <v>62</v>
      </c>
      <c r="C243" s="14" t="n">
        <f aca="false">a25_gp/a25_rev</f>
        <v>0.575793306745275</v>
      </c>
      <c r="D243" s="14" t="n">
        <f aca="false">(oi26+D242)/D240</f>
        <v>0.595267179842073</v>
      </c>
      <c r="E243" s="14" t="n">
        <f aca="false">$D243+0</f>
        <v>0.595267179842073</v>
      </c>
      <c r="F243" s="14" t="n">
        <f aca="false">$D243+0</f>
        <v>0.595267179842073</v>
      </c>
      <c r="G243" s="14" t="n">
        <f aca="false">$D243+0</f>
        <v>0.595267179842073</v>
      </c>
      <c r="I243" s="8" t="s">
        <v>470</v>
      </c>
    </row>
    <row r="244" customFormat="false" ht="15" hidden="false" customHeight="false" outlineLevel="0" collapsed="false">
      <c r="A244" s="4" t="s">
        <v>371</v>
      </c>
      <c r="B244" s="4" t="s">
        <v>226</v>
      </c>
      <c r="C244" s="11" t="n">
        <f aca="false">C240*C243</f>
        <v>3320.6</v>
      </c>
      <c r="D244" s="11" t="n">
        <f aca="false">D240*D243</f>
        <v>4488.19548257326</v>
      </c>
      <c r="E244" s="11" t="n">
        <f aca="false">E240*E243</f>
        <v>4843.42778255164</v>
      </c>
      <c r="F244" s="11" t="n">
        <f aca="false">F240*F243</f>
        <v>5363.63748535729</v>
      </c>
      <c r="G244" s="11" t="n">
        <f aca="false">G240*G243</f>
        <v>4255.31715951502</v>
      </c>
    </row>
    <row r="245" customFormat="false" ht="15" hidden="false" customHeight="false" outlineLevel="0" collapsed="false">
      <c r="A245" s="4" t="s">
        <v>374</v>
      </c>
      <c r="B245" s="4" t="s">
        <v>226</v>
      </c>
      <c r="C245" s="11" t="n">
        <f aca="false">a25_oi</f>
        <v>2513.9</v>
      </c>
      <c r="D245" s="11" t="n">
        <f aca="false">oi26</f>
        <v>3557.504</v>
      </c>
      <c r="E245" s="11" t="n">
        <f aca="false">E244-E242</f>
        <v>3870.99820535753</v>
      </c>
      <c r="F245" s="11" t="n">
        <f aca="false">F244-F242</f>
        <v>4330.08575851714</v>
      </c>
      <c r="G245" s="11" t="n">
        <f aca="false">G244-G242</f>
        <v>3351.98776502762</v>
      </c>
    </row>
    <row r="246" customFormat="false" ht="15" hidden="false" customHeight="false" outlineLevel="0" collapsed="false">
      <c r="A246" s="4" t="s">
        <v>377</v>
      </c>
      <c r="B246" s="0" t="s">
        <v>62</v>
      </c>
      <c r="C246" s="14" t="n">
        <f aca="false">C245/C240</f>
        <v>0.435911219004682</v>
      </c>
      <c r="D246" s="14" t="n">
        <f aca="false">D245/D240</f>
        <v>0.471830022016499</v>
      </c>
      <c r="E246" s="14" t="n">
        <f aca="false">E245/E240</f>
        <v>0.475753596074669</v>
      </c>
      <c r="F246" s="14" t="n">
        <f aca="false">F245/F240</f>
        <v>0.480561548945756</v>
      </c>
      <c r="G246" s="14" t="n">
        <f aca="false">G245/G240</f>
        <v>0.468902370600392</v>
      </c>
    </row>
    <row r="247" customFormat="false" ht="15" hidden="false" customHeight="false" outlineLevel="0" collapsed="false">
      <c r="A247" s="4" t="s">
        <v>437</v>
      </c>
      <c r="B247" s="4" t="s">
        <v>226</v>
      </c>
      <c r="C247" s="11" t="n">
        <f aca="false">a25_ni</f>
        <v>2140</v>
      </c>
      <c r="D247" s="11" t="n">
        <f aca="false">D245*nioi</f>
        <v>3028.38560006365</v>
      </c>
      <c r="E247" s="11" t="n">
        <f aca="false">E245*nioi</f>
        <v>3295.25285789615</v>
      </c>
      <c r="F247" s="11" t="n">
        <f aca="false">F245*nioi</f>
        <v>3686.0589216861</v>
      </c>
      <c r="G247" s="11" t="n">
        <f aca="false">G245*nioi</f>
        <v>2853.4364203664</v>
      </c>
    </row>
    <row r="248" customFormat="false" ht="15" hidden="false" customHeight="false" outlineLevel="0" collapsed="false">
      <c r="A248" s="0" t="s">
        <v>438</v>
      </c>
      <c r="B248" s="0" t="s">
        <v>302</v>
      </c>
      <c r="C248" s="11" t="n">
        <f aca="false">a25_eps</f>
        <v>2231.7</v>
      </c>
      <c r="D248" s="11" t="n">
        <f aca="false">D247*100/shares</f>
        <v>3158.15333815983</v>
      </c>
      <c r="E248" s="11" t="n">
        <f aca="false">E247*100/shares</f>
        <v>3436.45598269478</v>
      </c>
      <c r="F248" s="11" t="n">
        <f aca="false">F247*100/shares</f>
        <v>3844.00826893779</v>
      </c>
      <c r="G248" s="11" t="n">
        <f aca="false">G247*100/shares</f>
        <v>2975.70750436061</v>
      </c>
    </row>
    <row r="249" customFormat="false" ht="17.15" hidden="false" customHeight="false" outlineLevel="0" collapsed="false">
      <c r="A249" s="4" t="s">
        <v>471</v>
      </c>
      <c r="B249" s="4" t="s">
        <v>226</v>
      </c>
      <c r="C249" s="11" t="n">
        <f aca="false">$C239*C230</f>
        <v>8259.03200214251</v>
      </c>
      <c r="D249" s="11" t="n">
        <f aca="false">$C239*D230</f>
        <v>9125.31508502693</v>
      </c>
      <c r="E249" s="11" t="n">
        <f aca="false">$C239*E230</f>
        <v>11912.8576025465</v>
      </c>
      <c r="F249" s="11" t="n">
        <f aca="false">$C239*F230</f>
        <v>13065.4336689922</v>
      </c>
      <c r="G249" s="11" t="n">
        <f aca="false">$C239*G230</f>
        <v>6678.84339526774</v>
      </c>
      <c r="I249" s="4" t="s">
        <v>472</v>
      </c>
    </row>
    <row r="250" customFormat="false" ht="15" hidden="false" customHeight="false" outlineLevel="0" collapsed="false">
      <c r="A250" s="4" t="s">
        <v>473</v>
      </c>
      <c r="B250" s="0" t="s">
        <v>333</v>
      </c>
      <c r="C250" s="11" t="n">
        <f aca="false">C249/fx*100</f>
        <v>581.621971981867</v>
      </c>
      <c r="D250" s="11" t="n">
        <f aca="false">D249/fx*100</f>
        <v>642.627822889221</v>
      </c>
      <c r="E250" s="11" t="n">
        <f aca="false">E249/fx*100</f>
        <v>838.933633982147</v>
      </c>
      <c r="F250" s="11" t="n">
        <f aca="false">F249/fx*100</f>
        <v>920.100962605088</v>
      </c>
      <c r="G250" s="11" t="n">
        <f aca="false">G249/fx*100</f>
        <v>470.341084173785</v>
      </c>
    </row>
    <row r="260" customFormat="false" ht="17.15" hidden="false" customHeight="false" outlineLevel="0" collapsed="false">
      <c r="A260" s="1" t="s">
        <v>665</v>
      </c>
    </row>
    <row r="261" customFormat="false" ht="15" hidden="false" customHeight="false" outlineLevel="0" collapsed="false">
      <c r="A261" s="5" t="s">
        <v>14</v>
      </c>
      <c r="B261" s="5" t="s">
        <v>15</v>
      </c>
      <c r="C261" s="9" t="s">
        <v>401</v>
      </c>
      <c r="D261" s="9" t="s">
        <v>402</v>
      </c>
      <c r="E261" s="9" t="s">
        <v>403</v>
      </c>
      <c r="F261" s="9" t="s">
        <v>404</v>
      </c>
      <c r="G261" s="9" t="s">
        <v>405</v>
      </c>
      <c r="H261" s="9" t="s">
        <v>406</v>
      </c>
      <c r="I261" s="5" t="s">
        <v>407</v>
      </c>
    </row>
    <row r="262" customFormat="false" ht="17.15" hidden="false" customHeight="false" outlineLevel="0" collapsed="false">
      <c r="A262" s="6" t="s">
        <v>441</v>
      </c>
    </row>
    <row r="263" customFormat="false" ht="17.15" hidden="false" customHeight="false" outlineLevel="0" collapsed="false">
      <c r="A263" s="0" t="s">
        <v>442</v>
      </c>
      <c r="B263" s="0" t="s">
        <v>25</v>
      </c>
      <c r="C263" s="17" t="n">
        <f aca="false">hsA_25</f>
        <v>2.22511470588235</v>
      </c>
      <c r="D263" s="17" t="n">
        <f aca="false">hsA_26</f>
        <v>3.782695</v>
      </c>
      <c r="E263" s="17" t="n">
        <f aca="false">hsA_27</f>
        <v>5.86317725</v>
      </c>
      <c r="F263" s="17" t="n">
        <f aca="false">hsA_28</f>
        <v>8.5016070125</v>
      </c>
      <c r="G263" s="17" t="n">
        <f aca="false">hsA_29</f>
        <v>11.477169466875</v>
      </c>
      <c r="H263" s="17" t="n">
        <f aca="false">G263*(1+g_tail)</f>
        <v>12.6248864135625</v>
      </c>
      <c r="I263" s="8" t="s">
        <v>443</v>
      </c>
    </row>
    <row r="264" customFormat="false" ht="17.15" hidden="false" customHeight="false" outlineLevel="0" collapsed="false">
      <c r="A264" s="0" t="s">
        <v>444</v>
      </c>
      <c r="B264" s="0" t="s">
        <v>445</v>
      </c>
      <c r="C264" s="15" t="n">
        <f aca="false">den_25</f>
        <v>24</v>
      </c>
      <c r="D264" s="15" t="n">
        <f aca="false">den_26</f>
        <v>24</v>
      </c>
      <c r="E264" s="15" t="n">
        <f aca="false">den_27</f>
        <v>26</v>
      </c>
      <c r="F264" s="15" t="n">
        <f aca="false">den_28</f>
        <v>28</v>
      </c>
      <c r="G264" s="15" t="n">
        <f aca="false">den_29</f>
        <v>30</v>
      </c>
      <c r="H264" s="15" t="n">
        <f aca="false">den_30</f>
        <v>32</v>
      </c>
    </row>
    <row r="265" customFormat="false" ht="17.15" hidden="false" customHeight="false" outlineLevel="0" collapsed="false">
      <c r="A265" s="4" t="s">
        <v>446</v>
      </c>
      <c r="B265" s="4" t="s">
        <v>411</v>
      </c>
      <c r="C265" s="11" t="n">
        <f aca="false">C263*8000/C264</f>
        <v>741.704901960783</v>
      </c>
      <c r="D265" s="11" t="n">
        <f aca="false">D263*8000/D264</f>
        <v>1260.89833333333</v>
      </c>
      <c r="E265" s="11" t="n">
        <f aca="false">E263*8000/E264</f>
        <v>1804.05453846154</v>
      </c>
      <c r="F265" s="11" t="n">
        <f aca="false">F263*8000/F264</f>
        <v>2429.030575</v>
      </c>
      <c r="G265" s="11" t="n">
        <f aca="false">G263*8000/G264</f>
        <v>3060.5785245</v>
      </c>
      <c r="H265" s="11" t="n">
        <f aca="false">H263*8000/H264</f>
        <v>3156.22160339063</v>
      </c>
      <c r="I265" s="8" t="s">
        <v>447</v>
      </c>
    </row>
    <row r="266" customFormat="false" ht="15" hidden="false" customHeight="false" outlineLevel="0" collapsed="false">
      <c r="A266" s="4" t="s">
        <v>448</v>
      </c>
      <c r="B266" s="4" t="s">
        <v>89</v>
      </c>
      <c r="C266" s="15" t="n">
        <f aca="false">stk_25</f>
        <v>10</v>
      </c>
      <c r="D266" s="15" t="n">
        <f aca="false">stk_26</f>
        <v>12</v>
      </c>
      <c r="E266" s="15" t="n">
        <f aca="false">stk_27</f>
        <v>12.5</v>
      </c>
      <c r="F266" s="15" t="n">
        <f aca="false">stk_28</f>
        <v>14</v>
      </c>
      <c r="G266" s="15" t="n">
        <f aca="false">stk_29</f>
        <v>15</v>
      </c>
      <c r="H266" s="15" t="n">
        <f aca="false">stk_30</f>
        <v>16</v>
      </c>
    </row>
    <row r="267" customFormat="false" ht="15" hidden="false" customHeight="false" outlineLevel="0" collapsed="false">
      <c r="A267" s="4" t="s">
        <v>449</v>
      </c>
      <c r="B267" s="0" t="s">
        <v>109</v>
      </c>
      <c r="C267" s="18" t="n">
        <f aca="false">1+beta*(C266-$C266)/4</f>
        <v>1</v>
      </c>
      <c r="D267" s="18" t="n">
        <f aca="false">1+beta*(D266-$C266)/4</f>
        <v>1.05</v>
      </c>
      <c r="E267" s="18" t="n">
        <f aca="false">1+beta*(E266-$C266)/4</f>
        <v>1.0625</v>
      </c>
      <c r="F267" s="18" t="n">
        <f aca="false">1+beta*(F266-$C266)/4</f>
        <v>1.1</v>
      </c>
      <c r="G267" s="18" t="n">
        <f aca="false">1+beta*(G266-$C266)/4</f>
        <v>1.125</v>
      </c>
      <c r="H267" s="18" t="n">
        <f aca="false">1+beta*(H266-$C266)/4</f>
        <v>1.15</v>
      </c>
    </row>
    <row r="268" customFormat="false" ht="15" hidden="false" customHeight="false" outlineLevel="0" collapsed="false">
      <c r="A268" s="4" t="s">
        <v>450</v>
      </c>
      <c r="B268" s="0" t="s">
        <v>62</v>
      </c>
      <c r="C268" s="14" t="n">
        <f aca="false">hbp_25</f>
        <v>0</v>
      </c>
      <c r="D268" s="14" t="n">
        <f aca="false">hbp_26</f>
        <v>0</v>
      </c>
      <c r="E268" s="14" t="n">
        <f aca="false">hbp_27</f>
        <v>0</v>
      </c>
      <c r="F268" s="14" t="n">
        <f aca="false">hbp_28</f>
        <v>0.05</v>
      </c>
      <c r="G268" s="14" t="n">
        <f aca="false">hbp_29</f>
        <v>0.15</v>
      </c>
      <c r="H268" s="14" t="n">
        <f aca="false">hbp_30</f>
        <v>0.25</v>
      </c>
    </row>
    <row r="269" customFormat="false" ht="17.15" hidden="false" customHeight="false" outlineLevel="0" collapsed="false">
      <c r="A269" s="0" t="s">
        <v>452</v>
      </c>
      <c r="B269" s="4" t="s">
        <v>413</v>
      </c>
      <c r="C269" s="11" t="n">
        <f aca="false">C265*C267*(1-C268)</f>
        <v>741.704901960783</v>
      </c>
      <c r="D269" s="11" t="n">
        <f aca="false">D265*D267*(1-D268)</f>
        <v>1323.94325</v>
      </c>
      <c r="E269" s="11" t="n">
        <f aca="false">E265*E267*(1-E268)</f>
        <v>1916.80794711538</v>
      </c>
      <c r="F269" s="11" t="n">
        <f aca="false">F265*F267*(1-F268)</f>
        <v>2538.336950875</v>
      </c>
      <c r="G269" s="11" t="n">
        <f aca="false">G265*G267*(1-G268)</f>
        <v>2926.67821405313</v>
      </c>
      <c r="H269" s="11" t="n">
        <f aca="false">H265*H267*(1-H268)</f>
        <v>2722.24113292441</v>
      </c>
    </row>
    <row r="270" customFormat="false" ht="17.15" hidden="false" customHeight="false" outlineLevel="0" collapsed="false">
      <c r="A270" s="4" t="s">
        <v>453</v>
      </c>
      <c r="B270" s="4" t="s">
        <v>413</v>
      </c>
      <c r="C270" s="11" t="n">
        <f aca="false">MAX(0,D269-C269)+dlt*C269</f>
        <v>656.408838235295</v>
      </c>
      <c r="D270" s="11" t="n">
        <f aca="false">MAX(0,E269-D269)+dlt*D269</f>
        <v>725.259022115385</v>
      </c>
      <c r="E270" s="11" t="n">
        <f aca="false">MAX(0,F269-E269)+dlt*E269</f>
        <v>813.209798471154</v>
      </c>
      <c r="F270" s="11" t="n">
        <f aca="false">MAX(0,G269-F269)+dlt*F269</f>
        <v>642.174958265625</v>
      </c>
      <c r="G270" s="11" t="n">
        <f aca="false">MAX(0,H269-G269)+dlt*G269</f>
        <v>292.667821405313</v>
      </c>
      <c r="I270" s="4" t="s">
        <v>454</v>
      </c>
    </row>
    <row r="271" customFormat="false" ht="17.15" hidden="false" customHeight="false" outlineLevel="0" collapsed="false">
      <c r="A271" s="0" t="s">
        <v>455</v>
      </c>
      <c r="B271" s="0" t="s">
        <v>62</v>
      </c>
      <c r="C271" s="14" t="n">
        <f aca="false">ms_sk_26/(ms_sk_26+ms_ss_26+ms_mu_26)</f>
        <v>0.52</v>
      </c>
      <c r="D271" s="14" t="n">
        <f aca="false">ms_sk_27/(ms_sk_27+ms_ss_27+ms_mu_27)</f>
        <v>0.42</v>
      </c>
      <c r="E271" s="14" t="n">
        <f aca="false">ms_sk_28/(ms_sk_28+ms_ss_28+ms_mu_28)</f>
        <v>0.4</v>
      </c>
      <c r="F271" s="14" t="n">
        <f aca="false">ms_sk_29/(ms_sk_29+ms_ss_29+ms_mu_29)</f>
        <v>0.4</v>
      </c>
      <c r="G271" s="14" t="n">
        <f aca="false">ms_sk_29/(ms_sk_29+ms_ss_29+ms_mu_29)</f>
        <v>0.4</v>
      </c>
    </row>
    <row r="272" customFormat="false" ht="17.15" hidden="false" customHeight="false" outlineLevel="0" collapsed="false">
      <c r="A272" s="4" t="s">
        <v>456</v>
      </c>
      <c r="B272" s="0" t="s">
        <v>62</v>
      </c>
      <c r="C272" s="14" t="n">
        <f aca="false">ms_ss_26/(ms_sk_26+ms_ss_26+ms_mu_26)</f>
        <v>0.29</v>
      </c>
      <c r="D272" s="14" t="n">
        <f aca="false">ms_ss_27/(ms_sk_27+ms_ss_27+ms_mu_27)</f>
        <v>0.38</v>
      </c>
      <c r="E272" s="14" t="n">
        <f aca="false">ms_ss_28/(ms_sk_28+ms_ss_28+ms_mu_28)</f>
        <v>0.4</v>
      </c>
      <c r="F272" s="14" t="n">
        <f aca="false">ms_ss_29/(ms_sk_29+ms_ss_29+ms_mu_29)</f>
        <v>0.4</v>
      </c>
      <c r="G272" s="14" t="n">
        <f aca="false">ms_ss_29/(ms_sk_29+ms_ss_29+ms_mu_29)</f>
        <v>0.4</v>
      </c>
    </row>
    <row r="273" customFormat="false" ht="17.15" hidden="false" customHeight="false" outlineLevel="0" collapsed="false">
      <c r="A273" s="4" t="s">
        <v>457</v>
      </c>
      <c r="B273" s="0" t="s">
        <v>62</v>
      </c>
      <c r="C273" s="14" t="n">
        <f aca="false">ms_mu_26/(ms_sk_26+ms_ss_26+ms_mu_26)</f>
        <v>0.19</v>
      </c>
      <c r="D273" s="14" t="n">
        <f aca="false">ms_mu_27/(ms_sk_27+ms_ss_27+ms_mu_27)</f>
        <v>0.2</v>
      </c>
      <c r="E273" s="14" t="n">
        <f aca="false">ms_mu_28/(ms_sk_28+ms_ss_28+ms_mu_28)</f>
        <v>0.2</v>
      </c>
      <c r="F273" s="14" t="n">
        <f aca="false">ms_mu_29/(ms_sk_29+ms_ss_29+ms_mu_29)</f>
        <v>0.2</v>
      </c>
      <c r="G273" s="14" t="n">
        <f aca="false">ms_mu_29/(ms_sk_29+ms_ss_29+ms_mu_29)</f>
        <v>0.2</v>
      </c>
    </row>
    <row r="274" customFormat="false" ht="17.15" hidden="false" customHeight="false" outlineLevel="0" collapsed="false">
      <c r="A274" s="4" t="s">
        <v>458</v>
      </c>
      <c r="B274" s="0" t="s">
        <v>62</v>
      </c>
      <c r="C274" s="14" t="n">
        <f aca="false">C271*hsk_25+C272*hss+C273*hmu_25</f>
        <v>0.412</v>
      </c>
      <c r="D274" s="14" t="n">
        <f aca="false">D271*hsk_A+D272*hss+D273*hmu_A</f>
        <v>0.339</v>
      </c>
      <c r="E274" s="14" t="n">
        <f aca="false">E271*hsk_A+E272*hss+E273*hmu_A</f>
        <v>0.33</v>
      </c>
      <c r="F274" s="14" t="n">
        <f aca="false">F271*hsk_A+F272*hss+F273*hmu_A</f>
        <v>0.33</v>
      </c>
      <c r="G274" s="14" t="n">
        <f aca="false">G271*hsk_A+G272*hss+G273*hmu_A</f>
        <v>0.33</v>
      </c>
    </row>
    <row r="275" customFormat="false" ht="17.15" hidden="false" customHeight="false" outlineLevel="0" collapsed="false">
      <c r="A275" s="4" t="s">
        <v>459</v>
      </c>
      <c r="B275" s="4" t="s">
        <v>413</v>
      </c>
      <c r="C275" s="11" t="n">
        <f aca="false">C270*C274</f>
        <v>270.440441352942</v>
      </c>
      <c r="D275" s="11" t="n">
        <f aca="false">D270*D274</f>
        <v>245.862808497115</v>
      </c>
      <c r="E275" s="11" t="n">
        <f aca="false">E270*E274</f>
        <v>268.359233495481</v>
      </c>
      <c r="F275" s="11" t="n">
        <f aca="false">F270*F274</f>
        <v>211.917736227656</v>
      </c>
      <c r="G275" s="11" t="n">
        <f aca="false">G270*G274</f>
        <v>96.5803810637532</v>
      </c>
    </row>
    <row r="276" customFormat="false" ht="17.15" hidden="false" customHeight="false" outlineLevel="0" collapsed="false">
      <c r="A276" s="6" t="s">
        <v>460</v>
      </c>
    </row>
    <row r="277" customFormat="false" ht="17.15" hidden="false" customHeight="false" outlineLevel="0" collapsed="false">
      <c r="A277" s="4" t="s">
        <v>461</v>
      </c>
      <c r="B277" s="4" t="s">
        <v>226</v>
      </c>
      <c r="C277" s="11" t="n">
        <f aca="false">a25_rev-a25_hbm</f>
        <v>2895.034</v>
      </c>
      <c r="D277" s="11" t="n">
        <f aca="false">C277*(1+g_o26)</f>
        <v>3329.2891</v>
      </c>
      <c r="E277" s="11" t="n">
        <f aca="false">D277*(1+g_o_A)</f>
        <v>3728.803792</v>
      </c>
      <c r="F277" s="11" t="n">
        <f aca="false">E277*(1+g_o_A)</f>
        <v>4176.26024704</v>
      </c>
      <c r="G277" s="11" t="n">
        <f aca="false">F277*(1+g_o_A)</f>
        <v>4677.4114766848</v>
      </c>
    </row>
    <row r="278" customFormat="false" ht="17.15" hidden="false" customHeight="false" outlineLevel="0" collapsed="false">
      <c r="A278" s="0" t="s">
        <v>462</v>
      </c>
      <c r="B278" s="4" t="s">
        <v>226</v>
      </c>
      <c r="C278" s="11" t="n">
        <f aca="false">a25_hbm</f>
        <v>2871.966</v>
      </c>
      <c r="D278" s="11" t="n">
        <f aca="false">rev26-D277</f>
        <v>4210.5109</v>
      </c>
      <c r="E278" s="11" t="n">
        <f aca="false">$C279*E275</f>
        <v>3681.26304199214</v>
      </c>
      <c r="F278" s="11" t="n">
        <f aca="false">$C279*F275</f>
        <v>2907.01728483901</v>
      </c>
      <c r="G278" s="11" t="n">
        <f aca="false">$C279*G275</f>
        <v>1324.85766470748</v>
      </c>
      <c r="I278" s="8" t="s">
        <v>463</v>
      </c>
    </row>
    <row r="279" customFormat="false" ht="17.15" hidden="false" customHeight="false" outlineLevel="0" collapsed="false">
      <c r="A279" s="4" t="s">
        <v>464</v>
      </c>
      <c r="B279" s="4" t="s">
        <v>465</v>
      </c>
      <c r="C279" s="18" t="n">
        <f aca="false">(C278+D278)/(C275+D275)</f>
        <v>13.7176686415529</v>
      </c>
      <c r="I279" s="4" t="s">
        <v>466</v>
      </c>
    </row>
    <row r="280" customFormat="false" ht="15" hidden="false" customHeight="false" outlineLevel="0" collapsed="false">
      <c r="A280" s="4" t="s">
        <v>366</v>
      </c>
      <c r="B280" s="4" t="s">
        <v>226</v>
      </c>
      <c r="C280" s="11" t="n">
        <f aca="false">a25_rev</f>
        <v>5767</v>
      </c>
      <c r="D280" s="11" t="n">
        <f aca="false">D277+D278</f>
        <v>7539.8</v>
      </c>
      <c r="E280" s="11" t="n">
        <f aca="false">E277+E278</f>
        <v>7410.06683399214</v>
      </c>
      <c r="F280" s="11" t="n">
        <f aca="false">F277+F278</f>
        <v>7083.27753187901</v>
      </c>
      <c r="G280" s="11" t="n">
        <f aca="false">G277+G278</f>
        <v>6002.26914139228</v>
      </c>
    </row>
    <row r="281" customFormat="false" ht="17.15" hidden="false" customHeight="false" outlineLevel="0" collapsed="false">
      <c r="A281" s="0" t="s">
        <v>467</v>
      </c>
      <c r="B281" s="0" t="s">
        <v>62</v>
      </c>
      <c r="C281" s="14" t="n">
        <f aca="false">C278/C280</f>
        <v>0.498</v>
      </c>
      <c r="D281" s="14" t="n">
        <f aca="false">D278/D280</f>
        <v>0.558438008965755</v>
      </c>
      <c r="E281" s="14" t="n">
        <f aca="false">E278/E280</f>
        <v>0.496792151064699</v>
      </c>
      <c r="F281" s="14" t="n">
        <f aca="false">F278/F280</f>
        <v>0.410405673327874</v>
      </c>
      <c r="G281" s="14" t="n">
        <f aca="false">G278/G280</f>
        <v>0.220726134316624</v>
      </c>
    </row>
    <row r="282" customFormat="false" ht="17.15" hidden="false" customHeight="false" outlineLevel="0" collapsed="false">
      <c r="A282" s="4" t="s">
        <v>468</v>
      </c>
      <c r="B282" s="4" t="s">
        <v>226</v>
      </c>
      <c r="C282" s="11" t="n">
        <f aca="false">opex25</f>
        <v>806.7</v>
      </c>
      <c r="D282" s="11" t="n">
        <f aca="false">opex_fix+opex_var*D280</f>
        <v>930.691482573261</v>
      </c>
      <c r="E282" s="11" t="n">
        <f aca="false">opex_fix+opex_var*E280</f>
        <v>921.617809518073</v>
      </c>
      <c r="F282" s="11" t="n">
        <f aca="false">opex_fix+opex_var*F280</f>
        <v>898.761824602635</v>
      </c>
      <c r="G282" s="11" t="n">
        <f aca="false">opex_fix+opex_var*G280</f>
        <v>823.154969339444</v>
      </c>
      <c r="I282" s="4" t="s">
        <v>469</v>
      </c>
    </row>
    <row r="283" customFormat="false" ht="17.15" hidden="false" customHeight="false" outlineLevel="0" collapsed="false">
      <c r="A283" s="4" t="s">
        <v>436</v>
      </c>
      <c r="B283" s="0" t="s">
        <v>62</v>
      </c>
      <c r="C283" s="14" t="n">
        <f aca="false">a25_gp/a25_rev</f>
        <v>0.575793306745275</v>
      </c>
      <c r="D283" s="14" t="n">
        <f aca="false">(oi26+D282)/D280</f>
        <v>0.595267179842073</v>
      </c>
      <c r="E283" s="14" t="n">
        <f aca="false">$D283+0</f>
        <v>0.595267179842073</v>
      </c>
      <c r="F283" s="14" t="n">
        <f aca="false">$D283+0</f>
        <v>0.595267179842073</v>
      </c>
      <c r="G283" s="14" t="n">
        <f aca="false">$D283+0</f>
        <v>0.595267179842073</v>
      </c>
      <c r="I283" s="8" t="s">
        <v>470</v>
      </c>
    </row>
    <row r="284" customFormat="false" ht="15" hidden="false" customHeight="false" outlineLevel="0" collapsed="false">
      <c r="A284" s="4" t="s">
        <v>371</v>
      </c>
      <c r="B284" s="4" t="s">
        <v>226</v>
      </c>
      <c r="C284" s="11" t="n">
        <f aca="false">C280*C283</f>
        <v>3320.6</v>
      </c>
      <c r="D284" s="11" t="n">
        <f aca="false">D280*D283</f>
        <v>4488.19548257326</v>
      </c>
      <c r="E284" s="11" t="n">
        <f aca="false">E280*E283</f>
        <v>4410.96958671178</v>
      </c>
      <c r="F284" s="11" t="n">
        <f aca="false">F280*F283</f>
        <v>4216.44264044034</v>
      </c>
      <c r="G284" s="11" t="n">
        <f aca="false">G280*G283</f>
        <v>3572.95382444968</v>
      </c>
    </row>
    <row r="285" customFormat="false" ht="15" hidden="false" customHeight="false" outlineLevel="0" collapsed="false">
      <c r="A285" s="4" t="s">
        <v>374</v>
      </c>
      <c r="B285" s="4" t="s">
        <v>226</v>
      </c>
      <c r="C285" s="11" t="n">
        <f aca="false">a25_oi</f>
        <v>2513.9</v>
      </c>
      <c r="D285" s="11" t="n">
        <f aca="false">oi26</f>
        <v>3557.504</v>
      </c>
      <c r="E285" s="11" t="n">
        <f aca="false">E284-E282</f>
        <v>3489.35177719371</v>
      </c>
      <c r="F285" s="11" t="n">
        <f aca="false">F284-F282</f>
        <v>3317.6808158377</v>
      </c>
      <c r="G285" s="11" t="n">
        <f aca="false">G284-G282</f>
        <v>2749.79885511024</v>
      </c>
    </row>
    <row r="286" customFormat="false" ht="15" hidden="false" customHeight="false" outlineLevel="0" collapsed="false">
      <c r="A286" s="4" t="s">
        <v>377</v>
      </c>
      <c r="B286" s="0" t="s">
        <v>62</v>
      </c>
      <c r="C286" s="14" t="n">
        <f aca="false">C285/C280</f>
        <v>0.435911219004682</v>
      </c>
      <c r="D286" s="14" t="n">
        <f aca="false">D285/D280</f>
        <v>0.471830022016499</v>
      </c>
      <c r="E286" s="14" t="n">
        <f aca="false">E285/E280</f>
        <v>0.47089342854332</v>
      </c>
      <c r="F286" s="14" t="n">
        <f aca="false">F285/F280</f>
        <v>0.468382157963759</v>
      </c>
      <c r="G286" s="14" t="n">
        <f aca="false">G285/G280</f>
        <v>0.458126550198713</v>
      </c>
    </row>
    <row r="287" customFormat="false" ht="15" hidden="false" customHeight="false" outlineLevel="0" collapsed="false">
      <c r="A287" s="4" t="s">
        <v>437</v>
      </c>
      <c r="B287" s="4" t="s">
        <v>226</v>
      </c>
      <c r="C287" s="11" t="n">
        <f aca="false">a25_ni</f>
        <v>2140</v>
      </c>
      <c r="D287" s="11" t="n">
        <f aca="false">D285*nioi</f>
        <v>3028.38560006365</v>
      </c>
      <c r="E287" s="11" t="n">
        <f aca="false">E285*nioi</f>
        <v>2970.36986482936</v>
      </c>
      <c r="F287" s="11" t="n">
        <f aca="false">F285*nioi</f>
        <v>2824.23204816925</v>
      </c>
      <c r="G287" s="11" t="n">
        <f aca="false">G285*nioi</f>
        <v>2340.81290024898</v>
      </c>
    </row>
    <row r="288" customFormat="false" ht="15" hidden="false" customHeight="false" outlineLevel="0" collapsed="false">
      <c r="A288" s="0" t="s">
        <v>438</v>
      </c>
      <c r="B288" s="0" t="s">
        <v>302</v>
      </c>
      <c r="C288" s="11" t="n">
        <f aca="false">a25_eps</f>
        <v>2231.7</v>
      </c>
      <c r="D288" s="11" t="n">
        <f aca="false">D287*100/shares</f>
        <v>3158.15333815983</v>
      </c>
      <c r="E288" s="11" t="n">
        <f aca="false">E287*100/shares</f>
        <v>3097.6516015606</v>
      </c>
      <c r="F288" s="11" t="n">
        <f aca="false">F287*100/shares</f>
        <v>2945.25171116791</v>
      </c>
      <c r="G288" s="11" t="n">
        <f aca="false">G287*100/shares</f>
        <v>2441.11782686245</v>
      </c>
    </row>
    <row r="289" customFormat="false" ht="17.15" hidden="false" customHeight="false" outlineLevel="0" collapsed="false">
      <c r="A289" s="4" t="s">
        <v>471</v>
      </c>
      <c r="B289" s="4" t="s">
        <v>226</v>
      </c>
      <c r="C289" s="11" t="n">
        <f aca="false">$C279*C270</f>
        <v>9004.3989362985</v>
      </c>
      <c r="D289" s="11" t="n">
        <f aca="false">$C279*D270</f>
        <v>9948.86294467556</v>
      </c>
      <c r="E289" s="11" t="n">
        <f aca="false">$C279*E270</f>
        <v>11155.3425514913</v>
      </c>
      <c r="F289" s="11" t="n">
        <f aca="false">$C279*F270</f>
        <v>8809.14328739094</v>
      </c>
      <c r="G289" s="11" t="n">
        <f aca="false">$C279*G270</f>
        <v>4014.72019608327</v>
      </c>
      <c r="I289" s="4" t="s">
        <v>472</v>
      </c>
    </row>
    <row r="290" customFormat="false" ht="15" hidden="false" customHeight="false" outlineLevel="0" collapsed="false">
      <c r="A290" s="4" t="s">
        <v>473</v>
      </c>
      <c r="B290" s="0" t="s">
        <v>333</v>
      </c>
      <c r="C290" s="11" t="n">
        <f aca="false">C289/fx*100</f>
        <v>634.112601147782</v>
      </c>
      <c r="D290" s="11" t="n">
        <f aca="false">D289/fx*100</f>
        <v>700.62415103349</v>
      </c>
      <c r="E290" s="11" t="n">
        <f aca="false">E289/fx*100</f>
        <v>785.58750362615</v>
      </c>
      <c r="F290" s="11" t="n">
        <f aca="false">F289/fx*100</f>
        <v>620.36220333739</v>
      </c>
      <c r="G290" s="11" t="n">
        <f aca="false">G289/fx*100</f>
        <v>282.726774372061</v>
      </c>
    </row>
    <row r="300" customFormat="false" ht="17.15" hidden="false" customHeight="false" outlineLevel="0" collapsed="false">
      <c r="A300" s="1" t="s">
        <v>666</v>
      </c>
    </row>
    <row r="301" customFormat="false" ht="15" hidden="false" customHeight="false" outlineLevel="0" collapsed="false">
      <c r="A301" s="5" t="s">
        <v>14</v>
      </c>
      <c r="B301" s="5" t="s">
        <v>15</v>
      </c>
      <c r="C301" s="9" t="s">
        <v>401</v>
      </c>
      <c r="D301" s="9" t="s">
        <v>402</v>
      </c>
      <c r="E301" s="9" t="s">
        <v>403</v>
      </c>
      <c r="F301" s="9" t="s">
        <v>404</v>
      </c>
      <c r="G301" s="9" t="s">
        <v>405</v>
      </c>
      <c r="H301" s="9" t="s">
        <v>406</v>
      </c>
      <c r="I301" s="5" t="s">
        <v>407</v>
      </c>
    </row>
    <row r="302" customFormat="false" ht="17.15" hidden="false" customHeight="false" outlineLevel="0" collapsed="false">
      <c r="A302" s="6" t="s">
        <v>441</v>
      </c>
    </row>
    <row r="303" customFormat="false" ht="17.15" hidden="false" customHeight="false" outlineLevel="0" collapsed="false">
      <c r="A303" s="0" t="s">
        <v>442</v>
      </c>
      <c r="B303" s="0" t="s">
        <v>25</v>
      </c>
      <c r="C303" s="17" t="n">
        <f aca="false">hsA_25</f>
        <v>2.22511470588235</v>
      </c>
      <c r="D303" s="17" t="n">
        <f aca="false">hsA_26</f>
        <v>3.782695</v>
      </c>
      <c r="E303" s="17" t="n">
        <f aca="false">hsA_27</f>
        <v>5.86317725</v>
      </c>
      <c r="F303" s="17" t="n">
        <f aca="false">hsA_28</f>
        <v>8.5016070125</v>
      </c>
      <c r="G303" s="17" t="n">
        <f aca="false">hsA_29</f>
        <v>11.477169466875</v>
      </c>
      <c r="H303" s="17" t="n">
        <f aca="false">G303*(1+g_tail)</f>
        <v>12.6248864135625</v>
      </c>
      <c r="I303" s="8" t="s">
        <v>443</v>
      </c>
    </row>
    <row r="304" customFormat="false" ht="17.15" hidden="false" customHeight="false" outlineLevel="0" collapsed="false">
      <c r="A304" s="0" t="s">
        <v>444</v>
      </c>
      <c r="B304" s="0" t="s">
        <v>445</v>
      </c>
      <c r="C304" s="15" t="n">
        <f aca="false">den_25</f>
        <v>24</v>
      </c>
      <c r="D304" s="15" t="n">
        <f aca="false">den_26</f>
        <v>24</v>
      </c>
      <c r="E304" s="15" t="n">
        <f aca="false">den_27</f>
        <v>26</v>
      </c>
      <c r="F304" s="15" t="n">
        <f aca="false">den_28</f>
        <v>28</v>
      </c>
      <c r="G304" s="15" t="n">
        <f aca="false">den_29</f>
        <v>30</v>
      </c>
      <c r="H304" s="15" t="n">
        <f aca="false">den_30</f>
        <v>32</v>
      </c>
    </row>
    <row r="305" customFormat="false" ht="17.15" hidden="false" customHeight="false" outlineLevel="0" collapsed="false">
      <c r="A305" s="4" t="s">
        <v>446</v>
      </c>
      <c r="B305" s="4" t="s">
        <v>411</v>
      </c>
      <c r="C305" s="11" t="n">
        <f aca="false">C303*8000/C304</f>
        <v>741.704901960783</v>
      </c>
      <c r="D305" s="11" t="n">
        <f aca="false">D303*8000/D304</f>
        <v>1260.89833333333</v>
      </c>
      <c r="E305" s="11" t="n">
        <f aca="false">E303*8000/E304</f>
        <v>1804.05453846154</v>
      </c>
      <c r="F305" s="11" t="n">
        <f aca="false">F303*8000/F304</f>
        <v>2429.030575</v>
      </c>
      <c r="G305" s="11" t="n">
        <f aca="false">G303*8000/G304</f>
        <v>3060.5785245</v>
      </c>
      <c r="H305" s="11" t="n">
        <f aca="false">H303*8000/H304</f>
        <v>3156.22160339063</v>
      </c>
      <c r="I305" s="8" t="s">
        <v>447</v>
      </c>
    </row>
    <row r="306" customFormat="false" ht="15" hidden="false" customHeight="false" outlineLevel="0" collapsed="false">
      <c r="A306" s="4" t="s">
        <v>448</v>
      </c>
      <c r="B306" s="4" t="s">
        <v>89</v>
      </c>
      <c r="C306" s="15" t="n">
        <f aca="false">stk_25</f>
        <v>10</v>
      </c>
      <c r="D306" s="15" t="n">
        <f aca="false">stk_26</f>
        <v>12</v>
      </c>
      <c r="E306" s="15" t="n">
        <f aca="false">stk_27</f>
        <v>12.5</v>
      </c>
      <c r="F306" s="15" t="n">
        <f aca="false">stk_28</f>
        <v>14</v>
      </c>
      <c r="G306" s="15" t="n">
        <f aca="false">stk_29</f>
        <v>15</v>
      </c>
      <c r="H306" s="15" t="n">
        <f aca="false">stk_30</f>
        <v>16</v>
      </c>
    </row>
    <row r="307" customFormat="false" ht="15" hidden="false" customHeight="false" outlineLevel="0" collapsed="false">
      <c r="A307" s="4" t="s">
        <v>449</v>
      </c>
      <c r="B307" s="0" t="s">
        <v>109</v>
      </c>
      <c r="C307" s="18" t="n">
        <f aca="false">1+beta*(C306-$C306)/4</f>
        <v>1</v>
      </c>
      <c r="D307" s="18" t="n">
        <f aca="false">1+beta*(D306-$C306)/4</f>
        <v>1.05</v>
      </c>
      <c r="E307" s="18" t="n">
        <f aca="false">1+beta*(E306-$C306)/4</f>
        <v>1.0625</v>
      </c>
      <c r="F307" s="18" t="n">
        <f aca="false">1+beta*(F306-$C306)/4</f>
        <v>1.1</v>
      </c>
      <c r="G307" s="18" t="n">
        <f aca="false">1+beta*(G306-$C306)/4</f>
        <v>1.125</v>
      </c>
      <c r="H307" s="18" t="n">
        <f aca="false">1+beta*(H306-$C306)/4</f>
        <v>1.15</v>
      </c>
    </row>
    <row r="308" customFormat="false" ht="15" hidden="false" customHeight="false" outlineLevel="0" collapsed="false">
      <c r="A308" s="4" t="s">
        <v>450</v>
      </c>
      <c r="B308" s="0" t="s">
        <v>62</v>
      </c>
      <c r="C308" s="14" t="n">
        <f aca="false">hbp_25_hi</f>
        <v>0</v>
      </c>
      <c r="D308" s="14" t="n">
        <f aca="false">hbp_26_hi</f>
        <v>0</v>
      </c>
      <c r="E308" s="14" t="n">
        <f aca="false">hbp_27_hi</f>
        <v>0.05</v>
      </c>
      <c r="F308" s="14" t="n">
        <f aca="false">hbp_28_hi</f>
        <v>0.15</v>
      </c>
      <c r="G308" s="14" t="n">
        <f aca="false">hbp_29_hi</f>
        <v>0.3</v>
      </c>
      <c r="H308" s="14" t="n">
        <f aca="false">hbp_30_hi</f>
        <v>0.4</v>
      </c>
    </row>
    <row r="309" customFormat="false" ht="17.15" hidden="false" customHeight="false" outlineLevel="0" collapsed="false">
      <c r="A309" s="0" t="s">
        <v>452</v>
      </c>
      <c r="B309" s="4" t="s">
        <v>413</v>
      </c>
      <c r="C309" s="11" t="n">
        <f aca="false">C305*C307*(1-C308)</f>
        <v>741.704901960783</v>
      </c>
      <c r="D309" s="11" t="n">
        <f aca="false">D305*D307*(1-D308)</f>
        <v>1323.94325</v>
      </c>
      <c r="E309" s="11" t="n">
        <f aca="false">E305*E307*(1-E308)</f>
        <v>1820.96754975962</v>
      </c>
      <c r="F309" s="11" t="n">
        <f aca="false">F305*F307*(1-F308)</f>
        <v>2271.143587625</v>
      </c>
      <c r="G309" s="11" t="n">
        <f aca="false">G305*G307*(1-G308)</f>
        <v>2410.20558804375</v>
      </c>
      <c r="H309" s="11" t="n">
        <f aca="false">H305*H307*(1-H308)</f>
        <v>2177.79290633953</v>
      </c>
    </row>
    <row r="310" customFormat="false" ht="17.15" hidden="false" customHeight="false" outlineLevel="0" collapsed="false">
      <c r="A310" s="4" t="s">
        <v>453</v>
      </c>
      <c r="B310" s="4" t="s">
        <v>413</v>
      </c>
      <c r="C310" s="11" t="n">
        <f aca="false">MAX(0,D309-C309)+dlt*C309</f>
        <v>656.408838235295</v>
      </c>
      <c r="D310" s="11" t="n">
        <f aca="false">MAX(0,E309-D309)+dlt*D309</f>
        <v>629.418624759615</v>
      </c>
      <c r="E310" s="11" t="n">
        <f aca="false">MAX(0,F309-E309)+dlt*E309</f>
        <v>632.272792841346</v>
      </c>
      <c r="F310" s="11" t="n">
        <f aca="false">MAX(0,G309-F309)+dlt*F309</f>
        <v>366.17635918125</v>
      </c>
      <c r="G310" s="11" t="n">
        <f aca="false">MAX(0,H309-G309)+dlt*G309</f>
        <v>241.020558804375</v>
      </c>
      <c r="I310" s="4" t="s">
        <v>454</v>
      </c>
    </row>
    <row r="311" customFormat="false" ht="17.15" hidden="false" customHeight="false" outlineLevel="0" collapsed="false">
      <c r="A311" s="0" t="s">
        <v>455</v>
      </c>
      <c r="B311" s="0" t="s">
        <v>62</v>
      </c>
      <c r="C311" s="14" t="n">
        <f aca="false">ms_sk_26/(ms_sk_26+ms_ss_26+ms_mu_26)</f>
        <v>0.52</v>
      </c>
      <c r="D311" s="14" t="n">
        <f aca="false">ms_sk_27/(ms_sk_27+ms_ss_27+ms_mu_27)</f>
        <v>0.42</v>
      </c>
      <c r="E311" s="14" t="n">
        <f aca="false">ms_sk_28/(ms_sk_28+ms_ss_28+ms_mu_28)</f>
        <v>0.4</v>
      </c>
      <c r="F311" s="14" t="n">
        <f aca="false">ms_sk_29/(ms_sk_29+ms_ss_29+ms_mu_29)</f>
        <v>0.4</v>
      </c>
      <c r="G311" s="14" t="n">
        <f aca="false">ms_sk_29/(ms_sk_29+ms_ss_29+ms_mu_29)</f>
        <v>0.4</v>
      </c>
    </row>
    <row r="312" customFormat="false" ht="17.15" hidden="false" customHeight="false" outlineLevel="0" collapsed="false">
      <c r="A312" s="4" t="s">
        <v>456</v>
      </c>
      <c r="B312" s="0" t="s">
        <v>62</v>
      </c>
      <c r="C312" s="14" t="n">
        <f aca="false">ms_ss_26/(ms_sk_26+ms_ss_26+ms_mu_26)</f>
        <v>0.29</v>
      </c>
      <c r="D312" s="14" t="n">
        <f aca="false">ms_ss_27/(ms_sk_27+ms_ss_27+ms_mu_27)</f>
        <v>0.38</v>
      </c>
      <c r="E312" s="14" t="n">
        <f aca="false">ms_ss_28/(ms_sk_28+ms_ss_28+ms_mu_28)</f>
        <v>0.4</v>
      </c>
      <c r="F312" s="14" t="n">
        <f aca="false">ms_ss_29/(ms_sk_29+ms_ss_29+ms_mu_29)</f>
        <v>0.4</v>
      </c>
      <c r="G312" s="14" t="n">
        <f aca="false">ms_ss_29/(ms_sk_29+ms_ss_29+ms_mu_29)</f>
        <v>0.4</v>
      </c>
    </row>
    <row r="313" customFormat="false" ht="17.15" hidden="false" customHeight="false" outlineLevel="0" collapsed="false">
      <c r="A313" s="4" t="s">
        <v>457</v>
      </c>
      <c r="B313" s="0" t="s">
        <v>62</v>
      </c>
      <c r="C313" s="14" t="n">
        <f aca="false">ms_mu_26/(ms_sk_26+ms_ss_26+ms_mu_26)</f>
        <v>0.19</v>
      </c>
      <c r="D313" s="14" t="n">
        <f aca="false">ms_mu_27/(ms_sk_27+ms_ss_27+ms_mu_27)</f>
        <v>0.2</v>
      </c>
      <c r="E313" s="14" t="n">
        <f aca="false">ms_mu_28/(ms_sk_28+ms_ss_28+ms_mu_28)</f>
        <v>0.2</v>
      </c>
      <c r="F313" s="14" t="n">
        <f aca="false">ms_mu_29/(ms_sk_29+ms_ss_29+ms_mu_29)</f>
        <v>0.2</v>
      </c>
      <c r="G313" s="14" t="n">
        <f aca="false">ms_mu_29/(ms_sk_29+ms_ss_29+ms_mu_29)</f>
        <v>0.2</v>
      </c>
    </row>
    <row r="314" customFormat="false" ht="17.15" hidden="false" customHeight="false" outlineLevel="0" collapsed="false">
      <c r="A314" s="4" t="s">
        <v>458</v>
      </c>
      <c r="B314" s="0" t="s">
        <v>62</v>
      </c>
      <c r="C314" s="14" t="n">
        <f aca="false">C311*hsk_25+C312*hss+C313*hmu_25</f>
        <v>0.412</v>
      </c>
      <c r="D314" s="14" t="n">
        <f aca="false">D311*hsk_A+D312*hss+D313*hmu_A</f>
        <v>0.339</v>
      </c>
      <c r="E314" s="14" t="n">
        <f aca="false">E311*hsk_A+E312*hss+E313*hmu_A</f>
        <v>0.33</v>
      </c>
      <c r="F314" s="14" t="n">
        <f aca="false">F311*hsk_A+F312*hss+F313*hmu_A</f>
        <v>0.33</v>
      </c>
      <c r="G314" s="14" t="n">
        <f aca="false">G311*hsk_A+G312*hss+G313*hmu_A</f>
        <v>0.33</v>
      </c>
    </row>
    <row r="315" customFormat="false" ht="17.15" hidden="false" customHeight="false" outlineLevel="0" collapsed="false">
      <c r="A315" s="4" t="s">
        <v>459</v>
      </c>
      <c r="B315" s="4" t="s">
        <v>413</v>
      </c>
      <c r="C315" s="11" t="n">
        <f aca="false">C310*C314</f>
        <v>270.440441352942</v>
      </c>
      <c r="D315" s="11" t="n">
        <f aca="false">D310*D314</f>
        <v>213.37291379351</v>
      </c>
      <c r="E315" s="11" t="n">
        <f aca="false">E310*E314</f>
        <v>208.650021637644</v>
      </c>
      <c r="F315" s="11" t="n">
        <f aca="false">F310*F314</f>
        <v>120.838198529813</v>
      </c>
      <c r="G315" s="11" t="n">
        <f aca="false">G310*G314</f>
        <v>79.5367844054438</v>
      </c>
    </row>
    <row r="316" customFormat="false" ht="17.15" hidden="false" customHeight="false" outlineLevel="0" collapsed="false">
      <c r="A316" s="6" t="s">
        <v>460</v>
      </c>
    </row>
    <row r="317" customFormat="false" ht="17.15" hidden="false" customHeight="false" outlineLevel="0" collapsed="false">
      <c r="A317" s="4" t="s">
        <v>461</v>
      </c>
      <c r="B317" s="4" t="s">
        <v>226</v>
      </c>
      <c r="C317" s="11" t="n">
        <f aca="false">a25_rev-a25_hbm</f>
        <v>2895.034</v>
      </c>
      <c r="D317" s="11" t="n">
        <f aca="false">C317*(1+g_o26)</f>
        <v>3329.2891</v>
      </c>
      <c r="E317" s="11" t="n">
        <f aca="false">D317*(1+g_o_A)</f>
        <v>3728.803792</v>
      </c>
      <c r="F317" s="11" t="n">
        <f aca="false">E317*(1+g_o_A)</f>
        <v>4176.26024704</v>
      </c>
      <c r="G317" s="11" t="n">
        <f aca="false">F317*(1+g_o_A)</f>
        <v>4677.4114766848</v>
      </c>
    </row>
    <row r="318" customFormat="false" ht="17.15" hidden="false" customHeight="false" outlineLevel="0" collapsed="false">
      <c r="A318" s="0" t="s">
        <v>462</v>
      </c>
      <c r="B318" s="4" t="s">
        <v>226</v>
      </c>
      <c r="C318" s="11" t="n">
        <f aca="false">a25_hbm</f>
        <v>2871.966</v>
      </c>
      <c r="D318" s="11" t="n">
        <f aca="false">rev26-D317</f>
        <v>4210.5109</v>
      </c>
      <c r="E318" s="11" t="n">
        <f aca="false">$C319*E315</f>
        <v>3054.39885590962</v>
      </c>
      <c r="F318" s="11" t="n">
        <f aca="false">$C319*F315</f>
        <v>1768.93370267952</v>
      </c>
      <c r="G318" s="11" t="n">
        <f aca="false">$C319*G315</f>
        <v>1164.32800430099</v>
      </c>
      <c r="I318" s="8" t="s">
        <v>463</v>
      </c>
    </row>
    <row r="319" customFormat="false" ht="17.15" hidden="false" customHeight="false" outlineLevel="0" collapsed="false">
      <c r="A319" s="4" t="s">
        <v>464</v>
      </c>
      <c r="B319" s="4" t="s">
        <v>465</v>
      </c>
      <c r="C319" s="18" t="n">
        <f aca="false">(C318+D318)/(C315+D315)</f>
        <v>14.6388619178487</v>
      </c>
      <c r="I319" s="4" t="s">
        <v>466</v>
      </c>
    </row>
    <row r="320" customFormat="false" ht="15" hidden="false" customHeight="false" outlineLevel="0" collapsed="false">
      <c r="A320" s="4" t="s">
        <v>366</v>
      </c>
      <c r="B320" s="4" t="s">
        <v>226</v>
      </c>
      <c r="C320" s="11" t="n">
        <f aca="false">a25_rev</f>
        <v>5767</v>
      </c>
      <c r="D320" s="11" t="n">
        <f aca="false">D317+D318</f>
        <v>7539.8</v>
      </c>
      <c r="E320" s="11" t="n">
        <f aca="false">E317+E318</f>
        <v>6783.20264790962</v>
      </c>
      <c r="F320" s="11" t="n">
        <f aca="false">F317+F318</f>
        <v>5945.19394971952</v>
      </c>
      <c r="G320" s="11" t="n">
        <f aca="false">G317+G318</f>
        <v>5841.7394809858</v>
      </c>
    </row>
    <row r="321" customFormat="false" ht="17.15" hidden="false" customHeight="false" outlineLevel="0" collapsed="false">
      <c r="A321" s="0" t="s">
        <v>467</v>
      </c>
      <c r="B321" s="0" t="s">
        <v>62</v>
      </c>
      <c r="C321" s="14" t="n">
        <f aca="false">C318/C320</f>
        <v>0.498</v>
      </c>
      <c r="D321" s="14" t="n">
        <f aca="false">D318/D320</f>
        <v>0.558438008965755</v>
      </c>
      <c r="E321" s="14" t="n">
        <f aca="false">E318/E320</f>
        <v>0.450288604727281</v>
      </c>
      <c r="F321" s="14" t="n">
        <f aca="false">F318/F320</f>
        <v>0.297540116880959</v>
      </c>
      <c r="G321" s="14" t="n">
        <f aca="false">G318/G320</f>
        <v>0.199311867311227</v>
      </c>
    </row>
    <row r="322" customFormat="false" ht="17.15" hidden="false" customHeight="false" outlineLevel="0" collapsed="false">
      <c r="A322" s="4" t="s">
        <v>468</v>
      </c>
      <c r="B322" s="4" t="s">
        <v>226</v>
      </c>
      <c r="C322" s="11" t="n">
        <f aca="false">opex25</f>
        <v>806.7</v>
      </c>
      <c r="D322" s="11" t="n">
        <f aca="false">opex_fix+opex_var*D320</f>
        <v>930.691482573261</v>
      </c>
      <c r="E322" s="11" t="n">
        <f aca="false">opex_fix+opex_var*E320</f>
        <v>877.774273978558</v>
      </c>
      <c r="F322" s="11" t="n">
        <f aca="false">opex_fix+opex_var*F320</f>
        <v>819.163070854754</v>
      </c>
      <c r="G322" s="11" t="n">
        <f aca="false">opex_fix+opex_var*G320</f>
        <v>811.927357318471</v>
      </c>
      <c r="I322" s="4" t="s">
        <v>469</v>
      </c>
    </row>
    <row r="323" customFormat="false" ht="17.15" hidden="false" customHeight="false" outlineLevel="0" collapsed="false">
      <c r="A323" s="4" t="s">
        <v>436</v>
      </c>
      <c r="B323" s="0" t="s">
        <v>62</v>
      </c>
      <c r="C323" s="14" t="n">
        <f aca="false">a25_gp/a25_rev</f>
        <v>0.575793306745275</v>
      </c>
      <c r="D323" s="14" t="n">
        <f aca="false">(oi26+D322)/D320</f>
        <v>0.595267179842073</v>
      </c>
      <c r="E323" s="14" t="n">
        <f aca="false">$D323+0</f>
        <v>0.595267179842073</v>
      </c>
      <c r="F323" s="14" t="n">
        <f aca="false">$D323+0</f>
        <v>0.595267179842073</v>
      </c>
      <c r="G323" s="14" t="n">
        <f aca="false">$D323+0</f>
        <v>0.595267179842073</v>
      </c>
      <c r="I323" s="8" t="s">
        <v>470</v>
      </c>
    </row>
    <row r="324" customFormat="false" ht="15" hidden="false" customHeight="false" outlineLevel="0" collapsed="false">
      <c r="A324" s="4" t="s">
        <v>371</v>
      </c>
      <c r="B324" s="4" t="s">
        <v>226</v>
      </c>
      <c r="C324" s="11" t="n">
        <f aca="false">C320*C323</f>
        <v>3320.6</v>
      </c>
      <c r="D324" s="11" t="n">
        <f aca="false">D320*D323</f>
        <v>4488.19548257326</v>
      </c>
      <c r="E324" s="11" t="n">
        <f aca="false">E320*E323</f>
        <v>4037.81791051844</v>
      </c>
      <c r="F324" s="11" t="n">
        <f aca="false">F320*F323</f>
        <v>3538.97883606369</v>
      </c>
      <c r="G324" s="11" t="n">
        <f aca="false">G320*G323</f>
        <v>3477.39578621851</v>
      </c>
    </row>
    <row r="325" customFormat="false" ht="15" hidden="false" customHeight="false" outlineLevel="0" collapsed="false">
      <c r="A325" s="4" t="s">
        <v>374</v>
      </c>
      <c r="B325" s="4" t="s">
        <v>226</v>
      </c>
      <c r="C325" s="11" t="n">
        <f aca="false">a25_oi</f>
        <v>2513.9</v>
      </c>
      <c r="D325" s="11" t="n">
        <f aca="false">oi26</f>
        <v>3557.504</v>
      </c>
      <c r="E325" s="11" t="n">
        <f aca="false">E324-E322</f>
        <v>3160.04363653988</v>
      </c>
      <c r="F325" s="11" t="n">
        <f aca="false">F324-F322</f>
        <v>2719.81576520894</v>
      </c>
      <c r="G325" s="11" t="n">
        <f aca="false">G324-G322</f>
        <v>2665.46842890004</v>
      </c>
    </row>
    <row r="326" customFormat="false" ht="15" hidden="false" customHeight="false" outlineLevel="0" collapsed="false">
      <c r="A326" s="4" t="s">
        <v>377</v>
      </c>
      <c r="B326" s="0" t="s">
        <v>62</v>
      </c>
      <c r="C326" s="14" t="n">
        <f aca="false">C325/C320</f>
        <v>0.435911219004682</v>
      </c>
      <c r="D326" s="14" t="n">
        <f aca="false">D325/D320</f>
        <v>0.471830022016499</v>
      </c>
      <c r="E326" s="14" t="n">
        <f aca="false">E325/E320</f>
        <v>0.46586307391446</v>
      </c>
      <c r="F326" s="14" t="n">
        <f aca="false">F325/F320</f>
        <v>0.457481419144829</v>
      </c>
      <c r="G326" s="14" t="n">
        <f aca="false">G325/G320</f>
        <v>0.45627992100227</v>
      </c>
    </row>
    <row r="327" customFormat="false" ht="15" hidden="false" customHeight="false" outlineLevel="0" collapsed="false">
      <c r="A327" s="4" t="s">
        <v>437</v>
      </c>
      <c r="B327" s="4" t="s">
        <v>226</v>
      </c>
      <c r="C327" s="11" t="n">
        <f aca="false">a25_ni</f>
        <v>2140</v>
      </c>
      <c r="D327" s="11" t="n">
        <f aca="false">D325*nioi</f>
        <v>3028.38560006365</v>
      </c>
      <c r="E327" s="11" t="n">
        <f aca="false">E325*nioi</f>
        <v>2690.04072643914</v>
      </c>
      <c r="F327" s="11" t="n">
        <f aca="false">F325*nioi</f>
        <v>2315.28928658544</v>
      </c>
      <c r="G327" s="11" t="n">
        <f aca="false">G325*nioi</f>
        <v>2269.02519505393</v>
      </c>
    </row>
    <row r="328" customFormat="false" ht="15" hidden="false" customHeight="false" outlineLevel="0" collapsed="false">
      <c r="A328" s="0" t="s">
        <v>438</v>
      </c>
      <c r="B328" s="0" t="s">
        <v>302</v>
      </c>
      <c r="C328" s="11" t="n">
        <f aca="false">a25_eps</f>
        <v>2231.7</v>
      </c>
      <c r="D328" s="11" t="n">
        <f aca="false">D327*100/shares</f>
        <v>3158.15333815983</v>
      </c>
      <c r="E328" s="11" t="n">
        <f aca="false">E327*100/shares</f>
        <v>2805.31022859543</v>
      </c>
      <c r="F328" s="11" t="n">
        <f aca="false">F327*100/shares</f>
        <v>2414.5005144265</v>
      </c>
      <c r="G328" s="11" t="n">
        <f aca="false">G327*100/shares</f>
        <v>2366.25398495414</v>
      </c>
    </row>
    <row r="329" customFormat="false" ht="17.15" hidden="false" customHeight="false" outlineLevel="0" collapsed="false">
      <c r="A329" s="4" t="s">
        <v>471</v>
      </c>
      <c r="B329" s="4" t="s">
        <v>226</v>
      </c>
      <c r="C329" s="11" t="n">
        <f aca="false">$C319*C310</f>
        <v>9609.07834458198</v>
      </c>
      <c r="D329" s="11" t="n">
        <f aca="false">$C319*D310</f>
        <v>9213.97233637824</v>
      </c>
      <c r="E329" s="11" t="n">
        <f aca="false">$C319*E310</f>
        <v>9255.75410881703</v>
      </c>
      <c r="F329" s="11" t="n">
        <f aca="false">$C319*F310</f>
        <v>5360.4051596349</v>
      </c>
      <c r="G329" s="11" t="n">
        <f aca="false">$C319*G310</f>
        <v>3528.26667969998</v>
      </c>
      <c r="I329" s="4" t="s">
        <v>472</v>
      </c>
    </row>
    <row r="330" customFormat="false" ht="15" hidden="false" customHeight="false" outlineLevel="0" collapsed="false">
      <c r="A330" s="4" t="s">
        <v>473</v>
      </c>
      <c r="B330" s="0" t="s">
        <v>333</v>
      </c>
      <c r="C330" s="11" t="n">
        <f aca="false">C329/fx*100</f>
        <v>676.695658069153</v>
      </c>
      <c r="D330" s="11" t="n">
        <f aca="false">D329/fx*100</f>
        <v>648.871291294242</v>
      </c>
      <c r="E330" s="11" t="n">
        <f aca="false">E329/fx*100</f>
        <v>651.813669635002</v>
      </c>
      <c r="F330" s="11" t="n">
        <f aca="false">F329/fx*100</f>
        <v>377.493321101049</v>
      </c>
      <c r="G330" s="11" t="n">
        <f aca="false">G329/fx*100</f>
        <v>248.469484485914</v>
      </c>
    </row>
    <row r="340" customFormat="false" ht="17.15" hidden="false" customHeight="false" outlineLevel="0" collapsed="false">
      <c r="A340" s="1" t="s">
        <v>667</v>
      </c>
    </row>
    <row r="341" customFormat="false" ht="15" hidden="false" customHeight="false" outlineLevel="0" collapsed="false">
      <c r="A341" s="5" t="s">
        <v>14</v>
      </c>
      <c r="B341" s="5" t="s">
        <v>15</v>
      </c>
      <c r="C341" s="9" t="s">
        <v>401</v>
      </c>
      <c r="D341" s="9" t="s">
        <v>402</v>
      </c>
      <c r="E341" s="9" t="s">
        <v>403</v>
      </c>
      <c r="F341" s="9" t="s">
        <v>404</v>
      </c>
      <c r="G341" s="9" t="s">
        <v>405</v>
      </c>
      <c r="H341" s="9" t="s">
        <v>406</v>
      </c>
      <c r="I341" s="5" t="s">
        <v>407</v>
      </c>
    </row>
    <row r="342" customFormat="false" ht="17.15" hidden="false" customHeight="false" outlineLevel="0" collapsed="false">
      <c r="A342" s="6" t="s">
        <v>441</v>
      </c>
    </row>
    <row r="343" customFormat="false" ht="17.15" hidden="false" customHeight="false" outlineLevel="0" collapsed="false">
      <c r="A343" s="0" t="s">
        <v>442</v>
      </c>
      <c r="B343" s="0" t="s">
        <v>25</v>
      </c>
      <c r="C343" s="17" t="n">
        <f aca="false">hsA_25</f>
        <v>2.22511470588235</v>
      </c>
      <c r="D343" s="17" t="n">
        <f aca="false">hsA_26</f>
        <v>3.782695</v>
      </c>
      <c r="E343" s="17" t="n">
        <f aca="false">hsA_27</f>
        <v>5.86317725</v>
      </c>
      <c r="F343" s="17" t="n">
        <f aca="false">hsA_28</f>
        <v>8.5016070125</v>
      </c>
      <c r="G343" s="17" t="n">
        <f aca="false">hsA_29</f>
        <v>11.477169466875</v>
      </c>
      <c r="H343" s="17" t="n">
        <f aca="false">G343*(1+g_tail)</f>
        <v>12.6248864135625</v>
      </c>
      <c r="I343" s="8" t="s">
        <v>443</v>
      </c>
    </row>
    <row r="344" customFormat="false" ht="17.15" hidden="false" customHeight="false" outlineLevel="0" collapsed="false">
      <c r="A344" s="0" t="s">
        <v>444</v>
      </c>
      <c r="B344" s="0" t="s">
        <v>445</v>
      </c>
      <c r="C344" s="15" t="n">
        <f aca="false">den_25_lo</f>
        <v>22</v>
      </c>
      <c r="D344" s="15" t="n">
        <f aca="false">den_26_lo</f>
        <v>24</v>
      </c>
      <c r="E344" s="15" t="n">
        <f aca="false">den_27_lo</f>
        <v>24</v>
      </c>
      <c r="F344" s="15" t="n">
        <f aca="false">den_28_lo</f>
        <v>24</v>
      </c>
      <c r="G344" s="15" t="n">
        <f aca="false">den_29_lo</f>
        <v>26</v>
      </c>
      <c r="H344" s="15" t="n">
        <f aca="false">den_30_lo</f>
        <v>28</v>
      </c>
    </row>
    <row r="345" customFormat="false" ht="17.15" hidden="false" customHeight="false" outlineLevel="0" collapsed="false">
      <c r="A345" s="4" t="s">
        <v>446</v>
      </c>
      <c r="B345" s="4" t="s">
        <v>411</v>
      </c>
      <c r="C345" s="11" t="n">
        <f aca="false">C343*8000/C344</f>
        <v>809.132620320855</v>
      </c>
      <c r="D345" s="11" t="n">
        <f aca="false">D343*8000/D344</f>
        <v>1260.89833333333</v>
      </c>
      <c r="E345" s="11" t="n">
        <f aca="false">E343*8000/E344</f>
        <v>1954.39241666667</v>
      </c>
      <c r="F345" s="11" t="n">
        <f aca="false">F343*8000/F344</f>
        <v>2833.86900416667</v>
      </c>
      <c r="G345" s="11" t="n">
        <f aca="false">G343*8000/G344</f>
        <v>3531.43675903846</v>
      </c>
      <c r="H345" s="11" t="n">
        <f aca="false">H343*8000/H344</f>
        <v>3607.110403875</v>
      </c>
      <c r="I345" s="8" t="s">
        <v>447</v>
      </c>
    </row>
    <row r="346" customFormat="false" ht="15" hidden="false" customHeight="false" outlineLevel="0" collapsed="false">
      <c r="A346" s="4" t="s">
        <v>448</v>
      </c>
      <c r="B346" s="4" t="s">
        <v>89</v>
      </c>
      <c r="C346" s="15" t="n">
        <f aca="false">stk_25</f>
        <v>10</v>
      </c>
      <c r="D346" s="15" t="n">
        <f aca="false">stk_26</f>
        <v>12</v>
      </c>
      <c r="E346" s="15" t="n">
        <f aca="false">stk_27</f>
        <v>12.5</v>
      </c>
      <c r="F346" s="15" t="n">
        <f aca="false">stk_28</f>
        <v>14</v>
      </c>
      <c r="G346" s="15" t="n">
        <f aca="false">stk_29</f>
        <v>15</v>
      </c>
      <c r="H346" s="15" t="n">
        <f aca="false">stk_30</f>
        <v>16</v>
      </c>
    </row>
    <row r="347" customFormat="false" ht="15" hidden="false" customHeight="false" outlineLevel="0" collapsed="false">
      <c r="A347" s="4" t="s">
        <v>449</v>
      </c>
      <c r="B347" s="0" t="s">
        <v>109</v>
      </c>
      <c r="C347" s="18" t="n">
        <f aca="false">1+beta*(C346-$C346)/4</f>
        <v>1</v>
      </c>
      <c r="D347" s="18" t="n">
        <f aca="false">1+beta*(D346-$C346)/4</f>
        <v>1.05</v>
      </c>
      <c r="E347" s="18" t="n">
        <f aca="false">1+beta*(E346-$C346)/4</f>
        <v>1.0625</v>
      </c>
      <c r="F347" s="18" t="n">
        <f aca="false">1+beta*(F346-$C346)/4</f>
        <v>1.1</v>
      </c>
      <c r="G347" s="18" t="n">
        <f aca="false">1+beta*(G346-$C346)/4</f>
        <v>1.125</v>
      </c>
      <c r="H347" s="18" t="n">
        <f aca="false">1+beta*(H346-$C346)/4</f>
        <v>1.15</v>
      </c>
    </row>
    <row r="348" customFormat="false" ht="17.15" hidden="false" customHeight="false" outlineLevel="0" collapsed="false">
      <c r="A348" s="4" t="s">
        <v>450</v>
      </c>
      <c r="B348" s="0" t="s">
        <v>62</v>
      </c>
      <c r="C348" s="14" t="n">
        <f aca="false">0</f>
        <v>0</v>
      </c>
      <c r="D348" s="14" t="n">
        <f aca="false">0</f>
        <v>0</v>
      </c>
      <c r="E348" s="14" t="n">
        <f aca="false">0</f>
        <v>0</v>
      </c>
      <c r="F348" s="14" t="n">
        <f aca="false">0</f>
        <v>0</v>
      </c>
      <c r="G348" s="14" t="n">
        <f aca="false">0</f>
        <v>0</v>
      </c>
      <c r="H348" s="14" t="n">
        <f aca="false">0</f>
        <v>0</v>
      </c>
      <c r="I348" s="4" t="s">
        <v>451</v>
      </c>
    </row>
    <row r="349" customFormat="false" ht="17.15" hidden="false" customHeight="false" outlineLevel="0" collapsed="false">
      <c r="A349" s="0" t="s">
        <v>452</v>
      </c>
      <c r="B349" s="4" t="s">
        <v>413</v>
      </c>
      <c r="C349" s="11" t="n">
        <f aca="false">C345*C347*(1-C348)</f>
        <v>809.132620320855</v>
      </c>
      <c r="D349" s="11" t="n">
        <f aca="false">D345*D347*(1-D348)</f>
        <v>1323.94325</v>
      </c>
      <c r="E349" s="11" t="n">
        <f aca="false">E345*E347*(1-E348)</f>
        <v>2076.54194270833</v>
      </c>
      <c r="F349" s="11" t="n">
        <f aca="false">F345*F347*(1-F348)</f>
        <v>3117.25590458333</v>
      </c>
      <c r="G349" s="11" t="n">
        <f aca="false">G345*G347*(1-G348)</f>
        <v>3972.86635391827</v>
      </c>
      <c r="H349" s="11" t="n">
        <f aca="false">H345*H347*(1-H348)</f>
        <v>4148.17696445625</v>
      </c>
    </row>
    <row r="350" customFormat="false" ht="17.15" hidden="false" customHeight="false" outlineLevel="0" collapsed="false">
      <c r="A350" s="4" t="s">
        <v>453</v>
      </c>
      <c r="B350" s="4" t="s">
        <v>413</v>
      </c>
      <c r="C350" s="11" t="n">
        <f aca="false">MAX(0,D349-C349)+dlt*C349</f>
        <v>595.723891711231</v>
      </c>
      <c r="D350" s="11" t="n">
        <f aca="false">MAX(0,E349-D349)+dlt*D349</f>
        <v>884.993017708333</v>
      </c>
      <c r="E350" s="11" t="n">
        <f aca="false">MAX(0,F349-E349)+dlt*E349</f>
        <v>1248.36815614583</v>
      </c>
      <c r="F350" s="11" t="n">
        <f aca="false">MAX(0,G349-F349)+dlt*F349</f>
        <v>1167.33603979327</v>
      </c>
      <c r="G350" s="11" t="n">
        <f aca="false">MAX(0,H349-G349)+dlt*G349</f>
        <v>572.597245929808</v>
      </c>
      <c r="I350" s="4" t="s">
        <v>454</v>
      </c>
    </row>
    <row r="351" customFormat="false" ht="17.15" hidden="false" customHeight="false" outlineLevel="0" collapsed="false">
      <c r="A351" s="0" t="s">
        <v>455</v>
      </c>
      <c r="B351" s="0" t="s">
        <v>62</v>
      </c>
      <c r="C351" s="14" t="n">
        <f aca="false">ms_sk_26/(ms_sk_26+ms_ss_26+ms_mu_26)</f>
        <v>0.52</v>
      </c>
      <c r="D351" s="14" t="n">
        <f aca="false">ms_sk_27/(ms_sk_27+ms_ss_27+ms_mu_27)</f>
        <v>0.42</v>
      </c>
      <c r="E351" s="14" t="n">
        <f aca="false">ms_sk_28/(ms_sk_28+ms_ss_28+ms_mu_28)</f>
        <v>0.4</v>
      </c>
      <c r="F351" s="14" t="n">
        <f aca="false">ms_sk_29/(ms_sk_29+ms_ss_29+ms_mu_29)</f>
        <v>0.4</v>
      </c>
      <c r="G351" s="14" t="n">
        <f aca="false">ms_sk_29/(ms_sk_29+ms_ss_29+ms_mu_29)</f>
        <v>0.4</v>
      </c>
    </row>
    <row r="352" customFormat="false" ht="17.15" hidden="false" customHeight="false" outlineLevel="0" collapsed="false">
      <c r="A352" s="4" t="s">
        <v>456</v>
      </c>
      <c r="B352" s="0" t="s">
        <v>62</v>
      </c>
      <c r="C352" s="14" t="n">
        <f aca="false">ms_ss_26/(ms_sk_26+ms_ss_26+ms_mu_26)</f>
        <v>0.29</v>
      </c>
      <c r="D352" s="14" t="n">
        <f aca="false">ms_ss_27/(ms_sk_27+ms_ss_27+ms_mu_27)</f>
        <v>0.38</v>
      </c>
      <c r="E352" s="14" t="n">
        <f aca="false">ms_ss_28/(ms_sk_28+ms_ss_28+ms_mu_28)</f>
        <v>0.4</v>
      </c>
      <c r="F352" s="14" t="n">
        <f aca="false">ms_ss_29/(ms_sk_29+ms_ss_29+ms_mu_29)</f>
        <v>0.4</v>
      </c>
      <c r="G352" s="14" t="n">
        <f aca="false">ms_ss_29/(ms_sk_29+ms_ss_29+ms_mu_29)</f>
        <v>0.4</v>
      </c>
    </row>
    <row r="353" customFormat="false" ht="17.15" hidden="false" customHeight="false" outlineLevel="0" collapsed="false">
      <c r="A353" s="4" t="s">
        <v>457</v>
      </c>
      <c r="B353" s="0" t="s">
        <v>62</v>
      </c>
      <c r="C353" s="14" t="n">
        <f aca="false">ms_mu_26/(ms_sk_26+ms_ss_26+ms_mu_26)</f>
        <v>0.19</v>
      </c>
      <c r="D353" s="14" t="n">
        <f aca="false">ms_mu_27/(ms_sk_27+ms_ss_27+ms_mu_27)</f>
        <v>0.2</v>
      </c>
      <c r="E353" s="14" t="n">
        <f aca="false">ms_mu_28/(ms_sk_28+ms_ss_28+ms_mu_28)</f>
        <v>0.2</v>
      </c>
      <c r="F353" s="14" t="n">
        <f aca="false">ms_mu_29/(ms_sk_29+ms_ss_29+ms_mu_29)</f>
        <v>0.2</v>
      </c>
      <c r="G353" s="14" t="n">
        <f aca="false">ms_mu_29/(ms_sk_29+ms_ss_29+ms_mu_29)</f>
        <v>0.2</v>
      </c>
    </row>
    <row r="354" customFormat="false" ht="17.15" hidden="false" customHeight="false" outlineLevel="0" collapsed="false">
      <c r="A354" s="4" t="s">
        <v>458</v>
      </c>
      <c r="B354" s="0" t="s">
        <v>62</v>
      </c>
      <c r="C354" s="14" t="n">
        <f aca="false">C351*hsk_25+C352*hss+C353*hmu_25</f>
        <v>0.412</v>
      </c>
      <c r="D354" s="14" t="n">
        <f aca="false">D351*hsk_A+D352*hss+D353*hmu_A</f>
        <v>0.339</v>
      </c>
      <c r="E354" s="14" t="n">
        <f aca="false">E351*hsk_A+E352*hss+E353*hmu_A</f>
        <v>0.33</v>
      </c>
      <c r="F354" s="14" t="n">
        <f aca="false">F351*hsk_A+F352*hss+F353*hmu_A</f>
        <v>0.33</v>
      </c>
      <c r="G354" s="14" t="n">
        <f aca="false">G351*hsk_A+G352*hss+G353*hmu_A</f>
        <v>0.33</v>
      </c>
    </row>
    <row r="355" customFormat="false" ht="17.15" hidden="false" customHeight="false" outlineLevel="0" collapsed="false">
      <c r="A355" s="4" t="s">
        <v>459</v>
      </c>
      <c r="B355" s="4" t="s">
        <v>413</v>
      </c>
      <c r="C355" s="11" t="n">
        <f aca="false">C350*C354</f>
        <v>245.438243385027</v>
      </c>
      <c r="D355" s="11" t="n">
        <f aca="false">D350*D354</f>
        <v>300.012633003125</v>
      </c>
      <c r="E355" s="11" t="n">
        <f aca="false">E350*E354</f>
        <v>411.961491528125</v>
      </c>
      <c r="F355" s="11" t="n">
        <f aca="false">F350*F354</f>
        <v>385.220893131779</v>
      </c>
      <c r="G355" s="11" t="n">
        <f aca="false">G350*G354</f>
        <v>188.957091156837</v>
      </c>
    </row>
    <row r="356" customFormat="false" ht="17.15" hidden="false" customHeight="false" outlineLevel="0" collapsed="false">
      <c r="A356" s="6" t="s">
        <v>460</v>
      </c>
    </row>
    <row r="357" customFormat="false" ht="17.15" hidden="false" customHeight="false" outlineLevel="0" collapsed="false">
      <c r="A357" s="4" t="s">
        <v>461</v>
      </c>
      <c r="B357" s="4" t="s">
        <v>226</v>
      </c>
      <c r="C357" s="11" t="n">
        <f aca="false">a25_rev-a25_hbm</f>
        <v>2895.034</v>
      </c>
      <c r="D357" s="11" t="n">
        <f aca="false">C357*(1+g_o26)</f>
        <v>3329.2891</v>
      </c>
      <c r="E357" s="11" t="n">
        <f aca="false">D357*(1+g_o_A)</f>
        <v>3728.803792</v>
      </c>
      <c r="F357" s="11" t="n">
        <f aca="false">E357*(1+g_o_A)</f>
        <v>4176.26024704</v>
      </c>
      <c r="G357" s="11" t="n">
        <f aca="false">F357*(1+g_o_A)</f>
        <v>4677.4114766848</v>
      </c>
    </row>
    <row r="358" customFormat="false" ht="17.15" hidden="false" customHeight="false" outlineLevel="0" collapsed="false">
      <c r="A358" s="0" t="s">
        <v>462</v>
      </c>
      <c r="B358" s="4" t="s">
        <v>226</v>
      </c>
      <c r="C358" s="11" t="n">
        <f aca="false">a25_hbm</f>
        <v>2871.966</v>
      </c>
      <c r="D358" s="11" t="n">
        <f aca="false">rev26-D357</f>
        <v>4210.5109</v>
      </c>
      <c r="E358" s="11" t="n">
        <f aca="false">$C359*E355</f>
        <v>5349.166852124</v>
      </c>
      <c r="F358" s="11" t="n">
        <f aca="false">$C359*F355</f>
        <v>5001.95012073218</v>
      </c>
      <c r="G358" s="11" t="n">
        <f aca="false">$C359*G355</f>
        <v>2453.5375982367</v>
      </c>
      <c r="I358" s="8" t="s">
        <v>463</v>
      </c>
    </row>
    <row r="359" customFormat="false" ht="17.15" hidden="false" customHeight="false" outlineLevel="0" collapsed="false">
      <c r="A359" s="4" t="s">
        <v>464</v>
      </c>
      <c r="B359" s="4" t="s">
        <v>465</v>
      </c>
      <c r="C359" s="18" t="n">
        <f aca="false">(C358+D358)/(C355+D355)</f>
        <v>12.9846283260163</v>
      </c>
      <c r="I359" s="4" t="s">
        <v>466</v>
      </c>
    </row>
    <row r="360" customFormat="false" ht="15" hidden="false" customHeight="false" outlineLevel="0" collapsed="false">
      <c r="A360" s="4" t="s">
        <v>366</v>
      </c>
      <c r="B360" s="4" t="s">
        <v>226</v>
      </c>
      <c r="C360" s="11" t="n">
        <f aca="false">a25_rev</f>
        <v>5767</v>
      </c>
      <c r="D360" s="11" t="n">
        <f aca="false">D357+D358</f>
        <v>7539.8</v>
      </c>
      <c r="E360" s="11" t="n">
        <f aca="false">E357+E358</f>
        <v>9077.970644124</v>
      </c>
      <c r="F360" s="11" t="n">
        <f aca="false">F357+F358</f>
        <v>9178.21036777218</v>
      </c>
      <c r="G360" s="11" t="n">
        <f aca="false">G357+G358</f>
        <v>7130.9490749215</v>
      </c>
    </row>
    <row r="361" customFormat="false" ht="17.15" hidden="false" customHeight="false" outlineLevel="0" collapsed="false">
      <c r="A361" s="0" t="s">
        <v>467</v>
      </c>
      <c r="B361" s="0" t="s">
        <v>62</v>
      </c>
      <c r="C361" s="14" t="n">
        <f aca="false">C358/C360</f>
        <v>0.498</v>
      </c>
      <c r="D361" s="14" t="n">
        <f aca="false">D358/D360</f>
        <v>0.558438008965755</v>
      </c>
      <c r="E361" s="14" t="n">
        <f aca="false">E358/E360</f>
        <v>0.589246987220257</v>
      </c>
      <c r="F361" s="14" t="n">
        <f aca="false">F358/F360</f>
        <v>0.544980984342626</v>
      </c>
      <c r="G361" s="14" t="n">
        <f aca="false">G358/G360</f>
        <v>0.344068871121998</v>
      </c>
    </row>
    <row r="362" customFormat="false" ht="17.15" hidden="false" customHeight="false" outlineLevel="0" collapsed="false">
      <c r="A362" s="4" t="s">
        <v>468</v>
      </c>
      <c r="B362" s="4" t="s">
        <v>226</v>
      </c>
      <c r="C362" s="11" t="n">
        <f aca="false">opex25</f>
        <v>806.7</v>
      </c>
      <c r="D362" s="11" t="n">
        <f aca="false">opex_fix+opex_var*D360</f>
        <v>930.691482573261</v>
      </c>
      <c r="E362" s="11" t="n">
        <f aca="false">opex_fix+opex_var*E360</f>
        <v>1038.27274307394</v>
      </c>
      <c r="F362" s="11" t="n">
        <f aca="false">opex_fix+opex_var*F360</f>
        <v>1045.28361398316</v>
      </c>
      <c r="G362" s="11" t="n">
        <f aca="false">opex_fix+opex_var*G360</f>
        <v>902.096022085935</v>
      </c>
      <c r="I362" s="4" t="s">
        <v>469</v>
      </c>
    </row>
    <row r="363" customFormat="false" ht="17.15" hidden="false" customHeight="false" outlineLevel="0" collapsed="false">
      <c r="A363" s="4" t="s">
        <v>436</v>
      </c>
      <c r="B363" s="0" t="s">
        <v>62</v>
      </c>
      <c r="C363" s="14" t="n">
        <f aca="false">a25_gp/a25_rev</f>
        <v>0.575793306745275</v>
      </c>
      <c r="D363" s="14" t="n">
        <f aca="false">(oi26+D362)/D360</f>
        <v>0.595267179842073</v>
      </c>
      <c r="E363" s="14" t="n">
        <f aca="false">$D363+0</f>
        <v>0.595267179842073</v>
      </c>
      <c r="F363" s="14" t="n">
        <f aca="false">$D363+0</f>
        <v>0.595267179842073</v>
      </c>
      <c r="G363" s="14" t="n">
        <f aca="false">$D363+0</f>
        <v>0.595267179842073</v>
      </c>
      <c r="I363" s="8" t="s">
        <v>470</v>
      </c>
    </row>
    <row r="364" customFormat="false" ht="15" hidden="false" customHeight="false" outlineLevel="0" collapsed="false">
      <c r="A364" s="4" t="s">
        <v>371</v>
      </c>
      <c r="B364" s="4" t="s">
        <v>226</v>
      </c>
      <c r="C364" s="11" t="n">
        <f aca="false">C360*C363</f>
        <v>3320.6</v>
      </c>
      <c r="D364" s="11" t="n">
        <f aca="false">D360*D363</f>
        <v>4488.19548257326</v>
      </c>
      <c r="E364" s="11" t="n">
        <f aca="false">E360*E363</f>
        <v>5403.81798401682</v>
      </c>
      <c r="F364" s="11" t="n">
        <f aca="false">F360*F363</f>
        <v>5463.48740162102</v>
      </c>
      <c r="G364" s="11" t="n">
        <f aca="false">G360*G363</f>
        <v>4244.81994542596</v>
      </c>
    </row>
    <row r="365" customFormat="false" ht="15" hidden="false" customHeight="false" outlineLevel="0" collapsed="false">
      <c r="A365" s="4" t="s">
        <v>374</v>
      </c>
      <c r="B365" s="4" t="s">
        <v>226</v>
      </c>
      <c r="C365" s="11" t="n">
        <f aca="false">a25_oi</f>
        <v>2513.9</v>
      </c>
      <c r="D365" s="11" t="n">
        <f aca="false">oi26</f>
        <v>3557.504</v>
      </c>
      <c r="E365" s="11" t="n">
        <f aca="false">E364-E362</f>
        <v>4365.54524094288</v>
      </c>
      <c r="F365" s="11" t="n">
        <f aca="false">F364-F362</f>
        <v>4418.20378763786</v>
      </c>
      <c r="G365" s="11" t="n">
        <f aca="false">G364-G362</f>
        <v>3342.72392334003</v>
      </c>
    </row>
    <row r="366" customFormat="false" ht="15" hidden="false" customHeight="false" outlineLevel="0" collapsed="false">
      <c r="A366" s="4" t="s">
        <v>377</v>
      </c>
      <c r="B366" s="0" t="s">
        <v>62</v>
      </c>
      <c r="C366" s="14" t="n">
        <f aca="false">C365/C360</f>
        <v>0.435911219004682</v>
      </c>
      <c r="D366" s="14" t="n">
        <f aca="false">D365/D360</f>
        <v>0.471830022016499</v>
      </c>
      <c r="E366" s="14" t="n">
        <f aca="false">E365/E360</f>
        <v>0.480894399429306</v>
      </c>
      <c r="F366" s="14" t="n">
        <f aca="false">F365/F360</f>
        <v>0.481379660151577</v>
      </c>
      <c r="G366" s="14" t="n">
        <f aca="false">G365/G360</f>
        <v>0.468762837627868</v>
      </c>
    </row>
    <row r="367" customFormat="false" ht="15" hidden="false" customHeight="false" outlineLevel="0" collapsed="false">
      <c r="A367" s="4" t="s">
        <v>437</v>
      </c>
      <c r="B367" s="4" t="s">
        <v>226</v>
      </c>
      <c r="C367" s="11" t="n">
        <f aca="false">a25_ni</f>
        <v>2140</v>
      </c>
      <c r="D367" s="11" t="n">
        <f aca="false">D365*nioi</f>
        <v>3028.38560006365</v>
      </c>
      <c r="E367" s="11" t="n">
        <f aca="false">E365*nioi</f>
        <v>3716.24440734228</v>
      </c>
      <c r="F367" s="11" t="n">
        <f aca="false">F365*nioi</f>
        <v>3761.07088808028</v>
      </c>
      <c r="G367" s="11" t="n">
        <f aca="false">G365*nioi</f>
        <v>2845.55041805468</v>
      </c>
    </row>
    <row r="368" customFormat="false" ht="15" hidden="false" customHeight="false" outlineLevel="0" collapsed="false">
      <c r="A368" s="0" t="s">
        <v>438</v>
      </c>
      <c r="B368" s="0" t="s">
        <v>302</v>
      </c>
      <c r="C368" s="11" t="n">
        <f aca="false">a25_eps</f>
        <v>2231.7</v>
      </c>
      <c r="D368" s="11" t="n">
        <f aca="false">D367*100/shares</f>
        <v>3158.15333815983</v>
      </c>
      <c r="E368" s="11" t="n">
        <f aca="false">E367*100/shares</f>
        <v>3875.48721675971</v>
      </c>
      <c r="F368" s="11" t="n">
        <f aca="false">F367*100/shares</f>
        <v>3922.23453314428</v>
      </c>
      <c r="G368" s="11" t="n">
        <f aca="false">G367*100/shares</f>
        <v>2967.48358316478</v>
      </c>
    </row>
    <row r="369" customFormat="false" ht="17.15" hidden="false" customHeight="false" outlineLevel="0" collapsed="false">
      <c r="A369" s="4" t="s">
        <v>471</v>
      </c>
      <c r="B369" s="4" t="s">
        <v>226</v>
      </c>
      <c r="C369" s="11" t="n">
        <f aca="false">$C359*C350</f>
        <v>7735.2533187983</v>
      </c>
      <c r="D369" s="11" t="n">
        <f aca="false">$C359*D350</f>
        <v>11491.3054060622</v>
      </c>
      <c r="E369" s="11" t="n">
        <f aca="false">$C359*E350</f>
        <v>16209.5965215879</v>
      </c>
      <c r="F369" s="11" t="n">
        <f aca="false">$C359*F350</f>
        <v>15157.4246082793</v>
      </c>
      <c r="G369" s="11" t="n">
        <f aca="false">$C359*G350</f>
        <v>7434.96241889908</v>
      </c>
      <c r="I369" s="4" t="s">
        <v>472</v>
      </c>
    </row>
    <row r="370" customFormat="false" ht="15" hidden="false" customHeight="false" outlineLevel="0" collapsed="false">
      <c r="A370" s="4" t="s">
        <v>473</v>
      </c>
      <c r="B370" s="0" t="s">
        <v>333</v>
      </c>
      <c r="C370" s="11" t="n">
        <f aca="false">C369/fx*100</f>
        <v>544.736149211148</v>
      </c>
      <c r="D370" s="11" t="n">
        <f aca="false">D369/fx*100</f>
        <v>809.246859581848</v>
      </c>
      <c r="E370" s="11" t="n">
        <f aca="false">E369/fx*100</f>
        <v>1141.52088180196</v>
      </c>
      <c r="F370" s="11" t="n">
        <f aca="false">F369/fx*100</f>
        <v>1067.42426818869</v>
      </c>
      <c r="G370" s="11" t="n">
        <f aca="false">G369/fx*100</f>
        <v>523.588902739372</v>
      </c>
    </row>
    <row r="380" customFormat="false" ht="17.15" hidden="false" customHeight="false" outlineLevel="0" collapsed="false">
      <c r="A380" s="1" t="s">
        <v>668</v>
      </c>
    </row>
    <row r="381" customFormat="false" ht="15" hidden="false" customHeight="false" outlineLevel="0" collapsed="false">
      <c r="A381" s="5" t="s">
        <v>14</v>
      </c>
      <c r="B381" s="5" t="s">
        <v>15</v>
      </c>
      <c r="C381" s="9" t="s">
        <v>401</v>
      </c>
      <c r="D381" s="9" t="s">
        <v>402</v>
      </c>
      <c r="E381" s="9" t="s">
        <v>403</v>
      </c>
      <c r="F381" s="9" t="s">
        <v>404</v>
      </c>
      <c r="G381" s="9" t="s">
        <v>405</v>
      </c>
      <c r="H381" s="9" t="s">
        <v>406</v>
      </c>
      <c r="I381" s="5" t="s">
        <v>407</v>
      </c>
    </row>
    <row r="382" customFormat="false" ht="17.15" hidden="false" customHeight="false" outlineLevel="0" collapsed="false">
      <c r="A382" s="6" t="s">
        <v>441</v>
      </c>
    </row>
    <row r="383" customFormat="false" ht="17.15" hidden="false" customHeight="false" outlineLevel="0" collapsed="false">
      <c r="A383" s="0" t="s">
        <v>442</v>
      </c>
      <c r="B383" s="0" t="s">
        <v>25</v>
      </c>
      <c r="C383" s="17" t="n">
        <f aca="false">hsA_25</f>
        <v>2.22511470588235</v>
      </c>
      <c r="D383" s="17" t="n">
        <f aca="false">hsA_26</f>
        <v>3.782695</v>
      </c>
      <c r="E383" s="17" t="n">
        <f aca="false">hsA_27</f>
        <v>5.86317725</v>
      </c>
      <c r="F383" s="17" t="n">
        <f aca="false">hsA_28</f>
        <v>8.5016070125</v>
      </c>
      <c r="G383" s="17" t="n">
        <f aca="false">hsA_29</f>
        <v>11.477169466875</v>
      </c>
      <c r="H383" s="17" t="n">
        <f aca="false">G383*(1+g_tail)</f>
        <v>12.6248864135625</v>
      </c>
      <c r="I383" s="8" t="s">
        <v>443</v>
      </c>
    </row>
    <row r="384" customFormat="false" ht="17.15" hidden="false" customHeight="false" outlineLevel="0" collapsed="false">
      <c r="A384" s="0" t="s">
        <v>444</v>
      </c>
      <c r="B384" s="0" t="s">
        <v>445</v>
      </c>
      <c r="C384" s="15" t="n">
        <f aca="false">den_25_hi</f>
        <v>24</v>
      </c>
      <c r="D384" s="15" t="n">
        <f aca="false">den_26_hi</f>
        <v>26</v>
      </c>
      <c r="E384" s="15" t="n">
        <f aca="false">den_27_hi</f>
        <v>28</v>
      </c>
      <c r="F384" s="15" t="n">
        <f aca="false">den_28_hi</f>
        <v>32</v>
      </c>
      <c r="G384" s="15" t="n">
        <f aca="false">den_29_hi</f>
        <v>32</v>
      </c>
      <c r="H384" s="15" t="n">
        <f aca="false">den_30_hi</f>
        <v>32</v>
      </c>
    </row>
    <row r="385" customFormat="false" ht="17.15" hidden="false" customHeight="false" outlineLevel="0" collapsed="false">
      <c r="A385" s="4" t="s">
        <v>446</v>
      </c>
      <c r="B385" s="4" t="s">
        <v>411</v>
      </c>
      <c r="C385" s="11" t="n">
        <f aca="false">C383*8000/C384</f>
        <v>741.704901960783</v>
      </c>
      <c r="D385" s="11" t="n">
        <f aca="false">D383*8000/D384</f>
        <v>1163.90615384615</v>
      </c>
      <c r="E385" s="11" t="n">
        <f aca="false">E383*8000/E384</f>
        <v>1675.1935</v>
      </c>
      <c r="F385" s="11" t="n">
        <f aca="false">F383*8000/F384</f>
        <v>2125.401753125</v>
      </c>
      <c r="G385" s="11" t="n">
        <f aca="false">G383*8000/G384</f>
        <v>2869.29236671875</v>
      </c>
      <c r="H385" s="11" t="n">
        <f aca="false">H383*8000/H384</f>
        <v>3156.22160339063</v>
      </c>
      <c r="I385" s="8" t="s">
        <v>447</v>
      </c>
    </row>
    <row r="386" customFormat="false" ht="15" hidden="false" customHeight="false" outlineLevel="0" collapsed="false">
      <c r="A386" s="4" t="s">
        <v>448</v>
      </c>
      <c r="B386" s="4" t="s">
        <v>89</v>
      </c>
      <c r="C386" s="15" t="n">
        <f aca="false">stk_25</f>
        <v>10</v>
      </c>
      <c r="D386" s="15" t="n">
        <f aca="false">stk_26</f>
        <v>12</v>
      </c>
      <c r="E386" s="15" t="n">
        <f aca="false">stk_27</f>
        <v>12.5</v>
      </c>
      <c r="F386" s="15" t="n">
        <f aca="false">stk_28</f>
        <v>14</v>
      </c>
      <c r="G386" s="15" t="n">
        <f aca="false">stk_29</f>
        <v>15</v>
      </c>
      <c r="H386" s="15" t="n">
        <f aca="false">stk_30</f>
        <v>16</v>
      </c>
    </row>
    <row r="387" customFormat="false" ht="15" hidden="false" customHeight="false" outlineLevel="0" collapsed="false">
      <c r="A387" s="4" t="s">
        <v>449</v>
      </c>
      <c r="B387" s="0" t="s">
        <v>109</v>
      </c>
      <c r="C387" s="18" t="n">
        <f aca="false">1+beta*(C386-$C386)/4</f>
        <v>1</v>
      </c>
      <c r="D387" s="18" t="n">
        <f aca="false">1+beta*(D386-$C386)/4</f>
        <v>1.05</v>
      </c>
      <c r="E387" s="18" t="n">
        <f aca="false">1+beta*(E386-$C386)/4</f>
        <v>1.0625</v>
      </c>
      <c r="F387" s="18" t="n">
        <f aca="false">1+beta*(F386-$C386)/4</f>
        <v>1.1</v>
      </c>
      <c r="G387" s="18" t="n">
        <f aca="false">1+beta*(G386-$C386)/4</f>
        <v>1.125</v>
      </c>
      <c r="H387" s="18" t="n">
        <f aca="false">1+beta*(H386-$C386)/4</f>
        <v>1.15</v>
      </c>
    </row>
    <row r="388" customFormat="false" ht="17.15" hidden="false" customHeight="false" outlineLevel="0" collapsed="false">
      <c r="A388" s="4" t="s">
        <v>450</v>
      </c>
      <c r="B388" s="0" t="s">
        <v>62</v>
      </c>
      <c r="C388" s="14" t="n">
        <f aca="false">0</f>
        <v>0</v>
      </c>
      <c r="D388" s="14" t="n">
        <f aca="false">0</f>
        <v>0</v>
      </c>
      <c r="E388" s="14" t="n">
        <f aca="false">0</f>
        <v>0</v>
      </c>
      <c r="F388" s="14" t="n">
        <f aca="false">0</f>
        <v>0</v>
      </c>
      <c r="G388" s="14" t="n">
        <f aca="false">0</f>
        <v>0</v>
      </c>
      <c r="H388" s="14" t="n">
        <f aca="false">0</f>
        <v>0</v>
      </c>
      <c r="I388" s="4" t="s">
        <v>451</v>
      </c>
    </row>
    <row r="389" customFormat="false" ht="17.15" hidden="false" customHeight="false" outlineLevel="0" collapsed="false">
      <c r="A389" s="0" t="s">
        <v>452</v>
      </c>
      <c r="B389" s="4" t="s">
        <v>413</v>
      </c>
      <c r="C389" s="11" t="n">
        <f aca="false">C385*C387*(1-C388)</f>
        <v>741.704901960783</v>
      </c>
      <c r="D389" s="11" t="n">
        <f aca="false">D385*D387*(1-D388)</f>
        <v>1222.10146153846</v>
      </c>
      <c r="E389" s="11" t="n">
        <f aca="false">E385*E387*(1-E388)</f>
        <v>1779.89309375</v>
      </c>
      <c r="F389" s="11" t="n">
        <f aca="false">F385*F387*(1-F388)</f>
        <v>2337.9419284375</v>
      </c>
      <c r="G389" s="11" t="n">
        <f aca="false">G385*G387*(1-G388)</f>
        <v>3227.95391255859</v>
      </c>
      <c r="H389" s="11" t="n">
        <f aca="false">H385*H387*(1-H388)</f>
        <v>3629.65484389922</v>
      </c>
    </row>
    <row r="390" customFormat="false" ht="17.15" hidden="false" customHeight="false" outlineLevel="0" collapsed="false">
      <c r="A390" s="4" t="s">
        <v>453</v>
      </c>
      <c r="B390" s="4" t="s">
        <v>413</v>
      </c>
      <c r="C390" s="11" t="n">
        <f aca="false">MAX(0,D389-C389)+dlt*C389</f>
        <v>554.567049773757</v>
      </c>
      <c r="D390" s="11" t="n">
        <f aca="false">MAX(0,E389-D389)+dlt*D389</f>
        <v>680.001778365385</v>
      </c>
      <c r="E390" s="11" t="n">
        <f aca="false">MAX(0,F389-E389)+dlt*E389</f>
        <v>736.0381440625</v>
      </c>
      <c r="F390" s="11" t="n">
        <f aca="false">MAX(0,G389-F389)+dlt*F389</f>
        <v>1123.80617696484</v>
      </c>
      <c r="G390" s="11" t="n">
        <f aca="false">MAX(0,H389-G389)+dlt*G389</f>
        <v>724.496322596484</v>
      </c>
      <c r="I390" s="4" t="s">
        <v>454</v>
      </c>
    </row>
    <row r="391" customFormat="false" ht="17.15" hidden="false" customHeight="false" outlineLevel="0" collapsed="false">
      <c r="A391" s="0" t="s">
        <v>455</v>
      </c>
      <c r="B391" s="0" t="s">
        <v>62</v>
      </c>
      <c r="C391" s="14" t="n">
        <f aca="false">ms_sk_26/(ms_sk_26+ms_ss_26+ms_mu_26)</f>
        <v>0.52</v>
      </c>
      <c r="D391" s="14" t="n">
        <f aca="false">ms_sk_27/(ms_sk_27+ms_ss_27+ms_mu_27)</f>
        <v>0.42</v>
      </c>
      <c r="E391" s="14" t="n">
        <f aca="false">ms_sk_28/(ms_sk_28+ms_ss_28+ms_mu_28)</f>
        <v>0.4</v>
      </c>
      <c r="F391" s="14" t="n">
        <f aca="false">ms_sk_29/(ms_sk_29+ms_ss_29+ms_mu_29)</f>
        <v>0.4</v>
      </c>
      <c r="G391" s="14" t="n">
        <f aca="false">ms_sk_29/(ms_sk_29+ms_ss_29+ms_mu_29)</f>
        <v>0.4</v>
      </c>
    </row>
    <row r="392" customFormat="false" ht="17.15" hidden="false" customHeight="false" outlineLevel="0" collapsed="false">
      <c r="A392" s="4" t="s">
        <v>456</v>
      </c>
      <c r="B392" s="0" t="s">
        <v>62</v>
      </c>
      <c r="C392" s="14" t="n">
        <f aca="false">ms_ss_26/(ms_sk_26+ms_ss_26+ms_mu_26)</f>
        <v>0.29</v>
      </c>
      <c r="D392" s="14" t="n">
        <f aca="false">ms_ss_27/(ms_sk_27+ms_ss_27+ms_mu_27)</f>
        <v>0.38</v>
      </c>
      <c r="E392" s="14" t="n">
        <f aca="false">ms_ss_28/(ms_sk_28+ms_ss_28+ms_mu_28)</f>
        <v>0.4</v>
      </c>
      <c r="F392" s="14" t="n">
        <f aca="false">ms_ss_29/(ms_sk_29+ms_ss_29+ms_mu_29)</f>
        <v>0.4</v>
      </c>
      <c r="G392" s="14" t="n">
        <f aca="false">ms_ss_29/(ms_sk_29+ms_ss_29+ms_mu_29)</f>
        <v>0.4</v>
      </c>
    </row>
    <row r="393" customFormat="false" ht="17.15" hidden="false" customHeight="false" outlineLevel="0" collapsed="false">
      <c r="A393" s="4" t="s">
        <v>457</v>
      </c>
      <c r="B393" s="0" t="s">
        <v>62</v>
      </c>
      <c r="C393" s="14" t="n">
        <f aca="false">ms_mu_26/(ms_sk_26+ms_ss_26+ms_mu_26)</f>
        <v>0.19</v>
      </c>
      <c r="D393" s="14" t="n">
        <f aca="false">ms_mu_27/(ms_sk_27+ms_ss_27+ms_mu_27)</f>
        <v>0.2</v>
      </c>
      <c r="E393" s="14" t="n">
        <f aca="false">ms_mu_28/(ms_sk_28+ms_ss_28+ms_mu_28)</f>
        <v>0.2</v>
      </c>
      <c r="F393" s="14" t="n">
        <f aca="false">ms_mu_29/(ms_sk_29+ms_ss_29+ms_mu_29)</f>
        <v>0.2</v>
      </c>
      <c r="G393" s="14" t="n">
        <f aca="false">ms_mu_29/(ms_sk_29+ms_ss_29+ms_mu_29)</f>
        <v>0.2</v>
      </c>
    </row>
    <row r="394" customFormat="false" ht="17.15" hidden="false" customHeight="false" outlineLevel="0" collapsed="false">
      <c r="A394" s="4" t="s">
        <v>458</v>
      </c>
      <c r="B394" s="0" t="s">
        <v>62</v>
      </c>
      <c r="C394" s="14" t="n">
        <f aca="false">C391*hsk_25+C392*hss+C393*hmu_25</f>
        <v>0.412</v>
      </c>
      <c r="D394" s="14" t="n">
        <f aca="false">D391*hsk_A+D392*hss+D393*hmu_A</f>
        <v>0.339</v>
      </c>
      <c r="E394" s="14" t="n">
        <f aca="false">E391*hsk_A+E392*hss+E393*hmu_A</f>
        <v>0.33</v>
      </c>
      <c r="F394" s="14" t="n">
        <f aca="false">F391*hsk_A+F392*hss+F393*hmu_A</f>
        <v>0.33</v>
      </c>
      <c r="G394" s="14" t="n">
        <f aca="false">G391*hsk_A+G392*hss+G393*hmu_A</f>
        <v>0.33</v>
      </c>
    </row>
    <row r="395" customFormat="false" ht="17.15" hidden="false" customHeight="false" outlineLevel="0" collapsed="false">
      <c r="A395" s="4" t="s">
        <v>459</v>
      </c>
      <c r="B395" s="4" t="s">
        <v>413</v>
      </c>
      <c r="C395" s="11" t="n">
        <f aca="false">C390*C394</f>
        <v>228.481624506788</v>
      </c>
      <c r="D395" s="11" t="n">
        <f aca="false">D390*D394</f>
        <v>230.520602865865</v>
      </c>
      <c r="E395" s="11" t="n">
        <f aca="false">E390*E394</f>
        <v>242.892587540625</v>
      </c>
      <c r="F395" s="11" t="n">
        <f aca="false">F390*F394</f>
        <v>370.856038398399</v>
      </c>
      <c r="G395" s="11" t="n">
        <f aca="false">G390*G394</f>
        <v>239.08378645684</v>
      </c>
    </row>
    <row r="396" customFormat="false" ht="17.15" hidden="false" customHeight="false" outlineLevel="0" collapsed="false">
      <c r="A396" s="6" t="s">
        <v>460</v>
      </c>
    </row>
    <row r="397" customFormat="false" ht="17.15" hidden="false" customHeight="false" outlineLevel="0" collapsed="false">
      <c r="A397" s="4" t="s">
        <v>461</v>
      </c>
      <c r="B397" s="4" t="s">
        <v>226</v>
      </c>
      <c r="C397" s="11" t="n">
        <f aca="false">a25_rev-a25_hbm</f>
        <v>2895.034</v>
      </c>
      <c r="D397" s="11" t="n">
        <f aca="false">C397*(1+g_o26)</f>
        <v>3329.2891</v>
      </c>
      <c r="E397" s="11" t="n">
        <f aca="false">D397*(1+g_o_A)</f>
        <v>3728.803792</v>
      </c>
      <c r="F397" s="11" t="n">
        <f aca="false">E397*(1+g_o_A)</f>
        <v>4176.26024704</v>
      </c>
      <c r="G397" s="11" t="n">
        <f aca="false">F397*(1+g_o_A)</f>
        <v>4677.4114766848</v>
      </c>
    </row>
    <row r="398" customFormat="false" ht="17.15" hidden="false" customHeight="false" outlineLevel="0" collapsed="false">
      <c r="A398" s="0" t="s">
        <v>462</v>
      </c>
      <c r="B398" s="4" t="s">
        <v>226</v>
      </c>
      <c r="C398" s="11" t="n">
        <f aca="false">a25_hbm</f>
        <v>2871.966</v>
      </c>
      <c r="D398" s="11" t="n">
        <f aca="false">rev26-D397</f>
        <v>4210.5109</v>
      </c>
      <c r="E398" s="11" t="n">
        <f aca="false">$C399*E395</f>
        <v>3747.87100769567</v>
      </c>
      <c r="F398" s="11" t="n">
        <f aca="false">$C399*F395</f>
        <v>5722.36727524573</v>
      </c>
      <c r="G398" s="11" t="n">
        <f aca="false">$C399*G395</f>
        <v>3689.10060510523</v>
      </c>
      <c r="I398" s="8" t="s">
        <v>463</v>
      </c>
    </row>
    <row r="399" customFormat="false" ht="17.15" hidden="false" customHeight="false" outlineLevel="0" collapsed="false">
      <c r="A399" s="4" t="s">
        <v>464</v>
      </c>
      <c r="B399" s="4" t="s">
        <v>465</v>
      </c>
      <c r="C399" s="18" t="n">
        <f aca="false">(C398+D398)/(C395+D395)</f>
        <v>15.4301580202353</v>
      </c>
      <c r="I399" s="4" t="s">
        <v>466</v>
      </c>
    </row>
    <row r="400" customFormat="false" ht="15" hidden="false" customHeight="false" outlineLevel="0" collapsed="false">
      <c r="A400" s="4" t="s">
        <v>366</v>
      </c>
      <c r="B400" s="4" t="s">
        <v>226</v>
      </c>
      <c r="C400" s="11" t="n">
        <f aca="false">a25_rev</f>
        <v>5767</v>
      </c>
      <c r="D400" s="11" t="n">
        <f aca="false">D397+D398</f>
        <v>7539.8</v>
      </c>
      <c r="E400" s="11" t="n">
        <f aca="false">E397+E398</f>
        <v>7476.67479969568</v>
      </c>
      <c r="F400" s="11" t="n">
        <f aca="false">F397+F398</f>
        <v>9898.62752228573</v>
      </c>
      <c r="G400" s="11" t="n">
        <f aca="false">G397+G398</f>
        <v>8366.51208179003</v>
      </c>
    </row>
    <row r="401" customFormat="false" ht="17.15" hidden="false" customHeight="false" outlineLevel="0" collapsed="false">
      <c r="A401" s="0" t="s">
        <v>467</v>
      </c>
      <c r="B401" s="0" t="s">
        <v>62</v>
      </c>
      <c r="C401" s="14" t="n">
        <f aca="false">C398/C400</f>
        <v>0.498</v>
      </c>
      <c r="D401" s="14" t="n">
        <f aca="false">D398/D400</f>
        <v>0.558438008965755</v>
      </c>
      <c r="E401" s="14" t="n">
        <f aca="false">E398/E400</f>
        <v>0.501275113349617</v>
      </c>
      <c r="F401" s="14" t="n">
        <f aca="false">F398/F400</f>
        <v>0.578097040459641</v>
      </c>
      <c r="G401" s="14" t="n">
        <f aca="false">G398/G400</f>
        <v>0.440936506042305</v>
      </c>
    </row>
    <row r="402" customFormat="false" ht="17.15" hidden="false" customHeight="false" outlineLevel="0" collapsed="false">
      <c r="A402" s="4" t="s">
        <v>468</v>
      </c>
      <c r="B402" s="4" t="s">
        <v>226</v>
      </c>
      <c r="C402" s="11" t="n">
        <f aca="false">opex25</f>
        <v>806.7</v>
      </c>
      <c r="D402" s="11" t="n">
        <f aca="false">opex_fix+opex_var*D400</f>
        <v>930.691482573261</v>
      </c>
      <c r="E402" s="11" t="n">
        <f aca="false">opex_fix+opex_var*E400</f>
        <v>926.276440169455</v>
      </c>
      <c r="F402" s="11" t="n">
        <f aca="false">opex_fix+opex_var*F400</f>
        <v>1095.67034179191</v>
      </c>
      <c r="G402" s="11" t="n">
        <f aca="false">opex_fix+opex_var*G400</f>
        <v>988.512588553842</v>
      </c>
      <c r="I402" s="4" t="s">
        <v>469</v>
      </c>
    </row>
    <row r="403" customFormat="false" ht="17.15" hidden="false" customHeight="false" outlineLevel="0" collapsed="false">
      <c r="A403" s="4" t="s">
        <v>436</v>
      </c>
      <c r="B403" s="0" t="s">
        <v>62</v>
      </c>
      <c r="C403" s="14" t="n">
        <f aca="false">a25_gp/a25_rev</f>
        <v>0.575793306745275</v>
      </c>
      <c r="D403" s="14" t="n">
        <f aca="false">(oi26+D402)/D400</f>
        <v>0.595267179842073</v>
      </c>
      <c r="E403" s="14" t="n">
        <f aca="false">$D403+0</f>
        <v>0.595267179842073</v>
      </c>
      <c r="F403" s="14" t="n">
        <f aca="false">$D403+0</f>
        <v>0.595267179842073</v>
      </c>
      <c r="G403" s="14" t="n">
        <f aca="false">$D403+0</f>
        <v>0.595267179842073</v>
      </c>
      <c r="I403" s="8" t="s">
        <v>470</v>
      </c>
    </row>
    <row r="404" customFormat="false" ht="15" hidden="false" customHeight="false" outlineLevel="0" collapsed="false">
      <c r="A404" s="4" t="s">
        <v>371</v>
      </c>
      <c r="B404" s="4" t="s">
        <v>226</v>
      </c>
      <c r="C404" s="11" t="n">
        <f aca="false">C400*C403</f>
        <v>3320.6</v>
      </c>
      <c r="D404" s="11" t="n">
        <f aca="false">D400*D403</f>
        <v>4488.19548257326</v>
      </c>
      <c r="E404" s="11" t="n">
        <f aca="false">E400*E403</f>
        <v>4450.61912261114</v>
      </c>
      <c r="F404" s="11" t="n">
        <f aca="false">F400*F403</f>
        <v>5892.32808949815</v>
      </c>
      <c r="G404" s="11" t="n">
        <f aca="false">G400*G403</f>
        <v>4980.31005204178</v>
      </c>
    </row>
    <row r="405" customFormat="false" ht="15" hidden="false" customHeight="false" outlineLevel="0" collapsed="false">
      <c r="A405" s="4" t="s">
        <v>374</v>
      </c>
      <c r="B405" s="4" t="s">
        <v>226</v>
      </c>
      <c r="C405" s="11" t="n">
        <f aca="false">a25_oi</f>
        <v>2513.9</v>
      </c>
      <c r="D405" s="11" t="n">
        <f aca="false">oi26</f>
        <v>3557.504</v>
      </c>
      <c r="E405" s="11" t="n">
        <f aca="false">E404-E402</f>
        <v>3524.34268244168</v>
      </c>
      <c r="F405" s="11" t="n">
        <f aca="false">F404-F402</f>
        <v>4796.65774770624</v>
      </c>
      <c r="G405" s="11" t="n">
        <f aca="false">G404-G402</f>
        <v>3991.79746348794</v>
      </c>
    </row>
    <row r="406" customFormat="false" ht="15" hidden="false" customHeight="false" outlineLevel="0" collapsed="false">
      <c r="A406" s="4" t="s">
        <v>377</v>
      </c>
      <c r="B406" s="0" t="s">
        <v>62</v>
      </c>
      <c r="C406" s="14" t="n">
        <f aca="false">C405/C400</f>
        <v>0.435911219004682</v>
      </c>
      <c r="D406" s="14" t="n">
        <f aca="false">D405/D400</f>
        <v>0.471830022016499</v>
      </c>
      <c r="E406" s="14" t="n">
        <f aca="false">E405/E400</f>
        <v>0.471378356938185</v>
      </c>
      <c r="F406" s="14" t="n">
        <f aca="false">F405/F400</f>
        <v>0.48457806265637</v>
      </c>
      <c r="G406" s="14" t="n">
        <f aca="false">G405/G400</f>
        <v>0.477116081882701</v>
      </c>
    </row>
    <row r="407" customFormat="false" ht="15" hidden="false" customHeight="false" outlineLevel="0" collapsed="false">
      <c r="A407" s="4" t="s">
        <v>437</v>
      </c>
      <c r="B407" s="4" t="s">
        <v>226</v>
      </c>
      <c r="C407" s="11" t="n">
        <f aca="false">a25_ni</f>
        <v>2140</v>
      </c>
      <c r="D407" s="11" t="n">
        <f aca="false">D405*nioi</f>
        <v>3028.38560006365</v>
      </c>
      <c r="E407" s="11" t="n">
        <f aca="false">E405*nioi</f>
        <v>3000.15646621791</v>
      </c>
      <c r="F407" s="11" t="n">
        <f aca="false">F405*nioi</f>
        <v>4083.2362385502</v>
      </c>
      <c r="G407" s="11" t="n">
        <f aca="false">G405*nioi</f>
        <v>3398.08527461879</v>
      </c>
    </row>
    <row r="408" customFormat="false" ht="15" hidden="false" customHeight="false" outlineLevel="0" collapsed="false">
      <c r="A408" s="0" t="s">
        <v>438</v>
      </c>
      <c r="B408" s="0" t="s">
        <v>302</v>
      </c>
      <c r="C408" s="11" t="n">
        <f aca="false">a25_eps</f>
        <v>2231.7</v>
      </c>
      <c r="D408" s="11" t="n">
        <f aca="false">D407*100/shares</f>
        <v>3158.15333815983</v>
      </c>
      <c r="E408" s="11" t="n">
        <f aca="false">E407*100/shares</f>
        <v>3128.71457273762</v>
      </c>
      <c r="F408" s="11" t="n">
        <f aca="false">F407*100/shares</f>
        <v>4258.2048194264</v>
      </c>
      <c r="G408" s="11" t="n">
        <f aca="false">G407*100/shares</f>
        <v>3543.69481652653</v>
      </c>
    </row>
    <row r="409" customFormat="false" ht="17.15" hidden="false" customHeight="false" outlineLevel="0" collapsed="false">
      <c r="A409" s="4" t="s">
        <v>471</v>
      </c>
      <c r="B409" s="4" t="s">
        <v>226</v>
      </c>
      <c r="C409" s="11" t="n">
        <f aca="false">$C399*C390</f>
        <v>8557.05721082475</v>
      </c>
      <c r="D409" s="11" t="n">
        <f aca="false">$C399*D390</f>
        <v>10492.5348942189</v>
      </c>
      <c r="E409" s="11" t="n">
        <f aca="false">$C399*E390</f>
        <v>11357.1848718051</v>
      </c>
      <c r="F409" s="11" t="n">
        <f aca="false">$C399*F390</f>
        <v>17340.506894684</v>
      </c>
      <c r="G409" s="11" t="n">
        <f aca="false">$C399*G390</f>
        <v>11179.0927427431</v>
      </c>
      <c r="I409" s="4" t="s">
        <v>472</v>
      </c>
    </row>
    <row r="410" customFormat="false" ht="15" hidden="false" customHeight="false" outlineLevel="0" collapsed="false">
      <c r="A410" s="4" t="s">
        <v>473</v>
      </c>
      <c r="B410" s="0" t="s">
        <v>333</v>
      </c>
      <c r="C410" s="11" t="n">
        <f aca="false">C409/fx*100</f>
        <v>602.609662734137</v>
      </c>
      <c r="D410" s="11" t="n">
        <f aca="false">D409/fx*100</f>
        <v>738.910908043584</v>
      </c>
      <c r="E410" s="11" t="n">
        <f aca="false">E409/fx*100</f>
        <v>799.801751535568</v>
      </c>
      <c r="F410" s="11" t="n">
        <f aca="false">F409/fx*100</f>
        <v>1221.16245737211</v>
      </c>
      <c r="G410" s="11" t="n">
        <f aca="false">G409/fx*100</f>
        <v>787.260052305853</v>
      </c>
    </row>
    <row r="420" customFormat="false" ht="17.15" hidden="false" customHeight="false" outlineLevel="0" collapsed="false">
      <c r="A420" s="1" t="s">
        <v>669</v>
      </c>
    </row>
    <row r="421" customFormat="false" ht="15" hidden="false" customHeight="false" outlineLevel="0" collapsed="false">
      <c r="A421" s="5" t="s">
        <v>14</v>
      </c>
      <c r="B421" s="5" t="s">
        <v>15</v>
      </c>
      <c r="C421" s="9" t="s">
        <v>401</v>
      </c>
      <c r="D421" s="9" t="s">
        <v>402</v>
      </c>
      <c r="E421" s="9" t="s">
        <v>403</v>
      </c>
      <c r="F421" s="9" t="s">
        <v>404</v>
      </c>
      <c r="G421" s="9" t="s">
        <v>405</v>
      </c>
      <c r="H421" s="9" t="s">
        <v>406</v>
      </c>
      <c r="I421" s="5" t="s">
        <v>407</v>
      </c>
    </row>
    <row r="422" customFormat="false" ht="17.15" hidden="false" customHeight="false" outlineLevel="0" collapsed="false">
      <c r="A422" s="6" t="s">
        <v>441</v>
      </c>
    </row>
    <row r="423" customFormat="false" ht="17.15" hidden="false" customHeight="false" outlineLevel="0" collapsed="false">
      <c r="A423" s="0" t="s">
        <v>442</v>
      </c>
      <c r="B423" s="0" t="s">
        <v>25</v>
      </c>
      <c r="C423" s="17" t="n">
        <f aca="false">hsA_25</f>
        <v>2.22511470588235</v>
      </c>
      <c r="D423" s="17" t="n">
        <f aca="false">hsA_26</f>
        <v>3.782695</v>
      </c>
      <c r="E423" s="17" t="n">
        <f aca="false">hsA_27</f>
        <v>5.86317725</v>
      </c>
      <c r="F423" s="17" t="n">
        <f aca="false">hsA_28</f>
        <v>8.5016070125</v>
      </c>
      <c r="G423" s="17" t="n">
        <f aca="false">hsA_29</f>
        <v>11.477169466875</v>
      </c>
      <c r="H423" s="17" t="n">
        <f aca="false">G423*(1+g_tail)</f>
        <v>12.6248864135625</v>
      </c>
      <c r="I423" s="8" t="s">
        <v>443</v>
      </c>
    </row>
    <row r="424" customFormat="false" ht="17.15" hidden="false" customHeight="false" outlineLevel="0" collapsed="false">
      <c r="A424" s="0" t="s">
        <v>444</v>
      </c>
      <c r="B424" s="0" t="s">
        <v>445</v>
      </c>
      <c r="C424" s="15" t="n">
        <f aca="false">den_25</f>
        <v>24</v>
      </c>
      <c r="D424" s="15" t="n">
        <f aca="false">den_26</f>
        <v>24</v>
      </c>
      <c r="E424" s="15" t="n">
        <f aca="false">den_27</f>
        <v>26</v>
      </c>
      <c r="F424" s="15" t="n">
        <f aca="false">den_28</f>
        <v>28</v>
      </c>
      <c r="G424" s="15" t="n">
        <f aca="false">den_29</f>
        <v>30</v>
      </c>
      <c r="H424" s="15" t="n">
        <f aca="false">den_30</f>
        <v>32</v>
      </c>
    </row>
    <row r="425" customFormat="false" ht="17.15" hidden="false" customHeight="false" outlineLevel="0" collapsed="false">
      <c r="A425" s="4" t="s">
        <v>446</v>
      </c>
      <c r="B425" s="4" t="s">
        <v>411</v>
      </c>
      <c r="C425" s="11" t="n">
        <f aca="false">C423*8000/C424</f>
        <v>741.704901960783</v>
      </c>
      <c r="D425" s="11" t="n">
        <f aca="false">D423*8000/D424</f>
        <v>1260.89833333333</v>
      </c>
      <c r="E425" s="11" t="n">
        <f aca="false">E423*8000/E424</f>
        <v>1804.05453846154</v>
      </c>
      <c r="F425" s="11" t="n">
        <f aca="false">F423*8000/F424</f>
        <v>2429.030575</v>
      </c>
      <c r="G425" s="11" t="n">
        <f aca="false">G423*8000/G424</f>
        <v>3060.5785245</v>
      </c>
      <c r="H425" s="11" t="n">
        <f aca="false">H423*8000/H424</f>
        <v>3156.22160339063</v>
      </c>
      <c r="I425" s="8" t="s">
        <v>447</v>
      </c>
    </row>
    <row r="426" customFormat="false" ht="15" hidden="false" customHeight="false" outlineLevel="0" collapsed="false">
      <c r="A426" s="4" t="s">
        <v>448</v>
      </c>
      <c r="B426" s="4" t="s">
        <v>89</v>
      </c>
      <c r="C426" s="15" t="n">
        <f aca="false">stk_25_lo</f>
        <v>8</v>
      </c>
      <c r="D426" s="15" t="n">
        <f aca="false">stk_26_lo</f>
        <v>10</v>
      </c>
      <c r="E426" s="15" t="n">
        <f aca="false">stk_27_lo</f>
        <v>12</v>
      </c>
      <c r="F426" s="15" t="n">
        <f aca="false">stk_28_lo</f>
        <v>12</v>
      </c>
      <c r="G426" s="15" t="n">
        <f aca="false">stk_29_lo</f>
        <v>12</v>
      </c>
      <c r="H426" s="15" t="n">
        <f aca="false">stk_30_lo</f>
        <v>14</v>
      </c>
    </row>
    <row r="427" customFormat="false" ht="15" hidden="false" customHeight="false" outlineLevel="0" collapsed="false">
      <c r="A427" s="4" t="s">
        <v>449</v>
      </c>
      <c r="B427" s="0" t="s">
        <v>109</v>
      </c>
      <c r="C427" s="18" t="n">
        <f aca="false">1+beta*(C426-$C426)/4</f>
        <v>1</v>
      </c>
      <c r="D427" s="18" t="n">
        <f aca="false">1+beta*(D426-$C426)/4</f>
        <v>1.05</v>
      </c>
      <c r="E427" s="18" t="n">
        <f aca="false">1+beta*(E426-$C426)/4</f>
        <v>1.1</v>
      </c>
      <c r="F427" s="18" t="n">
        <f aca="false">1+beta*(F426-$C426)/4</f>
        <v>1.1</v>
      </c>
      <c r="G427" s="18" t="n">
        <f aca="false">1+beta*(G426-$C426)/4</f>
        <v>1.1</v>
      </c>
      <c r="H427" s="18" t="n">
        <f aca="false">1+beta*(H426-$C426)/4</f>
        <v>1.15</v>
      </c>
    </row>
    <row r="428" customFormat="false" ht="17.15" hidden="false" customHeight="false" outlineLevel="0" collapsed="false">
      <c r="A428" s="4" t="s">
        <v>450</v>
      </c>
      <c r="B428" s="0" t="s">
        <v>62</v>
      </c>
      <c r="C428" s="14" t="n">
        <f aca="false">0</f>
        <v>0</v>
      </c>
      <c r="D428" s="14" t="n">
        <f aca="false">0</f>
        <v>0</v>
      </c>
      <c r="E428" s="14" t="n">
        <f aca="false">0</f>
        <v>0</v>
      </c>
      <c r="F428" s="14" t="n">
        <f aca="false">0</f>
        <v>0</v>
      </c>
      <c r="G428" s="14" t="n">
        <f aca="false">0</f>
        <v>0</v>
      </c>
      <c r="H428" s="14" t="n">
        <f aca="false">0</f>
        <v>0</v>
      </c>
      <c r="I428" s="4" t="s">
        <v>451</v>
      </c>
    </row>
    <row r="429" customFormat="false" ht="17.15" hidden="false" customHeight="false" outlineLevel="0" collapsed="false">
      <c r="A429" s="0" t="s">
        <v>452</v>
      </c>
      <c r="B429" s="4" t="s">
        <v>413</v>
      </c>
      <c r="C429" s="11" t="n">
        <f aca="false">C425*C427*(1-C428)</f>
        <v>741.704901960783</v>
      </c>
      <c r="D429" s="11" t="n">
        <f aca="false">D425*D427*(1-D428)</f>
        <v>1323.94325</v>
      </c>
      <c r="E429" s="11" t="n">
        <f aca="false">E425*E427*(1-E428)</f>
        <v>1984.45999230769</v>
      </c>
      <c r="F429" s="11" t="n">
        <f aca="false">F425*F427*(1-F428)</f>
        <v>2671.9336325</v>
      </c>
      <c r="G429" s="11" t="n">
        <f aca="false">G425*G427*(1-G428)</f>
        <v>3366.63637695</v>
      </c>
      <c r="H429" s="11" t="n">
        <f aca="false">H425*H427*(1-H428)</f>
        <v>3629.65484389922</v>
      </c>
    </row>
    <row r="430" customFormat="false" ht="17.15" hidden="false" customHeight="false" outlineLevel="0" collapsed="false">
      <c r="A430" s="4" t="s">
        <v>453</v>
      </c>
      <c r="B430" s="4" t="s">
        <v>413</v>
      </c>
      <c r="C430" s="11" t="n">
        <f aca="false">MAX(0,D429-C429)+dlt*C429</f>
        <v>656.408838235295</v>
      </c>
      <c r="D430" s="11" t="n">
        <f aca="false">MAX(0,E429-D429)+dlt*D429</f>
        <v>792.911067307692</v>
      </c>
      <c r="E430" s="11" t="n">
        <f aca="false">MAX(0,F429-E429)+dlt*E429</f>
        <v>885.919639423077</v>
      </c>
      <c r="F430" s="11" t="n">
        <f aca="false">MAX(0,G429-F429)+dlt*F429</f>
        <v>961.8961077</v>
      </c>
      <c r="G430" s="11" t="n">
        <f aca="false">MAX(0,H429-G429)+dlt*G429</f>
        <v>599.682104644218</v>
      </c>
      <c r="I430" s="4" t="s">
        <v>454</v>
      </c>
    </row>
    <row r="431" customFormat="false" ht="17.15" hidden="false" customHeight="false" outlineLevel="0" collapsed="false">
      <c r="A431" s="0" t="s">
        <v>455</v>
      </c>
      <c r="B431" s="0" t="s">
        <v>62</v>
      </c>
      <c r="C431" s="14" t="n">
        <f aca="false">ms_sk_26/(ms_sk_26+ms_ss_26+ms_mu_26)</f>
        <v>0.52</v>
      </c>
      <c r="D431" s="14" t="n">
        <f aca="false">ms_sk_27/(ms_sk_27+ms_ss_27+ms_mu_27)</f>
        <v>0.42</v>
      </c>
      <c r="E431" s="14" t="n">
        <f aca="false">ms_sk_28/(ms_sk_28+ms_ss_28+ms_mu_28)</f>
        <v>0.4</v>
      </c>
      <c r="F431" s="14" t="n">
        <f aca="false">ms_sk_29/(ms_sk_29+ms_ss_29+ms_mu_29)</f>
        <v>0.4</v>
      </c>
      <c r="G431" s="14" t="n">
        <f aca="false">ms_sk_29/(ms_sk_29+ms_ss_29+ms_mu_29)</f>
        <v>0.4</v>
      </c>
    </row>
    <row r="432" customFormat="false" ht="17.15" hidden="false" customHeight="false" outlineLevel="0" collapsed="false">
      <c r="A432" s="4" t="s">
        <v>456</v>
      </c>
      <c r="B432" s="0" t="s">
        <v>62</v>
      </c>
      <c r="C432" s="14" t="n">
        <f aca="false">ms_ss_26/(ms_sk_26+ms_ss_26+ms_mu_26)</f>
        <v>0.29</v>
      </c>
      <c r="D432" s="14" t="n">
        <f aca="false">ms_ss_27/(ms_sk_27+ms_ss_27+ms_mu_27)</f>
        <v>0.38</v>
      </c>
      <c r="E432" s="14" t="n">
        <f aca="false">ms_ss_28/(ms_sk_28+ms_ss_28+ms_mu_28)</f>
        <v>0.4</v>
      </c>
      <c r="F432" s="14" t="n">
        <f aca="false">ms_ss_29/(ms_sk_29+ms_ss_29+ms_mu_29)</f>
        <v>0.4</v>
      </c>
      <c r="G432" s="14" t="n">
        <f aca="false">ms_ss_29/(ms_sk_29+ms_ss_29+ms_mu_29)</f>
        <v>0.4</v>
      </c>
    </row>
    <row r="433" customFormat="false" ht="17.15" hidden="false" customHeight="false" outlineLevel="0" collapsed="false">
      <c r="A433" s="4" t="s">
        <v>457</v>
      </c>
      <c r="B433" s="0" t="s">
        <v>62</v>
      </c>
      <c r="C433" s="14" t="n">
        <f aca="false">ms_mu_26/(ms_sk_26+ms_ss_26+ms_mu_26)</f>
        <v>0.19</v>
      </c>
      <c r="D433" s="14" t="n">
        <f aca="false">ms_mu_27/(ms_sk_27+ms_ss_27+ms_mu_27)</f>
        <v>0.2</v>
      </c>
      <c r="E433" s="14" t="n">
        <f aca="false">ms_mu_28/(ms_sk_28+ms_ss_28+ms_mu_28)</f>
        <v>0.2</v>
      </c>
      <c r="F433" s="14" t="n">
        <f aca="false">ms_mu_29/(ms_sk_29+ms_ss_29+ms_mu_29)</f>
        <v>0.2</v>
      </c>
      <c r="G433" s="14" t="n">
        <f aca="false">ms_mu_29/(ms_sk_29+ms_ss_29+ms_mu_29)</f>
        <v>0.2</v>
      </c>
    </row>
    <row r="434" customFormat="false" ht="17.15" hidden="false" customHeight="false" outlineLevel="0" collapsed="false">
      <c r="A434" s="4" t="s">
        <v>458</v>
      </c>
      <c r="B434" s="0" t="s">
        <v>62</v>
      </c>
      <c r="C434" s="14" t="n">
        <f aca="false">C431*hsk_25+C432*hss+C433*hmu_25</f>
        <v>0.412</v>
      </c>
      <c r="D434" s="14" t="n">
        <f aca="false">D431*hsk_A+D432*hss+D433*hmu_A</f>
        <v>0.339</v>
      </c>
      <c r="E434" s="14" t="n">
        <f aca="false">E431*hsk_A+E432*hss+E433*hmu_A</f>
        <v>0.33</v>
      </c>
      <c r="F434" s="14" t="n">
        <f aca="false">F431*hsk_A+F432*hss+F433*hmu_A</f>
        <v>0.33</v>
      </c>
      <c r="G434" s="14" t="n">
        <f aca="false">G431*hsk_A+G432*hss+G433*hmu_A</f>
        <v>0.33</v>
      </c>
    </row>
    <row r="435" customFormat="false" ht="17.15" hidden="false" customHeight="false" outlineLevel="0" collapsed="false">
      <c r="A435" s="4" t="s">
        <v>459</v>
      </c>
      <c r="B435" s="4" t="s">
        <v>413</v>
      </c>
      <c r="C435" s="11" t="n">
        <f aca="false">C430*C434</f>
        <v>270.440441352942</v>
      </c>
      <c r="D435" s="11" t="n">
        <f aca="false">D430*D434</f>
        <v>268.796851817308</v>
      </c>
      <c r="E435" s="11" t="n">
        <f aca="false">E430*E434</f>
        <v>292.353481009615</v>
      </c>
      <c r="F435" s="11" t="n">
        <f aca="false">F430*F434</f>
        <v>317.425715541</v>
      </c>
      <c r="G435" s="11" t="n">
        <f aca="false">G430*G434</f>
        <v>197.895094532592</v>
      </c>
    </row>
    <row r="436" customFormat="false" ht="17.15" hidden="false" customHeight="false" outlineLevel="0" collapsed="false">
      <c r="A436" s="6" t="s">
        <v>460</v>
      </c>
    </row>
    <row r="437" customFormat="false" ht="17.15" hidden="false" customHeight="false" outlineLevel="0" collapsed="false">
      <c r="A437" s="4" t="s">
        <v>461</v>
      </c>
      <c r="B437" s="4" t="s">
        <v>226</v>
      </c>
      <c r="C437" s="11" t="n">
        <f aca="false">a25_rev-a25_hbm</f>
        <v>2895.034</v>
      </c>
      <c r="D437" s="11" t="n">
        <f aca="false">C437*(1+g_o26)</f>
        <v>3329.2891</v>
      </c>
      <c r="E437" s="11" t="n">
        <f aca="false">D437*(1+g_o_A)</f>
        <v>3728.803792</v>
      </c>
      <c r="F437" s="11" t="n">
        <f aca="false">E437*(1+g_o_A)</f>
        <v>4176.26024704</v>
      </c>
      <c r="G437" s="11" t="n">
        <f aca="false">F437*(1+g_o_A)</f>
        <v>4677.4114766848</v>
      </c>
    </row>
    <row r="438" customFormat="false" ht="17.15" hidden="false" customHeight="false" outlineLevel="0" collapsed="false">
      <c r="A438" s="0" t="s">
        <v>462</v>
      </c>
      <c r="B438" s="4" t="s">
        <v>226</v>
      </c>
      <c r="C438" s="11" t="n">
        <f aca="false">a25_hbm</f>
        <v>2871.966</v>
      </c>
      <c r="D438" s="11" t="n">
        <f aca="false">rev26-D437</f>
        <v>4210.5109</v>
      </c>
      <c r="E438" s="11" t="n">
        <f aca="false">$C439*E435</f>
        <v>3839.84342720795</v>
      </c>
      <c r="F438" s="11" t="n">
        <f aca="false">$C439*F435</f>
        <v>4169.14839952531</v>
      </c>
      <c r="G438" s="11" t="n">
        <f aca="false">$C439*G435</f>
        <v>2599.20345532906</v>
      </c>
      <c r="I438" s="8" t="s">
        <v>463</v>
      </c>
    </row>
    <row r="439" customFormat="false" ht="17.15" hidden="false" customHeight="false" outlineLevel="0" collapsed="false">
      <c r="A439" s="4" t="s">
        <v>464</v>
      </c>
      <c r="B439" s="4" t="s">
        <v>465</v>
      </c>
      <c r="C439" s="18" t="n">
        <f aca="false">(C438+D438)/(C435+D435)</f>
        <v>13.1342490397153</v>
      </c>
      <c r="I439" s="4" t="s">
        <v>466</v>
      </c>
    </row>
    <row r="440" customFormat="false" ht="15" hidden="false" customHeight="false" outlineLevel="0" collapsed="false">
      <c r="A440" s="4" t="s">
        <v>366</v>
      </c>
      <c r="B440" s="4" t="s">
        <v>226</v>
      </c>
      <c r="C440" s="11" t="n">
        <f aca="false">a25_rev</f>
        <v>5767</v>
      </c>
      <c r="D440" s="11" t="n">
        <f aca="false">D437+D438</f>
        <v>7539.8</v>
      </c>
      <c r="E440" s="11" t="n">
        <f aca="false">E437+E438</f>
        <v>7568.64721920796</v>
      </c>
      <c r="F440" s="11" t="n">
        <f aca="false">F437+F438</f>
        <v>8345.40864656531</v>
      </c>
      <c r="G440" s="11" t="n">
        <f aca="false">G437+G438</f>
        <v>7276.61493201386</v>
      </c>
    </row>
    <row r="441" customFormat="false" ht="17.15" hidden="false" customHeight="false" outlineLevel="0" collapsed="false">
      <c r="A441" s="0" t="s">
        <v>467</v>
      </c>
      <c r="B441" s="0" t="s">
        <v>62</v>
      </c>
      <c r="C441" s="14" t="n">
        <f aca="false">C438/C440</f>
        <v>0.498</v>
      </c>
      <c r="D441" s="14" t="n">
        <f aca="false">D438/D440</f>
        <v>0.558438008965755</v>
      </c>
      <c r="E441" s="14" t="n">
        <f aca="false">E438/E440</f>
        <v>0.507335500783162</v>
      </c>
      <c r="F441" s="14" t="n">
        <f aca="false">F438/F440</f>
        <v>0.499573906574508</v>
      </c>
      <c r="G441" s="14" t="n">
        <f aca="false">G438/G440</f>
        <v>0.357199532971536</v>
      </c>
    </row>
    <row r="442" customFormat="false" ht="17.15" hidden="false" customHeight="false" outlineLevel="0" collapsed="false">
      <c r="A442" s="4" t="s">
        <v>468</v>
      </c>
      <c r="B442" s="4" t="s">
        <v>226</v>
      </c>
      <c r="C442" s="11" t="n">
        <f aca="false">opex25</f>
        <v>806.7</v>
      </c>
      <c r="D442" s="11" t="n">
        <f aca="false">opex_fix+opex_var*D440</f>
        <v>930.691482573261</v>
      </c>
      <c r="E442" s="11" t="n">
        <f aca="false">opex_fix+opex_var*E440</f>
        <v>932.709087197421</v>
      </c>
      <c r="F442" s="11" t="n">
        <f aca="false">opex_fix+opex_var*F440</f>
        <v>987.036592264976</v>
      </c>
      <c r="G442" s="11" t="n">
        <f aca="false">opex_fix+opex_var*G440</f>
        <v>912.284044187236</v>
      </c>
      <c r="I442" s="4" t="s">
        <v>469</v>
      </c>
    </row>
    <row r="443" customFormat="false" ht="17.15" hidden="false" customHeight="false" outlineLevel="0" collapsed="false">
      <c r="A443" s="4" t="s">
        <v>436</v>
      </c>
      <c r="B443" s="0" t="s">
        <v>62</v>
      </c>
      <c r="C443" s="14" t="n">
        <f aca="false">a25_gp/a25_rev</f>
        <v>0.575793306745275</v>
      </c>
      <c r="D443" s="14" t="n">
        <f aca="false">(oi26+D442)/D440</f>
        <v>0.595267179842073</v>
      </c>
      <c r="E443" s="14" t="n">
        <f aca="false">$D443+0</f>
        <v>0.595267179842073</v>
      </c>
      <c r="F443" s="14" t="n">
        <f aca="false">$D443+0</f>
        <v>0.595267179842073</v>
      </c>
      <c r="G443" s="14" t="n">
        <f aca="false">$D443+0</f>
        <v>0.595267179842073</v>
      </c>
      <c r="I443" s="8" t="s">
        <v>470</v>
      </c>
    </row>
    <row r="444" customFormat="false" ht="15" hidden="false" customHeight="false" outlineLevel="0" collapsed="false">
      <c r="A444" s="4" t="s">
        <v>371</v>
      </c>
      <c r="B444" s="4" t="s">
        <v>226</v>
      </c>
      <c r="C444" s="11" t="n">
        <f aca="false">C440*C443</f>
        <v>3320.6</v>
      </c>
      <c r="D444" s="11" t="n">
        <f aca="false">D440*D443</f>
        <v>4488.19548257326</v>
      </c>
      <c r="E444" s="11" t="n">
        <f aca="false">E440*E443</f>
        <v>4505.36728539747</v>
      </c>
      <c r="F444" s="11" t="n">
        <f aca="false">F440*F443</f>
        <v>4967.74786967058</v>
      </c>
      <c r="G444" s="11" t="n">
        <f aca="false">G440*G443</f>
        <v>4331.53004937661</v>
      </c>
    </row>
    <row r="445" customFormat="false" ht="15" hidden="false" customHeight="false" outlineLevel="0" collapsed="false">
      <c r="A445" s="4" t="s">
        <v>374</v>
      </c>
      <c r="B445" s="4" t="s">
        <v>226</v>
      </c>
      <c r="C445" s="11" t="n">
        <f aca="false">a25_oi</f>
        <v>2513.9</v>
      </c>
      <c r="D445" s="11" t="n">
        <f aca="false">oi26</f>
        <v>3557.504</v>
      </c>
      <c r="E445" s="11" t="n">
        <f aca="false">E444-E442</f>
        <v>3572.65819820005</v>
      </c>
      <c r="F445" s="11" t="n">
        <f aca="false">F444-F442</f>
        <v>3980.71127740561</v>
      </c>
      <c r="G445" s="11" t="n">
        <f aca="false">G444-G442</f>
        <v>3419.24600518937</v>
      </c>
    </row>
    <row r="446" customFormat="false" ht="15" hidden="false" customHeight="false" outlineLevel="0" collapsed="false">
      <c r="A446" s="4" t="s">
        <v>377</v>
      </c>
      <c r="B446" s="0" t="s">
        <v>62</v>
      </c>
      <c r="C446" s="14" t="n">
        <f aca="false">C445/C440</f>
        <v>0.435911219004682</v>
      </c>
      <c r="D446" s="14" t="n">
        <f aca="false">D445/D440</f>
        <v>0.471830022016499</v>
      </c>
      <c r="E446" s="14" t="n">
        <f aca="false">E445/E440</f>
        <v>0.472033917650864</v>
      </c>
      <c r="F446" s="14" t="n">
        <f aca="false">F445/F440</f>
        <v>0.476994170805996</v>
      </c>
      <c r="G446" s="14" t="n">
        <f aca="false">G445/G440</f>
        <v>0.469895141784433</v>
      </c>
    </row>
    <row r="447" customFormat="false" ht="15" hidden="false" customHeight="false" outlineLevel="0" collapsed="false">
      <c r="A447" s="4" t="s">
        <v>437</v>
      </c>
      <c r="B447" s="4" t="s">
        <v>226</v>
      </c>
      <c r="C447" s="11" t="n">
        <f aca="false">a25_ni</f>
        <v>2140</v>
      </c>
      <c r="D447" s="11" t="n">
        <f aca="false">D445*nioi</f>
        <v>3028.38560006365</v>
      </c>
      <c r="E447" s="11" t="n">
        <f aca="false">E445*nioi</f>
        <v>3041.28586823187</v>
      </c>
      <c r="F447" s="11" t="n">
        <f aca="false">F445*nioi</f>
        <v>3388.64797074187</v>
      </c>
      <c r="G447" s="11" t="n">
        <f aca="false">G445*nioi</f>
        <v>2910.6911377164</v>
      </c>
    </row>
    <row r="448" customFormat="false" ht="15" hidden="false" customHeight="false" outlineLevel="0" collapsed="false">
      <c r="A448" s="0" t="s">
        <v>438</v>
      </c>
      <c r="B448" s="0" t="s">
        <v>302</v>
      </c>
      <c r="C448" s="11" t="n">
        <f aca="false">a25_eps</f>
        <v>2231.7</v>
      </c>
      <c r="D448" s="11" t="n">
        <f aca="false">D447*100/shares</f>
        <v>3158.15333815983</v>
      </c>
      <c r="E448" s="11" t="n">
        <f aca="false">E447*100/shares</f>
        <v>3171.60638884723</v>
      </c>
      <c r="F448" s="11" t="n">
        <f aca="false">F447*100/shares</f>
        <v>3533.85311976852</v>
      </c>
      <c r="G448" s="11" t="n">
        <f aca="false">G447*100/shares</f>
        <v>3035.41561310359</v>
      </c>
    </row>
    <row r="449" customFormat="false" ht="17.15" hidden="false" customHeight="false" outlineLevel="0" collapsed="false">
      <c r="A449" s="4" t="s">
        <v>471</v>
      </c>
      <c r="B449" s="4" t="s">
        <v>226</v>
      </c>
      <c r="C449" s="11" t="n">
        <f aca="false">$C439*C430</f>
        <v>8621.43715325253</v>
      </c>
      <c r="D449" s="11" t="n">
        <f aca="false">$C439*D430</f>
        <v>10414.2914243657</v>
      </c>
      <c r="E449" s="11" t="n">
        <f aca="false">$C439*E430</f>
        <v>11635.8891733574</v>
      </c>
      <c r="F449" s="11" t="n">
        <f aca="false">$C439*F430</f>
        <v>12633.7830288646</v>
      </c>
      <c r="G449" s="11" t="n">
        <f aca="false">$C439*G430</f>
        <v>7876.37410705775</v>
      </c>
      <c r="I449" s="4" t="s">
        <v>472</v>
      </c>
    </row>
    <row r="450" customFormat="false" ht="15" hidden="false" customHeight="false" outlineLevel="0" collapsed="false">
      <c r="A450" s="4" t="s">
        <v>473</v>
      </c>
      <c r="B450" s="0" t="s">
        <v>333</v>
      </c>
      <c r="C450" s="11" t="n">
        <f aca="false">C449/fx*100</f>
        <v>607.143461496657</v>
      </c>
      <c r="D450" s="11" t="n">
        <f aca="false">D449/fx*100</f>
        <v>733.400804532793</v>
      </c>
      <c r="E450" s="11" t="n">
        <f aca="false">E449/fx*100</f>
        <v>819.428815025171</v>
      </c>
      <c r="F450" s="11" t="n">
        <f aca="false">F449/fx*100</f>
        <v>889.70303020173</v>
      </c>
      <c r="G450" s="11" t="n">
        <f aca="false">G449/fx*100</f>
        <v>554.674232891391</v>
      </c>
    </row>
    <row r="460" customFormat="false" ht="17.15" hidden="false" customHeight="false" outlineLevel="0" collapsed="false">
      <c r="A460" s="1" t="s">
        <v>670</v>
      </c>
    </row>
    <row r="461" customFormat="false" ht="15" hidden="false" customHeight="false" outlineLevel="0" collapsed="false">
      <c r="A461" s="5" t="s">
        <v>14</v>
      </c>
      <c r="B461" s="5" t="s">
        <v>15</v>
      </c>
      <c r="C461" s="9" t="s">
        <v>401</v>
      </c>
      <c r="D461" s="9" t="s">
        <v>402</v>
      </c>
      <c r="E461" s="9" t="s">
        <v>403</v>
      </c>
      <c r="F461" s="9" t="s">
        <v>404</v>
      </c>
      <c r="G461" s="9" t="s">
        <v>405</v>
      </c>
      <c r="H461" s="9" t="s">
        <v>406</v>
      </c>
      <c r="I461" s="5" t="s">
        <v>407</v>
      </c>
    </row>
    <row r="462" customFormat="false" ht="17.15" hidden="false" customHeight="false" outlineLevel="0" collapsed="false">
      <c r="A462" s="6" t="s">
        <v>441</v>
      </c>
    </row>
    <row r="463" customFormat="false" ht="17.15" hidden="false" customHeight="false" outlineLevel="0" collapsed="false">
      <c r="A463" s="0" t="s">
        <v>442</v>
      </c>
      <c r="B463" s="0" t="s">
        <v>25</v>
      </c>
      <c r="C463" s="17" t="n">
        <f aca="false">hsA_25</f>
        <v>2.22511470588235</v>
      </c>
      <c r="D463" s="17" t="n">
        <f aca="false">hsA_26</f>
        <v>3.782695</v>
      </c>
      <c r="E463" s="17" t="n">
        <f aca="false">hsA_27</f>
        <v>5.86317725</v>
      </c>
      <c r="F463" s="17" t="n">
        <f aca="false">hsA_28</f>
        <v>8.5016070125</v>
      </c>
      <c r="G463" s="17" t="n">
        <f aca="false">hsA_29</f>
        <v>11.477169466875</v>
      </c>
      <c r="H463" s="17" t="n">
        <f aca="false">G463*(1+g_tail)</f>
        <v>12.6248864135625</v>
      </c>
      <c r="I463" s="8" t="s">
        <v>443</v>
      </c>
    </row>
    <row r="464" customFormat="false" ht="17.15" hidden="false" customHeight="false" outlineLevel="0" collapsed="false">
      <c r="A464" s="0" t="s">
        <v>444</v>
      </c>
      <c r="B464" s="0" t="s">
        <v>445</v>
      </c>
      <c r="C464" s="15" t="n">
        <f aca="false">den_25</f>
        <v>24</v>
      </c>
      <c r="D464" s="15" t="n">
        <f aca="false">den_26</f>
        <v>24</v>
      </c>
      <c r="E464" s="15" t="n">
        <f aca="false">den_27</f>
        <v>26</v>
      </c>
      <c r="F464" s="15" t="n">
        <f aca="false">den_28</f>
        <v>28</v>
      </c>
      <c r="G464" s="15" t="n">
        <f aca="false">den_29</f>
        <v>30</v>
      </c>
      <c r="H464" s="15" t="n">
        <f aca="false">den_30</f>
        <v>32</v>
      </c>
    </row>
    <row r="465" customFormat="false" ht="17.15" hidden="false" customHeight="false" outlineLevel="0" collapsed="false">
      <c r="A465" s="4" t="s">
        <v>446</v>
      </c>
      <c r="B465" s="4" t="s">
        <v>411</v>
      </c>
      <c r="C465" s="11" t="n">
        <f aca="false">C463*8000/C464</f>
        <v>741.704901960783</v>
      </c>
      <c r="D465" s="11" t="n">
        <f aca="false">D463*8000/D464</f>
        <v>1260.89833333333</v>
      </c>
      <c r="E465" s="11" t="n">
        <f aca="false">E463*8000/E464</f>
        <v>1804.05453846154</v>
      </c>
      <c r="F465" s="11" t="n">
        <f aca="false">F463*8000/F464</f>
        <v>2429.030575</v>
      </c>
      <c r="G465" s="11" t="n">
        <f aca="false">G463*8000/G464</f>
        <v>3060.5785245</v>
      </c>
      <c r="H465" s="11" t="n">
        <f aca="false">H463*8000/H464</f>
        <v>3156.22160339063</v>
      </c>
      <c r="I465" s="8" t="s">
        <v>447</v>
      </c>
    </row>
    <row r="466" customFormat="false" ht="15" hidden="false" customHeight="false" outlineLevel="0" collapsed="false">
      <c r="A466" s="4" t="s">
        <v>448</v>
      </c>
      <c r="B466" s="4" t="s">
        <v>89</v>
      </c>
      <c r="C466" s="15" t="n">
        <f aca="false">stk_25_hi</f>
        <v>12</v>
      </c>
      <c r="D466" s="15" t="n">
        <f aca="false">stk_26_hi</f>
        <v>12</v>
      </c>
      <c r="E466" s="15" t="n">
        <f aca="false">stk_27_hi</f>
        <v>14</v>
      </c>
      <c r="F466" s="15" t="n">
        <f aca="false">stk_28_hi</f>
        <v>16</v>
      </c>
      <c r="G466" s="15" t="n">
        <f aca="false">stk_29_hi</f>
        <v>16</v>
      </c>
      <c r="H466" s="15" t="n">
        <f aca="false">stk_30_hi</f>
        <v>16</v>
      </c>
    </row>
    <row r="467" customFormat="false" ht="15" hidden="false" customHeight="false" outlineLevel="0" collapsed="false">
      <c r="A467" s="4" t="s">
        <v>449</v>
      </c>
      <c r="B467" s="0" t="s">
        <v>109</v>
      </c>
      <c r="C467" s="18" t="n">
        <f aca="false">1+beta*(C466-$C466)/4</f>
        <v>1</v>
      </c>
      <c r="D467" s="18" t="n">
        <f aca="false">1+beta*(D466-$C466)/4</f>
        <v>1</v>
      </c>
      <c r="E467" s="18" t="n">
        <f aca="false">1+beta*(E466-$C466)/4</f>
        <v>1.05</v>
      </c>
      <c r="F467" s="18" t="n">
        <f aca="false">1+beta*(F466-$C466)/4</f>
        <v>1.1</v>
      </c>
      <c r="G467" s="18" t="n">
        <f aca="false">1+beta*(G466-$C466)/4</f>
        <v>1.1</v>
      </c>
      <c r="H467" s="18" t="n">
        <f aca="false">1+beta*(H466-$C466)/4</f>
        <v>1.1</v>
      </c>
    </row>
    <row r="468" customFormat="false" ht="17.15" hidden="false" customHeight="false" outlineLevel="0" collapsed="false">
      <c r="A468" s="4" t="s">
        <v>450</v>
      </c>
      <c r="B468" s="0" t="s">
        <v>62</v>
      </c>
      <c r="C468" s="14" t="n">
        <f aca="false">0</f>
        <v>0</v>
      </c>
      <c r="D468" s="14" t="n">
        <f aca="false">0</f>
        <v>0</v>
      </c>
      <c r="E468" s="14" t="n">
        <f aca="false">0</f>
        <v>0</v>
      </c>
      <c r="F468" s="14" t="n">
        <f aca="false">0</f>
        <v>0</v>
      </c>
      <c r="G468" s="14" t="n">
        <f aca="false">0</f>
        <v>0</v>
      </c>
      <c r="H468" s="14" t="n">
        <f aca="false">0</f>
        <v>0</v>
      </c>
      <c r="I468" s="4" t="s">
        <v>451</v>
      </c>
    </row>
    <row r="469" customFormat="false" ht="17.15" hidden="false" customHeight="false" outlineLevel="0" collapsed="false">
      <c r="A469" s="0" t="s">
        <v>452</v>
      </c>
      <c r="B469" s="4" t="s">
        <v>413</v>
      </c>
      <c r="C469" s="11" t="n">
        <f aca="false">C465*C467*(1-C468)</f>
        <v>741.704901960783</v>
      </c>
      <c r="D469" s="11" t="n">
        <f aca="false">D465*D467*(1-D468)</f>
        <v>1260.89833333333</v>
      </c>
      <c r="E469" s="11" t="n">
        <f aca="false">E465*E467*(1-E468)</f>
        <v>1894.25726538462</v>
      </c>
      <c r="F469" s="11" t="n">
        <f aca="false">F465*F467*(1-F468)</f>
        <v>2671.9336325</v>
      </c>
      <c r="G469" s="11" t="n">
        <f aca="false">G465*G467*(1-G468)</f>
        <v>3366.63637695</v>
      </c>
      <c r="H469" s="11" t="n">
        <f aca="false">H465*H467*(1-H468)</f>
        <v>3471.84376372969</v>
      </c>
    </row>
    <row r="470" customFormat="false" ht="17.15" hidden="false" customHeight="false" outlineLevel="0" collapsed="false">
      <c r="A470" s="4" t="s">
        <v>453</v>
      </c>
      <c r="B470" s="4" t="s">
        <v>413</v>
      </c>
      <c r="C470" s="11" t="n">
        <f aca="false">MAX(0,D469-C469)+dlt*C469</f>
        <v>593.363921568628</v>
      </c>
      <c r="D470" s="11" t="n">
        <f aca="false">MAX(0,E469-D469)+dlt*D469</f>
        <v>759.448765384616</v>
      </c>
      <c r="E470" s="11" t="n">
        <f aca="false">MAX(0,F469-E469)+dlt*E469</f>
        <v>967.102093653846</v>
      </c>
      <c r="F470" s="11" t="n">
        <f aca="false">MAX(0,G469-F469)+dlt*F469</f>
        <v>961.8961077</v>
      </c>
      <c r="G470" s="11" t="n">
        <f aca="false">MAX(0,H469-G469)+dlt*G469</f>
        <v>441.871024474688</v>
      </c>
      <c r="I470" s="4" t="s">
        <v>454</v>
      </c>
    </row>
    <row r="471" customFormat="false" ht="17.15" hidden="false" customHeight="false" outlineLevel="0" collapsed="false">
      <c r="A471" s="0" t="s">
        <v>455</v>
      </c>
      <c r="B471" s="0" t="s">
        <v>62</v>
      </c>
      <c r="C471" s="14" t="n">
        <f aca="false">ms_sk_26/(ms_sk_26+ms_ss_26+ms_mu_26)</f>
        <v>0.52</v>
      </c>
      <c r="D471" s="14" t="n">
        <f aca="false">ms_sk_27/(ms_sk_27+ms_ss_27+ms_mu_27)</f>
        <v>0.42</v>
      </c>
      <c r="E471" s="14" t="n">
        <f aca="false">ms_sk_28/(ms_sk_28+ms_ss_28+ms_mu_28)</f>
        <v>0.4</v>
      </c>
      <c r="F471" s="14" t="n">
        <f aca="false">ms_sk_29/(ms_sk_29+ms_ss_29+ms_mu_29)</f>
        <v>0.4</v>
      </c>
      <c r="G471" s="14" t="n">
        <f aca="false">ms_sk_29/(ms_sk_29+ms_ss_29+ms_mu_29)</f>
        <v>0.4</v>
      </c>
    </row>
    <row r="472" customFormat="false" ht="17.15" hidden="false" customHeight="false" outlineLevel="0" collapsed="false">
      <c r="A472" s="4" t="s">
        <v>456</v>
      </c>
      <c r="B472" s="0" t="s">
        <v>62</v>
      </c>
      <c r="C472" s="14" t="n">
        <f aca="false">ms_ss_26/(ms_sk_26+ms_ss_26+ms_mu_26)</f>
        <v>0.29</v>
      </c>
      <c r="D472" s="14" t="n">
        <f aca="false">ms_ss_27/(ms_sk_27+ms_ss_27+ms_mu_27)</f>
        <v>0.38</v>
      </c>
      <c r="E472" s="14" t="n">
        <f aca="false">ms_ss_28/(ms_sk_28+ms_ss_28+ms_mu_28)</f>
        <v>0.4</v>
      </c>
      <c r="F472" s="14" t="n">
        <f aca="false">ms_ss_29/(ms_sk_29+ms_ss_29+ms_mu_29)</f>
        <v>0.4</v>
      </c>
      <c r="G472" s="14" t="n">
        <f aca="false">ms_ss_29/(ms_sk_29+ms_ss_29+ms_mu_29)</f>
        <v>0.4</v>
      </c>
    </row>
    <row r="473" customFormat="false" ht="17.15" hidden="false" customHeight="false" outlineLevel="0" collapsed="false">
      <c r="A473" s="4" t="s">
        <v>457</v>
      </c>
      <c r="B473" s="0" t="s">
        <v>62</v>
      </c>
      <c r="C473" s="14" t="n">
        <f aca="false">ms_mu_26/(ms_sk_26+ms_ss_26+ms_mu_26)</f>
        <v>0.19</v>
      </c>
      <c r="D473" s="14" t="n">
        <f aca="false">ms_mu_27/(ms_sk_27+ms_ss_27+ms_mu_27)</f>
        <v>0.2</v>
      </c>
      <c r="E473" s="14" t="n">
        <f aca="false">ms_mu_28/(ms_sk_28+ms_ss_28+ms_mu_28)</f>
        <v>0.2</v>
      </c>
      <c r="F473" s="14" t="n">
        <f aca="false">ms_mu_29/(ms_sk_29+ms_ss_29+ms_mu_29)</f>
        <v>0.2</v>
      </c>
      <c r="G473" s="14" t="n">
        <f aca="false">ms_mu_29/(ms_sk_29+ms_ss_29+ms_mu_29)</f>
        <v>0.2</v>
      </c>
    </row>
    <row r="474" customFormat="false" ht="17.15" hidden="false" customHeight="false" outlineLevel="0" collapsed="false">
      <c r="A474" s="4" t="s">
        <v>458</v>
      </c>
      <c r="B474" s="0" t="s">
        <v>62</v>
      </c>
      <c r="C474" s="14" t="n">
        <f aca="false">C471*hsk_25+C472*hss+C473*hmu_25</f>
        <v>0.412</v>
      </c>
      <c r="D474" s="14" t="n">
        <f aca="false">D471*hsk_A+D472*hss+D473*hmu_A</f>
        <v>0.339</v>
      </c>
      <c r="E474" s="14" t="n">
        <f aca="false">E471*hsk_A+E472*hss+E473*hmu_A</f>
        <v>0.33</v>
      </c>
      <c r="F474" s="14" t="n">
        <f aca="false">F471*hsk_A+F472*hss+F473*hmu_A</f>
        <v>0.33</v>
      </c>
      <c r="G474" s="14" t="n">
        <f aca="false">G471*hsk_A+G472*hss+G473*hmu_A</f>
        <v>0.33</v>
      </c>
    </row>
    <row r="475" customFormat="false" ht="17.15" hidden="false" customHeight="false" outlineLevel="0" collapsed="false">
      <c r="A475" s="4" t="s">
        <v>459</v>
      </c>
      <c r="B475" s="4" t="s">
        <v>413</v>
      </c>
      <c r="C475" s="11" t="n">
        <f aca="false">C470*C474</f>
        <v>244.465935686275</v>
      </c>
      <c r="D475" s="11" t="n">
        <f aca="false">D470*D474</f>
        <v>257.453131465385</v>
      </c>
      <c r="E475" s="11" t="n">
        <f aca="false">E470*E474</f>
        <v>319.143690905769</v>
      </c>
      <c r="F475" s="11" t="n">
        <f aca="false">F470*F474</f>
        <v>317.425715541</v>
      </c>
      <c r="G475" s="11" t="n">
        <f aca="false">G470*G474</f>
        <v>145.817438076647</v>
      </c>
    </row>
    <row r="476" customFormat="false" ht="17.15" hidden="false" customHeight="false" outlineLevel="0" collapsed="false">
      <c r="A476" s="6" t="s">
        <v>460</v>
      </c>
    </row>
    <row r="477" customFormat="false" ht="17.15" hidden="false" customHeight="false" outlineLevel="0" collapsed="false">
      <c r="A477" s="4" t="s">
        <v>461</v>
      </c>
      <c r="B477" s="4" t="s">
        <v>226</v>
      </c>
      <c r="C477" s="11" t="n">
        <f aca="false">a25_rev-a25_hbm</f>
        <v>2895.034</v>
      </c>
      <c r="D477" s="11" t="n">
        <f aca="false">C477*(1+g_o26)</f>
        <v>3329.2891</v>
      </c>
      <c r="E477" s="11" t="n">
        <f aca="false">D477*(1+g_o_A)</f>
        <v>3728.803792</v>
      </c>
      <c r="F477" s="11" t="n">
        <f aca="false">E477*(1+g_o_A)</f>
        <v>4176.26024704</v>
      </c>
      <c r="G477" s="11" t="n">
        <f aca="false">F477*(1+g_o_A)</f>
        <v>4677.4114766848</v>
      </c>
    </row>
    <row r="478" customFormat="false" ht="17.15" hidden="false" customHeight="false" outlineLevel="0" collapsed="false">
      <c r="A478" s="0" t="s">
        <v>462</v>
      </c>
      <c r="B478" s="4" t="s">
        <v>226</v>
      </c>
      <c r="C478" s="11" t="n">
        <f aca="false">a25_hbm</f>
        <v>2871.966</v>
      </c>
      <c r="D478" s="11" t="n">
        <f aca="false">rev26-D477</f>
        <v>4210.5109</v>
      </c>
      <c r="E478" s="11" t="n">
        <f aca="false">$C479*E475</f>
        <v>4503.37109416461</v>
      </c>
      <c r="F478" s="11" t="n">
        <f aca="false">$C479*F475</f>
        <v>4479.1290965358</v>
      </c>
      <c r="G478" s="11" t="n">
        <f aca="false">$C479*G475</f>
        <v>2057.59992872113</v>
      </c>
      <c r="I478" s="8" t="s">
        <v>463</v>
      </c>
    </row>
    <row r="479" customFormat="false" ht="17.15" hidden="false" customHeight="false" outlineLevel="0" collapsed="false">
      <c r="A479" s="4" t="s">
        <v>464</v>
      </c>
      <c r="B479" s="4" t="s">
        <v>465</v>
      </c>
      <c r="C479" s="18" t="n">
        <f aca="false">(C478+D478)/(C475+D475)</f>
        <v>14.1107946749111</v>
      </c>
      <c r="I479" s="4" t="s">
        <v>466</v>
      </c>
    </row>
    <row r="480" customFormat="false" ht="15" hidden="false" customHeight="false" outlineLevel="0" collapsed="false">
      <c r="A480" s="4" t="s">
        <v>366</v>
      </c>
      <c r="B480" s="4" t="s">
        <v>226</v>
      </c>
      <c r="C480" s="11" t="n">
        <f aca="false">a25_rev</f>
        <v>5767</v>
      </c>
      <c r="D480" s="11" t="n">
        <f aca="false">D477+D478</f>
        <v>7539.8</v>
      </c>
      <c r="E480" s="11" t="n">
        <f aca="false">E477+E478</f>
        <v>8232.17488616461</v>
      </c>
      <c r="F480" s="11" t="n">
        <f aca="false">F477+F478</f>
        <v>8655.3893435758</v>
      </c>
      <c r="G480" s="11" t="n">
        <f aca="false">G477+G478</f>
        <v>6735.01140540594</v>
      </c>
    </row>
    <row r="481" customFormat="false" ht="17.15" hidden="false" customHeight="false" outlineLevel="0" collapsed="false">
      <c r="A481" s="0" t="s">
        <v>467</v>
      </c>
      <c r="B481" s="0" t="s">
        <v>62</v>
      </c>
      <c r="C481" s="14" t="n">
        <f aca="false">C478/C480</f>
        <v>0.498</v>
      </c>
      <c r="D481" s="14" t="n">
        <f aca="false">D478/D480</f>
        <v>0.558438008965755</v>
      </c>
      <c r="E481" s="14" t="n">
        <f aca="false">E478/E480</f>
        <v>0.547045119477867</v>
      </c>
      <c r="F481" s="14" t="n">
        <f aca="false">F478/F480</f>
        <v>0.517495969128217</v>
      </c>
      <c r="G481" s="14" t="n">
        <f aca="false">G478/G480</f>
        <v>0.305508009543915</v>
      </c>
    </row>
    <row r="482" customFormat="false" ht="17.15" hidden="false" customHeight="false" outlineLevel="0" collapsed="false">
      <c r="A482" s="4" t="s">
        <v>468</v>
      </c>
      <c r="B482" s="4" t="s">
        <v>226</v>
      </c>
      <c r="C482" s="11" t="n">
        <f aca="false">opex25</f>
        <v>806.7</v>
      </c>
      <c r="D482" s="11" t="n">
        <f aca="false">opex_fix+opex_var*D480</f>
        <v>930.691482573261</v>
      </c>
      <c r="E482" s="11" t="n">
        <f aca="false">opex_fix+opex_var*E480</f>
        <v>979.116904861192</v>
      </c>
      <c r="F482" s="11" t="n">
        <f aca="false">opex_fix+opex_var*F480</f>
        <v>1008.71696579353</v>
      </c>
      <c r="G482" s="11" t="n">
        <f aca="false">opex_fix+opex_var*G480</f>
        <v>874.403728172444</v>
      </c>
      <c r="I482" s="4" t="s">
        <v>469</v>
      </c>
    </row>
    <row r="483" customFormat="false" ht="17.15" hidden="false" customHeight="false" outlineLevel="0" collapsed="false">
      <c r="A483" s="4" t="s">
        <v>436</v>
      </c>
      <c r="B483" s="0" t="s">
        <v>62</v>
      </c>
      <c r="C483" s="14" t="n">
        <f aca="false">a25_gp/a25_rev</f>
        <v>0.575793306745275</v>
      </c>
      <c r="D483" s="14" t="n">
        <f aca="false">(oi26+D482)/D480</f>
        <v>0.595267179842073</v>
      </c>
      <c r="E483" s="14" t="n">
        <f aca="false">$D483+0</f>
        <v>0.595267179842073</v>
      </c>
      <c r="F483" s="14" t="n">
        <f aca="false">$D483+0</f>
        <v>0.595267179842073</v>
      </c>
      <c r="G483" s="14" t="n">
        <f aca="false">$D483+0</f>
        <v>0.595267179842073</v>
      </c>
      <c r="I483" s="8" t="s">
        <v>470</v>
      </c>
    </row>
    <row r="484" customFormat="false" ht="15" hidden="false" customHeight="false" outlineLevel="0" collapsed="false">
      <c r="A484" s="4" t="s">
        <v>371</v>
      </c>
      <c r="B484" s="4" t="s">
        <v>226</v>
      </c>
      <c r="C484" s="11" t="n">
        <f aca="false">C480*C483</f>
        <v>3320.6</v>
      </c>
      <c r="D484" s="11" t="n">
        <f aca="false">D480*D483</f>
        <v>4488.19548257326</v>
      </c>
      <c r="E484" s="11" t="n">
        <f aca="false">E480*E483</f>
        <v>4900.34352845395</v>
      </c>
      <c r="F484" s="11" t="n">
        <f aca="false">F480*F483</f>
        <v>5152.2692049855</v>
      </c>
      <c r="G484" s="11" t="n">
        <f aca="false">G480*G483</f>
        <v>4009.13124550019</v>
      </c>
    </row>
    <row r="485" customFormat="false" ht="15" hidden="false" customHeight="false" outlineLevel="0" collapsed="false">
      <c r="A485" s="4" t="s">
        <v>374</v>
      </c>
      <c r="B485" s="4" t="s">
        <v>226</v>
      </c>
      <c r="C485" s="11" t="n">
        <f aca="false">a25_oi</f>
        <v>2513.9</v>
      </c>
      <c r="D485" s="11" t="n">
        <f aca="false">oi26</f>
        <v>3557.504</v>
      </c>
      <c r="E485" s="11" t="n">
        <f aca="false">E484-E482</f>
        <v>3921.22662359275</v>
      </c>
      <c r="F485" s="11" t="n">
        <f aca="false">F484-F482</f>
        <v>4143.55223919197</v>
      </c>
      <c r="G485" s="11" t="n">
        <f aca="false">G484-G482</f>
        <v>3134.72751732774</v>
      </c>
    </row>
    <row r="486" customFormat="false" ht="15" hidden="false" customHeight="false" outlineLevel="0" collapsed="false">
      <c r="A486" s="4" t="s">
        <v>377</v>
      </c>
      <c r="B486" s="0" t="s">
        <v>62</v>
      </c>
      <c r="C486" s="14" t="n">
        <f aca="false">C485/C480</f>
        <v>0.435911219004682</v>
      </c>
      <c r="D486" s="14" t="n">
        <f aca="false">D485/D480</f>
        <v>0.471830022016499</v>
      </c>
      <c r="E486" s="14" t="n">
        <f aca="false">E485/E480</f>
        <v>0.476329363481205</v>
      </c>
      <c r="F486" s="14" t="n">
        <f aca="false">F485/F480</f>
        <v>0.478725112726141</v>
      </c>
      <c r="G486" s="14" t="n">
        <f aca="false">G485/G480</f>
        <v>0.465437595964814</v>
      </c>
    </row>
    <row r="487" customFormat="false" ht="15" hidden="false" customHeight="false" outlineLevel="0" collapsed="false">
      <c r="A487" s="4" t="s">
        <v>437</v>
      </c>
      <c r="B487" s="4" t="s">
        <v>226</v>
      </c>
      <c r="C487" s="11" t="n">
        <f aca="false">a25_ni</f>
        <v>2140</v>
      </c>
      <c r="D487" s="11" t="n">
        <f aca="false">D485*nioi</f>
        <v>3028.38560006365</v>
      </c>
      <c r="E487" s="11" t="n">
        <f aca="false">E485*nioi</f>
        <v>3338.01065057818</v>
      </c>
      <c r="F487" s="11" t="n">
        <f aca="false">F485*nioi</f>
        <v>3527.26910054927</v>
      </c>
      <c r="G487" s="11" t="n">
        <f aca="false">G485*nioi</f>
        <v>2668.48995070662</v>
      </c>
    </row>
    <row r="488" customFormat="false" ht="15" hidden="false" customHeight="false" outlineLevel="0" collapsed="false">
      <c r="A488" s="0" t="s">
        <v>438</v>
      </c>
      <c r="B488" s="0" t="s">
        <v>302</v>
      </c>
      <c r="C488" s="11" t="n">
        <f aca="false">a25_eps</f>
        <v>2231.7</v>
      </c>
      <c r="D488" s="11" t="n">
        <f aca="false">D487*100/shares</f>
        <v>3158.15333815983</v>
      </c>
      <c r="E488" s="11" t="n">
        <f aca="false">E487*100/shares</f>
        <v>3481.04596677352</v>
      </c>
      <c r="F488" s="11" t="n">
        <f aca="false">F487*100/shares</f>
        <v>3678.41422976439</v>
      </c>
      <c r="G488" s="11" t="n">
        <f aca="false">G487*100/shares</f>
        <v>2782.83599205232</v>
      </c>
    </row>
    <row r="489" customFormat="false" ht="17.15" hidden="false" customHeight="false" outlineLevel="0" collapsed="false">
      <c r="A489" s="4" t="s">
        <v>471</v>
      </c>
      <c r="B489" s="4" t="s">
        <v>226</v>
      </c>
      <c r="C489" s="11" t="n">
        <f aca="false">$C479*C470</f>
        <v>8372.83646475499</v>
      </c>
      <c r="D489" s="11" t="n">
        <f aca="false">$C479*D470</f>
        <v>10716.4255944571</v>
      </c>
      <c r="E489" s="11" t="n">
        <f aca="false">$C479*E470</f>
        <v>13646.5790732261</v>
      </c>
      <c r="F489" s="11" t="n">
        <f aca="false">$C479*F470</f>
        <v>13573.1184743509</v>
      </c>
      <c r="G489" s="11" t="n">
        <f aca="false">$C479*G470</f>
        <v>6235.15129915495</v>
      </c>
      <c r="I489" s="4" t="s">
        <v>472</v>
      </c>
    </row>
    <row r="490" customFormat="false" ht="15" hidden="false" customHeight="false" outlineLevel="0" collapsed="false">
      <c r="A490" s="4" t="s">
        <v>473</v>
      </c>
      <c r="B490" s="0" t="s">
        <v>333</v>
      </c>
      <c r="C490" s="11" t="n">
        <f aca="false">C489/fx*100</f>
        <v>589.636370757393</v>
      </c>
      <c r="D490" s="11" t="n">
        <f aca="false">D489/fx*100</f>
        <v>754.677858764582</v>
      </c>
      <c r="E490" s="11" t="n">
        <f aca="false">E489/fx*100</f>
        <v>961.026695297612</v>
      </c>
      <c r="F490" s="11" t="n">
        <f aca="false">F489/fx*100</f>
        <v>955.853413686684</v>
      </c>
      <c r="G490" s="11" t="n">
        <f aca="false">G489/fx*100</f>
        <v>439.09516191232</v>
      </c>
    </row>
    <row r="500" customFormat="false" ht="17.15" hidden="false" customHeight="false" outlineLevel="0" collapsed="false">
      <c r="A500" s="1" t="s">
        <v>671</v>
      </c>
    </row>
    <row r="501" customFormat="false" ht="15" hidden="false" customHeight="false" outlineLevel="0" collapsed="false">
      <c r="A501" s="5" t="s">
        <v>14</v>
      </c>
      <c r="B501" s="5" t="s">
        <v>15</v>
      </c>
      <c r="C501" s="9" t="s">
        <v>401</v>
      </c>
      <c r="D501" s="9" t="s">
        <v>402</v>
      </c>
      <c r="E501" s="9" t="s">
        <v>403</v>
      </c>
      <c r="F501" s="9" t="s">
        <v>404</v>
      </c>
      <c r="G501" s="9" t="s">
        <v>405</v>
      </c>
      <c r="H501" s="9" t="s">
        <v>406</v>
      </c>
      <c r="I501" s="5" t="s">
        <v>407</v>
      </c>
    </row>
    <row r="502" customFormat="false" ht="17.15" hidden="false" customHeight="false" outlineLevel="0" collapsed="false">
      <c r="A502" s="6" t="s">
        <v>441</v>
      </c>
    </row>
    <row r="503" customFormat="false" ht="17.15" hidden="false" customHeight="false" outlineLevel="0" collapsed="false">
      <c r="A503" s="0" t="s">
        <v>442</v>
      </c>
      <c r="B503" s="0" t="s">
        <v>25</v>
      </c>
      <c r="C503" s="17" t="n">
        <f aca="false">hsA_25</f>
        <v>2.22511470588235</v>
      </c>
      <c r="D503" s="17" t="n">
        <f aca="false">hsA_26</f>
        <v>3.782695</v>
      </c>
      <c r="E503" s="17" t="n">
        <f aca="false">hsA_27</f>
        <v>5.86317725</v>
      </c>
      <c r="F503" s="17" t="n">
        <f aca="false">hsA_28</f>
        <v>8.5016070125</v>
      </c>
      <c r="G503" s="17" t="n">
        <f aca="false">hsA_29</f>
        <v>11.477169466875</v>
      </c>
      <c r="H503" s="17" t="n">
        <f aca="false">G503*(1+g_tail)</f>
        <v>12.6248864135625</v>
      </c>
      <c r="I503" s="8" t="s">
        <v>443</v>
      </c>
    </row>
    <row r="504" customFormat="false" ht="17.15" hidden="false" customHeight="false" outlineLevel="0" collapsed="false">
      <c r="A504" s="0" t="s">
        <v>444</v>
      </c>
      <c r="B504" s="0" t="s">
        <v>445</v>
      </c>
      <c r="C504" s="15" t="n">
        <f aca="false">den_25</f>
        <v>24</v>
      </c>
      <c r="D504" s="15" t="n">
        <f aca="false">den_26</f>
        <v>24</v>
      </c>
      <c r="E504" s="15" t="n">
        <f aca="false">den_27</f>
        <v>26</v>
      </c>
      <c r="F504" s="15" t="n">
        <f aca="false">den_28</f>
        <v>28</v>
      </c>
      <c r="G504" s="15" t="n">
        <f aca="false">den_29</f>
        <v>30</v>
      </c>
      <c r="H504" s="15" t="n">
        <f aca="false">den_30</f>
        <v>32</v>
      </c>
    </row>
    <row r="505" customFormat="false" ht="17.15" hidden="false" customHeight="false" outlineLevel="0" collapsed="false">
      <c r="A505" s="4" t="s">
        <v>446</v>
      </c>
      <c r="B505" s="4" t="s">
        <v>411</v>
      </c>
      <c r="C505" s="11" t="n">
        <f aca="false">C503*8000/C504</f>
        <v>741.704901960783</v>
      </c>
      <c r="D505" s="11" t="n">
        <f aca="false">D503*8000/D504</f>
        <v>1260.89833333333</v>
      </c>
      <c r="E505" s="11" t="n">
        <f aca="false">E503*8000/E504</f>
        <v>1804.05453846154</v>
      </c>
      <c r="F505" s="11" t="n">
        <f aca="false">F503*8000/F504</f>
        <v>2429.030575</v>
      </c>
      <c r="G505" s="11" t="n">
        <f aca="false">G503*8000/G504</f>
        <v>3060.5785245</v>
      </c>
      <c r="H505" s="11" t="n">
        <f aca="false">H503*8000/H504</f>
        <v>3156.22160339063</v>
      </c>
      <c r="I505" s="8" t="s">
        <v>447</v>
      </c>
    </row>
    <row r="506" customFormat="false" ht="15" hidden="false" customHeight="false" outlineLevel="0" collapsed="false">
      <c r="A506" s="4" t="s">
        <v>448</v>
      </c>
      <c r="B506" s="4" t="s">
        <v>89</v>
      </c>
      <c r="C506" s="15" t="n">
        <f aca="false">stk_25</f>
        <v>10</v>
      </c>
      <c r="D506" s="15" t="n">
        <f aca="false">stk_26</f>
        <v>12</v>
      </c>
      <c r="E506" s="15" t="n">
        <f aca="false">stk_27</f>
        <v>12.5</v>
      </c>
      <c r="F506" s="15" t="n">
        <f aca="false">stk_28</f>
        <v>14</v>
      </c>
      <c r="G506" s="15" t="n">
        <f aca="false">stk_29</f>
        <v>15</v>
      </c>
      <c r="H506" s="15" t="n">
        <f aca="false">stk_30</f>
        <v>16</v>
      </c>
    </row>
    <row r="507" customFormat="false" ht="15" hidden="false" customHeight="false" outlineLevel="0" collapsed="false">
      <c r="A507" s="4" t="s">
        <v>449</v>
      </c>
      <c r="B507" s="0" t="s">
        <v>109</v>
      </c>
      <c r="C507" s="18" t="n">
        <f aca="false">1+beta_lo*(C506-$C506)/4</f>
        <v>1</v>
      </c>
      <c r="D507" s="18" t="n">
        <f aca="false">1+beta_lo*(D506-$C506)/4</f>
        <v>1</v>
      </c>
      <c r="E507" s="18" t="n">
        <f aca="false">1+beta_lo*(E506-$C506)/4</f>
        <v>1</v>
      </c>
      <c r="F507" s="18" t="n">
        <f aca="false">1+beta_lo*(F506-$C506)/4</f>
        <v>1</v>
      </c>
      <c r="G507" s="18" t="n">
        <f aca="false">1+beta_lo*(G506-$C506)/4</f>
        <v>1</v>
      </c>
      <c r="H507" s="18" t="n">
        <f aca="false">1+beta_lo*(H506-$C506)/4</f>
        <v>1</v>
      </c>
    </row>
    <row r="508" customFormat="false" ht="17.15" hidden="false" customHeight="false" outlineLevel="0" collapsed="false">
      <c r="A508" s="4" t="s">
        <v>450</v>
      </c>
      <c r="B508" s="0" t="s">
        <v>62</v>
      </c>
      <c r="C508" s="14" t="n">
        <f aca="false">0</f>
        <v>0</v>
      </c>
      <c r="D508" s="14" t="n">
        <f aca="false">0</f>
        <v>0</v>
      </c>
      <c r="E508" s="14" t="n">
        <f aca="false">0</f>
        <v>0</v>
      </c>
      <c r="F508" s="14" t="n">
        <f aca="false">0</f>
        <v>0</v>
      </c>
      <c r="G508" s="14" t="n">
        <f aca="false">0</f>
        <v>0</v>
      </c>
      <c r="H508" s="14" t="n">
        <f aca="false">0</f>
        <v>0</v>
      </c>
      <c r="I508" s="4" t="s">
        <v>451</v>
      </c>
    </row>
    <row r="509" customFormat="false" ht="17.15" hidden="false" customHeight="false" outlineLevel="0" collapsed="false">
      <c r="A509" s="0" t="s">
        <v>452</v>
      </c>
      <c r="B509" s="4" t="s">
        <v>413</v>
      </c>
      <c r="C509" s="11" t="n">
        <f aca="false">C505*C507*(1-C508)</f>
        <v>741.704901960783</v>
      </c>
      <c r="D509" s="11" t="n">
        <f aca="false">D505*D507*(1-D508)</f>
        <v>1260.89833333333</v>
      </c>
      <c r="E509" s="11" t="n">
        <f aca="false">E505*E507*(1-E508)</f>
        <v>1804.05453846154</v>
      </c>
      <c r="F509" s="11" t="n">
        <f aca="false">F505*F507*(1-F508)</f>
        <v>2429.030575</v>
      </c>
      <c r="G509" s="11" t="n">
        <f aca="false">G505*G507*(1-G508)</f>
        <v>3060.5785245</v>
      </c>
      <c r="H509" s="11" t="n">
        <f aca="false">H505*H507*(1-H508)</f>
        <v>3156.22160339063</v>
      </c>
    </row>
    <row r="510" customFormat="false" ht="17.15" hidden="false" customHeight="false" outlineLevel="0" collapsed="false">
      <c r="A510" s="4" t="s">
        <v>453</v>
      </c>
      <c r="B510" s="4" t="s">
        <v>413</v>
      </c>
      <c r="C510" s="11" t="n">
        <f aca="false">MAX(0,D509-C509)+dlt*C509</f>
        <v>593.363921568628</v>
      </c>
      <c r="D510" s="11" t="n">
        <f aca="false">MAX(0,E509-D509)+dlt*D509</f>
        <v>669.246038461538</v>
      </c>
      <c r="E510" s="11" t="n">
        <f aca="false">MAX(0,F509-E509)+dlt*E509</f>
        <v>805.381490384615</v>
      </c>
      <c r="F510" s="11" t="n">
        <f aca="false">MAX(0,G509-F509)+dlt*F509</f>
        <v>874.451007</v>
      </c>
      <c r="G510" s="11" t="n">
        <f aca="false">MAX(0,H509-G509)+dlt*G509</f>
        <v>401.700931340625</v>
      </c>
      <c r="I510" s="4" t="s">
        <v>454</v>
      </c>
    </row>
    <row r="511" customFormat="false" ht="17.15" hidden="false" customHeight="false" outlineLevel="0" collapsed="false">
      <c r="A511" s="0" t="s">
        <v>455</v>
      </c>
      <c r="B511" s="0" t="s">
        <v>62</v>
      </c>
      <c r="C511" s="14" t="n">
        <f aca="false">ms_sk_26/(ms_sk_26+ms_ss_26+ms_mu_26)</f>
        <v>0.52</v>
      </c>
      <c r="D511" s="14" t="n">
        <f aca="false">ms_sk_27/(ms_sk_27+ms_ss_27+ms_mu_27)</f>
        <v>0.42</v>
      </c>
      <c r="E511" s="14" t="n">
        <f aca="false">ms_sk_28/(ms_sk_28+ms_ss_28+ms_mu_28)</f>
        <v>0.4</v>
      </c>
      <c r="F511" s="14" t="n">
        <f aca="false">ms_sk_29/(ms_sk_29+ms_ss_29+ms_mu_29)</f>
        <v>0.4</v>
      </c>
      <c r="G511" s="14" t="n">
        <f aca="false">ms_sk_29/(ms_sk_29+ms_ss_29+ms_mu_29)</f>
        <v>0.4</v>
      </c>
    </row>
    <row r="512" customFormat="false" ht="17.15" hidden="false" customHeight="false" outlineLevel="0" collapsed="false">
      <c r="A512" s="4" t="s">
        <v>456</v>
      </c>
      <c r="B512" s="0" t="s">
        <v>62</v>
      </c>
      <c r="C512" s="14" t="n">
        <f aca="false">ms_ss_26/(ms_sk_26+ms_ss_26+ms_mu_26)</f>
        <v>0.29</v>
      </c>
      <c r="D512" s="14" t="n">
        <f aca="false">ms_ss_27/(ms_sk_27+ms_ss_27+ms_mu_27)</f>
        <v>0.38</v>
      </c>
      <c r="E512" s="14" t="n">
        <f aca="false">ms_ss_28/(ms_sk_28+ms_ss_28+ms_mu_28)</f>
        <v>0.4</v>
      </c>
      <c r="F512" s="14" t="n">
        <f aca="false">ms_ss_29/(ms_sk_29+ms_ss_29+ms_mu_29)</f>
        <v>0.4</v>
      </c>
      <c r="G512" s="14" t="n">
        <f aca="false">ms_ss_29/(ms_sk_29+ms_ss_29+ms_mu_29)</f>
        <v>0.4</v>
      </c>
    </row>
    <row r="513" customFormat="false" ht="17.15" hidden="false" customHeight="false" outlineLevel="0" collapsed="false">
      <c r="A513" s="4" t="s">
        <v>457</v>
      </c>
      <c r="B513" s="0" t="s">
        <v>62</v>
      </c>
      <c r="C513" s="14" t="n">
        <f aca="false">ms_mu_26/(ms_sk_26+ms_ss_26+ms_mu_26)</f>
        <v>0.19</v>
      </c>
      <c r="D513" s="14" t="n">
        <f aca="false">ms_mu_27/(ms_sk_27+ms_ss_27+ms_mu_27)</f>
        <v>0.2</v>
      </c>
      <c r="E513" s="14" t="n">
        <f aca="false">ms_mu_28/(ms_sk_28+ms_ss_28+ms_mu_28)</f>
        <v>0.2</v>
      </c>
      <c r="F513" s="14" t="n">
        <f aca="false">ms_mu_29/(ms_sk_29+ms_ss_29+ms_mu_29)</f>
        <v>0.2</v>
      </c>
      <c r="G513" s="14" t="n">
        <f aca="false">ms_mu_29/(ms_sk_29+ms_ss_29+ms_mu_29)</f>
        <v>0.2</v>
      </c>
    </row>
    <row r="514" customFormat="false" ht="17.15" hidden="false" customHeight="false" outlineLevel="0" collapsed="false">
      <c r="A514" s="4" t="s">
        <v>458</v>
      </c>
      <c r="B514" s="0" t="s">
        <v>62</v>
      </c>
      <c r="C514" s="14" t="n">
        <f aca="false">C511*hsk_25+C512*hss+C513*hmu_25</f>
        <v>0.412</v>
      </c>
      <c r="D514" s="14" t="n">
        <f aca="false">D511*hsk_A+D512*hss+D513*hmu_A</f>
        <v>0.339</v>
      </c>
      <c r="E514" s="14" t="n">
        <f aca="false">E511*hsk_A+E512*hss+E513*hmu_A</f>
        <v>0.33</v>
      </c>
      <c r="F514" s="14" t="n">
        <f aca="false">F511*hsk_A+F512*hss+F513*hmu_A</f>
        <v>0.33</v>
      </c>
      <c r="G514" s="14" t="n">
        <f aca="false">G511*hsk_A+G512*hss+G513*hmu_A</f>
        <v>0.33</v>
      </c>
    </row>
    <row r="515" customFormat="false" ht="17.15" hidden="false" customHeight="false" outlineLevel="0" collapsed="false">
      <c r="A515" s="4" t="s">
        <v>459</v>
      </c>
      <c r="B515" s="4" t="s">
        <v>413</v>
      </c>
      <c r="C515" s="11" t="n">
        <f aca="false">C510*C514</f>
        <v>244.465935686275</v>
      </c>
      <c r="D515" s="11" t="n">
        <f aca="false">D510*D514</f>
        <v>226.874407038462</v>
      </c>
      <c r="E515" s="11" t="n">
        <f aca="false">E510*E514</f>
        <v>265.775891826923</v>
      </c>
      <c r="F515" s="11" t="n">
        <f aca="false">F510*F514</f>
        <v>288.56883231</v>
      </c>
      <c r="G515" s="11" t="n">
        <f aca="false">G510*G514</f>
        <v>132.561307342406</v>
      </c>
    </row>
    <row r="516" customFormat="false" ht="17.15" hidden="false" customHeight="false" outlineLevel="0" collapsed="false">
      <c r="A516" s="6" t="s">
        <v>460</v>
      </c>
    </row>
    <row r="517" customFormat="false" ht="17.15" hidden="false" customHeight="false" outlineLevel="0" collapsed="false">
      <c r="A517" s="4" t="s">
        <v>461</v>
      </c>
      <c r="B517" s="4" t="s">
        <v>226</v>
      </c>
      <c r="C517" s="11" t="n">
        <f aca="false">a25_rev-a25_hbm</f>
        <v>2895.034</v>
      </c>
      <c r="D517" s="11" t="n">
        <f aca="false">C517*(1+g_o26)</f>
        <v>3329.2891</v>
      </c>
      <c r="E517" s="11" t="n">
        <f aca="false">D517*(1+g_o_A)</f>
        <v>3728.803792</v>
      </c>
      <c r="F517" s="11" t="n">
        <f aca="false">E517*(1+g_o_A)</f>
        <v>4176.26024704</v>
      </c>
      <c r="G517" s="11" t="n">
        <f aca="false">F517*(1+g_o_A)</f>
        <v>4677.4114766848</v>
      </c>
    </row>
    <row r="518" customFormat="false" ht="17.15" hidden="false" customHeight="false" outlineLevel="0" collapsed="false">
      <c r="A518" s="0" t="s">
        <v>462</v>
      </c>
      <c r="B518" s="4" t="s">
        <v>226</v>
      </c>
      <c r="C518" s="11" t="n">
        <f aca="false">a25_hbm</f>
        <v>2871.966</v>
      </c>
      <c r="D518" s="11" t="n">
        <f aca="false">rev26-D517</f>
        <v>4210.5109</v>
      </c>
      <c r="E518" s="11" t="n">
        <f aca="false">$C519*E515</f>
        <v>3993.61447305685</v>
      </c>
      <c r="F518" s="11" t="n">
        <f aca="false">$C519*F515</f>
        <v>4336.1068502662</v>
      </c>
      <c r="G518" s="11" t="n">
        <f aca="false">$C519*G515</f>
        <v>1991.89908434104</v>
      </c>
      <c r="I518" s="8" t="s">
        <v>463</v>
      </c>
    </row>
    <row r="519" customFormat="false" ht="17.15" hidden="false" customHeight="false" outlineLevel="0" collapsed="false">
      <c r="A519" s="4" t="s">
        <v>464</v>
      </c>
      <c r="B519" s="4" t="s">
        <v>465</v>
      </c>
      <c r="C519" s="18" t="n">
        <f aca="false">(C518+D518)/(C515+D515)</f>
        <v>15.0262480377925</v>
      </c>
      <c r="I519" s="4" t="s">
        <v>466</v>
      </c>
    </row>
    <row r="520" customFormat="false" ht="15" hidden="false" customHeight="false" outlineLevel="0" collapsed="false">
      <c r="A520" s="4" t="s">
        <v>366</v>
      </c>
      <c r="B520" s="4" t="s">
        <v>226</v>
      </c>
      <c r="C520" s="11" t="n">
        <f aca="false">a25_rev</f>
        <v>5767</v>
      </c>
      <c r="D520" s="11" t="n">
        <f aca="false">D517+D518</f>
        <v>7539.8</v>
      </c>
      <c r="E520" s="11" t="n">
        <f aca="false">E517+E518</f>
        <v>7722.41826505685</v>
      </c>
      <c r="F520" s="11" t="n">
        <f aca="false">F517+F518</f>
        <v>8512.3670973062</v>
      </c>
      <c r="G520" s="11" t="n">
        <f aca="false">G517+G518</f>
        <v>6669.31056102584</v>
      </c>
    </row>
    <row r="521" customFormat="false" ht="17.15" hidden="false" customHeight="false" outlineLevel="0" collapsed="false">
      <c r="A521" s="0" t="s">
        <v>467</v>
      </c>
      <c r="B521" s="0" t="s">
        <v>62</v>
      </c>
      <c r="C521" s="14" t="n">
        <f aca="false">C518/C520</f>
        <v>0.498</v>
      </c>
      <c r="D521" s="14" t="n">
        <f aca="false">D518/D520</f>
        <v>0.558438008965755</v>
      </c>
      <c r="E521" s="14" t="n">
        <f aca="false">E518/E520</f>
        <v>0.517145580048098</v>
      </c>
      <c r="F521" s="14" t="n">
        <f aca="false">F518/F520</f>
        <v>0.509389080698645</v>
      </c>
      <c r="G521" s="14" t="n">
        <f aca="false">G518/G520</f>
        <v>0.298666416283163</v>
      </c>
    </row>
    <row r="522" customFormat="false" ht="17.15" hidden="false" customHeight="false" outlineLevel="0" collapsed="false">
      <c r="A522" s="4" t="s">
        <v>468</v>
      </c>
      <c r="B522" s="4" t="s">
        <v>226</v>
      </c>
      <c r="C522" s="11" t="n">
        <f aca="false">opex25</f>
        <v>806.7</v>
      </c>
      <c r="D522" s="11" t="n">
        <f aca="false">opex_fix+opex_var*D520</f>
        <v>930.691482573261</v>
      </c>
      <c r="E522" s="11" t="n">
        <f aca="false">opex_fix+opex_var*E520</f>
        <v>943.46399466112</v>
      </c>
      <c r="F522" s="11" t="n">
        <f aca="false">opex_fix+opex_var*F520</f>
        <v>998.713840592762</v>
      </c>
      <c r="G522" s="11" t="n">
        <f aca="false">opex_fix+opex_var*G520</f>
        <v>869.80854253334</v>
      </c>
      <c r="I522" s="4" t="s">
        <v>469</v>
      </c>
    </row>
    <row r="523" customFormat="false" ht="17.15" hidden="false" customHeight="false" outlineLevel="0" collapsed="false">
      <c r="A523" s="4" t="s">
        <v>436</v>
      </c>
      <c r="B523" s="0" t="s">
        <v>62</v>
      </c>
      <c r="C523" s="14" t="n">
        <f aca="false">a25_gp/a25_rev</f>
        <v>0.575793306745275</v>
      </c>
      <c r="D523" s="14" t="n">
        <f aca="false">(oi26+D522)/D520</f>
        <v>0.595267179842073</v>
      </c>
      <c r="E523" s="14" t="n">
        <f aca="false">$D523+0</f>
        <v>0.595267179842073</v>
      </c>
      <c r="F523" s="14" t="n">
        <f aca="false">$D523+0</f>
        <v>0.595267179842073</v>
      </c>
      <c r="G523" s="14" t="n">
        <f aca="false">$D523+0</f>
        <v>0.595267179842073</v>
      </c>
      <c r="I523" s="8" t="s">
        <v>470</v>
      </c>
    </row>
    <row r="524" customFormat="false" ht="15" hidden="false" customHeight="false" outlineLevel="0" collapsed="false">
      <c r="A524" s="4" t="s">
        <v>371</v>
      </c>
      <c r="B524" s="4" t="s">
        <v>226</v>
      </c>
      <c r="C524" s="11" t="n">
        <f aca="false">C520*C523</f>
        <v>3320.6</v>
      </c>
      <c r="D524" s="11" t="n">
        <f aca="false">D520*D523</f>
        <v>4488.19548257326</v>
      </c>
      <c r="E524" s="11" t="n">
        <f aca="false">E520*E523</f>
        <v>4596.9021422013</v>
      </c>
      <c r="F524" s="11" t="n">
        <f aca="false">F520*F523</f>
        <v>5067.13275579392</v>
      </c>
      <c r="G524" s="11" t="n">
        <f aca="false">G520*G523</f>
        <v>3970.0216891528</v>
      </c>
    </row>
    <row r="525" customFormat="false" ht="15" hidden="false" customHeight="false" outlineLevel="0" collapsed="false">
      <c r="A525" s="4" t="s">
        <v>374</v>
      </c>
      <c r="B525" s="4" t="s">
        <v>226</v>
      </c>
      <c r="C525" s="11" t="n">
        <f aca="false">a25_oi</f>
        <v>2513.9</v>
      </c>
      <c r="D525" s="11" t="n">
        <f aca="false">oi26</f>
        <v>3557.504</v>
      </c>
      <c r="E525" s="11" t="n">
        <f aca="false">E524-E522</f>
        <v>3653.43814754018</v>
      </c>
      <c r="F525" s="11" t="n">
        <f aca="false">F524-F522</f>
        <v>4068.41891520115</v>
      </c>
      <c r="G525" s="11" t="n">
        <f aca="false">G524-G522</f>
        <v>3100.21314661946</v>
      </c>
    </row>
    <row r="526" customFormat="false" ht="15" hidden="false" customHeight="false" outlineLevel="0" collapsed="false">
      <c r="A526" s="4" t="s">
        <v>377</v>
      </c>
      <c r="B526" s="0" t="s">
        <v>62</v>
      </c>
      <c r="C526" s="14" t="n">
        <f aca="false">C525/C520</f>
        <v>0.435911219004682</v>
      </c>
      <c r="D526" s="14" t="n">
        <f aca="false">D525/D520</f>
        <v>0.471830022016499</v>
      </c>
      <c r="E526" s="14" t="n">
        <f aca="false">E525/E520</f>
        <v>0.473095087852418</v>
      </c>
      <c r="F526" s="14" t="n">
        <f aca="false">F525/F520</f>
        <v>0.47794213627002</v>
      </c>
      <c r="G526" s="14" t="n">
        <f aca="false">G525/G520</f>
        <v>0.464847620792547</v>
      </c>
    </row>
    <row r="527" customFormat="false" ht="15" hidden="false" customHeight="false" outlineLevel="0" collapsed="false">
      <c r="A527" s="4" t="s">
        <v>437</v>
      </c>
      <c r="B527" s="4" t="s">
        <v>226</v>
      </c>
      <c r="C527" s="11" t="n">
        <f aca="false">a25_ni</f>
        <v>2140</v>
      </c>
      <c r="D527" s="11" t="n">
        <f aca="false">D525*nioi</f>
        <v>3028.38560006365</v>
      </c>
      <c r="E527" s="11" t="n">
        <f aca="false">E525*nioi</f>
        <v>3110.05116979036</v>
      </c>
      <c r="F527" s="11" t="n">
        <f aca="false">F525*nioi</f>
        <v>3463.31058456202</v>
      </c>
      <c r="G527" s="11" t="n">
        <f aca="false">G525*nioi</f>
        <v>2639.10900742498</v>
      </c>
    </row>
    <row r="528" customFormat="false" ht="15" hidden="false" customHeight="false" outlineLevel="0" collapsed="false">
      <c r="A528" s="0" t="s">
        <v>438</v>
      </c>
      <c r="B528" s="0" t="s">
        <v>302</v>
      </c>
      <c r="C528" s="11" t="n">
        <f aca="false">a25_eps</f>
        <v>2231.7</v>
      </c>
      <c r="D528" s="11" t="n">
        <f aca="false">D527*100/shares</f>
        <v>3158.15333815983</v>
      </c>
      <c r="E528" s="11" t="n">
        <f aca="false">E527*100/shares</f>
        <v>3243.31831571082</v>
      </c>
      <c r="F528" s="11" t="n">
        <f aca="false">F527*100/shares</f>
        <v>3611.71506147994</v>
      </c>
      <c r="G528" s="11" t="n">
        <f aca="false">G527*100/shares</f>
        <v>2752.19606162165</v>
      </c>
    </row>
    <row r="529" customFormat="false" ht="17.15" hidden="false" customHeight="false" outlineLevel="0" collapsed="false">
      <c r="A529" s="4" t="s">
        <v>471</v>
      </c>
      <c r="B529" s="4" t="s">
        <v>226</v>
      </c>
      <c r="C529" s="11" t="n">
        <f aca="false">$C519*C510</f>
        <v>8916.03346216745</v>
      </c>
      <c r="D529" s="11" t="n">
        <f aca="false">$C519*D510</f>
        <v>10056.2569722331</v>
      </c>
      <c r="E529" s="11" t="n">
        <f aca="false">$C519*E510</f>
        <v>12101.8620395662</v>
      </c>
      <c r="F529" s="11" t="n">
        <f aca="false">$C519*F510</f>
        <v>13139.7177280794</v>
      </c>
      <c r="G529" s="11" t="n">
        <f aca="false">$C519*G510</f>
        <v>6036.05783133647</v>
      </c>
      <c r="I529" s="4" t="s">
        <v>472</v>
      </c>
    </row>
    <row r="530" customFormat="false" ht="15" hidden="false" customHeight="false" outlineLevel="0" collapsed="false">
      <c r="A530" s="4" t="s">
        <v>473</v>
      </c>
      <c r="B530" s="0" t="s">
        <v>333</v>
      </c>
      <c r="C530" s="11" t="n">
        <f aca="false">C529/fx*100</f>
        <v>627.889680434327</v>
      </c>
      <c r="D530" s="11" t="n">
        <f aca="false">D529/fx*100</f>
        <v>708.187110720639</v>
      </c>
      <c r="E530" s="11" t="n">
        <f aca="false">E529/fx*100</f>
        <v>852.243805603254</v>
      </c>
      <c r="F530" s="11" t="n">
        <f aca="false">F529/fx*100</f>
        <v>925.332234371789</v>
      </c>
      <c r="G530" s="11" t="n">
        <f aca="false">G529/fx*100</f>
        <v>425.07449516454</v>
      </c>
    </row>
    <row r="540" customFormat="false" ht="17.15" hidden="false" customHeight="false" outlineLevel="0" collapsed="false">
      <c r="A540" s="1" t="s">
        <v>672</v>
      </c>
    </row>
    <row r="541" customFormat="false" ht="15" hidden="false" customHeight="false" outlineLevel="0" collapsed="false">
      <c r="A541" s="5" t="s">
        <v>14</v>
      </c>
      <c r="B541" s="5" t="s">
        <v>15</v>
      </c>
      <c r="C541" s="9" t="s">
        <v>401</v>
      </c>
      <c r="D541" s="9" t="s">
        <v>402</v>
      </c>
      <c r="E541" s="9" t="s">
        <v>403</v>
      </c>
      <c r="F541" s="9" t="s">
        <v>404</v>
      </c>
      <c r="G541" s="9" t="s">
        <v>405</v>
      </c>
      <c r="H541" s="9" t="s">
        <v>406</v>
      </c>
      <c r="I541" s="5" t="s">
        <v>407</v>
      </c>
    </row>
    <row r="542" customFormat="false" ht="17.15" hidden="false" customHeight="false" outlineLevel="0" collapsed="false">
      <c r="A542" s="6" t="s">
        <v>441</v>
      </c>
    </row>
    <row r="543" customFormat="false" ht="17.15" hidden="false" customHeight="false" outlineLevel="0" collapsed="false">
      <c r="A543" s="0" t="s">
        <v>442</v>
      </c>
      <c r="B543" s="0" t="s">
        <v>25</v>
      </c>
      <c r="C543" s="17" t="n">
        <f aca="false">hsA_25</f>
        <v>2.22511470588235</v>
      </c>
      <c r="D543" s="17" t="n">
        <f aca="false">hsA_26</f>
        <v>3.782695</v>
      </c>
      <c r="E543" s="17" t="n">
        <f aca="false">hsA_27</f>
        <v>5.86317725</v>
      </c>
      <c r="F543" s="17" t="n">
        <f aca="false">hsA_28</f>
        <v>8.5016070125</v>
      </c>
      <c r="G543" s="17" t="n">
        <f aca="false">hsA_29</f>
        <v>11.477169466875</v>
      </c>
      <c r="H543" s="17" t="n">
        <f aca="false">G543*(1+g_tail)</f>
        <v>12.6248864135625</v>
      </c>
      <c r="I543" s="8" t="s">
        <v>443</v>
      </c>
    </row>
    <row r="544" customFormat="false" ht="17.15" hidden="false" customHeight="false" outlineLevel="0" collapsed="false">
      <c r="A544" s="0" t="s">
        <v>444</v>
      </c>
      <c r="B544" s="0" t="s">
        <v>445</v>
      </c>
      <c r="C544" s="15" t="n">
        <f aca="false">den_25</f>
        <v>24</v>
      </c>
      <c r="D544" s="15" t="n">
        <f aca="false">den_26</f>
        <v>24</v>
      </c>
      <c r="E544" s="15" t="n">
        <f aca="false">den_27</f>
        <v>26</v>
      </c>
      <c r="F544" s="15" t="n">
        <f aca="false">den_28</f>
        <v>28</v>
      </c>
      <c r="G544" s="15" t="n">
        <f aca="false">den_29</f>
        <v>30</v>
      </c>
      <c r="H544" s="15" t="n">
        <f aca="false">den_30</f>
        <v>32</v>
      </c>
    </row>
    <row r="545" customFormat="false" ht="17.15" hidden="false" customHeight="false" outlineLevel="0" collapsed="false">
      <c r="A545" s="4" t="s">
        <v>446</v>
      </c>
      <c r="B545" s="4" t="s">
        <v>411</v>
      </c>
      <c r="C545" s="11" t="n">
        <f aca="false">C543*8000/C544</f>
        <v>741.704901960783</v>
      </c>
      <c r="D545" s="11" t="n">
        <f aca="false">D543*8000/D544</f>
        <v>1260.89833333333</v>
      </c>
      <c r="E545" s="11" t="n">
        <f aca="false">E543*8000/E544</f>
        <v>1804.05453846154</v>
      </c>
      <c r="F545" s="11" t="n">
        <f aca="false">F543*8000/F544</f>
        <v>2429.030575</v>
      </c>
      <c r="G545" s="11" t="n">
        <f aca="false">G543*8000/G544</f>
        <v>3060.5785245</v>
      </c>
      <c r="H545" s="11" t="n">
        <f aca="false">H543*8000/H544</f>
        <v>3156.22160339063</v>
      </c>
      <c r="I545" s="8" t="s">
        <v>447</v>
      </c>
    </row>
    <row r="546" customFormat="false" ht="15" hidden="false" customHeight="false" outlineLevel="0" collapsed="false">
      <c r="A546" s="4" t="s">
        <v>448</v>
      </c>
      <c r="B546" s="4" t="s">
        <v>89</v>
      </c>
      <c r="C546" s="15" t="n">
        <f aca="false">stk_25</f>
        <v>10</v>
      </c>
      <c r="D546" s="15" t="n">
        <f aca="false">stk_26</f>
        <v>12</v>
      </c>
      <c r="E546" s="15" t="n">
        <f aca="false">stk_27</f>
        <v>12.5</v>
      </c>
      <c r="F546" s="15" t="n">
        <f aca="false">stk_28</f>
        <v>14</v>
      </c>
      <c r="G546" s="15" t="n">
        <f aca="false">stk_29</f>
        <v>15</v>
      </c>
      <c r="H546" s="15" t="n">
        <f aca="false">stk_30</f>
        <v>16</v>
      </c>
    </row>
    <row r="547" customFormat="false" ht="15" hidden="false" customHeight="false" outlineLevel="0" collapsed="false">
      <c r="A547" s="4" t="s">
        <v>449</v>
      </c>
      <c r="B547" s="0" t="s">
        <v>109</v>
      </c>
      <c r="C547" s="18" t="n">
        <f aca="false">1+beta_hi*(C546-$C546)/4</f>
        <v>1</v>
      </c>
      <c r="D547" s="18" t="n">
        <f aca="false">1+beta_hi*(D546-$C546)/4</f>
        <v>1.125</v>
      </c>
      <c r="E547" s="18" t="n">
        <f aca="false">1+beta_hi*(E546-$C546)/4</f>
        <v>1.15625</v>
      </c>
      <c r="F547" s="18" t="n">
        <f aca="false">1+beta_hi*(F546-$C546)/4</f>
        <v>1.25</v>
      </c>
      <c r="G547" s="18" t="n">
        <f aca="false">1+beta_hi*(G546-$C546)/4</f>
        <v>1.3125</v>
      </c>
      <c r="H547" s="18" t="n">
        <f aca="false">1+beta_hi*(H546-$C546)/4</f>
        <v>1.375</v>
      </c>
    </row>
    <row r="548" customFormat="false" ht="17.15" hidden="false" customHeight="false" outlineLevel="0" collapsed="false">
      <c r="A548" s="4" t="s">
        <v>450</v>
      </c>
      <c r="B548" s="0" t="s">
        <v>62</v>
      </c>
      <c r="C548" s="14" t="n">
        <f aca="false">0</f>
        <v>0</v>
      </c>
      <c r="D548" s="14" t="n">
        <f aca="false">0</f>
        <v>0</v>
      </c>
      <c r="E548" s="14" t="n">
        <f aca="false">0</f>
        <v>0</v>
      </c>
      <c r="F548" s="14" t="n">
        <f aca="false">0</f>
        <v>0</v>
      </c>
      <c r="G548" s="14" t="n">
        <f aca="false">0</f>
        <v>0</v>
      </c>
      <c r="H548" s="14" t="n">
        <f aca="false">0</f>
        <v>0</v>
      </c>
      <c r="I548" s="4" t="s">
        <v>451</v>
      </c>
    </row>
    <row r="549" customFormat="false" ht="17.15" hidden="false" customHeight="false" outlineLevel="0" collapsed="false">
      <c r="A549" s="0" t="s">
        <v>452</v>
      </c>
      <c r="B549" s="4" t="s">
        <v>413</v>
      </c>
      <c r="C549" s="11" t="n">
        <f aca="false">C545*C547*(1-C548)</f>
        <v>741.704901960783</v>
      </c>
      <c r="D549" s="11" t="n">
        <f aca="false">D545*D547*(1-D548)</f>
        <v>1418.510625</v>
      </c>
      <c r="E549" s="11" t="n">
        <f aca="false">E545*E547*(1-E548)</f>
        <v>2085.93806009615</v>
      </c>
      <c r="F549" s="11" t="n">
        <f aca="false">F545*F547*(1-F548)</f>
        <v>3036.28821875</v>
      </c>
      <c r="G549" s="11" t="n">
        <f aca="false">G545*G547*(1-G548)</f>
        <v>4017.00931340625</v>
      </c>
      <c r="H549" s="11" t="n">
        <f aca="false">H545*H547*(1-H548)</f>
        <v>4339.80470466211</v>
      </c>
    </row>
    <row r="550" customFormat="false" ht="17.15" hidden="false" customHeight="false" outlineLevel="0" collapsed="false">
      <c r="A550" s="4" t="s">
        <v>453</v>
      </c>
      <c r="B550" s="4" t="s">
        <v>413</v>
      </c>
      <c r="C550" s="11" t="n">
        <f aca="false">MAX(0,D549-C549)+dlt*C549</f>
        <v>750.976213235295</v>
      </c>
      <c r="D550" s="11" t="n">
        <f aca="false">MAX(0,E549-D549)+dlt*D549</f>
        <v>809.278497596154</v>
      </c>
      <c r="E550" s="11" t="n">
        <f aca="false">MAX(0,F549-E549)+dlt*E549</f>
        <v>1158.94396466346</v>
      </c>
      <c r="F550" s="11" t="n">
        <f aca="false">MAX(0,G549-F549)+dlt*F549</f>
        <v>1284.34991653125</v>
      </c>
      <c r="G550" s="11" t="n">
        <f aca="false">MAX(0,H549-G549)+dlt*G549</f>
        <v>724.496322596484</v>
      </c>
      <c r="I550" s="4" t="s">
        <v>454</v>
      </c>
    </row>
    <row r="551" customFormat="false" ht="17.15" hidden="false" customHeight="false" outlineLevel="0" collapsed="false">
      <c r="A551" s="0" t="s">
        <v>455</v>
      </c>
      <c r="B551" s="0" t="s">
        <v>62</v>
      </c>
      <c r="C551" s="14" t="n">
        <f aca="false">ms_sk_26/(ms_sk_26+ms_ss_26+ms_mu_26)</f>
        <v>0.52</v>
      </c>
      <c r="D551" s="14" t="n">
        <f aca="false">ms_sk_27/(ms_sk_27+ms_ss_27+ms_mu_27)</f>
        <v>0.42</v>
      </c>
      <c r="E551" s="14" t="n">
        <f aca="false">ms_sk_28/(ms_sk_28+ms_ss_28+ms_mu_28)</f>
        <v>0.4</v>
      </c>
      <c r="F551" s="14" t="n">
        <f aca="false">ms_sk_29/(ms_sk_29+ms_ss_29+ms_mu_29)</f>
        <v>0.4</v>
      </c>
      <c r="G551" s="14" t="n">
        <f aca="false">ms_sk_29/(ms_sk_29+ms_ss_29+ms_mu_29)</f>
        <v>0.4</v>
      </c>
    </row>
    <row r="552" customFormat="false" ht="17.15" hidden="false" customHeight="false" outlineLevel="0" collapsed="false">
      <c r="A552" s="4" t="s">
        <v>456</v>
      </c>
      <c r="B552" s="0" t="s">
        <v>62</v>
      </c>
      <c r="C552" s="14" t="n">
        <f aca="false">ms_ss_26/(ms_sk_26+ms_ss_26+ms_mu_26)</f>
        <v>0.29</v>
      </c>
      <c r="D552" s="14" t="n">
        <f aca="false">ms_ss_27/(ms_sk_27+ms_ss_27+ms_mu_27)</f>
        <v>0.38</v>
      </c>
      <c r="E552" s="14" t="n">
        <f aca="false">ms_ss_28/(ms_sk_28+ms_ss_28+ms_mu_28)</f>
        <v>0.4</v>
      </c>
      <c r="F552" s="14" t="n">
        <f aca="false">ms_ss_29/(ms_sk_29+ms_ss_29+ms_mu_29)</f>
        <v>0.4</v>
      </c>
      <c r="G552" s="14" t="n">
        <f aca="false">ms_ss_29/(ms_sk_29+ms_ss_29+ms_mu_29)</f>
        <v>0.4</v>
      </c>
    </row>
    <row r="553" customFormat="false" ht="17.15" hidden="false" customHeight="false" outlineLevel="0" collapsed="false">
      <c r="A553" s="4" t="s">
        <v>457</v>
      </c>
      <c r="B553" s="0" t="s">
        <v>62</v>
      </c>
      <c r="C553" s="14" t="n">
        <f aca="false">ms_mu_26/(ms_sk_26+ms_ss_26+ms_mu_26)</f>
        <v>0.19</v>
      </c>
      <c r="D553" s="14" t="n">
        <f aca="false">ms_mu_27/(ms_sk_27+ms_ss_27+ms_mu_27)</f>
        <v>0.2</v>
      </c>
      <c r="E553" s="14" t="n">
        <f aca="false">ms_mu_28/(ms_sk_28+ms_ss_28+ms_mu_28)</f>
        <v>0.2</v>
      </c>
      <c r="F553" s="14" t="n">
        <f aca="false">ms_mu_29/(ms_sk_29+ms_ss_29+ms_mu_29)</f>
        <v>0.2</v>
      </c>
      <c r="G553" s="14" t="n">
        <f aca="false">ms_mu_29/(ms_sk_29+ms_ss_29+ms_mu_29)</f>
        <v>0.2</v>
      </c>
    </row>
    <row r="554" customFormat="false" ht="17.15" hidden="false" customHeight="false" outlineLevel="0" collapsed="false">
      <c r="A554" s="4" t="s">
        <v>458</v>
      </c>
      <c r="B554" s="0" t="s">
        <v>62</v>
      </c>
      <c r="C554" s="14" t="n">
        <f aca="false">C551*hsk_25+C552*hss+C553*hmu_25</f>
        <v>0.412</v>
      </c>
      <c r="D554" s="14" t="n">
        <f aca="false">D551*hsk_A+D552*hss+D553*hmu_A</f>
        <v>0.339</v>
      </c>
      <c r="E554" s="14" t="n">
        <f aca="false">E551*hsk_A+E552*hss+E553*hmu_A</f>
        <v>0.33</v>
      </c>
      <c r="F554" s="14" t="n">
        <f aca="false">F551*hsk_A+F552*hss+F553*hmu_A</f>
        <v>0.33</v>
      </c>
      <c r="G554" s="14" t="n">
        <f aca="false">G551*hsk_A+G552*hss+G553*hmu_A</f>
        <v>0.33</v>
      </c>
    </row>
    <row r="555" customFormat="false" ht="17.15" hidden="false" customHeight="false" outlineLevel="0" collapsed="false">
      <c r="A555" s="4" t="s">
        <v>459</v>
      </c>
      <c r="B555" s="4" t="s">
        <v>413</v>
      </c>
      <c r="C555" s="11" t="n">
        <f aca="false">C550*C554</f>
        <v>309.402199852942</v>
      </c>
      <c r="D555" s="11" t="n">
        <f aca="false">D550*D554</f>
        <v>274.345410685096</v>
      </c>
      <c r="E555" s="11" t="n">
        <f aca="false">E550*E554</f>
        <v>382.451508338942</v>
      </c>
      <c r="F555" s="11" t="n">
        <f aca="false">F550*F554</f>
        <v>423.835472455313</v>
      </c>
      <c r="G555" s="11" t="n">
        <f aca="false">G550*G554</f>
        <v>239.08378645684</v>
      </c>
    </row>
    <row r="556" customFormat="false" ht="17.15" hidden="false" customHeight="false" outlineLevel="0" collapsed="false">
      <c r="A556" s="6" t="s">
        <v>460</v>
      </c>
    </row>
    <row r="557" customFormat="false" ht="17.15" hidden="false" customHeight="false" outlineLevel="0" collapsed="false">
      <c r="A557" s="4" t="s">
        <v>461</v>
      </c>
      <c r="B557" s="4" t="s">
        <v>226</v>
      </c>
      <c r="C557" s="11" t="n">
        <f aca="false">a25_rev-a25_hbm</f>
        <v>2895.034</v>
      </c>
      <c r="D557" s="11" t="n">
        <f aca="false">C557*(1+g_o26)</f>
        <v>3329.2891</v>
      </c>
      <c r="E557" s="11" t="n">
        <f aca="false">D557*(1+g_o_A)</f>
        <v>3728.803792</v>
      </c>
      <c r="F557" s="11" t="n">
        <f aca="false">E557*(1+g_o_A)</f>
        <v>4176.26024704</v>
      </c>
      <c r="G557" s="11" t="n">
        <f aca="false">F557*(1+g_o_A)</f>
        <v>4677.4114766848</v>
      </c>
    </row>
    <row r="558" customFormat="false" ht="17.15" hidden="false" customHeight="false" outlineLevel="0" collapsed="false">
      <c r="A558" s="0" t="s">
        <v>462</v>
      </c>
      <c r="B558" s="4" t="s">
        <v>226</v>
      </c>
      <c r="C558" s="11" t="n">
        <f aca="false">a25_hbm</f>
        <v>2871.966</v>
      </c>
      <c r="D558" s="11" t="n">
        <f aca="false">rev26-D557</f>
        <v>4210.5109</v>
      </c>
      <c r="E558" s="11" t="n">
        <f aca="false">$C559*E555</f>
        <v>4640.19710621876</v>
      </c>
      <c r="F558" s="11" t="n">
        <f aca="false">$C559*F555</f>
        <v>5142.29932401537</v>
      </c>
      <c r="G558" s="11" t="n">
        <f aca="false">$C559*G555</f>
        <v>2900.74916655229</v>
      </c>
      <c r="I558" s="8" t="s">
        <v>463</v>
      </c>
    </row>
    <row r="559" customFormat="false" ht="17.15" hidden="false" customHeight="false" outlineLevel="0" collapsed="false">
      <c r="A559" s="4" t="s">
        <v>464</v>
      </c>
      <c r="B559" s="4" t="s">
        <v>465</v>
      </c>
      <c r="C559" s="18" t="n">
        <f aca="false">(C558+D558)/(C555+D555)</f>
        <v>12.1327724039369</v>
      </c>
      <c r="I559" s="4" t="s">
        <v>466</v>
      </c>
    </row>
    <row r="560" customFormat="false" ht="15" hidden="false" customHeight="false" outlineLevel="0" collapsed="false">
      <c r="A560" s="4" t="s">
        <v>366</v>
      </c>
      <c r="B560" s="4" t="s">
        <v>226</v>
      </c>
      <c r="C560" s="11" t="n">
        <f aca="false">a25_rev</f>
        <v>5767</v>
      </c>
      <c r="D560" s="11" t="n">
        <f aca="false">D557+D558</f>
        <v>7539.8</v>
      </c>
      <c r="E560" s="11" t="n">
        <f aca="false">E557+E558</f>
        <v>8369.00089821876</v>
      </c>
      <c r="F560" s="11" t="n">
        <f aca="false">F557+F558</f>
        <v>9318.55957105537</v>
      </c>
      <c r="G560" s="11" t="n">
        <f aca="false">G557+G558</f>
        <v>7578.16064323709</v>
      </c>
    </row>
    <row r="561" customFormat="false" ht="17.15" hidden="false" customHeight="false" outlineLevel="0" collapsed="false">
      <c r="A561" s="0" t="s">
        <v>467</v>
      </c>
      <c r="B561" s="0" t="s">
        <v>62</v>
      </c>
      <c r="C561" s="14" t="n">
        <f aca="false">C558/C560</f>
        <v>0.498</v>
      </c>
      <c r="D561" s="14" t="n">
        <f aca="false">D558/D560</f>
        <v>0.558438008965755</v>
      </c>
      <c r="E561" s="14" t="n">
        <f aca="false">E558/E560</f>
        <v>0.554450544652991</v>
      </c>
      <c r="F561" s="14" t="n">
        <f aca="false">F558/F560</f>
        <v>0.551834141833251</v>
      </c>
      <c r="G561" s="14" t="n">
        <f aca="false">G558/G560</f>
        <v>0.382777471092669</v>
      </c>
    </row>
    <row r="562" customFormat="false" ht="17.15" hidden="false" customHeight="false" outlineLevel="0" collapsed="false">
      <c r="A562" s="4" t="s">
        <v>468</v>
      </c>
      <c r="B562" s="4" t="s">
        <v>226</v>
      </c>
      <c r="C562" s="11" t="n">
        <f aca="false">opex25</f>
        <v>806.7</v>
      </c>
      <c r="D562" s="11" t="n">
        <f aca="false">opex_fix+opex_var*D560</f>
        <v>930.691482573261</v>
      </c>
      <c r="E562" s="11" t="n">
        <f aca="false">opex_fix+opex_var*E560</f>
        <v>988.686658972869</v>
      </c>
      <c r="F562" s="11" t="n">
        <f aca="false">opex_fix+opex_var*F560</f>
        <v>1055.09978376715</v>
      </c>
      <c r="G562" s="11" t="n">
        <f aca="false">opex_fix+opex_var*G560</f>
        <v>933.374466004799</v>
      </c>
      <c r="I562" s="4" t="s">
        <v>469</v>
      </c>
    </row>
    <row r="563" customFormat="false" ht="17.15" hidden="false" customHeight="false" outlineLevel="0" collapsed="false">
      <c r="A563" s="4" t="s">
        <v>436</v>
      </c>
      <c r="B563" s="0" t="s">
        <v>62</v>
      </c>
      <c r="C563" s="14" t="n">
        <f aca="false">a25_gp/a25_rev</f>
        <v>0.575793306745275</v>
      </c>
      <c r="D563" s="14" t="n">
        <f aca="false">(oi26+D562)/D560</f>
        <v>0.595267179842073</v>
      </c>
      <c r="E563" s="14" t="n">
        <f aca="false">$D563+0</f>
        <v>0.595267179842073</v>
      </c>
      <c r="F563" s="14" t="n">
        <f aca="false">$D563+0</f>
        <v>0.595267179842073</v>
      </c>
      <c r="G563" s="14" t="n">
        <f aca="false">$D563+0</f>
        <v>0.595267179842073</v>
      </c>
      <c r="I563" s="8" t="s">
        <v>470</v>
      </c>
    </row>
    <row r="564" customFormat="false" ht="15" hidden="false" customHeight="false" outlineLevel="0" collapsed="false">
      <c r="A564" s="4" t="s">
        <v>371</v>
      </c>
      <c r="B564" s="4" t="s">
        <v>226</v>
      </c>
      <c r="C564" s="11" t="n">
        <f aca="false">C560*C563</f>
        <v>3320.6</v>
      </c>
      <c r="D564" s="11" t="n">
        <f aca="false">D560*D563</f>
        <v>4488.19548257326</v>
      </c>
      <c r="E564" s="11" t="n">
        <f aca="false">E560*E563</f>
        <v>4981.79156277845</v>
      </c>
      <c r="F564" s="11" t="n">
        <f aca="false">F560*F563</f>
        <v>5547.03267605249</v>
      </c>
      <c r="G564" s="11" t="n">
        <f aca="false">G560*G563</f>
        <v>4511.03031448993</v>
      </c>
    </row>
    <row r="565" customFormat="false" ht="15" hidden="false" customHeight="false" outlineLevel="0" collapsed="false">
      <c r="A565" s="4" t="s">
        <v>374</v>
      </c>
      <c r="B565" s="4" t="s">
        <v>226</v>
      </c>
      <c r="C565" s="11" t="n">
        <f aca="false">a25_oi</f>
        <v>2513.9</v>
      </c>
      <c r="D565" s="11" t="n">
        <f aca="false">oi26</f>
        <v>3557.504</v>
      </c>
      <c r="E565" s="11" t="n">
        <f aca="false">E564-E562</f>
        <v>3993.10490380558</v>
      </c>
      <c r="F565" s="11" t="n">
        <f aca="false">F564-F562</f>
        <v>4491.93289228533</v>
      </c>
      <c r="G565" s="11" t="n">
        <f aca="false">G564-G562</f>
        <v>3577.65584848513</v>
      </c>
    </row>
    <row r="566" customFormat="false" ht="15" hidden="false" customHeight="false" outlineLevel="0" collapsed="false">
      <c r="A566" s="4" t="s">
        <v>377</v>
      </c>
      <c r="B566" s="0" t="s">
        <v>62</v>
      </c>
      <c r="C566" s="14" t="n">
        <f aca="false">C565/C560</f>
        <v>0.435911219004682</v>
      </c>
      <c r="D566" s="14" t="n">
        <f aca="false">D565/D560</f>
        <v>0.471830022016499</v>
      </c>
      <c r="E566" s="14" t="n">
        <f aca="false">E565/E560</f>
        <v>0.477130418835953</v>
      </c>
      <c r="F566" s="14" t="n">
        <f aca="false">F565/F560</f>
        <v>0.482041549236627</v>
      </c>
      <c r="G566" s="14" t="n">
        <f aca="false">G565/G560</f>
        <v>0.472100819303416</v>
      </c>
    </row>
    <row r="567" customFormat="false" ht="15" hidden="false" customHeight="false" outlineLevel="0" collapsed="false">
      <c r="A567" s="4" t="s">
        <v>437</v>
      </c>
      <c r="B567" s="4" t="s">
        <v>226</v>
      </c>
      <c r="C567" s="11" t="n">
        <f aca="false">a25_ni</f>
        <v>2140</v>
      </c>
      <c r="D567" s="11" t="n">
        <f aca="false">D565*nioi</f>
        <v>3028.38560006365</v>
      </c>
      <c r="E567" s="11" t="n">
        <f aca="false">E565*nioi</f>
        <v>3399.19825535779</v>
      </c>
      <c r="F567" s="11" t="n">
        <f aca="false">F565*nioi</f>
        <v>3823.83403854195</v>
      </c>
      <c r="G567" s="11" t="n">
        <f aca="false">G565*nioi</f>
        <v>3045.54020277584</v>
      </c>
    </row>
    <row r="568" customFormat="false" ht="15" hidden="false" customHeight="false" outlineLevel="0" collapsed="false">
      <c r="A568" s="0" t="s">
        <v>438</v>
      </c>
      <c r="B568" s="0" t="s">
        <v>302</v>
      </c>
      <c r="C568" s="11" t="n">
        <f aca="false">a25_eps</f>
        <v>2231.7</v>
      </c>
      <c r="D568" s="11" t="n">
        <f aca="false">D567*100/shares</f>
        <v>3158.15333815983</v>
      </c>
      <c r="E568" s="11" t="n">
        <f aca="false">E567*100/shares</f>
        <v>3544.85548901027</v>
      </c>
      <c r="F568" s="11" t="n">
        <f aca="false">F567*100/shares</f>
        <v>3987.68711393181</v>
      </c>
      <c r="G568" s="11" t="n">
        <f aca="false">G567*100/shares</f>
        <v>3176.04302361441</v>
      </c>
    </row>
    <row r="569" customFormat="false" ht="17.15" hidden="false" customHeight="false" outlineLevel="0" collapsed="false">
      <c r="A569" s="4" t="s">
        <v>471</v>
      </c>
      <c r="B569" s="4" t="s">
        <v>226</v>
      </c>
      <c r="C569" s="11" t="n">
        <f aca="false">$C559*C550</f>
        <v>9111.42347595421</v>
      </c>
      <c r="D569" s="11" t="n">
        <f aca="false">$C559*D550</f>
        <v>9818.79182273412</v>
      </c>
      <c r="E569" s="11" t="n">
        <f aca="false">$C559*E550</f>
        <v>14061.203352178</v>
      </c>
      <c r="F569" s="11" t="n">
        <f aca="false">$C559*F550</f>
        <v>15582.725224289</v>
      </c>
      <c r="G569" s="11" t="n">
        <f aca="false">$C559*G550</f>
        <v>8790.14898955238</v>
      </c>
      <c r="I569" s="4" t="s">
        <v>472</v>
      </c>
    </row>
    <row r="570" customFormat="false" ht="15" hidden="false" customHeight="false" outlineLevel="0" collapsed="false">
      <c r="A570" s="4" t="s">
        <v>473</v>
      </c>
      <c r="B570" s="0" t="s">
        <v>333</v>
      </c>
      <c r="C570" s="11" t="n">
        <f aca="false">C569/fx*100</f>
        <v>641.649540560155</v>
      </c>
      <c r="D570" s="11" t="n">
        <f aca="false">D569/fx*100</f>
        <v>691.4642128686</v>
      </c>
      <c r="E570" s="11" t="n">
        <f aca="false">E569/fx*100</f>
        <v>990.225588181552</v>
      </c>
      <c r="F570" s="11" t="n">
        <f aca="false">F569/fx*100</f>
        <v>1097.375015795</v>
      </c>
      <c r="G570" s="11" t="n">
        <f aca="false">G569/fx*100</f>
        <v>619.024576729041</v>
      </c>
    </row>
    <row r="580" customFormat="false" ht="17.15" hidden="false" customHeight="false" outlineLevel="0" collapsed="false">
      <c r="A580" s="1" t="s">
        <v>673</v>
      </c>
    </row>
    <row r="581" customFormat="false" ht="15" hidden="false" customHeight="false" outlineLevel="0" collapsed="false">
      <c r="A581" s="5" t="s">
        <v>14</v>
      </c>
      <c r="B581" s="5" t="s">
        <v>15</v>
      </c>
      <c r="C581" s="9" t="s">
        <v>401</v>
      </c>
      <c r="D581" s="9" t="s">
        <v>402</v>
      </c>
      <c r="E581" s="9" t="s">
        <v>403</v>
      </c>
      <c r="F581" s="9" t="s">
        <v>404</v>
      </c>
      <c r="G581" s="9" t="s">
        <v>405</v>
      </c>
      <c r="H581" s="9" t="s">
        <v>406</v>
      </c>
      <c r="I581" s="5" t="s">
        <v>407</v>
      </c>
    </row>
    <row r="582" customFormat="false" ht="17.15" hidden="false" customHeight="false" outlineLevel="0" collapsed="false">
      <c r="A582" s="6" t="s">
        <v>441</v>
      </c>
    </row>
    <row r="583" customFormat="false" ht="17.15" hidden="false" customHeight="false" outlineLevel="0" collapsed="false">
      <c r="A583" s="0" t="s">
        <v>442</v>
      </c>
      <c r="B583" s="0" t="s">
        <v>25</v>
      </c>
      <c r="C583" s="17" t="n">
        <f aca="false">hsA_25</f>
        <v>2.22511470588235</v>
      </c>
      <c r="D583" s="17" t="n">
        <f aca="false">hsA_26</f>
        <v>3.782695</v>
      </c>
      <c r="E583" s="17" t="n">
        <f aca="false">hsA_27</f>
        <v>5.86317725</v>
      </c>
      <c r="F583" s="17" t="n">
        <f aca="false">hsA_28</f>
        <v>8.5016070125</v>
      </c>
      <c r="G583" s="17" t="n">
        <f aca="false">hsA_29</f>
        <v>11.477169466875</v>
      </c>
      <c r="H583" s="17" t="n">
        <f aca="false">G583*(1+g_tail)</f>
        <v>12.6248864135625</v>
      </c>
      <c r="I583" s="8" t="s">
        <v>443</v>
      </c>
    </row>
    <row r="584" customFormat="false" ht="17.15" hidden="false" customHeight="false" outlineLevel="0" collapsed="false">
      <c r="A584" s="0" t="s">
        <v>444</v>
      </c>
      <c r="B584" s="0" t="s">
        <v>445</v>
      </c>
      <c r="C584" s="15" t="n">
        <f aca="false">den_25</f>
        <v>24</v>
      </c>
      <c r="D584" s="15" t="n">
        <f aca="false">den_26</f>
        <v>24</v>
      </c>
      <c r="E584" s="15" t="n">
        <f aca="false">den_27</f>
        <v>26</v>
      </c>
      <c r="F584" s="15" t="n">
        <f aca="false">den_28</f>
        <v>28</v>
      </c>
      <c r="G584" s="15" t="n">
        <f aca="false">den_29</f>
        <v>30</v>
      </c>
      <c r="H584" s="15" t="n">
        <f aca="false">den_30</f>
        <v>32</v>
      </c>
    </row>
    <row r="585" customFormat="false" ht="17.15" hidden="false" customHeight="false" outlineLevel="0" collapsed="false">
      <c r="A585" s="4" t="s">
        <v>446</v>
      </c>
      <c r="B585" s="4" t="s">
        <v>411</v>
      </c>
      <c r="C585" s="11" t="n">
        <f aca="false">C583*8000/C584</f>
        <v>741.704901960783</v>
      </c>
      <c r="D585" s="11" t="n">
        <f aca="false">D583*8000/D584</f>
        <v>1260.89833333333</v>
      </c>
      <c r="E585" s="11" t="n">
        <f aca="false">E583*8000/E584</f>
        <v>1804.05453846154</v>
      </c>
      <c r="F585" s="11" t="n">
        <f aca="false">F583*8000/F584</f>
        <v>2429.030575</v>
      </c>
      <c r="G585" s="11" t="n">
        <f aca="false">G583*8000/G584</f>
        <v>3060.5785245</v>
      </c>
      <c r="H585" s="11" t="n">
        <f aca="false">H583*8000/H584</f>
        <v>3156.22160339063</v>
      </c>
      <c r="I585" s="8" t="s">
        <v>447</v>
      </c>
    </row>
    <row r="586" customFormat="false" ht="15" hidden="false" customHeight="false" outlineLevel="0" collapsed="false">
      <c r="A586" s="4" t="s">
        <v>448</v>
      </c>
      <c r="B586" s="4" t="s">
        <v>89</v>
      </c>
      <c r="C586" s="15" t="n">
        <f aca="false">stk_25</f>
        <v>10</v>
      </c>
      <c r="D586" s="15" t="n">
        <f aca="false">stk_26</f>
        <v>12</v>
      </c>
      <c r="E586" s="15" t="n">
        <f aca="false">stk_27</f>
        <v>12.5</v>
      </c>
      <c r="F586" s="15" t="n">
        <f aca="false">stk_28</f>
        <v>14</v>
      </c>
      <c r="G586" s="15" t="n">
        <f aca="false">stk_29</f>
        <v>15</v>
      </c>
      <c r="H586" s="15" t="n">
        <f aca="false">stk_30</f>
        <v>16</v>
      </c>
    </row>
    <row r="587" customFormat="false" ht="15" hidden="false" customHeight="false" outlineLevel="0" collapsed="false">
      <c r="A587" s="4" t="s">
        <v>449</v>
      </c>
      <c r="B587" s="0" t="s">
        <v>109</v>
      </c>
      <c r="C587" s="18" t="n">
        <f aca="false">1+beta*(C586-$C586)/4</f>
        <v>1</v>
      </c>
      <c r="D587" s="18" t="n">
        <f aca="false">1+beta*(D586-$C586)/4</f>
        <v>1.05</v>
      </c>
      <c r="E587" s="18" t="n">
        <f aca="false">1+beta*(E586-$C586)/4</f>
        <v>1.0625</v>
      </c>
      <c r="F587" s="18" t="n">
        <f aca="false">1+beta*(F586-$C586)/4</f>
        <v>1.1</v>
      </c>
      <c r="G587" s="18" t="n">
        <f aca="false">1+beta*(G586-$C586)/4</f>
        <v>1.125</v>
      </c>
      <c r="H587" s="18" t="n">
        <f aca="false">1+beta*(H586-$C586)/4</f>
        <v>1.15</v>
      </c>
    </row>
    <row r="588" customFormat="false" ht="17.15" hidden="false" customHeight="false" outlineLevel="0" collapsed="false">
      <c r="A588" s="4" t="s">
        <v>450</v>
      </c>
      <c r="B588" s="0" t="s">
        <v>62</v>
      </c>
      <c r="C588" s="14" t="n">
        <f aca="false">0</f>
        <v>0</v>
      </c>
      <c r="D588" s="14" t="n">
        <f aca="false">0</f>
        <v>0</v>
      </c>
      <c r="E588" s="14" t="n">
        <f aca="false">0</f>
        <v>0</v>
      </c>
      <c r="F588" s="14" t="n">
        <f aca="false">0</f>
        <v>0</v>
      </c>
      <c r="G588" s="14" t="n">
        <f aca="false">0</f>
        <v>0</v>
      </c>
      <c r="H588" s="14" t="n">
        <f aca="false">0</f>
        <v>0</v>
      </c>
      <c r="I588" s="4" t="s">
        <v>451</v>
      </c>
    </row>
    <row r="589" customFormat="false" ht="17.15" hidden="false" customHeight="false" outlineLevel="0" collapsed="false">
      <c r="A589" s="0" t="s">
        <v>452</v>
      </c>
      <c r="B589" s="4" t="s">
        <v>413</v>
      </c>
      <c r="C589" s="11" t="n">
        <f aca="false">C585*C587*(1-C588)</f>
        <v>741.704901960783</v>
      </c>
      <c r="D589" s="11" t="n">
        <f aca="false">D585*D587*(1-D588)</f>
        <v>1323.94325</v>
      </c>
      <c r="E589" s="11" t="n">
        <f aca="false">E585*E587*(1-E588)</f>
        <v>1916.80794711538</v>
      </c>
      <c r="F589" s="11" t="n">
        <f aca="false">F585*F587*(1-F588)</f>
        <v>2671.9336325</v>
      </c>
      <c r="G589" s="11" t="n">
        <f aca="false">G585*G587*(1-G588)</f>
        <v>3443.1508400625</v>
      </c>
      <c r="H589" s="11" t="n">
        <f aca="false">H585*H587*(1-H588)</f>
        <v>3629.65484389922</v>
      </c>
    </row>
    <row r="590" customFormat="false" ht="17.15" hidden="false" customHeight="false" outlineLevel="0" collapsed="false">
      <c r="A590" s="4" t="s">
        <v>453</v>
      </c>
      <c r="B590" s="4" t="s">
        <v>413</v>
      </c>
      <c r="C590" s="11" t="n">
        <f aca="false">MAX(0,D589-C589)+dlt_lo*C589</f>
        <v>619.323593137256</v>
      </c>
      <c r="D590" s="11" t="n">
        <f aca="false">MAX(0,E589-D589)+dlt_lo*D589</f>
        <v>659.061859615385</v>
      </c>
      <c r="E590" s="11" t="n">
        <f aca="false">MAX(0,F589-E589)+dlt_lo*E589</f>
        <v>850.966082740385</v>
      </c>
      <c r="F590" s="11" t="n">
        <f aca="false">MAX(0,G589-F589)+dlt_lo*F589</f>
        <v>904.8138891875</v>
      </c>
      <c r="G590" s="11" t="n">
        <f aca="false">MAX(0,H589-G589)+dlt_lo*G589</f>
        <v>358.661545839843</v>
      </c>
      <c r="I590" s="4" t="s">
        <v>454</v>
      </c>
    </row>
    <row r="591" customFormat="false" ht="17.15" hidden="false" customHeight="false" outlineLevel="0" collapsed="false">
      <c r="A591" s="0" t="s">
        <v>455</v>
      </c>
      <c r="B591" s="0" t="s">
        <v>62</v>
      </c>
      <c r="C591" s="14" t="n">
        <f aca="false">ms_sk_26/(ms_sk_26+ms_ss_26+ms_mu_26)</f>
        <v>0.52</v>
      </c>
      <c r="D591" s="14" t="n">
        <f aca="false">ms_sk_27/(ms_sk_27+ms_ss_27+ms_mu_27)</f>
        <v>0.42</v>
      </c>
      <c r="E591" s="14" t="n">
        <f aca="false">ms_sk_28/(ms_sk_28+ms_ss_28+ms_mu_28)</f>
        <v>0.4</v>
      </c>
      <c r="F591" s="14" t="n">
        <f aca="false">ms_sk_29/(ms_sk_29+ms_ss_29+ms_mu_29)</f>
        <v>0.4</v>
      </c>
      <c r="G591" s="14" t="n">
        <f aca="false">ms_sk_29/(ms_sk_29+ms_ss_29+ms_mu_29)</f>
        <v>0.4</v>
      </c>
    </row>
    <row r="592" customFormat="false" ht="17.15" hidden="false" customHeight="false" outlineLevel="0" collapsed="false">
      <c r="A592" s="4" t="s">
        <v>456</v>
      </c>
      <c r="B592" s="0" t="s">
        <v>62</v>
      </c>
      <c r="C592" s="14" t="n">
        <f aca="false">ms_ss_26/(ms_sk_26+ms_ss_26+ms_mu_26)</f>
        <v>0.29</v>
      </c>
      <c r="D592" s="14" t="n">
        <f aca="false">ms_ss_27/(ms_sk_27+ms_ss_27+ms_mu_27)</f>
        <v>0.38</v>
      </c>
      <c r="E592" s="14" t="n">
        <f aca="false">ms_ss_28/(ms_sk_28+ms_ss_28+ms_mu_28)</f>
        <v>0.4</v>
      </c>
      <c r="F592" s="14" t="n">
        <f aca="false">ms_ss_29/(ms_sk_29+ms_ss_29+ms_mu_29)</f>
        <v>0.4</v>
      </c>
      <c r="G592" s="14" t="n">
        <f aca="false">ms_ss_29/(ms_sk_29+ms_ss_29+ms_mu_29)</f>
        <v>0.4</v>
      </c>
    </row>
    <row r="593" customFormat="false" ht="17.15" hidden="false" customHeight="false" outlineLevel="0" collapsed="false">
      <c r="A593" s="4" t="s">
        <v>457</v>
      </c>
      <c r="B593" s="0" t="s">
        <v>62</v>
      </c>
      <c r="C593" s="14" t="n">
        <f aca="false">ms_mu_26/(ms_sk_26+ms_ss_26+ms_mu_26)</f>
        <v>0.19</v>
      </c>
      <c r="D593" s="14" t="n">
        <f aca="false">ms_mu_27/(ms_sk_27+ms_ss_27+ms_mu_27)</f>
        <v>0.2</v>
      </c>
      <c r="E593" s="14" t="n">
        <f aca="false">ms_mu_28/(ms_sk_28+ms_ss_28+ms_mu_28)</f>
        <v>0.2</v>
      </c>
      <c r="F593" s="14" t="n">
        <f aca="false">ms_mu_29/(ms_sk_29+ms_ss_29+ms_mu_29)</f>
        <v>0.2</v>
      </c>
      <c r="G593" s="14" t="n">
        <f aca="false">ms_mu_29/(ms_sk_29+ms_ss_29+ms_mu_29)</f>
        <v>0.2</v>
      </c>
    </row>
    <row r="594" customFormat="false" ht="17.15" hidden="false" customHeight="false" outlineLevel="0" collapsed="false">
      <c r="A594" s="4" t="s">
        <v>458</v>
      </c>
      <c r="B594" s="0" t="s">
        <v>62</v>
      </c>
      <c r="C594" s="14" t="n">
        <f aca="false">C591*hsk_25+C592*hss+C593*hmu_25</f>
        <v>0.412</v>
      </c>
      <c r="D594" s="14" t="n">
        <f aca="false">D591*hsk_A+D592*hss+D593*hmu_A</f>
        <v>0.339</v>
      </c>
      <c r="E594" s="14" t="n">
        <f aca="false">E591*hsk_A+E592*hss+E593*hmu_A</f>
        <v>0.33</v>
      </c>
      <c r="F594" s="14" t="n">
        <f aca="false">F591*hsk_A+F592*hss+F593*hmu_A</f>
        <v>0.33</v>
      </c>
      <c r="G594" s="14" t="n">
        <f aca="false">G591*hsk_A+G592*hss+G593*hmu_A</f>
        <v>0.33</v>
      </c>
    </row>
    <row r="595" customFormat="false" ht="17.15" hidden="false" customHeight="false" outlineLevel="0" collapsed="false">
      <c r="A595" s="4" t="s">
        <v>459</v>
      </c>
      <c r="B595" s="4" t="s">
        <v>413</v>
      </c>
      <c r="C595" s="11" t="n">
        <f aca="false">C590*C594</f>
        <v>255.161320372549</v>
      </c>
      <c r="D595" s="11" t="n">
        <f aca="false">D590*D594</f>
        <v>223.421970409615</v>
      </c>
      <c r="E595" s="11" t="n">
        <f aca="false">E590*E594</f>
        <v>280.818807304327</v>
      </c>
      <c r="F595" s="11" t="n">
        <f aca="false">F590*F594</f>
        <v>298.588583431875</v>
      </c>
      <c r="G595" s="11" t="n">
        <f aca="false">G590*G594</f>
        <v>118.358310127148</v>
      </c>
    </row>
    <row r="596" customFormat="false" ht="17.15" hidden="false" customHeight="false" outlineLevel="0" collapsed="false">
      <c r="A596" s="6" t="s">
        <v>460</v>
      </c>
    </row>
    <row r="597" customFormat="false" ht="17.15" hidden="false" customHeight="false" outlineLevel="0" collapsed="false">
      <c r="A597" s="4" t="s">
        <v>461</v>
      </c>
      <c r="B597" s="4" t="s">
        <v>226</v>
      </c>
      <c r="C597" s="11" t="n">
        <f aca="false">a25_rev-a25_hbm</f>
        <v>2895.034</v>
      </c>
      <c r="D597" s="11" t="n">
        <f aca="false">C597*(1+g_o26)</f>
        <v>3329.2891</v>
      </c>
      <c r="E597" s="11" t="n">
        <f aca="false">D597*(1+g_o_A)</f>
        <v>3728.803792</v>
      </c>
      <c r="F597" s="11" t="n">
        <f aca="false">E597*(1+g_o_A)</f>
        <v>4176.26024704</v>
      </c>
      <c r="G597" s="11" t="n">
        <f aca="false">F597*(1+g_o_A)</f>
        <v>4677.4114766848</v>
      </c>
    </row>
    <row r="598" customFormat="false" ht="17.15" hidden="false" customHeight="false" outlineLevel="0" collapsed="false">
      <c r="A598" s="0" t="s">
        <v>462</v>
      </c>
      <c r="B598" s="4" t="s">
        <v>226</v>
      </c>
      <c r="C598" s="11" t="n">
        <f aca="false">a25_hbm</f>
        <v>2871.966</v>
      </c>
      <c r="D598" s="11" t="n">
        <f aca="false">rev26-D597</f>
        <v>4210.5109</v>
      </c>
      <c r="E598" s="11" t="n">
        <f aca="false">$C599*E595</f>
        <v>4155.79221867093</v>
      </c>
      <c r="F598" s="11" t="n">
        <f aca="false">$C599*F595</f>
        <v>4418.76426839679</v>
      </c>
      <c r="G598" s="11" t="n">
        <f aca="false">$C599*G595</f>
        <v>1751.56553424285</v>
      </c>
      <c r="I598" s="8" t="s">
        <v>463</v>
      </c>
    </row>
    <row r="599" customFormat="false" ht="17.15" hidden="false" customHeight="false" outlineLevel="0" collapsed="false">
      <c r="A599" s="4" t="s">
        <v>464</v>
      </c>
      <c r="B599" s="4" t="s">
        <v>465</v>
      </c>
      <c r="C599" s="18" t="n">
        <f aca="false">(C598+D598)/(C595+D595)</f>
        <v>14.7988386481794</v>
      </c>
      <c r="I599" s="4" t="s">
        <v>466</v>
      </c>
    </row>
    <row r="600" customFormat="false" ht="15" hidden="false" customHeight="false" outlineLevel="0" collapsed="false">
      <c r="A600" s="4" t="s">
        <v>366</v>
      </c>
      <c r="B600" s="4" t="s">
        <v>226</v>
      </c>
      <c r="C600" s="11" t="n">
        <f aca="false">a25_rev</f>
        <v>5767</v>
      </c>
      <c r="D600" s="11" t="n">
        <f aca="false">D597+D598</f>
        <v>7539.8</v>
      </c>
      <c r="E600" s="11" t="n">
        <f aca="false">E597+E598</f>
        <v>7884.59601067093</v>
      </c>
      <c r="F600" s="11" t="n">
        <f aca="false">F597+F598</f>
        <v>8595.02451543679</v>
      </c>
      <c r="G600" s="11" t="n">
        <f aca="false">G597+G598</f>
        <v>6428.97701092765</v>
      </c>
    </row>
    <row r="601" customFormat="false" ht="17.15" hidden="false" customHeight="false" outlineLevel="0" collapsed="false">
      <c r="A601" s="0" t="s">
        <v>467</v>
      </c>
      <c r="B601" s="0" t="s">
        <v>62</v>
      </c>
      <c r="C601" s="14" t="n">
        <f aca="false">C598/C600</f>
        <v>0.498</v>
      </c>
      <c r="D601" s="14" t="n">
        <f aca="false">D598/D600</f>
        <v>0.558438008965755</v>
      </c>
      <c r="E601" s="14" t="n">
        <f aca="false">E598/E600</f>
        <v>0.527077381396146</v>
      </c>
      <c r="F601" s="14" t="n">
        <f aca="false">F598/F600</f>
        <v>0.514107232674046</v>
      </c>
      <c r="G601" s="14" t="n">
        <f aca="false">G598/G600</f>
        <v>0.272448560831004</v>
      </c>
    </row>
    <row r="602" customFormat="false" ht="17.15" hidden="false" customHeight="false" outlineLevel="0" collapsed="false">
      <c r="A602" s="4" t="s">
        <v>468</v>
      </c>
      <c r="B602" s="4" t="s">
        <v>226</v>
      </c>
      <c r="C602" s="11" t="n">
        <f aca="false">opex25</f>
        <v>806.7</v>
      </c>
      <c r="D602" s="11" t="n">
        <f aca="false">opex_fix+opex_var*D600</f>
        <v>930.691482573261</v>
      </c>
      <c r="E602" s="11" t="n">
        <f aca="false">opex_fix+opex_var*E600</f>
        <v>954.8068754819</v>
      </c>
      <c r="F602" s="11" t="n">
        <f aca="false">opex_fix+opex_var*F600</f>
        <v>1004.49498670044</v>
      </c>
      <c r="G602" s="11" t="n">
        <f aca="false">opex_fix+opex_var*G600</f>
        <v>852.999363162419</v>
      </c>
      <c r="I602" s="4" t="s">
        <v>469</v>
      </c>
    </row>
    <row r="603" customFormat="false" ht="17.15" hidden="false" customHeight="false" outlineLevel="0" collapsed="false">
      <c r="A603" s="4" t="s">
        <v>436</v>
      </c>
      <c r="B603" s="0" t="s">
        <v>62</v>
      </c>
      <c r="C603" s="14" t="n">
        <f aca="false">a25_gp/a25_rev</f>
        <v>0.575793306745275</v>
      </c>
      <c r="D603" s="14" t="n">
        <f aca="false">(oi26+D602)/D600</f>
        <v>0.595267179842073</v>
      </c>
      <c r="E603" s="14" t="n">
        <f aca="false">$D603+0</f>
        <v>0.595267179842073</v>
      </c>
      <c r="F603" s="14" t="n">
        <f aca="false">$D603+0</f>
        <v>0.595267179842073</v>
      </c>
      <c r="G603" s="14" t="n">
        <f aca="false">$D603+0</f>
        <v>0.595267179842073</v>
      </c>
      <c r="I603" s="8" t="s">
        <v>470</v>
      </c>
    </row>
    <row r="604" customFormat="false" ht="15" hidden="false" customHeight="false" outlineLevel="0" collapsed="false">
      <c r="A604" s="4" t="s">
        <v>371</v>
      </c>
      <c r="B604" s="4" t="s">
        <v>226</v>
      </c>
      <c r="C604" s="11" t="n">
        <f aca="false">C600*C603</f>
        <v>3320.6</v>
      </c>
      <c r="D604" s="11" t="n">
        <f aca="false">D600*D603</f>
        <v>4488.19548257326</v>
      </c>
      <c r="E604" s="11" t="n">
        <f aca="false">E600*E603</f>
        <v>4693.44123146614</v>
      </c>
      <c r="F604" s="11" t="n">
        <f aca="false">F600*F603</f>
        <v>5116.33600397753</v>
      </c>
      <c r="G604" s="11" t="n">
        <f aca="false">G600*G603</f>
        <v>3826.95901456442</v>
      </c>
    </row>
    <row r="605" customFormat="false" ht="15" hidden="false" customHeight="false" outlineLevel="0" collapsed="false">
      <c r="A605" s="4" t="s">
        <v>374</v>
      </c>
      <c r="B605" s="4" t="s">
        <v>226</v>
      </c>
      <c r="C605" s="11" t="n">
        <f aca="false">a25_oi</f>
        <v>2513.9</v>
      </c>
      <c r="D605" s="11" t="n">
        <f aca="false">oi26</f>
        <v>3557.504</v>
      </c>
      <c r="E605" s="11" t="n">
        <f aca="false">E604-E602</f>
        <v>3738.63435598424</v>
      </c>
      <c r="F605" s="11" t="n">
        <f aca="false">F604-F602</f>
        <v>4111.8410172771</v>
      </c>
      <c r="G605" s="11" t="n">
        <f aca="false">G604-G602</f>
        <v>2973.959651402</v>
      </c>
    </row>
    <row r="606" customFormat="false" ht="15" hidden="false" customHeight="false" outlineLevel="0" collapsed="false">
      <c r="A606" s="4" t="s">
        <v>377</v>
      </c>
      <c r="B606" s="0" t="s">
        <v>62</v>
      </c>
      <c r="C606" s="14" t="n">
        <f aca="false">C605/C600</f>
        <v>0.435911219004682</v>
      </c>
      <c r="D606" s="14" t="n">
        <f aca="false">D605/D600</f>
        <v>0.471830022016499</v>
      </c>
      <c r="E606" s="14" t="n">
        <f aca="false">E605/E600</f>
        <v>0.474169424904512</v>
      </c>
      <c r="F606" s="14" t="n">
        <f aca="false">F605/F600</f>
        <v>0.478397823053579</v>
      </c>
      <c r="G606" s="14" t="n">
        <f aca="false">G605/G600</f>
        <v>0.462586760902554</v>
      </c>
    </row>
    <row r="607" customFormat="false" ht="15" hidden="false" customHeight="false" outlineLevel="0" collapsed="false">
      <c r="A607" s="4" t="s">
        <v>437</v>
      </c>
      <c r="B607" s="4" t="s">
        <v>226</v>
      </c>
      <c r="C607" s="11" t="n">
        <f aca="false">a25_ni</f>
        <v>2140</v>
      </c>
      <c r="D607" s="11" t="n">
        <f aca="false">D605*nioi</f>
        <v>3028.38560006365</v>
      </c>
      <c r="E607" s="11" t="n">
        <f aca="false">E605*nioi</f>
        <v>3182.57588679195</v>
      </c>
      <c r="F607" s="11" t="n">
        <f aca="false">F605*nioi</f>
        <v>3500.27438520744</v>
      </c>
      <c r="G607" s="11" t="n">
        <f aca="false">G605*nioi</f>
        <v>2531.63357890142</v>
      </c>
    </row>
    <row r="608" customFormat="false" ht="15" hidden="false" customHeight="false" outlineLevel="0" collapsed="false">
      <c r="A608" s="0" t="s">
        <v>438</v>
      </c>
      <c r="B608" s="0" t="s">
        <v>302</v>
      </c>
      <c r="C608" s="11" t="n">
        <f aca="false">a25_eps</f>
        <v>2231.7</v>
      </c>
      <c r="D608" s="11" t="n">
        <f aca="false">D607*100/shares</f>
        <v>3158.15333815983</v>
      </c>
      <c r="E608" s="11" t="n">
        <f aca="false">E607*100/shares</f>
        <v>3318.95075072598</v>
      </c>
      <c r="F608" s="11" t="n">
        <f aca="false">F607*100/shares</f>
        <v>3650.26277825582</v>
      </c>
      <c r="G608" s="11" t="n">
        <f aca="false">G607*100/shares</f>
        <v>2640.1152607637</v>
      </c>
    </row>
    <row r="609" customFormat="false" ht="17.15" hidden="false" customHeight="false" outlineLevel="0" collapsed="false">
      <c r="A609" s="4" t="s">
        <v>471</v>
      </c>
      <c r="B609" s="4" t="s">
        <v>226</v>
      </c>
      <c r="C609" s="11" t="n">
        <f aca="false">$C599*C590</f>
        <v>9165.26992584898</v>
      </c>
      <c r="D609" s="11" t="n">
        <f aca="false">$C599*D590</f>
        <v>9753.35011961717</v>
      </c>
      <c r="E609" s="11" t="n">
        <f aca="false">$C599*E590</f>
        <v>12593.3097535483</v>
      </c>
      <c r="F609" s="11" t="n">
        <f aca="false">$C599*F590</f>
        <v>13390.1947527175</v>
      </c>
      <c r="G609" s="11" t="n">
        <f aca="false">$C599*G590</f>
        <v>5307.77434619046</v>
      </c>
      <c r="I609" s="4" t="s">
        <v>472</v>
      </c>
    </row>
    <row r="610" customFormat="false" ht="15" hidden="false" customHeight="false" outlineLevel="0" collapsed="false">
      <c r="A610" s="4" t="s">
        <v>473</v>
      </c>
      <c r="B610" s="0" t="s">
        <v>333</v>
      </c>
      <c r="C610" s="11" t="n">
        <f aca="false">C609/fx*100</f>
        <v>645.441544073872</v>
      </c>
      <c r="D610" s="11" t="n">
        <f aca="false">D609/fx*100</f>
        <v>686.855642226561</v>
      </c>
      <c r="E610" s="11" t="n">
        <f aca="false">E609/fx*100</f>
        <v>886.852799545653</v>
      </c>
      <c r="F610" s="11" t="n">
        <f aca="false">F609/fx*100</f>
        <v>942.971461458981</v>
      </c>
      <c r="G610" s="11" t="n">
        <f aca="false">G609/fx*100</f>
        <v>373.78692578806</v>
      </c>
    </row>
    <row r="620" customFormat="false" ht="17.15" hidden="false" customHeight="false" outlineLevel="0" collapsed="false">
      <c r="A620" s="1" t="s">
        <v>674</v>
      </c>
    </row>
    <row r="621" customFormat="false" ht="15" hidden="false" customHeight="false" outlineLevel="0" collapsed="false">
      <c r="A621" s="5" t="s">
        <v>14</v>
      </c>
      <c r="B621" s="5" t="s">
        <v>15</v>
      </c>
      <c r="C621" s="9" t="s">
        <v>401</v>
      </c>
      <c r="D621" s="9" t="s">
        <v>402</v>
      </c>
      <c r="E621" s="9" t="s">
        <v>403</v>
      </c>
      <c r="F621" s="9" t="s">
        <v>404</v>
      </c>
      <c r="G621" s="9" t="s">
        <v>405</v>
      </c>
      <c r="H621" s="9" t="s">
        <v>406</v>
      </c>
      <c r="I621" s="5" t="s">
        <v>407</v>
      </c>
    </row>
    <row r="622" customFormat="false" ht="17.15" hidden="false" customHeight="false" outlineLevel="0" collapsed="false">
      <c r="A622" s="6" t="s">
        <v>441</v>
      </c>
    </row>
    <row r="623" customFormat="false" ht="17.15" hidden="false" customHeight="false" outlineLevel="0" collapsed="false">
      <c r="A623" s="0" t="s">
        <v>442</v>
      </c>
      <c r="B623" s="0" t="s">
        <v>25</v>
      </c>
      <c r="C623" s="17" t="n">
        <f aca="false">hsA_25</f>
        <v>2.22511470588235</v>
      </c>
      <c r="D623" s="17" t="n">
        <f aca="false">hsA_26</f>
        <v>3.782695</v>
      </c>
      <c r="E623" s="17" t="n">
        <f aca="false">hsA_27</f>
        <v>5.86317725</v>
      </c>
      <c r="F623" s="17" t="n">
        <f aca="false">hsA_28</f>
        <v>8.5016070125</v>
      </c>
      <c r="G623" s="17" t="n">
        <f aca="false">hsA_29</f>
        <v>11.477169466875</v>
      </c>
      <c r="H623" s="17" t="n">
        <f aca="false">G623*(1+g_tail)</f>
        <v>12.6248864135625</v>
      </c>
      <c r="I623" s="8" t="s">
        <v>443</v>
      </c>
    </row>
    <row r="624" customFormat="false" ht="17.15" hidden="false" customHeight="false" outlineLevel="0" collapsed="false">
      <c r="A624" s="0" t="s">
        <v>444</v>
      </c>
      <c r="B624" s="0" t="s">
        <v>445</v>
      </c>
      <c r="C624" s="15" t="n">
        <f aca="false">den_25</f>
        <v>24</v>
      </c>
      <c r="D624" s="15" t="n">
        <f aca="false">den_26</f>
        <v>24</v>
      </c>
      <c r="E624" s="15" t="n">
        <f aca="false">den_27</f>
        <v>26</v>
      </c>
      <c r="F624" s="15" t="n">
        <f aca="false">den_28</f>
        <v>28</v>
      </c>
      <c r="G624" s="15" t="n">
        <f aca="false">den_29</f>
        <v>30</v>
      </c>
      <c r="H624" s="15" t="n">
        <f aca="false">den_30</f>
        <v>32</v>
      </c>
    </row>
    <row r="625" customFormat="false" ht="17.15" hidden="false" customHeight="false" outlineLevel="0" collapsed="false">
      <c r="A625" s="4" t="s">
        <v>446</v>
      </c>
      <c r="B625" s="4" t="s">
        <v>411</v>
      </c>
      <c r="C625" s="11" t="n">
        <f aca="false">C623*8000/C624</f>
        <v>741.704901960783</v>
      </c>
      <c r="D625" s="11" t="n">
        <f aca="false">D623*8000/D624</f>
        <v>1260.89833333333</v>
      </c>
      <c r="E625" s="11" t="n">
        <f aca="false">E623*8000/E624</f>
        <v>1804.05453846154</v>
      </c>
      <c r="F625" s="11" t="n">
        <f aca="false">F623*8000/F624</f>
        <v>2429.030575</v>
      </c>
      <c r="G625" s="11" t="n">
        <f aca="false">G623*8000/G624</f>
        <v>3060.5785245</v>
      </c>
      <c r="H625" s="11" t="n">
        <f aca="false">H623*8000/H624</f>
        <v>3156.22160339063</v>
      </c>
      <c r="I625" s="8" t="s">
        <v>447</v>
      </c>
    </row>
    <row r="626" customFormat="false" ht="15" hidden="false" customHeight="false" outlineLevel="0" collapsed="false">
      <c r="A626" s="4" t="s">
        <v>448</v>
      </c>
      <c r="B626" s="4" t="s">
        <v>89</v>
      </c>
      <c r="C626" s="15" t="n">
        <f aca="false">stk_25</f>
        <v>10</v>
      </c>
      <c r="D626" s="15" t="n">
        <f aca="false">stk_26</f>
        <v>12</v>
      </c>
      <c r="E626" s="15" t="n">
        <f aca="false">stk_27</f>
        <v>12.5</v>
      </c>
      <c r="F626" s="15" t="n">
        <f aca="false">stk_28</f>
        <v>14</v>
      </c>
      <c r="G626" s="15" t="n">
        <f aca="false">stk_29</f>
        <v>15</v>
      </c>
      <c r="H626" s="15" t="n">
        <f aca="false">stk_30</f>
        <v>16</v>
      </c>
    </row>
    <row r="627" customFormat="false" ht="15" hidden="false" customHeight="false" outlineLevel="0" collapsed="false">
      <c r="A627" s="4" t="s">
        <v>449</v>
      </c>
      <c r="B627" s="0" t="s">
        <v>109</v>
      </c>
      <c r="C627" s="18" t="n">
        <f aca="false">1+beta*(C626-$C626)/4</f>
        <v>1</v>
      </c>
      <c r="D627" s="18" t="n">
        <f aca="false">1+beta*(D626-$C626)/4</f>
        <v>1.05</v>
      </c>
      <c r="E627" s="18" t="n">
        <f aca="false">1+beta*(E626-$C626)/4</f>
        <v>1.0625</v>
      </c>
      <c r="F627" s="18" t="n">
        <f aca="false">1+beta*(F626-$C626)/4</f>
        <v>1.1</v>
      </c>
      <c r="G627" s="18" t="n">
        <f aca="false">1+beta*(G626-$C626)/4</f>
        <v>1.125</v>
      </c>
      <c r="H627" s="18" t="n">
        <f aca="false">1+beta*(H626-$C626)/4</f>
        <v>1.15</v>
      </c>
    </row>
    <row r="628" customFormat="false" ht="17.15" hidden="false" customHeight="false" outlineLevel="0" collapsed="false">
      <c r="A628" s="4" t="s">
        <v>450</v>
      </c>
      <c r="B628" s="0" t="s">
        <v>62</v>
      </c>
      <c r="C628" s="14" t="n">
        <f aca="false">0</f>
        <v>0</v>
      </c>
      <c r="D628" s="14" t="n">
        <f aca="false">0</f>
        <v>0</v>
      </c>
      <c r="E628" s="14" t="n">
        <f aca="false">0</f>
        <v>0</v>
      </c>
      <c r="F628" s="14" t="n">
        <f aca="false">0</f>
        <v>0</v>
      </c>
      <c r="G628" s="14" t="n">
        <f aca="false">0</f>
        <v>0</v>
      </c>
      <c r="H628" s="14" t="n">
        <f aca="false">0</f>
        <v>0</v>
      </c>
      <c r="I628" s="4" t="s">
        <v>451</v>
      </c>
    </row>
    <row r="629" customFormat="false" ht="17.15" hidden="false" customHeight="false" outlineLevel="0" collapsed="false">
      <c r="A629" s="0" t="s">
        <v>452</v>
      </c>
      <c r="B629" s="4" t="s">
        <v>413</v>
      </c>
      <c r="C629" s="11" t="n">
        <f aca="false">C625*C627*(1-C628)</f>
        <v>741.704901960783</v>
      </c>
      <c r="D629" s="11" t="n">
        <f aca="false">D625*D627*(1-D628)</f>
        <v>1323.94325</v>
      </c>
      <c r="E629" s="11" t="n">
        <f aca="false">E625*E627*(1-E628)</f>
        <v>1916.80794711538</v>
      </c>
      <c r="F629" s="11" t="n">
        <f aca="false">F625*F627*(1-F628)</f>
        <v>2671.9336325</v>
      </c>
      <c r="G629" s="11" t="n">
        <f aca="false">G625*G627*(1-G628)</f>
        <v>3443.1508400625</v>
      </c>
      <c r="H629" s="11" t="n">
        <f aca="false">H625*H627*(1-H628)</f>
        <v>3629.65484389922</v>
      </c>
    </row>
    <row r="630" customFormat="false" ht="17.15" hidden="false" customHeight="false" outlineLevel="0" collapsed="false">
      <c r="A630" s="4" t="s">
        <v>453</v>
      </c>
      <c r="B630" s="4" t="s">
        <v>413</v>
      </c>
      <c r="C630" s="11" t="n">
        <f aca="false">MAX(0,D629-C629)+dlt_hi*C629</f>
        <v>693.494083333334</v>
      </c>
      <c r="D630" s="11" t="n">
        <f aca="false">MAX(0,E629-D629)+dlt_hi*D629</f>
        <v>791.456184615385</v>
      </c>
      <c r="E630" s="11" t="n">
        <f aca="false">MAX(0,F629-E629)+dlt_hi*E629</f>
        <v>1042.64687745192</v>
      </c>
      <c r="F630" s="11" t="n">
        <f aca="false">MAX(0,G629-F629)+dlt_hi*F629</f>
        <v>1172.0072524375</v>
      </c>
      <c r="G630" s="11" t="n">
        <f aca="false">MAX(0,H629-G629)+dlt_hi*G629</f>
        <v>702.976629846093</v>
      </c>
      <c r="I630" s="4" t="s">
        <v>454</v>
      </c>
    </row>
    <row r="631" customFormat="false" ht="17.15" hidden="false" customHeight="false" outlineLevel="0" collapsed="false">
      <c r="A631" s="0" t="s">
        <v>455</v>
      </c>
      <c r="B631" s="0" t="s">
        <v>62</v>
      </c>
      <c r="C631" s="14" t="n">
        <f aca="false">ms_sk_26/(ms_sk_26+ms_ss_26+ms_mu_26)</f>
        <v>0.52</v>
      </c>
      <c r="D631" s="14" t="n">
        <f aca="false">ms_sk_27/(ms_sk_27+ms_ss_27+ms_mu_27)</f>
        <v>0.42</v>
      </c>
      <c r="E631" s="14" t="n">
        <f aca="false">ms_sk_28/(ms_sk_28+ms_ss_28+ms_mu_28)</f>
        <v>0.4</v>
      </c>
      <c r="F631" s="14" t="n">
        <f aca="false">ms_sk_29/(ms_sk_29+ms_ss_29+ms_mu_29)</f>
        <v>0.4</v>
      </c>
      <c r="G631" s="14" t="n">
        <f aca="false">ms_sk_29/(ms_sk_29+ms_ss_29+ms_mu_29)</f>
        <v>0.4</v>
      </c>
    </row>
    <row r="632" customFormat="false" ht="17.15" hidden="false" customHeight="false" outlineLevel="0" collapsed="false">
      <c r="A632" s="4" t="s">
        <v>456</v>
      </c>
      <c r="B632" s="0" t="s">
        <v>62</v>
      </c>
      <c r="C632" s="14" t="n">
        <f aca="false">ms_ss_26/(ms_sk_26+ms_ss_26+ms_mu_26)</f>
        <v>0.29</v>
      </c>
      <c r="D632" s="14" t="n">
        <f aca="false">ms_ss_27/(ms_sk_27+ms_ss_27+ms_mu_27)</f>
        <v>0.38</v>
      </c>
      <c r="E632" s="14" t="n">
        <f aca="false">ms_ss_28/(ms_sk_28+ms_ss_28+ms_mu_28)</f>
        <v>0.4</v>
      </c>
      <c r="F632" s="14" t="n">
        <f aca="false">ms_ss_29/(ms_sk_29+ms_ss_29+ms_mu_29)</f>
        <v>0.4</v>
      </c>
      <c r="G632" s="14" t="n">
        <f aca="false">ms_ss_29/(ms_sk_29+ms_ss_29+ms_mu_29)</f>
        <v>0.4</v>
      </c>
    </row>
    <row r="633" customFormat="false" ht="17.15" hidden="false" customHeight="false" outlineLevel="0" collapsed="false">
      <c r="A633" s="4" t="s">
        <v>457</v>
      </c>
      <c r="B633" s="0" t="s">
        <v>62</v>
      </c>
      <c r="C633" s="14" t="n">
        <f aca="false">ms_mu_26/(ms_sk_26+ms_ss_26+ms_mu_26)</f>
        <v>0.19</v>
      </c>
      <c r="D633" s="14" t="n">
        <f aca="false">ms_mu_27/(ms_sk_27+ms_ss_27+ms_mu_27)</f>
        <v>0.2</v>
      </c>
      <c r="E633" s="14" t="n">
        <f aca="false">ms_mu_28/(ms_sk_28+ms_ss_28+ms_mu_28)</f>
        <v>0.2</v>
      </c>
      <c r="F633" s="14" t="n">
        <f aca="false">ms_mu_29/(ms_sk_29+ms_ss_29+ms_mu_29)</f>
        <v>0.2</v>
      </c>
      <c r="G633" s="14" t="n">
        <f aca="false">ms_mu_29/(ms_sk_29+ms_ss_29+ms_mu_29)</f>
        <v>0.2</v>
      </c>
    </row>
    <row r="634" customFormat="false" ht="17.15" hidden="false" customHeight="false" outlineLevel="0" collapsed="false">
      <c r="A634" s="4" t="s">
        <v>458</v>
      </c>
      <c r="B634" s="0" t="s">
        <v>62</v>
      </c>
      <c r="C634" s="14" t="n">
        <f aca="false">C631*hsk_25+C632*hss+C633*hmu_25</f>
        <v>0.412</v>
      </c>
      <c r="D634" s="14" t="n">
        <f aca="false">D631*hsk_A+D632*hss+D633*hmu_A</f>
        <v>0.339</v>
      </c>
      <c r="E634" s="14" t="n">
        <f aca="false">E631*hsk_A+E632*hss+E633*hmu_A</f>
        <v>0.33</v>
      </c>
      <c r="F634" s="14" t="n">
        <f aca="false">F631*hsk_A+F632*hss+F633*hmu_A</f>
        <v>0.33</v>
      </c>
      <c r="G634" s="14" t="n">
        <f aca="false">G631*hsk_A+G632*hss+G633*hmu_A</f>
        <v>0.33</v>
      </c>
    </row>
    <row r="635" customFormat="false" ht="17.15" hidden="false" customHeight="false" outlineLevel="0" collapsed="false">
      <c r="A635" s="4" t="s">
        <v>459</v>
      </c>
      <c r="B635" s="4" t="s">
        <v>413</v>
      </c>
      <c r="C635" s="11" t="n">
        <f aca="false">C630*C634</f>
        <v>285.719562333334</v>
      </c>
      <c r="D635" s="11" t="n">
        <f aca="false">D630*D634</f>
        <v>268.303646584615</v>
      </c>
      <c r="E635" s="11" t="n">
        <f aca="false">E630*E634</f>
        <v>344.073469559135</v>
      </c>
      <c r="F635" s="11" t="n">
        <f aca="false">F630*F634</f>
        <v>386.762393304375</v>
      </c>
      <c r="G635" s="11" t="n">
        <f aca="false">G630*G634</f>
        <v>231.982287849211</v>
      </c>
    </row>
    <row r="636" customFormat="false" ht="17.15" hidden="false" customHeight="false" outlineLevel="0" collapsed="false">
      <c r="A636" s="6" t="s">
        <v>460</v>
      </c>
    </row>
    <row r="637" customFormat="false" ht="17.15" hidden="false" customHeight="false" outlineLevel="0" collapsed="false">
      <c r="A637" s="4" t="s">
        <v>461</v>
      </c>
      <c r="B637" s="4" t="s">
        <v>226</v>
      </c>
      <c r="C637" s="11" t="n">
        <f aca="false">a25_rev-a25_hbm</f>
        <v>2895.034</v>
      </c>
      <c r="D637" s="11" t="n">
        <f aca="false">C637*(1+g_o26)</f>
        <v>3329.2891</v>
      </c>
      <c r="E637" s="11" t="n">
        <f aca="false">D637*(1+g_o_A)</f>
        <v>3728.803792</v>
      </c>
      <c r="F637" s="11" t="n">
        <f aca="false">E637*(1+g_o_A)</f>
        <v>4176.26024704</v>
      </c>
      <c r="G637" s="11" t="n">
        <f aca="false">F637*(1+g_o_A)</f>
        <v>4677.4114766848</v>
      </c>
    </row>
    <row r="638" customFormat="false" ht="17.15" hidden="false" customHeight="false" outlineLevel="0" collapsed="false">
      <c r="A638" s="0" t="s">
        <v>462</v>
      </c>
      <c r="B638" s="4" t="s">
        <v>226</v>
      </c>
      <c r="C638" s="11" t="n">
        <f aca="false">a25_hbm</f>
        <v>2871.966</v>
      </c>
      <c r="D638" s="11" t="n">
        <f aca="false">rev26-D637</f>
        <v>4210.5109</v>
      </c>
      <c r="E638" s="11" t="n">
        <f aca="false">$C639*E635</f>
        <v>4398.5384742543</v>
      </c>
      <c r="F638" s="11" t="n">
        <f aca="false">$C639*F635</f>
        <v>4944.26167040347</v>
      </c>
      <c r="G638" s="11" t="n">
        <f aca="false">$C639*G635</f>
        <v>2965.59632963773</v>
      </c>
      <c r="I638" s="8" t="s">
        <v>463</v>
      </c>
    </row>
    <row r="639" customFormat="false" ht="17.15" hidden="false" customHeight="false" outlineLevel="0" collapsed="false">
      <c r="A639" s="4" t="s">
        <v>464</v>
      </c>
      <c r="B639" s="4" t="s">
        <v>465</v>
      </c>
      <c r="C639" s="18" t="n">
        <f aca="false">(C638+D638)/(C635+D635)</f>
        <v>12.7837187792776</v>
      </c>
      <c r="I639" s="4" t="s">
        <v>466</v>
      </c>
    </row>
    <row r="640" customFormat="false" ht="15" hidden="false" customHeight="false" outlineLevel="0" collapsed="false">
      <c r="A640" s="4" t="s">
        <v>366</v>
      </c>
      <c r="B640" s="4" t="s">
        <v>226</v>
      </c>
      <c r="C640" s="11" t="n">
        <f aca="false">a25_rev</f>
        <v>5767</v>
      </c>
      <c r="D640" s="11" t="n">
        <f aca="false">D637+D638</f>
        <v>7539.8</v>
      </c>
      <c r="E640" s="11" t="n">
        <f aca="false">E637+E638</f>
        <v>8127.34226625429</v>
      </c>
      <c r="F640" s="11" t="n">
        <f aca="false">F637+F638</f>
        <v>9120.52191744347</v>
      </c>
      <c r="G640" s="11" t="n">
        <f aca="false">G637+G638</f>
        <v>7643.00780632253</v>
      </c>
    </row>
    <row r="641" customFormat="false" ht="17.15" hidden="false" customHeight="false" outlineLevel="0" collapsed="false">
      <c r="A641" s="0" t="s">
        <v>467</v>
      </c>
      <c r="B641" s="0" t="s">
        <v>62</v>
      </c>
      <c r="C641" s="14" t="n">
        <f aca="false">C638/C640</f>
        <v>0.498</v>
      </c>
      <c r="D641" s="14" t="n">
        <f aca="false">D638/D640</f>
        <v>0.558438008965755</v>
      </c>
      <c r="E641" s="14" t="n">
        <f aca="false">E638/E640</f>
        <v>0.541202564154036</v>
      </c>
      <c r="F641" s="14" t="n">
        <f aca="false">F638/F640</f>
        <v>0.542102931735443</v>
      </c>
      <c r="G641" s="14" t="n">
        <f aca="false">G638/G640</f>
        <v>0.388014300755325</v>
      </c>
    </row>
    <row r="642" customFormat="false" ht="17.15" hidden="false" customHeight="false" outlineLevel="0" collapsed="false">
      <c r="A642" s="4" t="s">
        <v>468</v>
      </c>
      <c r="B642" s="4" t="s">
        <v>226</v>
      </c>
      <c r="C642" s="11" t="n">
        <f aca="false">opex25</f>
        <v>806.7</v>
      </c>
      <c r="D642" s="11" t="n">
        <f aca="false">opex_fix+opex_var*D640</f>
        <v>930.691482573261</v>
      </c>
      <c r="E642" s="11" t="n">
        <f aca="false">opex_fix+opex_var*E640</f>
        <v>971.784801993007</v>
      </c>
      <c r="F642" s="11" t="n">
        <f aca="false">opex_fix+opex_var*F640</f>
        <v>1041.24882354791</v>
      </c>
      <c r="G642" s="11" t="n">
        <f aca="false">opex_fix+opex_var*G640</f>
        <v>937.909944283023</v>
      </c>
      <c r="I642" s="4" t="s">
        <v>469</v>
      </c>
    </row>
    <row r="643" customFormat="false" ht="17.15" hidden="false" customHeight="false" outlineLevel="0" collapsed="false">
      <c r="A643" s="4" t="s">
        <v>436</v>
      </c>
      <c r="B643" s="0" t="s">
        <v>62</v>
      </c>
      <c r="C643" s="14" t="n">
        <f aca="false">a25_gp/a25_rev</f>
        <v>0.575793306745275</v>
      </c>
      <c r="D643" s="14" t="n">
        <f aca="false">(oi26+D642)/D640</f>
        <v>0.595267179842073</v>
      </c>
      <c r="E643" s="14" t="n">
        <f aca="false">$D643+0</f>
        <v>0.595267179842073</v>
      </c>
      <c r="F643" s="14" t="n">
        <f aca="false">$D643+0</f>
        <v>0.595267179842073</v>
      </c>
      <c r="G643" s="14" t="n">
        <f aca="false">$D643+0</f>
        <v>0.595267179842073</v>
      </c>
      <c r="I643" s="8" t="s">
        <v>470</v>
      </c>
    </row>
    <row r="644" customFormat="false" ht="15" hidden="false" customHeight="false" outlineLevel="0" collapsed="false">
      <c r="A644" s="4" t="s">
        <v>371</v>
      </c>
      <c r="B644" s="4" t="s">
        <v>226</v>
      </c>
      <c r="C644" s="11" t="n">
        <f aca="false">C640*C643</f>
        <v>3320.6</v>
      </c>
      <c r="D644" s="11" t="n">
        <f aca="false">D640*D643</f>
        <v>4488.19548257326</v>
      </c>
      <c r="E644" s="11" t="n">
        <f aca="false">E640*E643</f>
        <v>4837.94011044448</v>
      </c>
      <c r="F644" s="11" t="n">
        <f aca="false">F640*F643</f>
        <v>5429.14736048439</v>
      </c>
      <c r="G644" s="11" t="n">
        <f aca="false">G640*G643</f>
        <v>4549.63170238056</v>
      </c>
    </row>
    <row r="645" customFormat="false" ht="15" hidden="false" customHeight="false" outlineLevel="0" collapsed="false">
      <c r="A645" s="4" t="s">
        <v>374</v>
      </c>
      <c r="B645" s="4" t="s">
        <v>226</v>
      </c>
      <c r="C645" s="11" t="n">
        <f aca="false">a25_oi</f>
        <v>2513.9</v>
      </c>
      <c r="D645" s="11" t="n">
        <f aca="false">oi26</f>
        <v>3557.504</v>
      </c>
      <c r="E645" s="11" t="n">
        <f aca="false">E644-E642</f>
        <v>3866.15530845147</v>
      </c>
      <c r="F645" s="11" t="n">
        <f aca="false">F644-F642</f>
        <v>4387.89853693648</v>
      </c>
      <c r="G645" s="11" t="n">
        <f aca="false">G644-G642</f>
        <v>3611.72175809754</v>
      </c>
    </row>
    <row r="646" customFormat="false" ht="15" hidden="false" customHeight="false" outlineLevel="0" collapsed="false">
      <c r="A646" s="4" t="s">
        <v>377</v>
      </c>
      <c r="B646" s="0" t="s">
        <v>62</v>
      </c>
      <c r="C646" s="14" t="n">
        <f aca="false">C645/C640</f>
        <v>0.435911219004682</v>
      </c>
      <c r="D646" s="14" t="n">
        <f aca="false">D645/D640</f>
        <v>0.471830022016499</v>
      </c>
      <c r="E646" s="14" t="n">
        <f aca="false">E645/E640</f>
        <v>0.475697365977093</v>
      </c>
      <c r="F646" s="14" t="n">
        <f aca="false">F645/F640</f>
        <v>0.481101693154686</v>
      </c>
      <c r="G646" s="14" t="n">
        <f aca="false">G645/G640</f>
        <v>0.472552409943872</v>
      </c>
    </row>
    <row r="647" customFormat="false" ht="15" hidden="false" customHeight="false" outlineLevel="0" collapsed="false">
      <c r="A647" s="4" t="s">
        <v>437</v>
      </c>
      <c r="B647" s="4" t="s">
        <v>226</v>
      </c>
      <c r="C647" s="11" t="n">
        <f aca="false">a25_ni</f>
        <v>2140</v>
      </c>
      <c r="D647" s="11" t="n">
        <f aca="false">D645*nioi</f>
        <v>3028.38560006365</v>
      </c>
      <c r="E647" s="11" t="n">
        <f aca="false">E645*nioi</f>
        <v>3291.13025979002</v>
      </c>
      <c r="F647" s="11" t="n">
        <f aca="false">F645*nioi</f>
        <v>3735.2730295732</v>
      </c>
      <c r="G647" s="11" t="n">
        <f aca="false">G645*nioi</f>
        <v>3074.53938594564</v>
      </c>
    </row>
    <row r="648" customFormat="false" ht="15" hidden="false" customHeight="false" outlineLevel="0" collapsed="false">
      <c r="A648" s="0" t="s">
        <v>438</v>
      </c>
      <c r="B648" s="0" t="s">
        <v>302</v>
      </c>
      <c r="C648" s="11" t="n">
        <f aca="false">a25_eps</f>
        <v>2231.7</v>
      </c>
      <c r="D648" s="11" t="n">
        <f aca="false">D647*100/shares</f>
        <v>3158.15333815983</v>
      </c>
      <c r="E648" s="11" t="n">
        <f aca="false">E647*100/shares</f>
        <v>3432.15672933336</v>
      </c>
      <c r="F648" s="11" t="n">
        <f aca="false">F647*100/shares</f>
        <v>3895.33122434509</v>
      </c>
      <c r="G648" s="11" t="n">
        <f aca="false">G647*100/shares</f>
        <v>3206.28483533405</v>
      </c>
    </row>
    <row r="649" customFormat="false" ht="17.15" hidden="false" customHeight="false" outlineLevel="0" collapsed="false">
      <c r="A649" s="4" t="s">
        <v>471</v>
      </c>
      <c r="B649" s="4" t="s">
        <v>226</v>
      </c>
      <c r="C649" s="11" t="n">
        <f aca="false">$C639*C630</f>
        <v>8865.43333642622</v>
      </c>
      <c r="D649" s="11" t="n">
        <f aca="false">$C639*D630</f>
        <v>10117.7532902431</v>
      </c>
      <c r="E649" s="11" t="n">
        <f aca="false">$C639*E630</f>
        <v>13328.9044674373</v>
      </c>
      <c r="F649" s="11" t="n">
        <f aca="false">$C639*F630</f>
        <v>14982.6111224348</v>
      </c>
      <c r="G649" s="11" t="n">
        <f aca="false">$C639*G630</f>
        <v>8986.65554435675</v>
      </c>
      <c r="I649" s="4" t="s">
        <v>472</v>
      </c>
    </row>
    <row r="650" customFormat="false" ht="15" hidden="false" customHeight="false" outlineLevel="0" collapsed="false">
      <c r="A650" s="4" t="s">
        <v>473</v>
      </c>
      <c r="B650" s="0" t="s">
        <v>333</v>
      </c>
      <c r="C650" s="11" t="n">
        <f aca="false">C649/fx*100</f>
        <v>624.326291297621</v>
      </c>
      <c r="D650" s="11" t="n">
        <f aca="false">D649/fx*100</f>
        <v>712.51783734106</v>
      </c>
      <c r="E650" s="11" t="n">
        <f aca="false">E649/fx*100</f>
        <v>938.655244185722</v>
      </c>
      <c r="F650" s="11" t="n">
        <f aca="false">F649/fx*100</f>
        <v>1055.11345932639</v>
      </c>
      <c r="G650" s="11" t="n">
        <f aca="false">G649/fx*100</f>
        <v>632.863066503997</v>
      </c>
    </row>
    <row r="660" customFormat="false" ht="17.15" hidden="false" customHeight="false" outlineLevel="0" collapsed="false">
      <c r="A660" s="1" t="s">
        <v>675</v>
      </c>
    </row>
    <row r="661" customFormat="false" ht="15" hidden="false" customHeight="false" outlineLevel="0" collapsed="false">
      <c r="A661" s="5" t="s">
        <v>14</v>
      </c>
      <c r="B661" s="5" t="s">
        <v>15</v>
      </c>
      <c r="C661" s="9" t="s">
        <v>401</v>
      </c>
      <c r="D661" s="9" t="s">
        <v>402</v>
      </c>
      <c r="E661" s="9" t="s">
        <v>403</v>
      </c>
      <c r="F661" s="9" t="s">
        <v>404</v>
      </c>
      <c r="G661" s="9" t="s">
        <v>405</v>
      </c>
      <c r="H661" s="9" t="s">
        <v>406</v>
      </c>
      <c r="I661" s="5" t="s">
        <v>407</v>
      </c>
    </row>
    <row r="662" customFormat="false" ht="17.15" hidden="false" customHeight="false" outlineLevel="0" collapsed="false">
      <c r="A662" s="6" t="s">
        <v>441</v>
      </c>
    </row>
    <row r="663" customFormat="false" ht="17.15" hidden="false" customHeight="false" outlineLevel="0" collapsed="false">
      <c r="A663" s="0" t="s">
        <v>442</v>
      </c>
      <c r="B663" s="0" t="s">
        <v>25</v>
      </c>
      <c r="C663" s="17" t="n">
        <f aca="false">hsA_25</f>
        <v>2.22511470588235</v>
      </c>
      <c r="D663" s="17" t="n">
        <f aca="false">hsA_26</f>
        <v>3.782695</v>
      </c>
      <c r="E663" s="17" t="n">
        <f aca="false">hsA_27</f>
        <v>5.86317725</v>
      </c>
      <c r="F663" s="17" t="n">
        <f aca="false">hsA_28</f>
        <v>8.5016070125</v>
      </c>
      <c r="G663" s="17" t="n">
        <f aca="false">hsA_29</f>
        <v>11.477169466875</v>
      </c>
      <c r="H663" s="17" t="n">
        <f aca="false">G663*(1+g_tail)</f>
        <v>12.6248864135625</v>
      </c>
      <c r="I663" s="8" t="s">
        <v>443</v>
      </c>
    </row>
    <row r="664" customFormat="false" ht="17.15" hidden="false" customHeight="false" outlineLevel="0" collapsed="false">
      <c r="A664" s="0" t="s">
        <v>444</v>
      </c>
      <c r="B664" s="0" t="s">
        <v>445</v>
      </c>
      <c r="C664" s="15" t="n">
        <f aca="false">den_25</f>
        <v>24</v>
      </c>
      <c r="D664" s="15" t="n">
        <f aca="false">den_26</f>
        <v>24</v>
      </c>
      <c r="E664" s="15" t="n">
        <f aca="false">den_27</f>
        <v>26</v>
      </c>
      <c r="F664" s="15" t="n">
        <f aca="false">den_28</f>
        <v>28</v>
      </c>
      <c r="G664" s="15" t="n">
        <f aca="false">den_29</f>
        <v>30</v>
      </c>
      <c r="H664" s="15" t="n">
        <f aca="false">den_30</f>
        <v>32</v>
      </c>
    </row>
    <row r="665" customFormat="false" ht="17.15" hidden="false" customHeight="false" outlineLevel="0" collapsed="false">
      <c r="A665" s="4" t="s">
        <v>446</v>
      </c>
      <c r="B665" s="4" t="s">
        <v>411</v>
      </c>
      <c r="C665" s="11" t="n">
        <f aca="false">C663*8000/C664</f>
        <v>741.704901960783</v>
      </c>
      <c r="D665" s="11" t="n">
        <f aca="false">D663*8000/D664</f>
        <v>1260.89833333333</v>
      </c>
      <c r="E665" s="11" t="n">
        <f aca="false">E663*8000/E664</f>
        <v>1804.05453846154</v>
      </c>
      <c r="F665" s="11" t="n">
        <f aca="false">F663*8000/F664</f>
        <v>2429.030575</v>
      </c>
      <c r="G665" s="11" t="n">
        <f aca="false">G663*8000/G664</f>
        <v>3060.5785245</v>
      </c>
      <c r="H665" s="11" t="n">
        <f aca="false">H663*8000/H664</f>
        <v>3156.22160339063</v>
      </c>
      <c r="I665" s="8" t="s">
        <v>447</v>
      </c>
    </row>
    <row r="666" customFormat="false" ht="15" hidden="false" customHeight="false" outlineLevel="0" collapsed="false">
      <c r="A666" s="4" t="s">
        <v>448</v>
      </c>
      <c r="B666" s="4" t="s">
        <v>89</v>
      </c>
      <c r="C666" s="15" t="n">
        <f aca="false">stk_25</f>
        <v>10</v>
      </c>
      <c r="D666" s="15" t="n">
        <f aca="false">stk_26</f>
        <v>12</v>
      </c>
      <c r="E666" s="15" t="n">
        <f aca="false">stk_27</f>
        <v>12.5</v>
      </c>
      <c r="F666" s="15" t="n">
        <f aca="false">stk_28</f>
        <v>14</v>
      </c>
      <c r="G666" s="15" t="n">
        <f aca="false">stk_29</f>
        <v>15</v>
      </c>
      <c r="H666" s="15" t="n">
        <f aca="false">stk_30</f>
        <v>16</v>
      </c>
    </row>
    <row r="667" customFormat="false" ht="15" hidden="false" customHeight="false" outlineLevel="0" collapsed="false">
      <c r="A667" s="4" t="s">
        <v>449</v>
      </c>
      <c r="B667" s="0" t="s">
        <v>109</v>
      </c>
      <c r="C667" s="18" t="n">
        <f aca="false">1+beta*(C666-$C666)/4</f>
        <v>1</v>
      </c>
      <c r="D667" s="18" t="n">
        <f aca="false">1+beta*(D666-$C666)/4</f>
        <v>1.05</v>
      </c>
      <c r="E667" s="18" t="n">
        <f aca="false">1+beta*(E666-$C666)/4</f>
        <v>1.0625</v>
      </c>
      <c r="F667" s="18" t="n">
        <f aca="false">1+beta*(F666-$C666)/4</f>
        <v>1.1</v>
      </c>
      <c r="G667" s="18" t="n">
        <f aca="false">1+beta*(G666-$C666)/4</f>
        <v>1.125</v>
      </c>
      <c r="H667" s="18" t="n">
        <f aca="false">1+beta*(H666-$C666)/4</f>
        <v>1.15</v>
      </c>
    </row>
    <row r="668" customFormat="false" ht="17.15" hidden="false" customHeight="false" outlineLevel="0" collapsed="false">
      <c r="A668" s="4" t="s">
        <v>450</v>
      </c>
      <c r="B668" s="0" t="s">
        <v>62</v>
      </c>
      <c r="C668" s="14" t="n">
        <f aca="false">0</f>
        <v>0</v>
      </c>
      <c r="D668" s="14" t="n">
        <f aca="false">0</f>
        <v>0</v>
      </c>
      <c r="E668" s="14" t="n">
        <f aca="false">0</f>
        <v>0</v>
      </c>
      <c r="F668" s="14" t="n">
        <f aca="false">0</f>
        <v>0</v>
      </c>
      <c r="G668" s="14" t="n">
        <f aca="false">0</f>
        <v>0</v>
      </c>
      <c r="H668" s="14" t="n">
        <f aca="false">0</f>
        <v>0</v>
      </c>
      <c r="I668" s="4" t="s">
        <v>451</v>
      </c>
    </row>
    <row r="669" customFormat="false" ht="17.15" hidden="false" customHeight="false" outlineLevel="0" collapsed="false">
      <c r="A669" s="0" t="s">
        <v>452</v>
      </c>
      <c r="B669" s="4" t="s">
        <v>413</v>
      </c>
      <c r="C669" s="11" t="n">
        <f aca="false">C665*C667*(1-C668)</f>
        <v>741.704901960783</v>
      </c>
      <c r="D669" s="11" t="n">
        <f aca="false">D665*D667*(1-D668)</f>
        <v>1323.94325</v>
      </c>
      <c r="E669" s="11" t="n">
        <f aca="false">E665*E667*(1-E668)</f>
        <v>1916.80794711538</v>
      </c>
      <c r="F669" s="11" t="n">
        <f aca="false">F665*F667*(1-F668)</f>
        <v>2671.9336325</v>
      </c>
      <c r="G669" s="11" t="n">
        <f aca="false">G665*G667*(1-G668)</f>
        <v>3443.1508400625</v>
      </c>
      <c r="H669" s="11" t="n">
        <f aca="false">H665*H667*(1-H668)</f>
        <v>3629.65484389922</v>
      </c>
    </row>
    <row r="670" customFormat="false" ht="17.15" hidden="false" customHeight="false" outlineLevel="0" collapsed="false">
      <c r="A670" s="4" t="s">
        <v>453</v>
      </c>
      <c r="B670" s="4" t="s">
        <v>413</v>
      </c>
      <c r="C670" s="11" t="n">
        <f aca="false">MAX(0,D669-C669)+dlt*C669</f>
        <v>656.408838235295</v>
      </c>
      <c r="D670" s="11" t="n">
        <f aca="false">MAX(0,E669-D669)+dlt*D669</f>
        <v>725.259022115385</v>
      </c>
      <c r="E670" s="11" t="n">
        <f aca="false">MAX(0,F669-E669)+dlt*E669</f>
        <v>946.806480096154</v>
      </c>
      <c r="F670" s="11" t="n">
        <f aca="false">MAX(0,G669-F669)+dlt*F669</f>
        <v>1038.4105708125</v>
      </c>
      <c r="G670" s="11" t="n">
        <f aca="false">MAX(0,H669-G669)+dlt*G669</f>
        <v>530.819087842968</v>
      </c>
      <c r="I670" s="4" t="s">
        <v>454</v>
      </c>
    </row>
    <row r="671" customFormat="false" ht="17.15" hidden="false" customHeight="false" outlineLevel="0" collapsed="false">
      <c r="A671" s="0" t="s">
        <v>455</v>
      </c>
      <c r="B671" s="0" t="s">
        <v>62</v>
      </c>
      <c r="C671" s="14" t="n">
        <f aca="false">ms_sk_26/(ms_sk_26+ms_ss_26+ms_mu_26)</f>
        <v>0.52</v>
      </c>
      <c r="D671" s="14" t="n">
        <f aca="false">ms_sk_27/(ms_sk_27+ms_ss_27+ms_mu_27)</f>
        <v>0.42</v>
      </c>
      <c r="E671" s="14" t="n">
        <f aca="false">ms_sk_28/(ms_sk_28+ms_ss_28+ms_mu_28)</f>
        <v>0.4</v>
      </c>
      <c r="F671" s="14" t="n">
        <f aca="false">ms_sk_29/(ms_sk_29+ms_ss_29+ms_mu_29)</f>
        <v>0.4</v>
      </c>
      <c r="G671" s="14" t="n">
        <f aca="false">ms_sk_29/(ms_sk_29+ms_ss_29+ms_mu_29)</f>
        <v>0.4</v>
      </c>
    </row>
    <row r="672" customFormat="false" ht="17.15" hidden="false" customHeight="false" outlineLevel="0" collapsed="false">
      <c r="A672" s="4" t="s">
        <v>456</v>
      </c>
      <c r="B672" s="0" t="s">
        <v>62</v>
      </c>
      <c r="C672" s="14" t="n">
        <f aca="false">ms_ss_26/(ms_sk_26+ms_ss_26+ms_mu_26)</f>
        <v>0.29</v>
      </c>
      <c r="D672" s="14" t="n">
        <f aca="false">ms_ss_27/(ms_sk_27+ms_ss_27+ms_mu_27)</f>
        <v>0.38</v>
      </c>
      <c r="E672" s="14" t="n">
        <f aca="false">ms_ss_28/(ms_sk_28+ms_ss_28+ms_mu_28)</f>
        <v>0.4</v>
      </c>
      <c r="F672" s="14" t="n">
        <f aca="false">ms_ss_29/(ms_sk_29+ms_ss_29+ms_mu_29)</f>
        <v>0.4</v>
      </c>
      <c r="G672" s="14" t="n">
        <f aca="false">ms_ss_29/(ms_sk_29+ms_ss_29+ms_mu_29)</f>
        <v>0.4</v>
      </c>
    </row>
    <row r="673" customFormat="false" ht="17.15" hidden="false" customHeight="false" outlineLevel="0" collapsed="false">
      <c r="A673" s="4" t="s">
        <v>457</v>
      </c>
      <c r="B673" s="0" t="s">
        <v>62</v>
      </c>
      <c r="C673" s="14" t="n">
        <f aca="false">ms_mu_26/(ms_sk_26+ms_ss_26+ms_mu_26)</f>
        <v>0.19</v>
      </c>
      <c r="D673" s="14" t="n">
        <f aca="false">ms_mu_27/(ms_sk_27+ms_ss_27+ms_mu_27)</f>
        <v>0.2</v>
      </c>
      <c r="E673" s="14" t="n">
        <f aca="false">ms_mu_28/(ms_sk_28+ms_ss_28+ms_mu_28)</f>
        <v>0.2</v>
      </c>
      <c r="F673" s="14" t="n">
        <f aca="false">ms_mu_29/(ms_sk_29+ms_ss_29+ms_mu_29)</f>
        <v>0.2</v>
      </c>
      <c r="G673" s="14" t="n">
        <f aca="false">ms_mu_29/(ms_sk_29+ms_ss_29+ms_mu_29)</f>
        <v>0.2</v>
      </c>
    </row>
    <row r="674" customFormat="false" ht="17.15" hidden="false" customHeight="false" outlineLevel="0" collapsed="false">
      <c r="A674" s="4" t="s">
        <v>458</v>
      </c>
      <c r="B674" s="0" t="s">
        <v>62</v>
      </c>
      <c r="C674" s="14" t="n">
        <f aca="false">C671*hsk_25+C672*hss+C673*hmu_25</f>
        <v>0.412</v>
      </c>
      <c r="D674" s="14" t="n">
        <f aca="false">D671*hsk_A+D672*hss+D673*hmu_A</f>
        <v>0.339</v>
      </c>
      <c r="E674" s="14" t="n">
        <f aca="false">E671*hsk_A+E672*hss+E673*hmu_A</f>
        <v>0.33</v>
      </c>
      <c r="F674" s="14" t="n">
        <f aca="false">F671*hsk_A+F672*hss+F673*hmu_A</f>
        <v>0.33</v>
      </c>
      <c r="G674" s="14" t="n">
        <f aca="false">G671*hsk_A+G672*hss+G673*hmu_A</f>
        <v>0.33</v>
      </c>
    </row>
    <row r="675" customFormat="false" ht="17.15" hidden="false" customHeight="false" outlineLevel="0" collapsed="false">
      <c r="A675" s="4" t="s">
        <v>459</v>
      </c>
      <c r="B675" s="4" t="s">
        <v>413</v>
      </c>
      <c r="C675" s="11" t="n">
        <f aca="false">C670*C674</f>
        <v>270.440441352942</v>
      </c>
      <c r="D675" s="11" t="n">
        <f aca="false">D670*D674</f>
        <v>245.862808497115</v>
      </c>
      <c r="E675" s="11" t="n">
        <f aca="false">E670*E674</f>
        <v>312.446138431731</v>
      </c>
      <c r="F675" s="11" t="n">
        <f aca="false">F670*F674</f>
        <v>342.675488368125</v>
      </c>
      <c r="G675" s="11" t="n">
        <f aca="false">G670*G674</f>
        <v>175.17029898818</v>
      </c>
    </row>
    <row r="676" customFormat="false" ht="17.15" hidden="false" customHeight="false" outlineLevel="0" collapsed="false">
      <c r="A676" s="6" t="s">
        <v>460</v>
      </c>
    </row>
    <row r="677" customFormat="false" ht="17.15" hidden="false" customHeight="false" outlineLevel="0" collapsed="false">
      <c r="A677" s="4" t="s">
        <v>461</v>
      </c>
      <c r="B677" s="4" t="s">
        <v>226</v>
      </c>
      <c r="C677" s="11" t="n">
        <f aca="false">a25_rev-a25_hbm</f>
        <v>2895.034</v>
      </c>
      <c r="D677" s="11" t="n">
        <f aca="false">C677*(1+g_o26)</f>
        <v>3329.2891</v>
      </c>
      <c r="E677" s="11" t="n">
        <f aca="false">D677*(1+g_o_A)</f>
        <v>3728.803792</v>
      </c>
      <c r="F677" s="11" t="n">
        <f aca="false">E677*(1+g_o_A)</f>
        <v>4176.26024704</v>
      </c>
      <c r="G677" s="11" t="n">
        <f aca="false">F677*(1+g_o_A)</f>
        <v>4677.4114766848</v>
      </c>
    </row>
    <row r="678" customFormat="false" ht="17.15" hidden="false" customHeight="false" outlineLevel="0" collapsed="false">
      <c r="A678" s="0" t="s">
        <v>462</v>
      </c>
      <c r="B678" s="4" t="s">
        <v>226</v>
      </c>
      <c r="C678" s="11" t="n">
        <f aca="false">a25_hbm</f>
        <v>2871.966</v>
      </c>
      <c r="D678" s="11" t="n">
        <f aca="false">(q1_rev+q2_rev+h2f_lo*2*q2_rev)-D677</f>
        <v>3206.1109</v>
      </c>
      <c r="E678" s="11" t="n">
        <f aca="false">$C679*E675</f>
        <v>3678.20976731723</v>
      </c>
      <c r="F678" s="11" t="n">
        <f aca="false">$C679*F675</f>
        <v>4034.0787524607</v>
      </c>
      <c r="G678" s="11" t="n">
        <f aca="false">$C679*G675</f>
        <v>2062.1573622776</v>
      </c>
      <c r="I678" s="8" t="s">
        <v>463</v>
      </c>
    </row>
    <row r="679" customFormat="false" ht="17.15" hidden="false" customHeight="false" outlineLevel="0" collapsed="false">
      <c r="A679" s="4" t="s">
        <v>464</v>
      </c>
      <c r="B679" s="4" t="s">
        <v>465</v>
      </c>
      <c r="C679" s="18" t="n">
        <f aca="false">(C678+D678)/(C675+D675)</f>
        <v>11.7723002939942</v>
      </c>
      <c r="I679" s="4" t="s">
        <v>466</v>
      </c>
    </row>
    <row r="680" customFormat="false" ht="15" hidden="false" customHeight="false" outlineLevel="0" collapsed="false">
      <c r="A680" s="4" t="s">
        <v>366</v>
      </c>
      <c r="B680" s="4" t="s">
        <v>226</v>
      </c>
      <c r="C680" s="11" t="n">
        <f aca="false">a25_rev</f>
        <v>5767</v>
      </c>
      <c r="D680" s="11" t="n">
        <f aca="false">D677+D678</f>
        <v>6535.4</v>
      </c>
      <c r="E680" s="11" t="n">
        <f aca="false">E677+E678</f>
        <v>7407.01355931723</v>
      </c>
      <c r="F680" s="11" t="n">
        <f aca="false">F677+F678</f>
        <v>8210.3389995007</v>
      </c>
      <c r="G680" s="11" t="n">
        <f aca="false">G677+G678</f>
        <v>6739.56883896241</v>
      </c>
    </row>
    <row r="681" customFormat="false" ht="17.15" hidden="false" customHeight="false" outlineLevel="0" collapsed="false">
      <c r="A681" s="0" t="s">
        <v>467</v>
      </c>
      <c r="B681" s="0" t="s">
        <v>62</v>
      </c>
      <c r="C681" s="14" t="n">
        <f aca="false">C678/C680</f>
        <v>0.498</v>
      </c>
      <c r="D681" s="14" t="n">
        <f aca="false">D678/D680</f>
        <v>0.490576077975334</v>
      </c>
      <c r="E681" s="14" t="n">
        <f aca="false">E678/E680</f>
        <v>0.496584721745302</v>
      </c>
      <c r="F681" s="14" t="n">
        <f aca="false">F678/F680</f>
        <v>0.491341314007378</v>
      </c>
      <c r="G681" s="14" t="n">
        <f aca="false">G678/G680</f>
        <v>0.305977639156377</v>
      </c>
    </row>
    <row r="682" customFormat="false" ht="17.15" hidden="false" customHeight="false" outlineLevel="0" collapsed="false">
      <c r="A682" s="4" t="s">
        <v>468</v>
      </c>
      <c r="B682" s="4" t="s">
        <v>226</v>
      </c>
      <c r="C682" s="11" t="n">
        <f aca="false">opex25</f>
        <v>806.7</v>
      </c>
      <c r="D682" s="11" t="n">
        <f aca="false">opex_fix+opex_var*D680</f>
        <v>860.442698109936</v>
      </c>
      <c r="E682" s="11" t="n">
        <f aca="false">opex_fix+opex_var*E680</f>
        <v>921.404260300087</v>
      </c>
      <c r="F682" s="11" t="n">
        <f aca="false">opex_fix+opex_var*F680</f>
        <v>977.589680154084</v>
      </c>
      <c r="G682" s="11" t="n">
        <f aca="false">opex_fix+opex_var*G680</f>
        <v>874.722479832753</v>
      </c>
      <c r="I682" s="4" t="s">
        <v>469</v>
      </c>
    </row>
    <row r="683" customFormat="false" ht="17.15" hidden="false" customHeight="false" outlineLevel="0" collapsed="false">
      <c r="A683" s="4" t="s">
        <v>436</v>
      </c>
      <c r="B683" s="0" t="s">
        <v>62</v>
      </c>
      <c r="C683" s="14" t="n">
        <f aca="false">a25_gp/a25_rev</f>
        <v>0.575793306745275</v>
      </c>
      <c r="D683" s="14" t="n">
        <f aca="false">((q1_oi+q2_oi+h2f_lo*2*q2_rev*m_h2)+D682)/D680</f>
        <v>0.602233175950965</v>
      </c>
      <c r="E683" s="14" t="n">
        <f aca="false">$D683+0</f>
        <v>0.602233175950965</v>
      </c>
      <c r="F683" s="14" t="n">
        <f aca="false">$D683+0</f>
        <v>0.602233175950965</v>
      </c>
      <c r="G683" s="14" t="n">
        <f aca="false">$D683+0</f>
        <v>0.602233175950965</v>
      </c>
      <c r="I683" s="8" t="s">
        <v>470</v>
      </c>
    </row>
    <row r="684" customFormat="false" ht="15" hidden="false" customHeight="false" outlineLevel="0" collapsed="false">
      <c r="A684" s="4" t="s">
        <v>371</v>
      </c>
      <c r="B684" s="4" t="s">
        <v>226</v>
      </c>
      <c r="C684" s="11" t="n">
        <f aca="false">C680*C683</f>
        <v>3320.6</v>
      </c>
      <c r="D684" s="11" t="n">
        <f aca="false">D680*D683</f>
        <v>3935.83469810994</v>
      </c>
      <c r="E684" s="11" t="n">
        <f aca="false">E680*E683</f>
        <v>4460.74930013947</v>
      </c>
      <c r="F684" s="11" t="n">
        <f aca="false">F680*F683</f>
        <v>4944.53853130337</v>
      </c>
      <c r="G684" s="11" t="n">
        <f aca="false">G680*G683</f>
        <v>4058.79194642849</v>
      </c>
    </row>
    <row r="685" customFormat="false" ht="15" hidden="false" customHeight="false" outlineLevel="0" collapsed="false">
      <c r="A685" s="4" t="s">
        <v>374</v>
      </c>
      <c r="B685" s="4" t="s">
        <v>226</v>
      </c>
      <c r="C685" s="11" t="n">
        <f aca="false">a25_oi</f>
        <v>2513.9</v>
      </c>
      <c r="D685" s="11" t="n">
        <f aca="false">(q1_oi+q2_oi+h2f_lo*2*q2_rev*m_h2)</f>
        <v>3075.392</v>
      </c>
      <c r="E685" s="11" t="n">
        <f aca="false">E684-E682</f>
        <v>3539.34503983939</v>
      </c>
      <c r="F685" s="11" t="n">
        <f aca="false">F684-F682</f>
        <v>3966.94885114929</v>
      </c>
      <c r="G685" s="11" t="n">
        <f aca="false">G684-G682</f>
        <v>3184.06946659573</v>
      </c>
    </row>
    <row r="686" customFormat="false" ht="15" hidden="false" customHeight="false" outlineLevel="0" collapsed="false">
      <c r="A686" s="4" t="s">
        <v>377</v>
      </c>
      <c r="B686" s="0" t="s">
        <v>62</v>
      </c>
      <c r="C686" s="14" t="n">
        <f aca="false">C685/C680</f>
        <v>0.435911219004682</v>
      </c>
      <c r="D686" s="14" t="n">
        <f aca="false">D685/D680</f>
        <v>0.470574410135569</v>
      </c>
      <c r="E686" s="14" t="n">
        <f aca="false">E685/E680</f>
        <v>0.477836986728244</v>
      </c>
      <c r="F686" s="14" t="n">
        <f aca="false">F685/F680</f>
        <v>0.483165049748924</v>
      </c>
      <c r="G686" s="14" t="n">
        <f aca="false">G685/G680</f>
        <v>0.472444089922812</v>
      </c>
    </row>
    <row r="687" customFormat="false" ht="15" hidden="false" customHeight="false" outlineLevel="0" collapsed="false">
      <c r="A687" s="4" t="s">
        <v>437</v>
      </c>
      <c r="B687" s="4" t="s">
        <v>226</v>
      </c>
      <c r="C687" s="11" t="n">
        <f aca="false">a25_ni</f>
        <v>2140</v>
      </c>
      <c r="D687" s="11" t="n">
        <f aca="false">D685*nioi</f>
        <v>2617.97958550459</v>
      </c>
      <c r="E687" s="11" t="n">
        <f aca="false">E685*nioi</f>
        <v>3012.92747732857</v>
      </c>
      <c r="F687" s="11" t="n">
        <f aca="false">F685*nioi</f>
        <v>3376.93247203925</v>
      </c>
      <c r="G687" s="11" t="n">
        <f aca="false">G685*nioi</f>
        <v>2710.49312164958</v>
      </c>
    </row>
    <row r="688" customFormat="false" ht="15" hidden="false" customHeight="false" outlineLevel="0" collapsed="false">
      <c r="A688" s="0" t="s">
        <v>438</v>
      </c>
      <c r="B688" s="0" t="s">
        <v>302</v>
      </c>
      <c r="C688" s="11" t="n">
        <f aca="false">a25_eps</f>
        <v>2231.7</v>
      </c>
      <c r="D688" s="11" t="n">
        <f aca="false">D687*100/shares</f>
        <v>2730.16123409841</v>
      </c>
      <c r="E688" s="11" t="n">
        <f aca="false">E687*100/shares</f>
        <v>3142.03282764213</v>
      </c>
      <c r="F688" s="11" t="n">
        <f aca="false">F687*100/shares</f>
        <v>3521.63560647196</v>
      </c>
      <c r="G688" s="11" t="n">
        <f aca="false">G687*100/shares</f>
        <v>2826.63901849783</v>
      </c>
    </row>
    <row r="689" customFormat="false" ht="17.15" hidden="false" customHeight="false" outlineLevel="0" collapsed="false">
      <c r="A689" s="4" t="s">
        <v>471</v>
      </c>
      <c r="B689" s="4" t="s">
        <v>226</v>
      </c>
      <c r="C689" s="11" t="n">
        <f aca="false">$C679*C670</f>
        <v>7727.44195933777</v>
      </c>
      <c r="D689" s="11" t="n">
        <f aca="false">$C679*D670</f>
        <v>8537.96699927091</v>
      </c>
      <c r="E689" s="11" t="n">
        <f aca="false">$C679*E670</f>
        <v>11146.0902039916</v>
      </c>
      <c r="F689" s="11" t="n">
        <f aca="false">$C679*F670</f>
        <v>12224.4810680627</v>
      </c>
      <c r="G689" s="11" t="n">
        <f aca="false">$C679*G670</f>
        <v>6248.96170387152</v>
      </c>
      <c r="I689" s="4" t="s">
        <v>472</v>
      </c>
    </row>
    <row r="690" customFormat="false" ht="15" hidden="false" customHeight="false" outlineLevel="0" collapsed="false">
      <c r="A690" s="4" t="s">
        <v>473</v>
      </c>
      <c r="B690" s="0" t="s">
        <v>333</v>
      </c>
      <c r="C690" s="11" t="n">
        <f aca="false">C689/fx*100</f>
        <v>544.186053474491</v>
      </c>
      <c r="D690" s="11" t="n">
        <f aca="false">D689/fx*100</f>
        <v>601.265281638796</v>
      </c>
      <c r="E690" s="11" t="n">
        <f aca="false">E689/fx*100</f>
        <v>784.935929858563</v>
      </c>
      <c r="F690" s="11" t="n">
        <f aca="false">F689/fx*100</f>
        <v>860.87894845512</v>
      </c>
      <c r="G690" s="11" t="n">
        <f aca="false">G689/fx*100</f>
        <v>440.067725624755</v>
      </c>
    </row>
    <row r="700" customFormat="false" ht="17.15" hidden="false" customHeight="false" outlineLevel="0" collapsed="false">
      <c r="A700" s="1" t="s">
        <v>676</v>
      </c>
    </row>
    <row r="701" customFormat="false" ht="15" hidden="false" customHeight="false" outlineLevel="0" collapsed="false">
      <c r="A701" s="5" t="s">
        <v>14</v>
      </c>
      <c r="B701" s="5" t="s">
        <v>15</v>
      </c>
      <c r="C701" s="9" t="s">
        <v>401</v>
      </c>
      <c r="D701" s="9" t="s">
        <v>402</v>
      </c>
      <c r="E701" s="9" t="s">
        <v>403</v>
      </c>
      <c r="F701" s="9" t="s">
        <v>404</v>
      </c>
      <c r="G701" s="9" t="s">
        <v>405</v>
      </c>
      <c r="H701" s="9" t="s">
        <v>406</v>
      </c>
      <c r="I701" s="5" t="s">
        <v>407</v>
      </c>
    </row>
    <row r="702" customFormat="false" ht="17.15" hidden="false" customHeight="false" outlineLevel="0" collapsed="false">
      <c r="A702" s="6" t="s">
        <v>441</v>
      </c>
    </row>
    <row r="703" customFormat="false" ht="17.15" hidden="false" customHeight="false" outlineLevel="0" collapsed="false">
      <c r="A703" s="0" t="s">
        <v>442</v>
      </c>
      <c r="B703" s="0" t="s">
        <v>25</v>
      </c>
      <c r="C703" s="17" t="n">
        <f aca="false">hsA_25</f>
        <v>2.22511470588235</v>
      </c>
      <c r="D703" s="17" t="n">
        <f aca="false">hsA_26</f>
        <v>3.782695</v>
      </c>
      <c r="E703" s="17" t="n">
        <f aca="false">hsA_27</f>
        <v>5.86317725</v>
      </c>
      <c r="F703" s="17" t="n">
        <f aca="false">hsA_28</f>
        <v>8.5016070125</v>
      </c>
      <c r="G703" s="17" t="n">
        <f aca="false">hsA_29</f>
        <v>11.477169466875</v>
      </c>
      <c r="H703" s="17" t="n">
        <f aca="false">G703*(1+g_tail)</f>
        <v>12.6248864135625</v>
      </c>
      <c r="I703" s="8" t="s">
        <v>443</v>
      </c>
    </row>
    <row r="704" customFormat="false" ht="17.15" hidden="false" customHeight="false" outlineLevel="0" collapsed="false">
      <c r="A704" s="0" t="s">
        <v>444</v>
      </c>
      <c r="B704" s="0" t="s">
        <v>445</v>
      </c>
      <c r="C704" s="15" t="n">
        <f aca="false">den_25</f>
        <v>24</v>
      </c>
      <c r="D704" s="15" t="n">
        <f aca="false">den_26</f>
        <v>24</v>
      </c>
      <c r="E704" s="15" t="n">
        <f aca="false">den_27</f>
        <v>26</v>
      </c>
      <c r="F704" s="15" t="n">
        <f aca="false">den_28</f>
        <v>28</v>
      </c>
      <c r="G704" s="15" t="n">
        <f aca="false">den_29</f>
        <v>30</v>
      </c>
      <c r="H704" s="15" t="n">
        <f aca="false">den_30</f>
        <v>32</v>
      </c>
    </row>
    <row r="705" customFormat="false" ht="17.15" hidden="false" customHeight="false" outlineLevel="0" collapsed="false">
      <c r="A705" s="4" t="s">
        <v>446</v>
      </c>
      <c r="B705" s="4" t="s">
        <v>411</v>
      </c>
      <c r="C705" s="11" t="n">
        <f aca="false">C703*8000/C704</f>
        <v>741.704901960783</v>
      </c>
      <c r="D705" s="11" t="n">
        <f aca="false">D703*8000/D704</f>
        <v>1260.89833333333</v>
      </c>
      <c r="E705" s="11" t="n">
        <f aca="false">E703*8000/E704</f>
        <v>1804.05453846154</v>
      </c>
      <c r="F705" s="11" t="n">
        <f aca="false">F703*8000/F704</f>
        <v>2429.030575</v>
      </c>
      <c r="G705" s="11" t="n">
        <f aca="false">G703*8000/G704</f>
        <v>3060.5785245</v>
      </c>
      <c r="H705" s="11" t="n">
        <f aca="false">H703*8000/H704</f>
        <v>3156.22160339063</v>
      </c>
      <c r="I705" s="8" t="s">
        <v>447</v>
      </c>
    </row>
    <row r="706" customFormat="false" ht="15" hidden="false" customHeight="false" outlineLevel="0" collapsed="false">
      <c r="A706" s="4" t="s">
        <v>448</v>
      </c>
      <c r="B706" s="4" t="s">
        <v>89</v>
      </c>
      <c r="C706" s="15" t="n">
        <f aca="false">stk_25</f>
        <v>10</v>
      </c>
      <c r="D706" s="15" t="n">
        <f aca="false">stk_26</f>
        <v>12</v>
      </c>
      <c r="E706" s="15" t="n">
        <f aca="false">stk_27</f>
        <v>12.5</v>
      </c>
      <c r="F706" s="15" t="n">
        <f aca="false">stk_28</f>
        <v>14</v>
      </c>
      <c r="G706" s="15" t="n">
        <f aca="false">stk_29</f>
        <v>15</v>
      </c>
      <c r="H706" s="15" t="n">
        <f aca="false">stk_30</f>
        <v>16</v>
      </c>
    </row>
    <row r="707" customFormat="false" ht="15" hidden="false" customHeight="false" outlineLevel="0" collapsed="false">
      <c r="A707" s="4" t="s">
        <v>449</v>
      </c>
      <c r="B707" s="0" t="s">
        <v>109</v>
      </c>
      <c r="C707" s="18" t="n">
        <f aca="false">1+beta*(C706-$C706)/4</f>
        <v>1</v>
      </c>
      <c r="D707" s="18" t="n">
        <f aca="false">1+beta*(D706-$C706)/4</f>
        <v>1.05</v>
      </c>
      <c r="E707" s="18" t="n">
        <f aca="false">1+beta*(E706-$C706)/4</f>
        <v>1.0625</v>
      </c>
      <c r="F707" s="18" t="n">
        <f aca="false">1+beta*(F706-$C706)/4</f>
        <v>1.1</v>
      </c>
      <c r="G707" s="18" t="n">
        <f aca="false">1+beta*(G706-$C706)/4</f>
        <v>1.125</v>
      </c>
      <c r="H707" s="18" t="n">
        <f aca="false">1+beta*(H706-$C706)/4</f>
        <v>1.15</v>
      </c>
    </row>
    <row r="708" customFormat="false" ht="17.15" hidden="false" customHeight="false" outlineLevel="0" collapsed="false">
      <c r="A708" s="4" t="s">
        <v>450</v>
      </c>
      <c r="B708" s="0" t="s">
        <v>62</v>
      </c>
      <c r="C708" s="14" t="n">
        <f aca="false">0</f>
        <v>0</v>
      </c>
      <c r="D708" s="14" t="n">
        <f aca="false">0</f>
        <v>0</v>
      </c>
      <c r="E708" s="14" t="n">
        <f aca="false">0</f>
        <v>0</v>
      </c>
      <c r="F708" s="14" t="n">
        <f aca="false">0</f>
        <v>0</v>
      </c>
      <c r="G708" s="14" t="n">
        <f aca="false">0</f>
        <v>0</v>
      </c>
      <c r="H708" s="14" t="n">
        <f aca="false">0</f>
        <v>0</v>
      </c>
      <c r="I708" s="4" t="s">
        <v>451</v>
      </c>
    </row>
    <row r="709" customFormat="false" ht="17.15" hidden="false" customHeight="false" outlineLevel="0" collapsed="false">
      <c r="A709" s="0" t="s">
        <v>452</v>
      </c>
      <c r="B709" s="4" t="s">
        <v>413</v>
      </c>
      <c r="C709" s="11" t="n">
        <f aca="false">C705*C707*(1-C708)</f>
        <v>741.704901960783</v>
      </c>
      <c r="D709" s="11" t="n">
        <f aca="false">D705*D707*(1-D708)</f>
        <v>1323.94325</v>
      </c>
      <c r="E709" s="11" t="n">
        <f aca="false">E705*E707*(1-E708)</f>
        <v>1916.80794711538</v>
      </c>
      <c r="F709" s="11" t="n">
        <f aca="false">F705*F707*(1-F708)</f>
        <v>2671.9336325</v>
      </c>
      <c r="G709" s="11" t="n">
        <f aca="false">G705*G707*(1-G708)</f>
        <v>3443.1508400625</v>
      </c>
      <c r="H709" s="11" t="n">
        <f aca="false">H705*H707*(1-H708)</f>
        <v>3629.65484389922</v>
      </c>
    </row>
    <row r="710" customFormat="false" ht="17.15" hidden="false" customHeight="false" outlineLevel="0" collapsed="false">
      <c r="A710" s="4" t="s">
        <v>453</v>
      </c>
      <c r="B710" s="4" t="s">
        <v>413</v>
      </c>
      <c r="C710" s="11" t="n">
        <f aca="false">MAX(0,D709-C709)+dlt*C709</f>
        <v>656.408838235295</v>
      </c>
      <c r="D710" s="11" t="n">
        <f aca="false">MAX(0,E709-D709)+dlt*D709</f>
        <v>725.259022115385</v>
      </c>
      <c r="E710" s="11" t="n">
        <f aca="false">MAX(0,F709-E709)+dlt*E709</f>
        <v>946.806480096154</v>
      </c>
      <c r="F710" s="11" t="n">
        <f aca="false">MAX(0,G709-F709)+dlt*F709</f>
        <v>1038.4105708125</v>
      </c>
      <c r="G710" s="11" t="n">
        <f aca="false">MAX(0,H709-G709)+dlt*G709</f>
        <v>530.819087842968</v>
      </c>
      <c r="I710" s="4" t="s">
        <v>454</v>
      </c>
    </row>
    <row r="711" customFormat="false" ht="17.15" hidden="false" customHeight="false" outlineLevel="0" collapsed="false">
      <c r="A711" s="0" t="s">
        <v>455</v>
      </c>
      <c r="B711" s="0" t="s">
        <v>62</v>
      </c>
      <c r="C711" s="14" t="n">
        <f aca="false">ms_sk_26/(ms_sk_26+ms_ss_26+ms_mu_26)</f>
        <v>0.52</v>
      </c>
      <c r="D711" s="14" t="n">
        <f aca="false">ms_sk_27/(ms_sk_27+ms_ss_27+ms_mu_27)</f>
        <v>0.42</v>
      </c>
      <c r="E711" s="14" t="n">
        <f aca="false">ms_sk_28/(ms_sk_28+ms_ss_28+ms_mu_28)</f>
        <v>0.4</v>
      </c>
      <c r="F711" s="14" t="n">
        <f aca="false">ms_sk_29/(ms_sk_29+ms_ss_29+ms_mu_29)</f>
        <v>0.4</v>
      </c>
      <c r="G711" s="14" t="n">
        <f aca="false">ms_sk_29/(ms_sk_29+ms_ss_29+ms_mu_29)</f>
        <v>0.4</v>
      </c>
    </row>
    <row r="712" customFormat="false" ht="17.15" hidden="false" customHeight="false" outlineLevel="0" collapsed="false">
      <c r="A712" s="4" t="s">
        <v>456</v>
      </c>
      <c r="B712" s="0" t="s">
        <v>62</v>
      </c>
      <c r="C712" s="14" t="n">
        <f aca="false">ms_ss_26/(ms_sk_26+ms_ss_26+ms_mu_26)</f>
        <v>0.29</v>
      </c>
      <c r="D712" s="14" t="n">
        <f aca="false">ms_ss_27/(ms_sk_27+ms_ss_27+ms_mu_27)</f>
        <v>0.38</v>
      </c>
      <c r="E712" s="14" t="n">
        <f aca="false">ms_ss_28/(ms_sk_28+ms_ss_28+ms_mu_28)</f>
        <v>0.4</v>
      </c>
      <c r="F712" s="14" t="n">
        <f aca="false">ms_ss_29/(ms_sk_29+ms_ss_29+ms_mu_29)</f>
        <v>0.4</v>
      </c>
      <c r="G712" s="14" t="n">
        <f aca="false">ms_ss_29/(ms_sk_29+ms_ss_29+ms_mu_29)</f>
        <v>0.4</v>
      </c>
    </row>
    <row r="713" customFormat="false" ht="17.15" hidden="false" customHeight="false" outlineLevel="0" collapsed="false">
      <c r="A713" s="4" t="s">
        <v>457</v>
      </c>
      <c r="B713" s="0" t="s">
        <v>62</v>
      </c>
      <c r="C713" s="14" t="n">
        <f aca="false">ms_mu_26/(ms_sk_26+ms_ss_26+ms_mu_26)</f>
        <v>0.19</v>
      </c>
      <c r="D713" s="14" t="n">
        <f aca="false">ms_mu_27/(ms_sk_27+ms_ss_27+ms_mu_27)</f>
        <v>0.2</v>
      </c>
      <c r="E713" s="14" t="n">
        <f aca="false">ms_mu_28/(ms_sk_28+ms_ss_28+ms_mu_28)</f>
        <v>0.2</v>
      </c>
      <c r="F713" s="14" t="n">
        <f aca="false">ms_mu_29/(ms_sk_29+ms_ss_29+ms_mu_29)</f>
        <v>0.2</v>
      </c>
      <c r="G713" s="14" t="n">
        <f aca="false">ms_mu_29/(ms_sk_29+ms_ss_29+ms_mu_29)</f>
        <v>0.2</v>
      </c>
    </row>
    <row r="714" customFormat="false" ht="17.15" hidden="false" customHeight="false" outlineLevel="0" collapsed="false">
      <c r="A714" s="4" t="s">
        <v>458</v>
      </c>
      <c r="B714" s="0" t="s">
        <v>62</v>
      </c>
      <c r="C714" s="14" t="n">
        <f aca="false">C711*hsk_25+C712*hss+C713*hmu_25</f>
        <v>0.412</v>
      </c>
      <c r="D714" s="14" t="n">
        <f aca="false">D711*hsk_A+D712*hss+D713*hmu_A</f>
        <v>0.339</v>
      </c>
      <c r="E714" s="14" t="n">
        <f aca="false">E711*hsk_A+E712*hss+E713*hmu_A</f>
        <v>0.33</v>
      </c>
      <c r="F714" s="14" t="n">
        <f aca="false">F711*hsk_A+F712*hss+F713*hmu_A</f>
        <v>0.33</v>
      </c>
      <c r="G714" s="14" t="n">
        <f aca="false">G711*hsk_A+G712*hss+G713*hmu_A</f>
        <v>0.33</v>
      </c>
    </row>
    <row r="715" customFormat="false" ht="17.15" hidden="false" customHeight="false" outlineLevel="0" collapsed="false">
      <c r="A715" s="4" t="s">
        <v>459</v>
      </c>
      <c r="B715" s="4" t="s">
        <v>413</v>
      </c>
      <c r="C715" s="11" t="n">
        <f aca="false">C710*C714</f>
        <v>270.440441352942</v>
      </c>
      <c r="D715" s="11" t="n">
        <f aca="false">D710*D714</f>
        <v>245.862808497115</v>
      </c>
      <c r="E715" s="11" t="n">
        <f aca="false">E710*E714</f>
        <v>312.446138431731</v>
      </c>
      <c r="F715" s="11" t="n">
        <f aca="false">F710*F714</f>
        <v>342.675488368125</v>
      </c>
      <c r="G715" s="11" t="n">
        <f aca="false">G710*G714</f>
        <v>175.17029898818</v>
      </c>
    </row>
    <row r="716" customFormat="false" ht="17.15" hidden="false" customHeight="false" outlineLevel="0" collapsed="false">
      <c r="A716" s="6" t="s">
        <v>460</v>
      </c>
    </row>
    <row r="717" customFormat="false" ht="17.15" hidden="false" customHeight="false" outlineLevel="0" collapsed="false">
      <c r="A717" s="4" t="s">
        <v>461</v>
      </c>
      <c r="B717" s="4" t="s">
        <v>226</v>
      </c>
      <c r="C717" s="11" t="n">
        <f aca="false">a25_rev-a25_hbm</f>
        <v>2895.034</v>
      </c>
      <c r="D717" s="11" t="n">
        <f aca="false">C717*(1+g_o26)</f>
        <v>3329.2891</v>
      </c>
      <c r="E717" s="11" t="n">
        <f aca="false">D717*(1+g_o_A)</f>
        <v>3728.803792</v>
      </c>
      <c r="F717" s="11" t="n">
        <f aca="false">E717*(1+g_o_A)</f>
        <v>4176.26024704</v>
      </c>
      <c r="G717" s="11" t="n">
        <f aca="false">F717*(1+g_o_A)</f>
        <v>4677.4114766848</v>
      </c>
    </row>
    <row r="718" customFormat="false" ht="17.15" hidden="false" customHeight="false" outlineLevel="0" collapsed="false">
      <c r="A718" s="0" t="s">
        <v>462</v>
      </c>
      <c r="B718" s="4" t="s">
        <v>226</v>
      </c>
      <c r="C718" s="11" t="n">
        <f aca="false">a25_hbm</f>
        <v>2871.966</v>
      </c>
      <c r="D718" s="11" t="n">
        <f aca="false">(q1_rev+q2_rev+h2f_hi*2*q2_rev)-D717</f>
        <v>5214.9109</v>
      </c>
      <c r="E718" s="11" t="n">
        <f aca="false">$C719*E715</f>
        <v>4893.8554233613</v>
      </c>
      <c r="F718" s="11" t="n">
        <f aca="false">$C719*F715</f>
        <v>5367.33884957185</v>
      </c>
      <c r="G718" s="11" t="n">
        <f aca="false">$C719*G715</f>
        <v>2743.69887244561</v>
      </c>
      <c r="I718" s="8" t="s">
        <v>463</v>
      </c>
    </row>
    <row r="719" customFormat="false" ht="17.15" hidden="false" customHeight="false" outlineLevel="0" collapsed="false">
      <c r="A719" s="4" t="s">
        <v>464</v>
      </c>
      <c r="B719" s="4" t="s">
        <v>465</v>
      </c>
      <c r="C719" s="18" t="n">
        <f aca="false">(C718+D718)/(C715+D715)</f>
        <v>15.6630369891117</v>
      </c>
      <c r="I719" s="4" t="s">
        <v>466</v>
      </c>
    </row>
    <row r="720" customFormat="false" ht="15" hidden="false" customHeight="false" outlineLevel="0" collapsed="false">
      <c r="A720" s="4" t="s">
        <v>366</v>
      </c>
      <c r="B720" s="4" t="s">
        <v>226</v>
      </c>
      <c r="C720" s="11" t="n">
        <f aca="false">a25_rev</f>
        <v>5767</v>
      </c>
      <c r="D720" s="11" t="n">
        <f aca="false">D717+D718</f>
        <v>8544.2</v>
      </c>
      <c r="E720" s="11" t="n">
        <f aca="false">E717+E718</f>
        <v>8622.6592153613</v>
      </c>
      <c r="F720" s="11" t="n">
        <f aca="false">F717+F718</f>
        <v>9543.59909661185</v>
      </c>
      <c r="G720" s="11" t="n">
        <f aca="false">G717+G718</f>
        <v>7421.11034913041</v>
      </c>
    </row>
    <row r="721" customFormat="false" ht="17.15" hidden="false" customHeight="false" outlineLevel="0" collapsed="false">
      <c r="A721" s="0" t="s">
        <v>467</v>
      </c>
      <c r="B721" s="0" t="s">
        <v>62</v>
      </c>
      <c r="C721" s="14" t="n">
        <f aca="false">C718/C720</f>
        <v>0.498</v>
      </c>
      <c r="D721" s="14" t="n">
        <f aca="false">D718/D720</f>
        <v>0.610345134711266</v>
      </c>
      <c r="E721" s="14" t="n">
        <f aca="false">E718/E720</f>
        <v>0.567557559812045</v>
      </c>
      <c r="F721" s="14" t="n">
        <f aca="false">F718/F720</f>
        <v>0.562401961276574</v>
      </c>
      <c r="G721" s="14" t="n">
        <f aca="false">G718/G720</f>
        <v>0.369715412299065</v>
      </c>
    </row>
    <row r="722" customFormat="false" ht="17.15" hidden="false" customHeight="false" outlineLevel="0" collapsed="false">
      <c r="A722" s="4" t="s">
        <v>468</v>
      </c>
      <c r="B722" s="4" t="s">
        <v>226</v>
      </c>
      <c r="C722" s="11" t="n">
        <f aca="false">opex25</f>
        <v>806.7</v>
      </c>
      <c r="D722" s="11" t="n">
        <f aca="false">opex_fix+opex_var*D720</f>
        <v>1000.94026703659</v>
      </c>
      <c r="E722" s="11" t="n">
        <f aca="false">opex_fix+opex_var*E720</f>
        <v>1006.4277864602</v>
      </c>
      <c r="F722" s="11" t="n">
        <f aca="false">opex_fix+opex_var*F720</f>
        <v>1070.83928309665</v>
      </c>
      <c r="G722" s="11" t="n">
        <f aca="false">opex_fix+opex_var*G720</f>
        <v>922.390204494841</v>
      </c>
      <c r="I722" s="4" t="s">
        <v>469</v>
      </c>
    </row>
    <row r="723" customFormat="false" ht="17.15" hidden="false" customHeight="false" outlineLevel="0" collapsed="false">
      <c r="A723" s="4" t="s">
        <v>436</v>
      </c>
      <c r="B723" s="0" t="s">
        <v>62</v>
      </c>
      <c r="C723" s="14" t="n">
        <f aca="false">a25_gp/a25_rev</f>
        <v>0.575793306745275</v>
      </c>
      <c r="D723" s="14" t="n">
        <f aca="false">((q1_oi+q2_oi+h2f_hi*2*q2_rev*m_h2)+D722)/D720</f>
        <v>0.589938937178038</v>
      </c>
      <c r="E723" s="14" t="n">
        <f aca="false">$D723+0</f>
        <v>0.589938937178038</v>
      </c>
      <c r="F723" s="14" t="n">
        <f aca="false">$D723+0</f>
        <v>0.589938937178038</v>
      </c>
      <c r="G723" s="14" t="n">
        <f aca="false">$D723+0</f>
        <v>0.589938937178038</v>
      </c>
      <c r="I723" s="8" t="s">
        <v>470</v>
      </c>
    </row>
    <row r="724" customFormat="false" ht="15" hidden="false" customHeight="false" outlineLevel="0" collapsed="false">
      <c r="A724" s="4" t="s">
        <v>371</v>
      </c>
      <c r="B724" s="4" t="s">
        <v>226</v>
      </c>
      <c r="C724" s="11" t="n">
        <f aca="false">C720*C723</f>
        <v>3320.6</v>
      </c>
      <c r="D724" s="11" t="n">
        <f aca="false">D720*D723</f>
        <v>5040.55626703659</v>
      </c>
      <c r="E724" s="11" t="n">
        <f aca="false">E720*E723</f>
        <v>5086.84241315866</v>
      </c>
      <c r="F724" s="11" t="n">
        <f aca="false">F720*F723</f>
        <v>5630.14070790847</v>
      </c>
      <c r="G724" s="11" t="n">
        <f aca="false">G720*G723</f>
        <v>4378.00195204693</v>
      </c>
    </row>
    <row r="725" customFormat="false" ht="15" hidden="false" customHeight="false" outlineLevel="0" collapsed="false">
      <c r="A725" s="4" t="s">
        <v>374</v>
      </c>
      <c r="B725" s="4" t="s">
        <v>226</v>
      </c>
      <c r="C725" s="11" t="n">
        <f aca="false">a25_oi</f>
        <v>2513.9</v>
      </c>
      <c r="D725" s="11" t="n">
        <f aca="false">(q1_oi+q2_oi+h2f_hi*2*q2_rev*m_h2)</f>
        <v>4039.616</v>
      </c>
      <c r="E725" s="11" t="n">
        <f aca="false">E724-E722</f>
        <v>4080.41462669846</v>
      </c>
      <c r="F725" s="11" t="n">
        <f aca="false">F724-F722</f>
        <v>4559.30142481182</v>
      </c>
      <c r="G725" s="11" t="n">
        <f aca="false">G724-G722</f>
        <v>3455.61174755209</v>
      </c>
    </row>
    <row r="726" customFormat="false" ht="15" hidden="false" customHeight="false" outlineLevel="0" collapsed="false">
      <c r="A726" s="4" t="s">
        <v>377</v>
      </c>
      <c r="B726" s="0" t="s">
        <v>62</v>
      </c>
      <c r="C726" s="14" t="n">
        <f aca="false">C725/C720</f>
        <v>0.435911219004682</v>
      </c>
      <c r="D726" s="14" t="n">
        <f aca="false">D725/D720</f>
        <v>0.472790430935605</v>
      </c>
      <c r="E726" s="14" t="n">
        <f aca="false">E725/E720</f>
        <v>0.473219980609831</v>
      </c>
      <c r="F726" s="14" t="n">
        <f aca="false">F725/F720</f>
        <v>0.477733963744397</v>
      </c>
      <c r="G726" s="14" t="n">
        <f aca="false">G725/G720</f>
        <v>0.465646188370856</v>
      </c>
    </row>
    <row r="727" customFormat="false" ht="15" hidden="false" customHeight="false" outlineLevel="0" collapsed="false">
      <c r="A727" s="4" t="s">
        <v>437</v>
      </c>
      <c r="B727" s="4" t="s">
        <v>226</v>
      </c>
      <c r="C727" s="11" t="n">
        <f aca="false">a25_ni</f>
        <v>2140</v>
      </c>
      <c r="D727" s="11" t="n">
        <f aca="false">D725*nioi</f>
        <v>3438.7916146227</v>
      </c>
      <c r="E727" s="11" t="n">
        <f aca="false">E725*nioi</f>
        <v>3473.5221373701</v>
      </c>
      <c r="F727" s="11" t="n">
        <f aca="false">F725*nioi</f>
        <v>3881.18264413751</v>
      </c>
      <c r="G727" s="11" t="n">
        <f aca="false">G725*nioi</f>
        <v>2941.64809251023</v>
      </c>
    </row>
    <row r="728" customFormat="false" ht="15" hidden="false" customHeight="false" outlineLevel="0" collapsed="false">
      <c r="A728" s="0" t="s">
        <v>438</v>
      </c>
      <c r="B728" s="0" t="s">
        <v>302</v>
      </c>
      <c r="C728" s="11" t="n">
        <f aca="false">a25_eps</f>
        <v>2231.7</v>
      </c>
      <c r="D728" s="11" t="n">
        <f aca="false">D727*100/shares</f>
        <v>3586.14544222125</v>
      </c>
      <c r="E728" s="11" t="n">
        <f aca="false">E727*100/shares</f>
        <v>3622.3641840976</v>
      </c>
      <c r="F728" s="11" t="n">
        <f aca="false">F727*100/shares</f>
        <v>4047.49313407556</v>
      </c>
      <c r="G728" s="11" t="n">
        <f aca="false">G727*100/shares</f>
        <v>3067.6990878762</v>
      </c>
    </row>
    <row r="729" customFormat="false" ht="17.15" hidden="false" customHeight="false" outlineLevel="0" collapsed="false">
      <c r="A729" s="4" t="s">
        <v>471</v>
      </c>
      <c r="B729" s="4" t="s">
        <v>226</v>
      </c>
      <c r="C729" s="11" t="n">
        <f aca="false">$C719*C710</f>
        <v>10281.3559132592</v>
      </c>
      <c r="D729" s="11" t="n">
        <f aca="false">$C719*D710</f>
        <v>11359.7588900802</v>
      </c>
      <c r="E729" s="11" t="n">
        <f aca="false">$C719*E710</f>
        <v>14829.8649192767</v>
      </c>
      <c r="F729" s="11" t="n">
        <f aca="false">$C719*F710</f>
        <v>16264.6631805207</v>
      </c>
      <c r="G729" s="11" t="n">
        <f aca="false">$C719*G710</f>
        <v>8314.23900741092</v>
      </c>
      <c r="I729" s="4" t="s">
        <v>472</v>
      </c>
    </row>
    <row r="730" customFormat="false" ht="15" hidden="false" customHeight="false" outlineLevel="0" collapsed="false">
      <c r="A730" s="4" t="s">
        <v>473</v>
      </c>
      <c r="B730" s="0" t="s">
        <v>333</v>
      </c>
      <c r="C730" s="11" t="n">
        <f aca="false">C729/fx*100</f>
        <v>724.039148821073</v>
      </c>
      <c r="D730" s="11" t="n">
        <f aca="false">D729/fx*100</f>
        <v>799.983020428184</v>
      </c>
      <c r="E730" s="11" t="n">
        <f aca="false">E729/fx*100</f>
        <v>1044.3566844561</v>
      </c>
      <c r="F730" s="11" t="n">
        <f aca="false">F729/fx*100</f>
        <v>1145.39881552963</v>
      </c>
      <c r="G730" s="11" t="n">
        <f aca="false">G729/fx*100</f>
        <v>585.509789254291</v>
      </c>
    </row>
    <row r="740" customFormat="false" ht="17.15" hidden="false" customHeight="false" outlineLevel="0" collapsed="false">
      <c r="A740" s="1" t="s">
        <v>677</v>
      </c>
    </row>
    <row r="741" customFormat="false" ht="15" hidden="false" customHeight="false" outlineLevel="0" collapsed="false">
      <c r="A741" s="5" t="s">
        <v>14</v>
      </c>
      <c r="B741" s="5" t="s">
        <v>15</v>
      </c>
      <c r="C741" s="9" t="s">
        <v>401</v>
      </c>
      <c r="D741" s="9" t="s">
        <v>402</v>
      </c>
      <c r="E741" s="9" t="s">
        <v>403</v>
      </c>
      <c r="F741" s="9" t="s">
        <v>404</v>
      </c>
      <c r="G741" s="9" t="s">
        <v>405</v>
      </c>
      <c r="H741" s="9" t="s">
        <v>406</v>
      </c>
      <c r="I741" s="5" t="s">
        <v>407</v>
      </c>
    </row>
    <row r="742" customFormat="false" ht="17.15" hidden="false" customHeight="false" outlineLevel="0" collapsed="false">
      <c r="A742" s="6" t="s">
        <v>441</v>
      </c>
    </row>
    <row r="743" customFormat="false" ht="17.15" hidden="false" customHeight="false" outlineLevel="0" collapsed="false">
      <c r="A743" s="0" t="s">
        <v>442</v>
      </c>
      <c r="B743" s="0" t="s">
        <v>25</v>
      </c>
      <c r="C743" s="17" t="n">
        <f aca="false">hsA_25</f>
        <v>2.22511470588235</v>
      </c>
      <c r="D743" s="17" t="n">
        <f aca="false">hsA_26</f>
        <v>3.782695</v>
      </c>
      <c r="E743" s="17" t="n">
        <f aca="false">hsA_27</f>
        <v>5.86317725</v>
      </c>
      <c r="F743" s="17" t="n">
        <f aca="false">hsA_28</f>
        <v>8.5016070125</v>
      </c>
      <c r="G743" s="17" t="n">
        <f aca="false">hsA_29</f>
        <v>11.477169466875</v>
      </c>
      <c r="H743" s="17" t="n">
        <f aca="false">G743*(1+g_tail)</f>
        <v>12.6248864135625</v>
      </c>
      <c r="I743" s="8" t="s">
        <v>443</v>
      </c>
    </row>
    <row r="744" customFormat="false" ht="17.15" hidden="false" customHeight="false" outlineLevel="0" collapsed="false">
      <c r="A744" s="0" t="s">
        <v>444</v>
      </c>
      <c r="B744" s="0" t="s">
        <v>445</v>
      </c>
      <c r="C744" s="15" t="n">
        <f aca="false">den_25</f>
        <v>24</v>
      </c>
      <c r="D744" s="15" t="n">
        <f aca="false">den_26</f>
        <v>24</v>
      </c>
      <c r="E744" s="15" t="n">
        <f aca="false">den_27</f>
        <v>26</v>
      </c>
      <c r="F744" s="15" t="n">
        <f aca="false">den_28</f>
        <v>28</v>
      </c>
      <c r="G744" s="15" t="n">
        <f aca="false">den_29</f>
        <v>30</v>
      </c>
      <c r="H744" s="15" t="n">
        <f aca="false">den_30</f>
        <v>32</v>
      </c>
    </row>
    <row r="745" customFormat="false" ht="17.15" hidden="false" customHeight="false" outlineLevel="0" collapsed="false">
      <c r="A745" s="4" t="s">
        <v>446</v>
      </c>
      <c r="B745" s="4" t="s">
        <v>411</v>
      </c>
      <c r="C745" s="11" t="n">
        <f aca="false">C743*8000/C744</f>
        <v>741.704901960783</v>
      </c>
      <c r="D745" s="11" t="n">
        <f aca="false">D743*8000/D744</f>
        <v>1260.89833333333</v>
      </c>
      <c r="E745" s="11" t="n">
        <f aca="false">E743*8000/E744</f>
        <v>1804.05453846154</v>
      </c>
      <c r="F745" s="11" t="n">
        <f aca="false">F743*8000/F744</f>
        <v>2429.030575</v>
      </c>
      <c r="G745" s="11" t="n">
        <f aca="false">G743*8000/G744</f>
        <v>3060.5785245</v>
      </c>
      <c r="H745" s="11" t="n">
        <f aca="false">H743*8000/H744</f>
        <v>3156.22160339063</v>
      </c>
      <c r="I745" s="8" t="s">
        <v>447</v>
      </c>
    </row>
    <row r="746" customFormat="false" ht="15" hidden="false" customHeight="false" outlineLevel="0" collapsed="false">
      <c r="A746" s="4" t="s">
        <v>448</v>
      </c>
      <c r="B746" s="4" t="s">
        <v>89</v>
      </c>
      <c r="C746" s="15" t="n">
        <f aca="false">stk_25</f>
        <v>10</v>
      </c>
      <c r="D746" s="15" t="n">
        <f aca="false">stk_26</f>
        <v>12</v>
      </c>
      <c r="E746" s="15" t="n">
        <f aca="false">stk_27</f>
        <v>12.5</v>
      </c>
      <c r="F746" s="15" t="n">
        <f aca="false">stk_28</f>
        <v>14</v>
      </c>
      <c r="G746" s="15" t="n">
        <f aca="false">stk_29</f>
        <v>15</v>
      </c>
      <c r="H746" s="15" t="n">
        <f aca="false">stk_30</f>
        <v>16</v>
      </c>
    </row>
    <row r="747" customFormat="false" ht="15" hidden="false" customHeight="false" outlineLevel="0" collapsed="false">
      <c r="A747" s="4" t="s">
        <v>449</v>
      </c>
      <c r="B747" s="0" t="s">
        <v>109</v>
      </c>
      <c r="C747" s="18" t="n">
        <f aca="false">1+beta*(C746-$C746)/4</f>
        <v>1</v>
      </c>
      <c r="D747" s="18" t="n">
        <f aca="false">1+beta*(D746-$C746)/4</f>
        <v>1.05</v>
      </c>
      <c r="E747" s="18" t="n">
        <f aca="false">1+beta*(E746-$C746)/4</f>
        <v>1.0625</v>
      </c>
      <c r="F747" s="18" t="n">
        <f aca="false">1+beta*(F746-$C746)/4</f>
        <v>1.1</v>
      </c>
      <c r="G747" s="18" t="n">
        <f aca="false">1+beta*(G746-$C746)/4</f>
        <v>1.125</v>
      </c>
      <c r="H747" s="18" t="n">
        <f aca="false">1+beta*(H746-$C746)/4</f>
        <v>1.15</v>
      </c>
    </row>
    <row r="748" customFormat="false" ht="17.15" hidden="false" customHeight="false" outlineLevel="0" collapsed="false">
      <c r="A748" s="4" t="s">
        <v>450</v>
      </c>
      <c r="B748" s="0" t="s">
        <v>62</v>
      </c>
      <c r="C748" s="14" t="n">
        <f aca="false">0</f>
        <v>0</v>
      </c>
      <c r="D748" s="14" t="n">
        <f aca="false">0</f>
        <v>0</v>
      </c>
      <c r="E748" s="14" t="n">
        <f aca="false">0</f>
        <v>0</v>
      </c>
      <c r="F748" s="14" t="n">
        <f aca="false">0</f>
        <v>0</v>
      </c>
      <c r="G748" s="14" t="n">
        <f aca="false">0</f>
        <v>0</v>
      </c>
      <c r="H748" s="14" t="n">
        <f aca="false">0</f>
        <v>0</v>
      </c>
      <c r="I748" s="4" t="s">
        <v>451</v>
      </c>
    </row>
    <row r="749" customFormat="false" ht="17.15" hidden="false" customHeight="false" outlineLevel="0" collapsed="false">
      <c r="A749" s="0" t="s">
        <v>452</v>
      </c>
      <c r="B749" s="4" t="s">
        <v>413</v>
      </c>
      <c r="C749" s="11" t="n">
        <f aca="false">C745*C747*(1-C748)</f>
        <v>741.704901960783</v>
      </c>
      <c r="D749" s="11" t="n">
        <f aca="false">D745*D747*(1-D748)</f>
        <v>1323.94325</v>
      </c>
      <c r="E749" s="11" t="n">
        <f aca="false">E745*E747*(1-E748)</f>
        <v>1916.80794711538</v>
      </c>
      <c r="F749" s="11" t="n">
        <f aca="false">F745*F747*(1-F748)</f>
        <v>2671.9336325</v>
      </c>
      <c r="G749" s="11" t="n">
        <f aca="false">G745*G747*(1-G748)</f>
        <v>3443.1508400625</v>
      </c>
      <c r="H749" s="11" t="n">
        <f aca="false">H745*H747*(1-H748)</f>
        <v>3629.65484389922</v>
      </c>
    </row>
    <row r="750" customFormat="false" ht="17.15" hidden="false" customHeight="false" outlineLevel="0" collapsed="false">
      <c r="A750" s="4" t="s">
        <v>453</v>
      </c>
      <c r="B750" s="4" t="s">
        <v>413</v>
      </c>
      <c r="C750" s="11" t="n">
        <f aca="false">MAX(0,D749-C749)+dlt*C749</f>
        <v>656.408838235295</v>
      </c>
      <c r="D750" s="11" t="n">
        <f aca="false">MAX(0,E749-D749)+dlt*D749</f>
        <v>725.259022115385</v>
      </c>
      <c r="E750" s="11" t="n">
        <f aca="false">MAX(0,F749-E749)+dlt*E749</f>
        <v>946.806480096154</v>
      </c>
      <c r="F750" s="11" t="n">
        <f aca="false">MAX(0,G749-F749)+dlt*F749</f>
        <v>1038.4105708125</v>
      </c>
      <c r="G750" s="11" t="n">
        <f aca="false">MAX(0,H749-G749)+dlt*G749</f>
        <v>530.819087842968</v>
      </c>
      <c r="I750" s="4" t="s">
        <v>454</v>
      </c>
    </row>
    <row r="751" customFormat="false" ht="17.15" hidden="false" customHeight="false" outlineLevel="0" collapsed="false">
      <c r="A751" s="0" t="s">
        <v>455</v>
      </c>
      <c r="B751" s="0" t="s">
        <v>62</v>
      </c>
      <c r="C751" s="14" t="n">
        <f aca="false">ms_sk_26/(ms_sk_26+ms_ss_26+ms_mu_26)</f>
        <v>0.52</v>
      </c>
      <c r="D751" s="14" t="n">
        <f aca="false">ms_sk_27/(ms_sk_27+ms_ss_27+ms_mu_27)</f>
        <v>0.42</v>
      </c>
      <c r="E751" s="14" t="n">
        <f aca="false">ms_sk_28/(ms_sk_28+ms_ss_28+ms_mu_28)</f>
        <v>0.4</v>
      </c>
      <c r="F751" s="14" t="n">
        <f aca="false">ms_sk_29/(ms_sk_29+ms_ss_29+ms_mu_29)</f>
        <v>0.4</v>
      </c>
      <c r="G751" s="14" t="n">
        <f aca="false">ms_sk_29/(ms_sk_29+ms_ss_29+ms_mu_29)</f>
        <v>0.4</v>
      </c>
    </row>
    <row r="752" customFormat="false" ht="17.15" hidden="false" customHeight="false" outlineLevel="0" collapsed="false">
      <c r="A752" s="4" t="s">
        <v>456</v>
      </c>
      <c r="B752" s="0" t="s">
        <v>62</v>
      </c>
      <c r="C752" s="14" t="n">
        <f aca="false">ms_ss_26/(ms_sk_26+ms_ss_26+ms_mu_26)</f>
        <v>0.29</v>
      </c>
      <c r="D752" s="14" t="n">
        <f aca="false">ms_ss_27/(ms_sk_27+ms_ss_27+ms_mu_27)</f>
        <v>0.38</v>
      </c>
      <c r="E752" s="14" t="n">
        <f aca="false">ms_ss_28/(ms_sk_28+ms_ss_28+ms_mu_28)</f>
        <v>0.4</v>
      </c>
      <c r="F752" s="14" t="n">
        <f aca="false">ms_ss_29/(ms_sk_29+ms_ss_29+ms_mu_29)</f>
        <v>0.4</v>
      </c>
      <c r="G752" s="14" t="n">
        <f aca="false">ms_ss_29/(ms_sk_29+ms_ss_29+ms_mu_29)</f>
        <v>0.4</v>
      </c>
    </row>
    <row r="753" customFormat="false" ht="17.15" hidden="false" customHeight="false" outlineLevel="0" collapsed="false">
      <c r="A753" s="4" t="s">
        <v>457</v>
      </c>
      <c r="B753" s="0" t="s">
        <v>62</v>
      </c>
      <c r="C753" s="14" t="n">
        <f aca="false">ms_mu_26/(ms_sk_26+ms_ss_26+ms_mu_26)</f>
        <v>0.19</v>
      </c>
      <c r="D753" s="14" t="n">
        <f aca="false">ms_mu_27/(ms_sk_27+ms_ss_27+ms_mu_27)</f>
        <v>0.2</v>
      </c>
      <c r="E753" s="14" t="n">
        <f aca="false">ms_mu_28/(ms_sk_28+ms_ss_28+ms_mu_28)</f>
        <v>0.2</v>
      </c>
      <c r="F753" s="14" t="n">
        <f aca="false">ms_mu_29/(ms_sk_29+ms_ss_29+ms_mu_29)</f>
        <v>0.2</v>
      </c>
      <c r="G753" s="14" t="n">
        <f aca="false">ms_mu_29/(ms_sk_29+ms_ss_29+ms_mu_29)</f>
        <v>0.2</v>
      </c>
    </row>
    <row r="754" customFormat="false" ht="17.15" hidden="false" customHeight="false" outlineLevel="0" collapsed="false">
      <c r="A754" s="4" t="s">
        <v>458</v>
      </c>
      <c r="B754" s="0" t="s">
        <v>62</v>
      </c>
      <c r="C754" s="14" t="n">
        <f aca="false">C751*hsk_25+C752*hss+C753*hmu_25</f>
        <v>0.412</v>
      </c>
      <c r="D754" s="14" t="n">
        <f aca="false">D751*hsk_A+D752*hss+D753*hmu_A</f>
        <v>0.339</v>
      </c>
      <c r="E754" s="14" t="n">
        <f aca="false">E751*hsk_A+E752*hss+E753*hmu_A</f>
        <v>0.33</v>
      </c>
      <c r="F754" s="14" t="n">
        <f aca="false">F751*hsk_A+F752*hss+F753*hmu_A</f>
        <v>0.33</v>
      </c>
      <c r="G754" s="14" t="n">
        <f aca="false">G751*hsk_A+G752*hss+G753*hmu_A</f>
        <v>0.33</v>
      </c>
    </row>
    <row r="755" customFormat="false" ht="17.15" hidden="false" customHeight="false" outlineLevel="0" collapsed="false">
      <c r="A755" s="4" t="s">
        <v>459</v>
      </c>
      <c r="B755" s="4" t="s">
        <v>413</v>
      </c>
      <c r="C755" s="11" t="n">
        <f aca="false">C750*C754</f>
        <v>270.440441352942</v>
      </c>
      <c r="D755" s="11" t="n">
        <f aca="false">D750*D754</f>
        <v>245.862808497115</v>
      </c>
      <c r="E755" s="11" t="n">
        <f aca="false">E750*E754</f>
        <v>312.446138431731</v>
      </c>
      <c r="F755" s="11" t="n">
        <f aca="false">F750*F754</f>
        <v>342.675488368125</v>
      </c>
      <c r="G755" s="11" t="n">
        <f aca="false">G750*G754</f>
        <v>175.17029898818</v>
      </c>
    </row>
    <row r="756" customFormat="false" ht="17.15" hidden="false" customHeight="false" outlineLevel="0" collapsed="false">
      <c r="A756" s="6" t="s">
        <v>460</v>
      </c>
    </row>
    <row r="757" customFormat="false" ht="17.15" hidden="false" customHeight="false" outlineLevel="0" collapsed="false">
      <c r="A757" s="4" t="s">
        <v>461</v>
      </c>
      <c r="B757" s="4" t="s">
        <v>226</v>
      </c>
      <c r="C757" s="11" t="n">
        <f aca="false">a25_rev-a25_hbm</f>
        <v>2895.034</v>
      </c>
      <c r="D757" s="11" t="n">
        <f aca="false">C757*(1+g_o26)</f>
        <v>3329.2891</v>
      </c>
      <c r="E757" s="11" t="n">
        <f aca="false">D757*(1+g_o_A)</f>
        <v>3728.803792</v>
      </c>
      <c r="F757" s="11" t="n">
        <f aca="false">E757*(1+g_o_A)</f>
        <v>4176.26024704</v>
      </c>
      <c r="G757" s="11" t="n">
        <f aca="false">F757*(1+g_o_A)</f>
        <v>4677.4114766848</v>
      </c>
    </row>
    <row r="758" customFormat="false" ht="17.15" hidden="false" customHeight="false" outlineLevel="0" collapsed="false">
      <c r="A758" s="0" t="s">
        <v>462</v>
      </c>
      <c r="B758" s="4" t="s">
        <v>226</v>
      </c>
      <c r="C758" s="11" t="n">
        <f aca="false">a25_hbm</f>
        <v>2871.966</v>
      </c>
      <c r="D758" s="11" t="n">
        <f aca="false">rev26-D757</f>
        <v>4210.5109</v>
      </c>
      <c r="E758" s="11" t="n">
        <f aca="false">$C759*E755</f>
        <v>4286.03259533926</v>
      </c>
      <c r="F758" s="11" t="n">
        <f aca="false">$C759*F755</f>
        <v>4700.70880101627</v>
      </c>
      <c r="G758" s="11" t="n">
        <f aca="false">$C759*G755</f>
        <v>2402.9281173616</v>
      </c>
      <c r="I758" s="8" t="s">
        <v>463</v>
      </c>
    </row>
    <row r="759" customFormat="false" ht="17.15" hidden="false" customHeight="false" outlineLevel="0" collapsed="false">
      <c r="A759" s="4" t="s">
        <v>464</v>
      </c>
      <c r="B759" s="4" t="s">
        <v>465</v>
      </c>
      <c r="C759" s="18" t="n">
        <f aca="false">(C758+D758)/(C755+D755)</f>
        <v>13.7176686415529</v>
      </c>
      <c r="I759" s="4" t="s">
        <v>466</v>
      </c>
    </row>
    <row r="760" customFormat="false" ht="15" hidden="false" customHeight="false" outlineLevel="0" collapsed="false">
      <c r="A760" s="4" t="s">
        <v>366</v>
      </c>
      <c r="B760" s="4" t="s">
        <v>226</v>
      </c>
      <c r="C760" s="11" t="n">
        <f aca="false">a25_rev</f>
        <v>5767</v>
      </c>
      <c r="D760" s="11" t="n">
        <f aca="false">D757+D758</f>
        <v>7539.8</v>
      </c>
      <c r="E760" s="11" t="n">
        <f aca="false">E757+E758</f>
        <v>8014.83638733926</v>
      </c>
      <c r="F760" s="11" t="n">
        <f aca="false">F757+F758</f>
        <v>8876.96904805627</v>
      </c>
      <c r="G760" s="11" t="n">
        <f aca="false">G757+G758</f>
        <v>7080.33959404641</v>
      </c>
    </row>
    <row r="761" customFormat="false" ht="17.15" hidden="false" customHeight="false" outlineLevel="0" collapsed="false">
      <c r="A761" s="0" t="s">
        <v>467</v>
      </c>
      <c r="B761" s="0" t="s">
        <v>62</v>
      </c>
      <c r="C761" s="14" t="n">
        <f aca="false">C758/C760</f>
        <v>0.498</v>
      </c>
      <c r="D761" s="14" t="n">
        <f aca="false">D758/D760</f>
        <v>0.558438008965755</v>
      </c>
      <c r="E761" s="14" t="n">
        <f aca="false">E758/E760</f>
        <v>0.534762331781314</v>
      </c>
      <c r="F761" s="14" t="n">
        <f aca="false">F758/F760</f>
        <v>0.529539843562432</v>
      </c>
      <c r="G761" s="14" t="n">
        <f aca="false">G758/G760</f>
        <v>0.339380348279077</v>
      </c>
    </row>
    <row r="762" customFormat="false" ht="17.15" hidden="false" customHeight="false" outlineLevel="0" collapsed="false">
      <c r="A762" s="4" t="s">
        <v>468</v>
      </c>
      <c r="B762" s="4" t="s">
        <v>226</v>
      </c>
      <c r="C762" s="11" t="n">
        <f aca="false">opex25</f>
        <v>806.7</v>
      </c>
      <c r="D762" s="11" t="n">
        <f aca="false">opex_fix+opex_var*D760</f>
        <v>930.691482573261</v>
      </c>
      <c r="E762" s="11" t="n">
        <f aca="false">opex_fix+opex_var*E760</f>
        <v>963.916023380144</v>
      </c>
      <c r="F762" s="11" t="n">
        <f aca="false">opex_fix+opex_var*F760</f>
        <v>1024.21448162537</v>
      </c>
      <c r="G762" s="11" t="n">
        <f aca="false">opex_fix+opex_var*G760</f>
        <v>898.556342163797</v>
      </c>
      <c r="I762" s="4" t="s">
        <v>469</v>
      </c>
    </row>
    <row r="763" customFormat="false" ht="17.15" hidden="false" customHeight="false" outlineLevel="0" collapsed="false">
      <c r="A763" s="4" t="s">
        <v>436</v>
      </c>
      <c r="B763" s="0" t="s">
        <v>62</v>
      </c>
      <c r="C763" s="14" t="n">
        <f aca="false">a25_gp/a25_rev</f>
        <v>0.575793306745275</v>
      </c>
      <c r="D763" s="14" t="n">
        <f aca="false">((q1_oi+q2_oi+h2f*2*q2_rev*m_h2_lo)+D762)/D760</f>
        <v>0.559299647546787</v>
      </c>
      <c r="E763" s="14" t="n">
        <f aca="false">$D763+0</f>
        <v>0.559299647546787</v>
      </c>
      <c r="F763" s="14" t="n">
        <f aca="false">$D763+0</f>
        <v>0.559299647546787</v>
      </c>
      <c r="G763" s="14" t="n">
        <f aca="false">$D763+0</f>
        <v>0.559299647546787</v>
      </c>
      <c r="I763" s="8" t="s">
        <v>470</v>
      </c>
    </row>
    <row r="764" customFormat="false" ht="15" hidden="false" customHeight="false" outlineLevel="0" collapsed="false">
      <c r="A764" s="4" t="s">
        <v>371</v>
      </c>
      <c r="B764" s="4" t="s">
        <v>226</v>
      </c>
      <c r="C764" s="11" t="n">
        <f aca="false">C760*C763</f>
        <v>3320.6</v>
      </c>
      <c r="D764" s="11" t="n">
        <f aca="false">D760*D763</f>
        <v>4217.00748257326</v>
      </c>
      <c r="E764" s="11" t="n">
        <f aca="false">E760*E763</f>
        <v>4482.69516658401</v>
      </c>
      <c r="F764" s="11" t="n">
        <f aca="false">F760*F763</f>
        <v>4964.88565986161</v>
      </c>
      <c r="G764" s="11" t="n">
        <f aca="false">G760*G763</f>
        <v>3960.03143946171</v>
      </c>
    </row>
    <row r="765" customFormat="false" ht="15" hidden="false" customHeight="false" outlineLevel="0" collapsed="false">
      <c r="A765" s="4" t="s">
        <v>374</v>
      </c>
      <c r="B765" s="4" t="s">
        <v>226</v>
      </c>
      <c r="C765" s="11" t="n">
        <f aca="false">a25_oi</f>
        <v>2513.9</v>
      </c>
      <c r="D765" s="11" t="n">
        <f aca="false">(q1_oi+q2_oi+h2f*2*q2_rev*m_h2_lo)</f>
        <v>3286.316</v>
      </c>
      <c r="E765" s="11" t="n">
        <f aca="false">E764-E762</f>
        <v>3518.77914320387</v>
      </c>
      <c r="F765" s="11" t="n">
        <f aca="false">F764-F762</f>
        <v>3940.67117823624</v>
      </c>
      <c r="G765" s="11" t="n">
        <f aca="false">G764-G762</f>
        <v>3061.47509729792</v>
      </c>
    </row>
    <row r="766" customFormat="false" ht="15" hidden="false" customHeight="false" outlineLevel="0" collapsed="false">
      <c r="A766" s="4" t="s">
        <v>377</v>
      </c>
      <c r="B766" s="0" t="s">
        <v>62</v>
      </c>
      <c r="C766" s="14" t="n">
        <f aca="false">C765/C760</f>
        <v>0.435911219004682</v>
      </c>
      <c r="D766" s="14" t="n">
        <f aca="false">D765/D760</f>
        <v>0.435862489721213</v>
      </c>
      <c r="E766" s="14" t="n">
        <f aca="false">E765/E760</f>
        <v>0.439033184602789</v>
      </c>
      <c r="F766" s="14" t="n">
        <f aca="false">F765/F760</f>
        <v>0.443920797391887</v>
      </c>
      <c r="G766" s="14" t="n">
        <f aca="false">G765/G760</f>
        <v>0.432390997159543</v>
      </c>
    </row>
    <row r="767" customFormat="false" ht="15" hidden="false" customHeight="false" outlineLevel="0" collapsed="false">
      <c r="A767" s="4" t="s">
        <v>437</v>
      </c>
      <c r="B767" s="4" t="s">
        <v>226</v>
      </c>
      <c r="C767" s="11" t="n">
        <f aca="false">a25_ni</f>
        <v>2140</v>
      </c>
      <c r="D767" s="11" t="n">
        <f aca="false">D765*nioi</f>
        <v>2797.53221687418</v>
      </c>
      <c r="E767" s="11" t="n">
        <f aca="false">E765*nioi</f>
        <v>2995.42040910787</v>
      </c>
      <c r="F767" s="11" t="n">
        <f aca="false">F765*nioi</f>
        <v>3354.56315741499</v>
      </c>
      <c r="G767" s="11" t="n">
        <f aca="false">G765*nioi</f>
        <v>2606.13258610825</v>
      </c>
    </row>
    <row r="768" customFormat="false" ht="15" hidden="false" customHeight="false" outlineLevel="0" collapsed="false">
      <c r="A768" s="0" t="s">
        <v>438</v>
      </c>
      <c r="B768" s="0" t="s">
        <v>302</v>
      </c>
      <c r="C768" s="11" t="n">
        <f aca="false">a25_eps</f>
        <v>2231.7</v>
      </c>
      <c r="D768" s="11" t="n">
        <f aca="false">D767*100/shares</f>
        <v>2917.40777962528</v>
      </c>
      <c r="E768" s="11" t="n">
        <f aca="false">E767*100/shares</f>
        <v>3123.7755733673</v>
      </c>
      <c r="F768" s="11" t="n">
        <f aca="false">F767*100/shares</f>
        <v>3498.3077562631</v>
      </c>
      <c r="G768" s="11" t="n">
        <f aca="false">G767*100/shares</f>
        <v>2717.80658524196</v>
      </c>
    </row>
    <row r="769" customFormat="false" ht="17.15" hidden="false" customHeight="false" outlineLevel="0" collapsed="false">
      <c r="A769" s="4" t="s">
        <v>471</v>
      </c>
      <c r="B769" s="4" t="s">
        <v>226</v>
      </c>
      <c r="C769" s="11" t="n">
        <f aca="false">$C759*C750</f>
        <v>9004.3989362985</v>
      </c>
      <c r="D769" s="11" t="n">
        <f aca="false">$C759*D750</f>
        <v>9948.86294467556</v>
      </c>
      <c r="E769" s="11" t="n">
        <f aca="false">$C759*E750</f>
        <v>12987.9775616341</v>
      </c>
      <c r="F769" s="11" t="n">
        <f aca="false">$C759*F750</f>
        <v>14244.5721242917</v>
      </c>
      <c r="G769" s="11" t="n">
        <f aca="false">$C759*G750</f>
        <v>7281.60035564122</v>
      </c>
      <c r="I769" s="4" t="s">
        <v>472</v>
      </c>
    </row>
    <row r="770" customFormat="false" ht="15" hidden="false" customHeight="false" outlineLevel="0" collapsed="false">
      <c r="A770" s="4" t="s">
        <v>473</v>
      </c>
      <c r="B770" s="0" t="s">
        <v>333</v>
      </c>
      <c r="C770" s="11" t="n">
        <f aca="false">C769/fx*100</f>
        <v>634.112601147782</v>
      </c>
      <c r="D770" s="11" t="n">
        <f aca="false">D769/fx*100</f>
        <v>700.62415103349</v>
      </c>
      <c r="E770" s="11" t="n">
        <f aca="false">E769/fx*100</f>
        <v>914.646307157333</v>
      </c>
      <c r="F770" s="11" t="n">
        <f aca="false">F769/fx*100</f>
        <v>1003.13888199238</v>
      </c>
      <c r="G770" s="11" t="n">
        <f aca="false">G769/fx*100</f>
        <v>512.788757439523</v>
      </c>
    </row>
    <row r="780" customFormat="false" ht="17.15" hidden="false" customHeight="false" outlineLevel="0" collapsed="false">
      <c r="A780" s="1" t="s">
        <v>678</v>
      </c>
    </row>
    <row r="781" customFormat="false" ht="15" hidden="false" customHeight="false" outlineLevel="0" collapsed="false">
      <c r="A781" s="5" t="s">
        <v>14</v>
      </c>
      <c r="B781" s="5" t="s">
        <v>15</v>
      </c>
      <c r="C781" s="9" t="s">
        <v>401</v>
      </c>
      <c r="D781" s="9" t="s">
        <v>402</v>
      </c>
      <c r="E781" s="9" t="s">
        <v>403</v>
      </c>
      <c r="F781" s="9" t="s">
        <v>404</v>
      </c>
      <c r="G781" s="9" t="s">
        <v>405</v>
      </c>
      <c r="H781" s="9" t="s">
        <v>406</v>
      </c>
      <c r="I781" s="5" t="s">
        <v>407</v>
      </c>
    </row>
    <row r="782" customFormat="false" ht="17.15" hidden="false" customHeight="false" outlineLevel="0" collapsed="false">
      <c r="A782" s="6" t="s">
        <v>441</v>
      </c>
    </row>
    <row r="783" customFormat="false" ht="17.15" hidden="false" customHeight="false" outlineLevel="0" collapsed="false">
      <c r="A783" s="0" t="s">
        <v>442</v>
      </c>
      <c r="B783" s="0" t="s">
        <v>25</v>
      </c>
      <c r="C783" s="17" t="n">
        <f aca="false">hsA_25</f>
        <v>2.22511470588235</v>
      </c>
      <c r="D783" s="17" t="n">
        <f aca="false">hsA_26</f>
        <v>3.782695</v>
      </c>
      <c r="E783" s="17" t="n">
        <f aca="false">hsA_27</f>
        <v>5.86317725</v>
      </c>
      <c r="F783" s="17" t="n">
        <f aca="false">hsA_28</f>
        <v>8.5016070125</v>
      </c>
      <c r="G783" s="17" t="n">
        <f aca="false">hsA_29</f>
        <v>11.477169466875</v>
      </c>
      <c r="H783" s="17" t="n">
        <f aca="false">G783*(1+g_tail)</f>
        <v>12.6248864135625</v>
      </c>
      <c r="I783" s="8" t="s">
        <v>443</v>
      </c>
    </row>
    <row r="784" customFormat="false" ht="17.15" hidden="false" customHeight="false" outlineLevel="0" collapsed="false">
      <c r="A784" s="0" t="s">
        <v>444</v>
      </c>
      <c r="B784" s="0" t="s">
        <v>445</v>
      </c>
      <c r="C784" s="15" t="n">
        <f aca="false">den_25</f>
        <v>24</v>
      </c>
      <c r="D784" s="15" t="n">
        <f aca="false">den_26</f>
        <v>24</v>
      </c>
      <c r="E784" s="15" t="n">
        <f aca="false">den_27</f>
        <v>26</v>
      </c>
      <c r="F784" s="15" t="n">
        <f aca="false">den_28</f>
        <v>28</v>
      </c>
      <c r="G784" s="15" t="n">
        <f aca="false">den_29</f>
        <v>30</v>
      </c>
      <c r="H784" s="15" t="n">
        <f aca="false">den_30</f>
        <v>32</v>
      </c>
    </row>
    <row r="785" customFormat="false" ht="17.15" hidden="false" customHeight="false" outlineLevel="0" collapsed="false">
      <c r="A785" s="4" t="s">
        <v>446</v>
      </c>
      <c r="B785" s="4" t="s">
        <v>411</v>
      </c>
      <c r="C785" s="11" t="n">
        <f aca="false">C783*8000/C784</f>
        <v>741.704901960783</v>
      </c>
      <c r="D785" s="11" t="n">
        <f aca="false">D783*8000/D784</f>
        <v>1260.89833333333</v>
      </c>
      <c r="E785" s="11" t="n">
        <f aca="false">E783*8000/E784</f>
        <v>1804.05453846154</v>
      </c>
      <c r="F785" s="11" t="n">
        <f aca="false">F783*8000/F784</f>
        <v>2429.030575</v>
      </c>
      <c r="G785" s="11" t="n">
        <f aca="false">G783*8000/G784</f>
        <v>3060.5785245</v>
      </c>
      <c r="H785" s="11" t="n">
        <f aca="false">H783*8000/H784</f>
        <v>3156.22160339063</v>
      </c>
      <c r="I785" s="8" t="s">
        <v>447</v>
      </c>
    </row>
    <row r="786" customFormat="false" ht="15" hidden="false" customHeight="false" outlineLevel="0" collapsed="false">
      <c r="A786" s="4" t="s">
        <v>448</v>
      </c>
      <c r="B786" s="4" t="s">
        <v>89</v>
      </c>
      <c r="C786" s="15" t="n">
        <f aca="false">stk_25</f>
        <v>10</v>
      </c>
      <c r="D786" s="15" t="n">
        <f aca="false">stk_26</f>
        <v>12</v>
      </c>
      <c r="E786" s="15" t="n">
        <f aca="false">stk_27</f>
        <v>12.5</v>
      </c>
      <c r="F786" s="15" t="n">
        <f aca="false">stk_28</f>
        <v>14</v>
      </c>
      <c r="G786" s="15" t="n">
        <f aca="false">stk_29</f>
        <v>15</v>
      </c>
      <c r="H786" s="15" t="n">
        <f aca="false">stk_30</f>
        <v>16</v>
      </c>
    </row>
    <row r="787" customFormat="false" ht="15" hidden="false" customHeight="false" outlineLevel="0" collapsed="false">
      <c r="A787" s="4" t="s">
        <v>449</v>
      </c>
      <c r="B787" s="0" t="s">
        <v>109</v>
      </c>
      <c r="C787" s="18" t="n">
        <f aca="false">1+beta*(C786-$C786)/4</f>
        <v>1</v>
      </c>
      <c r="D787" s="18" t="n">
        <f aca="false">1+beta*(D786-$C786)/4</f>
        <v>1.05</v>
      </c>
      <c r="E787" s="18" t="n">
        <f aca="false">1+beta*(E786-$C786)/4</f>
        <v>1.0625</v>
      </c>
      <c r="F787" s="18" t="n">
        <f aca="false">1+beta*(F786-$C786)/4</f>
        <v>1.1</v>
      </c>
      <c r="G787" s="18" t="n">
        <f aca="false">1+beta*(G786-$C786)/4</f>
        <v>1.125</v>
      </c>
      <c r="H787" s="18" t="n">
        <f aca="false">1+beta*(H786-$C786)/4</f>
        <v>1.15</v>
      </c>
    </row>
    <row r="788" customFormat="false" ht="17.15" hidden="false" customHeight="false" outlineLevel="0" collapsed="false">
      <c r="A788" s="4" t="s">
        <v>450</v>
      </c>
      <c r="B788" s="0" t="s">
        <v>62</v>
      </c>
      <c r="C788" s="14" t="n">
        <f aca="false">0</f>
        <v>0</v>
      </c>
      <c r="D788" s="14" t="n">
        <f aca="false">0</f>
        <v>0</v>
      </c>
      <c r="E788" s="14" t="n">
        <f aca="false">0</f>
        <v>0</v>
      </c>
      <c r="F788" s="14" t="n">
        <f aca="false">0</f>
        <v>0</v>
      </c>
      <c r="G788" s="14" t="n">
        <f aca="false">0</f>
        <v>0</v>
      </c>
      <c r="H788" s="14" t="n">
        <f aca="false">0</f>
        <v>0</v>
      </c>
      <c r="I788" s="4" t="s">
        <v>451</v>
      </c>
    </row>
    <row r="789" customFormat="false" ht="17.15" hidden="false" customHeight="false" outlineLevel="0" collapsed="false">
      <c r="A789" s="0" t="s">
        <v>452</v>
      </c>
      <c r="B789" s="4" t="s">
        <v>413</v>
      </c>
      <c r="C789" s="11" t="n">
        <f aca="false">C785*C787*(1-C788)</f>
        <v>741.704901960783</v>
      </c>
      <c r="D789" s="11" t="n">
        <f aca="false">D785*D787*(1-D788)</f>
        <v>1323.94325</v>
      </c>
      <c r="E789" s="11" t="n">
        <f aca="false">E785*E787*(1-E788)</f>
        <v>1916.80794711538</v>
      </c>
      <c r="F789" s="11" t="n">
        <f aca="false">F785*F787*(1-F788)</f>
        <v>2671.9336325</v>
      </c>
      <c r="G789" s="11" t="n">
        <f aca="false">G785*G787*(1-G788)</f>
        <v>3443.1508400625</v>
      </c>
      <c r="H789" s="11" t="n">
        <f aca="false">H785*H787*(1-H788)</f>
        <v>3629.65484389922</v>
      </c>
    </row>
    <row r="790" customFormat="false" ht="17.15" hidden="false" customHeight="false" outlineLevel="0" collapsed="false">
      <c r="A790" s="4" t="s">
        <v>453</v>
      </c>
      <c r="B790" s="4" t="s">
        <v>413</v>
      </c>
      <c r="C790" s="11" t="n">
        <f aca="false">MAX(0,D789-C789)+dlt*C789</f>
        <v>656.408838235295</v>
      </c>
      <c r="D790" s="11" t="n">
        <f aca="false">MAX(0,E789-D789)+dlt*D789</f>
        <v>725.259022115385</v>
      </c>
      <c r="E790" s="11" t="n">
        <f aca="false">MAX(0,F789-E789)+dlt*E789</f>
        <v>946.806480096154</v>
      </c>
      <c r="F790" s="11" t="n">
        <f aca="false">MAX(0,G789-F789)+dlt*F789</f>
        <v>1038.4105708125</v>
      </c>
      <c r="G790" s="11" t="n">
        <f aca="false">MAX(0,H789-G789)+dlt*G789</f>
        <v>530.819087842968</v>
      </c>
      <c r="I790" s="4" t="s">
        <v>454</v>
      </c>
    </row>
    <row r="791" customFormat="false" ht="17.15" hidden="false" customHeight="false" outlineLevel="0" collapsed="false">
      <c r="A791" s="0" t="s">
        <v>455</v>
      </c>
      <c r="B791" s="0" t="s">
        <v>62</v>
      </c>
      <c r="C791" s="14" t="n">
        <f aca="false">ms_sk_26/(ms_sk_26+ms_ss_26+ms_mu_26)</f>
        <v>0.52</v>
      </c>
      <c r="D791" s="14" t="n">
        <f aca="false">ms_sk_27/(ms_sk_27+ms_ss_27+ms_mu_27)</f>
        <v>0.42</v>
      </c>
      <c r="E791" s="14" t="n">
        <f aca="false">ms_sk_28/(ms_sk_28+ms_ss_28+ms_mu_28)</f>
        <v>0.4</v>
      </c>
      <c r="F791" s="14" t="n">
        <f aca="false">ms_sk_29/(ms_sk_29+ms_ss_29+ms_mu_29)</f>
        <v>0.4</v>
      </c>
      <c r="G791" s="14" t="n">
        <f aca="false">ms_sk_29/(ms_sk_29+ms_ss_29+ms_mu_29)</f>
        <v>0.4</v>
      </c>
    </row>
    <row r="792" customFormat="false" ht="17.15" hidden="false" customHeight="false" outlineLevel="0" collapsed="false">
      <c r="A792" s="4" t="s">
        <v>456</v>
      </c>
      <c r="B792" s="0" t="s">
        <v>62</v>
      </c>
      <c r="C792" s="14" t="n">
        <f aca="false">ms_ss_26/(ms_sk_26+ms_ss_26+ms_mu_26)</f>
        <v>0.29</v>
      </c>
      <c r="D792" s="14" t="n">
        <f aca="false">ms_ss_27/(ms_sk_27+ms_ss_27+ms_mu_27)</f>
        <v>0.38</v>
      </c>
      <c r="E792" s="14" t="n">
        <f aca="false">ms_ss_28/(ms_sk_28+ms_ss_28+ms_mu_28)</f>
        <v>0.4</v>
      </c>
      <c r="F792" s="14" t="n">
        <f aca="false">ms_ss_29/(ms_sk_29+ms_ss_29+ms_mu_29)</f>
        <v>0.4</v>
      </c>
      <c r="G792" s="14" t="n">
        <f aca="false">ms_ss_29/(ms_sk_29+ms_ss_29+ms_mu_29)</f>
        <v>0.4</v>
      </c>
    </row>
    <row r="793" customFormat="false" ht="17.15" hidden="false" customHeight="false" outlineLevel="0" collapsed="false">
      <c r="A793" s="4" t="s">
        <v>457</v>
      </c>
      <c r="B793" s="0" t="s">
        <v>62</v>
      </c>
      <c r="C793" s="14" t="n">
        <f aca="false">ms_mu_26/(ms_sk_26+ms_ss_26+ms_mu_26)</f>
        <v>0.19</v>
      </c>
      <c r="D793" s="14" t="n">
        <f aca="false">ms_mu_27/(ms_sk_27+ms_ss_27+ms_mu_27)</f>
        <v>0.2</v>
      </c>
      <c r="E793" s="14" t="n">
        <f aca="false">ms_mu_28/(ms_sk_28+ms_ss_28+ms_mu_28)</f>
        <v>0.2</v>
      </c>
      <c r="F793" s="14" t="n">
        <f aca="false">ms_mu_29/(ms_sk_29+ms_ss_29+ms_mu_29)</f>
        <v>0.2</v>
      </c>
      <c r="G793" s="14" t="n">
        <f aca="false">ms_mu_29/(ms_sk_29+ms_ss_29+ms_mu_29)</f>
        <v>0.2</v>
      </c>
    </row>
    <row r="794" customFormat="false" ht="17.15" hidden="false" customHeight="false" outlineLevel="0" collapsed="false">
      <c r="A794" s="4" t="s">
        <v>458</v>
      </c>
      <c r="B794" s="0" t="s">
        <v>62</v>
      </c>
      <c r="C794" s="14" t="n">
        <f aca="false">C791*hsk_25+C792*hss+C793*hmu_25</f>
        <v>0.412</v>
      </c>
      <c r="D794" s="14" t="n">
        <f aca="false">D791*hsk_A+D792*hss+D793*hmu_A</f>
        <v>0.339</v>
      </c>
      <c r="E794" s="14" t="n">
        <f aca="false">E791*hsk_A+E792*hss+E793*hmu_A</f>
        <v>0.33</v>
      </c>
      <c r="F794" s="14" t="n">
        <f aca="false">F791*hsk_A+F792*hss+F793*hmu_A</f>
        <v>0.33</v>
      </c>
      <c r="G794" s="14" t="n">
        <f aca="false">G791*hsk_A+G792*hss+G793*hmu_A</f>
        <v>0.33</v>
      </c>
    </row>
    <row r="795" customFormat="false" ht="17.15" hidden="false" customHeight="false" outlineLevel="0" collapsed="false">
      <c r="A795" s="4" t="s">
        <v>459</v>
      </c>
      <c r="B795" s="4" t="s">
        <v>413</v>
      </c>
      <c r="C795" s="11" t="n">
        <f aca="false">C790*C794</f>
        <v>270.440441352942</v>
      </c>
      <c r="D795" s="11" t="n">
        <f aca="false">D790*D794</f>
        <v>245.862808497115</v>
      </c>
      <c r="E795" s="11" t="n">
        <f aca="false">E790*E794</f>
        <v>312.446138431731</v>
      </c>
      <c r="F795" s="11" t="n">
        <f aca="false">F790*F794</f>
        <v>342.675488368125</v>
      </c>
      <c r="G795" s="11" t="n">
        <f aca="false">G790*G794</f>
        <v>175.17029898818</v>
      </c>
    </row>
    <row r="796" customFormat="false" ht="17.15" hidden="false" customHeight="false" outlineLevel="0" collapsed="false">
      <c r="A796" s="6" t="s">
        <v>460</v>
      </c>
    </row>
    <row r="797" customFormat="false" ht="17.15" hidden="false" customHeight="false" outlineLevel="0" collapsed="false">
      <c r="A797" s="4" t="s">
        <v>461</v>
      </c>
      <c r="B797" s="4" t="s">
        <v>226</v>
      </c>
      <c r="C797" s="11" t="n">
        <f aca="false">a25_rev-a25_hbm</f>
        <v>2895.034</v>
      </c>
      <c r="D797" s="11" t="n">
        <f aca="false">C797*(1+g_o26)</f>
        <v>3329.2891</v>
      </c>
      <c r="E797" s="11" t="n">
        <f aca="false">D797*(1+g_o_A)</f>
        <v>3728.803792</v>
      </c>
      <c r="F797" s="11" t="n">
        <f aca="false">E797*(1+g_o_A)</f>
        <v>4176.26024704</v>
      </c>
      <c r="G797" s="11" t="n">
        <f aca="false">F797*(1+g_o_A)</f>
        <v>4677.4114766848</v>
      </c>
    </row>
    <row r="798" customFormat="false" ht="17.15" hidden="false" customHeight="false" outlineLevel="0" collapsed="false">
      <c r="A798" s="0" t="s">
        <v>462</v>
      </c>
      <c r="B798" s="4" t="s">
        <v>226</v>
      </c>
      <c r="C798" s="11" t="n">
        <f aca="false">a25_hbm</f>
        <v>2871.966</v>
      </c>
      <c r="D798" s="11" t="n">
        <f aca="false">rev26-D797</f>
        <v>4210.5109</v>
      </c>
      <c r="E798" s="11" t="n">
        <f aca="false">$C799*E795</f>
        <v>4286.03259533926</v>
      </c>
      <c r="F798" s="11" t="n">
        <f aca="false">$C799*F795</f>
        <v>4700.70880101627</v>
      </c>
      <c r="G798" s="11" t="n">
        <f aca="false">$C799*G795</f>
        <v>2402.9281173616</v>
      </c>
      <c r="I798" s="8" t="s">
        <v>463</v>
      </c>
    </row>
    <row r="799" customFormat="false" ht="17.15" hidden="false" customHeight="false" outlineLevel="0" collapsed="false">
      <c r="A799" s="4" t="s">
        <v>464</v>
      </c>
      <c r="B799" s="4" t="s">
        <v>465</v>
      </c>
      <c r="C799" s="18" t="n">
        <f aca="false">(C798+D798)/(C795+D795)</f>
        <v>13.7176686415529</v>
      </c>
      <c r="I799" s="4" t="s">
        <v>466</v>
      </c>
    </row>
    <row r="800" customFormat="false" ht="15" hidden="false" customHeight="false" outlineLevel="0" collapsed="false">
      <c r="A800" s="4" t="s">
        <v>366</v>
      </c>
      <c r="B800" s="4" t="s">
        <v>226</v>
      </c>
      <c r="C800" s="11" t="n">
        <f aca="false">a25_rev</f>
        <v>5767</v>
      </c>
      <c r="D800" s="11" t="n">
        <f aca="false">D797+D798</f>
        <v>7539.8</v>
      </c>
      <c r="E800" s="11" t="n">
        <f aca="false">E797+E798</f>
        <v>8014.83638733926</v>
      </c>
      <c r="F800" s="11" t="n">
        <f aca="false">F797+F798</f>
        <v>8876.96904805627</v>
      </c>
      <c r="G800" s="11" t="n">
        <f aca="false">G797+G798</f>
        <v>7080.33959404641</v>
      </c>
    </row>
    <row r="801" customFormat="false" ht="17.15" hidden="false" customHeight="false" outlineLevel="0" collapsed="false">
      <c r="A801" s="0" t="s">
        <v>467</v>
      </c>
      <c r="B801" s="0" t="s">
        <v>62</v>
      </c>
      <c r="C801" s="14" t="n">
        <f aca="false">C798/C800</f>
        <v>0.498</v>
      </c>
      <c r="D801" s="14" t="n">
        <f aca="false">D798/D800</f>
        <v>0.558438008965755</v>
      </c>
      <c r="E801" s="14" t="n">
        <f aca="false">E798/E800</f>
        <v>0.534762331781314</v>
      </c>
      <c r="F801" s="14" t="n">
        <f aca="false">F798/F800</f>
        <v>0.529539843562432</v>
      </c>
      <c r="G801" s="14" t="n">
        <f aca="false">G798/G800</f>
        <v>0.339380348279077</v>
      </c>
    </row>
    <row r="802" customFormat="false" ht="17.15" hidden="false" customHeight="false" outlineLevel="0" collapsed="false">
      <c r="A802" s="4" t="s">
        <v>468</v>
      </c>
      <c r="B802" s="4" t="s">
        <v>226</v>
      </c>
      <c r="C802" s="11" t="n">
        <f aca="false">opex25</f>
        <v>806.7</v>
      </c>
      <c r="D802" s="11" t="n">
        <f aca="false">opex_fix+opex_var*D800</f>
        <v>930.691482573261</v>
      </c>
      <c r="E802" s="11" t="n">
        <f aca="false">opex_fix+opex_var*E800</f>
        <v>963.916023380144</v>
      </c>
      <c r="F802" s="11" t="n">
        <f aca="false">opex_fix+opex_var*F800</f>
        <v>1024.21448162537</v>
      </c>
      <c r="G802" s="11" t="n">
        <f aca="false">opex_fix+opex_var*G800</f>
        <v>898.556342163797</v>
      </c>
      <c r="I802" s="4" t="s">
        <v>469</v>
      </c>
    </row>
    <row r="803" customFormat="false" ht="17.15" hidden="false" customHeight="false" outlineLevel="0" collapsed="false">
      <c r="A803" s="4" t="s">
        <v>436</v>
      </c>
      <c r="B803" s="0" t="s">
        <v>62</v>
      </c>
      <c r="C803" s="14" t="n">
        <f aca="false">a25_gp/a25_rev</f>
        <v>0.575793306745275</v>
      </c>
      <c r="D803" s="14" t="n">
        <f aca="false">((q1_oi+q2_oi+h2f*2*q2_rev*m_h2_hi)+D802)/D800</f>
        <v>0.619245534705597</v>
      </c>
      <c r="E803" s="14" t="n">
        <f aca="false">$D803+0</f>
        <v>0.619245534705597</v>
      </c>
      <c r="F803" s="14" t="n">
        <f aca="false">$D803+0</f>
        <v>0.619245534705597</v>
      </c>
      <c r="G803" s="14" t="n">
        <f aca="false">$D803+0</f>
        <v>0.619245534705597</v>
      </c>
      <c r="I803" s="8" t="s">
        <v>470</v>
      </c>
    </row>
    <row r="804" customFormat="false" ht="15" hidden="false" customHeight="false" outlineLevel="0" collapsed="false">
      <c r="A804" s="4" t="s">
        <v>371</v>
      </c>
      <c r="B804" s="4" t="s">
        <v>226</v>
      </c>
      <c r="C804" s="11" t="n">
        <f aca="false">C800*C803</f>
        <v>3320.6</v>
      </c>
      <c r="D804" s="11" t="n">
        <f aca="false">D800*D803</f>
        <v>4668.98748257326</v>
      </c>
      <c r="E804" s="11" t="n">
        <f aca="false">E800*E803</f>
        <v>4963.15164425578</v>
      </c>
      <c r="F804" s="11" t="n">
        <f aca="false">F800*F803</f>
        <v>5497.02344472864</v>
      </c>
      <c r="G804" s="11" t="n">
        <f aca="false">G800*G803</f>
        <v>4384.46867781248</v>
      </c>
    </row>
    <row r="805" customFormat="false" ht="15" hidden="false" customHeight="false" outlineLevel="0" collapsed="false">
      <c r="A805" s="4" t="s">
        <v>374</v>
      </c>
      <c r="B805" s="4" t="s">
        <v>226</v>
      </c>
      <c r="C805" s="11" t="n">
        <f aca="false">a25_oi</f>
        <v>2513.9</v>
      </c>
      <c r="D805" s="11" t="n">
        <f aca="false">(q1_oi+q2_oi+h2f*2*q2_rev*m_h2_hi)</f>
        <v>3738.296</v>
      </c>
      <c r="E805" s="11" t="n">
        <f aca="false">E804-E802</f>
        <v>3999.23562087563</v>
      </c>
      <c r="F805" s="11" t="n">
        <f aca="false">F804-F802</f>
        <v>4472.80896310327</v>
      </c>
      <c r="G805" s="11" t="n">
        <f aca="false">G804-G802</f>
        <v>3485.91233564868</v>
      </c>
    </row>
    <row r="806" customFormat="false" ht="15" hidden="false" customHeight="false" outlineLevel="0" collapsed="false">
      <c r="A806" s="4" t="s">
        <v>377</v>
      </c>
      <c r="B806" s="0" t="s">
        <v>62</v>
      </c>
      <c r="C806" s="14" t="n">
        <f aca="false">C805/C800</f>
        <v>0.435911219004682</v>
      </c>
      <c r="D806" s="14" t="n">
        <f aca="false">D805/D800</f>
        <v>0.495808376880023</v>
      </c>
      <c r="E806" s="14" t="n">
        <f aca="false">E805/E800</f>
        <v>0.498979071761599</v>
      </c>
      <c r="F806" s="14" t="n">
        <f aca="false">F805/F800</f>
        <v>0.503866684550698</v>
      </c>
      <c r="G806" s="14" t="n">
        <f aca="false">G805/G800</f>
        <v>0.492336884318353</v>
      </c>
    </row>
    <row r="807" customFormat="false" ht="15" hidden="false" customHeight="false" outlineLevel="0" collapsed="false">
      <c r="A807" s="4" t="s">
        <v>437</v>
      </c>
      <c r="B807" s="4" t="s">
        <v>226</v>
      </c>
      <c r="C807" s="11" t="n">
        <f aca="false">a25_ni</f>
        <v>2140</v>
      </c>
      <c r="D807" s="11" t="n">
        <f aca="false">D805*nioi</f>
        <v>3182.28785552329</v>
      </c>
      <c r="E807" s="11" t="n">
        <f aca="false">E805*nioi</f>
        <v>3404.41713221443</v>
      </c>
      <c r="F807" s="11" t="n">
        <f aca="false">F805*nioi</f>
        <v>3807.55446956562</v>
      </c>
      <c r="G807" s="11" t="n">
        <f aca="false">G805*nioi</f>
        <v>2967.44198189593</v>
      </c>
    </row>
    <row r="808" customFormat="false" ht="15" hidden="false" customHeight="false" outlineLevel="0" collapsed="false">
      <c r="A808" s="0" t="s">
        <v>438</v>
      </c>
      <c r="B808" s="0" t="s">
        <v>302</v>
      </c>
      <c r="C808" s="11" t="n">
        <f aca="false">a25_eps</f>
        <v>2231.7</v>
      </c>
      <c r="D808" s="11" t="n">
        <f aca="false">D807*100/shares</f>
        <v>3318.65037718286</v>
      </c>
      <c r="E808" s="11" t="n">
        <f aca="false">E807*100/shares</f>
        <v>3550.29799717895</v>
      </c>
      <c r="F808" s="11" t="n">
        <f aca="false">F807*100/shares</f>
        <v>3970.70995781757</v>
      </c>
      <c r="G808" s="11" t="n">
        <f aca="false">G807*100/shares</f>
        <v>3094.5982574753</v>
      </c>
    </row>
    <row r="809" customFormat="false" ht="17.15" hidden="false" customHeight="false" outlineLevel="0" collapsed="false">
      <c r="A809" s="4" t="s">
        <v>471</v>
      </c>
      <c r="B809" s="4" t="s">
        <v>226</v>
      </c>
      <c r="C809" s="11" t="n">
        <f aca="false">$C799*C790</f>
        <v>9004.3989362985</v>
      </c>
      <c r="D809" s="11" t="n">
        <f aca="false">$C799*D790</f>
        <v>9948.86294467556</v>
      </c>
      <c r="E809" s="11" t="n">
        <f aca="false">$C799*E790</f>
        <v>12987.9775616341</v>
      </c>
      <c r="F809" s="11" t="n">
        <f aca="false">$C799*F790</f>
        <v>14244.5721242917</v>
      </c>
      <c r="G809" s="11" t="n">
        <f aca="false">$C799*G790</f>
        <v>7281.60035564122</v>
      </c>
      <c r="I809" s="4" t="s">
        <v>472</v>
      </c>
    </row>
    <row r="810" customFormat="false" ht="15" hidden="false" customHeight="false" outlineLevel="0" collapsed="false">
      <c r="A810" s="4" t="s">
        <v>473</v>
      </c>
      <c r="B810" s="0" t="s">
        <v>333</v>
      </c>
      <c r="C810" s="11" t="n">
        <f aca="false">C809/fx*100</f>
        <v>634.112601147782</v>
      </c>
      <c r="D810" s="11" t="n">
        <f aca="false">D809/fx*100</f>
        <v>700.62415103349</v>
      </c>
      <c r="E810" s="11" t="n">
        <f aca="false">E809/fx*100</f>
        <v>914.646307157333</v>
      </c>
      <c r="F810" s="11" t="n">
        <f aca="false">F809/fx*100</f>
        <v>1003.13888199238</v>
      </c>
      <c r="G810" s="11" t="n">
        <f aca="false">G809/fx*100</f>
        <v>512.788757439523</v>
      </c>
    </row>
    <row r="820" customFormat="false" ht="17.15" hidden="false" customHeight="false" outlineLevel="0" collapsed="false">
      <c r="A820" s="1" t="s">
        <v>679</v>
      </c>
    </row>
    <row r="821" customFormat="false" ht="15" hidden="false" customHeight="false" outlineLevel="0" collapsed="false">
      <c r="A821" s="5" t="s">
        <v>14</v>
      </c>
      <c r="B821" s="5" t="s">
        <v>15</v>
      </c>
      <c r="C821" s="9" t="s">
        <v>401</v>
      </c>
      <c r="D821" s="9" t="s">
        <v>402</v>
      </c>
      <c r="E821" s="9" t="s">
        <v>403</v>
      </c>
      <c r="F821" s="9" t="s">
        <v>404</v>
      </c>
      <c r="G821" s="9" t="s">
        <v>405</v>
      </c>
      <c r="H821" s="9" t="s">
        <v>406</v>
      </c>
      <c r="I821" s="5" t="s">
        <v>407</v>
      </c>
    </row>
    <row r="822" customFormat="false" ht="17.15" hidden="false" customHeight="false" outlineLevel="0" collapsed="false">
      <c r="A822" s="6" t="s">
        <v>441</v>
      </c>
    </row>
    <row r="823" customFormat="false" ht="17.15" hidden="false" customHeight="false" outlineLevel="0" collapsed="false">
      <c r="A823" s="0" t="s">
        <v>442</v>
      </c>
      <c r="B823" s="0" t="s">
        <v>25</v>
      </c>
      <c r="C823" s="17" t="n">
        <f aca="false">hsA_25</f>
        <v>2.22511470588235</v>
      </c>
      <c r="D823" s="17" t="n">
        <f aca="false">hsA_26</f>
        <v>3.782695</v>
      </c>
      <c r="E823" s="17" t="n">
        <f aca="false">hsA_27</f>
        <v>5.86317725</v>
      </c>
      <c r="F823" s="17" t="n">
        <f aca="false">hsA_28</f>
        <v>8.5016070125</v>
      </c>
      <c r="G823" s="17" t="n">
        <f aca="false">hsA_29</f>
        <v>11.477169466875</v>
      </c>
      <c r="H823" s="17" t="n">
        <f aca="false">G823*(1+g_tail)</f>
        <v>12.6248864135625</v>
      </c>
      <c r="I823" s="8" t="s">
        <v>443</v>
      </c>
    </row>
    <row r="824" customFormat="false" ht="17.15" hidden="false" customHeight="false" outlineLevel="0" collapsed="false">
      <c r="A824" s="0" t="s">
        <v>444</v>
      </c>
      <c r="B824" s="0" t="s">
        <v>445</v>
      </c>
      <c r="C824" s="15" t="n">
        <f aca="false">den_25</f>
        <v>24</v>
      </c>
      <c r="D824" s="15" t="n">
        <f aca="false">den_26</f>
        <v>24</v>
      </c>
      <c r="E824" s="15" t="n">
        <f aca="false">den_27</f>
        <v>26</v>
      </c>
      <c r="F824" s="15" t="n">
        <f aca="false">den_28</f>
        <v>28</v>
      </c>
      <c r="G824" s="15" t="n">
        <f aca="false">den_29</f>
        <v>30</v>
      </c>
      <c r="H824" s="15" t="n">
        <f aca="false">den_30</f>
        <v>32</v>
      </c>
    </row>
    <row r="825" customFormat="false" ht="17.15" hidden="false" customHeight="false" outlineLevel="0" collapsed="false">
      <c r="A825" s="4" t="s">
        <v>446</v>
      </c>
      <c r="B825" s="4" t="s">
        <v>411</v>
      </c>
      <c r="C825" s="11" t="n">
        <f aca="false">C823*8000/C824</f>
        <v>741.704901960783</v>
      </c>
      <c r="D825" s="11" t="n">
        <f aca="false">D823*8000/D824</f>
        <v>1260.89833333333</v>
      </c>
      <c r="E825" s="11" t="n">
        <f aca="false">E823*8000/E824</f>
        <v>1804.05453846154</v>
      </c>
      <c r="F825" s="11" t="n">
        <f aca="false">F823*8000/F824</f>
        <v>2429.030575</v>
      </c>
      <c r="G825" s="11" t="n">
        <f aca="false">G823*8000/G824</f>
        <v>3060.5785245</v>
      </c>
      <c r="H825" s="11" t="n">
        <f aca="false">H823*8000/H824</f>
        <v>3156.22160339063</v>
      </c>
      <c r="I825" s="8" t="s">
        <v>447</v>
      </c>
    </row>
    <row r="826" customFormat="false" ht="15" hidden="false" customHeight="false" outlineLevel="0" collapsed="false">
      <c r="A826" s="4" t="s">
        <v>448</v>
      </c>
      <c r="B826" s="4" t="s">
        <v>89</v>
      </c>
      <c r="C826" s="15" t="n">
        <f aca="false">stk_25</f>
        <v>10</v>
      </c>
      <c r="D826" s="15" t="n">
        <f aca="false">stk_26</f>
        <v>12</v>
      </c>
      <c r="E826" s="15" t="n">
        <f aca="false">stk_27</f>
        <v>12.5</v>
      </c>
      <c r="F826" s="15" t="n">
        <f aca="false">stk_28</f>
        <v>14</v>
      </c>
      <c r="G826" s="15" t="n">
        <f aca="false">stk_29</f>
        <v>15</v>
      </c>
      <c r="H826" s="15" t="n">
        <f aca="false">stk_30</f>
        <v>16</v>
      </c>
    </row>
    <row r="827" customFormat="false" ht="15" hidden="false" customHeight="false" outlineLevel="0" collapsed="false">
      <c r="A827" s="4" t="s">
        <v>449</v>
      </c>
      <c r="B827" s="0" t="s">
        <v>109</v>
      </c>
      <c r="C827" s="18" t="n">
        <f aca="false">1+beta*(C826-$C826)/4</f>
        <v>1</v>
      </c>
      <c r="D827" s="18" t="n">
        <f aca="false">1+beta*(D826-$C826)/4</f>
        <v>1.05</v>
      </c>
      <c r="E827" s="18" t="n">
        <f aca="false">1+beta*(E826-$C826)/4</f>
        <v>1.0625</v>
      </c>
      <c r="F827" s="18" t="n">
        <f aca="false">1+beta*(F826-$C826)/4</f>
        <v>1.1</v>
      </c>
      <c r="G827" s="18" t="n">
        <f aca="false">1+beta*(G826-$C826)/4</f>
        <v>1.125</v>
      </c>
      <c r="H827" s="18" t="n">
        <f aca="false">1+beta*(H826-$C826)/4</f>
        <v>1.15</v>
      </c>
    </row>
    <row r="828" customFormat="false" ht="17.15" hidden="false" customHeight="false" outlineLevel="0" collapsed="false">
      <c r="A828" s="4" t="s">
        <v>450</v>
      </c>
      <c r="B828" s="0" t="s">
        <v>62</v>
      </c>
      <c r="C828" s="14" t="n">
        <f aca="false">0</f>
        <v>0</v>
      </c>
      <c r="D828" s="14" t="n">
        <f aca="false">0</f>
        <v>0</v>
      </c>
      <c r="E828" s="14" t="n">
        <f aca="false">0</f>
        <v>0</v>
      </c>
      <c r="F828" s="14" t="n">
        <f aca="false">0</f>
        <v>0</v>
      </c>
      <c r="G828" s="14" t="n">
        <f aca="false">0</f>
        <v>0</v>
      </c>
      <c r="H828" s="14" t="n">
        <f aca="false">0</f>
        <v>0</v>
      </c>
      <c r="I828" s="4" t="s">
        <v>451</v>
      </c>
    </row>
    <row r="829" customFormat="false" ht="17.15" hidden="false" customHeight="false" outlineLevel="0" collapsed="false">
      <c r="A829" s="0" t="s">
        <v>452</v>
      </c>
      <c r="B829" s="4" t="s">
        <v>413</v>
      </c>
      <c r="C829" s="11" t="n">
        <f aca="false">C825*C827*(1-C828)</f>
        <v>741.704901960783</v>
      </c>
      <c r="D829" s="11" t="n">
        <f aca="false">D825*D827*(1-D828)</f>
        <v>1323.94325</v>
      </c>
      <c r="E829" s="11" t="n">
        <f aca="false">E825*E827*(1-E828)</f>
        <v>1916.80794711538</v>
      </c>
      <c r="F829" s="11" t="n">
        <f aca="false">F825*F827*(1-F828)</f>
        <v>2671.9336325</v>
      </c>
      <c r="G829" s="11" t="n">
        <f aca="false">G825*G827*(1-G828)</f>
        <v>3443.1508400625</v>
      </c>
      <c r="H829" s="11" t="n">
        <f aca="false">H825*H827*(1-H828)</f>
        <v>3629.65484389922</v>
      </c>
    </row>
    <row r="830" customFormat="false" ht="17.15" hidden="false" customHeight="false" outlineLevel="0" collapsed="false">
      <c r="A830" s="4" t="s">
        <v>453</v>
      </c>
      <c r="B830" s="4" t="s">
        <v>413</v>
      </c>
      <c r="C830" s="11" t="n">
        <f aca="false">MAX(0,D829-C829)+dlt*C829</f>
        <v>656.408838235295</v>
      </c>
      <c r="D830" s="11" t="n">
        <f aca="false">MAX(0,E829-D829)+dlt*D829</f>
        <v>725.259022115385</v>
      </c>
      <c r="E830" s="11" t="n">
        <f aca="false">MAX(0,F829-E829)+dlt*E829</f>
        <v>946.806480096154</v>
      </c>
      <c r="F830" s="11" t="n">
        <f aca="false">MAX(0,G829-F829)+dlt*F829</f>
        <v>1038.4105708125</v>
      </c>
      <c r="G830" s="11" t="n">
        <f aca="false">MAX(0,H829-G829)+dlt*G829</f>
        <v>530.819087842968</v>
      </c>
      <c r="I830" s="4" t="s">
        <v>454</v>
      </c>
    </row>
    <row r="831" customFormat="false" ht="17.15" hidden="false" customHeight="false" outlineLevel="0" collapsed="false">
      <c r="A831" s="0" t="s">
        <v>455</v>
      </c>
      <c r="B831" s="0" t="s">
        <v>62</v>
      </c>
      <c r="C831" s="14" t="n">
        <f aca="false">ms_sk_26/(ms_sk_26+ms_ss_26+ms_mu_26)</f>
        <v>0.52</v>
      </c>
      <c r="D831" s="14" t="n">
        <f aca="false">ms_sk_27/(ms_sk_27+ms_ss_27+ms_mu_27)</f>
        <v>0.42</v>
      </c>
      <c r="E831" s="14" t="n">
        <f aca="false">ms_sk_28/(ms_sk_28+ms_ss_28+ms_mu_28)</f>
        <v>0.4</v>
      </c>
      <c r="F831" s="14" t="n">
        <f aca="false">ms_sk_29/(ms_sk_29+ms_ss_29+ms_mu_29)</f>
        <v>0.4</v>
      </c>
      <c r="G831" s="14" t="n">
        <f aca="false">ms_sk_29/(ms_sk_29+ms_ss_29+ms_mu_29)</f>
        <v>0.4</v>
      </c>
    </row>
    <row r="832" customFormat="false" ht="17.15" hidden="false" customHeight="false" outlineLevel="0" collapsed="false">
      <c r="A832" s="4" t="s">
        <v>456</v>
      </c>
      <c r="B832" s="0" t="s">
        <v>62</v>
      </c>
      <c r="C832" s="14" t="n">
        <f aca="false">ms_ss_26/(ms_sk_26+ms_ss_26+ms_mu_26)</f>
        <v>0.29</v>
      </c>
      <c r="D832" s="14" t="n">
        <f aca="false">ms_ss_27/(ms_sk_27+ms_ss_27+ms_mu_27)</f>
        <v>0.38</v>
      </c>
      <c r="E832" s="14" t="n">
        <f aca="false">ms_ss_28/(ms_sk_28+ms_ss_28+ms_mu_28)</f>
        <v>0.4</v>
      </c>
      <c r="F832" s="14" t="n">
        <f aca="false">ms_ss_29/(ms_sk_29+ms_ss_29+ms_mu_29)</f>
        <v>0.4</v>
      </c>
      <c r="G832" s="14" t="n">
        <f aca="false">ms_ss_29/(ms_sk_29+ms_ss_29+ms_mu_29)</f>
        <v>0.4</v>
      </c>
    </row>
    <row r="833" customFormat="false" ht="17.15" hidden="false" customHeight="false" outlineLevel="0" collapsed="false">
      <c r="A833" s="4" t="s">
        <v>457</v>
      </c>
      <c r="B833" s="0" t="s">
        <v>62</v>
      </c>
      <c r="C833" s="14" t="n">
        <f aca="false">ms_mu_26/(ms_sk_26+ms_ss_26+ms_mu_26)</f>
        <v>0.19</v>
      </c>
      <c r="D833" s="14" t="n">
        <f aca="false">ms_mu_27/(ms_sk_27+ms_ss_27+ms_mu_27)</f>
        <v>0.2</v>
      </c>
      <c r="E833" s="14" t="n">
        <f aca="false">ms_mu_28/(ms_sk_28+ms_ss_28+ms_mu_28)</f>
        <v>0.2</v>
      </c>
      <c r="F833" s="14" t="n">
        <f aca="false">ms_mu_29/(ms_sk_29+ms_ss_29+ms_mu_29)</f>
        <v>0.2</v>
      </c>
      <c r="G833" s="14" t="n">
        <f aca="false">ms_mu_29/(ms_sk_29+ms_ss_29+ms_mu_29)</f>
        <v>0.2</v>
      </c>
    </row>
    <row r="834" customFormat="false" ht="17.15" hidden="false" customHeight="false" outlineLevel="0" collapsed="false">
      <c r="A834" s="4" t="s">
        <v>458</v>
      </c>
      <c r="B834" s="0" t="s">
        <v>62</v>
      </c>
      <c r="C834" s="14" t="n">
        <f aca="false">C831*hsk_25+C832*hss+C833*hmu_25</f>
        <v>0.412</v>
      </c>
      <c r="D834" s="14" t="n">
        <f aca="false">D831*hsk_A+D832*hss+D833*hmu_A</f>
        <v>0.339</v>
      </c>
      <c r="E834" s="14" t="n">
        <f aca="false">E831*hsk_A+E832*hss+E833*hmu_A</f>
        <v>0.33</v>
      </c>
      <c r="F834" s="14" t="n">
        <f aca="false">F831*hsk_A+F832*hss+F833*hmu_A</f>
        <v>0.33</v>
      </c>
      <c r="G834" s="14" t="n">
        <f aca="false">G831*hsk_A+G832*hss+G833*hmu_A</f>
        <v>0.33</v>
      </c>
    </row>
    <row r="835" customFormat="false" ht="17.15" hidden="false" customHeight="false" outlineLevel="0" collapsed="false">
      <c r="A835" s="4" t="s">
        <v>459</v>
      </c>
      <c r="B835" s="4" t="s">
        <v>413</v>
      </c>
      <c r="C835" s="11" t="n">
        <f aca="false">C830*C834</f>
        <v>270.440441352942</v>
      </c>
      <c r="D835" s="11" t="n">
        <f aca="false">D830*D834</f>
        <v>245.862808497115</v>
      </c>
      <c r="E835" s="11" t="n">
        <f aca="false">E830*E834</f>
        <v>312.446138431731</v>
      </c>
      <c r="F835" s="11" t="n">
        <f aca="false">F830*F834</f>
        <v>342.675488368125</v>
      </c>
      <c r="G835" s="11" t="n">
        <f aca="false">G830*G834</f>
        <v>175.17029898818</v>
      </c>
    </row>
    <row r="836" customFormat="false" ht="17.15" hidden="false" customHeight="false" outlineLevel="0" collapsed="false">
      <c r="A836" s="6" t="s">
        <v>460</v>
      </c>
    </row>
    <row r="837" customFormat="false" ht="17.15" hidden="false" customHeight="false" outlineLevel="0" collapsed="false">
      <c r="A837" s="4" t="s">
        <v>461</v>
      </c>
      <c r="B837" s="4" t="s">
        <v>226</v>
      </c>
      <c r="C837" s="11" t="n">
        <f aca="false">a25_rev-(a25_rev*tcb_sh25_lo*(1-cn_sh25))</f>
        <v>3373.695</v>
      </c>
      <c r="D837" s="11" t="n">
        <f aca="false">C837*(1+g_o26)</f>
        <v>3879.74925</v>
      </c>
      <c r="E837" s="11" t="n">
        <f aca="false">D837*(1+g_o_A)</f>
        <v>4345.31916</v>
      </c>
      <c r="F837" s="11" t="n">
        <f aca="false">E837*(1+g_o_A)</f>
        <v>4866.7574592</v>
      </c>
      <c r="G837" s="11" t="n">
        <f aca="false">F837*(1+g_o_A)</f>
        <v>5450.768354304</v>
      </c>
    </row>
    <row r="838" customFormat="false" ht="17.15" hidden="false" customHeight="false" outlineLevel="0" collapsed="false">
      <c r="A838" s="0" t="s">
        <v>462</v>
      </c>
      <c r="B838" s="4" t="s">
        <v>226</v>
      </c>
      <c r="C838" s="11" t="n">
        <f aca="false">(a25_rev*tcb_sh25_lo*(1-cn_sh25))</f>
        <v>2393.305</v>
      </c>
      <c r="D838" s="11" t="n">
        <f aca="false">rev26-D837</f>
        <v>3660.05075</v>
      </c>
      <c r="E838" s="11" t="n">
        <f aca="false">$C839*E835</f>
        <v>3663.24951313069</v>
      </c>
      <c r="F838" s="11" t="n">
        <f aca="false">$C839*F835</f>
        <v>4017.67108477367</v>
      </c>
      <c r="G838" s="11" t="n">
        <f aca="false">$C839*G835</f>
        <v>2053.77002162443</v>
      </c>
      <c r="I838" s="8" t="s">
        <v>463</v>
      </c>
    </row>
    <row r="839" customFormat="false" ht="17.15" hidden="false" customHeight="false" outlineLevel="0" collapsed="false">
      <c r="A839" s="4" t="s">
        <v>464</v>
      </c>
      <c r="B839" s="4" t="s">
        <v>465</v>
      </c>
      <c r="C839" s="18" t="n">
        <f aca="false">(C838+D838)/(C835+D835)</f>
        <v>11.7244192279595</v>
      </c>
      <c r="I839" s="4" t="s">
        <v>466</v>
      </c>
    </row>
    <row r="840" customFormat="false" ht="15" hidden="false" customHeight="false" outlineLevel="0" collapsed="false">
      <c r="A840" s="4" t="s">
        <v>366</v>
      </c>
      <c r="B840" s="4" t="s">
        <v>226</v>
      </c>
      <c r="C840" s="11" t="n">
        <f aca="false">a25_rev</f>
        <v>5767</v>
      </c>
      <c r="D840" s="11" t="n">
        <f aca="false">D837+D838</f>
        <v>7539.8</v>
      </c>
      <c r="E840" s="11" t="n">
        <f aca="false">E837+E838</f>
        <v>8008.56867313069</v>
      </c>
      <c r="F840" s="11" t="n">
        <f aca="false">F837+F838</f>
        <v>8884.42854397367</v>
      </c>
      <c r="G840" s="11" t="n">
        <f aca="false">G837+G838</f>
        <v>7504.53837592843</v>
      </c>
    </row>
    <row r="841" customFormat="false" ht="17.15" hidden="false" customHeight="false" outlineLevel="0" collapsed="false">
      <c r="A841" s="0" t="s">
        <v>467</v>
      </c>
      <c r="B841" s="0" t="s">
        <v>62</v>
      </c>
      <c r="C841" s="14" t="n">
        <f aca="false">C838/C840</f>
        <v>0.415</v>
      </c>
      <c r="D841" s="14" t="n">
        <f aca="false">D838/D840</f>
        <v>0.485430747499934</v>
      </c>
      <c r="E841" s="14" t="n">
        <f aca="false">E838/E840</f>
        <v>0.457416257841573</v>
      </c>
      <c r="F841" s="14" t="n">
        <f aca="false">F838/F840</f>
        <v>0.452214913417123</v>
      </c>
      <c r="G841" s="14" t="n">
        <f aca="false">G838/G840</f>
        <v>0.273670400328967</v>
      </c>
    </row>
    <row r="842" customFormat="false" ht="17.15" hidden="false" customHeight="false" outlineLevel="0" collapsed="false">
      <c r="A842" s="4" t="s">
        <v>468</v>
      </c>
      <c r="B842" s="4" t="s">
        <v>226</v>
      </c>
      <c r="C842" s="11" t="n">
        <f aca="false">opex25</f>
        <v>806.7</v>
      </c>
      <c r="D842" s="11" t="n">
        <f aca="false">opex_fix+opex_var*D840</f>
        <v>930.691482573261</v>
      </c>
      <c r="E842" s="11" t="n">
        <f aca="false">opex_fix+opex_var*E840</f>
        <v>963.477652905716</v>
      </c>
      <c r="F842" s="11" t="n">
        <f aca="false">opex_fix+opex_var*F840</f>
        <v>1024.73620655658</v>
      </c>
      <c r="G842" s="11" t="n">
        <f aca="false">opex_fix+opex_var*G840</f>
        <v>928.225247777134</v>
      </c>
      <c r="I842" s="4" t="s">
        <v>469</v>
      </c>
    </row>
    <row r="843" customFormat="false" ht="17.15" hidden="false" customHeight="false" outlineLevel="0" collapsed="false">
      <c r="A843" s="4" t="s">
        <v>436</v>
      </c>
      <c r="B843" s="0" t="s">
        <v>62</v>
      </c>
      <c r="C843" s="14" t="n">
        <f aca="false">a25_gp/a25_rev</f>
        <v>0.575793306745275</v>
      </c>
      <c r="D843" s="14" t="n">
        <f aca="false">(oi26+D842)/D840</f>
        <v>0.595267179842073</v>
      </c>
      <c r="E843" s="14" t="n">
        <f aca="false">$D843+0</f>
        <v>0.595267179842073</v>
      </c>
      <c r="F843" s="14" t="n">
        <f aca="false">$D843+0</f>
        <v>0.595267179842073</v>
      </c>
      <c r="G843" s="14" t="n">
        <f aca="false">$D843+0</f>
        <v>0.595267179842073</v>
      </c>
      <c r="I843" s="8" t="s">
        <v>470</v>
      </c>
    </row>
    <row r="844" customFormat="false" ht="15" hidden="false" customHeight="false" outlineLevel="0" collapsed="false">
      <c r="A844" s="4" t="s">
        <v>371</v>
      </c>
      <c r="B844" s="4" t="s">
        <v>226</v>
      </c>
      <c r="C844" s="11" t="n">
        <f aca="false">C840*C843</f>
        <v>3320.6</v>
      </c>
      <c r="D844" s="11" t="n">
        <f aca="false">D840*D843</f>
        <v>4488.19548257326</v>
      </c>
      <c r="E844" s="11" t="n">
        <f aca="false">E840*E843</f>
        <v>4767.23808862608</v>
      </c>
      <c r="F844" s="11" t="n">
        <f aca="false">F840*F843</f>
        <v>5288.60872387962</v>
      </c>
      <c r="G844" s="11" t="n">
        <f aca="false">G840*G843</f>
        <v>4467.20539505553</v>
      </c>
    </row>
    <row r="845" customFormat="false" ht="15" hidden="false" customHeight="false" outlineLevel="0" collapsed="false">
      <c r="A845" s="4" t="s">
        <v>374</v>
      </c>
      <c r="B845" s="4" t="s">
        <v>226</v>
      </c>
      <c r="C845" s="11" t="n">
        <f aca="false">a25_oi</f>
        <v>2513.9</v>
      </c>
      <c r="D845" s="11" t="n">
        <f aca="false">oi26</f>
        <v>3557.504</v>
      </c>
      <c r="E845" s="11" t="n">
        <f aca="false">E844-E842</f>
        <v>3803.76043572036</v>
      </c>
      <c r="F845" s="11" t="n">
        <f aca="false">F844-F842</f>
        <v>4263.87251732304</v>
      </c>
      <c r="G845" s="11" t="n">
        <f aca="false">G844-G842</f>
        <v>3538.98014727839</v>
      </c>
    </row>
    <row r="846" customFormat="false" ht="15" hidden="false" customHeight="false" outlineLevel="0" collapsed="false">
      <c r="A846" s="4" t="s">
        <v>377</v>
      </c>
      <c r="B846" s="0" t="s">
        <v>62</v>
      </c>
      <c r="C846" s="14" t="n">
        <f aca="false">C845/C840</f>
        <v>0.435911219004682</v>
      </c>
      <c r="D846" s="14" t="n">
        <f aca="false">D845/D840</f>
        <v>0.471830022016499</v>
      </c>
      <c r="E846" s="14" t="n">
        <f aca="false">E845/E840</f>
        <v>0.474961330915753</v>
      </c>
      <c r="F846" s="14" t="n">
        <f aca="false">F845/F840</f>
        <v>0.479926479932718</v>
      </c>
      <c r="G846" s="14" t="n">
        <f aca="false">G845/G840</f>
        <v>0.471578659472251</v>
      </c>
    </row>
    <row r="847" customFormat="false" ht="15" hidden="false" customHeight="false" outlineLevel="0" collapsed="false">
      <c r="A847" s="4" t="s">
        <v>437</v>
      </c>
      <c r="B847" s="4" t="s">
        <v>226</v>
      </c>
      <c r="C847" s="11" t="n">
        <f aca="false">a25_ni</f>
        <v>2140</v>
      </c>
      <c r="D847" s="11" t="n">
        <f aca="false">D845*nioi</f>
        <v>3028.38560006365</v>
      </c>
      <c r="E847" s="11" t="n">
        <f aca="false">E845*nioi</f>
        <v>3238.01556642729</v>
      </c>
      <c r="F847" s="11" t="n">
        <f aca="false">F845*nioi</f>
        <v>3629.69377742604</v>
      </c>
      <c r="G847" s="11" t="n">
        <f aca="false">G845*nioi</f>
        <v>3012.616856349</v>
      </c>
    </row>
    <row r="848" customFormat="false" ht="15" hidden="false" customHeight="false" outlineLevel="0" collapsed="false">
      <c r="A848" s="0" t="s">
        <v>438</v>
      </c>
      <c r="B848" s="0" t="s">
        <v>302</v>
      </c>
      <c r="C848" s="11" t="n">
        <f aca="false">a25_eps</f>
        <v>2231.7</v>
      </c>
      <c r="D848" s="11" t="n">
        <f aca="false">D847*100/shares</f>
        <v>3158.15333815983</v>
      </c>
      <c r="E848" s="11" t="n">
        <f aca="false">E847*100/shares</f>
        <v>3376.76604654009</v>
      </c>
      <c r="F848" s="11" t="n">
        <f aca="false">F847*100/shares</f>
        <v>3785.22785190733</v>
      </c>
      <c r="G848" s="11" t="n">
        <f aca="false">G847*100/shares</f>
        <v>3141.70889640844</v>
      </c>
    </row>
    <row r="849" customFormat="false" ht="17.15" hidden="false" customHeight="false" outlineLevel="0" collapsed="false">
      <c r="A849" s="4" t="s">
        <v>471</v>
      </c>
      <c r="B849" s="4" t="s">
        <v>226</v>
      </c>
      <c r="C849" s="11" t="n">
        <f aca="false">$C839*C830</f>
        <v>7696.01240440847</v>
      </c>
      <c r="D849" s="11" t="n">
        <f aca="false">$C839*D830</f>
        <v>8503.24082414074</v>
      </c>
      <c r="E849" s="11" t="n">
        <f aca="false">$C839*E830</f>
        <v>11100.756100396</v>
      </c>
      <c r="F849" s="11" t="n">
        <f aca="false">$C839*F830</f>
        <v>12174.7608629505</v>
      </c>
      <c r="G849" s="11" t="n">
        <f aca="false">$C839*G830</f>
        <v>6223.54552007404</v>
      </c>
      <c r="I849" s="4" t="s">
        <v>472</v>
      </c>
    </row>
    <row r="850" customFormat="false" ht="15" hidden="false" customHeight="false" outlineLevel="0" collapsed="false">
      <c r="A850" s="4" t="s">
        <v>473</v>
      </c>
      <c r="B850" s="0" t="s">
        <v>333</v>
      </c>
      <c r="C850" s="11" t="n">
        <f aca="false">C849/fx*100</f>
        <v>541.972704535808</v>
      </c>
      <c r="D850" s="11" t="n">
        <f aca="false">D849/fx*100</f>
        <v>598.819776347939</v>
      </c>
      <c r="E850" s="11" t="n">
        <f aca="false">E849/fx*100</f>
        <v>781.743387351833</v>
      </c>
      <c r="F850" s="11" t="n">
        <f aca="false">F849/fx*100</f>
        <v>857.377525559895</v>
      </c>
      <c r="G850" s="11" t="n">
        <f aca="false">G849/fx*100</f>
        <v>438.277853526341</v>
      </c>
    </row>
    <row r="860" customFormat="false" ht="17.15" hidden="false" customHeight="false" outlineLevel="0" collapsed="false">
      <c r="A860" s="1" t="s">
        <v>680</v>
      </c>
    </row>
    <row r="861" customFormat="false" ht="15" hidden="false" customHeight="false" outlineLevel="0" collapsed="false">
      <c r="A861" s="5" t="s">
        <v>14</v>
      </c>
      <c r="B861" s="5" t="s">
        <v>15</v>
      </c>
      <c r="C861" s="9" t="s">
        <v>401</v>
      </c>
      <c r="D861" s="9" t="s">
        <v>402</v>
      </c>
      <c r="E861" s="9" t="s">
        <v>403</v>
      </c>
      <c r="F861" s="9" t="s">
        <v>404</v>
      </c>
      <c r="G861" s="9" t="s">
        <v>405</v>
      </c>
      <c r="H861" s="9" t="s">
        <v>406</v>
      </c>
      <c r="I861" s="5" t="s">
        <v>407</v>
      </c>
    </row>
    <row r="862" customFormat="false" ht="17.15" hidden="false" customHeight="false" outlineLevel="0" collapsed="false">
      <c r="A862" s="6" t="s">
        <v>441</v>
      </c>
    </row>
    <row r="863" customFormat="false" ht="17.15" hidden="false" customHeight="false" outlineLevel="0" collapsed="false">
      <c r="A863" s="0" t="s">
        <v>442</v>
      </c>
      <c r="B863" s="0" t="s">
        <v>25</v>
      </c>
      <c r="C863" s="17" t="n">
        <f aca="false">hsA_25</f>
        <v>2.22511470588235</v>
      </c>
      <c r="D863" s="17" t="n">
        <f aca="false">hsA_26</f>
        <v>3.782695</v>
      </c>
      <c r="E863" s="17" t="n">
        <f aca="false">hsA_27</f>
        <v>5.86317725</v>
      </c>
      <c r="F863" s="17" t="n">
        <f aca="false">hsA_28</f>
        <v>8.5016070125</v>
      </c>
      <c r="G863" s="17" t="n">
        <f aca="false">hsA_29</f>
        <v>11.477169466875</v>
      </c>
      <c r="H863" s="17" t="n">
        <f aca="false">G863*(1+g_tail)</f>
        <v>12.6248864135625</v>
      </c>
      <c r="I863" s="8" t="s">
        <v>443</v>
      </c>
    </row>
    <row r="864" customFormat="false" ht="17.15" hidden="false" customHeight="false" outlineLevel="0" collapsed="false">
      <c r="A864" s="0" t="s">
        <v>444</v>
      </c>
      <c r="B864" s="0" t="s">
        <v>445</v>
      </c>
      <c r="C864" s="15" t="n">
        <f aca="false">den_25</f>
        <v>24</v>
      </c>
      <c r="D864" s="15" t="n">
        <f aca="false">den_26</f>
        <v>24</v>
      </c>
      <c r="E864" s="15" t="n">
        <f aca="false">den_27</f>
        <v>26</v>
      </c>
      <c r="F864" s="15" t="n">
        <f aca="false">den_28</f>
        <v>28</v>
      </c>
      <c r="G864" s="15" t="n">
        <f aca="false">den_29</f>
        <v>30</v>
      </c>
      <c r="H864" s="15" t="n">
        <f aca="false">den_30</f>
        <v>32</v>
      </c>
    </row>
    <row r="865" customFormat="false" ht="17.15" hidden="false" customHeight="false" outlineLevel="0" collapsed="false">
      <c r="A865" s="4" t="s">
        <v>446</v>
      </c>
      <c r="B865" s="4" t="s">
        <v>411</v>
      </c>
      <c r="C865" s="11" t="n">
        <f aca="false">C863*8000/C864</f>
        <v>741.704901960783</v>
      </c>
      <c r="D865" s="11" t="n">
        <f aca="false">D863*8000/D864</f>
        <v>1260.89833333333</v>
      </c>
      <c r="E865" s="11" t="n">
        <f aca="false">E863*8000/E864</f>
        <v>1804.05453846154</v>
      </c>
      <c r="F865" s="11" t="n">
        <f aca="false">F863*8000/F864</f>
        <v>2429.030575</v>
      </c>
      <c r="G865" s="11" t="n">
        <f aca="false">G863*8000/G864</f>
        <v>3060.5785245</v>
      </c>
      <c r="H865" s="11" t="n">
        <f aca="false">H863*8000/H864</f>
        <v>3156.22160339063</v>
      </c>
      <c r="I865" s="8" t="s">
        <v>447</v>
      </c>
    </row>
    <row r="866" customFormat="false" ht="15" hidden="false" customHeight="false" outlineLevel="0" collapsed="false">
      <c r="A866" s="4" t="s">
        <v>448</v>
      </c>
      <c r="B866" s="4" t="s">
        <v>89</v>
      </c>
      <c r="C866" s="15" t="n">
        <f aca="false">stk_25</f>
        <v>10</v>
      </c>
      <c r="D866" s="15" t="n">
        <f aca="false">stk_26</f>
        <v>12</v>
      </c>
      <c r="E866" s="15" t="n">
        <f aca="false">stk_27</f>
        <v>12.5</v>
      </c>
      <c r="F866" s="15" t="n">
        <f aca="false">stk_28</f>
        <v>14</v>
      </c>
      <c r="G866" s="15" t="n">
        <f aca="false">stk_29</f>
        <v>15</v>
      </c>
      <c r="H866" s="15" t="n">
        <f aca="false">stk_30</f>
        <v>16</v>
      </c>
    </row>
    <row r="867" customFormat="false" ht="15" hidden="false" customHeight="false" outlineLevel="0" collapsed="false">
      <c r="A867" s="4" t="s">
        <v>449</v>
      </c>
      <c r="B867" s="0" t="s">
        <v>109</v>
      </c>
      <c r="C867" s="18" t="n">
        <f aca="false">1+beta*(C866-$C866)/4</f>
        <v>1</v>
      </c>
      <c r="D867" s="18" t="n">
        <f aca="false">1+beta*(D866-$C866)/4</f>
        <v>1.05</v>
      </c>
      <c r="E867" s="18" t="n">
        <f aca="false">1+beta*(E866-$C866)/4</f>
        <v>1.0625</v>
      </c>
      <c r="F867" s="18" t="n">
        <f aca="false">1+beta*(F866-$C866)/4</f>
        <v>1.1</v>
      </c>
      <c r="G867" s="18" t="n">
        <f aca="false">1+beta*(G866-$C866)/4</f>
        <v>1.125</v>
      </c>
      <c r="H867" s="18" t="n">
        <f aca="false">1+beta*(H866-$C866)/4</f>
        <v>1.15</v>
      </c>
    </row>
    <row r="868" customFormat="false" ht="17.15" hidden="false" customHeight="false" outlineLevel="0" collapsed="false">
      <c r="A868" s="4" t="s">
        <v>450</v>
      </c>
      <c r="B868" s="0" t="s">
        <v>62</v>
      </c>
      <c r="C868" s="14" t="n">
        <f aca="false">0</f>
        <v>0</v>
      </c>
      <c r="D868" s="14" t="n">
        <f aca="false">0</f>
        <v>0</v>
      </c>
      <c r="E868" s="14" t="n">
        <f aca="false">0</f>
        <v>0</v>
      </c>
      <c r="F868" s="14" t="n">
        <f aca="false">0</f>
        <v>0</v>
      </c>
      <c r="G868" s="14" t="n">
        <f aca="false">0</f>
        <v>0</v>
      </c>
      <c r="H868" s="14" t="n">
        <f aca="false">0</f>
        <v>0</v>
      </c>
      <c r="I868" s="4" t="s">
        <v>451</v>
      </c>
    </row>
    <row r="869" customFormat="false" ht="17.15" hidden="false" customHeight="false" outlineLevel="0" collapsed="false">
      <c r="A869" s="0" t="s">
        <v>452</v>
      </c>
      <c r="B869" s="4" t="s">
        <v>413</v>
      </c>
      <c r="C869" s="11" t="n">
        <f aca="false">C865*C867*(1-C868)</f>
        <v>741.704901960783</v>
      </c>
      <c r="D869" s="11" t="n">
        <f aca="false">D865*D867*(1-D868)</f>
        <v>1323.94325</v>
      </c>
      <c r="E869" s="11" t="n">
        <f aca="false">E865*E867*(1-E868)</f>
        <v>1916.80794711538</v>
      </c>
      <c r="F869" s="11" t="n">
        <f aca="false">F865*F867*(1-F868)</f>
        <v>2671.9336325</v>
      </c>
      <c r="G869" s="11" t="n">
        <f aca="false">G865*G867*(1-G868)</f>
        <v>3443.1508400625</v>
      </c>
      <c r="H869" s="11" t="n">
        <f aca="false">H865*H867*(1-H868)</f>
        <v>3629.65484389922</v>
      </c>
    </row>
    <row r="870" customFormat="false" ht="17.15" hidden="false" customHeight="false" outlineLevel="0" collapsed="false">
      <c r="A870" s="4" t="s">
        <v>453</v>
      </c>
      <c r="B870" s="4" t="s">
        <v>413</v>
      </c>
      <c r="C870" s="11" t="n">
        <f aca="false">MAX(0,D869-C869)+dlt*C869</f>
        <v>656.408838235295</v>
      </c>
      <c r="D870" s="11" t="n">
        <f aca="false">MAX(0,E869-D869)+dlt*D869</f>
        <v>725.259022115385</v>
      </c>
      <c r="E870" s="11" t="n">
        <f aca="false">MAX(0,F869-E869)+dlt*E869</f>
        <v>946.806480096154</v>
      </c>
      <c r="F870" s="11" t="n">
        <f aca="false">MAX(0,G869-F869)+dlt*F869</f>
        <v>1038.4105708125</v>
      </c>
      <c r="G870" s="11" t="n">
        <f aca="false">MAX(0,H869-G869)+dlt*G869</f>
        <v>530.819087842968</v>
      </c>
      <c r="I870" s="4" t="s">
        <v>454</v>
      </c>
    </row>
    <row r="871" customFormat="false" ht="17.15" hidden="false" customHeight="false" outlineLevel="0" collapsed="false">
      <c r="A871" s="0" t="s">
        <v>455</v>
      </c>
      <c r="B871" s="0" t="s">
        <v>62</v>
      </c>
      <c r="C871" s="14" t="n">
        <f aca="false">ms_sk_26/(ms_sk_26+ms_ss_26+ms_mu_26)</f>
        <v>0.52</v>
      </c>
      <c r="D871" s="14" t="n">
        <f aca="false">ms_sk_27/(ms_sk_27+ms_ss_27+ms_mu_27)</f>
        <v>0.42</v>
      </c>
      <c r="E871" s="14" t="n">
        <f aca="false">ms_sk_28/(ms_sk_28+ms_ss_28+ms_mu_28)</f>
        <v>0.4</v>
      </c>
      <c r="F871" s="14" t="n">
        <f aca="false">ms_sk_29/(ms_sk_29+ms_ss_29+ms_mu_29)</f>
        <v>0.4</v>
      </c>
      <c r="G871" s="14" t="n">
        <f aca="false">ms_sk_29/(ms_sk_29+ms_ss_29+ms_mu_29)</f>
        <v>0.4</v>
      </c>
    </row>
    <row r="872" customFormat="false" ht="17.15" hidden="false" customHeight="false" outlineLevel="0" collapsed="false">
      <c r="A872" s="4" t="s">
        <v>456</v>
      </c>
      <c r="B872" s="0" t="s">
        <v>62</v>
      </c>
      <c r="C872" s="14" t="n">
        <f aca="false">ms_ss_26/(ms_sk_26+ms_ss_26+ms_mu_26)</f>
        <v>0.29</v>
      </c>
      <c r="D872" s="14" t="n">
        <f aca="false">ms_ss_27/(ms_sk_27+ms_ss_27+ms_mu_27)</f>
        <v>0.38</v>
      </c>
      <c r="E872" s="14" t="n">
        <f aca="false">ms_ss_28/(ms_sk_28+ms_ss_28+ms_mu_28)</f>
        <v>0.4</v>
      </c>
      <c r="F872" s="14" t="n">
        <f aca="false">ms_ss_29/(ms_sk_29+ms_ss_29+ms_mu_29)</f>
        <v>0.4</v>
      </c>
      <c r="G872" s="14" t="n">
        <f aca="false">ms_ss_29/(ms_sk_29+ms_ss_29+ms_mu_29)</f>
        <v>0.4</v>
      </c>
    </row>
    <row r="873" customFormat="false" ht="17.15" hidden="false" customHeight="false" outlineLevel="0" collapsed="false">
      <c r="A873" s="4" t="s">
        <v>457</v>
      </c>
      <c r="B873" s="0" t="s">
        <v>62</v>
      </c>
      <c r="C873" s="14" t="n">
        <f aca="false">ms_mu_26/(ms_sk_26+ms_ss_26+ms_mu_26)</f>
        <v>0.19</v>
      </c>
      <c r="D873" s="14" t="n">
        <f aca="false">ms_mu_27/(ms_sk_27+ms_ss_27+ms_mu_27)</f>
        <v>0.2</v>
      </c>
      <c r="E873" s="14" t="n">
        <f aca="false">ms_mu_28/(ms_sk_28+ms_ss_28+ms_mu_28)</f>
        <v>0.2</v>
      </c>
      <c r="F873" s="14" t="n">
        <f aca="false">ms_mu_29/(ms_sk_29+ms_ss_29+ms_mu_29)</f>
        <v>0.2</v>
      </c>
      <c r="G873" s="14" t="n">
        <f aca="false">ms_mu_29/(ms_sk_29+ms_ss_29+ms_mu_29)</f>
        <v>0.2</v>
      </c>
    </row>
    <row r="874" customFormat="false" ht="17.15" hidden="false" customHeight="false" outlineLevel="0" collapsed="false">
      <c r="A874" s="4" t="s">
        <v>458</v>
      </c>
      <c r="B874" s="0" t="s">
        <v>62</v>
      </c>
      <c r="C874" s="14" t="n">
        <f aca="false">C871*hsk_25+C872*hss+C873*hmu_25</f>
        <v>0.412</v>
      </c>
      <c r="D874" s="14" t="n">
        <f aca="false">D871*hsk_A+D872*hss+D873*hmu_A</f>
        <v>0.339</v>
      </c>
      <c r="E874" s="14" t="n">
        <f aca="false">E871*hsk_A+E872*hss+E873*hmu_A</f>
        <v>0.33</v>
      </c>
      <c r="F874" s="14" t="n">
        <f aca="false">F871*hsk_A+F872*hss+F873*hmu_A</f>
        <v>0.33</v>
      </c>
      <c r="G874" s="14" t="n">
        <f aca="false">G871*hsk_A+G872*hss+G873*hmu_A</f>
        <v>0.33</v>
      </c>
    </row>
    <row r="875" customFormat="false" ht="17.15" hidden="false" customHeight="false" outlineLevel="0" collapsed="false">
      <c r="A875" s="4" t="s">
        <v>459</v>
      </c>
      <c r="B875" s="4" t="s">
        <v>413</v>
      </c>
      <c r="C875" s="11" t="n">
        <f aca="false">C870*C874</f>
        <v>270.440441352942</v>
      </c>
      <c r="D875" s="11" t="n">
        <f aca="false">D870*D874</f>
        <v>245.862808497115</v>
      </c>
      <c r="E875" s="11" t="n">
        <f aca="false">E870*E874</f>
        <v>312.446138431731</v>
      </c>
      <c r="F875" s="11" t="n">
        <f aca="false">F870*F874</f>
        <v>342.675488368125</v>
      </c>
      <c r="G875" s="11" t="n">
        <f aca="false">G870*G874</f>
        <v>175.17029898818</v>
      </c>
    </row>
    <row r="876" customFormat="false" ht="17.15" hidden="false" customHeight="false" outlineLevel="0" collapsed="false">
      <c r="A876" s="6" t="s">
        <v>460</v>
      </c>
    </row>
    <row r="877" customFormat="false" ht="17.15" hidden="false" customHeight="false" outlineLevel="0" collapsed="false">
      <c r="A877" s="4" t="s">
        <v>461</v>
      </c>
      <c r="B877" s="4" t="s">
        <v>226</v>
      </c>
      <c r="C877" s="11" t="n">
        <f aca="false">a25_rev-(a25_rev*tcb_sh25_hi*(1-cn_sh25))</f>
        <v>2416.373</v>
      </c>
      <c r="D877" s="11" t="n">
        <f aca="false">C877*(1+g_o26)</f>
        <v>2778.82895</v>
      </c>
      <c r="E877" s="11" t="n">
        <f aca="false">D877*(1+g_o_A)</f>
        <v>3112.288424</v>
      </c>
      <c r="F877" s="11" t="n">
        <f aca="false">E877*(1+g_o_A)</f>
        <v>3485.76303488</v>
      </c>
      <c r="G877" s="11" t="n">
        <f aca="false">F877*(1+g_o_A)</f>
        <v>3904.0545990656</v>
      </c>
    </row>
    <row r="878" customFormat="false" ht="17.15" hidden="false" customHeight="false" outlineLevel="0" collapsed="false">
      <c r="A878" s="0" t="s">
        <v>462</v>
      </c>
      <c r="B878" s="4" t="s">
        <v>226</v>
      </c>
      <c r="C878" s="11" t="n">
        <f aca="false">(a25_rev*tcb_sh25_hi*(1-cn_sh25))</f>
        <v>3350.627</v>
      </c>
      <c r="D878" s="11" t="n">
        <f aca="false">rev26-D877</f>
        <v>4760.97105</v>
      </c>
      <c r="E878" s="11" t="n">
        <f aca="false">$C879*E875</f>
        <v>4908.81567754784</v>
      </c>
      <c r="F878" s="11" t="n">
        <f aca="false">$C879*F875</f>
        <v>5383.74651725887</v>
      </c>
      <c r="G878" s="11" t="n">
        <f aca="false">$C879*G875</f>
        <v>2752.08621309878</v>
      </c>
      <c r="I878" s="8" t="s">
        <v>463</v>
      </c>
    </row>
    <row r="879" customFormat="false" ht="17.15" hidden="false" customHeight="false" outlineLevel="0" collapsed="false">
      <c r="A879" s="4" t="s">
        <v>464</v>
      </c>
      <c r="B879" s="4" t="s">
        <v>465</v>
      </c>
      <c r="C879" s="18" t="n">
        <f aca="false">(C878+D878)/(C875+D875)</f>
        <v>15.7109180551464</v>
      </c>
      <c r="I879" s="4" t="s">
        <v>466</v>
      </c>
    </row>
    <row r="880" customFormat="false" ht="15" hidden="false" customHeight="false" outlineLevel="0" collapsed="false">
      <c r="A880" s="4" t="s">
        <v>366</v>
      </c>
      <c r="B880" s="4" t="s">
        <v>226</v>
      </c>
      <c r="C880" s="11" t="n">
        <f aca="false">a25_rev</f>
        <v>5767</v>
      </c>
      <c r="D880" s="11" t="n">
        <f aca="false">D877+D878</f>
        <v>7539.8</v>
      </c>
      <c r="E880" s="11" t="n">
        <f aca="false">E877+E878</f>
        <v>8021.10410154784</v>
      </c>
      <c r="F880" s="11" t="n">
        <f aca="false">F877+F878</f>
        <v>8869.50955213887</v>
      </c>
      <c r="G880" s="11" t="n">
        <f aca="false">G877+G878</f>
        <v>6656.14081216438</v>
      </c>
    </row>
    <row r="881" customFormat="false" ht="17.15" hidden="false" customHeight="false" outlineLevel="0" collapsed="false">
      <c r="A881" s="0" t="s">
        <v>467</v>
      </c>
      <c r="B881" s="0" t="s">
        <v>62</v>
      </c>
      <c r="C881" s="14" t="n">
        <f aca="false">C878/C880</f>
        <v>0.581</v>
      </c>
      <c r="D881" s="14" t="n">
        <f aca="false">D878/D880</f>
        <v>0.631445270431576</v>
      </c>
      <c r="E881" s="14" t="n">
        <f aca="false">E878/E880</f>
        <v>0.61198752882419</v>
      </c>
      <c r="F881" s="14" t="n">
        <f aca="false">F878/F880</f>
        <v>0.606994838396739</v>
      </c>
      <c r="G881" s="14" t="n">
        <f aca="false">G878/G880</f>
        <v>0.413465744004277</v>
      </c>
    </row>
    <row r="882" customFormat="false" ht="17.15" hidden="false" customHeight="false" outlineLevel="0" collapsed="false">
      <c r="A882" s="4" t="s">
        <v>468</v>
      </c>
      <c r="B882" s="4" t="s">
        <v>226</v>
      </c>
      <c r="C882" s="11" t="n">
        <f aca="false">opex25</f>
        <v>806.7</v>
      </c>
      <c r="D882" s="11" t="n">
        <f aca="false">opex_fix+opex_var*D880</f>
        <v>930.691482573262</v>
      </c>
      <c r="E882" s="11" t="n">
        <f aca="false">opex_fix+opex_var*E880</f>
        <v>964.354393854572</v>
      </c>
      <c r="F882" s="11" t="n">
        <f aca="false">opex_fix+opex_var*F880</f>
        <v>1023.69275669416</v>
      </c>
      <c r="G882" s="11" t="n">
        <f aca="false">opex_fix+opex_var*G880</f>
        <v>868.88743655046</v>
      </c>
      <c r="I882" s="4" t="s">
        <v>469</v>
      </c>
    </row>
    <row r="883" customFormat="false" ht="17.15" hidden="false" customHeight="false" outlineLevel="0" collapsed="false">
      <c r="A883" s="4" t="s">
        <v>436</v>
      </c>
      <c r="B883" s="0" t="s">
        <v>62</v>
      </c>
      <c r="C883" s="14" t="n">
        <f aca="false">a25_gp/a25_rev</f>
        <v>0.575793306745275</v>
      </c>
      <c r="D883" s="14" t="n">
        <f aca="false">(oi26+D882)/D880</f>
        <v>0.595267179842073</v>
      </c>
      <c r="E883" s="14" t="n">
        <f aca="false">$D883+0</f>
        <v>0.595267179842073</v>
      </c>
      <c r="F883" s="14" t="n">
        <f aca="false">$D883+0</f>
        <v>0.595267179842073</v>
      </c>
      <c r="G883" s="14" t="n">
        <f aca="false">$D883+0</f>
        <v>0.595267179842073</v>
      </c>
      <c r="I883" s="8" t="s">
        <v>470</v>
      </c>
    </row>
    <row r="884" customFormat="false" ht="15" hidden="false" customHeight="false" outlineLevel="0" collapsed="false">
      <c r="A884" s="4" t="s">
        <v>371</v>
      </c>
      <c r="B884" s="4" t="s">
        <v>226</v>
      </c>
      <c r="C884" s="11" t="n">
        <f aca="false">C880*C883</f>
        <v>3320.6</v>
      </c>
      <c r="D884" s="11" t="n">
        <f aca="false">D880*D883</f>
        <v>4488.19548257326</v>
      </c>
      <c r="E884" s="11" t="n">
        <f aca="false">E880*E883</f>
        <v>4774.70001774807</v>
      </c>
      <c r="F884" s="11" t="n">
        <f aca="false">F880*F883</f>
        <v>5279.72793768403</v>
      </c>
      <c r="G884" s="11" t="n">
        <f aca="false">G880*G883</f>
        <v>3962.18216988881</v>
      </c>
    </row>
    <row r="885" customFormat="false" ht="15" hidden="false" customHeight="false" outlineLevel="0" collapsed="false">
      <c r="A885" s="4" t="s">
        <v>374</v>
      </c>
      <c r="B885" s="4" t="s">
        <v>226</v>
      </c>
      <c r="C885" s="11" t="n">
        <f aca="false">a25_oi</f>
        <v>2513.9</v>
      </c>
      <c r="D885" s="11" t="n">
        <f aca="false">oi26</f>
        <v>3557.504</v>
      </c>
      <c r="E885" s="11" t="n">
        <f aca="false">E884-E882</f>
        <v>3810.34562389349</v>
      </c>
      <c r="F885" s="11" t="n">
        <f aca="false">F884-F882</f>
        <v>4256.03518098988</v>
      </c>
      <c r="G885" s="11" t="n">
        <f aca="false">G884-G882</f>
        <v>3093.29473333835</v>
      </c>
    </row>
    <row r="886" customFormat="false" ht="15" hidden="false" customHeight="false" outlineLevel="0" collapsed="false">
      <c r="A886" s="4" t="s">
        <v>377</v>
      </c>
      <c r="B886" s="0" t="s">
        <v>62</v>
      </c>
      <c r="C886" s="14" t="n">
        <f aca="false">C885/C880</f>
        <v>0.435911219004682</v>
      </c>
      <c r="D886" s="14" t="n">
        <f aca="false">D885/D880</f>
        <v>0.471830022016499</v>
      </c>
      <c r="E886" s="14" t="n">
        <f aca="false">E885/E880</f>
        <v>0.475040041327753</v>
      </c>
      <c r="F886" s="14" t="n">
        <f aca="false">F885/F880</f>
        <v>0.479850115270865</v>
      </c>
      <c r="G886" s="14" t="n">
        <f aca="false">G885/G880</f>
        <v>0.464727958832425</v>
      </c>
    </row>
    <row r="887" customFormat="false" ht="15" hidden="false" customHeight="false" outlineLevel="0" collapsed="false">
      <c r="A887" s="4" t="s">
        <v>437</v>
      </c>
      <c r="B887" s="4" t="s">
        <v>226</v>
      </c>
      <c r="C887" s="11" t="n">
        <f aca="false">a25_ni</f>
        <v>2140</v>
      </c>
      <c r="D887" s="11" t="n">
        <f aca="false">D885*nioi</f>
        <v>3028.38560006365</v>
      </c>
      <c r="E887" s="11" t="n">
        <f aca="false">E885*nioi</f>
        <v>3243.62131951632</v>
      </c>
      <c r="F887" s="11" t="n">
        <f aca="false">F885*nioi</f>
        <v>3623.0221119847</v>
      </c>
      <c r="G887" s="11" t="n">
        <f aca="false">G885*nioi</f>
        <v>2633.21959081271</v>
      </c>
    </row>
    <row r="888" customFormat="false" ht="15" hidden="false" customHeight="false" outlineLevel="0" collapsed="false">
      <c r="A888" s="0" t="s">
        <v>438</v>
      </c>
      <c r="B888" s="0" t="s">
        <v>302</v>
      </c>
      <c r="C888" s="11" t="n">
        <f aca="false">a25_eps</f>
        <v>2231.7</v>
      </c>
      <c r="D888" s="11" t="n">
        <f aca="false">D887*100/shares</f>
        <v>3158.15333815983</v>
      </c>
      <c r="E888" s="11" t="n">
        <f aca="false">E887*100/shares</f>
        <v>3382.61200876849</v>
      </c>
      <c r="F888" s="11" t="n">
        <f aca="false">F887*100/shares</f>
        <v>3778.27030248423</v>
      </c>
      <c r="G888" s="11" t="n">
        <f aca="false">G887*100/shares</f>
        <v>2746.05428075548</v>
      </c>
    </row>
    <row r="889" customFormat="false" ht="17.15" hidden="false" customHeight="false" outlineLevel="0" collapsed="false">
      <c r="A889" s="4" t="s">
        <v>471</v>
      </c>
      <c r="B889" s="4" t="s">
        <v>226</v>
      </c>
      <c r="C889" s="11" t="n">
        <f aca="false">$C879*C870</f>
        <v>10312.7854681885</v>
      </c>
      <c r="D889" s="11" t="n">
        <f aca="false">$C879*D870</f>
        <v>11394.4850652104</v>
      </c>
      <c r="E889" s="11" t="n">
        <f aca="false">$C879*E870</f>
        <v>14875.1990228722</v>
      </c>
      <c r="F889" s="11" t="n">
        <f aca="false">$C879*F870</f>
        <v>16314.3833856329</v>
      </c>
      <c r="G889" s="11" t="n">
        <f aca="false">$C879*G870</f>
        <v>8339.65519120841</v>
      </c>
      <c r="I889" s="4" t="s">
        <v>472</v>
      </c>
    </row>
    <row r="890" customFormat="false" ht="15" hidden="false" customHeight="false" outlineLevel="0" collapsed="false">
      <c r="A890" s="4" t="s">
        <v>473</v>
      </c>
      <c r="B890" s="0" t="s">
        <v>333</v>
      </c>
      <c r="C890" s="11" t="n">
        <f aca="false">C889/fx*100</f>
        <v>726.252497759756</v>
      </c>
      <c r="D890" s="11" t="n">
        <f aca="false">D889/fx*100</f>
        <v>802.428525719041</v>
      </c>
      <c r="E890" s="11" t="n">
        <f aca="false">E889/fx*100</f>
        <v>1047.54922696283</v>
      </c>
      <c r="F890" s="11" t="n">
        <f aca="false">F889/fx*100</f>
        <v>1148.90023842486</v>
      </c>
      <c r="G890" s="11" t="n">
        <f aca="false">G889/fx*100</f>
        <v>587.299661352705</v>
      </c>
    </row>
    <row r="900" customFormat="false" ht="17.15" hidden="false" customHeight="false" outlineLevel="0" collapsed="false">
      <c r="A900" s="1" t="s">
        <v>681</v>
      </c>
    </row>
    <row r="901" customFormat="false" ht="15" hidden="false" customHeight="false" outlineLevel="0" collapsed="false">
      <c r="A901" s="5" t="s">
        <v>14</v>
      </c>
      <c r="B901" s="5" t="s">
        <v>15</v>
      </c>
      <c r="C901" s="9" t="s">
        <v>401</v>
      </c>
      <c r="D901" s="9" t="s">
        <v>402</v>
      </c>
      <c r="E901" s="9" t="s">
        <v>403</v>
      </c>
      <c r="F901" s="9" t="s">
        <v>404</v>
      </c>
      <c r="G901" s="9" t="s">
        <v>405</v>
      </c>
      <c r="H901" s="9" t="s">
        <v>406</v>
      </c>
      <c r="I901" s="5" t="s">
        <v>407</v>
      </c>
    </row>
    <row r="902" customFormat="false" ht="17.15" hidden="false" customHeight="false" outlineLevel="0" collapsed="false">
      <c r="A902" s="6" t="s">
        <v>441</v>
      </c>
    </row>
    <row r="903" customFormat="false" ht="17.15" hidden="false" customHeight="false" outlineLevel="0" collapsed="false">
      <c r="A903" s="0" t="s">
        <v>442</v>
      </c>
      <c r="B903" s="0" t="s">
        <v>25</v>
      </c>
      <c r="C903" s="17" t="n">
        <f aca="false">hsA_25</f>
        <v>2.22511470588235</v>
      </c>
      <c r="D903" s="17" t="n">
        <f aca="false">hsA_26</f>
        <v>3.782695</v>
      </c>
      <c r="E903" s="17" t="n">
        <f aca="false">hsA_27</f>
        <v>5.86317725</v>
      </c>
      <c r="F903" s="17" t="n">
        <f aca="false">hsA_28</f>
        <v>8.5016070125</v>
      </c>
      <c r="G903" s="17" t="n">
        <f aca="false">hsA_29</f>
        <v>11.477169466875</v>
      </c>
      <c r="H903" s="17" t="n">
        <f aca="false">G903*(1+g_tail)</f>
        <v>12.6248864135625</v>
      </c>
      <c r="I903" s="8" t="s">
        <v>443</v>
      </c>
    </row>
    <row r="904" customFormat="false" ht="17.15" hidden="false" customHeight="false" outlineLevel="0" collapsed="false">
      <c r="A904" s="0" t="s">
        <v>444</v>
      </c>
      <c r="B904" s="0" t="s">
        <v>445</v>
      </c>
      <c r="C904" s="15" t="n">
        <f aca="false">den_25</f>
        <v>24</v>
      </c>
      <c r="D904" s="15" t="n">
        <f aca="false">den_26</f>
        <v>24</v>
      </c>
      <c r="E904" s="15" t="n">
        <f aca="false">den_27</f>
        <v>26</v>
      </c>
      <c r="F904" s="15" t="n">
        <f aca="false">den_28</f>
        <v>28</v>
      </c>
      <c r="G904" s="15" t="n">
        <f aca="false">den_29</f>
        <v>30</v>
      </c>
      <c r="H904" s="15" t="n">
        <f aca="false">den_30</f>
        <v>32</v>
      </c>
    </row>
    <row r="905" customFormat="false" ht="17.15" hidden="false" customHeight="false" outlineLevel="0" collapsed="false">
      <c r="A905" s="4" t="s">
        <v>446</v>
      </c>
      <c r="B905" s="4" t="s">
        <v>411</v>
      </c>
      <c r="C905" s="11" t="n">
        <f aca="false">C903*8000/C904</f>
        <v>741.704901960783</v>
      </c>
      <c r="D905" s="11" t="n">
        <f aca="false">D903*8000/D904</f>
        <v>1260.89833333333</v>
      </c>
      <c r="E905" s="11" t="n">
        <f aca="false">E903*8000/E904</f>
        <v>1804.05453846154</v>
      </c>
      <c r="F905" s="11" t="n">
        <f aca="false">F903*8000/F904</f>
        <v>2429.030575</v>
      </c>
      <c r="G905" s="11" t="n">
        <f aca="false">G903*8000/G904</f>
        <v>3060.5785245</v>
      </c>
      <c r="H905" s="11" t="n">
        <f aca="false">H903*8000/H904</f>
        <v>3156.22160339063</v>
      </c>
      <c r="I905" s="8" t="s">
        <v>447</v>
      </c>
    </row>
    <row r="906" customFormat="false" ht="15" hidden="false" customHeight="false" outlineLevel="0" collapsed="false">
      <c r="A906" s="4" t="s">
        <v>448</v>
      </c>
      <c r="B906" s="4" t="s">
        <v>89</v>
      </c>
      <c r="C906" s="15" t="n">
        <f aca="false">stk_25</f>
        <v>10</v>
      </c>
      <c r="D906" s="15" t="n">
        <f aca="false">stk_26</f>
        <v>12</v>
      </c>
      <c r="E906" s="15" t="n">
        <f aca="false">stk_27</f>
        <v>12.5</v>
      </c>
      <c r="F906" s="15" t="n">
        <f aca="false">stk_28</f>
        <v>14</v>
      </c>
      <c r="G906" s="15" t="n">
        <f aca="false">stk_29</f>
        <v>15</v>
      </c>
      <c r="H906" s="15" t="n">
        <f aca="false">stk_30</f>
        <v>16</v>
      </c>
    </row>
    <row r="907" customFormat="false" ht="15" hidden="false" customHeight="false" outlineLevel="0" collapsed="false">
      <c r="A907" s="4" t="s">
        <v>449</v>
      </c>
      <c r="B907" s="0" t="s">
        <v>109</v>
      </c>
      <c r="C907" s="18" t="n">
        <f aca="false">1+beta*(C906-$C906)/4</f>
        <v>1</v>
      </c>
      <c r="D907" s="18" t="n">
        <f aca="false">1+beta*(D906-$C906)/4</f>
        <v>1.05</v>
      </c>
      <c r="E907" s="18" t="n">
        <f aca="false">1+beta*(E906-$C906)/4</f>
        <v>1.0625</v>
      </c>
      <c r="F907" s="18" t="n">
        <f aca="false">1+beta*(F906-$C906)/4</f>
        <v>1.1</v>
      </c>
      <c r="G907" s="18" t="n">
        <f aca="false">1+beta*(G906-$C906)/4</f>
        <v>1.125</v>
      </c>
      <c r="H907" s="18" t="n">
        <f aca="false">1+beta*(H906-$C906)/4</f>
        <v>1.15</v>
      </c>
    </row>
    <row r="908" customFormat="false" ht="17.15" hidden="false" customHeight="false" outlineLevel="0" collapsed="false">
      <c r="A908" s="4" t="s">
        <v>450</v>
      </c>
      <c r="B908" s="0" t="s">
        <v>62</v>
      </c>
      <c r="C908" s="14" t="n">
        <f aca="false">0</f>
        <v>0</v>
      </c>
      <c r="D908" s="14" t="n">
        <f aca="false">0</f>
        <v>0</v>
      </c>
      <c r="E908" s="14" t="n">
        <f aca="false">0</f>
        <v>0</v>
      </c>
      <c r="F908" s="14" t="n">
        <f aca="false">0</f>
        <v>0</v>
      </c>
      <c r="G908" s="14" t="n">
        <f aca="false">0</f>
        <v>0</v>
      </c>
      <c r="H908" s="14" t="n">
        <f aca="false">0</f>
        <v>0</v>
      </c>
      <c r="I908" s="4" t="s">
        <v>451</v>
      </c>
    </row>
    <row r="909" customFormat="false" ht="17.15" hidden="false" customHeight="false" outlineLevel="0" collapsed="false">
      <c r="A909" s="0" t="s">
        <v>452</v>
      </c>
      <c r="B909" s="4" t="s">
        <v>413</v>
      </c>
      <c r="C909" s="11" t="n">
        <f aca="false">C905*C907*(1-C908)</f>
        <v>741.704901960783</v>
      </c>
      <c r="D909" s="11" t="n">
        <f aca="false">D905*D907*(1-D908)</f>
        <v>1323.94325</v>
      </c>
      <c r="E909" s="11" t="n">
        <f aca="false">E905*E907*(1-E908)</f>
        <v>1916.80794711538</v>
      </c>
      <c r="F909" s="11" t="n">
        <f aca="false">F905*F907*(1-F908)</f>
        <v>2671.9336325</v>
      </c>
      <c r="G909" s="11" t="n">
        <f aca="false">G905*G907*(1-G908)</f>
        <v>3443.1508400625</v>
      </c>
      <c r="H909" s="11" t="n">
        <f aca="false">H905*H907*(1-H908)</f>
        <v>3629.65484389922</v>
      </c>
    </row>
    <row r="910" customFormat="false" ht="17.15" hidden="false" customHeight="false" outlineLevel="0" collapsed="false">
      <c r="A910" s="4" t="s">
        <v>453</v>
      </c>
      <c r="B910" s="4" t="s">
        <v>413</v>
      </c>
      <c r="C910" s="11" t="n">
        <f aca="false">MAX(0,D909-C909)+dlt*C909</f>
        <v>656.408838235295</v>
      </c>
      <c r="D910" s="11" t="n">
        <f aca="false">MAX(0,E909-D909)+dlt*D909</f>
        <v>725.259022115385</v>
      </c>
      <c r="E910" s="11" t="n">
        <f aca="false">MAX(0,F909-E909)+dlt*E909</f>
        <v>946.806480096154</v>
      </c>
      <c r="F910" s="11" t="n">
        <f aca="false">MAX(0,G909-F909)+dlt*F909</f>
        <v>1038.4105708125</v>
      </c>
      <c r="G910" s="11" t="n">
        <f aca="false">MAX(0,H909-G909)+dlt*G909</f>
        <v>530.819087842968</v>
      </c>
      <c r="I910" s="4" t="s">
        <v>454</v>
      </c>
    </row>
    <row r="911" customFormat="false" ht="17.15" hidden="false" customHeight="false" outlineLevel="0" collapsed="false">
      <c r="A911" s="0" t="s">
        <v>455</v>
      </c>
      <c r="B911" s="0" t="s">
        <v>62</v>
      </c>
      <c r="C911" s="14" t="n">
        <f aca="false">ms_sk_26/(ms_sk_26+ms_ss_26+ms_mu_26)</f>
        <v>0.52</v>
      </c>
      <c r="D911" s="14" t="n">
        <f aca="false">ms_sk_27/(ms_sk_27+ms_ss_27+ms_mu_27)</f>
        <v>0.42</v>
      </c>
      <c r="E911" s="14" t="n">
        <f aca="false">ms_sk_28/(ms_sk_28+ms_ss_28+ms_mu_28)</f>
        <v>0.4</v>
      </c>
      <c r="F911" s="14" t="n">
        <f aca="false">ms_sk_29/(ms_sk_29+ms_ss_29+ms_mu_29)</f>
        <v>0.4</v>
      </c>
      <c r="G911" s="14" t="n">
        <f aca="false">ms_sk_29/(ms_sk_29+ms_ss_29+ms_mu_29)</f>
        <v>0.4</v>
      </c>
    </row>
    <row r="912" customFormat="false" ht="17.15" hidden="false" customHeight="false" outlineLevel="0" collapsed="false">
      <c r="A912" s="4" t="s">
        <v>456</v>
      </c>
      <c r="B912" s="0" t="s">
        <v>62</v>
      </c>
      <c r="C912" s="14" t="n">
        <f aca="false">ms_ss_26/(ms_sk_26+ms_ss_26+ms_mu_26)</f>
        <v>0.29</v>
      </c>
      <c r="D912" s="14" t="n">
        <f aca="false">ms_ss_27/(ms_sk_27+ms_ss_27+ms_mu_27)</f>
        <v>0.38</v>
      </c>
      <c r="E912" s="14" t="n">
        <f aca="false">ms_ss_28/(ms_sk_28+ms_ss_28+ms_mu_28)</f>
        <v>0.4</v>
      </c>
      <c r="F912" s="14" t="n">
        <f aca="false">ms_ss_29/(ms_sk_29+ms_ss_29+ms_mu_29)</f>
        <v>0.4</v>
      </c>
      <c r="G912" s="14" t="n">
        <f aca="false">ms_ss_29/(ms_sk_29+ms_ss_29+ms_mu_29)</f>
        <v>0.4</v>
      </c>
    </row>
    <row r="913" customFormat="false" ht="17.15" hidden="false" customHeight="false" outlineLevel="0" collapsed="false">
      <c r="A913" s="4" t="s">
        <v>457</v>
      </c>
      <c r="B913" s="0" t="s">
        <v>62</v>
      </c>
      <c r="C913" s="14" t="n">
        <f aca="false">ms_mu_26/(ms_sk_26+ms_ss_26+ms_mu_26)</f>
        <v>0.19</v>
      </c>
      <c r="D913" s="14" t="n">
        <f aca="false">ms_mu_27/(ms_sk_27+ms_ss_27+ms_mu_27)</f>
        <v>0.2</v>
      </c>
      <c r="E913" s="14" t="n">
        <f aca="false">ms_mu_28/(ms_sk_28+ms_ss_28+ms_mu_28)</f>
        <v>0.2</v>
      </c>
      <c r="F913" s="14" t="n">
        <f aca="false">ms_mu_29/(ms_sk_29+ms_ss_29+ms_mu_29)</f>
        <v>0.2</v>
      </c>
      <c r="G913" s="14" t="n">
        <f aca="false">ms_mu_29/(ms_sk_29+ms_ss_29+ms_mu_29)</f>
        <v>0.2</v>
      </c>
    </row>
    <row r="914" customFormat="false" ht="17.15" hidden="false" customHeight="false" outlineLevel="0" collapsed="false">
      <c r="A914" s="4" t="s">
        <v>458</v>
      </c>
      <c r="B914" s="0" t="s">
        <v>62</v>
      </c>
      <c r="C914" s="14" t="n">
        <f aca="false">C911*hsk_25+C912*hss+C913*hmu_25</f>
        <v>0.412</v>
      </c>
      <c r="D914" s="14" t="n">
        <f aca="false">D911*hsk_A+D912*hss+D913*hmu_A</f>
        <v>0.339</v>
      </c>
      <c r="E914" s="14" t="n">
        <f aca="false">E911*hsk_A+E912*hss+E913*hmu_A</f>
        <v>0.33</v>
      </c>
      <c r="F914" s="14" t="n">
        <f aca="false">F911*hsk_A+F912*hss+F913*hmu_A</f>
        <v>0.33</v>
      </c>
      <c r="G914" s="14" t="n">
        <f aca="false">G911*hsk_A+G912*hss+G913*hmu_A</f>
        <v>0.33</v>
      </c>
    </row>
    <row r="915" customFormat="false" ht="17.15" hidden="false" customHeight="false" outlineLevel="0" collapsed="false">
      <c r="A915" s="4" t="s">
        <v>459</v>
      </c>
      <c r="B915" s="4" t="s">
        <v>413</v>
      </c>
      <c r="C915" s="11" t="n">
        <f aca="false">C910*C914</f>
        <v>270.440441352942</v>
      </c>
      <c r="D915" s="11" t="n">
        <f aca="false">D910*D914</f>
        <v>245.862808497115</v>
      </c>
      <c r="E915" s="11" t="n">
        <f aca="false">E910*E914</f>
        <v>312.446138431731</v>
      </c>
      <c r="F915" s="11" t="n">
        <f aca="false">F910*F914</f>
        <v>342.675488368125</v>
      </c>
      <c r="G915" s="11" t="n">
        <f aca="false">G910*G914</f>
        <v>175.17029898818</v>
      </c>
    </row>
    <row r="916" customFormat="false" ht="17.15" hidden="false" customHeight="false" outlineLevel="0" collapsed="false">
      <c r="A916" s="6" t="s">
        <v>460</v>
      </c>
    </row>
    <row r="917" customFormat="false" ht="17.15" hidden="false" customHeight="false" outlineLevel="0" collapsed="false">
      <c r="A917" s="4" t="s">
        <v>461</v>
      </c>
      <c r="B917" s="4" t="s">
        <v>226</v>
      </c>
      <c r="C917" s="11" t="n">
        <f aca="false">a25_rev-a25_hbm</f>
        <v>2895.034</v>
      </c>
      <c r="D917" s="11" t="n">
        <f aca="false">C917*(1+g_o26)</f>
        <v>3329.2891</v>
      </c>
      <c r="E917" s="11" t="n">
        <f aca="false">D917*(1+g_o_A_lo)</f>
        <v>3562.339337</v>
      </c>
      <c r="F917" s="11" t="n">
        <f aca="false">E917*(1+g_o_A_lo)</f>
        <v>3811.70309059</v>
      </c>
      <c r="G917" s="11" t="n">
        <f aca="false">F917*(1+g_o_A_lo)</f>
        <v>4078.5223069313</v>
      </c>
    </row>
    <row r="918" customFormat="false" ht="17.15" hidden="false" customHeight="false" outlineLevel="0" collapsed="false">
      <c r="A918" s="0" t="s">
        <v>462</v>
      </c>
      <c r="B918" s="4" t="s">
        <v>226</v>
      </c>
      <c r="C918" s="11" t="n">
        <f aca="false">a25_hbm</f>
        <v>2871.966</v>
      </c>
      <c r="D918" s="11" t="n">
        <f aca="false">rev26-D917</f>
        <v>4210.5109</v>
      </c>
      <c r="E918" s="11" t="n">
        <f aca="false">$C919*E915</f>
        <v>4286.03259533926</v>
      </c>
      <c r="F918" s="11" t="n">
        <f aca="false">$C919*F915</f>
        <v>4700.70880101627</v>
      </c>
      <c r="G918" s="11" t="n">
        <f aca="false">$C919*G915</f>
        <v>2402.9281173616</v>
      </c>
      <c r="I918" s="8" t="s">
        <v>463</v>
      </c>
    </row>
    <row r="919" customFormat="false" ht="17.15" hidden="false" customHeight="false" outlineLevel="0" collapsed="false">
      <c r="A919" s="4" t="s">
        <v>464</v>
      </c>
      <c r="B919" s="4" t="s">
        <v>465</v>
      </c>
      <c r="C919" s="18" t="n">
        <f aca="false">(C918+D918)/(C915+D915)</f>
        <v>13.7176686415529</v>
      </c>
      <c r="I919" s="4" t="s">
        <v>466</v>
      </c>
    </row>
    <row r="920" customFormat="false" ht="15" hidden="false" customHeight="false" outlineLevel="0" collapsed="false">
      <c r="A920" s="4" t="s">
        <v>366</v>
      </c>
      <c r="B920" s="4" t="s">
        <v>226</v>
      </c>
      <c r="C920" s="11" t="n">
        <f aca="false">a25_rev</f>
        <v>5767</v>
      </c>
      <c r="D920" s="11" t="n">
        <f aca="false">D917+D918</f>
        <v>7539.8</v>
      </c>
      <c r="E920" s="11" t="n">
        <f aca="false">E917+E918</f>
        <v>7848.37193233926</v>
      </c>
      <c r="F920" s="11" t="n">
        <f aca="false">F917+F918</f>
        <v>8512.41189160627</v>
      </c>
      <c r="G920" s="11" t="n">
        <f aca="false">G917+G918</f>
        <v>6481.45042429291</v>
      </c>
    </row>
    <row r="921" customFormat="false" ht="17.15" hidden="false" customHeight="false" outlineLevel="0" collapsed="false">
      <c r="A921" s="0" t="s">
        <v>467</v>
      </c>
      <c r="B921" s="0" t="s">
        <v>62</v>
      </c>
      <c r="C921" s="14" t="n">
        <f aca="false">C918/C920</f>
        <v>0.498</v>
      </c>
      <c r="D921" s="14" t="n">
        <f aca="false">D918/D920</f>
        <v>0.558438008965755</v>
      </c>
      <c r="E921" s="14" t="n">
        <f aca="false">E918/E920</f>
        <v>0.546104673974311</v>
      </c>
      <c r="F921" s="14" t="n">
        <f aca="false">F918/F920</f>
        <v>0.552218203356847</v>
      </c>
      <c r="G921" s="14" t="n">
        <f aca="false">G918/G920</f>
        <v>0.370739257428441</v>
      </c>
    </row>
    <row r="922" customFormat="false" ht="17.15" hidden="false" customHeight="false" outlineLevel="0" collapsed="false">
      <c r="A922" s="4" t="s">
        <v>468</v>
      </c>
      <c r="B922" s="4" t="s">
        <v>226</v>
      </c>
      <c r="C922" s="11" t="n">
        <f aca="false">opex25</f>
        <v>806.7</v>
      </c>
      <c r="D922" s="11" t="n">
        <f aca="false">opex_fix+opex_var*D920</f>
        <v>930.691482573261</v>
      </c>
      <c r="E922" s="11" t="n">
        <f aca="false">opex_fix+opex_var*E920</f>
        <v>952.273325630144</v>
      </c>
      <c r="F922" s="11" t="n">
        <f aca="false">opex_fix+opex_var*F920</f>
        <v>998.716973552868</v>
      </c>
      <c r="G922" s="11" t="n">
        <f aca="false">opex_fix+opex_var*G920</f>
        <v>856.669408468622</v>
      </c>
      <c r="I922" s="4" t="s">
        <v>469</v>
      </c>
    </row>
    <row r="923" customFormat="false" ht="17.15" hidden="false" customHeight="false" outlineLevel="0" collapsed="false">
      <c r="A923" s="4" t="s">
        <v>436</v>
      </c>
      <c r="B923" s="0" t="s">
        <v>62</v>
      </c>
      <c r="C923" s="14" t="n">
        <f aca="false">a25_gp/a25_rev</f>
        <v>0.575793306745275</v>
      </c>
      <c r="D923" s="14" t="n">
        <f aca="false">(oi26+D922)/D920</f>
        <v>0.595267179842073</v>
      </c>
      <c r="E923" s="14" t="n">
        <f aca="false">$D923+0</f>
        <v>0.595267179842073</v>
      </c>
      <c r="F923" s="14" t="n">
        <f aca="false">$D923+0</f>
        <v>0.595267179842073</v>
      </c>
      <c r="G923" s="14" t="n">
        <f aca="false">$D923+0</f>
        <v>0.595267179842073</v>
      </c>
      <c r="I923" s="8" t="s">
        <v>470</v>
      </c>
    </row>
    <row r="924" customFormat="false" ht="15" hidden="false" customHeight="false" outlineLevel="0" collapsed="false">
      <c r="A924" s="4" t="s">
        <v>371</v>
      </c>
      <c r="B924" s="4" t="s">
        <v>226</v>
      </c>
      <c r="C924" s="11" t="n">
        <f aca="false">C920*C923</f>
        <v>3320.6</v>
      </c>
      <c r="D924" s="11" t="n">
        <f aca="false">D920*D923</f>
        <v>4488.19548257326</v>
      </c>
      <c r="E924" s="11" t="n">
        <f aca="false">E920*E923</f>
        <v>4671.87822651527</v>
      </c>
      <c r="F924" s="11" t="n">
        <f aca="false">F920*F923</f>
        <v>5067.15942037059</v>
      </c>
      <c r="G924" s="11" t="n">
        <f aca="false">G920*G923</f>
        <v>3858.19471535504</v>
      </c>
    </row>
    <row r="925" customFormat="false" ht="15" hidden="false" customHeight="false" outlineLevel="0" collapsed="false">
      <c r="A925" s="4" t="s">
        <v>374</v>
      </c>
      <c r="B925" s="4" t="s">
        <v>226</v>
      </c>
      <c r="C925" s="11" t="n">
        <f aca="false">a25_oi</f>
        <v>2513.9</v>
      </c>
      <c r="D925" s="11" t="n">
        <f aca="false">oi26</f>
        <v>3557.504</v>
      </c>
      <c r="E925" s="11" t="n">
        <f aca="false">E924-E922</f>
        <v>3719.60490088513</v>
      </c>
      <c r="F925" s="11" t="n">
        <f aca="false">F924-F922</f>
        <v>4068.44244681772</v>
      </c>
      <c r="G925" s="11" t="n">
        <f aca="false">G924-G922</f>
        <v>3001.52530688642</v>
      </c>
    </row>
    <row r="926" customFormat="false" ht="15" hidden="false" customHeight="false" outlineLevel="0" collapsed="false">
      <c r="A926" s="4" t="s">
        <v>377</v>
      </c>
      <c r="B926" s="0" t="s">
        <v>62</v>
      </c>
      <c r="C926" s="14" t="n">
        <f aca="false">C925/C920</f>
        <v>0.435911219004682</v>
      </c>
      <c r="D926" s="14" t="n">
        <f aca="false">D925/D920</f>
        <v>0.471830022016499</v>
      </c>
      <c r="E926" s="14" t="n">
        <f aca="false">E925/E920</f>
        <v>0.473933311641167</v>
      </c>
      <c r="F926" s="14" t="n">
        <f aca="false">F925/F920</f>
        <v>0.477942385615696</v>
      </c>
      <c r="G926" s="14" t="n">
        <f aca="false">G925/G920</f>
        <v>0.46309469492145</v>
      </c>
    </row>
    <row r="927" customFormat="false" ht="15" hidden="false" customHeight="false" outlineLevel="0" collapsed="false">
      <c r="A927" s="4" t="s">
        <v>437</v>
      </c>
      <c r="B927" s="4" t="s">
        <v>226</v>
      </c>
      <c r="C927" s="11" t="n">
        <f aca="false">a25_ni</f>
        <v>2140</v>
      </c>
      <c r="D927" s="11" t="n">
        <f aca="false">D925*nioi</f>
        <v>3028.38560006365</v>
      </c>
      <c r="E927" s="11" t="n">
        <f aca="false">E925*nioi</f>
        <v>3166.3767404806</v>
      </c>
      <c r="F927" s="11" t="n">
        <f aca="false">F925*nioi</f>
        <v>3463.33061624962</v>
      </c>
      <c r="G927" s="11" t="n">
        <f aca="false">G925*nioi</f>
        <v>2555.09931052824</v>
      </c>
    </row>
    <row r="928" customFormat="false" ht="15" hidden="false" customHeight="false" outlineLevel="0" collapsed="false">
      <c r="A928" s="0" t="s">
        <v>438</v>
      </c>
      <c r="B928" s="0" t="s">
        <v>302</v>
      </c>
      <c r="C928" s="11" t="n">
        <f aca="false">a25_eps</f>
        <v>2231.7</v>
      </c>
      <c r="D928" s="11" t="n">
        <f aca="false">D927*100/shares</f>
        <v>3158.15333815983</v>
      </c>
      <c r="E928" s="11" t="n">
        <f aca="false">E927*100/shares</f>
        <v>3302.05746342549</v>
      </c>
      <c r="F928" s="11" t="n">
        <f aca="false">F927*100/shares</f>
        <v>3611.73595153471</v>
      </c>
      <c r="G928" s="11" t="n">
        <f aca="false">G927*100/shares</f>
        <v>2664.58650995602</v>
      </c>
    </row>
    <row r="929" customFormat="false" ht="17.15" hidden="false" customHeight="false" outlineLevel="0" collapsed="false">
      <c r="A929" s="4" t="s">
        <v>471</v>
      </c>
      <c r="B929" s="4" t="s">
        <v>226</v>
      </c>
      <c r="C929" s="11" t="n">
        <f aca="false">$C919*C910</f>
        <v>9004.3989362985</v>
      </c>
      <c r="D929" s="11" t="n">
        <f aca="false">$C919*D910</f>
        <v>9948.86294467556</v>
      </c>
      <c r="E929" s="11" t="n">
        <f aca="false">$C919*E910</f>
        <v>12987.9775616341</v>
      </c>
      <c r="F929" s="11" t="n">
        <f aca="false">$C919*F910</f>
        <v>14244.5721242917</v>
      </c>
      <c r="G929" s="11" t="n">
        <f aca="false">$C919*G910</f>
        <v>7281.60035564122</v>
      </c>
      <c r="I929" s="4" t="s">
        <v>472</v>
      </c>
    </row>
    <row r="930" customFormat="false" ht="15" hidden="false" customHeight="false" outlineLevel="0" collapsed="false">
      <c r="A930" s="4" t="s">
        <v>473</v>
      </c>
      <c r="B930" s="0" t="s">
        <v>333</v>
      </c>
      <c r="C930" s="11" t="n">
        <f aca="false">C929/fx*100</f>
        <v>634.112601147782</v>
      </c>
      <c r="D930" s="11" t="n">
        <f aca="false">D929/fx*100</f>
        <v>700.62415103349</v>
      </c>
      <c r="E930" s="11" t="n">
        <f aca="false">E929/fx*100</f>
        <v>914.646307157333</v>
      </c>
      <c r="F930" s="11" t="n">
        <f aca="false">F929/fx*100</f>
        <v>1003.13888199238</v>
      </c>
      <c r="G930" s="11" t="n">
        <f aca="false">G929/fx*100</f>
        <v>512.788757439523</v>
      </c>
    </row>
    <row r="940" customFormat="false" ht="17.15" hidden="false" customHeight="false" outlineLevel="0" collapsed="false">
      <c r="A940" s="1" t="s">
        <v>682</v>
      </c>
    </row>
    <row r="941" customFormat="false" ht="15" hidden="false" customHeight="false" outlineLevel="0" collapsed="false">
      <c r="A941" s="5" t="s">
        <v>14</v>
      </c>
      <c r="B941" s="5" t="s">
        <v>15</v>
      </c>
      <c r="C941" s="9" t="s">
        <v>401</v>
      </c>
      <c r="D941" s="9" t="s">
        <v>402</v>
      </c>
      <c r="E941" s="9" t="s">
        <v>403</v>
      </c>
      <c r="F941" s="9" t="s">
        <v>404</v>
      </c>
      <c r="G941" s="9" t="s">
        <v>405</v>
      </c>
      <c r="H941" s="9" t="s">
        <v>406</v>
      </c>
      <c r="I941" s="5" t="s">
        <v>407</v>
      </c>
    </row>
    <row r="942" customFormat="false" ht="17.15" hidden="false" customHeight="false" outlineLevel="0" collapsed="false">
      <c r="A942" s="6" t="s">
        <v>441</v>
      </c>
    </row>
    <row r="943" customFormat="false" ht="17.15" hidden="false" customHeight="false" outlineLevel="0" collapsed="false">
      <c r="A943" s="0" t="s">
        <v>442</v>
      </c>
      <c r="B943" s="0" t="s">
        <v>25</v>
      </c>
      <c r="C943" s="17" t="n">
        <f aca="false">hsA_25</f>
        <v>2.22511470588235</v>
      </c>
      <c r="D943" s="17" t="n">
        <f aca="false">hsA_26</f>
        <v>3.782695</v>
      </c>
      <c r="E943" s="17" t="n">
        <f aca="false">hsA_27</f>
        <v>5.86317725</v>
      </c>
      <c r="F943" s="17" t="n">
        <f aca="false">hsA_28</f>
        <v>8.5016070125</v>
      </c>
      <c r="G943" s="17" t="n">
        <f aca="false">hsA_29</f>
        <v>11.477169466875</v>
      </c>
      <c r="H943" s="17" t="n">
        <f aca="false">G943*(1+g_tail)</f>
        <v>12.6248864135625</v>
      </c>
      <c r="I943" s="8" t="s">
        <v>443</v>
      </c>
    </row>
    <row r="944" customFormat="false" ht="17.15" hidden="false" customHeight="false" outlineLevel="0" collapsed="false">
      <c r="A944" s="0" t="s">
        <v>444</v>
      </c>
      <c r="B944" s="0" t="s">
        <v>445</v>
      </c>
      <c r="C944" s="15" t="n">
        <f aca="false">den_25</f>
        <v>24</v>
      </c>
      <c r="D944" s="15" t="n">
        <f aca="false">den_26</f>
        <v>24</v>
      </c>
      <c r="E944" s="15" t="n">
        <f aca="false">den_27</f>
        <v>26</v>
      </c>
      <c r="F944" s="15" t="n">
        <f aca="false">den_28</f>
        <v>28</v>
      </c>
      <c r="G944" s="15" t="n">
        <f aca="false">den_29</f>
        <v>30</v>
      </c>
      <c r="H944" s="15" t="n">
        <f aca="false">den_30</f>
        <v>32</v>
      </c>
    </row>
    <row r="945" customFormat="false" ht="17.15" hidden="false" customHeight="false" outlineLevel="0" collapsed="false">
      <c r="A945" s="4" t="s">
        <v>446</v>
      </c>
      <c r="B945" s="4" t="s">
        <v>411</v>
      </c>
      <c r="C945" s="11" t="n">
        <f aca="false">C943*8000/C944</f>
        <v>741.704901960783</v>
      </c>
      <c r="D945" s="11" t="n">
        <f aca="false">D943*8000/D944</f>
        <v>1260.89833333333</v>
      </c>
      <c r="E945" s="11" t="n">
        <f aca="false">E943*8000/E944</f>
        <v>1804.05453846154</v>
      </c>
      <c r="F945" s="11" t="n">
        <f aca="false">F943*8000/F944</f>
        <v>2429.030575</v>
      </c>
      <c r="G945" s="11" t="n">
        <f aca="false">G943*8000/G944</f>
        <v>3060.5785245</v>
      </c>
      <c r="H945" s="11" t="n">
        <f aca="false">H943*8000/H944</f>
        <v>3156.22160339063</v>
      </c>
      <c r="I945" s="8" t="s">
        <v>447</v>
      </c>
    </row>
    <row r="946" customFormat="false" ht="15" hidden="false" customHeight="false" outlineLevel="0" collapsed="false">
      <c r="A946" s="4" t="s">
        <v>448</v>
      </c>
      <c r="B946" s="4" t="s">
        <v>89</v>
      </c>
      <c r="C946" s="15" t="n">
        <f aca="false">stk_25</f>
        <v>10</v>
      </c>
      <c r="D946" s="15" t="n">
        <f aca="false">stk_26</f>
        <v>12</v>
      </c>
      <c r="E946" s="15" t="n">
        <f aca="false">stk_27</f>
        <v>12.5</v>
      </c>
      <c r="F946" s="15" t="n">
        <f aca="false">stk_28</f>
        <v>14</v>
      </c>
      <c r="G946" s="15" t="n">
        <f aca="false">stk_29</f>
        <v>15</v>
      </c>
      <c r="H946" s="15" t="n">
        <f aca="false">stk_30</f>
        <v>16</v>
      </c>
    </row>
    <row r="947" customFormat="false" ht="15" hidden="false" customHeight="false" outlineLevel="0" collapsed="false">
      <c r="A947" s="4" t="s">
        <v>449</v>
      </c>
      <c r="B947" s="0" t="s">
        <v>109</v>
      </c>
      <c r="C947" s="18" t="n">
        <f aca="false">1+beta*(C946-$C946)/4</f>
        <v>1</v>
      </c>
      <c r="D947" s="18" t="n">
        <f aca="false">1+beta*(D946-$C946)/4</f>
        <v>1.05</v>
      </c>
      <c r="E947" s="18" t="n">
        <f aca="false">1+beta*(E946-$C946)/4</f>
        <v>1.0625</v>
      </c>
      <c r="F947" s="18" t="n">
        <f aca="false">1+beta*(F946-$C946)/4</f>
        <v>1.1</v>
      </c>
      <c r="G947" s="18" t="n">
        <f aca="false">1+beta*(G946-$C946)/4</f>
        <v>1.125</v>
      </c>
      <c r="H947" s="18" t="n">
        <f aca="false">1+beta*(H946-$C946)/4</f>
        <v>1.15</v>
      </c>
    </row>
    <row r="948" customFormat="false" ht="17.15" hidden="false" customHeight="false" outlineLevel="0" collapsed="false">
      <c r="A948" s="4" t="s">
        <v>450</v>
      </c>
      <c r="B948" s="0" t="s">
        <v>62</v>
      </c>
      <c r="C948" s="14" t="n">
        <f aca="false">0</f>
        <v>0</v>
      </c>
      <c r="D948" s="14" t="n">
        <f aca="false">0</f>
        <v>0</v>
      </c>
      <c r="E948" s="14" t="n">
        <f aca="false">0</f>
        <v>0</v>
      </c>
      <c r="F948" s="14" t="n">
        <f aca="false">0</f>
        <v>0</v>
      </c>
      <c r="G948" s="14" t="n">
        <f aca="false">0</f>
        <v>0</v>
      </c>
      <c r="H948" s="14" t="n">
        <f aca="false">0</f>
        <v>0</v>
      </c>
      <c r="I948" s="4" t="s">
        <v>451</v>
      </c>
    </row>
    <row r="949" customFormat="false" ht="17.15" hidden="false" customHeight="false" outlineLevel="0" collapsed="false">
      <c r="A949" s="0" t="s">
        <v>452</v>
      </c>
      <c r="B949" s="4" t="s">
        <v>413</v>
      </c>
      <c r="C949" s="11" t="n">
        <f aca="false">C945*C947*(1-C948)</f>
        <v>741.704901960783</v>
      </c>
      <c r="D949" s="11" t="n">
        <f aca="false">D945*D947*(1-D948)</f>
        <v>1323.94325</v>
      </c>
      <c r="E949" s="11" t="n">
        <f aca="false">E945*E947*(1-E948)</f>
        <v>1916.80794711538</v>
      </c>
      <c r="F949" s="11" t="n">
        <f aca="false">F945*F947*(1-F948)</f>
        <v>2671.9336325</v>
      </c>
      <c r="G949" s="11" t="n">
        <f aca="false">G945*G947*(1-G948)</f>
        <v>3443.1508400625</v>
      </c>
      <c r="H949" s="11" t="n">
        <f aca="false">H945*H947*(1-H948)</f>
        <v>3629.65484389922</v>
      </c>
    </row>
    <row r="950" customFormat="false" ht="17.15" hidden="false" customHeight="false" outlineLevel="0" collapsed="false">
      <c r="A950" s="4" t="s">
        <v>453</v>
      </c>
      <c r="B950" s="4" t="s">
        <v>413</v>
      </c>
      <c r="C950" s="11" t="n">
        <f aca="false">MAX(0,D949-C949)+dlt*C949</f>
        <v>656.408838235295</v>
      </c>
      <c r="D950" s="11" t="n">
        <f aca="false">MAX(0,E949-D949)+dlt*D949</f>
        <v>725.259022115385</v>
      </c>
      <c r="E950" s="11" t="n">
        <f aca="false">MAX(0,F949-E949)+dlt*E949</f>
        <v>946.806480096154</v>
      </c>
      <c r="F950" s="11" t="n">
        <f aca="false">MAX(0,G949-F949)+dlt*F949</f>
        <v>1038.4105708125</v>
      </c>
      <c r="G950" s="11" t="n">
        <f aca="false">MAX(0,H949-G949)+dlt*G949</f>
        <v>530.819087842968</v>
      </c>
      <c r="I950" s="4" t="s">
        <v>454</v>
      </c>
    </row>
    <row r="951" customFormat="false" ht="17.15" hidden="false" customHeight="false" outlineLevel="0" collapsed="false">
      <c r="A951" s="0" t="s">
        <v>455</v>
      </c>
      <c r="B951" s="0" t="s">
        <v>62</v>
      </c>
      <c r="C951" s="14" t="n">
        <f aca="false">ms_sk_26/(ms_sk_26+ms_ss_26+ms_mu_26)</f>
        <v>0.52</v>
      </c>
      <c r="D951" s="14" t="n">
        <f aca="false">ms_sk_27/(ms_sk_27+ms_ss_27+ms_mu_27)</f>
        <v>0.42</v>
      </c>
      <c r="E951" s="14" t="n">
        <f aca="false">ms_sk_28/(ms_sk_28+ms_ss_28+ms_mu_28)</f>
        <v>0.4</v>
      </c>
      <c r="F951" s="14" t="n">
        <f aca="false">ms_sk_29/(ms_sk_29+ms_ss_29+ms_mu_29)</f>
        <v>0.4</v>
      </c>
      <c r="G951" s="14" t="n">
        <f aca="false">ms_sk_29/(ms_sk_29+ms_ss_29+ms_mu_29)</f>
        <v>0.4</v>
      </c>
    </row>
    <row r="952" customFormat="false" ht="17.15" hidden="false" customHeight="false" outlineLevel="0" collapsed="false">
      <c r="A952" s="4" t="s">
        <v>456</v>
      </c>
      <c r="B952" s="0" t="s">
        <v>62</v>
      </c>
      <c r="C952" s="14" t="n">
        <f aca="false">ms_ss_26/(ms_sk_26+ms_ss_26+ms_mu_26)</f>
        <v>0.29</v>
      </c>
      <c r="D952" s="14" t="n">
        <f aca="false">ms_ss_27/(ms_sk_27+ms_ss_27+ms_mu_27)</f>
        <v>0.38</v>
      </c>
      <c r="E952" s="14" t="n">
        <f aca="false">ms_ss_28/(ms_sk_28+ms_ss_28+ms_mu_28)</f>
        <v>0.4</v>
      </c>
      <c r="F952" s="14" t="n">
        <f aca="false">ms_ss_29/(ms_sk_29+ms_ss_29+ms_mu_29)</f>
        <v>0.4</v>
      </c>
      <c r="G952" s="14" t="n">
        <f aca="false">ms_ss_29/(ms_sk_29+ms_ss_29+ms_mu_29)</f>
        <v>0.4</v>
      </c>
    </row>
    <row r="953" customFormat="false" ht="17.15" hidden="false" customHeight="false" outlineLevel="0" collapsed="false">
      <c r="A953" s="4" t="s">
        <v>457</v>
      </c>
      <c r="B953" s="0" t="s">
        <v>62</v>
      </c>
      <c r="C953" s="14" t="n">
        <f aca="false">ms_mu_26/(ms_sk_26+ms_ss_26+ms_mu_26)</f>
        <v>0.19</v>
      </c>
      <c r="D953" s="14" t="n">
        <f aca="false">ms_mu_27/(ms_sk_27+ms_ss_27+ms_mu_27)</f>
        <v>0.2</v>
      </c>
      <c r="E953" s="14" t="n">
        <f aca="false">ms_mu_28/(ms_sk_28+ms_ss_28+ms_mu_28)</f>
        <v>0.2</v>
      </c>
      <c r="F953" s="14" t="n">
        <f aca="false">ms_mu_29/(ms_sk_29+ms_ss_29+ms_mu_29)</f>
        <v>0.2</v>
      </c>
      <c r="G953" s="14" t="n">
        <f aca="false">ms_mu_29/(ms_sk_29+ms_ss_29+ms_mu_29)</f>
        <v>0.2</v>
      </c>
    </row>
    <row r="954" customFormat="false" ht="17.15" hidden="false" customHeight="false" outlineLevel="0" collapsed="false">
      <c r="A954" s="4" t="s">
        <v>458</v>
      </c>
      <c r="B954" s="0" t="s">
        <v>62</v>
      </c>
      <c r="C954" s="14" t="n">
        <f aca="false">C951*hsk_25+C952*hss+C953*hmu_25</f>
        <v>0.412</v>
      </c>
      <c r="D954" s="14" t="n">
        <f aca="false">D951*hsk_A+D952*hss+D953*hmu_A</f>
        <v>0.339</v>
      </c>
      <c r="E954" s="14" t="n">
        <f aca="false">E951*hsk_A+E952*hss+E953*hmu_A</f>
        <v>0.33</v>
      </c>
      <c r="F954" s="14" t="n">
        <f aca="false">F951*hsk_A+F952*hss+F953*hmu_A</f>
        <v>0.33</v>
      </c>
      <c r="G954" s="14" t="n">
        <f aca="false">G951*hsk_A+G952*hss+G953*hmu_A</f>
        <v>0.33</v>
      </c>
    </row>
    <row r="955" customFormat="false" ht="17.15" hidden="false" customHeight="false" outlineLevel="0" collapsed="false">
      <c r="A955" s="4" t="s">
        <v>459</v>
      </c>
      <c r="B955" s="4" t="s">
        <v>413</v>
      </c>
      <c r="C955" s="11" t="n">
        <f aca="false">C950*C954</f>
        <v>270.440441352942</v>
      </c>
      <c r="D955" s="11" t="n">
        <f aca="false">D950*D954</f>
        <v>245.862808497115</v>
      </c>
      <c r="E955" s="11" t="n">
        <f aca="false">E950*E954</f>
        <v>312.446138431731</v>
      </c>
      <c r="F955" s="11" t="n">
        <f aca="false">F950*F954</f>
        <v>342.675488368125</v>
      </c>
      <c r="G955" s="11" t="n">
        <f aca="false">G950*G954</f>
        <v>175.17029898818</v>
      </c>
    </row>
    <row r="956" customFormat="false" ht="17.15" hidden="false" customHeight="false" outlineLevel="0" collapsed="false">
      <c r="A956" s="6" t="s">
        <v>460</v>
      </c>
    </row>
    <row r="957" customFormat="false" ht="17.15" hidden="false" customHeight="false" outlineLevel="0" collapsed="false">
      <c r="A957" s="4" t="s">
        <v>461</v>
      </c>
      <c r="B957" s="4" t="s">
        <v>226</v>
      </c>
      <c r="C957" s="11" t="n">
        <f aca="false">a25_rev-a25_hbm</f>
        <v>2895.034</v>
      </c>
      <c r="D957" s="11" t="n">
        <f aca="false">C957*(1+g_o26)</f>
        <v>3329.2891</v>
      </c>
      <c r="E957" s="11" t="n">
        <f aca="false">D957*(1+g_o_A_hi)</f>
        <v>3895.268247</v>
      </c>
      <c r="F957" s="11" t="n">
        <f aca="false">E957*(1+g_o_A_hi)</f>
        <v>4557.46384899</v>
      </c>
      <c r="G957" s="11" t="n">
        <f aca="false">F957*(1+g_o_A_hi)</f>
        <v>5332.2327033183</v>
      </c>
    </row>
    <row r="958" customFormat="false" ht="17.15" hidden="false" customHeight="false" outlineLevel="0" collapsed="false">
      <c r="A958" s="0" t="s">
        <v>462</v>
      </c>
      <c r="B958" s="4" t="s">
        <v>226</v>
      </c>
      <c r="C958" s="11" t="n">
        <f aca="false">a25_hbm</f>
        <v>2871.966</v>
      </c>
      <c r="D958" s="11" t="n">
        <f aca="false">rev26-D957</f>
        <v>4210.5109</v>
      </c>
      <c r="E958" s="11" t="n">
        <f aca="false">$C959*E955</f>
        <v>4286.03259533926</v>
      </c>
      <c r="F958" s="11" t="n">
        <f aca="false">$C959*F955</f>
        <v>4700.70880101627</v>
      </c>
      <c r="G958" s="11" t="n">
        <f aca="false">$C959*G955</f>
        <v>2402.9281173616</v>
      </c>
      <c r="I958" s="8" t="s">
        <v>463</v>
      </c>
    </row>
    <row r="959" customFormat="false" ht="17.15" hidden="false" customHeight="false" outlineLevel="0" collapsed="false">
      <c r="A959" s="4" t="s">
        <v>464</v>
      </c>
      <c r="B959" s="4" t="s">
        <v>465</v>
      </c>
      <c r="C959" s="18" t="n">
        <f aca="false">(C958+D958)/(C955+D955)</f>
        <v>13.7176686415529</v>
      </c>
      <c r="I959" s="4" t="s">
        <v>466</v>
      </c>
    </row>
    <row r="960" customFormat="false" ht="15" hidden="false" customHeight="false" outlineLevel="0" collapsed="false">
      <c r="A960" s="4" t="s">
        <v>366</v>
      </c>
      <c r="B960" s="4" t="s">
        <v>226</v>
      </c>
      <c r="C960" s="11" t="n">
        <f aca="false">a25_rev</f>
        <v>5767</v>
      </c>
      <c r="D960" s="11" t="n">
        <f aca="false">D957+D958</f>
        <v>7539.8</v>
      </c>
      <c r="E960" s="11" t="n">
        <f aca="false">E957+E958</f>
        <v>8181.30084233926</v>
      </c>
      <c r="F960" s="11" t="n">
        <f aca="false">F957+F958</f>
        <v>9258.17265000627</v>
      </c>
      <c r="G960" s="11" t="n">
        <f aca="false">G957+G958</f>
        <v>7735.1608206799</v>
      </c>
    </row>
    <row r="961" customFormat="false" ht="17.15" hidden="false" customHeight="false" outlineLevel="0" collapsed="false">
      <c r="A961" s="0" t="s">
        <v>467</v>
      </c>
      <c r="B961" s="0" t="s">
        <v>62</v>
      </c>
      <c r="C961" s="14" t="n">
        <f aca="false">C958/C960</f>
        <v>0.498</v>
      </c>
      <c r="D961" s="14" t="n">
        <f aca="false">D958/D960</f>
        <v>0.558438008965755</v>
      </c>
      <c r="E961" s="14" t="n">
        <f aca="false">E958/E960</f>
        <v>0.523881553549346</v>
      </c>
      <c r="F961" s="14" t="n">
        <f aca="false">F958/F960</f>
        <v>0.507736135274285</v>
      </c>
      <c r="G961" s="14" t="n">
        <f aca="false">G958/G960</f>
        <v>0.310650052800117</v>
      </c>
    </row>
    <row r="962" customFormat="false" ht="17.15" hidden="false" customHeight="false" outlineLevel="0" collapsed="false">
      <c r="A962" s="4" t="s">
        <v>468</v>
      </c>
      <c r="B962" s="4" t="s">
        <v>226</v>
      </c>
      <c r="C962" s="11" t="n">
        <f aca="false">opex25</f>
        <v>806.7</v>
      </c>
      <c r="D962" s="11" t="n">
        <f aca="false">opex_fix+opex_var*D960</f>
        <v>930.691482573261</v>
      </c>
      <c r="E962" s="11" t="n">
        <f aca="false">opex_fix+opex_var*E960</f>
        <v>975.558721130144</v>
      </c>
      <c r="F962" s="11" t="n">
        <f aca="false">opex_fix+opex_var*F960</f>
        <v>1050.87625947287</v>
      </c>
      <c r="G962" s="11" t="n">
        <f aca="false">opex_fix+opex_var*G960</f>
        <v>944.355222302972</v>
      </c>
      <c r="I962" s="4" t="s">
        <v>469</v>
      </c>
    </row>
    <row r="963" customFormat="false" ht="17.15" hidden="false" customHeight="false" outlineLevel="0" collapsed="false">
      <c r="A963" s="4" t="s">
        <v>436</v>
      </c>
      <c r="B963" s="0" t="s">
        <v>62</v>
      </c>
      <c r="C963" s="14" t="n">
        <f aca="false">a25_gp/a25_rev</f>
        <v>0.575793306745275</v>
      </c>
      <c r="D963" s="14" t="n">
        <f aca="false">(oi26+D962)/D960</f>
        <v>0.595267179842073</v>
      </c>
      <c r="E963" s="14" t="n">
        <f aca="false">$D963+0</f>
        <v>0.595267179842073</v>
      </c>
      <c r="F963" s="14" t="n">
        <f aca="false">$D963+0</f>
        <v>0.595267179842073</v>
      </c>
      <c r="G963" s="14" t="n">
        <f aca="false">$D963+0</f>
        <v>0.595267179842073</v>
      </c>
      <c r="I963" s="8" t="s">
        <v>470</v>
      </c>
    </row>
    <row r="964" customFormat="false" ht="15" hidden="false" customHeight="false" outlineLevel="0" collapsed="false">
      <c r="A964" s="4" t="s">
        <v>371</v>
      </c>
      <c r="B964" s="4" t="s">
        <v>226</v>
      </c>
      <c r="C964" s="11" t="n">
        <f aca="false">C960*C963</f>
        <v>3320.6</v>
      </c>
      <c r="D964" s="11" t="n">
        <f aca="false">D960*D963</f>
        <v>4488.19548257326</v>
      </c>
      <c r="E964" s="11" t="n">
        <f aca="false">E960*E963</f>
        <v>4870.05987985887</v>
      </c>
      <c r="F964" s="11" t="n">
        <f aca="false">F960*F963</f>
        <v>5511.08632386024</v>
      </c>
      <c r="G964" s="11" t="n">
        <f aca="false">G960*G963</f>
        <v>4604.48736735102</v>
      </c>
    </row>
    <row r="965" customFormat="false" ht="15" hidden="false" customHeight="false" outlineLevel="0" collapsed="false">
      <c r="A965" s="4" t="s">
        <v>374</v>
      </c>
      <c r="B965" s="4" t="s">
        <v>226</v>
      </c>
      <c r="C965" s="11" t="n">
        <f aca="false">a25_oi</f>
        <v>2513.9</v>
      </c>
      <c r="D965" s="11" t="n">
        <f aca="false">oi26</f>
        <v>3557.504</v>
      </c>
      <c r="E965" s="11" t="n">
        <f aca="false">E964-E962</f>
        <v>3894.50115872872</v>
      </c>
      <c r="F965" s="11" t="n">
        <f aca="false">F964-F962</f>
        <v>4460.21006438738</v>
      </c>
      <c r="G965" s="11" t="n">
        <f aca="false">G964-G962</f>
        <v>3660.13214504805</v>
      </c>
    </row>
    <row r="966" customFormat="false" ht="15" hidden="false" customHeight="false" outlineLevel="0" collapsed="false">
      <c r="A966" s="4" t="s">
        <v>377</v>
      </c>
      <c r="B966" s="0" t="s">
        <v>62</v>
      </c>
      <c r="C966" s="14" t="n">
        <f aca="false">C965/C960</f>
        <v>0.435911219004682</v>
      </c>
      <c r="D966" s="14" t="n">
        <f aca="false">D965/D960</f>
        <v>0.471830022016499</v>
      </c>
      <c r="E966" s="14" t="n">
        <f aca="false">E965/E960</f>
        <v>0.476024685288945</v>
      </c>
      <c r="F966" s="14" t="n">
        <f aca="false">F965/F960</f>
        <v>0.481759223229041</v>
      </c>
      <c r="G966" s="14" t="n">
        <f aca="false">G965/G960</f>
        <v>0.473181130929135</v>
      </c>
    </row>
    <row r="967" customFormat="false" ht="15" hidden="false" customHeight="false" outlineLevel="0" collapsed="false">
      <c r="A967" s="4" t="s">
        <v>437</v>
      </c>
      <c r="B967" s="4" t="s">
        <v>226</v>
      </c>
      <c r="C967" s="11" t="n">
        <f aca="false">a25_ni</f>
        <v>2140</v>
      </c>
      <c r="D967" s="11" t="n">
        <f aca="false">D965*nioi</f>
        <v>3028.38560006365</v>
      </c>
      <c r="E967" s="11" t="n">
        <f aca="false">E965*nioi</f>
        <v>3315.26014546301</v>
      </c>
      <c r="F967" s="11" t="n">
        <f aca="false">F965*nioi</f>
        <v>3796.82944341023</v>
      </c>
      <c r="G967" s="11" t="n">
        <f aca="false">G965*nioi</f>
        <v>3115.74954867052</v>
      </c>
    </row>
    <row r="968" customFormat="false" ht="15" hidden="false" customHeight="false" outlineLevel="0" collapsed="false">
      <c r="A968" s="0" t="s">
        <v>438</v>
      </c>
      <c r="B968" s="0" t="s">
        <v>302</v>
      </c>
      <c r="C968" s="11" t="n">
        <f aca="false">a25_eps</f>
        <v>2231.7</v>
      </c>
      <c r="D968" s="11" t="n">
        <f aca="false">D967*100/shares</f>
        <v>3158.15333815983</v>
      </c>
      <c r="E968" s="11" t="n">
        <f aca="false">E967*100/shares</f>
        <v>3457.32059188309</v>
      </c>
      <c r="F968" s="11" t="n">
        <f aca="false">F967*100/shares</f>
        <v>3959.52535927973</v>
      </c>
      <c r="G968" s="11" t="n">
        <f aca="false">G967*100/shares</f>
        <v>3249.26087278879</v>
      </c>
    </row>
    <row r="969" customFormat="false" ht="17.15" hidden="false" customHeight="false" outlineLevel="0" collapsed="false">
      <c r="A969" s="4" t="s">
        <v>471</v>
      </c>
      <c r="B969" s="4" t="s">
        <v>226</v>
      </c>
      <c r="C969" s="11" t="n">
        <f aca="false">$C959*C950</f>
        <v>9004.3989362985</v>
      </c>
      <c r="D969" s="11" t="n">
        <f aca="false">$C959*D950</f>
        <v>9948.86294467556</v>
      </c>
      <c r="E969" s="11" t="n">
        <f aca="false">$C959*E950</f>
        <v>12987.9775616341</v>
      </c>
      <c r="F969" s="11" t="n">
        <f aca="false">$C959*F950</f>
        <v>14244.5721242917</v>
      </c>
      <c r="G969" s="11" t="n">
        <f aca="false">$C959*G950</f>
        <v>7281.60035564122</v>
      </c>
      <c r="I969" s="4" t="s">
        <v>472</v>
      </c>
    </row>
    <row r="970" customFormat="false" ht="15" hidden="false" customHeight="false" outlineLevel="0" collapsed="false">
      <c r="A970" s="4" t="s">
        <v>473</v>
      </c>
      <c r="B970" s="0" t="s">
        <v>333</v>
      </c>
      <c r="C970" s="11" t="n">
        <f aca="false">C969/fx*100</f>
        <v>634.112601147782</v>
      </c>
      <c r="D970" s="11" t="n">
        <f aca="false">D969/fx*100</f>
        <v>700.62415103349</v>
      </c>
      <c r="E970" s="11" t="n">
        <f aca="false">E969/fx*100</f>
        <v>914.646307157333</v>
      </c>
      <c r="F970" s="11" t="n">
        <f aca="false">F969/fx*100</f>
        <v>1003.13888199238</v>
      </c>
      <c r="G970" s="11" t="n">
        <f aca="false">G969/fx*100</f>
        <v>512.788757439523</v>
      </c>
    </row>
    <row r="980" customFormat="false" ht="17.15" hidden="false" customHeight="false" outlineLevel="0" collapsed="false">
      <c r="A980" s="1" t="s">
        <v>683</v>
      </c>
    </row>
    <row r="981" customFormat="false" ht="15" hidden="false" customHeight="false" outlineLevel="0" collapsed="false">
      <c r="A981" s="5" t="s">
        <v>14</v>
      </c>
      <c r="B981" s="5" t="s">
        <v>15</v>
      </c>
      <c r="C981" s="9" t="s">
        <v>401</v>
      </c>
      <c r="D981" s="9" t="s">
        <v>402</v>
      </c>
      <c r="E981" s="9" t="s">
        <v>403</v>
      </c>
      <c r="F981" s="9" t="s">
        <v>404</v>
      </c>
      <c r="G981" s="9" t="s">
        <v>405</v>
      </c>
      <c r="H981" s="9" t="s">
        <v>406</v>
      </c>
      <c r="I981" s="5" t="s">
        <v>407</v>
      </c>
    </row>
    <row r="982" customFormat="false" ht="17.15" hidden="false" customHeight="false" outlineLevel="0" collapsed="false">
      <c r="A982" s="6" t="s">
        <v>441</v>
      </c>
    </row>
    <row r="983" customFormat="false" ht="17.15" hidden="false" customHeight="false" outlineLevel="0" collapsed="false">
      <c r="A983" s="0" t="s">
        <v>442</v>
      </c>
      <c r="B983" s="0" t="s">
        <v>25</v>
      </c>
      <c r="C983" s="17" t="n">
        <f aca="false">hsA_25</f>
        <v>2.22511470588235</v>
      </c>
      <c r="D983" s="17" t="n">
        <f aca="false">hsA_26</f>
        <v>3.782695</v>
      </c>
      <c r="E983" s="17" t="n">
        <f aca="false">hsA_27</f>
        <v>5.86317725</v>
      </c>
      <c r="F983" s="17" t="n">
        <f aca="false">hsA_28</f>
        <v>8.5016070125</v>
      </c>
      <c r="G983" s="17" t="n">
        <f aca="false">hsA_29</f>
        <v>11.477169466875</v>
      </c>
      <c r="H983" s="17" t="n">
        <f aca="false">G983*(1+g_tail)</f>
        <v>12.6248864135625</v>
      </c>
      <c r="I983" s="8" t="s">
        <v>443</v>
      </c>
    </row>
    <row r="984" customFormat="false" ht="17.15" hidden="false" customHeight="false" outlineLevel="0" collapsed="false">
      <c r="A984" s="0" t="s">
        <v>444</v>
      </c>
      <c r="B984" s="0" t="s">
        <v>445</v>
      </c>
      <c r="C984" s="15" t="n">
        <f aca="false">den_25</f>
        <v>24</v>
      </c>
      <c r="D984" s="15" t="n">
        <f aca="false">den_26</f>
        <v>24</v>
      </c>
      <c r="E984" s="15" t="n">
        <f aca="false">den_27</f>
        <v>26</v>
      </c>
      <c r="F984" s="15" t="n">
        <f aca="false">den_28</f>
        <v>28</v>
      </c>
      <c r="G984" s="15" t="n">
        <f aca="false">den_29</f>
        <v>30</v>
      </c>
      <c r="H984" s="15" t="n">
        <f aca="false">den_30</f>
        <v>32</v>
      </c>
    </row>
    <row r="985" customFormat="false" ht="17.15" hidden="false" customHeight="false" outlineLevel="0" collapsed="false">
      <c r="A985" s="4" t="s">
        <v>446</v>
      </c>
      <c r="B985" s="4" t="s">
        <v>411</v>
      </c>
      <c r="C985" s="11" t="n">
        <f aca="false">C983*8000/C984</f>
        <v>741.704901960783</v>
      </c>
      <c r="D985" s="11" t="n">
        <f aca="false">D983*8000/D984</f>
        <v>1260.89833333333</v>
      </c>
      <c r="E985" s="11" t="n">
        <f aca="false">E983*8000/E984</f>
        <v>1804.05453846154</v>
      </c>
      <c r="F985" s="11" t="n">
        <f aca="false">F983*8000/F984</f>
        <v>2429.030575</v>
      </c>
      <c r="G985" s="11" t="n">
        <f aca="false">G983*8000/G984</f>
        <v>3060.5785245</v>
      </c>
      <c r="H985" s="11" t="n">
        <f aca="false">H983*8000/H984</f>
        <v>3156.22160339063</v>
      </c>
      <c r="I985" s="8" t="s">
        <v>447</v>
      </c>
    </row>
    <row r="986" customFormat="false" ht="15" hidden="false" customHeight="false" outlineLevel="0" collapsed="false">
      <c r="A986" s="4" t="s">
        <v>448</v>
      </c>
      <c r="B986" s="4" t="s">
        <v>89</v>
      </c>
      <c r="C986" s="15" t="n">
        <f aca="false">stk_25</f>
        <v>10</v>
      </c>
      <c r="D986" s="15" t="n">
        <f aca="false">stk_26</f>
        <v>12</v>
      </c>
      <c r="E986" s="15" t="n">
        <f aca="false">stk_27</f>
        <v>12.5</v>
      </c>
      <c r="F986" s="15" t="n">
        <f aca="false">stk_28</f>
        <v>14</v>
      </c>
      <c r="G986" s="15" t="n">
        <f aca="false">stk_29</f>
        <v>15</v>
      </c>
      <c r="H986" s="15" t="n">
        <f aca="false">stk_30</f>
        <v>16</v>
      </c>
    </row>
    <row r="987" customFormat="false" ht="15" hidden="false" customHeight="false" outlineLevel="0" collapsed="false">
      <c r="A987" s="4" t="s">
        <v>449</v>
      </c>
      <c r="B987" s="0" t="s">
        <v>109</v>
      </c>
      <c r="C987" s="18" t="n">
        <f aca="false">1+beta*(C986-$C986)/4</f>
        <v>1</v>
      </c>
      <c r="D987" s="18" t="n">
        <f aca="false">1+beta*(D986-$C986)/4</f>
        <v>1.05</v>
      </c>
      <c r="E987" s="18" t="n">
        <f aca="false">1+beta*(E986-$C986)/4</f>
        <v>1.0625</v>
      </c>
      <c r="F987" s="18" t="n">
        <f aca="false">1+beta*(F986-$C986)/4</f>
        <v>1.1</v>
      </c>
      <c r="G987" s="18" t="n">
        <f aca="false">1+beta*(G986-$C986)/4</f>
        <v>1.125</v>
      </c>
      <c r="H987" s="18" t="n">
        <f aca="false">1+beta*(H986-$C986)/4</f>
        <v>1.15</v>
      </c>
    </row>
    <row r="988" customFormat="false" ht="17.15" hidden="false" customHeight="false" outlineLevel="0" collapsed="false">
      <c r="A988" s="4" t="s">
        <v>450</v>
      </c>
      <c r="B988" s="0" t="s">
        <v>62</v>
      </c>
      <c r="C988" s="14" t="n">
        <f aca="false">0</f>
        <v>0</v>
      </c>
      <c r="D988" s="14" t="n">
        <f aca="false">0</f>
        <v>0</v>
      </c>
      <c r="E988" s="14" t="n">
        <f aca="false">0</f>
        <v>0</v>
      </c>
      <c r="F988" s="14" t="n">
        <f aca="false">0</f>
        <v>0</v>
      </c>
      <c r="G988" s="14" t="n">
        <f aca="false">0</f>
        <v>0</v>
      </c>
      <c r="H988" s="14" t="n">
        <f aca="false">0</f>
        <v>0</v>
      </c>
      <c r="I988" s="4" t="s">
        <v>451</v>
      </c>
    </row>
    <row r="989" customFormat="false" ht="17.15" hidden="false" customHeight="false" outlineLevel="0" collapsed="false">
      <c r="A989" s="0" t="s">
        <v>452</v>
      </c>
      <c r="B989" s="4" t="s">
        <v>413</v>
      </c>
      <c r="C989" s="11" t="n">
        <f aca="false">C985*C987*(1-C988)</f>
        <v>741.704901960783</v>
      </c>
      <c r="D989" s="11" t="n">
        <f aca="false">D985*D987*(1-D988)</f>
        <v>1323.94325</v>
      </c>
      <c r="E989" s="11" t="n">
        <f aca="false">E985*E987*(1-E988)</f>
        <v>1916.80794711538</v>
      </c>
      <c r="F989" s="11" t="n">
        <f aca="false">F985*F987*(1-F988)</f>
        <v>2671.9336325</v>
      </c>
      <c r="G989" s="11" t="n">
        <f aca="false">G985*G987*(1-G988)</f>
        <v>3443.1508400625</v>
      </c>
      <c r="H989" s="11" t="n">
        <f aca="false">H985*H987*(1-H988)</f>
        <v>3629.65484389922</v>
      </c>
    </row>
    <row r="990" customFormat="false" ht="17.15" hidden="false" customHeight="false" outlineLevel="0" collapsed="false">
      <c r="A990" s="4" t="s">
        <v>453</v>
      </c>
      <c r="B990" s="4" t="s">
        <v>413</v>
      </c>
      <c r="C990" s="11" t="n">
        <f aca="false">MAX(0,D989-C989)+dlt*C989</f>
        <v>656.408838235295</v>
      </c>
      <c r="D990" s="11" t="n">
        <f aca="false">MAX(0,E989-D989)+dlt*D989</f>
        <v>725.259022115385</v>
      </c>
      <c r="E990" s="11" t="n">
        <f aca="false">MAX(0,F989-E989)+dlt*E989</f>
        <v>946.806480096154</v>
      </c>
      <c r="F990" s="11" t="n">
        <f aca="false">MAX(0,G989-F989)+dlt*F989</f>
        <v>1038.4105708125</v>
      </c>
      <c r="G990" s="11" t="n">
        <f aca="false">MAX(0,H989-G989)+dlt*G989</f>
        <v>530.819087842968</v>
      </c>
      <c r="I990" s="4" t="s">
        <v>454</v>
      </c>
    </row>
    <row r="991" customFormat="false" ht="17.15" hidden="false" customHeight="false" outlineLevel="0" collapsed="false">
      <c r="A991" s="0" t="s">
        <v>455</v>
      </c>
      <c r="B991" s="0" t="s">
        <v>62</v>
      </c>
      <c r="C991" s="14" t="n">
        <f aca="false">ms_sk_26/(ms_sk_26+ms_ss_26+ms_mu_26)</f>
        <v>0.52</v>
      </c>
      <c r="D991" s="14" t="n">
        <f aca="false">ms_sk_27/(ms_sk_27+ms_ss_27+ms_mu_27)</f>
        <v>0.42</v>
      </c>
      <c r="E991" s="14" t="n">
        <f aca="false">ms_sk_28/(ms_sk_28+ms_ss_28+ms_mu_28)</f>
        <v>0.4</v>
      </c>
      <c r="F991" s="14" t="n">
        <f aca="false">ms_sk_29/(ms_sk_29+ms_ss_29+ms_mu_29)</f>
        <v>0.4</v>
      </c>
      <c r="G991" s="14" t="n">
        <f aca="false">ms_sk_29/(ms_sk_29+ms_ss_29+ms_mu_29)</f>
        <v>0.4</v>
      </c>
    </row>
    <row r="992" customFormat="false" ht="17.15" hidden="false" customHeight="false" outlineLevel="0" collapsed="false">
      <c r="A992" s="4" t="s">
        <v>456</v>
      </c>
      <c r="B992" s="0" t="s">
        <v>62</v>
      </c>
      <c r="C992" s="14" t="n">
        <f aca="false">ms_ss_26/(ms_sk_26+ms_ss_26+ms_mu_26)</f>
        <v>0.29</v>
      </c>
      <c r="D992" s="14" t="n">
        <f aca="false">ms_ss_27/(ms_sk_27+ms_ss_27+ms_mu_27)</f>
        <v>0.38</v>
      </c>
      <c r="E992" s="14" t="n">
        <f aca="false">ms_ss_28/(ms_sk_28+ms_ss_28+ms_mu_28)</f>
        <v>0.4</v>
      </c>
      <c r="F992" s="14" t="n">
        <f aca="false">ms_ss_29/(ms_sk_29+ms_ss_29+ms_mu_29)</f>
        <v>0.4</v>
      </c>
      <c r="G992" s="14" t="n">
        <f aca="false">ms_ss_29/(ms_sk_29+ms_ss_29+ms_mu_29)</f>
        <v>0.4</v>
      </c>
    </row>
    <row r="993" customFormat="false" ht="17.15" hidden="false" customHeight="false" outlineLevel="0" collapsed="false">
      <c r="A993" s="4" t="s">
        <v>457</v>
      </c>
      <c r="B993" s="0" t="s">
        <v>62</v>
      </c>
      <c r="C993" s="14" t="n">
        <f aca="false">ms_mu_26/(ms_sk_26+ms_ss_26+ms_mu_26)</f>
        <v>0.19</v>
      </c>
      <c r="D993" s="14" t="n">
        <f aca="false">ms_mu_27/(ms_sk_27+ms_ss_27+ms_mu_27)</f>
        <v>0.2</v>
      </c>
      <c r="E993" s="14" t="n">
        <f aca="false">ms_mu_28/(ms_sk_28+ms_ss_28+ms_mu_28)</f>
        <v>0.2</v>
      </c>
      <c r="F993" s="14" t="n">
        <f aca="false">ms_mu_29/(ms_sk_29+ms_ss_29+ms_mu_29)</f>
        <v>0.2</v>
      </c>
      <c r="G993" s="14" t="n">
        <f aca="false">ms_mu_29/(ms_sk_29+ms_ss_29+ms_mu_29)</f>
        <v>0.2</v>
      </c>
    </row>
    <row r="994" customFormat="false" ht="17.15" hidden="false" customHeight="false" outlineLevel="0" collapsed="false">
      <c r="A994" s="4" t="s">
        <v>458</v>
      </c>
      <c r="B994" s="0" t="s">
        <v>62</v>
      </c>
      <c r="C994" s="14" t="n">
        <f aca="false">C991*hsk_25+C992*hss+C993*hmu_25</f>
        <v>0.412</v>
      </c>
      <c r="D994" s="14" t="n">
        <f aca="false">D991*hsk_A+D992*hss+D993*hmu_A</f>
        <v>0.339</v>
      </c>
      <c r="E994" s="14" t="n">
        <f aca="false">E991*hsk_A+E992*hss+E993*hmu_A</f>
        <v>0.33</v>
      </c>
      <c r="F994" s="14" t="n">
        <f aca="false">F991*hsk_A+F992*hss+F993*hmu_A</f>
        <v>0.33</v>
      </c>
      <c r="G994" s="14" t="n">
        <f aca="false">G991*hsk_A+G992*hss+G993*hmu_A</f>
        <v>0.33</v>
      </c>
    </row>
    <row r="995" customFormat="false" ht="17.15" hidden="false" customHeight="false" outlineLevel="0" collapsed="false">
      <c r="A995" s="4" t="s">
        <v>459</v>
      </c>
      <c r="B995" s="4" t="s">
        <v>413</v>
      </c>
      <c r="C995" s="11" t="n">
        <f aca="false">C990*C994</f>
        <v>270.440441352942</v>
      </c>
      <c r="D995" s="11" t="n">
        <f aca="false">D990*D994</f>
        <v>245.862808497115</v>
      </c>
      <c r="E995" s="11" t="n">
        <f aca="false">E990*E994</f>
        <v>312.446138431731</v>
      </c>
      <c r="F995" s="11" t="n">
        <f aca="false">F990*F994</f>
        <v>342.675488368125</v>
      </c>
      <c r="G995" s="11" t="n">
        <f aca="false">G990*G994</f>
        <v>175.17029898818</v>
      </c>
    </row>
    <row r="996" customFormat="false" ht="17.15" hidden="false" customHeight="false" outlineLevel="0" collapsed="false">
      <c r="A996" s="6" t="s">
        <v>460</v>
      </c>
    </row>
    <row r="997" customFormat="false" ht="17.15" hidden="false" customHeight="false" outlineLevel="0" collapsed="false">
      <c r="A997" s="4" t="s">
        <v>461</v>
      </c>
      <c r="B997" s="4" t="s">
        <v>226</v>
      </c>
      <c r="C997" s="11" t="n">
        <f aca="false">a25_rev-a25_hbm</f>
        <v>2895.034</v>
      </c>
      <c r="D997" s="11" t="n">
        <f aca="false">C997*(1+g_o26)</f>
        <v>3329.2891</v>
      </c>
      <c r="E997" s="11" t="n">
        <f aca="false">D997*(1+g_o_A)</f>
        <v>3728.803792</v>
      </c>
      <c r="F997" s="11" t="n">
        <f aca="false">E997*(1+g_o_A)</f>
        <v>4176.26024704</v>
      </c>
      <c r="G997" s="11" t="n">
        <f aca="false">F997*(1+g_o_A)</f>
        <v>4677.4114766848</v>
      </c>
    </row>
    <row r="998" customFormat="false" ht="17.15" hidden="false" customHeight="false" outlineLevel="0" collapsed="false">
      <c r="A998" s="0" t="s">
        <v>462</v>
      </c>
      <c r="B998" s="4" t="s">
        <v>226</v>
      </c>
      <c r="C998" s="11" t="n">
        <f aca="false">a25_hbm</f>
        <v>2871.966</v>
      </c>
      <c r="D998" s="11" t="n">
        <f aca="false">rev26-D997</f>
        <v>4210.5109</v>
      </c>
      <c r="E998" s="11" t="n">
        <f aca="false">$C999*E995</f>
        <v>4286.03259533926</v>
      </c>
      <c r="F998" s="11" t="n">
        <f aca="false">$C999*F995</f>
        <v>4700.70880101627</v>
      </c>
      <c r="G998" s="11" t="n">
        <f aca="false">$C999*G995</f>
        <v>2402.9281173616</v>
      </c>
      <c r="I998" s="8" t="s">
        <v>463</v>
      </c>
    </row>
    <row r="999" customFormat="false" ht="17.15" hidden="false" customHeight="false" outlineLevel="0" collapsed="false">
      <c r="A999" s="4" t="s">
        <v>464</v>
      </c>
      <c r="B999" s="4" t="s">
        <v>465</v>
      </c>
      <c r="C999" s="18" t="n">
        <f aca="false">(C998+D998)/(C995+D995)</f>
        <v>13.7176686415529</v>
      </c>
      <c r="I999" s="4" t="s">
        <v>466</v>
      </c>
    </row>
    <row r="1000" customFormat="false" ht="15" hidden="false" customHeight="false" outlineLevel="0" collapsed="false">
      <c r="A1000" s="4" t="s">
        <v>366</v>
      </c>
      <c r="B1000" s="4" t="s">
        <v>226</v>
      </c>
      <c r="C1000" s="11" t="n">
        <f aca="false">a25_rev</f>
        <v>5767</v>
      </c>
      <c r="D1000" s="11" t="n">
        <f aca="false">D997+D998</f>
        <v>7539.8</v>
      </c>
      <c r="E1000" s="11" t="n">
        <f aca="false">E997+E998</f>
        <v>8014.83638733926</v>
      </c>
      <c r="F1000" s="11" t="n">
        <f aca="false">F997+F998</f>
        <v>8876.96904805627</v>
      </c>
      <c r="G1000" s="11" t="n">
        <f aca="false">G997+G998</f>
        <v>7080.33959404641</v>
      </c>
    </row>
    <row r="1001" customFormat="false" ht="17.15" hidden="false" customHeight="false" outlineLevel="0" collapsed="false">
      <c r="A1001" s="0" t="s">
        <v>467</v>
      </c>
      <c r="B1001" s="0" t="s">
        <v>62</v>
      </c>
      <c r="C1001" s="14" t="n">
        <f aca="false">C998/C1000</f>
        <v>0.498</v>
      </c>
      <c r="D1001" s="14" t="n">
        <f aca="false">D998/D1000</f>
        <v>0.558438008965755</v>
      </c>
      <c r="E1001" s="14" t="n">
        <f aca="false">E998/E1000</f>
        <v>0.534762331781314</v>
      </c>
      <c r="F1001" s="14" t="n">
        <f aca="false">F998/F1000</f>
        <v>0.529539843562432</v>
      </c>
      <c r="G1001" s="14" t="n">
        <f aca="false">G998/G1000</f>
        <v>0.339380348279077</v>
      </c>
    </row>
    <row r="1002" customFormat="false" ht="17.15" hidden="false" customHeight="false" outlineLevel="0" collapsed="false">
      <c r="A1002" s="4" t="s">
        <v>468</v>
      </c>
      <c r="B1002" s="4" t="s">
        <v>226</v>
      </c>
      <c r="C1002" s="11" t="n">
        <f aca="false">opex25</f>
        <v>806.7</v>
      </c>
      <c r="D1002" s="11" t="n">
        <f aca="false">(1-phi_lo)*opex25+phi_lo*opex25/a25_rev*D1000</f>
        <v>881.094889543957</v>
      </c>
      <c r="E1002" s="11" t="n">
        <f aca="false">(1-phi_lo)*opex25+phi_lo*opex25/a25_rev*E1000</f>
        <v>901.029614028086</v>
      </c>
      <c r="F1002" s="11" t="n">
        <f aca="false">(1-phi_lo)*opex25+phi_lo*opex25/a25_rev*F1000</f>
        <v>937.208688975221</v>
      </c>
      <c r="G1002" s="11" t="n">
        <f aca="false">(1-phi_lo)*opex25+phi_lo*opex25/a25_rev*G1000</f>
        <v>861.813805298278</v>
      </c>
      <c r="I1002" s="4" t="s">
        <v>469</v>
      </c>
    </row>
    <row r="1003" customFormat="false" ht="17.15" hidden="false" customHeight="false" outlineLevel="0" collapsed="false">
      <c r="A1003" s="4" t="s">
        <v>436</v>
      </c>
      <c r="B1003" s="0" t="s">
        <v>62</v>
      </c>
      <c r="C1003" s="14" t="n">
        <f aca="false">a25_gp/a25_rev</f>
        <v>0.575793306745275</v>
      </c>
      <c r="D1003" s="14" t="n">
        <f aca="false">(oi26+D1002)/D1000</f>
        <v>0.588689207876065</v>
      </c>
      <c r="E1003" s="14" t="n">
        <f aca="false">$D1003+0</f>
        <v>0.588689207876065</v>
      </c>
      <c r="F1003" s="14" t="n">
        <f aca="false">$D1003+0</f>
        <v>0.588689207876065</v>
      </c>
      <c r="G1003" s="14" t="n">
        <f aca="false">$D1003+0</f>
        <v>0.588689207876065</v>
      </c>
      <c r="I1003" s="8" t="s">
        <v>470</v>
      </c>
    </row>
    <row r="1004" customFormat="false" ht="15" hidden="false" customHeight="false" outlineLevel="0" collapsed="false">
      <c r="A1004" s="4" t="s">
        <v>371</v>
      </c>
      <c r="B1004" s="4" t="s">
        <v>226</v>
      </c>
      <c r="C1004" s="11" t="n">
        <f aca="false">C1000*C1003</f>
        <v>3320.6</v>
      </c>
      <c r="D1004" s="11" t="n">
        <f aca="false">D1000*D1003</f>
        <v>4438.59888954396</v>
      </c>
      <c r="E1004" s="11" t="n">
        <f aca="false">E1000*E1003</f>
        <v>4718.24768411902</v>
      </c>
      <c r="F1004" s="11" t="n">
        <f aca="false">F1000*F1003</f>
        <v>5225.7758772406</v>
      </c>
      <c r="G1004" s="11" t="n">
        <f aca="false">G1000*G1003</f>
        <v>4168.11950711272</v>
      </c>
    </row>
    <row r="1005" customFormat="false" ht="15" hidden="false" customHeight="false" outlineLevel="0" collapsed="false">
      <c r="A1005" s="4" t="s">
        <v>374</v>
      </c>
      <c r="B1005" s="4" t="s">
        <v>226</v>
      </c>
      <c r="C1005" s="11" t="n">
        <f aca="false">a25_oi</f>
        <v>2513.9</v>
      </c>
      <c r="D1005" s="11" t="n">
        <f aca="false">oi26</f>
        <v>3557.504</v>
      </c>
      <c r="E1005" s="11" t="n">
        <f aca="false">E1004-E1002</f>
        <v>3817.21807009093</v>
      </c>
      <c r="F1005" s="11" t="n">
        <f aca="false">F1004-F1002</f>
        <v>4288.56718826538</v>
      </c>
      <c r="G1005" s="11" t="n">
        <f aca="false">G1004-G1002</f>
        <v>3306.30570181444</v>
      </c>
    </row>
    <row r="1006" customFormat="false" ht="15" hidden="false" customHeight="false" outlineLevel="0" collapsed="false">
      <c r="A1006" s="4" t="s">
        <v>377</v>
      </c>
      <c r="B1006" s="0" t="s">
        <v>62</v>
      </c>
      <c r="C1006" s="14" t="n">
        <f aca="false">C1005/C1000</f>
        <v>0.435911219004682</v>
      </c>
      <c r="D1006" s="14" t="n">
        <f aca="false">D1005/D1000</f>
        <v>0.471830022016499</v>
      </c>
      <c r="E1006" s="14" t="n">
        <f aca="false">E1005/E1000</f>
        <v>0.476268994850705</v>
      </c>
      <c r="F1006" s="14" t="n">
        <f aca="false">F1005/F1000</f>
        <v>0.483111652755443</v>
      </c>
      <c r="G1006" s="14" t="n">
        <f aca="false">G1005/G1000</f>
        <v>0.466969932430161</v>
      </c>
    </row>
    <row r="1007" customFormat="false" ht="15" hidden="false" customHeight="false" outlineLevel="0" collapsed="false">
      <c r="A1007" s="4" t="s">
        <v>437</v>
      </c>
      <c r="B1007" s="4" t="s">
        <v>226</v>
      </c>
      <c r="C1007" s="11" t="n">
        <f aca="false">a25_ni</f>
        <v>2140</v>
      </c>
      <c r="D1007" s="11" t="n">
        <f aca="false">D1005*nioi</f>
        <v>3028.38560006365</v>
      </c>
      <c r="E1007" s="11" t="n">
        <f aca="false">E1005*nioi</f>
        <v>3249.4716058692</v>
      </c>
      <c r="F1007" s="11" t="n">
        <f aca="false">F1005*nioi</f>
        <v>3650.71553478177</v>
      </c>
      <c r="G1007" s="11" t="n">
        <f aca="false">G1005*nioi</f>
        <v>2814.54878948363</v>
      </c>
    </row>
    <row r="1008" customFormat="false" ht="15" hidden="false" customHeight="false" outlineLevel="0" collapsed="false">
      <c r="A1008" s="0" t="s">
        <v>438</v>
      </c>
      <c r="B1008" s="0" t="s">
        <v>302</v>
      </c>
      <c r="C1008" s="11" t="n">
        <f aca="false">a25_eps</f>
        <v>2231.7</v>
      </c>
      <c r="D1008" s="11" t="n">
        <f aca="false">D1007*100/shares</f>
        <v>3158.15333815983</v>
      </c>
      <c r="E1008" s="11" t="n">
        <f aca="false">E1007*100/shares</f>
        <v>3388.71298262537</v>
      </c>
      <c r="F1008" s="11" t="n">
        <f aca="false">F1007*100/shares</f>
        <v>3807.15040138901</v>
      </c>
      <c r="G1008" s="11" t="n">
        <f aca="false">G1007*100/shares</f>
        <v>2935.15352032272</v>
      </c>
    </row>
    <row r="1009" customFormat="false" ht="17.15" hidden="false" customHeight="false" outlineLevel="0" collapsed="false">
      <c r="A1009" s="4" t="s">
        <v>471</v>
      </c>
      <c r="B1009" s="4" t="s">
        <v>226</v>
      </c>
      <c r="C1009" s="11" t="n">
        <f aca="false">$C999*C990</f>
        <v>9004.3989362985</v>
      </c>
      <c r="D1009" s="11" t="n">
        <f aca="false">$C999*D990</f>
        <v>9948.86294467556</v>
      </c>
      <c r="E1009" s="11" t="n">
        <f aca="false">$C999*E990</f>
        <v>12987.9775616341</v>
      </c>
      <c r="F1009" s="11" t="n">
        <f aca="false">$C999*F990</f>
        <v>14244.5721242917</v>
      </c>
      <c r="G1009" s="11" t="n">
        <f aca="false">$C999*G990</f>
        <v>7281.60035564122</v>
      </c>
      <c r="I1009" s="4" t="s">
        <v>472</v>
      </c>
    </row>
    <row r="1010" customFormat="false" ht="15" hidden="false" customHeight="false" outlineLevel="0" collapsed="false">
      <c r="A1010" s="4" t="s">
        <v>473</v>
      </c>
      <c r="B1010" s="0" t="s">
        <v>333</v>
      </c>
      <c r="C1010" s="11" t="n">
        <f aca="false">C1009/fx*100</f>
        <v>634.112601147782</v>
      </c>
      <c r="D1010" s="11" t="n">
        <f aca="false">D1009/fx*100</f>
        <v>700.62415103349</v>
      </c>
      <c r="E1010" s="11" t="n">
        <f aca="false">E1009/fx*100</f>
        <v>914.646307157333</v>
      </c>
      <c r="F1010" s="11" t="n">
        <f aca="false">F1009/fx*100</f>
        <v>1003.13888199238</v>
      </c>
      <c r="G1010" s="11" t="n">
        <f aca="false">G1009/fx*100</f>
        <v>512.788757439523</v>
      </c>
    </row>
    <row r="1020" customFormat="false" ht="17.15" hidden="false" customHeight="false" outlineLevel="0" collapsed="false">
      <c r="A1020" s="1" t="s">
        <v>684</v>
      </c>
    </row>
    <row r="1021" customFormat="false" ht="15" hidden="false" customHeight="false" outlineLevel="0" collapsed="false">
      <c r="A1021" s="5" t="s">
        <v>14</v>
      </c>
      <c r="B1021" s="5" t="s">
        <v>15</v>
      </c>
      <c r="C1021" s="9" t="s">
        <v>401</v>
      </c>
      <c r="D1021" s="9" t="s">
        <v>402</v>
      </c>
      <c r="E1021" s="9" t="s">
        <v>403</v>
      </c>
      <c r="F1021" s="9" t="s">
        <v>404</v>
      </c>
      <c r="G1021" s="9" t="s">
        <v>405</v>
      </c>
      <c r="H1021" s="9" t="s">
        <v>406</v>
      </c>
      <c r="I1021" s="5" t="s">
        <v>407</v>
      </c>
    </row>
    <row r="1022" customFormat="false" ht="17.15" hidden="false" customHeight="false" outlineLevel="0" collapsed="false">
      <c r="A1022" s="6" t="s">
        <v>441</v>
      </c>
    </row>
    <row r="1023" customFormat="false" ht="17.15" hidden="false" customHeight="false" outlineLevel="0" collapsed="false">
      <c r="A1023" s="0" t="s">
        <v>442</v>
      </c>
      <c r="B1023" s="0" t="s">
        <v>25</v>
      </c>
      <c r="C1023" s="17" t="n">
        <f aca="false">hsA_25</f>
        <v>2.22511470588235</v>
      </c>
      <c r="D1023" s="17" t="n">
        <f aca="false">hsA_26</f>
        <v>3.782695</v>
      </c>
      <c r="E1023" s="17" t="n">
        <f aca="false">hsA_27</f>
        <v>5.86317725</v>
      </c>
      <c r="F1023" s="17" t="n">
        <f aca="false">hsA_28</f>
        <v>8.5016070125</v>
      </c>
      <c r="G1023" s="17" t="n">
        <f aca="false">hsA_29</f>
        <v>11.477169466875</v>
      </c>
      <c r="H1023" s="17" t="n">
        <f aca="false">G1023*(1+g_tail)</f>
        <v>12.6248864135625</v>
      </c>
      <c r="I1023" s="8" t="s">
        <v>443</v>
      </c>
    </row>
    <row r="1024" customFormat="false" ht="17.15" hidden="false" customHeight="false" outlineLevel="0" collapsed="false">
      <c r="A1024" s="0" t="s">
        <v>444</v>
      </c>
      <c r="B1024" s="0" t="s">
        <v>445</v>
      </c>
      <c r="C1024" s="15" t="n">
        <f aca="false">den_25</f>
        <v>24</v>
      </c>
      <c r="D1024" s="15" t="n">
        <f aca="false">den_26</f>
        <v>24</v>
      </c>
      <c r="E1024" s="15" t="n">
        <f aca="false">den_27</f>
        <v>26</v>
      </c>
      <c r="F1024" s="15" t="n">
        <f aca="false">den_28</f>
        <v>28</v>
      </c>
      <c r="G1024" s="15" t="n">
        <f aca="false">den_29</f>
        <v>30</v>
      </c>
      <c r="H1024" s="15" t="n">
        <f aca="false">den_30</f>
        <v>32</v>
      </c>
    </row>
    <row r="1025" customFormat="false" ht="17.15" hidden="false" customHeight="false" outlineLevel="0" collapsed="false">
      <c r="A1025" s="4" t="s">
        <v>446</v>
      </c>
      <c r="B1025" s="4" t="s">
        <v>411</v>
      </c>
      <c r="C1025" s="11" t="n">
        <f aca="false">C1023*8000/C1024</f>
        <v>741.704901960783</v>
      </c>
      <c r="D1025" s="11" t="n">
        <f aca="false">D1023*8000/D1024</f>
        <v>1260.89833333333</v>
      </c>
      <c r="E1025" s="11" t="n">
        <f aca="false">E1023*8000/E1024</f>
        <v>1804.05453846154</v>
      </c>
      <c r="F1025" s="11" t="n">
        <f aca="false">F1023*8000/F1024</f>
        <v>2429.030575</v>
      </c>
      <c r="G1025" s="11" t="n">
        <f aca="false">G1023*8000/G1024</f>
        <v>3060.5785245</v>
      </c>
      <c r="H1025" s="11" t="n">
        <f aca="false">H1023*8000/H1024</f>
        <v>3156.22160339063</v>
      </c>
      <c r="I1025" s="8" t="s">
        <v>447</v>
      </c>
    </row>
    <row r="1026" customFormat="false" ht="15" hidden="false" customHeight="false" outlineLevel="0" collapsed="false">
      <c r="A1026" s="4" t="s">
        <v>448</v>
      </c>
      <c r="B1026" s="4" t="s">
        <v>89</v>
      </c>
      <c r="C1026" s="15" t="n">
        <f aca="false">stk_25</f>
        <v>10</v>
      </c>
      <c r="D1026" s="15" t="n">
        <f aca="false">stk_26</f>
        <v>12</v>
      </c>
      <c r="E1026" s="15" t="n">
        <f aca="false">stk_27</f>
        <v>12.5</v>
      </c>
      <c r="F1026" s="15" t="n">
        <f aca="false">stk_28</f>
        <v>14</v>
      </c>
      <c r="G1026" s="15" t="n">
        <f aca="false">stk_29</f>
        <v>15</v>
      </c>
      <c r="H1026" s="15" t="n">
        <f aca="false">stk_30</f>
        <v>16</v>
      </c>
    </row>
    <row r="1027" customFormat="false" ht="15" hidden="false" customHeight="false" outlineLevel="0" collapsed="false">
      <c r="A1027" s="4" t="s">
        <v>449</v>
      </c>
      <c r="B1027" s="0" t="s">
        <v>109</v>
      </c>
      <c r="C1027" s="18" t="n">
        <f aca="false">1+beta*(C1026-$C1026)/4</f>
        <v>1</v>
      </c>
      <c r="D1027" s="18" t="n">
        <f aca="false">1+beta*(D1026-$C1026)/4</f>
        <v>1.05</v>
      </c>
      <c r="E1027" s="18" t="n">
        <f aca="false">1+beta*(E1026-$C1026)/4</f>
        <v>1.0625</v>
      </c>
      <c r="F1027" s="18" t="n">
        <f aca="false">1+beta*(F1026-$C1026)/4</f>
        <v>1.1</v>
      </c>
      <c r="G1027" s="18" t="n">
        <f aca="false">1+beta*(G1026-$C1026)/4</f>
        <v>1.125</v>
      </c>
      <c r="H1027" s="18" t="n">
        <f aca="false">1+beta*(H1026-$C1026)/4</f>
        <v>1.15</v>
      </c>
    </row>
    <row r="1028" customFormat="false" ht="17.15" hidden="false" customHeight="false" outlineLevel="0" collapsed="false">
      <c r="A1028" s="4" t="s">
        <v>450</v>
      </c>
      <c r="B1028" s="0" t="s">
        <v>62</v>
      </c>
      <c r="C1028" s="14" t="n">
        <f aca="false">0</f>
        <v>0</v>
      </c>
      <c r="D1028" s="14" t="n">
        <f aca="false">0</f>
        <v>0</v>
      </c>
      <c r="E1028" s="14" t="n">
        <f aca="false">0</f>
        <v>0</v>
      </c>
      <c r="F1028" s="14" t="n">
        <f aca="false">0</f>
        <v>0</v>
      </c>
      <c r="G1028" s="14" t="n">
        <f aca="false">0</f>
        <v>0</v>
      </c>
      <c r="H1028" s="14" t="n">
        <f aca="false">0</f>
        <v>0</v>
      </c>
      <c r="I1028" s="4" t="s">
        <v>451</v>
      </c>
    </row>
    <row r="1029" customFormat="false" ht="17.15" hidden="false" customHeight="false" outlineLevel="0" collapsed="false">
      <c r="A1029" s="0" t="s">
        <v>452</v>
      </c>
      <c r="B1029" s="4" t="s">
        <v>413</v>
      </c>
      <c r="C1029" s="11" t="n">
        <f aca="false">C1025*C1027*(1-C1028)</f>
        <v>741.704901960783</v>
      </c>
      <c r="D1029" s="11" t="n">
        <f aca="false">D1025*D1027*(1-D1028)</f>
        <v>1323.94325</v>
      </c>
      <c r="E1029" s="11" t="n">
        <f aca="false">E1025*E1027*(1-E1028)</f>
        <v>1916.80794711538</v>
      </c>
      <c r="F1029" s="11" t="n">
        <f aca="false">F1025*F1027*(1-F1028)</f>
        <v>2671.9336325</v>
      </c>
      <c r="G1029" s="11" t="n">
        <f aca="false">G1025*G1027*(1-G1028)</f>
        <v>3443.1508400625</v>
      </c>
      <c r="H1029" s="11" t="n">
        <f aca="false">H1025*H1027*(1-H1028)</f>
        <v>3629.65484389922</v>
      </c>
    </row>
    <row r="1030" customFormat="false" ht="17.15" hidden="false" customHeight="false" outlineLevel="0" collapsed="false">
      <c r="A1030" s="4" t="s">
        <v>453</v>
      </c>
      <c r="B1030" s="4" t="s">
        <v>413</v>
      </c>
      <c r="C1030" s="11" t="n">
        <f aca="false">MAX(0,D1029-C1029)+dlt*C1029</f>
        <v>656.408838235295</v>
      </c>
      <c r="D1030" s="11" t="n">
        <f aca="false">MAX(0,E1029-D1029)+dlt*D1029</f>
        <v>725.259022115385</v>
      </c>
      <c r="E1030" s="11" t="n">
        <f aca="false">MAX(0,F1029-E1029)+dlt*E1029</f>
        <v>946.806480096154</v>
      </c>
      <c r="F1030" s="11" t="n">
        <f aca="false">MAX(0,G1029-F1029)+dlt*F1029</f>
        <v>1038.4105708125</v>
      </c>
      <c r="G1030" s="11" t="n">
        <f aca="false">MAX(0,H1029-G1029)+dlt*G1029</f>
        <v>530.819087842968</v>
      </c>
      <c r="I1030" s="4" t="s">
        <v>454</v>
      </c>
    </row>
    <row r="1031" customFormat="false" ht="17.15" hidden="false" customHeight="false" outlineLevel="0" collapsed="false">
      <c r="A1031" s="0" t="s">
        <v>455</v>
      </c>
      <c r="B1031" s="0" t="s">
        <v>62</v>
      </c>
      <c r="C1031" s="14" t="n">
        <f aca="false">ms_sk_26/(ms_sk_26+ms_ss_26+ms_mu_26)</f>
        <v>0.52</v>
      </c>
      <c r="D1031" s="14" t="n">
        <f aca="false">ms_sk_27/(ms_sk_27+ms_ss_27+ms_mu_27)</f>
        <v>0.42</v>
      </c>
      <c r="E1031" s="14" t="n">
        <f aca="false">ms_sk_28/(ms_sk_28+ms_ss_28+ms_mu_28)</f>
        <v>0.4</v>
      </c>
      <c r="F1031" s="14" t="n">
        <f aca="false">ms_sk_29/(ms_sk_29+ms_ss_29+ms_mu_29)</f>
        <v>0.4</v>
      </c>
      <c r="G1031" s="14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456</v>
      </c>
      <c r="B1032" s="0" t="s">
        <v>62</v>
      </c>
      <c r="C1032" s="14" t="n">
        <f aca="false">ms_ss_26/(ms_sk_26+ms_ss_26+ms_mu_26)</f>
        <v>0.29</v>
      </c>
      <c r="D1032" s="14" t="n">
        <f aca="false">ms_ss_27/(ms_sk_27+ms_ss_27+ms_mu_27)</f>
        <v>0.38</v>
      </c>
      <c r="E1032" s="14" t="n">
        <f aca="false">ms_ss_28/(ms_sk_28+ms_ss_28+ms_mu_28)</f>
        <v>0.4</v>
      </c>
      <c r="F1032" s="14" t="n">
        <f aca="false">ms_ss_29/(ms_sk_29+ms_ss_29+ms_mu_29)</f>
        <v>0.4</v>
      </c>
      <c r="G1032" s="14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457</v>
      </c>
      <c r="B1033" s="0" t="s">
        <v>62</v>
      </c>
      <c r="C1033" s="14" t="n">
        <f aca="false">ms_mu_26/(ms_sk_26+ms_ss_26+ms_mu_26)</f>
        <v>0.19</v>
      </c>
      <c r="D1033" s="14" t="n">
        <f aca="false">ms_mu_27/(ms_sk_27+ms_ss_27+ms_mu_27)</f>
        <v>0.2</v>
      </c>
      <c r="E1033" s="14" t="n">
        <f aca="false">ms_mu_28/(ms_sk_28+ms_ss_28+ms_mu_28)</f>
        <v>0.2</v>
      </c>
      <c r="F1033" s="14" t="n">
        <f aca="false">ms_mu_29/(ms_sk_29+ms_ss_29+ms_mu_29)</f>
        <v>0.2</v>
      </c>
      <c r="G1033" s="14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458</v>
      </c>
      <c r="B1034" s="0" t="s">
        <v>62</v>
      </c>
      <c r="C1034" s="14" t="n">
        <f aca="false">C1031*hsk_25+C1032*hss+C1033*hmu_25</f>
        <v>0.412</v>
      </c>
      <c r="D1034" s="14" t="n">
        <f aca="false">D1031*hsk_A+D1032*hss+D1033*hmu_A</f>
        <v>0.339</v>
      </c>
      <c r="E1034" s="14" t="n">
        <f aca="false">E1031*hsk_A+E1032*hss+E1033*hmu_A</f>
        <v>0.33</v>
      </c>
      <c r="F1034" s="14" t="n">
        <f aca="false">F1031*hsk_A+F1032*hss+F1033*hmu_A</f>
        <v>0.33</v>
      </c>
      <c r="G1034" s="14" t="n">
        <f aca="false">G1031*hsk_A+G1032*hss+G1033*hmu_A</f>
        <v>0.33</v>
      </c>
    </row>
    <row r="1035" customFormat="false" ht="17.15" hidden="false" customHeight="false" outlineLevel="0" collapsed="false">
      <c r="A1035" s="4" t="s">
        <v>459</v>
      </c>
      <c r="B1035" s="4" t="s">
        <v>413</v>
      </c>
      <c r="C1035" s="11" t="n">
        <f aca="false">C1030*C1034</f>
        <v>270.440441352942</v>
      </c>
      <c r="D1035" s="11" t="n">
        <f aca="false">D1030*D1034</f>
        <v>245.862808497115</v>
      </c>
      <c r="E1035" s="11" t="n">
        <f aca="false">E1030*E1034</f>
        <v>312.446138431731</v>
      </c>
      <c r="F1035" s="11" t="n">
        <f aca="false">F1030*F1034</f>
        <v>342.675488368125</v>
      </c>
      <c r="G1035" s="11" t="n">
        <f aca="false">G1030*G1034</f>
        <v>175.17029898818</v>
      </c>
    </row>
    <row r="1036" customFormat="false" ht="17.15" hidden="false" customHeight="false" outlineLevel="0" collapsed="false">
      <c r="A1036" s="6" t="s">
        <v>460</v>
      </c>
    </row>
    <row r="1037" customFormat="false" ht="17.15" hidden="false" customHeight="false" outlineLevel="0" collapsed="false">
      <c r="A1037" s="4" t="s">
        <v>461</v>
      </c>
      <c r="B1037" s="4" t="s">
        <v>226</v>
      </c>
      <c r="C1037" s="11" t="n">
        <f aca="false">a25_rev-a25_hbm</f>
        <v>2895.034</v>
      </c>
      <c r="D1037" s="11" t="n">
        <f aca="false">C1037*(1+g_o26)</f>
        <v>3329.2891</v>
      </c>
      <c r="E1037" s="11" t="n">
        <f aca="false">D1037*(1+g_o_A)</f>
        <v>3728.803792</v>
      </c>
      <c r="F1037" s="11" t="n">
        <f aca="false">E1037*(1+g_o_A)</f>
        <v>4176.26024704</v>
      </c>
      <c r="G1037" s="11" t="n">
        <f aca="false">F1037*(1+g_o_A)</f>
        <v>4677.4114766848</v>
      </c>
    </row>
    <row r="1038" customFormat="false" ht="17.15" hidden="false" customHeight="false" outlineLevel="0" collapsed="false">
      <c r="A1038" s="0" t="s">
        <v>462</v>
      </c>
      <c r="B1038" s="4" t="s">
        <v>226</v>
      </c>
      <c r="C1038" s="11" t="n">
        <f aca="false">a25_hbm</f>
        <v>2871.966</v>
      </c>
      <c r="D1038" s="11" t="n">
        <f aca="false">rev26-D1037</f>
        <v>4210.5109</v>
      </c>
      <c r="E1038" s="11" t="n">
        <f aca="false">$C1039*E1035</f>
        <v>4286.03259533926</v>
      </c>
      <c r="F1038" s="11" t="n">
        <f aca="false">$C1039*F1035</f>
        <v>4700.70880101627</v>
      </c>
      <c r="G1038" s="11" t="n">
        <f aca="false">$C1039*G1035</f>
        <v>2402.9281173616</v>
      </c>
      <c r="I1038" s="8" t="s">
        <v>463</v>
      </c>
    </row>
    <row r="1039" customFormat="false" ht="17.15" hidden="false" customHeight="false" outlineLevel="0" collapsed="false">
      <c r="A1039" s="4" t="s">
        <v>464</v>
      </c>
      <c r="B1039" s="4" t="s">
        <v>465</v>
      </c>
      <c r="C1039" s="18" t="n">
        <f aca="false">(C1038+D1038)/(C1035+D1035)</f>
        <v>13.7176686415529</v>
      </c>
      <c r="I1039" s="4" t="s">
        <v>466</v>
      </c>
    </row>
    <row r="1040" customFormat="false" ht="15" hidden="false" customHeight="false" outlineLevel="0" collapsed="false">
      <c r="A1040" s="4" t="s">
        <v>366</v>
      </c>
      <c r="B1040" s="4" t="s">
        <v>226</v>
      </c>
      <c r="C1040" s="11" t="n">
        <f aca="false">a25_rev</f>
        <v>5767</v>
      </c>
      <c r="D1040" s="11" t="n">
        <f aca="false">D1037+D1038</f>
        <v>7539.8</v>
      </c>
      <c r="E1040" s="11" t="n">
        <f aca="false">E1037+E1038</f>
        <v>8014.83638733926</v>
      </c>
      <c r="F1040" s="11" t="n">
        <f aca="false">F1037+F1038</f>
        <v>8876.96904805627</v>
      </c>
      <c r="G1040" s="11" t="n">
        <f aca="false">G1037+G1038</f>
        <v>7080.33959404641</v>
      </c>
    </row>
    <row r="1041" customFormat="false" ht="17.15" hidden="false" customHeight="false" outlineLevel="0" collapsed="false">
      <c r="A1041" s="0" t="s">
        <v>467</v>
      </c>
      <c r="B1041" s="0" t="s">
        <v>62</v>
      </c>
      <c r="C1041" s="14" t="n">
        <f aca="false">C1038/C1040</f>
        <v>0.498</v>
      </c>
      <c r="D1041" s="14" t="n">
        <f aca="false">D1038/D1040</f>
        <v>0.558438008965755</v>
      </c>
      <c r="E1041" s="14" t="n">
        <f aca="false">E1038/E1040</f>
        <v>0.534762331781314</v>
      </c>
      <c r="F1041" s="14" t="n">
        <f aca="false">F1038/F1040</f>
        <v>0.529539843562432</v>
      </c>
      <c r="G1041" s="14" t="n">
        <f aca="false">G1038/G1040</f>
        <v>0.339380348279077</v>
      </c>
    </row>
    <row r="1042" customFormat="false" ht="17.15" hidden="false" customHeight="false" outlineLevel="0" collapsed="false">
      <c r="A1042" s="4" t="s">
        <v>468</v>
      </c>
      <c r="B1042" s="4" t="s">
        <v>226</v>
      </c>
      <c r="C1042" s="11" t="n">
        <f aca="false">opex25</f>
        <v>806.7</v>
      </c>
      <c r="D1042" s="11" t="n">
        <f aca="false">(1-phi_hi)*opex25+phi_hi*opex25/a25_rev*D1040</f>
        <v>980.288075602566</v>
      </c>
      <c r="E1042" s="11" t="n">
        <f aca="false">(1-phi_hi)*opex25+phi_hi*opex25/a25_rev*E1040</f>
        <v>1026.8024327322</v>
      </c>
      <c r="F1042" s="11" t="n">
        <f aca="false">(1-phi_hi)*opex25+phi_hi*opex25/a25_rev*F1040</f>
        <v>1111.22027427551</v>
      </c>
      <c r="G1042" s="11" t="n">
        <f aca="false">(1-phi_hi)*opex25+phi_hi*opex25/a25_rev*G1040</f>
        <v>935.298879029316</v>
      </c>
      <c r="I1042" s="4" t="s">
        <v>469</v>
      </c>
    </row>
    <row r="1043" customFormat="false" ht="17.15" hidden="false" customHeight="false" outlineLevel="0" collapsed="false">
      <c r="A1043" s="4" t="s">
        <v>436</v>
      </c>
      <c r="B1043" s="0" t="s">
        <v>62</v>
      </c>
      <c r="C1043" s="14" t="n">
        <f aca="false">a25_gp/a25_rev</f>
        <v>0.575793306745275</v>
      </c>
      <c r="D1043" s="14" t="n">
        <f aca="false">(oi26+D1042)/D1040</f>
        <v>0.601845151808081</v>
      </c>
      <c r="E1043" s="14" t="n">
        <f aca="false">$D1043+0</f>
        <v>0.601845151808081</v>
      </c>
      <c r="F1043" s="14" t="n">
        <f aca="false">$D1043+0</f>
        <v>0.601845151808081</v>
      </c>
      <c r="G1043" s="14" t="n">
        <f aca="false">$D1043+0</f>
        <v>0.601845151808081</v>
      </c>
      <c r="I1043" s="8" t="s">
        <v>470</v>
      </c>
    </row>
    <row r="1044" customFormat="false" ht="15" hidden="false" customHeight="false" outlineLevel="0" collapsed="false">
      <c r="A1044" s="4" t="s">
        <v>371</v>
      </c>
      <c r="B1044" s="4" t="s">
        <v>226</v>
      </c>
      <c r="C1044" s="11" t="n">
        <f aca="false">C1040*C1043</f>
        <v>3320.6</v>
      </c>
      <c r="D1044" s="11" t="n">
        <f aca="false">D1040*D1043</f>
        <v>4537.79207560257</v>
      </c>
      <c r="E1044" s="11" t="n">
        <f aca="false">E1040*E1043</f>
        <v>4823.69042225513</v>
      </c>
      <c r="F1044" s="11" t="n">
        <f aca="false">F1040*F1043</f>
        <v>5342.56078432306</v>
      </c>
      <c r="G1044" s="11" t="n">
        <f aca="false">G1040*G1043</f>
        <v>4261.26805783162</v>
      </c>
    </row>
    <row r="1045" customFormat="false" ht="15" hidden="false" customHeight="false" outlineLevel="0" collapsed="false">
      <c r="A1045" s="4" t="s">
        <v>374</v>
      </c>
      <c r="B1045" s="4" t="s">
        <v>226</v>
      </c>
      <c r="C1045" s="11" t="n">
        <f aca="false">a25_oi</f>
        <v>2513.9</v>
      </c>
      <c r="D1045" s="11" t="n">
        <f aca="false">oi26</f>
        <v>3557.504</v>
      </c>
      <c r="E1045" s="11" t="n">
        <f aca="false">E1044-E1042</f>
        <v>3796.88798952293</v>
      </c>
      <c r="F1045" s="11" t="n">
        <f aca="false">F1044-F1042</f>
        <v>4231.34051004755</v>
      </c>
      <c r="G1045" s="11" t="n">
        <f aca="false">G1044-G1042</f>
        <v>3325.96917880231</v>
      </c>
    </row>
    <row r="1046" customFormat="false" ht="15" hidden="false" customHeight="false" outlineLevel="0" collapsed="false">
      <c r="A1046" s="4" t="s">
        <v>377</v>
      </c>
      <c r="B1046" s="0" t="s">
        <v>62</v>
      </c>
      <c r="C1046" s="14" t="n">
        <f aca="false">C1045/C1040</f>
        <v>0.435911219004682</v>
      </c>
      <c r="D1046" s="14" t="n">
        <f aca="false">D1045/D1040</f>
        <v>0.471830022016499</v>
      </c>
      <c r="E1046" s="14" t="n">
        <f aca="false">E1045/E1040</f>
        <v>0.473732438945445</v>
      </c>
      <c r="F1046" s="14" t="n">
        <f aca="false">F1045/F1040</f>
        <v>0.476665006618904</v>
      </c>
      <c r="G1046" s="14" t="n">
        <f aca="false">G1045/G1040</f>
        <v>0.469747126479497</v>
      </c>
    </row>
    <row r="1047" customFormat="false" ht="15" hidden="false" customHeight="false" outlineLevel="0" collapsed="false">
      <c r="A1047" s="4" t="s">
        <v>437</v>
      </c>
      <c r="B1047" s="4" t="s">
        <v>226</v>
      </c>
      <c r="C1047" s="11" t="n">
        <f aca="false">a25_ni</f>
        <v>2140</v>
      </c>
      <c r="D1047" s="11" t="n">
        <f aca="false">D1045*nioi</f>
        <v>3028.38560006365</v>
      </c>
      <c r="E1047" s="11" t="n">
        <f aca="false">E1045*nioi</f>
        <v>3232.16528007441</v>
      </c>
      <c r="F1047" s="11" t="n">
        <f aca="false">F1045*nioi</f>
        <v>3602.00035462896</v>
      </c>
      <c r="G1047" s="11" t="n">
        <f aca="false">G1045*nioi</f>
        <v>2831.28765767809</v>
      </c>
    </row>
    <row r="1048" customFormat="false" ht="15" hidden="false" customHeight="false" outlineLevel="0" collapsed="false">
      <c r="A1048" s="0" t="s">
        <v>438</v>
      </c>
      <c r="B1048" s="0" t="s">
        <v>302</v>
      </c>
      <c r="C1048" s="11" t="n">
        <f aca="false">a25_eps</f>
        <v>2231.7</v>
      </c>
      <c r="D1048" s="11" t="n">
        <f aca="false">D1047*100/shares</f>
        <v>3158.15333815983</v>
      </c>
      <c r="E1048" s="11" t="n">
        <f aca="false">E1047*100/shares</f>
        <v>3370.66507268321</v>
      </c>
      <c r="F1048" s="11" t="n">
        <f aca="false">F1047*100/shares</f>
        <v>3756.34775300255</v>
      </c>
      <c r="G1048" s="11" t="n">
        <f aca="false">G1047*100/shares</f>
        <v>2952.60965684121</v>
      </c>
    </row>
    <row r="1049" customFormat="false" ht="17.15" hidden="false" customHeight="false" outlineLevel="0" collapsed="false">
      <c r="A1049" s="4" t="s">
        <v>471</v>
      </c>
      <c r="B1049" s="4" t="s">
        <v>226</v>
      </c>
      <c r="C1049" s="11" t="n">
        <f aca="false">$C1039*C1030</f>
        <v>9004.3989362985</v>
      </c>
      <c r="D1049" s="11" t="n">
        <f aca="false">$C1039*D1030</f>
        <v>9948.86294467556</v>
      </c>
      <c r="E1049" s="11" t="n">
        <f aca="false">$C1039*E1030</f>
        <v>12987.9775616341</v>
      </c>
      <c r="F1049" s="11" t="n">
        <f aca="false">$C1039*F1030</f>
        <v>14244.5721242917</v>
      </c>
      <c r="G1049" s="11" t="n">
        <f aca="false">$C1039*G1030</f>
        <v>7281.60035564122</v>
      </c>
      <c r="I1049" s="4" t="s">
        <v>472</v>
      </c>
    </row>
    <row r="1050" customFormat="false" ht="15" hidden="false" customHeight="false" outlineLevel="0" collapsed="false">
      <c r="A1050" s="4" t="s">
        <v>473</v>
      </c>
      <c r="B1050" s="0" t="s">
        <v>333</v>
      </c>
      <c r="C1050" s="11" t="n">
        <f aca="false">C1049/fx*100</f>
        <v>634.112601147782</v>
      </c>
      <c r="D1050" s="11" t="n">
        <f aca="false">D1049/fx*100</f>
        <v>700.62415103349</v>
      </c>
      <c r="E1050" s="11" t="n">
        <f aca="false">E1049/fx*100</f>
        <v>914.646307157333</v>
      </c>
      <c r="F1050" s="11" t="n">
        <f aca="false">F1049/fx*100</f>
        <v>1003.13888199238</v>
      </c>
      <c r="G1050" s="11" t="n">
        <f aca="false">G1049/fx*100</f>
        <v>512.788757439523</v>
      </c>
    </row>
    <row r="1060" customFormat="false" ht="17.15" hidden="false" customHeight="false" outlineLevel="0" collapsed="false">
      <c r="A1060" s="1" t="s">
        <v>685</v>
      </c>
    </row>
    <row r="1061" customFormat="false" ht="15" hidden="false" customHeight="false" outlineLevel="0" collapsed="false">
      <c r="A1061" s="5" t="s">
        <v>14</v>
      </c>
      <c r="B1061" s="5" t="s">
        <v>15</v>
      </c>
      <c r="C1061" s="9" t="s">
        <v>401</v>
      </c>
      <c r="D1061" s="9" t="s">
        <v>402</v>
      </c>
      <c r="E1061" s="9" t="s">
        <v>403</v>
      </c>
      <c r="F1061" s="9" t="s">
        <v>404</v>
      </c>
      <c r="G1061" s="9" t="s">
        <v>405</v>
      </c>
      <c r="H1061" s="9" t="s">
        <v>406</v>
      </c>
      <c r="I1061" s="5" t="s">
        <v>407</v>
      </c>
    </row>
    <row r="1062" customFormat="false" ht="17.15" hidden="false" customHeight="false" outlineLevel="0" collapsed="false">
      <c r="A1062" s="6" t="s">
        <v>441</v>
      </c>
    </row>
    <row r="1063" customFormat="false" ht="17.15" hidden="false" customHeight="false" outlineLevel="0" collapsed="false">
      <c r="A1063" s="0" t="s">
        <v>442</v>
      </c>
      <c r="B1063" s="0" t="s">
        <v>25</v>
      </c>
      <c r="C1063" s="17" t="n">
        <f aca="false">hsA_25</f>
        <v>2.22511470588235</v>
      </c>
      <c r="D1063" s="17" t="n">
        <f aca="false">hsA_26</f>
        <v>3.782695</v>
      </c>
      <c r="E1063" s="17" t="n">
        <f aca="false">hsA_27</f>
        <v>5.86317725</v>
      </c>
      <c r="F1063" s="17" t="n">
        <f aca="false">hsA_28</f>
        <v>8.5016070125</v>
      </c>
      <c r="G1063" s="17" t="n">
        <f aca="false">hsA_29</f>
        <v>11.477169466875</v>
      </c>
      <c r="H1063" s="17" t="n">
        <f aca="false">G1063*(1+g_tail)</f>
        <v>12.6248864135625</v>
      </c>
      <c r="I1063" s="8" t="s">
        <v>443</v>
      </c>
    </row>
    <row r="1064" customFormat="false" ht="17.15" hidden="false" customHeight="false" outlineLevel="0" collapsed="false">
      <c r="A1064" s="0" t="s">
        <v>444</v>
      </c>
      <c r="B1064" s="0" t="s">
        <v>445</v>
      </c>
      <c r="C1064" s="15" t="n">
        <f aca="false">den_25</f>
        <v>24</v>
      </c>
      <c r="D1064" s="15" t="n">
        <f aca="false">den_26</f>
        <v>24</v>
      </c>
      <c r="E1064" s="15" t="n">
        <f aca="false">den_27</f>
        <v>26</v>
      </c>
      <c r="F1064" s="15" t="n">
        <f aca="false">den_28</f>
        <v>28</v>
      </c>
      <c r="G1064" s="15" t="n">
        <f aca="false">den_29</f>
        <v>30</v>
      </c>
      <c r="H1064" s="15" t="n">
        <f aca="false">den_30</f>
        <v>32</v>
      </c>
    </row>
    <row r="1065" customFormat="false" ht="17.15" hidden="false" customHeight="false" outlineLevel="0" collapsed="false">
      <c r="A1065" s="4" t="s">
        <v>446</v>
      </c>
      <c r="B1065" s="4" t="s">
        <v>411</v>
      </c>
      <c r="C1065" s="11" t="n">
        <f aca="false">C1063*8000/C1064</f>
        <v>741.704901960783</v>
      </c>
      <c r="D1065" s="11" t="n">
        <f aca="false">D1063*8000/D1064</f>
        <v>1260.89833333333</v>
      </c>
      <c r="E1065" s="11" t="n">
        <f aca="false">E1063*8000/E1064</f>
        <v>1804.05453846154</v>
      </c>
      <c r="F1065" s="11" t="n">
        <f aca="false">F1063*8000/F1064</f>
        <v>2429.030575</v>
      </c>
      <c r="G1065" s="11" t="n">
        <f aca="false">G1063*8000/G1064</f>
        <v>3060.5785245</v>
      </c>
      <c r="H1065" s="11" t="n">
        <f aca="false">H1063*8000/H1064</f>
        <v>3156.22160339063</v>
      </c>
      <c r="I1065" s="8" t="s">
        <v>447</v>
      </c>
    </row>
    <row r="1066" customFormat="false" ht="15" hidden="false" customHeight="false" outlineLevel="0" collapsed="false">
      <c r="A1066" s="4" t="s">
        <v>448</v>
      </c>
      <c r="B1066" s="4" t="s">
        <v>89</v>
      </c>
      <c r="C1066" s="15" t="n">
        <f aca="false">stk_25</f>
        <v>10</v>
      </c>
      <c r="D1066" s="15" t="n">
        <f aca="false">stk_26</f>
        <v>12</v>
      </c>
      <c r="E1066" s="15" t="n">
        <f aca="false">stk_27</f>
        <v>12.5</v>
      </c>
      <c r="F1066" s="15" t="n">
        <f aca="false">stk_28</f>
        <v>14</v>
      </c>
      <c r="G1066" s="15" t="n">
        <f aca="false">stk_29</f>
        <v>15</v>
      </c>
      <c r="H1066" s="15" t="n">
        <f aca="false">stk_30</f>
        <v>16</v>
      </c>
    </row>
    <row r="1067" customFormat="false" ht="15" hidden="false" customHeight="false" outlineLevel="0" collapsed="false">
      <c r="A1067" s="4" t="s">
        <v>449</v>
      </c>
      <c r="B1067" s="0" t="s">
        <v>109</v>
      </c>
      <c r="C1067" s="18" t="n">
        <f aca="false">1+beta*(C1066-$C1066)/4</f>
        <v>1</v>
      </c>
      <c r="D1067" s="18" t="n">
        <f aca="false">1+beta*(D1066-$C1066)/4</f>
        <v>1.05</v>
      </c>
      <c r="E1067" s="18" t="n">
        <f aca="false">1+beta*(E1066-$C1066)/4</f>
        <v>1.0625</v>
      </c>
      <c r="F1067" s="18" t="n">
        <f aca="false">1+beta*(F1066-$C1066)/4</f>
        <v>1.1</v>
      </c>
      <c r="G1067" s="18" t="n">
        <f aca="false">1+beta*(G1066-$C1066)/4</f>
        <v>1.125</v>
      </c>
      <c r="H1067" s="18" t="n">
        <f aca="false">1+beta*(H1066-$C1066)/4</f>
        <v>1.15</v>
      </c>
    </row>
    <row r="1068" customFormat="false" ht="17.15" hidden="false" customHeight="false" outlineLevel="0" collapsed="false">
      <c r="A1068" s="4" t="s">
        <v>450</v>
      </c>
      <c r="B1068" s="0" t="s">
        <v>62</v>
      </c>
      <c r="C1068" s="14" t="n">
        <f aca="false">0</f>
        <v>0</v>
      </c>
      <c r="D1068" s="14" t="n">
        <f aca="false">0</f>
        <v>0</v>
      </c>
      <c r="E1068" s="14" t="n">
        <f aca="false">0</f>
        <v>0</v>
      </c>
      <c r="F1068" s="14" t="n">
        <f aca="false">0</f>
        <v>0</v>
      </c>
      <c r="G1068" s="14" t="n">
        <f aca="false">0</f>
        <v>0</v>
      </c>
      <c r="H1068" s="14" t="n">
        <f aca="false">0</f>
        <v>0</v>
      </c>
      <c r="I1068" s="4" t="s">
        <v>451</v>
      </c>
    </row>
    <row r="1069" customFormat="false" ht="17.15" hidden="false" customHeight="false" outlineLevel="0" collapsed="false">
      <c r="A1069" s="0" t="s">
        <v>452</v>
      </c>
      <c r="B1069" s="4" t="s">
        <v>413</v>
      </c>
      <c r="C1069" s="11" t="n">
        <f aca="false">C1065*C1067*(1-C1068)</f>
        <v>741.704901960783</v>
      </c>
      <c r="D1069" s="11" t="n">
        <f aca="false">D1065*D1067*(1-D1068)</f>
        <v>1323.94325</v>
      </c>
      <c r="E1069" s="11" t="n">
        <f aca="false">E1065*E1067*(1-E1068)</f>
        <v>1916.80794711538</v>
      </c>
      <c r="F1069" s="11" t="n">
        <f aca="false">F1065*F1067*(1-F1068)</f>
        <v>2671.9336325</v>
      </c>
      <c r="G1069" s="11" t="n">
        <f aca="false">G1065*G1067*(1-G1068)</f>
        <v>3443.1508400625</v>
      </c>
      <c r="H1069" s="11" t="n">
        <f aca="false">H1065*H1067*(1-H1068)</f>
        <v>3629.65484389922</v>
      </c>
    </row>
    <row r="1070" customFormat="false" ht="17.15" hidden="false" customHeight="false" outlineLevel="0" collapsed="false">
      <c r="A1070" s="4" t="s">
        <v>453</v>
      </c>
      <c r="B1070" s="4" t="s">
        <v>413</v>
      </c>
      <c r="C1070" s="11" t="n">
        <f aca="false">MAX(0,D1069-C1069)+dlt*C1069</f>
        <v>656.408838235295</v>
      </c>
      <c r="D1070" s="11" t="n">
        <f aca="false">MAX(0,E1069-D1069)+dlt*D1069</f>
        <v>725.259022115385</v>
      </c>
      <c r="E1070" s="11" t="n">
        <f aca="false">MAX(0,F1069-E1069)+dlt*E1069</f>
        <v>946.806480096154</v>
      </c>
      <c r="F1070" s="11" t="n">
        <f aca="false">MAX(0,G1069-F1069)+dlt*F1069</f>
        <v>1038.4105708125</v>
      </c>
      <c r="G1070" s="11" t="n">
        <f aca="false">MAX(0,H1069-G1069)+dlt*G1069</f>
        <v>530.819087842968</v>
      </c>
      <c r="I1070" s="4" t="s">
        <v>454</v>
      </c>
    </row>
    <row r="1071" customFormat="false" ht="17.15" hidden="false" customHeight="false" outlineLevel="0" collapsed="false">
      <c r="A1071" s="0" t="s">
        <v>455</v>
      </c>
      <c r="B1071" s="0" t="s">
        <v>62</v>
      </c>
      <c r="C1071" s="14" t="n">
        <f aca="false">ms_sk_26/(ms_sk_26+ms_ss_26+ms_mu_26)</f>
        <v>0.52</v>
      </c>
      <c r="D1071" s="14" t="n">
        <f aca="false">ms_sk_27/(ms_sk_27+ms_ss_27+ms_mu_27)</f>
        <v>0.42</v>
      </c>
      <c r="E1071" s="14" t="n">
        <f aca="false">ms_sk_28/(ms_sk_28+ms_ss_28+ms_mu_28)</f>
        <v>0.4</v>
      </c>
      <c r="F1071" s="14" t="n">
        <f aca="false">ms_sk_29/(ms_sk_29+ms_ss_29+ms_mu_29)</f>
        <v>0.4</v>
      </c>
      <c r="G1071" s="14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456</v>
      </c>
      <c r="B1072" s="0" t="s">
        <v>62</v>
      </c>
      <c r="C1072" s="14" t="n">
        <f aca="false">ms_ss_26/(ms_sk_26+ms_ss_26+ms_mu_26)</f>
        <v>0.29</v>
      </c>
      <c r="D1072" s="14" t="n">
        <f aca="false">ms_ss_27/(ms_sk_27+ms_ss_27+ms_mu_27)</f>
        <v>0.38</v>
      </c>
      <c r="E1072" s="14" t="n">
        <f aca="false">ms_ss_28/(ms_sk_28+ms_ss_28+ms_mu_28)</f>
        <v>0.4</v>
      </c>
      <c r="F1072" s="14" t="n">
        <f aca="false">ms_ss_29/(ms_sk_29+ms_ss_29+ms_mu_29)</f>
        <v>0.4</v>
      </c>
      <c r="G1072" s="14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457</v>
      </c>
      <c r="B1073" s="0" t="s">
        <v>62</v>
      </c>
      <c r="C1073" s="14" t="n">
        <f aca="false">ms_mu_26/(ms_sk_26+ms_ss_26+ms_mu_26)</f>
        <v>0.19</v>
      </c>
      <c r="D1073" s="14" t="n">
        <f aca="false">ms_mu_27/(ms_sk_27+ms_ss_27+ms_mu_27)</f>
        <v>0.2</v>
      </c>
      <c r="E1073" s="14" t="n">
        <f aca="false">ms_mu_28/(ms_sk_28+ms_ss_28+ms_mu_28)</f>
        <v>0.2</v>
      </c>
      <c r="F1073" s="14" t="n">
        <f aca="false">ms_mu_29/(ms_sk_29+ms_ss_29+ms_mu_29)</f>
        <v>0.2</v>
      </c>
      <c r="G1073" s="14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458</v>
      </c>
      <c r="B1074" s="0" t="s">
        <v>62</v>
      </c>
      <c r="C1074" s="14" t="n">
        <f aca="false">C1071*hsk_25+C1072*hss+C1073*hmu_25</f>
        <v>0.412</v>
      </c>
      <c r="D1074" s="14" t="n">
        <f aca="false">D1071*hsk_A+D1072*hss+D1073*hmu_A</f>
        <v>0.339</v>
      </c>
      <c r="E1074" s="14" t="n">
        <f aca="false">E1071*hsk_A+E1072*hss+E1073*hmu_A</f>
        <v>0.33</v>
      </c>
      <c r="F1074" s="14" t="n">
        <f aca="false">F1071*hsk_A+F1072*hss+F1073*hmu_A</f>
        <v>0.33</v>
      </c>
      <c r="G1074" s="14" t="n">
        <f aca="false">G1071*hsk_A+G1072*hss+G1073*hmu_A</f>
        <v>0.33</v>
      </c>
    </row>
    <row r="1075" customFormat="false" ht="17.15" hidden="false" customHeight="false" outlineLevel="0" collapsed="false">
      <c r="A1075" s="4" t="s">
        <v>459</v>
      </c>
      <c r="B1075" s="4" t="s">
        <v>413</v>
      </c>
      <c r="C1075" s="11" t="n">
        <f aca="false">C1070*C1074</f>
        <v>270.440441352942</v>
      </c>
      <c r="D1075" s="11" t="n">
        <f aca="false">D1070*D1074</f>
        <v>245.862808497115</v>
      </c>
      <c r="E1075" s="11" t="n">
        <f aca="false">E1070*E1074</f>
        <v>312.446138431731</v>
      </c>
      <c r="F1075" s="11" t="n">
        <f aca="false">F1070*F1074</f>
        <v>342.675488368125</v>
      </c>
      <c r="G1075" s="11" t="n">
        <f aca="false">G1070*G1074</f>
        <v>175.17029898818</v>
      </c>
    </row>
    <row r="1076" customFormat="false" ht="17.15" hidden="false" customHeight="false" outlineLevel="0" collapsed="false">
      <c r="A1076" s="6" t="s">
        <v>460</v>
      </c>
    </row>
    <row r="1077" customFormat="false" ht="17.15" hidden="false" customHeight="false" outlineLevel="0" collapsed="false">
      <c r="A1077" s="4" t="s">
        <v>461</v>
      </c>
      <c r="B1077" s="4" t="s">
        <v>226</v>
      </c>
      <c r="C1077" s="11" t="n">
        <f aca="false">a25_rev-a25_hbm</f>
        <v>2895.034</v>
      </c>
      <c r="D1077" s="11" t="n">
        <f aca="false">C1077*(1+g_o26)</f>
        <v>3329.2891</v>
      </c>
      <c r="E1077" s="11" t="n">
        <f aca="false">D1077*(1+g_o_A)</f>
        <v>3728.803792</v>
      </c>
      <c r="F1077" s="11" t="n">
        <f aca="false">E1077*(1+g_o_A)</f>
        <v>4176.26024704</v>
      </c>
      <c r="G1077" s="11" t="n">
        <f aca="false">F1077*(1+g_o_A)</f>
        <v>4677.4114766848</v>
      </c>
    </row>
    <row r="1078" customFormat="false" ht="17.15" hidden="false" customHeight="false" outlineLevel="0" collapsed="false">
      <c r="A1078" s="0" t="s">
        <v>462</v>
      </c>
      <c r="B1078" s="4" t="s">
        <v>226</v>
      </c>
      <c r="C1078" s="11" t="n">
        <f aca="false">a25_hbm</f>
        <v>2871.966</v>
      </c>
      <c r="D1078" s="11" t="n">
        <f aca="false">rev26-D1077</f>
        <v>4210.5109</v>
      </c>
      <c r="E1078" s="11" t="n">
        <f aca="false">$C1079*E1075</f>
        <v>4286.03259533926</v>
      </c>
      <c r="F1078" s="11" t="n">
        <f aca="false">$C1079*F1075</f>
        <v>4700.70880101627</v>
      </c>
      <c r="G1078" s="11" t="n">
        <f aca="false">$C1079*G1075</f>
        <v>2402.9281173616</v>
      </c>
      <c r="I1078" s="8" t="s">
        <v>463</v>
      </c>
    </row>
    <row r="1079" customFormat="false" ht="17.15" hidden="false" customHeight="false" outlineLevel="0" collapsed="false">
      <c r="A1079" s="4" t="s">
        <v>464</v>
      </c>
      <c r="B1079" s="4" t="s">
        <v>465</v>
      </c>
      <c r="C1079" s="18" t="n">
        <f aca="false">(C1078+D1078)/(C1075+D1075)</f>
        <v>13.7176686415529</v>
      </c>
      <c r="I1079" s="4" t="s">
        <v>466</v>
      </c>
    </row>
    <row r="1080" customFormat="false" ht="15" hidden="false" customHeight="false" outlineLevel="0" collapsed="false">
      <c r="A1080" s="4" t="s">
        <v>366</v>
      </c>
      <c r="B1080" s="4" t="s">
        <v>226</v>
      </c>
      <c r="C1080" s="11" t="n">
        <f aca="false">a25_rev</f>
        <v>5767</v>
      </c>
      <c r="D1080" s="11" t="n">
        <f aca="false">D1077+D1078</f>
        <v>7539.8</v>
      </c>
      <c r="E1080" s="11" t="n">
        <f aca="false">E1077+E1078</f>
        <v>8014.83638733926</v>
      </c>
      <c r="F1080" s="11" t="n">
        <f aca="false">F1077+F1078</f>
        <v>8876.96904805627</v>
      </c>
      <c r="G1080" s="11" t="n">
        <f aca="false">G1077+G1078</f>
        <v>7080.33959404641</v>
      </c>
    </row>
    <row r="1081" customFormat="false" ht="17.15" hidden="false" customHeight="false" outlineLevel="0" collapsed="false">
      <c r="A1081" s="0" t="s">
        <v>467</v>
      </c>
      <c r="B1081" s="0" t="s">
        <v>62</v>
      </c>
      <c r="C1081" s="14" t="n">
        <f aca="false">C1078/C1080</f>
        <v>0.498</v>
      </c>
      <c r="D1081" s="14" t="n">
        <f aca="false">D1078/D1080</f>
        <v>0.558438008965755</v>
      </c>
      <c r="E1081" s="14" t="n">
        <f aca="false">E1078/E1080</f>
        <v>0.534762331781314</v>
      </c>
      <c r="F1081" s="14" t="n">
        <f aca="false">F1078/F1080</f>
        <v>0.529539843562432</v>
      </c>
      <c r="G1081" s="14" t="n">
        <f aca="false">G1078/G1080</f>
        <v>0.339380348279077</v>
      </c>
    </row>
    <row r="1082" customFormat="false" ht="17.15" hidden="false" customHeight="false" outlineLevel="0" collapsed="false">
      <c r="A1082" s="4" t="s">
        <v>468</v>
      </c>
      <c r="B1082" s="4" t="s">
        <v>226</v>
      </c>
      <c r="C1082" s="11" t="n">
        <f aca="false">opex25</f>
        <v>806.7</v>
      </c>
      <c r="D1082" s="11" t="n">
        <f aca="false">opex_fix+opex_var*D1080</f>
        <v>930.691482573261</v>
      </c>
      <c r="E1082" s="11" t="n">
        <f aca="false">opex_fix+opex_var*E1080</f>
        <v>963.916023380144</v>
      </c>
      <c r="F1082" s="11" t="n">
        <f aca="false">opex_fix+opex_var*F1080</f>
        <v>1024.21448162537</v>
      </c>
      <c r="G1082" s="11" t="n">
        <f aca="false">opex_fix+opex_var*G1080</f>
        <v>898.556342163797</v>
      </c>
      <c r="I1082" s="4" t="s">
        <v>469</v>
      </c>
    </row>
    <row r="1083" customFormat="false" ht="17.15" hidden="false" customHeight="false" outlineLevel="0" collapsed="false">
      <c r="A1083" s="4" t="s">
        <v>436</v>
      </c>
      <c r="B1083" s="0" t="s">
        <v>62</v>
      </c>
      <c r="C1083" s="14" t="n">
        <f aca="false">a25_gp/a25_rev</f>
        <v>0.575793306745275</v>
      </c>
      <c r="D1083" s="14" t="n">
        <f aca="false">(oi26+D1082)/D1080</f>
        <v>0.595267179842073</v>
      </c>
      <c r="E1083" s="14" t="n">
        <f aca="false">$D1083+0</f>
        <v>0.595267179842073</v>
      </c>
      <c r="F1083" s="14" t="n">
        <f aca="false">$D1083+0</f>
        <v>0.595267179842073</v>
      </c>
      <c r="G1083" s="14" t="n">
        <f aca="false">$D1083+0</f>
        <v>0.595267179842073</v>
      </c>
      <c r="I1083" s="8" t="s">
        <v>470</v>
      </c>
    </row>
    <row r="1084" customFormat="false" ht="15" hidden="false" customHeight="false" outlineLevel="0" collapsed="false">
      <c r="A1084" s="4" t="s">
        <v>371</v>
      </c>
      <c r="B1084" s="4" t="s">
        <v>226</v>
      </c>
      <c r="C1084" s="11" t="n">
        <f aca="false">C1080*C1083</f>
        <v>3320.6</v>
      </c>
      <c r="D1084" s="11" t="n">
        <f aca="false">D1080*D1083</f>
        <v>4488.19548257326</v>
      </c>
      <c r="E1084" s="11" t="n">
        <f aca="false">E1080*E1083</f>
        <v>4770.96905318707</v>
      </c>
      <c r="F1084" s="11" t="n">
        <f aca="false">F1080*F1083</f>
        <v>5284.16833078183</v>
      </c>
      <c r="G1084" s="11" t="n">
        <f aca="false">G1080*G1083</f>
        <v>4214.69378247217</v>
      </c>
    </row>
    <row r="1085" customFormat="false" ht="15" hidden="false" customHeight="false" outlineLevel="0" collapsed="false">
      <c r="A1085" s="4" t="s">
        <v>374</v>
      </c>
      <c r="B1085" s="4" t="s">
        <v>226</v>
      </c>
      <c r="C1085" s="11" t="n">
        <f aca="false">a25_oi</f>
        <v>2513.9</v>
      </c>
      <c r="D1085" s="11" t="n">
        <f aca="false">oi26</f>
        <v>3557.504</v>
      </c>
      <c r="E1085" s="11" t="n">
        <f aca="false">E1084-E1082</f>
        <v>3807.05302980693</v>
      </c>
      <c r="F1085" s="11" t="n">
        <f aca="false">F1084-F1082</f>
        <v>4259.95384915646</v>
      </c>
      <c r="G1085" s="11" t="n">
        <f aca="false">G1084-G1082</f>
        <v>3316.13744030837</v>
      </c>
    </row>
    <row r="1086" customFormat="false" ht="15" hidden="false" customHeight="false" outlineLevel="0" collapsed="false">
      <c r="A1086" s="4" t="s">
        <v>377</v>
      </c>
      <c r="B1086" s="0" t="s">
        <v>62</v>
      </c>
      <c r="C1086" s="14" t="n">
        <f aca="false">C1085/C1080</f>
        <v>0.435911219004682</v>
      </c>
      <c r="D1086" s="14" t="n">
        <f aca="false">D1085/D1080</f>
        <v>0.471830022016499</v>
      </c>
      <c r="E1086" s="14" t="n">
        <f aca="false">E1085/E1080</f>
        <v>0.475000716898075</v>
      </c>
      <c r="F1086" s="14" t="n">
        <f aca="false">F1085/F1080</f>
        <v>0.479888329687173</v>
      </c>
      <c r="G1086" s="14" t="n">
        <f aca="false">G1085/G1080</f>
        <v>0.468358529454829</v>
      </c>
    </row>
    <row r="1087" customFormat="false" ht="15" hidden="false" customHeight="false" outlineLevel="0" collapsed="false">
      <c r="A1087" s="4" t="s">
        <v>437</v>
      </c>
      <c r="B1087" s="4" t="s">
        <v>226</v>
      </c>
      <c r="C1087" s="11" t="n">
        <f aca="false">a25_ni</f>
        <v>2140</v>
      </c>
      <c r="D1087" s="11" t="n">
        <f aca="false">D1085*nioi_lo</f>
        <v>2561.40288</v>
      </c>
      <c r="E1087" s="11" t="n">
        <f aca="false">E1085*nioi_lo</f>
        <v>2741.07818146099</v>
      </c>
      <c r="F1087" s="11" t="n">
        <f aca="false">F1085*nioi_lo</f>
        <v>3067.16677139265</v>
      </c>
      <c r="G1087" s="11" t="n">
        <f aca="false">G1085*nioi_lo</f>
        <v>2387.61895702203</v>
      </c>
    </row>
    <row r="1088" customFormat="false" ht="15" hidden="false" customHeight="false" outlineLevel="0" collapsed="false">
      <c r="A1088" s="0" t="s">
        <v>438</v>
      </c>
      <c r="B1088" s="0" t="s">
        <v>302</v>
      </c>
      <c r="C1088" s="11" t="n">
        <f aca="false">a25_eps</f>
        <v>2231.7</v>
      </c>
      <c r="D1088" s="11" t="n">
        <f aca="false">D1087*100/shares</f>
        <v>2671.16019032523</v>
      </c>
      <c r="E1088" s="11" t="n">
        <f aca="false">E1087*100/shares</f>
        <v>2858.53466241425</v>
      </c>
      <c r="F1088" s="11" t="n">
        <f aca="false">F1087*100/shares</f>
        <v>3198.59630080233</v>
      </c>
      <c r="G1088" s="11" t="n">
        <f aca="false">G1087*100/shares</f>
        <v>2489.92954504022</v>
      </c>
    </row>
    <row r="1089" customFormat="false" ht="17.15" hidden="false" customHeight="false" outlineLevel="0" collapsed="false">
      <c r="A1089" s="4" t="s">
        <v>471</v>
      </c>
      <c r="B1089" s="4" t="s">
        <v>226</v>
      </c>
      <c r="C1089" s="11" t="n">
        <f aca="false">$C1079*C1070</f>
        <v>9004.3989362985</v>
      </c>
      <c r="D1089" s="11" t="n">
        <f aca="false">$C1079*D1070</f>
        <v>9948.86294467556</v>
      </c>
      <c r="E1089" s="11" t="n">
        <f aca="false">$C1079*E1070</f>
        <v>12987.9775616341</v>
      </c>
      <c r="F1089" s="11" t="n">
        <f aca="false">$C1079*F1070</f>
        <v>14244.5721242917</v>
      </c>
      <c r="G1089" s="11" t="n">
        <f aca="false">$C1079*G1070</f>
        <v>7281.60035564122</v>
      </c>
      <c r="I1089" s="4" t="s">
        <v>472</v>
      </c>
    </row>
    <row r="1090" customFormat="false" ht="15" hidden="false" customHeight="false" outlineLevel="0" collapsed="false">
      <c r="A1090" s="4" t="s">
        <v>473</v>
      </c>
      <c r="B1090" s="0" t="s">
        <v>333</v>
      </c>
      <c r="C1090" s="11" t="n">
        <f aca="false">C1089/fx*100</f>
        <v>634.112601147782</v>
      </c>
      <c r="D1090" s="11" t="n">
        <f aca="false">D1089/fx*100</f>
        <v>700.62415103349</v>
      </c>
      <c r="E1090" s="11" t="n">
        <f aca="false">E1089/fx*100</f>
        <v>914.646307157333</v>
      </c>
      <c r="F1090" s="11" t="n">
        <f aca="false">F1089/fx*100</f>
        <v>1003.13888199238</v>
      </c>
      <c r="G1090" s="11" t="n">
        <f aca="false">G1089/fx*100</f>
        <v>512.788757439523</v>
      </c>
    </row>
    <row r="1100" customFormat="false" ht="17.15" hidden="false" customHeight="false" outlineLevel="0" collapsed="false">
      <c r="A1100" s="1" t="s">
        <v>686</v>
      </c>
    </row>
    <row r="1101" customFormat="false" ht="15" hidden="false" customHeight="false" outlineLevel="0" collapsed="false">
      <c r="A1101" s="5" t="s">
        <v>14</v>
      </c>
      <c r="B1101" s="5" t="s">
        <v>15</v>
      </c>
      <c r="C1101" s="9" t="s">
        <v>401</v>
      </c>
      <c r="D1101" s="9" t="s">
        <v>402</v>
      </c>
      <c r="E1101" s="9" t="s">
        <v>403</v>
      </c>
      <c r="F1101" s="9" t="s">
        <v>404</v>
      </c>
      <c r="G1101" s="9" t="s">
        <v>405</v>
      </c>
      <c r="H1101" s="9" t="s">
        <v>406</v>
      </c>
      <c r="I1101" s="5" t="s">
        <v>407</v>
      </c>
    </row>
    <row r="1102" customFormat="false" ht="17.15" hidden="false" customHeight="false" outlineLevel="0" collapsed="false">
      <c r="A1102" s="6" t="s">
        <v>441</v>
      </c>
    </row>
    <row r="1103" customFormat="false" ht="17.15" hidden="false" customHeight="false" outlineLevel="0" collapsed="false">
      <c r="A1103" s="0" t="s">
        <v>442</v>
      </c>
      <c r="B1103" s="0" t="s">
        <v>25</v>
      </c>
      <c r="C1103" s="17" t="n">
        <f aca="false">hsA_25</f>
        <v>2.22511470588235</v>
      </c>
      <c r="D1103" s="17" t="n">
        <f aca="false">hsA_26</f>
        <v>3.782695</v>
      </c>
      <c r="E1103" s="17" t="n">
        <f aca="false">hsA_27</f>
        <v>5.86317725</v>
      </c>
      <c r="F1103" s="17" t="n">
        <f aca="false">hsA_28</f>
        <v>8.5016070125</v>
      </c>
      <c r="G1103" s="17" t="n">
        <f aca="false">hsA_29</f>
        <v>11.477169466875</v>
      </c>
      <c r="H1103" s="17" t="n">
        <f aca="false">G1103*(1+g_tail)</f>
        <v>12.6248864135625</v>
      </c>
      <c r="I1103" s="8" t="s">
        <v>443</v>
      </c>
    </row>
    <row r="1104" customFormat="false" ht="17.15" hidden="false" customHeight="false" outlineLevel="0" collapsed="false">
      <c r="A1104" s="0" t="s">
        <v>444</v>
      </c>
      <c r="B1104" s="0" t="s">
        <v>445</v>
      </c>
      <c r="C1104" s="15" t="n">
        <f aca="false">den_25</f>
        <v>24</v>
      </c>
      <c r="D1104" s="15" t="n">
        <f aca="false">den_26</f>
        <v>24</v>
      </c>
      <c r="E1104" s="15" t="n">
        <f aca="false">den_27</f>
        <v>26</v>
      </c>
      <c r="F1104" s="15" t="n">
        <f aca="false">den_28</f>
        <v>28</v>
      </c>
      <c r="G1104" s="15" t="n">
        <f aca="false">den_29</f>
        <v>30</v>
      </c>
      <c r="H1104" s="15" t="n">
        <f aca="false">den_30</f>
        <v>32</v>
      </c>
    </row>
    <row r="1105" customFormat="false" ht="17.15" hidden="false" customHeight="false" outlineLevel="0" collapsed="false">
      <c r="A1105" s="4" t="s">
        <v>446</v>
      </c>
      <c r="B1105" s="4" t="s">
        <v>411</v>
      </c>
      <c r="C1105" s="11" t="n">
        <f aca="false">C1103*8000/C1104</f>
        <v>741.704901960783</v>
      </c>
      <c r="D1105" s="11" t="n">
        <f aca="false">D1103*8000/D1104</f>
        <v>1260.89833333333</v>
      </c>
      <c r="E1105" s="11" t="n">
        <f aca="false">E1103*8000/E1104</f>
        <v>1804.05453846154</v>
      </c>
      <c r="F1105" s="11" t="n">
        <f aca="false">F1103*8000/F1104</f>
        <v>2429.030575</v>
      </c>
      <c r="G1105" s="11" t="n">
        <f aca="false">G1103*8000/G1104</f>
        <v>3060.5785245</v>
      </c>
      <c r="H1105" s="11" t="n">
        <f aca="false">H1103*8000/H1104</f>
        <v>3156.22160339063</v>
      </c>
      <c r="I1105" s="8" t="s">
        <v>447</v>
      </c>
    </row>
    <row r="1106" customFormat="false" ht="15" hidden="false" customHeight="false" outlineLevel="0" collapsed="false">
      <c r="A1106" s="4" t="s">
        <v>448</v>
      </c>
      <c r="B1106" s="4" t="s">
        <v>89</v>
      </c>
      <c r="C1106" s="15" t="n">
        <f aca="false">stk_25</f>
        <v>10</v>
      </c>
      <c r="D1106" s="15" t="n">
        <f aca="false">stk_26</f>
        <v>12</v>
      </c>
      <c r="E1106" s="15" t="n">
        <f aca="false">stk_27</f>
        <v>12.5</v>
      </c>
      <c r="F1106" s="15" t="n">
        <f aca="false">stk_28</f>
        <v>14</v>
      </c>
      <c r="G1106" s="15" t="n">
        <f aca="false">stk_29</f>
        <v>15</v>
      </c>
      <c r="H1106" s="15" t="n">
        <f aca="false">stk_30</f>
        <v>16</v>
      </c>
    </row>
    <row r="1107" customFormat="false" ht="15" hidden="false" customHeight="false" outlineLevel="0" collapsed="false">
      <c r="A1107" s="4" t="s">
        <v>449</v>
      </c>
      <c r="B1107" s="0" t="s">
        <v>109</v>
      </c>
      <c r="C1107" s="18" t="n">
        <f aca="false">1+beta*(C1106-$C1106)/4</f>
        <v>1</v>
      </c>
      <c r="D1107" s="18" t="n">
        <f aca="false">1+beta*(D1106-$C1106)/4</f>
        <v>1.05</v>
      </c>
      <c r="E1107" s="18" t="n">
        <f aca="false">1+beta*(E1106-$C1106)/4</f>
        <v>1.0625</v>
      </c>
      <c r="F1107" s="18" t="n">
        <f aca="false">1+beta*(F1106-$C1106)/4</f>
        <v>1.1</v>
      </c>
      <c r="G1107" s="18" t="n">
        <f aca="false">1+beta*(G1106-$C1106)/4</f>
        <v>1.125</v>
      </c>
      <c r="H1107" s="18" t="n">
        <f aca="false">1+beta*(H1106-$C1106)/4</f>
        <v>1.15</v>
      </c>
    </row>
    <row r="1108" customFormat="false" ht="17.15" hidden="false" customHeight="false" outlineLevel="0" collapsed="false">
      <c r="A1108" s="4" t="s">
        <v>450</v>
      </c>
      <c r="B1108" s="0" t="s">
        <v>62</v>
      </c>
      <c r="C1108" s="14" t="n">
        <f aca="false">0</f>
        <v>0</v>
      </c>
      <c r="D1108" s="14" t="n">
        <f aca="false">0</f>
        <v>0</v>
      </c>
      <c r="E1108" s="14" t="n">
        <f aca="false">0</f>
        <v>0</v>
      </c>
      <c r="F1108" s="14" t="n">
        <f aca="false">0</f>
        <v>0</v>
      </c>
      <c r="G1108" s="14" t="n">
        <f aca="false">0</f>
        <v>0</v>
      </c>
      <c r="H1108" s="14" t="n">
        <f aca="false">0</f>
        <v>0</v>
      </c>
      <c r="I1108" s="4" t="s">
        <v>451</v>
      </c>
    </row>
    <row r="1109" customFormat="false" ht="17.15" hidden="false" customHeight="false" outlineLevel="0" collapsed="false">
      <c r="A1109" s="0" t="s">
        <v>452</v>
      </c>
      <c r="B1109" s="4" t="s">
        <v>413</v>
      </c>
      <c r="C1109" s="11" t="n">
        <f aca="false">C1105*C1107*(1-C1108)</f>
        <v>741.704901960783</v>
      </c>
      <c r="D1109" s="11" t="n">
        <f aca="false">D1105*D1107*(1-D1108)</f>
        <v>1323.94325</v>
      </c>
      <c r="E1109" s="11" t="n">
        <f aca="false">E1105*E1107*(1-E1108)</f>
        <v>1916.80794711538</v>
      </c>
      <c r="F1109" s="11" t="n">
        <f aca="false">F1105*F1107*(1-F1108)</f>
        <v>2671.9336325</v>
      </c>
      <c r="G1109" s="11" t="n">
        <f aca="false">G1105*G1107*(1-G1108)</f>
        <v>3443.1508400625</v>
      </c>
      <c r="H1109" s="11" t="n">
        <f aca="false">H1105*H1107*(1-H1108)</f>
        <v>3629.65484389922</v>
      </c>
    </row>
    <row r="1110" customFormat="false" ht="17.15" hidden="false" customHeight="false" outlineLevel="0" collapsed="false">
      <c r="A1110" s="4" t="s">
        <v>453</v>
      </c>
      <c r="B1110" s="4" t="s">
        <v>413</v>
      </c>
      <c r="C1110" s="11" t="n">
        <f aca="false">MAX(0,D1109-C1109)+dlt*C1109</f>
        <v>656.408838235295</v>
      </c>
      <c r="D1110" s="11" t="n">
        <f aca="false">MAX(0,E1109-D1109)+dlt*D1109</f>
        <v>725.259022115385</v>
      </c>
      <c r="E1110" s="11" t="n">
        <f aca="false">MAX(0,F1109-E1109)+dlt*E1109</f>
        <v>946.806480096154</v>
      </c>
      <c r="F1110" s="11" t="n">
        <f aca="false">MAX(0,G1109-F1109)+dlt*F1109</f>
        <v>1038.4105708125</v>
      </c>
      <c r="G1110" s="11" t="n">
        <f aca="false">MAX(0,H1109-G1109)+dlt*G1109</f>
        <v>530.819087842968</v>
      </c>
      <c r="I1110" s="4" t="s">
        <v>454</v>
      </c>
    </row>
    <row r="1111" customFormat="false" ht="17.15" hidden="false" customHeight="false" outlineLevel="0" collapsed="false">
      <c r="A1111" s="0" t="s">
        <v>455</v>
      </c>
      <c r="B1111" s="0" t="s">
        <v>62</v>
      </c>
      <c r="C1111" s="14" t="n">
        <f aca="false">ms_sk_26/(ms_sk_26+ms_ss_26+ms_mu_26)</f>
        <v>0.52</v>
      </c>
      <c r="D1111" s="14" t="n">
        <f aca="false">ms_sk_27/(ms_sk_27+ms_ss_27+ms_mu_27)</f>
        <v>0.42</v>
      </c>
      <c r="E1111" s="14" t="n">
        <f aca="false">ms_sk_28/(ms_sk_28+ms_ss_28+ms_mu_28)</f>
        <v>0.4</v>
      </c>
      <c r="F1111" s="14" t="n">
        <f aca="false">ms_sk_29/(ms_sk_29+ms_ss_29+ms_mu_29)</f>
        <v>0.4</v>
      </c>
      <c r="G1111" s="14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456</v>
      </c>
      <c r="B1112" s="0" t="s">
        <v>62</v>
      </c>
      <c r="C1112" s="14" t="n">
        <f aca="false">ms_ss_26/(ms_sk_26+ms_ss_26+ms_mu_26)</f>
        <v>0.29</v>
      </c>
      <c r="D1112" s="14" t="n">
        <f aca="false">ms_ss_27/(ms_sk_27+ms_ss_27+ms_mu_27)</f>
        <v>0.38</v>
      </c>
      <c r="E1112" s="14" t="n">
        <f aca="false">ms_ss_28/(ms_sk_28+ms_ss_28+ms_mu_28)</f>
        <v>0.4</v>
      </c>
      <c r="F1112" s="14" t="n">
        <f aca="false">ms_ss_29/(ms_sk_29+ms_ss_29+ms_mu_29)</f>
        <v>0.4</v>
      </c>
      <c r="G1112" s="14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457</v>
      </c>
      <c r="B1113" s="0" t="s">
        <v>62</v>
      </c>
      <c r="C1113" s="14" t="n">
        <f aca="false">ms_mu_26/(ms_sk_26+ms_ss_26+ms_mu_26)</f>
        <v>0.19</v>
      </c>
      <c r="D1113" s="14" t="n">
        <f aca="false">ms_mu_27/(ms_sk_27+ms_ss_27+ms_mu_27)</f>
        <v>0.2</v>
      </c>
      <c r="E1113" s="14" t="n">
        <f aca="false">ms_mu_28/(ms_sk_28+ms_ss_28+ms_mu_28)</f>
        <v>0.2</v>
      </c>
      <c r="F1113" s="14" t="n">
        <f aca="false">ms_mu_29/(ms_sk_29+ms_ss_29+ms_mu_29)</f>
        <v>0.2</v>
      </c>
      <c r="G1113" s="14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458</v>
      </c>
      <c r="B1114" s="0" t="s">
        <v>62</v>
      </c>
      <c r="C1114" s="14" t="n">
        <f aca="false">C1111*hsk_25+C1112*hss+C1113*hmu_25</f>
        <v>0.412</v>
      </c>
      <c r="D1114" s="14" t="n">
        <f aca="false">D1111*hsk_A+D1112*hss+D1113*hmu_A</f>
        <v>0.339</v>
      </c>
      <c r="E1114" s="14" t="n">
        <f aca="false">E1111*hsk_A+E1112*hss+E1113*hmu_A</f>
        <v>0.33</v>
      </c>
      <c r="F1114" s="14" t="n">
        <f aca="false">F1111*hsk_A+F1112*hss+F1113*hmu_A</f>
        <v>0.33</v>
      </c>
      <c r="G1114" s="14" t="n">
        <f aca="false">G1111*hsk_A+G1112*hss+G1113*hmu_A</f>
        <v>0.33</v>
      </c>
    </row>
    <row r="1115" customFormat="false" ht="17.15" hidden="false" customHeight="false" outlineLevel="0" collapsed="false">
      <c r="A1115" s="4" t="s">
        <v>459</v>
      </c>
      <c r="B1115" s="4" t="s">
        <v>413</v>
      </c>
      <c r="C1115" s="11" t="n">
        <f aca="false">C1110*C1114</f>
        <v>270.440441352942</v>
      </c>
      <c r="D1115" s="11" t="n">
        <f aca="false">D1110*D1114</f>
        <v>245.862808497115</v>
      </c>
      <c r="E1115" s="11" t="n">
        <f aca="false">E1110*E1114</f>
        <v>312.446138431731</v>
      </c>
      <c r="F1115" s="11" t="n">
        <f aca="false">F1110*F1114</f>
        <v>342.675488368125</v>
      </c>
      <c r="G1115" s="11" t="n">
        <f aca="false">G1110*G1114</f>
        <v>175.17029898818</v>
      </c>
    </row>
    <row r="1116" customFormat="false" ht="17.15" hidden="false" customHeight="false" outlineLevel="0" collapsed="false">
      <c r="A1116" s="6" t="s">
        <v>460</v>
      </c>
    </row>
    <row r="1117" customFormat="false" ht="17.15" hidden="false" customHeight="false" outlineLevel="0" collapsed="false">
      <c r="A1117" s="4" t="s">
        <v>461</v>
      </c>
      <c r="B1117" s="4" t="s">
        <v>226</v>
      </c>
      <c r="C1117" s="11" t="n">
        <f aca="false">a25_rev-a25_hbm</f>
        <v>2895.034</v>
      </c>
      <c r="D1117" s="11" t="n">
        <f aca="false">C1117*(1+g_o26)</f>
        <v>3329.2891</v>
      </c>
      <c r="E1117" s="11" t="n">
        <f aca="false">D1117*(1+g_o_A)</f>
        <v>3728.803792</v>
      </c>
      <c r="F1117" s="11" t="n">
        <f aca="false">E1117*(1+g_o_A)</f>
        <v>4176.26024704</v>
      </c>
      <c r="G1117" s="11" t="n">
        <f aca="false">F1117*(1+g_o_A)</f>
        <v>4677.4114766848</v>
      </c>
    </row>
    <row r="1118" customFormat="false" ht="17.15" hidden="false" customHeight="false" outlineLevel="0" collapsed="false">
      <c r="A1118" s="0" t="s">
        <v>462</v>
      </c>
      <c r="B1118" s="4" t="s">
        <v>226</v>
      </c>
      <c r="C1118" s="11" t="n">
        <f aca="false">a25_hbm</f>
        <v>2871.966</v>
      </c>
      <c r="D1118" s="11" t="n">
        <f aca="false">rev26-D1117</f>
        <v>4210.5109</v>
      </c>
      <c r="E1118" s="11" t="n">
        <f aca="false">$C1119*E1115</f>
        <v>4286.03259533926</v>
      </c>
      <c r="F1118" s="11" t="n">
        <f aca="false">$C1119*F1115</f>
        <v>4700.70880101627</v>
      </c>
      <c r="G1118" s="11" t="n">
        <f aca="false">$C1119*G1115</f>
        <v>2402.9281173616</v>
      </c>
      <c r="I1118" s="8" t="s">
        <v>463</v>
      </c>
    </row>
    <row r="1119" customFormat="false" ht="17.15" hidden="false" customHeight="false" outlineLevel="0" collapsed="false">
      <c r="A1119" s="4" t="s">
        <v>464</v>
      </c>
      <c r="B1119" s="4" t="s">
        <v>465</v>
      </c>
      <c r="C1119" s="18" t="n">
        <f aca="false">(C1118+D1118)/(C1115+D1115)</f>
        <v>13.7176686415529</v>
      </c>
      <c r="I1119" s="4" t="s">
        <v>466</v>
      </c>
    </row>
    <row r="1120" customFormat="false" ht="15" hidden="false" customHeight="false" outlineLevel="0" collapsed="false">
      <c r="A1120" s="4" t="s">
        <v>366</v>
      </c>
      <c r="B1120" s="4" t="s">
        <v>226</v>
      </c>
      <c r="C1120" s="11" t="n">
        <f aca="false">a25_rev</f>
        <v>5767</v>
      </c>
      <c r="D1120" s="11" t="n">
        <f aca="false">D1117+D1118</f>
        <v>7539.8</v>
      </c>
      <c r="E1120" s="11" t="n">
        <f aca="false">E1117+E1118</f>
        <v>8014.83638733926</v>
      </c>
      <c r="F1120" s="11" t="n">
        <f aca="false">F1117+F1118</f>
        <v>8876.96904805627</v>
      </c>
      <c r="G1120" s="11" t="n">
        <f aca="false">G1117+G1118</f>
        <v>7080.33959404641</v>
      </c>
    </row>
    <row r="1121" customFormat="false" ht="17.15" hidden="false" customHeight="false" outlineLevel="0" collapsed="false">
      <c r="A1121" s="0" t="s">
        <v>467</v>
      </c>
      <c r="B1121" s="0" t="s">
        <v>62</v>
      </c>
      <c r="C1121" s="14" t="n">
        <f aca="false">C1118/C1120</f>
        <v>0.498</v>
      </c>
      <c r="D1121" s="14" t="n">
        <f aca="false">D1118/D1120</f>
        <v>0.558438008965755</v>
      </c>
      <c r="E1121" s="14" t="n">
        <f aca="false">E1118/E1120</f>
        <v>0.534762331781314</v>
      </c>
      <c r="F1121" s="14" t="n">
        <f aca="false">F1118/F1120</f>
        <v>0.529539843562432</v>
      </c>
      <c r="G1121" s="14" t="n">
        <f aca="false">G1118/G1120</f>
        <v>0.339380348279077</v>
      </c>
    </row>
    <row r="1122" customFormat="false" ht="17.15" hidden="false" customHeight="false" outlineLevel="0" collapsed="false">
      <c r="A1122" s="4" t="s">
        <v>468</v>
      </c>
      <c r="B1122" s="4" t="s">
        <v>226</v>
      </c>
      <c r="C1122" s="11" t="n">
        <f aca="false">opex25</f>
        <v>806.7</v>
      </c>
      <c r="D1122" s="11" t="n">
        <f aca="false">opex_fix+opex_var*D1120</f>
        <v>930.691482573261</v>
      </c>
      <c r="E1122" s="11" t="n">
        <f aca="false">opex_fix+opex_var*E1120</f>
        <v>963.916023380144</v>
      </c>
      <c r="F1122" s="11" t="n">
        <f aca="false">opex_fix+opex_var*F1120</f>
        <v>1024.21448162537</v>
      </c>
      <c r="G1122" s="11" t="n">
        <f aca="false">opex_fix+opex_var*G1120</f>
        <v>898.556342163797</v>
      </c>
      <c r="I1122" s="4" t="s">
        <v>469</v>
      </c>
    </row>
    <row r="1123" customFormat="false" ht="17.15" hidden="false" customHeight="false" outlineLevel="0" collapsed="false">
      <c r="A1123" s="4" t="s">
        <v>436</v>
      </c>
      <c r="B1123" s="0" t="s">
        <v>62</v>
      </c>
      <c r="C1123" s="14" t="n">
        <f aca="false">a25_gp/a25_rev</f>
        <v>0.575793306745275</v>
      </c>
      <c r="D1123" s="14" t="n">
        <f aca="false">(oi26+D1122)/D1120</f>
        <v>0.595267179842073</v>
      </c>
      <c r="E1123" s="14" t="n">
        <f aca="false">$D1123+0</f>
        <v>0.595267179842073</v>
      </c>
      <c r="F1123" s="14" t="n">
        <f aca="false">$D1123+0</f>
        <v>0.595267179842073</v>
      </c>
      <c r="G1123" s="14" t="n">
        <f aca="false">$D1123+0</f>
        <v>0.595267179842073</v>
      </c>
      <c r="I1123" s="8" t="s">
        <v>470</v>
      </c>
    </row>
    <row r="1124" customFormat="false" ht="15" hidden="false" customHeight="false" outlineLevel="0" collapsed="false">
      <c r="A1124" s="4" t="s">
        <v>371</v>
      </c>
      <c r="B1124" s="4" t="s">
        <v>226</v>
      </c>
      <c r="C1124" s="11" t="n">
        <f aca="false">C1120*C1123</f>
        <v>3320.6</v>
      </c>
      <c r="D1124" s="11" t="n">
        <f aca="false">D1120*D1123</f>
        <v>4488.19548257326</v>
      </c>
      <c r="E1124" s="11" t="n">
        <f aca="false">E1120*E1123</f>
        <v>4770.96905318707</v>
      </c>
      <c r="F1124" s="11" t="n">
        <f aca="false">F1120*F1123</f>
        <v>5284.16833078183</v>
      </c>
      <c r="G1124" s="11" t="n">
        <f aca="false">G1120*G1123</f>
        <v>4214.69378247217</v>
      </c>
    </row>
    <row r="1125" customFormat="false" ht="15" hidden="false" customHeight="false" outlineLevel="0" collapsed="false">
      <c r="A1125" s="4" t="s">
        <v>374</v>
      </c>
      <c r="B1125" s="4" t="s">
        <v>226</v>
      </c>
      <c r="C1125" s="11" t="n">
        <f aca="false">a25_oi</f>
        <v>2513.9</v>
      </c>
      <c r="D1125" s="11" t="n">
        <f aca="false">oi26</f>
        <v>3557.504</v>
      </c>
      <c r="E1125" s="11" t="n">
        <f aca="false">E1124-E1122</f>
        <v>3807.05302980693</v>
      </c>
      <c r="F1125" s="11" t="n">
        <f aca="false">F1124-F1122</f>
        <v>4259.95384915646</v>
      </c>
      <c r="G1125" s="11" t="n">
        <f aca="false">G1124-G1122</f>
        <v>3316.13744030837</v>
      </c>
    </row>
    <row r="1126" customFormat="false" ht="15" hidden="false" customHeight="false" outlineLevel="0" collapsed="false">
      <c r="A1126" s="4" t="s">
        <v>377</v>
      </c>
      <c r="B1126" s="0" t="s">
        <v>62</v>
      </c>
      <c r="C1126" s="14" t="n">
        <f aca="false">C1125/C1120</f>
        <v>0.435911219004682</v>
      </c>
      <c r="D1126" s="14" t="n">
        <f aca="false">D1125/D1120</f>
        <v>0.471830022016499</v>
      </c>
      <c r="E1126" s="14" t="n">
        <f aca="false">E1125/E1120</f>
        <v>0.475000716898075</v>
      </c>
      <c r="F1126" s="14" t="n">
        <f aca="false">F1125/F1120</f>
        <v>0.479888329687173</v>
      </c>
      <c r="G1126" s="14" t="n">
        <f aca="false">G1125/G1120</f>
        <v>0.468358529454829</v>
      </c>
    </row>
    <row r="1127" customFormat="false" ht="15" hidden="false" customHeight="false" outlineLevel="0" collapsed="false">
      <c r="A1127" s="4" t="s">
        <v>437</v>
      </c>
      <c r="B1127" s="4" t="s">
        <v>226</v>
      </c>
      <c r="C1127" s="11" t="n">
        <f aca="false">a25_ni</f>
        <v>2140</v>
      </c>
      <c r="D1127" s="11" t="n">
        <f aca="false">D1125*nioi_hi</f>
        <v>3379.6288</v>
      </c>
      <c r="E1127" s="11" t="n">
        <f aca="false">E1125*nioi_hi</f>
        <v>3616.70037831658</v>
      </c>
      <c r="F1127" s="11" t="n">
        <f aca="false">F1125*nioi_hi</f>
        <v>4046.95615669864</v>
      </c>
      <c r="G1127" s="11" t="n">
        <f aca="false">G1125*nioi_hi</f>
        <v>3150.33056829296</v>
      </c>
    </row>
    <row r="1128" customFormat="false" ht="15" hidden="false" customHeight="false" outlineLevel="0" collapsed="false">
      <c r="A1128" s="0" t="s">
        <v>438</v>
      </c>
      <c r="B1128" s="0" t="s">
        <v>302</v>
      </c>
      <c r="C1128" s="11" t="n">
        <f aca="false">a25_eps</f>
        <v>2231.7</v>
      </c>
      <c r="D1128" s="11" t="n">
        <f aca="false">D1127*100/shares</f>
        <v>3524.44747334579</v>
      </c>
      <c r="E1128" s="11" t="n">
        <f aca="false">E1127*100/shares</f>
        <v>3771.67767957435</v>
      </c>
      <c r="F1128" s="11" t="n">
        <f aca="false">F1127*100/shares</f>
        <v>4220.37011911418</v>
      </c>
      <c r="G1128" s="11" t="n">
        <f aca="false">G1127*100/shares</f>
        <v>3285.3237052614</v>
      </c>
    </row>
    <row r="1129" customFormat="false" ht="17.15" hidden="false" customHeight="false" outlineLevel="0" collapsed="false">
      <c r="A1129" s="4" t="s">
        <v>471</v>
      </c>
      <c r="B1129" s="4" t="s">
        <v>226</v>
      </c>
      <c r="C1129" s="11" t="n">
        <f aca="false">$C1119*C1110</f>
        <v>9004.3989362985</v>
      </c>
      <c r="D1129" s="11" t="n">
        <f aca="false">$C1119*D1110</f>
        <v>9948.86294467556</v>
      </c>
      <c r="E1129" s="11" t="n">
        <f aca="false">$C1119*E1110</f>
        <v>12987.9775616341</v>
      </c>
      <c r="F1129" s="11" t="n">
        <f aca="false">$C1119*F1110</f>
        <v>14244.5721242917</v>
      </c>
      <c r="G1129" s="11" t="n">
        <f aca="false">$C1119*G1110</f>
        <v>7281.60035564122</v>
      </c>
      <c r="I1129" s="4" t="s">
        <v>472</v>
      </c>
    </row>
    <row r="1130" customFormat="false" ht="15" hidden="false" customHeight="false" outlineLevel="0" collapsed="false">
      <c r="A1130" s="4" t="s">
        <v>473</v>
      </c>
      <c r="B1130" s="0" t="s">
        <v>333</v>
      </c>
      <c r="C1130" s="11" t="n">
        <f aca="false">C1129/fx*100</f>
        <v>634.112601147782</v>
      </c>
      <c r="D1130" s="11" t="n">
        <f aca="false">D1129/fx*100</f>
        <v>700.62415103349</v>
      </c>
      <c r="E1130" s="11" t="n">
        <f aca="false">E1129/fx*100</f>
        <v>914.646307157333</v>
      </c>
      <c r="F1130" s="11" t="n">
        <f aca="false">F1129/fx*100</f>
        <v>1003.13888199238</v>
      </c>
      <c r="G1130" s="11" t="n">
        <f aca="false">G1129/fx*100</f>
        <v>512.788757439523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687</v>
      </c>
    </row>
    <row r="2" customFormat="false" ht="17.15" hidden="false" customHeight="false" outlineLevel="0" collapsed="false">
      <c r="A2" s="4" t="s">
        <v>688</v>
      </c>
      <c r="B2" s="0" t="s">
        <v>689</v>
      </c>
    </row>
    <row r="3" customFormat="false" ht="17.15" hidden="false" customHeight="false" outlineLevel="0" collapsed="false">
      <c r="A3" s="0" t="s">
        <v>690</v>
      </c>
      <c r="B3" s="0" t="s">
        <v>691</v>
      </c>
    </row>
    <row r="4" customFormat="false" ht="17.15" hidden="false" customHeight="false" outlineLevel="0" collapsed="false">
      <c r="A4" s="0" t="s">
        <v>692</v>
      </c>
      <c r="B4" s="0" t="s">
        <v>693</v>
      </c>
    </row>
    <row r="5" customFormat="false" ht="17.15" hidden="false" customHeight="false" outlineLevel="0" collapsed="false">
      <c r="A5" s="0" t="s">
        <v>694</v>
      </c>
      <c r="B5" s="0" t="s">
        <v>695</v>
      </c>
    </row>
    <row r="6" customFormat="false" ht="17.15" hidden="false" customHeight="false" outlineLevel="0" collapsed="false">
      <c r="A6" s="0" t="s">
        <v>696</v>
      </c>
      <c r="B6" s="0" t="s">
        <v>697</v>
      </c>
    </row>
    <row r="7" customFormat="false" ht="17.15" hidden="false" customHeight="false" outlineLevel="0" collapsed="false">
      <c r="A7" s="0" t="s">
        <v>698</v>
      </c>
      <c r="B7" s="0" t="s">
        <v>699</v>
      </c>
    </row>
    <row r="8" customFormat="false" ht="17.15" hidden="false" customHeight="false" outlineLevel="0" collapsed="false">
      <c r="A8" s="0" t="s">
        <v>700</v>
      </c>
      <c r="B8" s="0" t="s">
        <v>701</v>
      </c>
    </row>
    <row r="9" customFormat="false" ht="17.15" hidden="false" customHeight="false" outlineLevel="0" collapsed="false">
      <c r="A9" s="0" t="s">
        <v>702</v>
      </c>
      <c r="B9" s="0" t="s">
        <v>703</v>
      </c>
    </row>
    <row r="10" customFormat="false" ht="17.15" hidden="false" customHeight="false" outlineLevel="0" collapsed="false">
      <c r="A10" s="0" t="s">
        <v>704</v>
      </c>
      <c r="B10" s="0" t="s">
        <v>705</v>
      </c>
    </row>
    <row r="11" customFormat="false" ht="17.15" hidden="false" customHeight="false" outlineLevel="0" collapsed="false">
      <c r="A11" s="0" t="s">
        <v>706</v>
      </c>
      <c r="B11" s="0" t="s">
        <v>707</v>
      </c>
    </row>
    <row r="12" customFormat="false" ht="17.15" hidden="false" customHeight="false" outlineLevel="0" collapsed="false">
      <c r="A12" s="0" t="s">
        <v>708</v>
      </c>
      <c r="B12" s="0" t="s">
        <v>709</v>
      </c>
    </row>
    <row r="13" customFormat="false" ht="17.15" hidden="false" customHeight="false" outlineLevel="0" collapsed="false">
      <c r="A13" s="0" t="s">
        <v>710</v>
      </c>
      <c r="B13" s="0" t="s">
        <v>711</v>
      </c>
    </row>
    <row r="14" customFormat="false" ht="17.15" hidden="false" customHeight="false" outlineLevel="0" collapsed="false">
      <c r="A14" s="0" t="s">
        <v>712</v>
      </c>
      <c r="B14" s="0" t="s">
        <v>713</v>
      </c>
    </row>
    <row r="15" customFormat="false" ht="17.15" hidden="false" customHeight="false" outlineLevel="0" collapsed="false">
      <c r="A15" s="0" t="s">
        <v>714</v>
      </c>
      <c r="B15" s="0" t="s">
        <v>715</v>
      </c>
    </row>
    <row r="16" customFormat="false" ht="17.15" hidden="false" customHeight="false" outlineLevel="0" collapsed="false">
      <c r="A16" s="0" t="s">
        <v>716</v>
      </c>
      <c r="B16" s="0" t="s">
        <v>717</v>
      </c>
    </row>
    <row r="17" customFormat="false" ht="17.15" hidden="false" customHeight="false" outlineLevel="0" collapsed="false">
      <c r="A17" s="0" t="s">
        <v>718</v>
      </c>
      <c r="B17" s="0" t="s">
        <v>719</v>
      </c>
    </row>
    <row r="18" customFormat="false" ht="17.15" hidden="false" customHeight="false" outlineLevel="0" collapsed="false">
      <c r="A18" s="0" t="s">
        <v>720</v>
      </c>
      <c r="B18" s="0" t="s">
        <v>721</v>
      </c>
    </row>
    <row r="19" customFormat="false" ht="17.15" hidden="false" customHeight="false" outlineLevel="0" collapsed="false">
      <c r="A19" s="0" t="s">
        <v>722</v>
      </c>
      <c r="B19" s="0" t="s">
        <v>723</v>
      </c>
    </row>
    <row r="20" customFormat="false" ht="17.15" hidden="false" customHeight="false" outlineLevel="0" collapsed="false">
      <c r="A20" s="0" t="s">
        <v>724</v>
      </c>
      <c r="B20" s="0" t="s">
        <v>725</v>
      </c>
    </row>
    <row r="21" customFormat="false" ht="17.15" hidden="false" customHeight="false" outlineLevel="0" collapsed="false">
      <c r="A21" s="4" t="s">
        <v>726</v>
      </c>
    </row>
    <row r="22" customFormat="false" ht="15" hidden="false" customHeight="false" outlineLevel="0" collapsed="false">
      <c r="A22" s="0" t="s">
        <v>727</v>
      </c>
      <c r="B22" s="4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2026-10-25T03:24:55Z</dcterms:created>
  <dc:creator>openpyxl</dc:creator>
  <dc:description/>
  <dc:language>en-US</dc:language>
  <cp:lastModifiedBy/>
  <dcterms:modified xsi:type="dcterms:W3CDTF">2026-10-25T03:24:56Z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