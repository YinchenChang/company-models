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Units" sheetId="3" state="visible" r:id="rId5"/>
    <sheet name="Mkt" sheetId="4" state="visible" r:id="rId6"/>
    <sheet name="Sens" sheetId="5" state="visible" r:id="rId7"/>
    <sheet name="Sources" sheetId="6" state="visible" r:id="rId8"/>
  </sheets>
  <definedNames>
    <definedName function="false" hidden="false" name="avgo_nic" vbProcedure="false">In!$E$118</definedName>
    <definedName function="false" hidden="false" name="avgo_nic_hi" vbProcedure="false">In!$F$118</definedName>
    <definedName function="false" hidden="false" name="avgo_nic_lo" vbProcedure="false">In!$D$118</definedName>
    <definedName function="false" hidden="false" name="avgo_opt" vbProcedure="false">In!$E$119</definedName>
    <definedName function="false" hidden="false" name="avgo_opt_hi" vbProcedure="false">In!$F$119</definedName>
    <definedName function="false" hidden="false" name="avgo_opt_lo" vbProcedure="false">In!$D$119</definedName>
    <definedName function="false" hidden="false" name="avgo_so" vbProcedure="false">In!$E$117</definedName>
    <definedName function="false" hidden="false" name="avgo_so_hi" vbProcedure="false">In!$F$117</definedName>
    <definedName function="false" hidden="false" name="avgo_so_lo" vbProcedure="false">In!$D$117</definedName>
    <definedName function="false" hidden="false" name="avgo_su" vbProcedure="false">In!$E$116</definedName>
    <definedName function="false" hidden="false" name="avgo_su_hi" vbProcedure="false">In!$F$116</definedName>
    <definedName function="false" hidden="false" name="avgo_su_lo" vbProcedure="false">In!$D$116</definedName>
    <definedName function="false" hidden="false" name="cpo_26" vbProcedure="false">In!$E$103</definedName>
    <definedName function="false" hidden="false" name="cpo_27" vbProcedure="false">In!$E$104</definedName>
    <definedName function="false" hidden="false" name="cpo_28" vbProcedure="false">In!$E$105</definedName>
    <definedName function="false" hidden="false" name="cpo_29" vbProcedure="false">In!$E$106</definedName>
    <definedName function="false" hidden="false" name="c_AMD8_nic" vbProcedure="false">In!$E$67</definedName>
    <definedName function="false" hidden="false" name="c_AMD8_nic_hi" vbProcedure="false">In!$F$67</definedName>
    <definedName function="false" hidden="false" name="c_AMD8_nic_lo" vbProcedure="false">In!$D$67</definedName>
    <definedName function="false" hidden="false" name="c_AMD8_so_cu" vbProcedure="false">In!$E$66</definedName>
    <definedName function="false" hidden="false" name="c_AMD8_so_cu_hi" vbProcedure="false">In!$F$66</definedName>
    <definedName function="false" hidden="false" name="c_AMD8_so_cu_lo" vbProcedure="false">In!$D$66</definedName>
    <definedName function="false" hidden="false" name="c_AMD8_so_opt" vbProcedure="false">In!$E$65</definedName>
    <definedName function="false" hidden="false" name="c_AMD8_so_opt_hi" vbProcedure="false">In!$F$65</definedName>
    <definedName function="false" hidden="false" name="c_AMD8_so_opt_lo" vbProcedure="false">In!$D$65</definedName>
    <definedName function="false" hidden="false" name="c_AMD8_so_sw" vbProcedure="false">In!$E$64</definedName>
    <definedName function="false" hidden="false" name="c_AMD8_so_sw_hi" vbProcedure="false">In!$F$64</definedName>
    <definedName function="false" hidden="false" name="c_AMD8_so_sw_lo" vbProcedure="false">In!$D$64</definedName>
    <definedName function="false" hidden="false" name="c_AMD8_su_ic" vbProcedure="false">In!$E$63</definedName>
    <definedName function="false" hidden="false" name="c_AMD8_su_ic_hi" vbProcedure="false">In!$F$63</definedName>
    <definedName function="false" hidden="false" name="c_AMD8_su_ic_lo" vbProcedure="false">In!$D$63</definedName>
    <definedName function="false" hidden="false" name="c_AMD8_su_sw" vbProcedure="false">In!$E$62</definedName>
    <definedName function="false" hidden="false" name="c_AMD8_su_sw_hi" vbProcedure="false">In!$F$62</definedName>
    <definedName function="false" hidden="false" name="c_AMD8_su_sw_lo" vbProcedure="false">In!$D$62</definedName>
    <definedName function="false" hidden="false" name="c_AMDR_nic" vbProcedure="false">In!$E$73</definedName>
    <definedName function="false" hidden="false" name="c_AMDR_nic_hi" vbProcedure="false">In!$F$73</definedName>
    <definedName function="false" hidden="false" name="c_AMDR_nic_lo" vbProcedure="false">In!$D$73</definedName>
    <definedName function="false" hidden="false" name="c_AMDR_so_cu" vbProcedure="false">In!$E$72</definedName>
    <definedName function="false" hidden="false" name="c_AMDR_so_cu_hi" vbProcedure="false">In!$F$72</definedName>
    <definedName function="false" hidden="false" name="c_AMDR_so_cu_lo" vbProcedure="false">In!$D$72</definedName>
    <definedName function="false" hidden="false" name="c_AMDR_so_opt" vbProcedure="false">In!$E$71</definedName>
    <definedName function="false" hidden="false" name="c_AMDR_so_opt_hi" vbProcedure="false">In!$F$71</definedName>
    <definedName function="false" hidden="false" name="c_AMDR_so_opt_lo" vbProcedure="false">In!$D$71</definedName>
    <definedName function="false" hidden="false" name="c_AMDR_so_sw" vbProcedure="false">In!$E$70</definedName>
    <definedName function="false" hidden="false" name="c_AMDR_so_sw_hi" vbProcedure="false">In!$F$70</definedName>
    <definedName function="false" hidden="false" name="c_AMDR_so_sw_lo" vbProcedure="false">In!$D$70</definedName>
    <definedName function="false" hidden="false" name="c_AMDR_su_ic" vbProcedure="false">In!$E$69</definedName>
    <definedName function="false" hidden="false" name="c_AMDR_su_ic_hi" vbProcedure="false">In!$F$69</definedName>
    <definedName function="false" hidden="false" name="c_AMDR_su_ic_lo" vbProcedure="false">In!$D$69</definedName>
    <definedName function="false" hidden="false" name="c_AMDR_su_sw" vbProcedure="false">In!$E$68</definedName>
    <definedName function="false" hidden="false" name="c_AMDR_su_sw_hi" vbProcedure="false">In!$F$68</definedName>
    <definedName function="false" hidden="false" name="c_AMDR_su_sw_lo" vbProcedure="false">In!$D$68</definedName>
    <definedName function="false" hidden="false" name="c_ASIC_nic" vbProcedure="false">In!$E$91</definedName>
    <definedName function="false" hidden="false" name="c_ASIC_nic_hi" vbProcedure="false">In!$F$91</definedName>
    <definedName function="false" hidden="false" name="c_ASIC_nic_lo" vbProcedure="false">In!$D$91</definedName>
    <definedName function="false" hidden="false" name="c_ASIC_so_cu" vbProcedure="false">In!$E$90</definedName>
    <definedName function="false" hidden="false" name="c_ASIC_so_cu_hi" vbProcedure="false">In!$F$90</definedName>
    <definedName function="false" hidden="false" name="c_ASIC_so_cu_lo" vbProcedure="false">In!$D$90</definedName>
    <definedName function="false" hidden="false" name="c_ASIC_so_opt" vbProcedure="false">In!$E$89</definedName>
    <definedName function="false" hidden="false" name="c_ASIC_so_opt_hi" vbProcedure="false">In!$F$89</definedName>
    <definedName function="false" hidden="false" name="c_ASIC_so_opt_lo" vbProcedure="false">In!$D$89</definedName>
    <definedName function="false" hidden="false" name="c_ASIC_so_sw" vbProcedure="false">In!$E$88</definedName>
    <definedName function="false" hidden="false" name="c_ASIC_so_sw_hi" vbProcedure="false">In!$F$88</definedName>
    <definedName function="false" hidden="false" name="c_ASIC_so_sw_lo" vbProcedure="false">In!$D$88</definedName>
    <definedName function="false" hidden="false" name="c_ASIC_su_ic" vbProcedure="false">In!$E$87</definedName>
    <definedName function="false" hidden="false" name="c_ASIC_su_ic_hi" vbProcedure="false">In!$F$87</definedName>
    <definedName function="false" hidden="false" name="c_ASIC_su_ic_lo" vbProcedure="false">In!$D$87</definedName>
    <definedName function="false" hidden="false" name="c_ASIC_su_sw" vbProcedure="false">In!$E$86</definedName>
    <definedName function="false" hidden="false" name="c_ASIC_su_sw_hi" vbProcedure="false">In!$F$86</definedName>
    <definedName function="false" hidden="false" name="c_ASIC_su_sw_lo" vbProcedure="false">In!$D$86</definedName>
    <definedName function="false" hidden="false" name="c_GB_nic" vbProcedure="false">In!$E$43</definedName>
    <definedName function="false" hidden="false" name="c_GB_nic_hi" vbProcedure="false">In!$F$43</definedName>
    <definedName function="false" hidden="false" name="c_GB_nic_lo" vbProcedure="false">In!$D$43</definedName>
    <definedName function="false" hidden="false" name="c_GB_so_cu" vbProcedure="false">In!$E$42</definedName>
    <definedName function="false" hidden="false" name="c_GB_so_cu_hi" vbProcedure="false">In!$F$42</definedName>
    <definedName function="false" hidden="false" name="c_GB_so_cu_lo" vbProcedure="false">In!$D$42</definedName>
    <definedName function="false" hidden="false" name="c_GB_so_opt" vbProcedure="false">In!$E$41</definedName>
    <definedName function="false" hidden="false" name="c_GB_so_opt_hi" vbProcedure="false">In!$F$41</definedName>
    <definedName function="false" hidden="false" name="c_GB_so_opt_lo" vbProcedure="false">In!$D$41</definedName>
    <definedName function="false" hidden="false" name="c_GB_so_sw" vbProcedure="false">In!$E$40</definedName>
    <definedName function="false" hidden="false" name="c_GB_so_sw_hi" vbProcedure="false">In!$F$40</definedName>
    <definedName function="false" hidden="false" name="c_GB_so_sw_lo" vbProcedure="false">In!$D$40</definedName>
    <definedName function="false" hidden="false" name="c_GB_su_ic" vbProcedure="false">In!$E$39</definedName>
    <definedName function="false" hidden="false" name="c_GB_su_ic_hi" vbProcedure="false">In!$F$39</definedName>
    <definedName function="false" hidden="false" name="c_GB_su_ic_lo" vbProcedure="false">In!$D$39</definedName>
    <definedName function="false" hidden="false" name="c_GB_su_sw" vbProcedure="false">In!$E$38</definedName>
    <definedName function="false" hidden="false" name="c_GB_su_sw_hi" vbProcedure="false">In!$F$38</definedName>
    <definedName function="false" hidden="false" name="c_GB_su_sw_lo" vbProcedure="false">In!$D$38</definedName>
    <definedName function="false" hidden="false" name="c_HP_nic" vbProcedure="false">In!$E$61</definedName>
    <definedName function="false" hidden="false" name="c_HP_nic_hi" vbProcedure="false">In!$F$61</definedName>
    <definedName function="false" hidden="false" name="c_HP_nic_lo" vbProcedure="false">In!$D$61</definedName>
    <definedName function="false" hidden="false" name="c_HP_so_cu" vbProcedure="false">In!$E$60</definedName>
    <definedName function="false" hidden="false" name="c_HP_so_cu_hi" vbProcedure="false">In!$F$60</definedName>
    <definedName function="false" hidden="false" name="c_HP_so_cu_lo" vbProcedure="false">In!$D$60</definedName>
    <definedName function="false" hidden="false" name="c_HP_so_opt" vbProcedure="false">In!$E$59</definedName>
    <definedName function="false" hidden="false" name="c_HP_so_opt_hi" vbProcedure="false">In!$F$59</definedName>
    <definedName function="false" hidden="false" name="c_HP_so_opt_lo" vbProcedure="false">In!$D$59</definedName>
    <definedName function="false" hidden="false" name="c_HP_so_sw" vbProcedure="false">In!$E$58</definedName>
    <definedName function="false" hidden="false" name="c_HP_so_sw_hi" vbProcedure="false">In!$F$58</definedName>
    <definedName function="false" hidden="false" name="c_HP_so_sw_lo" vbProcedure="false">In!$D$58</definedName>
    <definedName function="false" hidden="false" name="c_HP_su_ic" vbProcedure="false">In!$E$57</definedName>
    <definedName function="false" hidden="false" name="c_HP_su_ic_hi" vbProcedure="false">In!$F$57</definedName>
    <definedName function="false" hidden="false" name="c_HP_su_ic_lo" vbProcedure="false">In!$D$57</definedName>
    <definedName function="false" hidden="false" name="c_HP_su_sw" vbProcedure="false">In!$E$56</definedName>
    <definedName function="false" hidden="false" name="c_HP_su_sw_hi" vbProcedure="false">In!$F$56</definedName>
    <definedName function="false" hidden="false" name="c_HP_su_sw_lo" vbProcedure="false">In!$D$56</definedName>
    <definedName function="false" hidden="false" name="c_RU_nic" vbProcedure="false">In!$E$55</definedName>
    <definedName function="false" hidden="false" name="c_RU_nic_hi" vbProcedure="false">In!$F$55</definedName>
    <definedName function="false" hidden="false" name="c_RU_nic_lo" vbProcedure="false">In!$D$55</definedName>
    <definedName function="false" hidden="false" name="c_RU_so_cu" vbProcedure="false">In!$E$54</definedName>
    <definedName function="false" hidden="false" name="c_RU_so_cu_hi" vbProcedure="false">In!$F$54</definedName>
    <definedName function="false" hidden="false" name="c_RU_so_cu_lo" vbProcedure="false">In!$D$54</definedName>
    <definedName function="false" hidden="false" name="c_RU_so_opt" vbProcedure="false">In!$E$53</definedName>
    <definedName function="false" hidden="false" name="c_RU_so_opt_hi" vbProcedure="false">In!$F$53</definedName>
    <definedName function="false" hidden="false" name="c_RU_so_opt_lo" vbProcedure="false">In!$D$53</definedName>
    <definedName function="false" hidden="false" name="c_RU_so_sw" vbProcedure="false">In!$E$52</definedName>
    <definedName function="false" hidden="false" name="c_RU_so_sw_hi" vbProcedure="false">In!$F$52</definedName>
    <definedName function="false" hidden="false" name="c_RU_so_sw_lo" vbProcedure="false">In!$D$52</definedName>
    <definedName function="false" hidden="false" name="c_RU_su_ic" vbProcedure="false">In!$E$51</definedName>
    <definedName function="false" hidden="false" name="c_RU_su_ic_hi" vbProcedure="false">In!$F$51</definedName>
    <definedName function="false" hidden="false" name="c_RU_su_ic_lo" vbProcedure="false">In!$D$51</definedName>
    <definedName function="false" hidden="false" name="c_RU_su_sw" vbProcedure="false">In!$E$50</definedName>
    <definedName function="false" hidden="false" name="c_RU_su_sw_hi" vbProcedure="false">In!$F$50</definedName>
    <definedName function="false" hidden="false" name="c_RU_su_sw_lo" vbProcedure="false">In!$D$50</definedName>
    <definedName function="false" hidden="false" name="c_TPU_nic" vbProcedure="false">In!$E$79</definedName>
    <definedName function="false" hidden="false" name="c_TPU_nic_hi" vbProcedure="false">In!$F$79</definedName>
    <definedName function="false" hidden="false" name="c_TPU_nic_lo" vbProcedure="false">In!$D$79</definedName>
    <definedName function="false" hidden="false" name="c_TPU_so_cu" vbProcedure="false">In!$E$78</definedName>
    <definedName function="false" hidden="false" name="c_TPU_so_cu_hi" vbProcedure="false">In!$F$78</definedName>
    <definedName function="false" hidden="false" name="c_TPU_so_cu_lo" vbProcedure="false">In!$D$78</definedName>
    <definedName function="false" hidden="false" name="c_TPU_so_opt" vbProcedure="false">In!$E$77</definedName>
    <definedName function="false" hidden="false" name="c_TPU_so_opt_hi" vbProcedure="false">In!$F$77</definedName>
    <definedName function="false" hidden="false" name="c_TPU_so_opt_lo" vbProcedure="false">In!$D$77</definedName>
    <definedName function="false" hidden="false" name="c_TPU_so_sw" vbProcedure="false">In!$E$76</definedName>
    <definedName function="false" hidden="false" name="c_TPU_so_sw_hi" vbProcedure="false">In!$F$76</definedName>
    <definedName function="false" hidden="false" name="c_TPU_so_sw_lo" vbProcedure="false">In!$D$76</definedName>
    <definedName function="false" hidden="false" name="c_TPU_su_ic" vbProcedure="false">In!$E$75</definedName>
    <definedName function="false" hidden="false" name="c_TPU_su_ic_hi" vbProcedure="false">In!$F$75</definedName>
    <definedName function="false" hidden="false" name="c_TPU_su_ic_lo" vbProcedure="false">In!$D$75</definedName>
    <definedName function="false" hidden="false" name="c_TPU_su_sw" vbProcedure="false">In!$E$74</definedName>
    <definedName function="false" hidden="false" name="c_TPU_su_sw_hi" vbProcedure="false">In!$F$74</definedName>
    <definedName function="false" hidden="false" name="c_TPU_su_sw_lo" vbProcedure="false">In!$D$74</definedName>
    <definedName function="false" hidden="false" name="c_TRN_nic" vbProcedure="false">In!$E$85</definedName>
    <definedName function="false" hidden="false" name="c_TRN_nic_hi" vbProcedure="false">In!$F$85</definedName>
    <definedName function="false" hidden="false" name="c_TRN_nic_lo" vbProcedure="false">In!$D$85</definedName>
    <definedName function="false" hidden="false" name="c_TRN_so_cu" vbProcedure="false">In!$E$84</definedName>
    <definedName function="false" hidden="false" name="c_TRN_so_cu_hi" vbProcedure="false">In!$F$84</definedName>
    <definedName function="false" hidden="false" name="c_TRN_so_cu_lo" vbProcedure="false">In!$D$84</definedName>
    <definedName function="false" hidden="false" name="c_TRN_so_opt" vbProcedure="false">In!$E$83</definedName>
    <definedName function="false" hidden="false" name="c_TRN_so_opt_hi" vbProcedure="false">In!$F$83</definedName>
    <definedName function="false" hidden="false" name="c_TRN_so_opt_lo" vbProcedure="false">In!$D$83</definedName>
    <definedName function="false" hidden="false" name="c_TRN_so_sw" vbProcedure="false">In!$E$82</definedName>
    <definedName function="false" hidden="false" name="c_TRN_so_sw_hi" vbProcedure="false">In!$F$82</definedName>
    <definedName function="false" hidden="false" name="c_TRN_so_sw_lo" vbProcedure="false">In!$D$82</definedName>
    <definedName function="false" hidden="false" name="c_TRN_su_ic" vbProcedure="false">In!$E$81</definedName>
    <definedName function="false" hidden="false" name="c_TRN_su_ic_hi" vbProcedure="false">In!$F$81</definedName>
    <definedName function="false" hidden="false" name="c_TRN_su_ic_lo" vbProcedure="false">In!$D$81</definedName>
    <definedName function="false" hidden="false" name="c_TRN_su_sw" vbProcedure="false">In!$E$80</definedName>
    <definedName function="false" hidden="false" name="c_TRN_su_sw_hi" vbProcedure="false">In!$F$80</definedName>
    <definedName function="false" hidden="false" name="c_TRN_su_sw_lo" vbProcedure="false">In!$D$80</definedName>
    <definedName function="false" hidden="false" name="c_VR_nic" vbProcedure="false">In!$E$49</definedName>
    <definedName function="false" hidden="false" name="c_VR_nic_hi" vbProcedure="false">In!$F$49</definedName>
    <definedName function="false" hidden="false" name="c_VR_nic_lo" vbProcedure="false">In!$D$49</definedName>
    <definedName function="false" hidden="false" name="c_VR_so_cu" vbProcedure="false">In!$E$48</definedName>
    <definedName function="false" hidden="false" name="c_VR_so_cu_hi" vbProcedure="false">In!$F$48</definedName>
    <definedName function="false" hidden="false" name="c_VR_so_cu_lo" vbProcedure="false">In!$D$48</definedName>
    <definedName function="false" hidden="false" name="c_VR_so_opt" vbProcedure="false">In!$E$47</definedName>
    <definedName function="false" hidden="false" name="c_VR_so_opt_hi" vbProcedure="false">In!$F$47</definedName>
    <definedName function="false" hidden="false" name="c_VR_so_opt_lo" vbProcedure="false">In!$D$47</definedName>
    <definedName function="false" hidden="false" name="c_VR_so_sw" vbProcedure="false">In!$E$46</definedName>
    <definedName function="false" hidden="false" name="c_VR_so_sw_hi" vbProcedure="false">In!$F$46</definedName>
    <definedName function="false" hidden="false" name="c_VR_so_sw_lo" vbProcedure="false">In!$D$46</definedName>
    <definedName function="false" hidden="false" name="c_VR_su_ic" vbProcedure="false">In!$E$45</definedName>
    <definedName function="false" hidden="false" name="c_VR_su_ic_hi" vbProcedure="false">In!$F$45</definedName>
    <definedName function="false" hidden="false" name="c_VR_su_ic_lo" vbProcedure="false">In!$D$45</definedName>
    <definedName function="false" hidden="false" name="c_VR_su_sw" vbProcedure="false">In!$E$44</definedName>
    <definedName function="false" hidden="false" name="c_VR_su_sw_hi" vbProcedure="false">In!$F$44</definedName>
    <definedName function="false" hidden="false" name="c_VR_su_sw_lo" vbProcedure="false">In!$D$44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it_AMD8" vbProcedure="false">In!$E$97</definedName>
    <definedName function="false" hidden="false" name="it_AMDR" vbProcedure="false">In!$E$98</definedName>
    <definedName function="false" hidden="false" name="it_ASIC" vbProcedure="false">In!$E$101</definedName>
    <definedName function="false" hidden="false" name="it_GB" vbProcedure="false">In!$E$93</definedName>
    <definedName function="false" hidden="false" name="it_HP" vbProcedure="false">In!$E$96</definedName>
    <definedName function="false" hidden="false" name="it_RU" vbProcedure="false">In!$E$95</definedName>
    <definedName function="false" hidden="false" name="it_TPU" vbProcedure="false">In!$E$99</definedName>
    <definedName function="false" hidden="false" name="it_TRN" vbProcedure="false">In!$E$100</definedName>
    <definedName function="false" hidden="false" name="it_VR" vbProcedure="false">In!$E$94</definedName>
    <definedName function="false" hidden="false" name="nv_opt" vbProcedure="false">In!$E$115</definedName>
    <definedName function="false" hidden="false" name="nv_opt_hi" vbProcedure="false">In!$F$115</definedName>
    <definedName function="false" hidden="false" name="nv_opt_lo" vbProcedure="false">In!$D$115</definedName>
    <definedName function="false" hidden="false" name="nv_so_sw" vbProcedure="false">In!$E$114</definedName>
    <definedName function="false" hidden="false" name="nv_so_sw_hi" vbProcedure="false">In!$F$114</definedName>
    <definedName function="false" hidden="false" name="nv_so_sw_lo" vbProcedure="false">In!$D$114</definedName>
    <definedName function="false" hidden="false" name="nv_su_ic" vbProcedure="false">In!$E$113</definedName>
    <definedName function="false" hidden="false" name="nv_su_ic_hi" vbProcedure="false">In!$F$113</definedName>
    <definedName function="false" hidden="false" name="nv_su_ic_lo" vbProcedure="false">In!$D$113</definedName>
    <definedName function="false" hidden="false" name="rep_avgo26" vbProcedure="false">In!$E$121</definedName>
    <definedName function="false" hidden="false" name="rep_avgo26_hi" vbProcedure="false">In!$F$121</definedName>
    <definedName function="false" hidden="false" name="rep_avgo26_lo" vbProcedure="false">In!$D$121</definedName>
    <definedName function="false" hidden="false" name="rep_bern" vbProcedure="false">In!$E$123</definedName>
    <definedName function="false" hidden="false" name="rep_nv26" vbProcedure="false">In!$E$120</definedName>
    <definedName function="false" hidden="false" name="rep_nv26_hi" vbProcedure="false">In!$F$120</definedName>
    <definedName function="false" hidden="false" name="rep_nv26_lo" vbProcedure="false">In!$D$120</definedName>
    <definedName function="false" hidden="false" name="rep_opt26" vbProcedure="false">In!$E$122</definedName>
    <definedName function="false" hidden="false" name="suopt_26" vbProcedure="false">In!$E$107</definedName>
    <definedName function="false" hidden="false" name="suopt_27" vbProcedure="false">In!$E$108</definedName>
    <definedName function="false" hidden="false" name="suopt_28" vbProcedure="false">In!$E$109</definedName>
    <definedName function="false" hidden="false" name="suopt_29" vbProcedure="false">In!$E$110</definedName>
    <definedName function="false" hidden="false" name="su_cu" vbProcedure="false">In!$E$111</definedName>
    <definedName function="false" hidden="false" name="su_cu_hi" vbProcedure="false">In!$F$111</definedName>
    <definedName function="false" hidden="false" name="su_cu_lo" vbProcedure="false">In!$D$111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<sst xmlns="http://schemas.openxmlformats.org/spreadsheetml/2006/main" count="734" uniqueCount="402">
  <si>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網通市場模型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2026-10-23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Tokenomics v20.1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</si>
  <si>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WenQuanYi Zen Hei"/>
        <family val="2"/>
      </rPr>
      <t xml:space="preserve">快照改 </t>
    </r>
    <r>
      <rPr>
        <sz val="11"/>
        <rFont val="Cambria"/>
        <family val="0"/>
        <charset val="1"/>
      </rPr>
      <t xml:space="preserve">v20.1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IF_CapexIT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IF_GPUsPerGW </t>
    </r>
    <r>
      <rPr>
        <sz val="11"/>
        <rFont val="WenQuanYi Zen Hei"/>
        <family val="2"/>
      </rPr>
      <t xml:space="preserve">等五個名稱逐值與 </t>
    </r>
    <r>
      <rPr>
        <sz val="11"/>
        <rFont val="Cambria"/>
        <family val="0"/>
        <charset val="1"/>
      </rPr>
      <t xml:space="preserve">v19.0 </t>
    </r>
    <r>
      <rPr>
        <sz val="11"/>
        <rFont val="WenQuanYi Zen Hei"/>
        <family val="2"/>
      </rPr>
      <t xml:space="preserve">相同，只更新版本標籤與說明文字，數值不變。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</si>
  <si>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ITU </t>
    </r>
    <r>
      <rPr>
        <sz val="11"/>
        <rFont val="WenQuanYi Zen Hei"/>
        <family val="2"/>
      </rPr>
      <t xml:space="preserve">改讀 </t>
    </r>
    <r>
      <rPr>
        <sz val="11"/>
        <rFont val="Cambria"/>
        <family val="0"/>
        <charset val="1"/>
      </rPr>
      <t xml:space="preserve">Tokenomics </t>
    </r>
    <r>
      <rPr>
        <sz val="11"/>
        <rFont val="WenQuanYi Zen Hei"/>
        <family val="2"/>
      </rPr>
      <t xml:space="preserve">快照、不取整（</t>
    </r>
    <r>
      <rPr>
        <sz val="11"/>
        <rFont val="Cambria"/>
        <family val="0"/>
        <charset val="1"/>
      </rPr>
      <t xml:space="preserve">GB300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VR200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Hopper</t>
    </r>
    <r>
      <rPr>
        <sz val="11"/>
        <rFont val="WenQuanYi Zen Hei"/>
        <family val="2"/>
      </rPr>
      <t xml:space="preserve">）；網通金額不變。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</si>
  <si>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網通的錢由「加速器顆數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每顆網通內容」決定；每顆內容隨 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域擴大（</t>
    </r>
    <r>
      <rPr>
        <sz val="11"/>
        <rFont val="Cambria"/>
        <family val="0"/>
        <charset val="1"/>
      </rPr>
      <t xml:space="preserve">NVL72 → NVL576</t>
    </r>
    <r>
      <rPr>
        <sz val="11"/>
        <rFont val="WenQuanYi Zen Hei"/>
        <family val="2"/>
      </rPr>
      <t xml:space="preserve">）與每 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網卡頻寬倍增而上升，而 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的頻寬大多由便宜的銅承載，所以金額主體仍在 </t>
    </r>
    <r>
      <rPr>
        <sz val="11"/>
        <rFont val="Cambria"/>
        <family val="0"/>
        <charset val="1"/>
      </rPr>
      <t xml:space="preserve">scale-out</t>
    </r>
    <r>
      <rPr>
        <sz val="11"/>
        <rFont val="WenQuanYi Zen Hei"/>
        <family val="2"/>
      </rPr>
      <t xml:space="preserve">（交換器、光模組、網卡）。</t>
    </r>
  </si>
  <si>
    <t xml:space="preserve">驅動因子 → 推導量</t>
  </si>
  <si>
    <r>
      <rPr>
        <sz val="11"/>
        <rFont val="Cambria"/>
        <family val="0"/>
        <charset val="1"/>
      </rPr>
      <t xml:space="preserve">Units</t>
    </r>
    <r>
      <rPr>
        <sz val="11"/>
        <rFont val="WenQuanYi Zen Hei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，與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市場同一份）→ 各年各平台顆數</t>
    </r>
  </si>
  <si>
    <r>
      <rPr>
        <sz val="11"/>
        <rFont val="Cambria"/>
        <family val="0"/>
        <charset val="1"/>
      </rPr>
      <t xml:space="preserve">In B</t>
    </r>
    <r>
      <rPr>
        <sz val="11"/>
        <rFont val="WenQuanYi Zen Hei"/>
        <family val="2"/>
      </rPr>
      <t xml:space="preserve">：每顆加速器網通內容（六個元件）；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平台以橋接表 </t>
    </r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為錨，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</si>
  <si>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Σ </t>
    </r>
    <r>
      <rPr>
        <sz val="11"/>
        <rFont val="WenQuanYi Zen Hei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內容 → 依元件、依產品類別的市場；</t>
    </r>
    <r>
      <rPr>
        <sz val="11"/>
        <rFont val="Cambria"/>
        <family val="0"/>
        <charset val="1"/>
      </rPr>
      <t xml:space="preserve">× CPO </t>
    </r>
    <r>
      <rPr>
        <sz val="11"/>
        <rFont val="WenQuanYi Zen Hei"/>
        <family val="2"/>
      </rPr>
      <t xml:space="preserve">占比、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光學占比 → 光／銅；</t>
    </r>
    <r>
      <rPr>
        <sz val="11"/>
        <rFont val="Cambria"/>
        <family val="0"/>
        <charset val="1"/>
      </rPr>
      <t xml:space="preserve">÷ AI IT capex → </t>
    </r>
    <r>
      <rPr>
        <sz val="11"/>
        <rFont val="WenQuanYi Zen Hei"/>
        <family val="2"/>
      </rPr>
      <t xml:space="preserve">網通占比；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廠商歸屬 → </t>
    </r>
    <r>
      <rPr>
        <sz val="11"/>
        <rFont val="Cambria"/>
        <family val="0"/>
        <charset val="1"/>
      </rPr>
      <t xml:space="preserve">NVIDIA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WenQuanYi Zen Hei"/>
        <family val="2"/>
      </rPr>
      <t xml:space="preserve">推估營收，對照實際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</si>
  <si>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Rubin </t>
    </r>
    <r>
      <rPr>
        <sz val="11"/>
        <rFont val="WenQuanYi Zen Hei"/>
        <family val="2"/>
      </rPr>
      <t xml:space="preserve">顆數、</t>
    </r>
    <r>
      <rPr>
        <sz val="11"/>
        <rFont val="Cambria"/>
        <family val="0"/>
        <charset val="1"/>
      </rPr>
      <t xml:space="preserve">VR200 </t>
    </r>
    <r>
      <rPr>
        <sz val="11"/>
        <rFont val="WenQuanYi Zen Hei"/>
        <family val="2"/>
      </rPr>
      <t xml:space="preserve">內容、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內容對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市場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</si>
  <si>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</si>
  <si>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WenQuanYi Zen Hei"/>
        <family val="2"/>
      </rPr>
      <t xml:space="preserve">網通總市場與 </t>
    </r>
    <r>
      <rPr>
        <sz val="11"/>
        <rFont val="Cambria"/>
        <family val="0"/>
        <charset val="1"/>
      </rPr>
      <t xml:space="preserve">scale-up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美元拆分沒有公開資料（</t>
    </r>
    <r>
      <rPr>
        <sz val="11"/>
        <rFont val="Cambria"/>
        <family val="0"/>
        <charset val="1"/>
      </rPr>
      <t xml:space="preserve">Dell'Oro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650 Group </t>
    </r>
    <r>
      <rPr>
        <sz val="11"/>
        <rFont val="WenQuanYi Zen Hei"/>
        <family val="2"/>
      </rPr>
      <t xml:space="preserve">付費），本模型為由下而上推導；</t>
    </r>
    <r>
      <rPr>
        <sz val="11"/>
        <rFont val="Cambria"/>
        <family val="0"/>
        <charset val="1"/>
      </rPr>
      <t xml:space="preserve">(2) ASIC </t>
    </r>
    <r>
      <rPr>
        <sz val="11"/>
        <rFont val="WenQuanYi Zen Hei"/>
        <family val="2"/>
      </rPr>
      <t xml:space="preserve">網通內容為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廠商歸屬為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，只用來與 </t>
    </r>
    <r>
      <rPr>
        <sz val="11"/>
        <rFont val="Cambria"/>
        <family val="0"/>
        <charset val="1"/>
      </rPr>
      <t xml:space="preserve">NVIDIA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WenQuanYi Zen Hei"/>
        <family val="2"/>
      </rPr>
      <t xml:space="preserve">實際營收對帳；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只含 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後端網路，不含前端。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</si>
  <si>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）。每列具名範圍＝鍵。金額：每顆加速器美元；市場：十億美元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</si>
  <si>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</si>
  <si>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</si>
  <si>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</si>
  <si>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</si>
  <si>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</si>
  <si>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</si>
  <si>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</si>
  <si>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</si>
  <si>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2026–2028 </t>
    </r>
    <r>
      <rPr>
        <b val="true"/>
        <sz val="11"/>
        <rFont val="WenQuanYi Zen Hei"/>
        <family val="2"/>
      </rPr>
      <t xml:space="preserve">取自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WenQuanYi Zen Hei"/>
        <family val="2"/>
      </rPr>
      <t xml:space="preserve">為成長率）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</si>
  <si>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</si>
  <si>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</si>
  <si>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</si>
  <si>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</si>
  <si>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</si>
  <si>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</si>
  <si>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</si>
  <si>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</si>
  <si>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</si>
  <si>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</si>
  <si>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</si>
  <si>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</si>
  <si>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</si>
  <si>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</si>
  <si>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無顆數預測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</si>
  <si>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</si>
  <si>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</si>
  <si>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</si>
  <si>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</si>
  <si>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</si>
  <si>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</si>
  <si>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</si>
  <si>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</si>
  <si>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</si>
  <si>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</si>
  <si>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</si>
  <si>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</si>
  <si>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</si>
  <si>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</si>
  <si>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</si>
  <si>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</si>
  <si>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</si>
  <si>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</si>
  <si>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</si>
  <si>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</si>
  <si>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</si>
  <si>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</si>
  <si>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</si>
  <si>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</si>
  <si>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</si>
  <si>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</si>
  <si>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</si>
  <si>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</si>
  <si>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</si>
  <si>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</si>
  <si>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</si>
  <si>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</si>
  <si>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</si>
  <si>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</si>
  <si>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</si>
  <si>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</si>
  <si>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</si>
  <si>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</si>
  <si>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</si>
  <si>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</si>
  <si>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</si>
  <si>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</si>
  <si>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</si>
  <si>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</si>
  <si>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</si>
  <si>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</si>
  <si>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</si>
  <si>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</si>
  <si>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</si>
  <si>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</si>
  <si>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</si>
  <si>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</si>
  <si>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</si>
  <si>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</si>
  <si>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</si>
  <si>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</si>
  <si>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</si>
  <si>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</si>
  <si>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</si>
  <si>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</si>
  <si>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</si>
  <si>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</si>
  <si>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</si>
  <si>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</si>
  <si>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</si>
  <si>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每顆加速器網通內容（美元）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</si>
  <si>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</si>
  <si>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</si>
  <si>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WenQuanYi Zen Hei"/>
        <family val="2"/>
      </rPr>
      <t xml:space="preserve">顆</t>
    </r>
  </si>
  <si>
    <t xml:space="preserve">Derived</t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</si>
  <si>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WenQuanYi Zen Hei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WenQuanYi Zen Hei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WenQuanYi Zen Hei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WenQuanYi Zen Hei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WenQuanYi Zen Hei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WenQuanYi Zen Hei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WenQuanYi Zen Hei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WenQuanYi Zen Hei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WenQuanYi Zen Hei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WenQuanYi Zen Hei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WenQuanYi Zen Hei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WenQuanYi Zen Hei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WenQuanYi Zen Hei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WenQuanYi Zen Hei"/>
        <family val="2"/>
      </rPr>
      <t xml:space="preserve">（第二來源）</t>
    </r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</si>
  <si>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</si>
  <si>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</si>
  <si>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</si>
  <si>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</si>
  <si>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</si>
  <si>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</si>
  <si>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</si>
  <si>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</si>
  <si>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</si>
  <si>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</si>
  <si>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</si>
  <si>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</si>
  <si>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WenQuanYi Zen Hei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WenQuanYi Zen Hei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WenQuanYi Zen Hei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WenQuanYi Zen Hei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WenQuanYi Zen Hei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</si>
  <si>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</si>
  <si>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</si>
  <si>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</si>
  <si>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</si>
  <si>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</si>
  <si>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</si>
  <si>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</si>
  <si>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</si>
  <si>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</si>
  <si>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</si>
  <si>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</si>
  <si>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</si>
  <si>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WenQuanYi Zen Hei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</si>
  <si>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</si>
  <si>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</si>
  <si>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</si>
  <si>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</si>
  <si>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</si>
  <si>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</si>
  <si>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</si>
  <si>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</si>
  <si>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</si>
  <si>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</si>
  <si>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</si>
  <si>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</si>
  <si>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WenQuanYi Zen Hei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WenQuanYi Zen Hei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</si>
  <si>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</si>
  <si>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</si>
  <si>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</si>
  <si>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</si>
  <si>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</si>
  <si>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</si>
  <si>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</si>
  <si>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</si>
  <si>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</si>
  <si>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</si>
  <si>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</si>
  <si>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</si>
  <si>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t xml:space="preserve">Analogy</t>
  </si>
  <si>
    <r>
      <rPr>
        <sz val="11"/>
        <color theme="1"/>
        <rFont val="WenQuanYi Zen Hei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</si>
  <si>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</si>
  <si>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</si>
  <si>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</si>
  <si>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</si>
  <si>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</si>
  <si>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</si>
  <si>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</si>
  <si>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</si>
  <si>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</si>
  <si>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</si>
  <si>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</si>
  <si>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</si>
  <si>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WenQuanYi Zen Hei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）</t>
    </r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</si>
  <si>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</si>
  <si>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</si>
  <si>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</si>
  <si>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</si>
  <si>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</si>
  <si>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</si>
  <si>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</si>
  <si>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</si>
  <si>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</si>
  <si>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</si>
  <si>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</si>
  <si>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</si>
  <si>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WenQuanYi Zen Hei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WenQuanYi Zen Hei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</si>
  <si>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</si>
  <si>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</si>
  <si>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</si>
  <si>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</si>
  <si>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</si>
  <si>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</si>
  <si>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</si>
  <si>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</si>
  <si>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</si>
  <si>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WenQuanYi Zen Hei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</si>
  <si>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</si>
  <si>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</si>
  <si>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WenQuanYi Zen Hei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</si>
  <si>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</si>
  <si>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</si>
  <si>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</si>
  <si>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</si>
  <si>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</si>
  <si>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</si>
  <si>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</si>
  <si>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</si>
  <si>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</si>
  <si>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WenQuanYi Zen Hei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</si>
  <si>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t xml:space="preserve">c_ASIC_su_sw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</si>
  <si>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</si>
  <si>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WenQuanYi Zen Hei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</si>
  <si>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c_ASIC_su_ic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</si>
  <si>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互連與交換匣其他（銅背板、線纜、電路板、機構）</t>
    </r>
  </si>
  <si>
    <t xml:space="preserve">c_ASIC_so_sw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</si>
  <si>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</t>
    </r>
  </si>
  <si>
    <t xml:space="preserve">c_ASIC_so_opt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</si>
  <si>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光模組</t>
    </r>
  </si>
  <si>
    <t xml:space="preserve">c_ASIC_so_cu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</si>
  <si>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WenQuanYi Zen Hei"/>
        <family val="2"/>
      </rPr>
      <t xml:space="preserve">）</t>
    </r>
  </si>
  <si>
    <t xml:space="preserve">c_ASIC_nic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</si>
  <si>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</si>
  <si>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WenQuanYi Zen Hei"/>
        <family val="2"/>
      </rPr>
      <t xml:space="preserve">資本支出（千美元；算網通 </t>
    </r>
    <r>
      <rPr>
        <b val="true"/>
        <sz val="11"/>
        <rFont val="Cambria"/>
        <family val="0"/>
        <charset val="1"/>
      </rPr>
      <t xml:space="preserve">÷ IT capex</t>
    </r>
    <r>
      <rPr>
        <b val="true"/>
        <sz val="11"/>
        <rFont val="WenQuanYi Zen Hei"/>
        <family val="2"/>
      </rPr>
      <t xml:space="preserve">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</si>
  <si>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</si>
  <si>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</si>
  <si>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WenQuanYi Zen Hei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</si>
  <si>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WenQuanYi Zen Hei"/>
        <family val="2"/>
      </rPr>
      <t xml:space="preserve">相同）</t>
    </r>
    <r>
      <rPr>
        <sz val="11"/>
        <color theme="1"/>
        <rFont val="Calibri"/>
        <family val="2"/>
        <charset val="1"/>
      </rPr>
      <t xml:space="preserve">IF_CapexIT 32.237 $B ÷ 487,008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v5.27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37.445</t>
    </r>
    <r>
      <rPr>
        <sz val="11"/>
        <color theme="1"/>
        <rFont val="WenQuanYi Zen Hei"/>
        <family val="2"/>
      </rPr>
      <t xml:space="preserve">）</t>
    </r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</si>
  <si>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</si>
  <si>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</si>
  <si>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37.586 ÷ 291,744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</si>
  <si>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</si>
  <si>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WenQuanYi Zen Hei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</si>
  <si>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50.086 ÷ 194,760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</si>
  <si>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</si>
  <si>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</si>
  <si>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27.510 ÷ 718,048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</si>
  <si>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</si>
  <si>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WenQuanYi Zen Hei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</si>
  <si>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</si>
  <si>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</si>
  <si>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WenQuanYi Zen Hei"/>
        <family val="2"/>
      </rPr>
      <t xml:space="preserve">倍</t>
    </r>
  </si>
  <si>
    <t xml:space="preserve">it_TPU</t>
  </si>
  <si>
    <t xml:space="preserve">Google TPU IT capex</t>
  </si>
  <si>
    <t xml:space="preserve">it_TRN</t>
  </si>
  <si>
    <t xml:space="preserve">AWS Trainium IT capex</t>
  </si>
  <si>
    <t xml:space="preserve">it_ASIC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</si>
  <si>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</si>
  <si>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技術轉換</t>
    </r>
  </si>
  <si>
    <t xml:space="preserve">cpo_26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</si>
  <si>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</si>
  <si>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引擎約 </t>
    </r>
    <r>
      <rPr>
        <sz val="11"/>
        <color theme="1"/>
        <rFont val="Calibri"/>
        <family val="2"/>
        <charset val="1"/>
      </rPr>
      <t xml:space="preserve">$10B vs AI </t>
    </r>
    <r>
      <rPr>
        <sz val="11"/>
        <color theme="1"/>
        <rFont val="WenQuanYi Zen Hei"/>
        <family val="2"/>
      </rPr>
      <t xml:space="preserve">光學約 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Spectrum-X Photonics 2026-08 </t>
    </r>
    <r>
      <rPr>
        <sz val="11"/>
        <color theme="1"/>
        <rFont val="WenQuanYi Zen Hei"/>
        <family val="2"/>
      </rPr>
      <t xml:space="preserve">量產、放量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</si>
  <si>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</si>
  <si>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</si>
  <si>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</si>
  <si>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</si>
  <si>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</si>
  <si>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</si>
  <si>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</si>
  <si>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</si>
  <si>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WenQuanYi Zen Hei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WenQuanYi Zen Hei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後）</t>
    </r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</si>
  <si>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</si>
  <si>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</si>
  <si>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</si>
  <si>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</si>
  <si>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</si>
  <si>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</si>
  <si>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</si>
  <si>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互連中銅纜（背板、線纜卡匣）占比</t>
    </r>
  </si>
  <si>
    <t xml:space="preserve">其餘為交換匣電路板、電源、機構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</si>
  <si>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廠商歸屬（對帳用，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）</t>
    </r>
  </si>
  <si>
    <t xml:space="preserve">nv_su_ic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</si>
  <si>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WenQuanYi Zen Hei"/>
        <family val="2"/>
      </rPr>
      <t xml:space="preserve">互連計入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營收比例</t>
    </r>
  </si>
  <si>
    <r>
      <rPr>
        <sz val="11"/>
        <color theme="1"/>
        <rFont val="WenQuanYi Zen Hei"/>
        <family val="2"/>
      </rPr>
      <t xml:space="preserve">交換匣含線纜卡匣；背板由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Amphenol </t>
    </r>
    <r>
      <rPr>
        <sz val="11"/>
        <color theme="1"/>
        <rFont val="WenQuanYi Zen Hei"/>
        <family val="2"/>
      </rPr>
      <t xml:space="preserve">供應</t>
    </r>
  </si>
  <si>
    <t xml:space="preserve">nv_so_sw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</si>
  <si>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WenQuanYi Zen Hei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</si>
  <si>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Dell'Oro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WenQuanYi Zen Hei"/>
        <family val="2"/>
      </rPr>
      <t xml:space="preserve">（白牌）第一、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第二、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WenQuanYi Zen Hei"/>
        <family val="2"/>
      </rPr>
      <t xml:space="preserve">第三</t>
    </r>
  </si>
  <si>
    <t xml:space="preserve">nv_opt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</si>
  <si>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平台光模組經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LinkX</t>
    </r>
    <r>
      <rPr>
        <sz val="11"/>
        <color theme="1"/>
        <rFont val="WenQuanYi Zen Hei"/>
        <family val="2"/>
      </rPr>
      <t xml:space="preserve">）銷售比例</t>
    </r>
  </si>
  <si>
    <t xml:space="preserve">avgo_su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</si>
  <si>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WenQuanYi Zen Hei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</si>
  <si>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Tomahawk Ultra 2026 Q3 </t>
    </r>
    <r>
      <rPr>
        <sz val="11"/>
        <color theme="1"/>
        <rFont val="WenQuanYi Zen Hei"/>
        <family val="2"/>
      </rPr>
      <t xml:space="preserve">開始部署（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WenQuanYi Zen Hei"/>
        <family val="2"/>
      </rPr>
      <t xml:space="preserve">）</t>
    </r>
  </si>
  <si>
    <t xml:space="preserve">avgo_so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</si>
  <si>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晶片占非 </t>
    </r>
    <r>
      <rPr>
        <sz val="11"/>
        <color theme="1"/>
        <rFont val="Calibri"/>
        <family val="2"/>
        <charset val="1"/>
      </rPr>
      <t xml:space="preserve">NVIDIA scale-out </t>
    </r>
    <r>
      <rPr>
        <sz val="11"/>
        <color theme="1"/>
        <rFont val="WenQuanYi Zen Hei"/>
        <family val="2"/>
      </rPr>
      <t xml:space="preserve">交換器金額</t>
    </r>
  </si>
  <si>
    <r>
      <rPr>
        <sz val="11"/>
        <color theme="1"/>
        <rFont val="WenQuanYi Zen Hei"/>
        <family val="2"/>
      </rPr>
      <t xml:space="preserve">交換晶片約占整機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WenQuanYi Zen Hei"/>
        <family val="2"/>
      </rPr>
      <t xml:space="preserve">商用交換晶片市占約 </t>
    </r>
    <r>
      <rPr>
        <sz val="11"/>
        <color theme="1"/>
        <rFont val="Calibri"/>
        <family val="2"/>
        <charset val="1"/>
      </rPr>
      <t xml:space="preserve">80%</t>
    </r>
  </si>
  <si>
    <t xml:space="preserve">avgo_nic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</si>
  <si>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平台網卡</t>
    </r>
  </si>
  <si>
    <t xml:space="preserve">avgo_opt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</si>
  <si>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占光學金額（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WenQuanYi Zen Hei"/>
        <family val="2"/>
      </rPr>
      <t xml:space="preserve">、雷射）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</si>
  <si>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</si>
  <si>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（實際＋推估）</t>
    </r>
  </si>
  <si>
    <t xml:space="preserve">$B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</si>
  <si>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</si>
  <si>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FY27 Q1 14.8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WenQuanYi Zen Hei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WenQuanYi Zen Hei"/>
        <family val="2"/>
      </rPr>
      <t xml:space="preserve">」）、</t>
    </r>
    <r>
      <rPr>
        <sz val="11"/>
        <color theme="1"/>
        <rFont val="Calibri"/>
        <family val="2"/>
        <charset val="1"/>
      </rPr>
      <t xml:space="preserve">Q3–Q4 </t>
    </r>
    <r>
      <rPr>
        <sz val="11"/>
        <color theme="1"/>
        <rFont val="WenQuanYi Zen Hei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 Assumed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</si>
  <si>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</si>
  <si>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WenQuanYi Zen Hei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</si>
  <si>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Q2 FY26 AI 10.8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16.7 × ≤27%</t>
    </r>
    <r>
      <rPr>
        <sz val="11"/>
        <color theme="1"/>
        <rFont val="WenQuanYi Zen Hei"/>
        <family val="2"/>
      </rPr>
      <t xml:space="preserve">；每季約 </t>
    </r>
    <r>
      <rPr>
        <sz val="11"/>
        <color theme="1"/>
        <rFont val="Calibri"/>
        <family val="2"/>
        <charset val="1"/>
      </rPr>
      <t xml:space="preserve">4.3–4.5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</si>
  <si>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</si>
  <si>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</si>
  <si>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LightCounting 2026-01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2025 16.5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2026 26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）</t>
    </r>
  </si>
  <si>
    <t xml:space="preserve">rep_bern</t>
  </si>
  <si>
    <r>
      <rPr>
        <sz val="11"/>
        <color theme="1"/>
        <rFont val="WenQuanYi Zen Hei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WenQuanYi Zen Hei"/>
        <family val="2"/>
      </rPr>
      <t xml:space="preserve">資料中心總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</si>
  <si>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 2025-11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75% → ÷ IT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</si>
  <si>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WenQuanYi Zen Hei"/>
        <family val="2"/>
      </rPr>
      <t xml:space="preserve">加速器顆數（百萬顆）與對應平台</t>
    </r>
  </si>
  <si>
    <t xml:space="preserve">類型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</si>
  <si>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</si>
  <si>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</si>
  <si>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</si>
  <si>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</si>
  <si>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WenQuanYi Zen Hei"/>
        <family val="2"/>
      </rPr>
      <t xml:space="preserve">平台（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2027+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</si>
  <si>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</si>
  <si>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</si>
  <si>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t xml:space="preserve">NVIDIA Rubin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</si>
  <si>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</t>
    </r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</si>
  <si>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</si>
  <si>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</si>
  <si>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</si>
  <si>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</t>
    </r>
  </si>
  <si>
    <t xml:space="preserve">AMD Instinct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</si>
  <si>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AMDR</t>
    </r>
  </si>
  <si>
    <t xml:space="preserve">Google TPU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</si>
  <si>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TPU</t>
    </r>
  </si>
  <si>
    <t xml:space="preserve">AWS Trainium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</si>
  <si>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TRN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</si>
  <si>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</si>
  <si>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</t>
    </r>
  </si>
  <si>
    <t xml:space="preserve">合計</t>
  </si>
  <si>
    <r>
      <rPr>
        <sz val="11"/>
        <color theme="1"/>
        <rFont val="Calibri"/>
        <family val="2"/>
        <charset val="1"/>
      </rPr>
      <t xml:space="preserve">Mkt — AI </t>
    </r>
    <r>
      <rPr>
        <sz val="11"/>
        <color theme="1"/>
        <rFont val="WenQuanYi Zen Hei"/>
        <family val="2"/>
      </rPr>
      <t xml:space="preserve">網通市場（十億美元）＝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顆數（百萬）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每顆內容（美元）</t>
    </r>
    <r>
      <rPr>
        <sz val="11"/>
        <color theme="1"/>
        <rFont val="Calibri"/>
        <family val="2"/>
        <charset val="1"/>
      </rPr>
      <t xml:space="preserve">÷ 1000</t>
    </r>
  </si>
  <si>
    <t xml:space="preserve">說明</t>
  </si>
  <si>
    <t xml:space="preserve">依元件</t>
  </si>
  <si>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</si>
  <si>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互連與交換匣其他（銅背板、線纜、電路板、機構）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</si>
  <si>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交換器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</si>
  <si>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光模組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</si>
  <si>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WenQuanYi Zen Hei"/>
        <family val="2"/>
      </rPr>
      <t xml:space="preserve">銅纜（</t>
    </r>
    <r>
      <rPr>
        <sz val="11"/>
        <rFont val="Cambria"/>
        <family val="0"/>
        <charset val="1"/>
      </rPr>
      <t xml:space="preserve">DAC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</si>
  <si>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SuperNIC</t>
    </r>
    <r>
      <rPr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</si>
  <si>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網通市場合計</t>
    </r>
  </si>
  <si>
    <t xml:space="preserve">  年增</t>
  </si>
  <si>
    <r>
      <rPr>
        <sz val="11"/>
        <rFont val="Cambria"/>
        <family val="0"/>
        <charset val="1"/>
      </rPr>
      <t xml:space="preserve">scale-up</t>
    </r>
    <r>
      <rPr>
        <sz val="11"/>
        <rFont val="WenQuanYi Zen Hei"/>
        <family val="2"/>
      </rPr>
      <t xml:space="preserve">（交換＋互連）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合計</t>
    </r>
  </si>
  <si>
    <r>
      <rPr>
        <sz val="11"/>
        <color theme="1"/>
        <rFont val="WenQuanYi Zen Hei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N2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80%</t>
    </r>
  </si>
  <si>
    <r>
      <rPr>
        <sz val="11"/>
        <rFont val="Cambria"/>
        <family val="0"/>
        <charset val="1"/>
      </rPr>
      <t xml:space="preserve">scale-out</t>
    </r>
    <r>
      <rPr>
        <sz val="11"/>
        <rFont val="WenQuanYi Zen Hei"/>
        <family val="2"/>
      </rPr>
      <t xml:space="preserve">（交換、光、銅、網卡）</t>
    </r>
    <r>
      <rPr>
        <sz val="11"/>
        <rFont val="Cambria"/>
        <family val="0"/>
        <charset val="1"/>
      </rPr>
      <t xml:space="preserve">÷ </t>
    </r>
    <r>
      <rPr>
        <sz val="11"/>
        <rFont val="WenQuanYi Zen Hei"/>
        <family val="2"/>
      </rPr>
      <t xml:space="preserve">合計</t>
    </r>
  </si>
  <si>
    <t xml:space="preserve">依產品類別（廠商視角）</t>
  </si>
  <si>
    <r>
      <rPr>
        <sz val="11"/>
        <rFont val="WenQuanYi Zen Hei"/>
        <family val="2"/>
      </rPr>
      <t xml:space="preserve">交換晶片與交換器（</t>
    </r>
    <r>
      <rPr>
        <sz val="11"/>
        <rFont val="Cambria"/>
        <family val="0"/>
        <charset val="1"/>
      </rPr>
      <t xml:space="preserve">scale-up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scale-out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</si>
  <si>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光學（可插拔＋</t>
    </r>
    <r>
      <rPr>
        <sz val="11"/>
        <rFont val="Cambria"/>
        <family val="0"/>
        <charset val="1"/>
      </rPr>
      <t xml:space="preserve">CPO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光學）</t>
    </r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</si>
  <si>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CPO</t>
    </r>
  </si>
  <si>
    <t xml:space="preserve">  其中可插拔</t>
  </si>
  <si>
    <r>
      <rPr>
        <sz val="11"/>
        <rFont val="WenQuanYi Zen Hei"/>
        <family val="2"/>
      </rPr>
      <t xml:space="preserve">銅（</t>
    </r>
    <r>
      <rPr>
        <sz val="11"/>
        <rFont val="Cambria"/>
        <family val="0"/>
        <charset val="1"/>
      </rPr>
      <t xml:space="preserve">scale-up </t>
    </r>
    <r>
      <rPr>
        <sz val="11"/>
        <rFont val="WenQuanYi Zen Hei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WenQuanYi Zen Hei"/>
        <family val="2"/>
      </rPr>
      <t xml:space="preserve">）</t>
    </r>
  </si>
  <si>
    <t xml:space="preserve">交換匣其他（電路板、電源、機構）</t>
  </si>
  <si>
    <r>
      <rPr>
        <sz val="11"/>
        <rFont val="WenQuanYi Zen Hei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</si>
  <si>
    <r>
      <rPr>
        <sz val="11"/>
        <rFont val="WenQuanYi Zen Hei"/>
        <family val="2"/>
      </rPr>
      <t xml:space="preserve">核對：類別合計 − 合計（應為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</si>
  <si>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÷ AI IT </t>
    </r>
    <r>
      <rPr>
        <b val="true"/>
        <sz val="11"/>
        <rFont val="WenQuanYi Zen Hei"/>
        <family val="2"/>
      </rPr>
      <t xml:space="preserve">資本支出</t>
    </r>
  </si>
  <si>
    <r>
      <rPr>
        <sz val="11"/>
        <rFont val="Cambria"/>
        <family val="0"/>
        <charset val="1"/>
      </rPr>
      <t xml:space="preserve">AI IT </t>
    </r>
    <r>
      <rPr>
        <sz val="11"/>
        <rFont val="WenQuanYi Zen Hei"/>
        <family val="2"/>
      </rPr>
      <t xml:space="preserve">資本支出（加速器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 </t>
    </r>
    <r>
      <rPr>
        <sz val="11"/>
        <rFont val="Cambria"/>
        <family val="0"/>
        <charset val="1"/>
      </rPr>
      <t xml:space="preserve">IT capex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</si>
  <si>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千美元 ＝ 十億美元</t>
    </r>
  </si>
  <si>
    <r>
      <rPr>
        <sz val="11"/>
        <rFont val="WenQuanYi Zen Hei"/>
        <family val="2"/>
      </rPr>
      <t xml:space="preserve">網通 </t>
    </r>
    <r>
      <rPr>
        <sz val="11"/>
        <rFont val="Cambria"/>
        <family val="0"/>
        <charset val="1"/>
      </rPr>
      <t xml:space="preserve">÷ AI IT capex</t>
    </r>
  </si>
  <si>
    <r>
      <rPr>
        <sz val="11"/>
        <color theme="1"/>
        <rFont val="WenQuanYi Zen Hei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2026 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</si>
  <si>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rFont val="Cambria"/>
        <family val="0"/>
        <charset val="1"/>
      </rPr>
      <t xml:space="preserve">  NVIDIA </t>
    </r>
    <r>
      <rPr>
        <sz val="11"/>
        <rFont val="WenQuanYi Zen Hei"/>
        <family val="2"/>
      </rPr>
      <t xml:space="preserve">平台 </t>
    </r>
    <r>
      <rPr>
        <sz val="11"/>
        <rFont val="Cambria"/>
        <family val="0"/>
        <charset val="1"/>
      </rPr>
      <t xml:space="preserve">÷ NVIDIA </t>
    </r>
    <r>
      <rPr>
        <sz val="11"/>
        <rFont val="WenQuanYi Zen Hei"/>
        <family val="2"/>
      </rPr>
      <t xml:space="preserve">平台 </t>
    </r>
    <r>
      <rPr>
        <sz val="11"/>
        <rFont val="Cambria"/>
        <family val="0"/>
        <charset val="1"/>
      </rPr>
      <t xml:space="preserve">IT</t>
    </r>
  </si>
  <si>
    <r>
      <rPr>
        <b val="true"/>
        <sz val="11"/>
        <rFont val="WenQuanYi Zen Hei"/>
        <family val="2"/>
      </rPr>
      <t xml:space="preserve">廠商歸屬與對帳（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</si>
  <si>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網通（本模型歸屬）</t>
    </r>
  </si>
  <si>
    <r>
      <rPr>
        <sz val="11"/>
        <rFont val="WenQuanYi Zen Hei"/>
        <family val="2"/>
      </rPr>
      <t xml:space="preserve">  對照：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）</t>
    </r>
  </si>
  <si>
    <t xml:space="preserve">  差距</t>
  </si>
  <si>
    <r>
      <rPr>
        <sz val="11"/>
        <rFont val="Cambria"/>
        <family val="0"/>
        <charset val="1"/>
      </rPr>
      <t xml:space="preserve">Broadcom </t>
    </r>
    <r>
      <rPr>
        <sz val="11"/>
        <rFont val="WenQuanYi Zen Hei"/>
        <family val="2"/>
      </rPr>
      <t xml:space="preserve">網通（本模型歸屬）</t>
    </r>
  </si>
  <si>
    <r>
      <rPr>
        <sz val="11"/>
        <rFont val="WenQuanYi Zen Hei"/>
        <family val="2"/>
      </rPr>
      <t xml:space="preserve">  對照：</t>
    </r>
    <r>
      <rPr>
        <sz val="11"/>
        <rFont val="Cambria"/>
        <family val="0"/>
        <charset val="1"/>
      </rPr>
      <t xml:space="preserve">Broadcom </t>
    </r>
    <r>
      <rPr>
        <sz val="11"/>
        <rFont val="WenQuanYi Zen Hei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</si>
  <si>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Broadcom ÷ </t>
    </r>
    <r>
      <rPr>
        <sz val="11"/>
        <rFont val="WenQuanYi Zen Hei"/>
        <family val="2"/>
      </rPr>
      <t xml:space="preserve">市場</t>
    </r>
  </si>
  <si>
    <r>
      <rPr>
        <sz val="11"/>
        <color theme="1"/>
        <rFont val="WenQuanYi Zen Hei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≥50%</t>
    </r>
  </si>
  <si>
    <r>
      <rPr>
        <sz val="11"/>
        <rFont val="WenQuanYi Zen Hei"/>
        <family val="2"/>
      </rPr>
      <t xml:space="preserve">光學：本模型 </t>
    </r>
    <r>
      <rPr>
        <sz val="11"/>
        <rFont val="Cambria"/>
        <family val="0"/>
        <charset val="1"/>
      </rPr>
      <t xml:space="preserve">vs LightCounting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</si>
  <si>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＝本模型、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LightCounting AI </t>
    </r>
    <r>
      <rPr>
        <sz val="11"/>
        <color theme="1"/>
        <rFont val="WenQuanYi Zen Hei"/>
        <family val="2"/>
      </rPr>
      <t xml:space="preserve">叢集光學（含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</si>
  <si>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一次動一個輸入；輸出：</t>
    </r>
    <r>
      <rPr>
        <sz val="11"/>
        <color theme="1"/>
        <rFont val="Calibri"/>
        <family val="2"/>
        <charset val="1"/>
      </rPr>
      <t xml:space="preserve">2027 AI </t>
    </r>
    <r>
      <rPr>
        <sz val="11"/>
        <color theme="1"/>
        <rFont val="WenQuanYi Zen Hei"/>
        <family val="2"/>
      </rPr>
      <t xml:space="preserve">網通市場（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）、網通 </t>
    </r>
    <r>
      <rPr>
        <sz val="11"/>
        <color theme="1"/>
        <rFont val="Calibri"/>
        <family val="2"/>
        <charset val="1"/>
      </rPr>
      <t xml:space="preserve">÷ IT capex</t>
    </r>
  </si>
  <si>
    <t xml:space="preserve">輸入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</si>
  <si>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WenQuanYi Zen Hei"/>
        <family val="2"/>
      </rPr>
      <t xml:space="preserve">市場</t>
    </r>
  </si>
  <si>
    <t xml:space="preserve">相對基準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</si>
  <si>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</si>
  <si>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最大項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</si>
  <si>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</si>
  <si>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每顆內容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</si>
  <si>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</si>
  <si>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WenQuanYi Zen Hei"/>
        <family val="2"/>
      </rPr>
      <t xml:space="preserve">、其他）每顆內容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</si>
  <si>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網通內容為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，不確定性最大</t>
    </r>
  </si>
  <si>
    <t xml:space="preserve">來源</t>
  </si>
  <si>
    <r>
      <rPr>
        <sz val="11"/>
        <color theme="1"/>
        <rFont val="Calibri"/>
        <family val="2"/>
        <charset val="1"/>
      </rPr>
      <t xml:space="preserve">markets/chip_bridge v0.2.1</t>
    </r>
    <r>
      <rPr>
        <sz val="11"/>
        <color theme="1"/>
        <rFont val="WenQuanYi Zen Hei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網通拆分）</t>
    </r>
  </si>
  <si>
    <r>
      <rPr>
        <sz val="11"/>
        <color theme="1"/>
        <rFont val="WenQuanYi Zen Hei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</si>
  <si>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（加速器顆數）</t>
    </r>
  </si>
  <si>
    <r>
      <rPr>
        <sz val="11"/>
        <color theme="1"/>
        <rFont val="Calibri"/>
        <family val="2"/>
        <charset val="1"/>
      </rPr>
      <t xml:space="preserve">NVIDIA Q1 FY27 CFO </t>
    </r>
    <r>
      <rPr>
        <sz val="11"/>
        <color theme="1"/>
        <rFont val="WenQuanYi Zen Hei"/>
        <family val="2"/>
      </rPr>
      <t xml:space="preserve">書面說明</t>
    </r>
  </si>
  <si>
    <t xml:space="preserve">https://s201.q4cdn.com/141608511/files/doc_financials/2027/Q127/Q1FY27-CFO-Commentary.pdf</t>
  </si>
  <si>
    <r>
      <rPr>
        <sz val="11"/>
        <color theme="1"/>
        <rFont val="Calibri"/>
        <family val="2"/>
        <charset val="1"/>
      </rPr>
      <t xml:space="preserve">NVIDIA Q2 FY27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WenQuanYi Zen Hei"/>
        <family val="2"/>
      </rPr>
      <t xml:space="preserve">）</t>
    </r>
  </si>
  <si>
    <t xml:space="preserve">https://www.webull.com/news/15497781742806016</t>
  </si>
  <si>
    <r>
      <rPr>
        <sz val="11"/>
        <color theme="1"/>
        <rFont val="Calibri"/>
        <family val="2"/>
        <charset val="1"/>
      </rPr>
      <t xml:space="preserve">Broadcom Q3 FY26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WenQuanYi Zen Hei"/>
        <family val="2"/>
      </rPr>
      <t xml:space="preserve">）</t>
    </r>
  </si>
  <si>
    <t xml:space="preserve">https://www.marketbeat.com/instant-alerts/transcript-broadcom-q3-earnings-call-highlights-2026-09-02/</t>
  </si>
  <si>
    <r>
      <rPr>
        <sz val="11"/>
        <color theme="1"/>
        <rFont val="Calibri"/>
        <family val="2"/>
        <charset val="1"/>
      </rPr>
      <t xml:space="preserve">Dell'Oro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2026–30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兆）</t>
    </r>
  </si>
  <si>
    <t xml:space="preserve">https://www.delloro.com/news/ai-back-end-switch-sales-to-approach-1-trillion-over-the-next-five-years/</t>
  </si>
  <si>
    <t xml:space="preserve">Dell'Oro 2Q26</t>
  </si>
  <si>
    <t xml:space="preserve">https://www.delloro.com/news/ai-back-end-networks-switch-sales-surpass-front-end-networks-for-the-first-time-in-2q2026/</t>
  </si>
  <si>
    <r>
      <rPr>
        <sz val="11"/>
        <color theme="1"/>
        <rFont val="Calibri"/>
        <family val="2"/>
        <charset val="1"/>
      </rPr>
      <t xml:space="preserve">LightCounting 2026-01 AI </t>
    </r>
    <r>
      <rPr>
        <sz val="11"/>
        <color theme="1"/>
        <rFont val="WenQuanYi Zen Hei"/>
        <family val="2"/>
      </rPr>
      <t xml:space="preserve">叢集光學</t>
    </r>
  </si>
  <si>
    <t xml:space="preserve">https://lightcounting.com/newsletter/en/january-2026-optics-for-ai-clusters-366</t>
  </si>
  <si>
    <t xml:space="preserve">LightCounting 2025-12 CPO</t>
  </si>
  <si>
    <t xml:space="preserve">https://lightcounting.com/newsletter/en/december-2025-aocs-dacs-linear-drive-pluggable-and-co-packaged-optics-320</t>
  </si>
  <si>
    <t xml:space="preserve">Cignal AI CPO 1Q26</t>
  </si>
  <si>
    <t xml:space="preserve">https://cignal.ai/2026/04/cpo-and-elsfp-1q26-update/</t>
  </si>
  <si>
    <r>
      <rPr>
        <sz val="11"/>
        <color theme="1"/>
        <rFont val="Calibri"/>
        <family val="2"/>
        <charset val="1"/>
      </rPr>
      <t xml:space="preserve">TrendForce 2026-07-27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WenQuanYi Zen Hei"/>
        <family val="2"/>
      </rPr>
      <t xml:space="preserve">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WenQuanYi Zen Hei"/>
        <family val="2"/>
      </rPr>
      <t xml:space="preserve">）</t>
    </r>
  </si>
  <si>
    <t xml:space="preserve">https://trendforce.com/presscenter/news/20260727-13151.html</t>
  </si>
  <si>
    <r>
      <rPr>
        <sz val="11"/>
        <color theme="1"/>
        <rFont val="Calibri"/>
        <family val="2"/>
        <charset val="1"/>
      </rPr>
      <t xml:space="preserve">The Register 2026-04-05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銅／光）</t>
    </r>
  </si>
  <si>
    <t xml:space="preserve">https://www.theregister.com/2026/04/05/nvidia_optical_scale_up/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</si>
  <si>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）</t>
    </r>
  </si>
  <si>
    <t xml:space="preserve">https://www.investing.com/news/stock-market-news/how-much-does-a-gw-of-data-center-capacity-actually-cost-4314046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</si>
</sst>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%"/>
    <numFmt numFmtId="168" formatCode="0.00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Cambria"/>
      <family val="0"/>
      <charset val="1"/>
    </font>
    <font>
      <sz val="11"/>
      <name val="WenQuanYi Zen Hei"/>
      <family val="2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4.9" hidden="false" customHeight="false" outlineLevel="0" collapsed="false">
      <c r="A3" s="2" t="s">
        <v>2</v>
      </c>
    </row>
    <row r="4" customFormat="false" ht="14.9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4</v>
      </c>
    </row>
    <row r="7" customFormat="false" ht="14.9" hidden="false" customHeight="false" outlineLevel="0" collapsed="false">
      <c r="A7" s="2" t="s">
        <v>5</v>
      </c>
    </row>
    <row r="8" customFormat="false" ht="14.9" hidden="false" customHeight="false" outlineLevel="0" collapsed="false">
      <c r="A8" s="2" t="s">
        <v>6</v>
      </c>
    </row>
    <row r="9" customFormat="false" ht="14.9" hidden="false" customHeight="false" outlineLevel="0" collapsed="false">
      <c r="A9" s="2" t="s">
        <v>7</v>
      </c>
    </row>
    <row r="10" customFormat="false" ht="14.9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4.9" hidden="false" customHeight="false" outlineLevel="0" collapsed="false">
      <c r="A12" s="3" t="s">
        <v>9</v>
      </c>
    </row>
    <row r="13" customFormat="false" ht="14.9" hidden="false" customHeight="false" outlineLevel="0" collapsed="false">
      <c r="A13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0" t="s">
        <v>11</v>
      </c>
    </row>
    <row r="3" customFormat="false" ht="15" hidden="false" customHeight="false" outlineLevel="0" collapsed="false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</row>
    <row r="4" customFormat="false" ht="15" hidden="false" customHeight="false" outlineLevel="0" collapsed="false">
      <c r="A4" s="1" t="s">
        <v>20</v>
      </c>
    </row>
    <row r="5" customFormat="false" ht="15" hidden="false" customHeight="false" outlineLevel="0" collapsed="false">
      <c r="A5" s="0" t="s">
        <v>21</v>
      </c>
      <c r="B5" s="0" t="s">
        <v>22</v>
      </c>
      <c r="C5" s="6" t="s">
        <v>23</v>
      </c>
      <c r="E5" s="7" t="n">
        <v>5.4</v>
      </c>
      <c r="G5" s="8" t="s">
        <v>24</v>
      </c>
      <c r="H5" s="8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  <c r="C6" s="6" t="s">
        <v>23</v>
      </c>
      <c r="E6" s="7" t="n">
        <v>2.4</v>
      </c>
      <c r="G6" s="8" t="s">
        <v>24</v>
      </c>
      <c r="H6" s="6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6" t="s">
        <v>23</v>
      </c>
      <c r="E7" s="7" t="n">
        <v>0.5</v>
      </c>
      <c r="G7" s="8" t="s">
        <v>24</v>
      </c>
      <c r="H7" s="6" t="s">
        <v>28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E8" s="7" t="n">
        <v>-0.5</v>
      </c>
      <c r="G8" s="8" t="s">
        <v>34</v>
      </c>
      <c r="H8" s="8" t="s">
        <v>35</v>
      </c>
    </row>
    <row r="9" customFormat="false" ht="15" hidden="false" customHeight="false" outlineLevel="0" collapsed="false">
      <c r="A9" s="0" t="s">
        <v>36</v>
      </c>
      <c r="B9" s="0" t="s">
        <v>37</v>
      </c>
      <c r="C9" s="6" t="s">
        <v>23</v>
      </c>
      <c r="E9" s="7" t="n">
        <v>1.7</v>
      </c>
      <c r="G9" s="8" t="s">
        <v>24</v>
      </c>
      <c r="H9" s="8" t="s">
        <v>38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6" t="s">
        <v>23</v>
      </c>
      <c r="E10" s="7" t="n">
        <v>7</v>
      </c>
      <c r="G10" s="8" t="s">
        <v>24</v>
      </c>
      <c r="H10" s="6" t="s">
        <v>28</v>
      </c>
    </row>
    <row r="11" customFormat="false" ht="15" hidden="false" customHeight="false" outlineLevel="0" collapsed="false">
      <c r="A11" s="0" t="s">
        <v>41</v>
      </c>
      <c r="B11" s="0" t="s">
        <v>42</v>
      </c>
      <c r="C11" s="6" t="s">
        <v>23</v>
      </c>
      <c r="E11" s="7" t="n">
        <v>7</v>
      </c>
      <c r="G11" s="8" t="s">
        <v>24</v>
      </c>
      <c r="H11" s="6" t="s">
        <v>28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0" t="s">
        <v>33</v>
      </c>
      <c r="E12" s="7" t="n">
        <v>0.15</v>
      </c>
      <c r="G12" s="8" t="s">
        <v>34</v>
      </c>
      <c r="H12" s="8" t="s">
        <v>35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6" t="s">
        <v>23</v>
      </c>
      <c r="E13" s="7" t="n">
        <v>0</v>
      </c>
      <c r="G13" s="8" t="s">
        <v>34</v>
      </c>
      <c r="H13" s="8" t="s">
        <v>47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6" t="s">
        <v>23</v>
      </c>
      <c r="E14" s="7" t="n">
        <v>0.3</v>
      </c>
      <c r="G14" s="8" t="s">
        <v>34</v>
      </c>
      <c r="H14" s="6" t="s">
        <v>28</v>
      </c>
    </row>
    <row r="15" customFormat="false" ht="15" hidden="false" customHeight="false" outlineLevel="0" collapsed="false">
      <c r="A15" s="0" t="s">
        <v>50</v>
      </c>
      <c r="B15" s="0" t="s">
        <v>51</v>
      </c>
      <c r="C15" s="6" t="s">
        <v>23</v>
      </c>
      <c r="E15" s="7" t="n">
        <v>2</v>
      </c>
      <c r="G15" s="8" t="s">
        <v>34</v>
      </c>
      <c r="H15" s="6" t="s">
        <v>28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33</v>
      </c>
      <c r="E16" s="7" t="n">
        <v>0.15</v>
      </c>
      <c r="G16" s="8" t="s">
        <v>34</v>
      </c>
      <c r="H16" s="8" t="s">
        <v>35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6" t="s">
        <v>23</v>
      </c>
      <c r="E17" s="7" t="n">
        <v>0.5</v>
      </c>
      <c r="G17" s="8" t="s">
        <v>24</v>
      </c>
      <c r="H17" s="8" t="s">
        <v>56</v>
      </c>
    </row>
    <row r="18" customFormat="false" ht="15" hidden="false" customHeight="false" outlineLevel="0" collapsed="false">
      <c r="A18" s="0" t="s">
        <v>57</v>
      </c>
      <c r="B18" s="0" t="s">
        <v>58</v>
      </c>
      <c r="C18" s="6" t="s">
        <v>23</v>
      </c>
      <c r="E18" s="7" t="n">
        <v>0</v>
      </c>
      <c r="G18" s="8" t="s">
        <v>24</v>
      </c>
      <c r="H18" s="6" t="s">
        <v>28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6" t="s">
        <v>23</v>
      </c>
      <c r="E19" s="7" t="n">
        <v>0</v>
      </c>
      <c r="G19" s="8" t="s">
        <v>24</v>
      </c>
      <c r="H19" s="6" t="s">
        <v>28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33</v>
      </c>
      <c r="E20" s="7" t="n">
        <v>0</v>
      </c>
      <c r="G20" s="8" t="s">
        <v>34</v>
      </c>
      <c r="H20" s="8" t="s">
        <v>35</v>
      </c>
    </row>
    <row r="21" customFormat="false" ht="15" hidden="false" customHeight="false" outlineLevel="0" collapsed="false">
      <c r="A21" s="0" t="s">
        <v>63</v>
      </c>
      <c r="B21" s="0" t="s">
        <v>64</v>
      </c>
      <c r="C21" s="6" t="s">
        <v>23</v>
      </c>
      <c r="E21" s="7" t="n">
        <v>0.75</v>
      </c>
      <c r="G21" s="8" t="s">
        <v>65</v>
      </c>
      <c r="H21" s="8" t="s">
        <v>66</v>
      </c>
    </row>
    <row r="22" customFormat="false" ht="15" hidden="false" customHeight="false" outlineLevel="0" collapsed="false">
      <c r="A22" s="0" t="s">
        <v>67</v>
      </c>
      <c r="B22" s="0" t="s">
        <v>68</v>
      </c>
      <c r="C22" s="6" t="s">
        <v>23</v>
      </c>
      <c r="E22" s="7" t="n">
        <v>1.5</v>
      </c>
      <c r="G22" s="8" t="s">
        <v>65</v>
      </c>
      <c r="H22" s="6" t="s">
        <v>28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6" t="s">
        <v>23</v>
      </c>
      <c r="E23" s="7" t="n">
        <v>2</v>
      </c>
      <c r="G23" s="8" t="s">
        <v>65</v>
      </c>
      <c r="H23" s="6" t="s">
        <v>28</v>
      </c>
    </row>
    <row r="24" customFormat="false" ht="15" hidden="false" customHeight="false" outlineLevel="0" collapsed="false">
      <c r="A24" s="0" t="s">
        <v>71</v>
      </c>
      <c r="B24" s="0" t="s">
        <v>72</v>
      </c>
      <c r="C24" s="0" t="s">
        <v>33</v>
      </c>
      <c r="E24" s="7" t="n">
        <v>0.15</v>
      </c>
      <c r="G24" s="8" t="s">
        <v>34</v>
      </c>
      <c r="H24" s="8" t="s">
        <v>35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6" t="s">
        <v>23</v>
      </c>
      <c r="E25" s="7" t="n">
        <v>3.85</v>
      </c>
      <c r="G25" s="8" t="s">
        <v>24</v>
      </c>
      <c r="H25" s="8" t="s">
        <v>75</v>
      </c>
    </row>
    <row r="26" customFormat="false" ht="15" hidden="false" customHeight="false" outlineLevel="0" collapsed="false">
      <c r="A26" s="0" t="s">
        <v>76</v>
      </c>
      <c r="B26" s="0" t="s">
        <v>77</v>
      </c>
      <c r="C26" s="6" t="s">
        <v>23</v>
      </c>
      <c r="E26" s="7" t="n">
        <v>5.5</v>
      </c>
      <c r="G26" s="8" t="s">
        <v>24</v>
      </c>
      <c r="H26" s="6" t="s">
        <v>28</v>
      </c>
    </row>
    <row r="27" customFormat="false" ht="15" hidden="false" customHeight="false" outlineLevel="0" collapsed="false">
      <c r="A27" s="0" t="s">
        <v>78</v>
      </c>
      <c r="B27" s="0" t="s">
        <v>79</v>
      </c>
      <c r="C27" s="6" t="s">
        <v>23</v>
      </c>
      <c r="E27" s="7" t="n">
        <v>7</v>
      </c>
      <c r="G27" s="8" t="s">
        <v>24</v>
      </c>
      <c r="H27" s="6" t="s">
        <v>28</v>
      </c>
    </row>
    <row r="28" customFormat="false" ht="15" hidden="false" customHeight="false" outlineLevel="0" collapsed="false">
      <c r="A28" s="0" t="s">
        <v>80</v>
      </c>
      <c r="B28" s="0" t="s">
        <v>81</v>
      </c>
      <c r="C28" s="0" t="s">
        <v>33</v>
      </c>
      <c r="E28" s="7" t="n">
        <v>0.15</v>
      </c>
      <c r="G28" s="8" t="s">
        <v>34</v>
      </c>
      <c r="H28" s="8" t="s">
        <v>35</v>
      </c>
    </row>
    <row r="29" customFormat="false" ht="15" hidden="false" customHeight="false" outlineLevel="0" collapsed="false">
      <c r="A29" s="0" t="s">
        <v>82</v>
      </c>
      <c r="B29" s="0" t="s">
        <v>83</v>
      </c>
      <c r="C29" s="6" t="s">
        <v>23</v>
      </c>
      <c r="E29" s="7" t="n">
        <v>2</v>
      </c>
      <c r="G29" s="8" t="s">
        <v>34</v>
      </c>
      <c r="H29" s="8" t="s">
        <v>84</v>
      </c>
    </row>
    <row r="30" customFormat="false" ht="15" hidden="false" customHeight="false" outlineLevel="0" collapsed="false">
      <c r="A30" s="0" t="s">
        <v>85</v>
      </c>
      <c r="B30" s="0" t="s">
        <v>86</v>
      </c>
      <c r="C30" s="6" t="s">
        <v>23</v>
      </c>
      <c r="E30" s="7" t="n">
        <v>2.5</v>
      </c>
      <c r="G30" s="8" t="s">
        <v>34</v>
      </c>
      <c r="H30" s="6" t="s">
        <v>28</v>
      </c>
    </row>
    <row r="31" customFormat="false" ht="15" hidden="false" customHeight="false" outlineLevel="0" collapsed="false">
      <c r="A31" s="0" t="s">
        <v>87</v>
      </c>
      <c r="B31" s="0" t="s">
        <v>88</v>
      </c>
      <c r="C31" s="6" t="s">
        <v>23</v>
      </c>
      <c r="E31" s="7" t="n">
        <v>3</v>
      </c>
      <c r="G31" s="8" t="s">
        <v>34</v>
      </c>
      <c r="H31" s="6" t="s">
        <v>28</v>
      </c>
    </row>
    <row r="32" customFormat="false" ht="15" hidden="false" customHeight="false" outlineLevel="0" collapsed="false">
      <c r="A32" s="0" t="s">
        <v>89</v>
      </c>
      <c r="B32" s="0" t="s">
        <v>90</v>
      </c>
      <c r="C32" s="0" t="s">
        <v>33</v>
      </c>
      <c r="E32" s="7" t="n">
        <v>0.15</v>
      </c>
      <c r="G32" s="8" t="s">
        <v>34</v>
      </c>
      <c r="H32" s="8" t="s">
        <v>35</v>
      </c>
    </row>
    <row r="33" customFormat="false" ht="15" hidden="false" customHeight="false" outlineLevel="0" collapsed="false">
      <c r="A33" s="0" t="s">
        <v>91</v>
      </c>
      <c r="B33" s="6" t="s">
        <v>92</v>
      </c>
      <c r="C33" s="6" t="s">
        <v>23</v>
      </c>
      <c r="E33" s="7" t="n">
        <v>1</v>
      </c>
      <c r="G33" s="8" t="s">
        <v>93</v>
      </c>
      <c r="H33" s="8" t="s">
        <v>94</v>
      </c>
    </row>
    <row r="34" customFormat="false" ht="15" hidden="false" customHeight="false" outlineLevel="0" collapsed="false">
      <c r="A34" s="0" t="s">
        <v>95</v>
      </c>
      <c r="B34" s="6" t="s">
        <v>96</v>
      </c>
      <c r="C34" s="6" t="s">
        <v>23</v>
      </c>
      <c r="E34" s="7" t="n">
        <v>4.5</v>
      </c>
      <c r="G34" s="8" t="s">
        <v>93</v>
      </c>
      <c r="H34" s="6" t="s">
        <v>28</v>
      </c>
    </row>
    <row r="35" customFormat="false" ht="15" hidden="false" customHeight="false" outlineLevel="0" collapsed="false">
      <c r="A35" s="0" t="s">
        <v>97</v>
      </c>
      <c r="B35" s="6" t="s">
        <v>98</v>
      </c>
      <c r="C35" s="6" t="s">
        <v>23</v>
      </c>
      <c r="E35" s="7" t="n">
        <v>5</v>
      </c>
      <c r="G35" s="8" t="s">
        <v>93</v>
      </c>
      <c r="H35" s="6" t="s">
        <v>28</v>
      </c>
    </row>
    <row r="36" customFormat="false" ht="15" hidden="false" customHeight="false" outlineLevel="0" collapsed="false">
      <c r="A36" s="0" t="s">
        <v>99</v>
      </c>
      <c r="B36" s="6" t="s">
        <v>100</v>
      </c>
      <c r="C36" s="0" t="s">
        <v>33</v>
      </c>
      <c r="E36" s="7" t="n">
        <v>0.15</v>
      </c>
      <c r="G36" s="8" t="s">
        <v>34</v>
      </c>
      <c r="H36" s="8" t="s">
        <v>35</v>
      </c>
    </row>
    <row r="37" customFormat="false" ht="15" hidden="false" customHeight="false" outlineLevel="0" collapsed="false">
      <c r="A37" s="1" t="s">
        <v>101</v>
      </c>
    </row>
    <row r="38" customFormat="false" ht="15" hidden="false" customHeight="false" outlineLevel="0" collapsed="false">
      <c r="A38" s="0" t="s">
        <v>102</v>
      </c>
      <c r="B38" s="0" t="s">
        <v>103</v>
      </c>
      <c r="C38" s="0" t="s">
        <v>104</v>
      </c>
      <c r="D38" s="7" t="n">
        <v>1194</v>
      </c>
      <c r="E38" s="7" t="n">
        <v>1493</v>
      </c>
      <c r="F38" s="7" t="n">
        <v>1792</v>
      </c>
      <c r="G38" s="8" t="s">
        <v>105</v>
      </c>
      <c r="H38" s="6" t="s">
        <v>106</v>
      </c>
    </row>
    <row r="39" customFormat="false" ht="15" hidden="false" customHeight="false" outlineLevel="0" collapsed="false">
      <c r="A39" s="0" t="s">
        <v>107</v>
      </c>
      <c r="B39" s="0" t="s">
        <v>108</v>
      </c>
      <c r="C39" s="0" t="s">
        <v>104</v>
      </c>
      <c r="D39" s="7" t="n">
        <v>1194</v>
      </c>
      <c r="E39" s="7" t="n">
        <v>1493</v>
      </c>
      <c r="F39" s="7" t="n">
        <v>1792</v>
      </c>
      <c r="G39" s="8" t="s">
        <v>105</v>
      </c>
      <c r="H39" s="6" t="s">
        <v>28</v>
      </c>
    </row>
    <row r="40" customFormat="false" ht="15" hidden="false" customHeight="false" outlineLevel="0" collapsed="false">
      <c r="A40" s="0" t="s">
        <v>109</v>
      </c>
      <c r="B40" s="0" t="s">
        <v>110</v>
      </c>
      <c r="C40" s="0" t="s">
        <v>104</v>
      </c>
      <c r="D40" s="7" t="n">
        <v>2150</v>
      </c>
      <c r="E40" s="7" t="n">
        <v>2688</v>
      </c>
      <c r="F40" s="7" t="n">
        <v>3226</v>
      </c>
      <c r="G40" s="8" t="s">
        <v>105</v>
      </c>
      <c r="H40" s="6" t="s">
        <v>28</v>
      </c>
    </row>
    <row r="41" customFormat="false" ht="15" hidden="false" customHeight="false" outlineLevel="0" collapsed="false">
      <c r="A41" s="0" t="s">
        <v>111</v>
      </c>
      <c r="B41" s="0" t="s">
        <v>112</v>
      </c>
      <c r="C41" s="0" t="s">
        <v>104</v>
      </c>
      <c r="D41" s="7" t="n">
        <v>1672</v>
      </c>
      <c r="E41" s="7" t="n">
        <v>2090</v>
      </c>
      <c r="F41" s="7" t="n">
        <v>2508</v>
      </c>
      <c r="G41" s="8" t="s">
        <v>105</v>
      </c>
      <c r="H41" s="6" t="s">
        <v>28</v>
      </c>
    </row>
    <row r="42" customFormat="false" ht="15" hidden="false" customHeight="false" outlineLevel="0" collapsed="false">
      <c r="A42" s="0" t="s">
        <v>113</v>
      </c>
      <c r="B42" s="0" t="s">
        <v>114</v>
      </c>
      <c r="C42" s="0" t="s">
        <v>104</v>
      </c>
      <c r="D42" s="7" t="n">
        <v>956</v>
      </c>
      <c r="E42" s="7" t="n">
        <v>1195</v>
      </c>
      <c r="F42" s="7" t="n">
        <v>1434</v>
      </c>
      <c r="G42" s="8" t="s">
        <v>105</v>
      </c>
      <c r="H42" s="6" t="s">
        <v>28</v>
      </c>
    </row>
    <row r="43" customFormat="false" ht="15" hidden="false" customHeight="false" outlineLevel="0" collapsed="false">
      <c r="A43" s="0" t="s">
        <v>115</v>
      </c>
      <c r="B43" s="0" t="s">
        <v>116</v>
      </c>
      <c r="C43" s="0" t="s">
        <v>104</v>
      </c>
      <c r="D43" s="7" t="n">
        <v>2099</v>
      </c>
      <c r="E43" s="7" t="n">
        <v>2624</v>
      </c>
      <c r="F43" s="7" t="n">
        <v>3149</v>
      </c>
      <c r="G43" s="8" t="s">
        <v>105</v>
      </c>
      <c r="H43" s="6" t="s">
        <v>28</v>
      </c>
    </row>
    <row r="44" customFormat="false" ht="15" hidden="false" customHeight="false" outlineLevel="0" collapsed="false">
      <c r="A44" s="0" t="s">
        <v>117</v>
      </c>
      <c r="B44" s="0" t="s">
        <v>118</v>
      </c>
      <c r="C44" s="0" t="s">
        <v>104</v>
      </c>
      <c r="D44" s="7" t="n">
        <v>2334</v>
      </c>
      <c r="E44" s="7" t="n">
        <v>2917</v>
      </c>
      <c r="F44" s="7" t="n">
        <v>3500</v>
      </c>
      <c r="G44" s="8" t="s">
        <v>105</v>
      </c>
      <c r="H44" s="6" t="s">
        <v>119</v>
      </c>
    </row>
    <row r="45" customFormat="false" ht="15" hidden="false" customHeight="false" outlineLevel="0" collapsed="false">
      <c r="A45" s="0" t="s">
        <v>120</v>
      </c>
      <c r="B45" s="0" t="s">
        <v>121</v>
      </c>
      <c r="C45" s="0" t="s">
        <v>104</v>
      </c>
      <c r="D45" s="7" t="n">
        <v>2334</v>
      </c>
      <c r="E45" s="7" t="n">
        <v>2917</v>
      </c>
      <c r="F45" s="7" t="n">
        <v>3500</v>
      </c>
      <c r="G45" s="8" t="s">
        <v>105</v>
      </c>
      <c r="H45" s="6" t="s">
        <v>28</v>
      </c>
    </row>
    <row r="46" customFormat="false" ht="15" hidden="false" customHeight="false" outlineLevel="0" collapsed="false">
      <c r="A46" s="0" t="s">
        <v>122</v>
      </c>
      <c r="B46" s="0" t="s">
        <v>123</v>
      </c>
      <c r="C46" s="0" t="s">
        <v>104</v>
      </c>
      <c r="D46" s="7" t="n">
        <v>4201</v>
      </c>
      <c r="E46" s="7" t="n">
        <v>5251</v>
      </c>
      <c r="F46" s="7" t="n">
        <v>6301</v>
      </c>
      <c r="G46" s="8" t="s">
        <v>105</v>
      </c>
      <c r="H46" s="6" t="s">
        <v>28</v>
      </c>
    </row>
    <row r="47" customFormat="false" ht="15" hidden="false" customHeight="false" outlineLevel="0" collapsed="false">
      <c r="A47" s="0" t="s">
        <v>124</v>
      </c>
      <c r="B47" s="0" t="s">
        <v>125</v>
      </c>
      <c r="C47" s="0" t="s">
        <v>104</v>
      </c>
      <c r="D47" s="7" t="n">
        <v>3267</v>
      </c>
      <c r="E47" s="7" t="n">
        <v>4084</v>
      </c>
      <c r="F47" s="7" t="n">
        <v>4901</v>
      </c>
      <c r="G47" s="8" t="s">
        <v>105</v>
      </c>
      <c r="H47" s="6" t="s">
        <v>28</v>
      </c>
    </row>
    <row r="48" customFormat="false" ht="15" hidden="false" customHeight="false" outlineLevel="0" collapsed="false">
      <c r="A48" s="0" t="s">
        <v>126</v>
      </c>
      <c r="B48" s="0" t="s">
        <v>127</v>
      </c>
      <c r="C48" s="0" t="s">
        <v>104</v>
      </c>
      <c r="D48" s="7" t="n">
        <v>1867</v>
      </c>
      <c r="E48" s="7" t="n">
        <v>2334</v>
      </c>
      <c r="F48" s="7" t="n">
        <v>2801</v>
      </c>
      <c r="G48" s="8" t="s">
        <v>105</v>
      </c>
      <c r="H48" s="6" t="s">
        <v>28</v>
      </c>
    </row>
    <row r="49" customFormat="false" ht="15" hidden="false" customHeight="false" outlineLevel="0" collapsed="false">
      <c r="A49" s="0" t="s">
        <v>128</v>
      </c>
      <c r="B49" s="0" t="s">
        <v>129</v>
      </c>
      <c r="C49" s="0" t="s">
        <v>104</v>
      </c>
      <c r="D49" s="7" t="n">
        <v>5600</v>
      </c>
      <c r="E49" s="7" t="n">
        <v>7000</v>
      </c>
      <c r="F49" s="7" t="n">
        <v>8400</v>
      </c>
      <c r="G49" s="8" t="s">
        <v>105</v>
      </c>
      <c r="H49" s="6" t="s">
        <v>28</v>
      </c>
    </row>
    <row r="50" customFormat="false" ht="15" hidden="false" customHeight="false" outlineLevel="0" collapsed="false">
      <c r="A50" s="0" t="s">
        <v>130</v>
      </c>
      <c r="B50" s="0" t="s">
        <v>131</v>
      </c>
      <c r="C50" s="0" t="s">
        <v>104</v>
      </c>
      <c r="D50" s="7" t="n">
        <v>3500</v>
      </c>
      <c r="E50" s="7" t="n">
        <v>4375</v>
      </c>
      <c r="F50" s="7" t="n">
        <v>5250</v>
      </c>
      <c r="G50" s="8" t="s">
        <v>34</v>
      </c>
      <c r="H50" s="8" t="s">
        <v>132</v>
      </c>
    </row>
    <row r="51" customFormat="false" ht="15" hidden="false" customHeight="false" outlineLevel="0" collapsed="false">
      <c r="A51" s="0" t="s">
        <v>133</v>
      </c>
      <c r="B51" s="0" t="s">
        <v>134</v>
      </c>
      <c r="C51" s="0" t="s">
        <v>104</v>
      </c>
      <c r="D51" s="7" t="n">
        <v>3500</v>
      </c>
      <c r="E51" s="7" t="n">
        <v>4375</v>
      </c>
      <c r="F51" s="7" t="n">
        <v>5250</v>
      </c>
      <c r="G51" s="8" t="s">
        <v>34</v>
      </c>
      <c r="H51" s="6" t="s">
        <v>28</v>
      </c>
    </row>
    <row r="52" customFormat="false" ht="15" hidden="false" customHeight="false" outlineLevel="0" collapsed="false">
      <c r="A52" s="0" t="s">
        <v>135</v>
      </c>
      <c r="B52" s="0" t="s">
        <v>136</v>
      </c>
      <c r="C52" s="0" t="s">
        <v>104</v>
      </c>
      <c r="D52" s="7" t="n">
        <v>4201</v>
      </c>
      <c r="E52" s="7" t="n">
        <v>5251</v>
      </c>
      <c r="F52" s="7" t="n">
        <v>6301</v>
      </c>
      <c r="G52" s="8" t="s">
        <v>34</v>
      </c>
      <c r="H52" s="6" t="s">
        <v>28</v>
      </c>
    </row>
    <row r="53" customFormat="false" ht="15" hidden="false" customHeight="false" outlineLevel="0" collapsed="false">
      <c r="A53" s="0" t="s">
        <v>137</v>
      </c>
      <c r="B53" s="0" t="s">
        <v>138</v>
      </c>
      <c r="C53" s="0" t="s">
        <v>104</v>
      </c>
      <c r="D53" s="7" t="n">
        <v>3267</v>
      </c>
      <c r="E53" s="7" t="n">
        <v>4084</v>
      </c>
      <c r="F53" s="7" t="n">
        <v>4901</v>
      </c>
      <c r="G53" s="8" t="s">
        <v>34</v>
      </c>
      <c r="H53" s="6" t="s">
        <v>28</v>
      </c>
    </row>
    <row r="54" customFormat="false" ht="15" hidden="false" customHeight="false" outlineLevel="0" collapsed="false">
      <c r="A54" s="0" t="s">
        <v>139</v>
      </c>
      <c r="B54" s="0" t="s">
        <v>140</v>
      </c>
      <c r="C54" s="0" t="s">
        <v>104</v>
      </c>
      <c r="D54" s="7" t="n">
        <v>1867</v>
      </c>
      <c r="E54" s="7" t="n">
        <v>2334</v>
      </c>
      <c r="F54" s="7" t="n">
        <v>2801</v>
      </c>
      <c r="G54" s="8" t="s">
        <v>34</v>
      </c>
      <c r="H54" s="6" t="s">
        <v>28</v>
      </c>
    </row>
    <row r="55" customFormat="false" ht="15" hidden="false" customHeight="false" outlineLevel="0" collapsed="false">
      <c r="A55" s="0" t="s">
        <v>141</v>
      </c>
      <c r="B55" s="0" t="s">
        <v>142</v>
      </c>
      <c r="C55" s="0" t="s">
        <v>104</v>
      </c>
      <c r="D55" s="7" t="n">
        <v>5600</v>
      </c>
      <c r="E55" s="7" t="n">
        <v>7000</v>
      </c>
      <c r="F55" s="7" t="n">
        <v>8400</v>
      </c>
      <c r="G55" s="8" t="s">
        <v>34</v>
      </c>
      <c r="H55" s="6" t="s">
        <v>28</v>
      </c>
    </row>
    <row r="56" customFormat="false" ht="15" hidden="false" customHeight="false" outlineLevel="0" collapsed="false">
      <c r="A56" s="0" t="s">
        <v>143</v>
      </c>
      <c r="B56" s="0" t="s">
        <v>144</v>
      </c>
      <c r="C56" s="0" t="s">
        <v>104</v>
      </c>
      <c r="D56" s="7" t="n">
        <v>240</v>
      </c>
      <c r="E56" s="7" t="n">
        <v>300</v>
      </c>
      <c r="F56" s="7" t="n">
        <v>360</v>
      </c>
      <c r="G56" s="8" t="s">
        <v>34</v>
      </c>
      <c r="H56" s="8" t="s">
        <v>145</v>
      </c>
    </row>
    <row r="57" customFormat="false" ht="15" hidden="false" customHeight="false" outlineLevel="0" collapsed="false">
      <c r="A57" s="0" t="s">
        <v>146</v>
      </c>
      <c r="B57" s="0" t="s">
        <v>147</v>
      </c>
      <c r="C57" s="0" t="s">
        <v>104</v>
      </c>
      <c r="D57" s="7" t="n">
        <v>80</v>
      </c>
      <c r="E57" s="7" t="n">
        <v>100</v>
      </c>
      <c r="F57" s="7" t="n">
        <v>120</v>
      </c>
      <c r="G57" s="8" t="s">
        <v>34</v>
      </c>
      <c r="H57" s="6" t="s">
        <v>28</v>
      </c>
    </row>
    <row r="58" customFormat="false" ht="15" hidden="false" customHeight="false" outlineLevel="0" collapsed="false">
      <c r="A58" s="0" t="s">
        <v>148</v>
      </c>
      <c r="B58" s="0" t="s">
        <v>149</v>
      </c>
      <c r="C58" s="0" t="s">
        <v>104</v>
      </c>
      <c r="D58" s="7" t="n">
        <v>2016</v>
      </c>
      <c r="E58" s="7" t="n">
        <v>2520</v>
      </c>
      <c r="F58" s="7" t="n">
        <v>3024</v>
      </c>
      <c r="G58" s="8" t="s">
        <v>34</v>
      </c>
      <c r="H58" s="6" t="s">
        <v>28</v>
      </c>
    </row>
    <row r="59" customFormat="false" ht="15" hidden="false" customHeight="false" outlineLevel="0" collapsed="false">
      <c r="A59" s="0" t="s">
        <v>150</v>
      </c>
      <c r="B59" s="0" t="s">
        <v>151</v>
      </c>
      <c r="C59" s="0" t="s">
        <v>104</v>
      </c>
      <c r="D59" s="7" t="n">
        <v>1568</v>
      </c>
      <c r="E59" s="7" t="n">
        <v>1960</v>
      </c>
      <c r="F59" s="7" t="n">
        <v>2352</v>
      </c>
      <c r="G59" s="8" t="s">
        <v>34</v>
      </c>
      <c r="H59" s="6" t="s">
        <v>28</v>
      </c>
    </row>
    <row r="60" customFormat="false" ht="15" hidden="false" customHeight="false" outlineLevel="0" collapsed="false">
      <c r="A60" s="0" t="s">
        <v>152</v>
      </c>
      <c r="B60" s="0" t="s">
        <v>153</v>
      </c>
      <c r="C60" s="0" t="s">
        <v>104</v>
      </c>
      <c r="D60" s="7" t="n">
        <v>896</v>
      </c>
      <c r="E60" s="7" t="n">
        <v>1120</v>
      </c>
      <c r="F60" s="7" t="n">
        <v>1344</v>
      </c>
      <c r="G60" s="8" t="s">
        <v>34</v>
      </c>
      <c r="H60" s="6" t="s">
        <v>28</v>
      </c>
    </row>
    <row r="61" customFormat="false" ht="15" hidden="false" customHeight="false" outlineLevel="0" collapsed="false">
      <c r="A61" s="0" t="s">
        <v>154</v>
      </c>
      <c r="B61" s="0" t="s">
        <v>155</v>
      </c>
      <c r="C61" s="0" t="s">
        <v>104</v>
      </c>
      <c r="D61" s="7" t="n">
        <v>1600</v>
      </c>
      <c r="E61" s="7" t="n">
        <v>2000</v>
      </c>
      <c r="F61" s="7" t="n">
        <v>2400</v>
      </c>
      <c r="G61" s="8" t="s">
        <v>34</v>
      </c>
      <c r="H61" s="6" t="s">
        <v>28</v>
      </c>
    </row>
    <row r="62" customFormat="false" ht="15" hidden="false" customHeight="false" outlineLevel="0" collapsed="false">
      <c r="A62" s="0" t="s">
        <v>156</v>
      </c>
      <c r="B62" s="0" t="s">
        <v>157</v>
      </c>
      <c r="C62" s="0" t="s">
        <v>104</v>
      </c>
      <c r="D62" s="7" t="n">
        <v>240</v>
      </c>
      <c r="E62" s="7" t="n">
        <v>300</v>
      </c>
      <c r="F62" s="7" t="n">
        <v>360</v>
      </c>
      <c r="G62" s="8" t="s">
        <v>158</v>
      </c>
      <c r="H62" s="6" t="s">
        <v>159</v>
      </c>
    </row>
    <row r="63" customFormat="false" ht="15" hidden="false" customHeight="false" outlineLevel="0" collapsed="false">
      <c r="A63" s="0" t="s">
        <v>160</v>
      </c>
      <c r="B63" s="0" t="s">
        <v>161</v>
      </c>
      <c r="C63" s="0" t="s">
        <v>104</v>
      </c>
      <c r="D63" s="7" t="n">
        <v>80</v>
      </c>
      <c r="E63" s="7" t="n">
        <v>100</v>
      </c>
      <c r="F63" s="7" t="n">
        <v>120</v>
      </c>
      <c r="G63" s="8" t="s">
        <v>158</v>
      </c>
      <c r="H63" s="6" t="s">
        <v>28</v>
      </c>
    </row>
    <row r="64" customFormat="false" ht="15" hidden="false" customHeight="false" outlineLevel="0" collapsed="false">
      <c r="A64" s="0" t="s">
        <v>162</v>
      </c>
      <c r="B64" s="0" t="s">
        <v>163</v>
      </c>
      <c r="C64" s="0" t="s">
        <v>104</v>
      </c>
      <c r="D64" s="7" t="n">
        <v>2016</v>
      </c>
      <c r="E64" s="7" t="n">
        <v>2520</v>
      </c>
      <c r="F64" s="7" t="n">
        <v>3024</v>
      </c>
      <c r="G64" s="8" t="s">
        <v>158</v>
      </c>
      <c r="H64" s="6" t="s">
        <v>28</v>
      </c>
    </row>
    <row r="65" customFormat="false" ht="15" hidden="false" customHeight="false" outlineLevel="0" collapsed="false">
      <c r="A65" s="0" t="s">
        <v>164</v>
      </c>
      <c r="B65" s="0" t="s">
        <v>165</v>
      </c>
      <c r="C65" s="0" t="s">
        <v>104</v>
      </c>
      <c r="D65" s="7" t="n">
        <v>1568</v>
      </c>
      <c r="E65" s="7" t="n">
        <v>1960</v>
      </c>
      <c r="F65" s="7" t="n">
        <v>2352</v>
      </c>
      <c r="G65" s="8" t="s">
        <v>158</v>
      </c>
      <c r="H65" s="6" t="s">
        <v>28</v>
      </c>
    </row>
    <row r="66" customFormat="false" ht="15" hidden="false" customHeight="false" outlineLevel="0" collapsed="false">
      <c r="A66" s="0" t="s">
        <v>166</v>
      </c>
      <c r="B66" s="0" t="s">
        <v>167</v>
      </c>
      <c r="C66" s="0" t="s">
        <v>104</v>
      </c>
      <c r="D66" s="7" t="n">
        <v>896</v>
      </c>
      <c r="E66" s="7" t="n">
        <v>1120</v>
      </c>
      <c r="F66" s="7" t="n">
        <v>1344</v>
      </c>
      <c r="G66" s="8" t="s">
        <v>158</v>
      </c>
      <c r="H66" s="6" t="s">
        <v>28</v>
      </c>
    </row>
    <row r="67" customFormat="false" ht="15" hidden="false" customHeight="false" outlineLevel="0" collapsed="false">
      <c r="A67" s="0" t="s">
        <v>168</v>
      </c>
      <c r="B67" s="0" t="s">
        <v>169</v>
      </c>
      <c r="C67" s="0" t="s">
        <v>104</v>
      </c>
      <c r="D67" s="7" t="n">
        <v>1600</v>
      </c>
      <c r="E67" s="7" t="n">
        <v>2000</v>
      </c>
      <c r="F67" s="7" t="n">
        <v>2400</v>
      </c>
      <c r="G67" s="8" t="s">
        <v>158</v>
      </c>
      <c r="H67" s="6" t="s">
        <v>28</v>
      </c>
    </row>
    <row r="68" customFormat="false" ht="15" hidden="false" customHeight="false" outlineLevel="0" collapsed="false">
      <c r="A68" s="0" t="s">
        <v>170</v>
      </c>
      <c r="B68" s="0" t="s">
        <v>171</v>
      </c>
      <c r="C68" s="0" t="s">
        <v>104</v>
      </c>
      <c r="D68" s="7" t="n">
        <v>1867</v>
      </c>
      <c r="E68" s="7" t="n">
        <v>2334</v>
      </c>
      <c r="F68" s="7" t="n">
        <v>2801</v>
      </c>
      <c r="G68" s="8" t="s">
        <v>158</v>
      </c>
      <c r="H68" s="8" t="s">
        <v>172</v>
      </c>
    </row>
    <row r="69" customFormat="false" ht="15" hidden="false" customHeight="false" outlineLevel="0" collapsed="false">
      <c r="A69" s="0" t="s">
        <v>173</v>
      </c>
      <c r="B69" s="0" t="s">
        <v>174</v>
      </c>
      <c r="C69" s="0" t="s">
        <v>104</v>
      </c>
      <c r="D69" s="7" t="n">
        <v>1867</v>
      </c>
      <c r="E69" s="7" t="n">
        <v>2334</v>
      </c>
      <c r="F69" s="7" t="n">
        <v>2801</v>
      </c>
      <c r="G69" s="8" t="s">
        <v>158</v>
      </c>
      <c r="H69" s="6" t="s">
        <v>28</v>
      </c>
    </row>
    <row r="70" customFormat="false" ht="15" hidden="false" customHeight="false" outlineLevel="0" collapsed="false">
      <c r="A70" s="0" t="s">
        <v>175</v>
      </c>
      <c r="B70" s="0" t="s">
        <v>176</v>
      </c>
      <c r="C70" s="0" t="s">
        <v>104</v>
      </c>
      <c r="D70" s="7" t="n">
        <v>3361</v>
      </c>
      <c r="E70" s="7" t="n">
        <v>4201</v>
      </c>
      <c r="F70" s="7" t="n">
        <v>5041</v>
      </c>
      <c r="G70" s="8" t="s">
        <v>158</v>
      </c>
      <c r="H70" s="6" t="s">
        <v>28</v>
      </c>
    </row>
    <row r="71" customFormat="false" ht="15" hidden="false" customHeight="false" outlineLevel="0" collapsed="false">
      <c r="A71" s="0" t="s">
        <v>177</v>
      </c>
      <c r="B71" s="0" t="s">
        <v>178</v>
      </c>
      <c r="C71" s="0" t="s">
        <v>104</v>
      </c>
      <c r="D71" s="7" t="n">
        <v>2614</v>
      </c>
      <c r="E71" s="7" t="n">
        <v>3267</v>
      </c>
      <c r="F71" s="7" t="n">
        <v>3920</v>
      </c>
      <c r="G71" s="8" t="s">
        <v>158</v>
      </c>
      <c r="H71" s="6" t="s">
        <v>28</v>
      </c>
    </row>
    <row r="72" customFormat="false" ht="15" hidden="false" customHeight="false" outlineLevel="0" collapsed="false">
      <c r="A72" s="0" t="s">
        <v>179</v>
      </c>
      <c r="B72" s="0" t="s">
        <v>180</v>
      </c>
      <c r="C72" s="0" t="s">
        <v>104</v>
      </c>
      <c r="D72" s="7" t="n">
        <v>1494</v>
      </c>
      <c r="E72" s="7" t="n">
        <v>1867</v>
      </c>
      <c r="F72" s="7" t="n">
        <v>2240</v>
      </c>
      <c r="G72" s="8" t="s">
        <v>158</v>
      </c>
      <c r="H72" s="6" t="s">
        <v>28</v>
      </c>
    </row>
    <row r="73" customFormat="false" ht="15" hidden="false" customHeight="false" outlineLevel="0" collapsed="false">
      <c r="A73" s="0" t="s">
        <v>181</v>
      </c>
      <c r="B73" s="0" t="s">
        <v>182</v>
      </c>
      <c r="C73" s="0" t="s">
        <v>104</v>
      </c>
      <c r="D73" s="7" t="n">
        <v>4480</v>
      </c>
      <c r="E73" s="7" t="n">
        <v>5600</v>
      </c>
      <c r="F73" s="7" t="n">
        <v>6720</v>
      </c>
      <c r="G73" s="8" t="s">
        <v>158</v>
      </c>
      <c r="H73" s="6" t="s">
        <v>28</v>
      </c>
    </row>
    <row r="74" customFormat="false" ht="15" hidden="false" customHeight="false" outlineLevel="0" collapsed="false">
      <c r="A74" s="0" t="s">
        <v>183</v>
      </c>
      <c r="B74" s="0" t="s">
        <v>184</v>
      </c>
      <c r="C74" s="0" t="s">
        <v>104</v>
      </c>
      <c r="D74" s="7" t="n">
        <v>640</v>
      </c>
      <c r="E74" s="7" t="n">
        <v>800</v>
      </c>
      <c r="F74" s="7" t="n">
        <v>960</v>
      </c>
      <c r="G74" s="8" t="s">
        <v>34</v>
      </c>
      <c r="H74" s="8" t="s">
        <v>185</v>
      </c>
    </row>
    <row r="75" customFormat="false" ht="15" hidden="false" customHeight="false" outlineLevel="0" collapsed="false">
      <c r="A75" s="0" t="s">
        <v>186</v>
      </c>
      <c r="B75" s="0" t="s">
        <v>187</v>
      </c>
      <c r="C75" s="0" t="s">
        <v>104</v>
      </c>
      <c r="D75" s="7" t="n">
        <v>960</v>
      </c>
      <c r="E75" s="7" t="n">
        <v>1200</v>
      </c>
      <c r="F75" s="7" t="n">
        <v>1440</v>
      </c>
      <c r="G75" s="8" t="s">
        <v>34</v>
      </c>
      <c r="H75" s="6" t="s">
        <v>28</v>
      </c>
    </row>
    <row r="76" customFormat="false" ht="15" hidden="false" customHeight="false" outlineLevel="0" collapsed="false">
      <c r="A76" s="0" t="s">
        <v>188</v>
      </c>
      <c r="B76" s="0" t="s">
        <v>189</v>
      </c>
      <c r="C76" s="0" t="s">
        <v>104</v>
      </c>
      <c r="D76" s="7" t="n">
        <v>640</v>
      </c>
      <c r="E76" s="7" t="n">
        <v>800</v>
      </c>
      <c r="F76" s="7" t="n">
        <v>960</v>
      </c>
      <c r="G76" s="8" t="s">
        <v>34</v>
      </c>
      <c r="H76" s="6" t="s">
        <v>28</v>
      </c>
    </row>
    <row r="77" customFormat="false" ht="15" hidden="false" customHeight="false" outlineLevel="0" collapsed="false">
      <c r="A77" s="0" t="s">
        <v>190</v>
      </c>
      <c r="B77" s="0" t="s">
        <v>191</v>
      </c>
      <c r="C77" s="0" t="s">
        <v>104</v>
      </c>
      <c r="D77" s="7" t="n">
        <v>1200</v>
      </c>
      <c r="E77" s="7" t="n">
        <v>1500</v>
      </c>
      <c r="F77" s="7" t="n">
        <v>1800</v>
      </c>
      <c r="G77" s="8" t="s">
        <v>34</v>
      </c>
      <c r="H77" s="6" t="s">
        <v>28</v>
      </c>
    </row>
    <row r="78" customFormat="false" ht="15" hidden="false" customHeight="false" outlineLevel="0" collapsed="false">
      <c r="A78" s="0" t="s">
        <v>192</v>
      </c>
      <c r="B78" s="0" t="s">
        <v>193</v>
      </c>
      <c r="C78" s="0" t="s">
        <v>104</v>
      </c>
      <c r="D78" s="7" t="n">
        <v>240</v>
      </c>
      <c r="E78" s="7" t="n">
        <v>300</v>
      </c>
      <c r="F78" s="7" t="n">
        <v>360</v>
      </c>
      <c r="G78" s="8" t="s">
        <v>34</v>
      </c>
      <c r="H78" s="6" t="s">
        <v>28</v>
      </c>
    </row>
    <row r="79" customFormat="false" ht="15" hidden="false" customHeight="false" outlineLevel="0" collapsed="false">
      <c r="A79" s="0" t="s">
        <v>194</v>
      </c>
      <c r="B79" s="0" t="s">
        <v>195</v>
      </c>
      <c r="C79" s="0" t="s">
        <v>104</v>
      </c>
      <c r="D79" s="7" t="n">
        <v>320</v>
      </c>
      <c r="E79" s="7" t="n">
        <v>400</v>
      </c>
      <c r="F79" s="7" t="n">
        <v>480</v>
      </c>
      <c r="G79" s="8" t="s">
        <v>34</v>
      </c>
      <c r="H79" s="6" t="s">
        <v>28</v>
      </c>
    </row>
    <row r="80" customFormat="false" ht="15" hidden="false" customHeight="false" outlineLevel="0" collapsed="false">
      <c r="A80" s="0" t="s">
        <v>196</v>
      </c>
      <c r="B80" s="0" t="s">
        <v>197</v>
      </c>
      <c r="C80" s="0" t="s">
        <v>104</v>
      </c>
      <c r="D80" s="7" t="n">
        <v>480</v>
      </c>
      <c r="E80" s="7" t="n">
        <v>600</v>
      </c>
      <c r="F80" s="7" t="n">
        <v>720</v>
      </c>
      <c r="G80" s="8" t="s">
        <v>34</v>
      </c>
      <c r="H80" s="8" t="s">
        <v>198</v>
      </c>
    </row>
    <row r="81" customFormat="false" ht="15" hidden="false" customHeight="false" outlineLevel="0" collapsed="false">
      <c r="A81" s="0" t="s">
        <v>199</v>
      </c>
      <c r="B81" s="0" t="s">
        <v>200</v>
      </c>
      <c r="C81" s="0" t="s">
        <v>104</v>
      </c>
      <c r="D81" s="7" t="n">
        <v>640</v>
      </c>
      <c r="E81" s="7" t="n">
        <v>800</v>
      </c>
      <c r="F81" s="7" t="n">
        <v>960</v>
      </c>
      <c r="G81" s="8" t="s">
        <v>34</v>
      </c>
      <c r="H81" s="6" t="s">
        <v>28</v>
      </c>
    </row>
    <row r="82" customFormat="false" ht="15" hidden="false" customHeight="false" outlineLevel="0" collapsed="false">
      <c r="A82" s="0" t="s">
        <v>201</v>
      </c>
      <c r="B82" s="0" t="s">
        <v>202</v>
      </c>
      <c r="C82" s="0" t="s">
        <v>104</v>
      </c>
      <c r="D82" s="7" t="n">
        <v>640</v>
      </c>
      <c r="E82" s="7" t="n">
        <v>800</v>
      </c>
      <c r="F82" s="7" t="n">
        <v>960</v>
      </c>
      <c r="G82" s="8" t="s">
        <v>34</v>
      </c>
      <c r="H82" s="6" t="s">
        <v>28</v>
      </c>
    </row>
    <row r="83" customFormat="false" ht="15" hidden="false" customHeight="false" outlineLevel="0" collapsed="false">
      <c r="A83" s="0" t="s">
        <v>203</v>
      </c>
      <c r="B83" s="0" t="s">
        <v>204</v>
      </c>
      <c r="C83" s="0" t="s">
        <v>104</v>
      </c>
      <c r="D83" s="7" t="n">
        <v>960</v>
      </c>
      <c r="E83" s="7" t="n">
        <v>1200</v>
      </c>
      <c r="F83" s="7" t="n">
        <v>1440</v>
      </c>
      <c r="G83" s="8" t="s">
        <v>34</v>
      </c>
      <c r="H83" s="6" t="s">
        <v>28</v>
      </c>
    </row>
    <row r="84" customFormat="false" ht="15" hidden="false" customHeight="false" outlineLevel="0" collapsed="false">
      <c r="A84" s="0" t="s">
        <v>205</v>
      </c>
      <c r="B84" s="0" t="s">
        <v>206</v>
      </c>
      <c r="C84" s="0" t="s">
        <v>104</v>
      </c>
      <c r="D84" s="7" t="n">
        <v>240</v>
      </c>
      <c r="E84" s="7" t="n">
        <v>300</v>
      </c>
      <c r="F84" s="7" t="n">
        <v>360</v>
      </c>
      <c r="G84" s="8" t="s">
        <v>34</v>
      </c>
      <c r="H84" s="6" t="s">
        <v>28</v>
      </c>
    </row>
    <row r="85" customFormat="false" ht="15" hidden="false" customHeight="false" outlineLevel="0" collapsed="false">
      <c r="A85" s="0" t="s">
        <v>207</v>
      </c>
      <c r="B85" s="0" t="s">
        <v>208</v>
      </c>
      <c r="C85" s="0" t="s">
        <v>104</v>
      </c>
      <c r="D85" s="7" t="n">
        <v>240</v>
      </c>
      <c r="E85" s="7" t="n">
        <v>300</v>
      </c>
      <c r="F85" s="7" t="n">
        <v>360</v>
      </c>
      <c r="G85" s="8" t="s">
        <v>34</v>
      </c>
      <c r="H85" s="6" t="s">
        <v>28</v>
      </c>
    </row>
    <row r="86" customFormat="false" ht="15" hidden="false" customHeight="false" outlineLevel="0" collapsed="false">
      <c r="A86" s="0" t="s">
        <v>209</v>
      </c>
      <c r="B86" s="6" t="s">
        <v>210</v>
      </c>
      <c r="C86" s="0" t="s">
        <v>104</v>
      </c>
      <c r="D86" s="7" t="n">
        <v>480</v>
      </c>
      <c r="E86" s="7" t="n">
        <v>600</v>
      </c>
      <c r="F86" s="7" t="n">
        <v>720</v>
      </c>
      <c r="G86" s="8" t="s">
        <v>34</v>
      </c>
      <c r="H86" s="6" t="s">
        <v>211</v>
      </c>
    </row>
    <row r="87" customFormat="false" ht="15" hidden="false" customHeight="false" outlineLevel="0" collapsed="false">
      <c r="A87" s="0" t="s">
        <v>212</v>
      </c>
      <c r="B87" s="6" t="s">
        <v>213</v>
      </c>
      <c r="C87" s="0" t="s">
        <v>104</v>
      </c>
      <c r="D87" s="7" t="n">
        <v>640</v>
      </c>
      <c r="E87" s="7" t="n">
        <v>800</v>
      </c>
      <c r="F87" s="7" t="n">
        <v>960</v>
      </c>
      <c r="G87" s="8" t="s">
        <v>34</v>
      </c>
      <c r="H87" s="6" t="s">
        <v>28</v>
      </c>
    </row>
    <row r="88" customFormat="false" ht="15" hidden="false" customHeight="false" outlineLevel="0" collapsed="false">
      <c r="A88" s="0" t="s">
        <v>214</v>
      </c>
      <c r="B88" s="6" t="s">
        <v>215</v>
      </c>
      <c r="C88" s="0" t="s">
        <v>104</v>
      </c>
      <c r="D88" s="7" t="n">
        <v>640</v>
      </c>
      <c r="E88" s="7" t="n">
        <v>800</v>
      </c>
      <c r="F88" s="7" t="n">
        <v>960</v>
      </c>
      <c r="G88" s="8" t="s">
        <v>34</v>
      </c>
      <c r="H88" s="6" t="s">
        <v>28</v>
      </c>
    </row>
    <row r="89" customFormat="false" ht="15" hidden="false" customHeight="false" outlineLevel="0" collapsed="false">
      <c r="A89" s="0" t="s">
        <v>216</v>
      </c>
      <c r="B89" s="6" t="s">
        <v>217</v>
      </c>
      <c r="C89" s="0" t="s">
        <v>104</v>
      </c>
      <c r="D89" s="7" t="n">
        <v>960</v>
      </c>
      <c r="E89" s="7" t="n">
        <v>1200</v>
      </c>
      <c r="F89" s="7" t="n">
        <v>1440</v>
      </c>
      <c r="G89" s="8" t="s">
        <v>34</v>
      </c>
      <c r="H89" s="6" t="s">
        <v>28</v>
      </c>
    </row>
    <row r="90" customFormat="false" ht="15" hidden="false" customHeight="false" outlineLevel="0" collapsed="false">
      <c r="A90" s="0" t="s">
        <v>218</v>
      </c>
      <c r="B90" s="6" t="s">
        <v>219</v>
      </c>
      <c r="C90" s="0" t="s">
        <v>104</v>
      </c>
      <c r="D90" s="7" t="n">
        <v>240</v>
      </c>
      <c r="E90" s="7" t="n">
        <v>300</v>
      </c>
      <c r="F90" s="7" t="n">
        <v>360</v>
      </c>
      <c r="G90" s="8" t="s">
        <v>34</v>
      </c>
      <c r="H90" s="6" t="s">
        <v>28</v>
      </c>
    </row>
    <row r="91" customFormat="false" ht="15" hidden="false" customHeight="false" outlineLevel="0" collapsed="false">
      <c r="A91" s="0" t="s">
        <v>220</v>
      </c>
      <c r="B91" s="6" t="s">
        <v>221</v>
      </c>
      <c r="C91" s="0" t="s">
        <v>104</v>
      </c>
      <c r="D91" s="7" t="n">
        <v>240</v>
      </c>
      <c r="E91" s="7" t="n">
        <v>300</v>
      </c>
      <c r="F91" s="7" t="n">
        <v>360</v>
      </c>
      <c r="G91" s="8" t="s">
        <v>34</v>
      </c>
      <c r="H91" s="6" t="s">
        <v>28</v>
      </c>
    </row>
    <row r="92" customFormat="false" ht="15" hidden="false" customHeight="false" outlineLevel="0" collapsed="false">
      <c r="A92" s="1" t="s">
        <v>222</v>
      </c>
    </row>
    <row r="93" customFormat="false" ht="15" hidden="false" customHeight="false" outlineLevel="0" collapsed="false">
      <c r="A93" s="0" t="s">
        <v>223</v>
      </c>
      <c r="B93" s="0" t="s">
        <v>224</v>
      </c>
      <c r="C93" s="0" t="s">
        <v>225</v>
      </c>
      <c r="E93" s="7" t="n">
        <v>66.1944444444444</v>
      </c>
      <c r="G93" s="8" t="s">
        <v>105</v>
      </c>
      <c r="H93" s="8" t="s">
        <v>226</v>
      </c>
    </row>
    <row r="94" customFormat="false" ht="15" hidden="false" customHeight="false" outlineLevel="0" collapsed="false">
      <c r="A94" s="0" t="s">
        <v>227</v>
      </c>
      <c r="B94" s="0" t="s">
        <v>228</v>
      </c>
      <c r="C94" s="0" t="s">
        <v>225</v>
      </c>
      <c r="E94" s="7" t="n">
        <v>128.833333333333</v>
      </c>
      <c r="G94" s="8" t="s">
        <v>105</v>
      </c>
      <c r="H94" s="8" t="s">
        <v>229</v>
      </c>
    </row>
    <row r="95" customFormat="false" ht="15" hidden="false" customHeight="false" outlineLevel="0" collapsed="false">
      <c r="A95" s="0" t="s">
        <v>230</v>
      </c>
      <c r="B95" s="0" t="s">
        <v>231</v>
      </c>
      <c r="C95" s="0" t="s">
        <v>225</v>
      </c>
      <c r="E95" s="7" t="n">
        <v>257.166666666667</v>
      </c>
      <c r="G95" s="8" t="s">
        <v>105</v>
      </c>
      <c r="H95" s="8" t="s">
        <v>232</v>
      </c>
    </row>
    <row r="96" customFormat="false" ht="15" hidden="false" customHeight="false" outlineLevel="0" collapsed="false">
      <c r="A96" s="0" t="s">
        <v>233</v>
      </c>
      <c r="B96" s="0" t="s">
        <v>234</v>
      </c>
      <c r="C96" s="0" t="s">
        <v>225</v>
      </c>
      <c r="E96" s="7" t="n">
        <v>38.3125</v>
      </c>
      <c r="G96" s="8" t="s">
        <v>105</v>
      </c>
      <c r="H96" s="8" t="s">
        <v>235</v>
      </c>
    </row>
    <row r="97" customFormat="false" ht="15" hidden="false" customHeight="false" outlineLevel="0" collapsed="false">
      <c r="A97" s="0" t="s">
        <v>236</v>
      </c>
      <c r="B97" s="0" t="s">
        <v>237</v>
      </c>
      <c r="C97" s="0" t="s">
        <v>225</v>
      </c>
      <c r="E97" s="7" t="n">
        <v>40</v>
      </c>
      <c r="G97" s="8" t="s">
        <v>34</v>
      </c>
    </row>
    <row r="98" customFormat="false" ht="15" hidden="false" customHeight="false" outlineLevel="0" collapsed="false">
      <c r="A98" s="0" t="s">
        <v>238</v>
      </c>
      <c r="B98" s="0" t="s">
        <v>239</v>
      </c>
      <c r="C98" s="0" t="s">
        <v>225</v>
      </c>
      <c r="E98" s="7" t="n">
        <v>100</v>
      </c>
      <c r="G98" s="8" t="s">
        <v>34</v>
      </c>
      <c r="H98" s="8" t="s">
        <v>240</v>
      </c>
    </row>
    <row r="99" customFormat="false" ht="15" hidden="false" customHeight="false" outlineLevel="0" collapsed="false">
      <c r="A99" s="0" t="s">
        <v>241</v>
      </c>
      <c r="B99" s="0" t="s">
        <v>242</v>
      </c>
      <c r="C99" s="0" t="s">
        <v>225</v>
      </c>
      <c r="E99" s="7" t="n">
        <v>25</v>
      </c>
      <c r="G99" s="8" t="s">
        <v>34</v>
      </c>
    </row>
    <row r="100" customFormat="false" ht="15" hidden="false" customHeight="false" outlineLevel="0" collapsed="false">
      <c r="A100" s="0" t="s">
        <v>243</v>
      </c>
      <c r="B100" s="0" t="s">
        <v>244</v>
      </c>
      <c r="C100" s="0" t="s">
        <v>225</v>
      </c>
      <c r="E100" s="7" t="n">
        <v>20</v>
      </c>
      <c r="G100" s="8" t="s">
        <v>34</v>
      </c>
    </row>
    <row r="101" customFormat="false" ht="15" hidden="false" customHeight="false" outlineLevel="0" collapsed="false">
      <c r="A101" s="0" t="s">
        <v>245</v>
      </c>
      <c r="B101" s="6" t="s">
        <v>246</v>
      </c>
      <c r="C101" s="0" t="s">
        <v>225</v>
      </c>
      <c r="E101" s="7" t="n">
        <v>20</v>
      </c>
      <c r="G101" s="8" t="s">
        <v>34</v>
      </c>
    </row>
    <row r="102" customFormat="false" ht="15" hidden="false" customHeight="false" outlineLevel="0" collapsed="false">
      <c r="A102" s="1" t="s">
        <v>247</v>
      </c>
    </row>
    <row r="103" customFormat="false" ht="15" hidden="false" customHeight="false" outlineLevel="0" collapsed="false">
      <c r="A103" s="0" t="s">
        <v>248</v>
      </c>
      <c r="B103" s="0" t="s">
        <v>249</v>
      </c>
      <c r="C103" s="0" t="s">
        <v>33</v>
      </c>
      <c r="E103" s="7" t="n">
        <v>0.01</v>
      </c>
      <c r="G103" s="8" t="s">
        <v>93</v>
      </c>
      <c r="H103" s="8" t="s">
        <v>250</v>
      </c>
    </row>
    <row r="104" customFormat="false" ht="15" hidden="false" customHeight="false" outlineLevel="0" collapsed="false">
      <c r="A104" s="0" t="s">
        <v>251</v>
      </c>
      <c r="B104" s="0" t="s">
        <v>252</v>
      </c>
      <c r="C104" s="0" t="s">
        <v>33</v>
      </c>
      <c r="E104" s="7" t="n">
        <v>0.03</v>
      </c>
      <c r="G104" s="8" t="s">
        <v>93</v>
      </c>
      <c r="H104" s="6" t="s">
        <v>28</v>
      </c>
    </row>
    <row r="105" customFormat="false" ht="15" hidden="false" customHeight="false" outlineLevel="0" collapsed="false">
      <c r="A105" s="0" t="s">
        <v>253</v>
      </c>
      <c r="B105" s="0" t="s">
        <v>254</v>
      </c>
      <c r="C105" s="0" t="s">
        <v>33</v>
      </c>
      <c r="E105" s="7" t="n">
        <v>0.05</v>
      </c>
      <c r="G105" s="8" t="s">
        <v>93</v>
      </c>
      <c r="H105" s="6" t="s">
        <v>28</v>
      </c>
    </row>
    <row r="106" customFormat="false" ht="15" hidden="false" customHeight="false" outlineLevel="0" collapsed="false">
      <c r="A106" s="0" t="s">
        <v>255</v>
      </c>
      <c r="B106" s="0" t="s">
        <v>256</v>
      </c>
      <c r="C106" s="0" t="s">
        <v>33</v>
      </c>
      <c r="E106" s="7" t="n">
        <v>0.08</v>
      </c>
      <c r="G106" s="8" t="s">
        <v>93</v>
      </c>
      <c r="H106" s="6" t="s">
        <v>28</v>
      </c>
    </row>
    <row r="107" customFormat="false" ht="15" hidden="false" customHeight="false" outlineLevel="0" collapsed="false">
      <c r="A107" s="0" t="s">
        <v>257</v>
      </c>
      <c r="B107" s="0" t="s">
        <v>258</v>
      </c>
      <c r="C107" s="0" t="s">
        <v>33</v>
      </c>
      <c r="E107" s="7" t="n">
        <v>0</v>
      </c>
      <c r="G107" s="8" t="s">
        <v>65</v>
      </c>
      <c r="H107" s="8" t="s">
        <v>259</v>
      </c>
    </row>
    <row r="108" customFormat="false" ht="15" hidden="false" customHeight="false" outlineLevel="0" collapsed="false">
      <c r="A108" s="0" t="s">
        <v>260</v>
      </c>
      <c r="B108" s="0" t="s">
        <v>261</v>
      </c>
      <c r="C108" s="0" t="s">
        <v>33</v>
      </c>
      <c r="E108" s="7" t="n">
        <v>0</v>
      </c>
      <c r="G108" s="8" t="s">
        <v>65</v>
      </c>
      <c r="H108" s="6" t="s">
        <v>28</v>
      </c>
    </row>
    <row r="109" customFormat="false" ht="15" hidden="false" customHeight="false" outlineLevel="0" collapsed="false">
      <c r="A109" s="0" t="s">
        <v>262</v>
      </c>
      <c r="B109" s="0" t="s">
        <v>263</v>
      </c>
      <c r="C109" s="0" t="s">
        <v>33</v>
      </c>
      <c r="E109" s="7" t="n">
        <v>0</v>
      </c>
      <c r="G109" s="8" t="s">
        <v>65</v>
      </c>
      <c r="H109" s="6" t="s">
        <v>28</v>
      </c>
    </row>
    <row r="110" customFormat="false" ht="15" hidden="false" customHeight="false" outlineLevel="0" collapsed="false">
      <c r="A110" s="0" t="s">
        <v>264</v>
      </c>
      <c r="B110" s="0" t="s">
        <v>265</v>
      </c>
      <c r="C110" s="0" t="s">
        <v>33</v>
      </c>
      <c r="E110" s="7" t="n">
        <v>0.2</v>
      </c>
      <c r="G110" s="8" t="s">
        <v>65</v>
      </c>
      <c r="H110" s="6" t="s">
        <v>28</v>
      </c>
    </row>
    <row r="111" customFormat="false" ht="15" hidden="false" customHeight="false" outlineLevel="0" collapsed="false">
      <c r="A111" s="0" t="s">
        <v>266</v>
      </c>
      <c r="B111" s="0" t="s">
        <v>267</v>
      </c>
      <c r="C111" s="0" t="s">
        <v>33</v>
      </c>
      <c r="D111" s="7" t="n">
        <v>0.4</v>
      </c>
      <c r="E111" s="7" t="n">
        <v>0.6</v>
      </c>
      <c r="F111" s="7" t="n">
        <v>0.8</v>
      </c>
      <c r="G111" s="8" t="s">
        <v>34</v>
      </c>
      <c r="H111" s="6" t="s">
        <v>268</v>
      </c>
    </row>
    <row r="112" customFormat="false" ht="15" hidden="false" customHeight="false" outlineLevel="0" collapsed="false">
      <c r="A112" s="1" t="s">
        <v>269</v>
      </c>
    </row>
    <row r="113" customFormat="false" ht="15" hidden="false" customHeight="false" outlineLevel="0" collapsed="false">
      <c r="A113" s="0" t="s">
        <v>270</v>
      </c>
      <c r="B113" s="0" t="s">
        <v>271</v>
      </c>
      <c r="C113" s="0" t="s">
        <v>33</v>
      </c>
      <c r="D113" s="7" t="n">
        <v>0.3</v>
      </c>
      <c r="E113" s="7" t="n">
        <v>0.5</v>
      </c>
      <c r="F113" s="7" t="n">
        <v>0.7</v>
      </c>
      <c r="G113" s="8" t="s">
        <v>34</v>
      </c>
      <c r="H113" s="6" t="s">
        <v>272</v>
      </c>
    </row>
    <row r="114" customFormat="false" ht="15" hidden="false" customHeight="false" outlineLevel="0" collapsed="false">
      <c r="A114" s="0" t="s">
        <v>273</v>
      </c>
      <c r="B114" s="0" t="s">
        <v>274</v>
      </c>
      <c r="C114" s="0" t="s">
        <v>33</v>
      </c>
      <c r="D114" s="7" t="n">
        <v>0.35</v>
      </c>
      <c r="E114" s="7" t="n">
        <v>0.45</v>
      </c>
      <c r="F114" s="7" t="n">
        <v>0.55</v>
      </c>
      <c r="G114" s="8" t="s">
        <v>65</v>
      </c>
      <c r="H114" s="8" t="s">
        <v>275</v>
      </c>
    </row>
    <row r="115" customFormat="false" ht="15" hidden="false" customHeight="false" outlineLevel="0" collapsed="false">
      <c r="A115" s="0" t="s">
        <v>276</v>
      </c>
      <c r="B115" s="0" t="s">
        <v>277</v>
      </c>
      <c r="C115" s="0" t="s">
        <v>33</v>
      </c>
      <c r="D115" s="7" t="n">
        <v>0.1</v>
      </c>
      <c r="E115" s="7" t="n">
        <v>0.2</v>
      </c>
      <c r="F115" s="7" t="n">
        <v>0.3</v>
      </c>
      <c r="G115" s="8" t="s">
        <v>34</v>
      </c>
    </row>
    <row r="116" customFormat="false" ht="15" hidden="false" customHeight="false" outlineLevel="0" collapsed="false">
      <c r="A116" s="0" t="s">
        <v>278</v>
      </c>
      <c r="B116" s="0" t="s">
        <v>279</v>
      </c>
      <c r="C116" s="0" t="s">
        <v>33</v>
      </c>
      <c r="D116" s="7" t="n">
        <v>0.3</v>
      </c>
      <c r="E116" s="7" t="n">
        <v>0.5</v>
      </c>
      <c r="F116" s="7" t="n">
        <v>0.7</v>
      </c>
      <c r="G116" s="8" t="s">
        <v>34</v>
      </c>
      <c r="H116" s="8" t="s">
        <v>280</v>
      </c>
    </row>
    <row r="117" customFormat="false" ht="15" hidden="false" customHeight="false" outlineLevel="0" collapsed="false">
      <c r="A117" s="0" t="s">
        <v>281</v>
      </c>
      <c r="B117" s="0" t="s">
        <v>282</v>
      </c>
      <c r="C117" s="0" t="s">
        <v>33</v>
      </c>
      <c r="D117" s="7" t="n">
        <v>0.2</v>
      </c>
      <c r="E117" s="7" t="n">
        <v>0.28</v>
      </c>
      <c r="F117" s="7" t="n">
        <v>0.35</v>
      </c>
      <c r="G117" s="8" t="s">
        <v>34</v>
      </c>
      <c r="H117" s="6" t="s">
        <v>283</v>
      </c>
    </row>
    <row r="118" customFormat="false" ht="15" hidden="false" customHeight="false" outlineLevel="0" collapsed="false">
      <c r="A118" s="0" t="s">
        <v>284</v>
      </c>
      <c r="B118" s="0" t="s">
        <v>285</v>
      </c>
      <c r="C118" s="0" t="s">
        <v>33</v>
      </c>
      <c r="D118" s="7" t="n">
        <v>0.1</v>
      </c>
      <c r="E118" s="7" t="n">
        <v>0.3</v>
      </c>
      <c r="F118" s="7" t="n">
        <v>0.5</v>
      </c>
      <c r="G118" s="8" t="s">
        <v>34</v>
      </c>
    </row>
    <row r="119" customFormat="false" ht="15" hidden="false" customHeight="false" outlineLevel="0" collapsed="false">
      <c r="A119" s="0" t="s">
        <v>286</v>
      </c>
      <c r="B119" s="0" t="s">
        <v>287</v>
      </c>
      <c r="C119" s="0" t="s">
        <v>33</v>
      </c>
      <c r="D119" s="7" t="n">
        <v>0.05</v>
      </c>
      <c r="E119" s="7" t="n">
        <v>0.1</v>
      </c>
      <c r="F119" s="7" t="n">
        <v>0.15</v>
      </c>
      <c r="G119" s="8" t="s">
        <v>34</v>
      </c>
    </row>
    <row r="120" customFormat="false" ht="15" hidden="false" customHeight="false" outlineLevel="0" collapsed="false">
      <c r="A120" s="0" t="s">
        <v>288</v>
      </c>
      <c r="B120" s="0" t="s">
        <v>289</v>
      </c>
      <c r="C120" s="0" t="s">
        <v>290</v>
      </c>
      <c r="D120" s="7" t="n">
        <v>68</v>
      </c>
      <c r="E120" s="7" t="n">
        <v>74</v>
      </c>
      <c r="F120" s="7" t="n">
        <v>80</v>
      </c>
      <c r="G120" s="8" t="s">
        <v>291</v>
      </c>
      <c r="H120" s="8" t="s">
        <v>292</v>
      </c>
    </row>
    <row r="121" customFormat="false" ht="15" hidden="false" customHeight="false" outlineLevel="0" collapsed="false">
      <c r="A121" s="0" t="s">
        <v>293</v>
      </c>
      <c r="B121" s="0" t="s">
        <v>294</v>
      </c>
      <c r="C121" s="0" t="s">
        <v>290</v>
      </c>
      <c r="D121" s="7" t="n">
        <v>16</v>
      </c>
      <c r="E121" s="7" t="n">
        <v>17.6</v>
      </c>
      <c r="F121" s="7" t="n">
        <v>20</v>
      </c>
      <c r="G121" s="8" t="s">
        <v>105</v>
      </c>
      <c r="H121" s="8" t="s">
        <v>295</v>
      </c>
    </row>
    <row r="122" customFormat="false" ht="15" hidden="false" customHeight="false" outlineLevel="0" collapsed="false">
      <c r="A122" s="0" t="s">
        <v>296</v>
      </c>
      <c r="B122" s="0" t="s">
        <v>297</v>
      </c>
      <c r="C122" s="0" t="s">
        <v>290</v>
      </c>
      <c r="E122" s="7" t="n">
        <v>26</v>
      </c>
      <c r="G122" s="8" t="s">
        <v>24</v>
      </c>
      <c r="H122" s="8" t="s">
        <v>298</v>
      </c>
    </row>
    <row r="123" customFormat="false" ht="15" hidden="false" customHeight="false" outlineLevel="0" collapsed="false">
      <c r="A123" s="0" t="s">
        <v>299</v>
      </c>
      <c r="B123" s="6" t="s">
        <v>300</v>
      </c>
      <c r="C123" s="0" t="s">
        <v>33</v>
      </c>
      <c r="E123" s="7" t="n">
        <v>0.13</v>
      </c>
      <c r="G123" s="8" t="s">
        <v>24</v>
      </c>
      <c r="H123" s="8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0" t="s">
        <v>302</v>
      </c>
    </row>
    <row r="3" customFormat="false" ht="15" hidden="false" customHeight="false" outlineLevel="0" collapsed="false">
      <c r="A3" s="5" t="s">
        <v>303</v>
      </c>
      <c r="B3" s="9" t="s">
        <v>304</v>
      </c>
      <c r="C3" s="9" t="s">
        <v>305</v>
      </c>
      <c r="D3" s="9" t="s">
        <v>306</v>
      </c>
      <c r="E3" s="9" t="s">
        <v>307</v>
      </c>
      <c r="F3" s="5" t="s">
        <v>308</v>
      </c>
    </row>
    <row r="4" customFormat="false" ht="15" hidden="false" customHeight="false" outlineLevel="0" collapsed="false">
      <c r="A4" s="0" t="s">
        <v>309</v>
      </c>
      <c r="B4" s="10" t="n">
        <f aca="false">u_bw_26</f>
        <v>5.4</v>
      </c>
      <c r="C4" s="10" t="n">
        <f aca="false">u_bw_27</f>
        <v>2.4</v>
      </c>
      <c r="D4" s="10" t="n">
        <f aca="false">u_bw_28</f>
        <v>0.5</v>
      </c>
      <c r="E4" s="10" t="n">
        <f aca="false">D4*(1+g29_bw)</f>
        <v>0.25</v>
      </c>
      <c r="F4" s="8" t="s">
        <v>310</v>
      </c>
    </row>
    <row r="5" customFormat="false" ht="15" hidden="false" customHeight="false" outlineLevel="0" collapsed="false">
      <c r="A5" s="0" t="s">
        <v>311</v>
      </c>
      <c r="B5" s="10" t="n">
        <f aca="false">u_rb_26</f>
        <v>1.7</v>
      </c>
      <c r="C5" s="10" t="n">
        <f aca="false">u_rb_27</f>
        <v>7</v>
      </c>
      <c r="D5" s="10" t="n">
        <f aca="false">u_rb_28</f>
        <v>7</v>
      </c>
      <c r="E5" s="10" t="n">
        <f aca="false">D5*(1+g29_rb)</f>
        <v>8.05</v>
      </c>
      <c r="F5" s="8" t="s">
        <v>312</v>
      </c>
    </row>
    <row r="6" customFormat="false" ht="15" hidden="false" customHeight="false" outlineLevel="0" collapsed="false">
      <c r="A6" s="0" t="s">
        <v>313</v>
      </c>
      <c r="B6" s="10" t="n">
        <f aca="false">u_ru_26</f>
        <v>0</v>
      </c>
      <c r="C6" s="10" t="n">
        <f aca="false">u_ru_27</f>
        <v>0.3</v>
      </c>
      <c r="D6" s="10" t="n">
        <f aca="false">u_ru_28</f>
        <v>2</v>
      </c>
      <c r="E6" s="10" t="n">
        <f aca="false">D6*(1+g29_ru)</f>
        <v>2.3</v>
      </c>
      <c r="F6" s="8" t="s">
        <v>314</v>
      </c>
    </row>
    <row r="7" customFormat="false" ht="15" hidden="false" customHeight="false" outlineLevel="0" collapsed="false">
      <c r="A7" s="0" t="s">
        <v>315</v>
      </c>
      <c r="B7" s="10" t="n">
        <f aca="false">u_hp_26</f>
        <v>0.5</v>
      </c>
      <c r="C7" s="10" t="n">
        <f aca="false">u_hp_27</f>
        <v>0</v>
      </c>
      <c r="D7" s="10" t="n">
        <f aca="false">u_hp_28</f>
        <v>0</v>
      </c>
      <c r="E7" s="10" t="n">
        <f aca="false">D7*(1+g29_hp)</f>
        <v>0</v>
      </c>
      <c r="F7" s="8" t="s">
        <v>316</v>
      </c>
    </row>
    <row r="8" customFormat="false" ht="15" hidden="false" customHeight="false" outlineLevel="0" collapsed="false">
      <c r="A8" s="0" t="s">
        <v>317</v>
      </c>
      <c r="B8" s="10" t="n">
        <f aca="false">u_amd_26</f>
        <v>0.75</v>
      </c>
      <c r="C8" s="10" t="n">
        <f aca="false">u_amd_27</f>
        <v>1.5</v>
      </c>
      <c r="D8" s="10" t="n">
        <f aca="false">u_amd_28</f>
        <v>2</v>
      </c>
      <c r="E8" s="10" t="n">
        <f aca="false">D8*(1+g29_amd)</f>
        <v>2.3</v>
      </c>
      <c r="F8" s="8" t="s">
        <v>318</v>
      </c>
    </row>
    <row r="9" customFormat="false" ht="15" hidden="false" customHeight="false" outlineLevel="0" collapsed="false">
      <c r="A9" s="0" t="s">
        <v>319</v>
      </c>
      <c r="B9" s="10" t="n">
        <f aca="false">u_tpu_26</f>
        <v>3.85</v>
      </c>
      <c r="C9" s="10" t="n">
        <f aca="false">u_tpu_27</f>
        <v>5.5</v>
      </c>
      <c r="D9" s="10" t="n">
        <f aca="false">u_tpu_28</f>
        <v>7</v>
      </c>
      <c r="E9" s="10" t="n">
        <f aca="false">D9*(1+g29_tpu)</f>
        <v>8.05</v>
      </c>
      <c r="F9" s="8" t="s">
        <v>320</v>
      </c>
    </row>
    <row r="10" customFormat="false" ht="15" hidden="false" customHeight="false" outlineLevel="0" collapsed="false">
      <c r="A10" s="0" t="s">
        <v>321</v>
      </c>
      <c r="B10" s="10" t="n">
        <f aca="false">u_trn_26</f>
        <v>2</v>
      </c>
      <c r="C10" s="10" t="n">
        <f aca="false">u_trn_27</f>
        <v>2.5</v>
      </c>
      <c r="D10" s="10" t="n">
        <f aca="false">u_trn_28</f>
        <v>3</v>
      </c>
      <c r="E10" s="10" t="n">
        <f aca="false">D10*(1+g29_trn)</f>
        <v>3.45</v>
      </c>
      <c r="F10" s="8" t="s">
        <v>322</v>
      </c>
    </row>
    <row r="11" customFormat="false" ht="14.9" hidden="false" customHeight="false" outlineLevel="0" collapsed="false">
      <c r="A11" s="6" t="s">
        <v>323</v>
      </c>
      <c r="B11" s="10" t="n">
        <f aca="false">u_oth_26</f>
        <v>1</v>
      </c>
      <c r="C11" s="10" t="n">
        <f aca="false">u_oth_27</f>
        <v>4.5</v>
      </c>
      <c r="D11" s="10" t="n">
        <f aca="false">u_oth_28</f>
        <v>5</v>
      </c>
      <c r="E11" s="10" t="n">
        <f aca="false">D11*(1+g29_oth)</f>
        <v>5.75</v>
      </c>
      <c r="F11" s="8" t="s">
        <v>324</v>
      </c>
    </row>
    <row r="12" customFormat="false" ht="15" hidden="false" customHeight="false" outlineLevel="0" collapsed="false">
      <c r="A12" s="4" t="s">
        <v>325</v>
      </c>
      <c r="B12" s="11" t="n">
        <f aca="false">SUM(B4:B11)</f>
        <v>15.2</v>
      </c>
      <c r="C12" s="11" t="n">
        <f aca="false">SUM(C4:C11)</f>
        <v>23.7</v>
      </c>
      <c r="D12" s="11" t="n">
        <f aca="false">SUM(D4:D11)</f>
        <v>26.5</v>
      </c>
      <c r="E12" s="11" t="n">
        <f aca="false">SUM(E4:E11)</f>
        <v>30.15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3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0" t="s">
        <v>326</v>
      </c>
    </row>
    <row r="3" customFormat="false" ht="15" hidden="false" customHeight="false" outlineLevel="0" collapsed="false">
      <c r="A3" s="5" t="s">
        <v>13</v>
      </c>
      <c r="B3" s="5" t="s">
        <v>14</v>
      </c>
      <c r="C3" s="9" t="s">
        <v>304</v>
      </c>
      <c r="D3" s="9" t="s">
        <v>305</v>
      </c>
      <c r="E3" s="9" t="s">
        <v>306</v>
      </c>
      <c r="F3" s="9" t="s">
        <v>307</v>
      </c>
      <c r="G3" s="5" t="s">
        <v>327</v>
      </c>
    </row>
    <row r="4" customFormat="false" ht="15" hidden="false" customHeight="false" outlineLevel="0" collapsed="false">
      <c r="A4" s="4" t="s">
        <v>328</v>
      </c>
    </row>
    <row r="5" customFormat="false" ht="15" hidden="false" customHeight="false" outlineLevel="0" collapsed="false">
      <c r="A5" s="2" t="s">
        <v>329</v>
      </c>
      <c r="B5" s="8" t="s">
        <v>290</v>
      </c>
      <c r="C5" s="11" t="n">
        <f aca="false">(Units!B4*c_GB_su_sw+Units!B5*c_VR_su_sw+Units!B6*c_RU_su_sw+Units!B7*c_HP_su_sw+Units!B8*c_AMD8_su_sw+Units!B9*c_TPU_su_sw+Units!B10*c_TRN_su_sw+Units!B11*c_ASIC_su_sw)/1000</f>
        <v>18.2761</v>
      </c>
      <c r="D5" s="11" t="n">
        <f aca="false">(Units!C4*c_GB_su_sw+Units!C5*c_VR_su_sw+Units!C6*c_RU_su_sw+Units!C7*c_HP_su_sw+Units!C8*c_AMDR_su_sw+Units!C9*c_TPU_su_sw+Units!C10*c_TRN_su_sw+Units!C11*c_ASIC_su_sw)/1000</f>
        <v>37.4157</v>
      </c>
      <c r="E5" s="11" t="n">
        <f aca="false">(Units!D4*c_GB_su_sw+Units!D5*c_VR_su_sw+Units!D6*c_RU_su_sw+Units!D7*c_HP_su_sw+Units!D8*c_AMDR_su_sw+Units!D9*c_TPU_su_sw+Units!D10*c_TRN_su_sw+Units!D11*c_ASIC_su_sw)/1000</f>
        <v>44.9835</v>
      </c>
      <c r="F5" s="11" t="n">
        <f aca="false">(Units!E4*c_GB_su_sw+Units!E5*c_VR_su_sw+Units!E6*c_RU_su_sw+Units!E7*c_HP_su_sw+Units!E8*c_AMDR_su_sw+Units!E9*c_TPU_su_sw+Units!E10*c_TRN_su_sw+Units!E11*c_ASIC_su_sw)/1000</f>
        <v>51.2458</v>
      </c>
    </row>
    <row r="6" customFormat="false" ht="15" hidden="false" customHeight="false" outlineLevel="0" collapsed="false">
      <c r="A6" s="2" t="s">
        <v>330</v>
      </c>
      <c r="B6" s="8" t="s">
        <v>290</v>
      </c>
      <c r="C6" s="11" t="n">
        <f aca="false">(Units!B4*c_GB_su_ic+Units!B5*c_VR_su_ic+Units!B6*c_RU_su_ic+Units!B7*c_HP_su_ic+Units!B8*c_AMD8_su_ic+Units!B9*c_TPU_su_ic+Units!B10*c_TRN_su_ic+Units!B11*c_ASIC_su_ic)/1000</f>
        <v>20.1661</v>
      </c>
      <c r="D6" s="11" t="n">
        <f aca="false">(Units!C4*c_GB_su_ic+Units!C5*c_VR_su_ic+Units!C6*c_RU_su_ic+Units!C7*c_HP_su_ic+Units!C8*c_AMDR_su_ic+Units!C9*c_TPU_su_ic+Units!C10*c_TRN_su_ic+Units!C11*c_ASIC_su_ic)/1000</f>
        <v>41.0157</v>
      </c>
      <c r="E6" s="11" t="n">
        <f aca="false">(Units!D4*c_GB_su_ic+Units!D5*c_VR_su_ic+Units!D6*c_RU_su_ic+Units!D7*c_HP_su_ic+Units!D8*c_AMDR_su_ic+Units!D9*c_TPU_su_ic+Units!D10*c_TRN_su_ic+Units!D11*c_ASIC_su_ic)/1000</f>
        <v>49.3835</v>
      </c>
      <c r="F6" s="11" t="n">
        <f aca="false">(Units!E4*c_GB_su_ic+Units!E5*c_VR_su_ic+Units!E6*c_RU_su_ic+Units!E7*c_HP_su_ic+Units!E8*c_AMDR_su_ic+Units!E9*c_TPU_su_ic+Units!E10*c_TRN_su_ic+Units!E11*c_ASIC_su_ic)/1000</f>
        <v>56.3058</v>
      </c>
    </row>
    <row r="7" customFormat="false" ht="15" hidden="false" customHeight="false" outlineLevel="0" collapsed="false">
      <c r="A7" s="2" t="s">
        <v>331</v>
      </c>
      <c r="B7" s="8" t="s">
        <v>290</v>
      </c>
      <c r="C7" s="11" t="n">
        <f aca="false">(Units!B4*c_GB_so_sw+Units!B5*c_VR_so_sw+Units!B6*c_RU_so_sw+Units!B7*c_HP_so_sw+Units!B8*c_AMD8_so_sw+Units!B9*c_TPU_so_sw+Units!B10*c_TRN_so_sw+Units!B11*c_ASIC_so_sw)/1000</f>
        <v>32.0719</v>
      </c>
      <c r="D7" s="11" t="n">
        <f aca="false">(Units!C4*c_GB_so_sw+Units!C5*c_VR_so_sw+Units!C6*c_RU_so_sw+Units!C7*c_HP_so_sw+Units!C8*c_AMDR_so_sw+Units!C9*c_TPU_so_sw+Units!C10*c_TRN_so_sw+Units!C11*c_ASIC_so_sw)/1000</f>
        <v>61.085</v>
      </c>
      <c r="E7" s="11" t="n">
        <f aca="false">(Units!D4*c_GB_so_sw+Units!D5*c_VR_so_sw+Units!D6*c_RU_so_sw+Units!D7*c_HP_so_sw+Units!D8*c_AMDR_so_sw+Units!D9*c_TPU_so_sw+Units!D10*c_TRN_so_sw+Units!D11*c_ASIC_so_sw)/1000</f>
        <v>69.005</v>
      </c>
      <c r="F7" s="11" t="n">
        <f aca="false">(Units!E4*c_GB_so_sw+Units!E5*c_VR_so_sw+Units!E6*c_RU_so_sw+Units!E7*c_HP_so_sw+Units!E8*c_AMDR_so_sw+Units!E9*c_TPU_so_sw+Units!E10*c_TRN_so_sw+Units!E11*c_ASIC_so_sw)/1000</f>
        <v>78.48215</v>
      </c>
    </row>
    <row r="8" customFormat="false" ht="15" hidden="false" customHeight="false" outlineLevel="0" collapsed="false">
      <c r="A8" s="2" t="s">
        <v>332</v>
      </c>
      <c r="B8" s="8" t="s">
        <v>290</v>
      </c>
      <c r="C8" s="11" t="n">
        <f aca="false">(Units!B4*c_GB_so_opt+Units!B5*c_VR_so_opt+Units!B6*c_RU_so_opt+Units!B7*c_HP_so_opt+Units!B8*c_AMD8_so_opt+Units!B9*c_TPU_so_opt+Units!B10*c_TRN_so_opt+Units!B11*c_ASIC_so_opt)/1000</f>
        <v>30.0538</v>
      </c>
      <c r="D8" s="11" t="n">
        <f aca="false">(Units!C4*c_GB_so_opt+Units!C5*c_VR_so_opt+Units!C6*c_RU_so_opt+Units!C7*c_HP_so_opt+Units!C8*c_AMDR_so_opt+Units!C9*c_TPU_so_opt+Units!C10*c_TRN_so_opt+Units!C11*c_ASIC_so_opt)/1000</f>
        <v>56.3797</v>
      </c>
      <c r="E8" s="11" t="n">
        <f aca="false">(Units!D4*c_GB_so_opt+Units!D5*c_VR_so_opt+Units!D6*c_RU_so_opt+Units!D7*c_HP_so_opt+Units!D8*c_AMDR_so_opt+Units!D9*c_TPU_so_opt+Units!D10*c_TRN_so_opt+Units!D11*c_ASIC_so_opt)/1000</f>
        <v>64.435</v>
      </c>
      <c r="F8" s="11" t="n">
        <f aca="false">(Units!E4*c_GB_so_opt+Units!E5*c_VR_so_opt+Units!E6*c_RU_so_opt+Units!E7*c_HP_so_opt+Units!E8*c_AMDR_so_opt+Units!E9*c_TPU_so_opt+Units!E10*c_TRN_so_opt+Units!E11*c_ASIC_so_opt)/1000</f>
        <v>73.421</v>
      </c>
    </row>
    <row r="9" customFormat="false" ht="15" hidden="false" customHeight="false" outlineLevel="0" collapsed="false">
      <c r="A9" s="2" t="s">
        <v>333</v>
      </c>
      <c r="B9" s="8" t="s">
        <v>290</v>
      </c>
      <c r="C9" s="11" t="n">
        <f aca="false">(Units!B4*c_GB_so_cu+Units!B5*c_VR_so_cu+Units!B6*c_RU_so_cu+Units!B7*c_HP_so_cu+Units!B8*c_AMD8_so_cu+Units!B9*c_TPU_so_cu+Units!B10*c_TRN_so_cu+Units!B11*c_ASIC_so_cu)/1000</f>
        <v>13.8758</v>
      </c>
      <c r="D9" s="11" t="n">
        <f aca="false">(Units!C4*c_GB_so_cu+Units!C5*c_VR_so_cu+Units!C6*c_RU_so_cu+Units!C7*c_HP_so_cu+Units!C8*c_AMDR_so_cu+Units!C9*c_TPU_so_cu+Units!C10*c_TRN_so_cu+Units!C11*c_ASIC_so_cu)/1000</f>
        <v>26.4567</v>
      </c>
      <c r="E9" s="11" t="n">
        <f aca="false">(Units!D4*c_GB_so_cu+Units!D5*c_VR_so_cu+Units!D6*c_RU_so_cu+Units!D7*c_HP_so_cu+Units!D8*c_AMDR_so_cu+Units!D9*c_TPU_so_cu+Units!D10*c_TRN_so_cu+Units!D11*c_ASIC_so_cu)/1000</f>
        <v>29.8375</v>
      </c>
      <c r="F9" s="11" t="n">
        <f aca="false">(Units!E4*c_GB_so_cu+Units!E5*c_VR_so_cu+Units!E6*c_RU_so_cu+Units!E7*c_HP_so_cu+Units!E8*c_AMDR_so_cu+Units!E9*c_TPU_so_cu+Units!E10*c_TRN_so_cu+Units!E11*c_ASIC_so_cu)/1000</f>
        <v>33.92475</v>
      </c>
    </row>
    <row r="10" customFormat="false" ht="15" hidden="false" customHeight="false" outlineLevel="0" collapsed="false">
      <c r="A10" s="3" t="s">
        <v>334</v>
      </c>
      <c r="B10" s="8" t="s">
        <v>290</v>
      </c>
      <c r="C10" s="11" t="n">
        <f aca="false">(Units!B4*c_GB_nic+Units!B5*c_VR_nic+Units!B6*c_RU_nic+Units!B7*c_HP_nic+Units!B8*c_AMD8_nic+Units!B9*c_TPU_nic+Units!B10*c_TRN_nic+Units!B11*c_ASIC_nic)/1000</f>
        <v>31.0096</v>
      </c>
      <c r="D10" s="11" t="n">
        <f aca="false">(Units!C4*c_GB_nic+Units!C5*c_VR_nic+Units!C6*c_RU_nic+Units!C7*c_HP_nic+Units!C8*c_AMDR_nic+Units!C9*c_TPU_nic+Units!C10*c_TRN_nic+Units!C11*c_ASIC_nic)/1000</f>
        <v>70.0976</v>
      </c>
      <c r="E10" s="11" t="n">
        <f aca="false">(Units!D4*c_GB_nic+Units!D5*c_VR_nic+Units!D6*c_RU_nic+Units!D7*c_HP_nic+Units!D8*c_AMDR_nic+Units!D9*c_TPU_nic+Units!D10*c_TRN_nic+Units!D11*c_ASIC_nic)/1000</f>
        <v>80.712</v>
      </c>
      <c r="F10" s="11" t="n">
        <f aca="false">(Units!E4*c_GB_nic+Units!E5*c_VR_nic+Units!E6*c_RU_nic+Units!E7*c_HP_nic+Units!E8*c_AMDR_nic+Units!E9*c_TPU_nic+Units!E10*c_TRN_nic+Units!E11*c_ASIC_nic)/1000</f>
        <v>91.966</v>
      </c>
    </row>
    <row r="11" customFormat="false" ht="15" hidden="false" customHeight="false" outlineLevel="0" collapsed="false">
      <c r="A11" s="1" t="s">
        <v>335</v>
      </c>
      <c r="B11" s="8" t="s">
        <v>290</v>
      </c>
      <c r="C11" s="11" t="n">
        <f aca="false">SUM(C5:C10)</f>
        <v>145.4533</v>
      </c>
      <c r="D11" s="11" t="n">
        <f aca="false">SUM(D5:D10)</f>
        <v>292.4504</v>
      </c>
      <c r="E11" s="11" t="n">
        <f aca="false">SUM(E5:E10)</f>
        <v>338.3565</v>
      </c>
      <c r="F11" s="11" t="n">
        <f aca="false">SUM(F5:F10)</f>
        <v>385.3455</v>
      </c>
    </row>
    <row r="12" customFormat="false" ht="15" hidden="false" customHeight="false" outlineLevel="0" collapsed="false">
      <c r="A12" s="3" t="s">
        <v>336</v>
      </c>
      <c r="B12" s="8" t="s">
        <v>33</v>
      </c>
      <c r="D12" s="12" t="n">
        <f aca="false">D11/C11-1</f>
        <v>1.01061371587994</v>
      </c>
      <c r="E12" s="12" t="n">
        <f aca="false">E11/D11-1</f>
        <v>0.156970549535921</v>
      </c>
      <c r="F12" s="12" t="n">
        <f aca="false">F11/E11-1</f>
        <v>0.138874234719889</v>
      </c>
    </row>
    <row r="13" customFormat="false" ht="15" hidden="false" customHeight="false" outlineLevel="0" collapsed="false">
      <c r="A13" s="2" t="s">
        <v>337</v>
      </c>
      <c r="B13" s="8" t="s">
        <v>33</v>
      </c>
      <c r="C13" s="12" t="n">
        <f aca="false">(C5+C6)/C11</f>
        <v>0.264292388003572</v>
      </c>
      <c r="D13" s="12" t="n">
        <f aca="false">(D5+D6)/D11</f>
        <v>0.268187015644362</v>
      </c>
      <c r="E13" s="12" t="n">
        <f aca="false">(E5+E6)/E11</f>
        <v>0.278898144412772</v>
      </c>
      <c r="F13" s="12" t="n">
        <f aca="false">(F5+F6)/F11</f>
        <v>0.279104336238518</v>
      </c>
      <c r="G13" s="6" t="s">
        <v>338</v>
      </c>
    </row>
    <row r="14" customFormat="false" ht="15" hidden="false" customHeight="false" outlineLevel="0" collapsed="false">
      <c r="A14" s="2" t="s">
        <v>339</v>
      </c>
      <c r="B14" s="8" t="s">
        <v>33</v>
      </c>
      <c r="C14" s="12" t="n">
        <f aca="false">1-C13</f>
        <v>0.735707611996428</v>
      </c>
      <c r="D14" s="12" t="n">
        <f aca="false">1-D13</f>
        <v>0.731812984355638</v>
      </c>
      <c r="E14" s="12" t="n">
        <f aca="false">1-E13</f>
        <v>0.721101855587228</v>
      </c>
      <c r="F14" s="12" t="n">
        <f aca="false">1-F13</f>
        <v>0.720895663761482</v>
      </c>
    </row>
    <row r="16" customFormat="false" ht="15" hidden="false" customHeight="false" outlineLevel="0" collapsed="false">
      <c r="A16" s="4" t="s">
        <v>340</v>
      </c>
    </row>
    <row r="17" customFormat="false" ht="15" hidden="false" customHeight="false" outlineLevel="0" collapsed="false">
      <c r="A17" s="3" t="s">
        <v>341</v>
      </c>
      <c r="B17" s="8" t="s">
        <v>290</v>
      </c>
      <c r="C17" s="11" t="n">
        <f aca="false">C5+C7</f>
        <v>50.348</v>
      </c>
      <c r="D17" s="11" t="n">
        <f aca="false">D5+D7</f>
        <v>98.5007</v>
      </c>
      <c r="E17" s="11" t="n">
        <f aca="false">E5+E7</f>
        <v>113.9885</v>
      </c>
      <c r="F17" s="11" t="n">
        <f aca="false">F5+F7</f>
        <v>129.72795</v>
      </c>
    </row>
    <row r="18" customFormat="false" ht="15" hidden="false" customHeight="false" outlineLevel="0" collapsed="false">
      <c r="A18" s="3" t="s">
        <v>342</v>
      </c>
      <c r="B18" s="8" t="s">
        <v>290</v>
      </c>
      <c r="C18" s="11" t="n">
        <f aca="false">C8+C6*suopt_26</f>
        <v>30.0538</v>
      </c>
      <c r="D18" s="11" t="n">
        <f aca="false">D8+D6*suopt_27</f>
        <v>56.3797</v>
      </c>
      <c r="E18" s="11" t="n">
        <f aca="false">E8+E6*suopt_28</f>
        <v>64.435</v>
      </c>
      <c r="F18" s="11" t="n">
        <f aca="false">F8+F6*suopt_29</f>
        <v>84.68216</v>
      </c>
    </row>
    <row r="19" customFormat="false" ht="15" hidden="false" customHeight="false" outlineLevel="0" collapsed="false">
      <c r="A19" s="3" t="s">
        <v>343</v>
      </c>
      <c r="B19" s="8" t="s">
        <v>290</v>
      </c>
      <c r="C19" s="11" t="n">
        <f aca="false">C8*cpo_26</f>
        <v>0.300538</v>
      </c>
      <c r="D19" s="11" t="n">
        <f aca="false">D8*cpo_27</f>
        <v>1.691391</v>
      </c>
      <c r="E19" s="11" t="n">
        <f aca="false">E8*cpo_28</f>
        <v>3.22175</v>
      </c>
      <c r="F19" s="11" t="n">
        <f aca="false">F8*cpo_29</f>
        <v>5.87368</v>
      </c>
    </row>
    <row r="20" customFormat="false" ht="15" hidden="false" customHeight="false" outlineLevel="0" collapsed="false">
      <c r="A20" s="3" t="s">
        <v>344</v>
      </c>
      <c r="B20" s="8" t="s">
        <v>290</v>
      </c>
      <c r="C20" s="11" t="n">
        <f aca="false">C18-C19</f>
        <v>29.753262</v>
      </c>
      <c r="D20" s="11" t="n">
        <f aca="false">D18-D19</f>
        <v>54.688309</v>
      </c>
      <c r="E20" s="11" t="n">
        <f aca="false">E18-E19</f>
        <v>61.21325</v>
      </c>
      <c r="F20" s="11" t="n">
        <f aca="false">F18-F19</f>
        <v>78.80848</v>
      </c>
    </row>
    <row r="21" customFormat="false" ht="15" hidden="false" customHeight="false" outlineLevel="0" collapsed="false">
      <c r="A21" s="3" t="s">
        <v>345</v>
      </c>
      <c r="B21" s="8" t="s">
        <v>290</v>
      </c>
      <c r="C21" s="11" t="n">
        <f aca="false">C9+C6*(1-suopt_26)*su_cu</f>
        <v>25.97546</v>
      </c>
      <c r="D21" s="11" t="n">
        <f aca="false">D9+D6*(1-suopt_27)*su_cu</f>
        <v>51.06612</v>
      </c>
      <c r="E21" s="11" t="n">
        <f aca="false">E9+E6*(1-suopt_28)*su_cu</f>
        <v>59.4676</v>
      </c>
      <c r="F21" s="11" t="n">
        <f aca="false">F9+F6*(1-suopt_29)*su_cu</f>
        <v>60.951534</v>
      </c>
    </row>
    <row r="22" customFormat="false" ht="15" hidden="false" customHeight="false" outlineLevel="0" collapsed="false">
      <c r="A22" s="3" t="s">
        <v>346</v>
      </c>
      <c r="B22" s="8" t="s">
        <v>290</v>
      </c>
      <c r="C22" s="11" t="n">
        <f aca="false">C6*(1-suopt_26)*(1-su_cu)</f>
        <v>8.06644</v>
      </c>
      <c r="D22" s="11" t="n">
        <f aca="false">D6*(1-suopt_27)*(1-su_cu)</f>
        <v>16.40628</v>
      </c>
      <c r="E22" s="11" t="n">
        <f aca="false">E6*(1-suopt_28)*(1-su_cu)</f>
        <v>19.7534</v>
      </c>
      <c r="F22" s="11" t="n">
        <f aca="false">F6*(1-suopt_29)*(1-su_cu)</f>
        <v>18.017856</v>
      </c>
    </row>
    <row r="23" customFormat="false" ht="15" hidden="false" customHeight="false" outlineLevel="0" collapsed="false">
      <c r="A23" s="3" t="s">
        <v>347</v>
      </c>
      <c r="B23" s="8" t="s">
        <v>290</v>
      </c>
      <c r="C23" s="11" t="n">
        <f aca="false">C10</f>
        <v>31.0096</v>
      </c>
      <c r="D23" s="11" t="n">
        <f aca="false">D10</f>
        <v>70.0976</v>
      </c>
      <c r="E23" s="11" t="n">
        <f aca="false">E10</f>
        <v>80.712</v>
      </c>
      <c r="F23" s="11" t="n">
        <f aca="false">F10</f>
        <v>91.966</v>
      </c>
    </row>
    <row r="24" customFormat="false" ht="15" hidden="false" customHeight="false" outlineLevel="0" collapsed="false">
      <c r="A24" s="3" t="s">
        <v>348</v>
      </c>
      <c r="B24" s="8" t="s">
        <v>290</v>
      </c>
      <c r="C24" s="13" t="n">
        <f aca="false">C17+C18+C21+C22+C23-C11</f>
        <v>0</v>
      </c>
      <c r="D24" s="13" t="n">
        <f aca="false">D17+D18+D21+D22+D23-D11</f>
        <v>0</v>
      </c>
      <c r="E24" s="13" t="n">
        <f aca="false">E17+E18+E21+E22+E23-E11</f>
        <v>0</v>
      </c>
      <c r="F24" s="13" t="n">
        <f aca="false">F17+F18+F21+F22+F23-F11</f>
        <v>0</v>
      </c>
    </row>
    <row r="26" customFormat="false" ht="15" hidden="false" customHeight="false" outlineLevel="0" collapsed="false">
      <c r="A26" s="4" t="s">
        <v>349</v>
      </c>
    </row>
    <row r="27" customFormat="false" ht="15" hidden="false" customHeight="false" outlineLevel="0" collapsed="false">
      <c r="A27" s="2" t="s">
        <v>350</v>
      </c>
      <c r="B27" s="8" t="s">
        <v>290</v>
      </c>
      <c r="C27" s="11" t="n">
        <f aca="false">(Units!B4*it_GB+Units!B5*it_VR+Units!B6*it_RU+Units!B7*it_HP+Units!B8*it_AMD8+Units!B9*it_TPU+Units!B10*it_TRN+Units!B11*it_ASIC)</f>
        <v>781.872916666667</v>
      </c>
      <c r="D27" s="11" t="n">
        <f aca="false">(Units!C4*it_GB+Units!C5*it_VR+Units!C6*it_RU+Units!C7*it_HP+Units!C8*it_AMDR+Units!C9*it_TPU+Units!C10*it_TRN+Units!C11*it_ASIC)</f>
        <v>1565.35</v>
      </c>
      <c r="E27" s="11" t="n">
        <f aca="false">(Units!D4*it_GB+Units!D5*it_VR+Units!D6*it_RU+Units!D7*it_HP+Units!D8*it_AMDR+Units!D9*it_TPU+Units!D10*it_TRN+Units!D11*it_ASIC)</f>
        <v>1984.26388888889</v>
      </c>
      <c r="F27" s="11" t="n">
        <f aca="false">(Units!E4*it_GB+Units!E5*it_VR+Units!E6*it_RU+Units!E7*it_HP+Units!E8*it_AMDR+Units!E9*it_TPU+Units!E10*it_TRN+Units!E11*it_ASIC)</f>
        <v>2260.39027777778</v>
      </c>
      <c r="G27" s="6" t="s">
        <v>351</v>
      </c>
    </row>
    <row r="28" customFormat="false" ht="15" hidden="false" customHeight="false" outlineLevel="0" collapsed="false">
      <c r="A28" s="3" t="s">
        <v>352</v>
      </c>
      <c r="B28" s="8" t="s">
        <v>33</v>
      </c>
      <c r="C28" s="14" t="n">
        <f aca="false">C11/C27</f>
        <v>0.186031894569397</v>
      </c>
      <c r="D28" s="14" t="n">
        <f aca="false">D11/D27</f>
        <v>0.186827482671607</v>
      </c>
      <c r="E28" s="14" t="n">
        <f aca="false">E11/E27</f>
        <v>0.170519910126201</v>
      </c>
      <c r="F28" s="14" t="n">
        <f aca="false">F11/F27</f>
        <v>0.170477418783998</v>
      </c>
      <c r="G28" s="6" t="s">
        <v>353</v>
      </c>
    </row>
    <row r="29" customFormat="false" ht="15" hidden="false" customHeight="false" outlineLevel="0" collapsed="false">
      <c r="A29" s="2" t="s">
        <v>354</v>
      </c>
      <c r="B29" s="8" t="s">
        <v>33</v>
      </c>
      <c r="C29" s="14" t="n">
        <f aca="false">((Units!B4*c_GB_su_sw+Units!B5*c_VR_su_sw+Units!B6*c_RU_su_sw+Units!B7*c_HP_su_sw)/1000+(Units!B4*c_GB_su_ic+Units!B5*c_VR_su_ic+Units!B6*c_RU_su_ic+Units!B7*c_HP_su_ic)/1000+(Units!B4*c_GB_so_sw+Units!B5*c_VR_so_sw+Units!B6*c_RU_so_sw+Units!B7*c_HP_so_sw)/1000+(Units!B4*c_GB_so_opt+Units!B5*c_VR_so_opt+Units!B6*c_RU_so_opt+Units!B7*c_HP_so_opt)/1000+(Units!B4*c_GB_so_cu+Units!B5*c_VR_so_cu+Units!B6*c_RU_so_cu+Units!B7*c_HP_so_cu)/1000+(Units!B4*c_GB_nic+Units!B5*c_VR_nic+Units!B6*c_RU_nic+Units!B7*c_HP_nic)/1000)/(Units!B4*it_GB+Units!B5*it_VR+Units!B6*it_RU+Units!B7*it_HP)</f>
        <v>0.181664098160539</v>
      </c>
      <c r="D29" s="14" t="n">
        <f aca="false">((Units!C4*c_GB_su_sw+Units!C5*c_VR_su_sw+Units!C6*c_RU_su_sw+Units!C7*c_HP_su_sw)/1000+(Units!C4*c_GB_su_ic+Units!C5*c_VR_su_ic+Units!C6*c_RU_su_ic+Units!C7*c_HP_su_ic)/1000+(Units!C4*c_GB_so_sw+Units!C5*c_VR_so_sw+Units!C6*c_RU_so_sw+Units!C7*c_HP_so_sw)/1000+(Units!C4*c_GB_so_opt+Units!C5*c_VR_so_opt+Units!C6*c_RU_so_opt+Units!C7*c_HP_so_opt)/1000+(Units!C4*c_GB_so_cu+Units!C5*c_VR_so_cu+Units!C6*c_RU_so_cu+Units!C7*c_HP_so_cu)/1000+(Units!C4*c_GB_nic+Units!C5*c_VR_nic+Units!C6*c_RU_nic+Units!C7*c_HP_nic)/1000)/(Units!C4*it_GB+Units!C5*it_VR+Units!C6*it_RU+Units!C7*it_HP)</f>
        <v>0.182401810431955</v>
      </c>
      <c r="E29" s="14" t="n">
        <f aca="false">((Units!D4*c_GB_su_sw+Units!D5*c_VR_su_sw+Units!D6*c_RU_su_sw+Units!D7*c_HP_su_sw)/1000+(Units!D4*c_GB_su_ic+Units!D5*c_VR_su_ic+Units!D6*c_RU_su_ic+Units!D7*c_HP_su_ic)/1000+(Units!D4*c_GB_so_sw+Units!D5*c_VR_so_sw+Units!D6*c_RU_so_sw+Units!D7*c_HP_so_sw)/1000+(Units!D4*c_GB_so_opt+Units!D5*c_VR_so_opt+Units!D6*c_RU_so_opt+Units!D7*c_HP_so_opt)/1000+(Units!D4*c_GB_so_cu+Units!D5*c_VR_so_cu+Units!D6*c_RU_so_cu+Units!D7*c_HP_so_cu)/1000+(Units!D4*c_GB_nic+Units!D5*c_VR_nic+Units!D6*c_RU_nic+Units!D7*c_HP_nic)/1000)/(Units!D4*it_GB+Units!D5*it_VR+Units!D6*it_RU+Units!D7*it_HP)</f>
        <v>0.160185113132146</v>
      </c>
      <c r="F29" s="14" t="n">
        <f aca="false">((Units!E4*c_GB_su_sw+Units!E5*c_VR_su_sw+Units!E6*c_RU_su_sw+Units!E7*c_HP_su_sw)/1000+(Units!E4*c_GB_su_ic+Units!E5*c_VR_su_ic+Units!E6*c_RU_su_ic+Units!E7*c_HP_su_ic)/1000+(Units!E4*c_GB_so_sw+Units!E5*c_VR_so_sw+Units!E6*c_RU_so_sw+Units!E7*c_HP_so_sw)/1000+(Units!E4*c_GB_so_opt+Units!E5*c_VR_so_opt+Units!E6*c_RU_so_opt+Units!E7*c_HP_so_opt)/1000+(Units!E4*c_GB_so_cu+Units!E5*c_VR_so_cu+Units!E6*c_RU_so_cu+Units!E7*c_HP_so_cu)/1000+(Units!E4*c_GB_nic+Units!E5*c_VR_nic+Units!E6*c_RU_nic+Units!E7*c_HP_nic)/1000)/(Units!E4*it_GB+Units!E5*it_VR+Units!E6*it_RU+Units!E7*it_HP)</f>
        <v>0.159991584641972</v>
      </c>
    </row>
    <row r="31" customFormat="false" ht="15" hidden="false" customHeight="false" outlineLevel="0" collapsed="false">
      <c r="A31" s="4" t="s">
        <v>355</v>
      </c>
    </row>
    <row r="32" customFormat="false" ht="15" hidden="false" customHeight="false" outlineLevel="0" collapsed="false">
      <c r="A32" s="2" t="s">
        <v>356</v>
      </c>
      <c r="B32" s="8" t="s">
        <v>290</v>
      </c>
      <c r="C32" s="11" t="n">
        <f aca="false">(Units!B4*c_GB_su_sw+Units!B5*c_VR_su_sw+Units!B6*c_RU_su_sw+Units!B7*c_HP_su_sw)/1000+nv_su_ic*(Units!B4*c_GB_su_ic+Units!B5*c_VR_su_ic+Units!B6*c_RU_su_ic+Units!B7*c_HP_su_ic)/1000+nv_so_sw*(Units!B4*c_GB_so_sw+Units!B5*c_VR_so_sw+Units!B6*c_RU_so_sw+Units!B7*c_HP_so_sw)/1000+(Units!B4*c_GB_nic+Units!B5*c_VR_nic+Units!B6*c_RU_nic+Units!B7*c_HP_nic)/1000+nv_opt*(Units!B4*c_GB_so_opt+Units!B5*c_VR_so_opt+Units!B6*c_RU_so_opt+Units!B7*c_HP_so_opt)/1000</f>
        <v>61.733865</v>
      </c>
      <c r="D32" s="11" t="n">
        <f aca="false">(Units!C4*c_GB_su_sw+Units!C5*c_VR_su_sw+Units!C6*c_RU_su_sw+Units!C7*c_HP_su_sw)/1000+nv_su_ic*(Units!C4*c_GB_su_ic+Units!C5*c_VR_su_ic+Units!C6*c_RU_su_ic+Units!C7*c_HP_su_ic)/1000+nv_so_sw*(Units!C4*c_GB_so_sw+Units!C5*c_VR_so_sw+Units!C6*c_RU_so_sw+Units!C7*c_HP_so_sw)/1000+(Units!C4*c_GB_nic+Units!C5*c_VR_nic+Units!C6*c_RU_nic+Units!C7*c_HP_nic)/1000+nv_opt*(Units!C4*c_GB_so_opt+Units!C5*c_VR_so_opt+Units!C6*c_RU_so_opt+Units!C7*c_HP_so_opt)/1000</f>
        <v>122.488065</v>
      </c>
      <c r="E32" s="11" t="n">
        <f aca="false">(Units!D4*c_GB_su_sw+Units!D5*c_VR_su_sw+Units!D6*c_RU_su_sw+Units!D7*c_HP_su_sw)/1000+nv_su_ic*(Units!D4*c_GB_su_ic+Units!D5*c_VR_su_ic+Units!D6*c_RU_su_ic+Units!D7*c_HP_su_ic)/1000+nv_so_sw*(Units!D4*c_GB_so_sw+Units!D5*c_VR_so_sw+Units!D6*c_RU_so_sw+Units!D7*c_HP_so_sw)/1000+(Units!D4*c_GB_nic+Units!D5*c_VR_nic+Units!D6*c_RU_nic+Units!D7*c_HP_nic)/1000+nv_opt*(Units!D4*c_GB_so_opt+Units!D5*c_VR_so_opt+Units!D6*c_RU_so_opt+Units!D7*c_HP_so_opt)/1000</f>
        <v>138.6168</v>
      </c>
      <c r="F32" s="11" t="n">
        <f aca="false">(Units!E4*c_GB_su_sw+Units!E5*c_VR_su_sw+Units!E6*c_RU_su_sw+Units!E7*c_HP_su_sw)/1000+nv_su_ic*(Units!E4*c_GB_su_ic+Units!E5*c_VR_su_ic+Units!E6*c_RU_su_ic+Units!E7*c_HP_su_ic)/1000+nv_so_sw*(Units!E4*c_GB_so_sw+Units!E5*c_VR_so_sw+Units!E6*c_RU_so_sw+Units!E7*c_HP_so_sw)/1000+(Units!E4*c_GB_nic+Units!E5*c_VR_nic+Units!E6*c_RU_nic+Units!E7*c_HP_nic)/1000+nv_opt*(Units!E4*c_GB_so_opt+Units!E5*c_VR_so_opt+Units!E6*c_RU_so_opt+Units!E7*c_HP_so_opt)/1000</f>
        <v>157.2997125</v>
      </c>
    </row>
    <row r="33" customFormat="false" ht="15" hidden="false" customHeight="false" outlineLevel="0" collapsed="false">
      <c r="A33" s="3" t="s">
        <v>357</v>
      </c>
      <c r="B33" s="8" t="s">
        <v>290</v>
      </c>
      <c r="C33" s="11" t="n">
        <f aca="false">rep_nv26</f>
        <v>74</v>
      </c>
    </row>
    <row r="34" customFormat="false" ht="15" hidden="false" customHeight="false" outlineLevel="0" collapsed="false">
      <c r="A34" s="3" t="s">
        <v>358</v>
      </c>
      <c r="B34" s="8" t="s">
        <v>33</v>
      </c>
      <c r="C34" s="12" t="n">
        <f aca="false">C32/C33-1</f>
        <v>-0.165758581081081</v>
      </c>
    </row>
    <row r="35" customFormat="false" ht="15" hidden="false" customHeight="false" outlineLevel="0" collapsed="false">
      <c r="A35" s="2" t="s">
        <v>359</v>
      </c>
      <c r="B35" s="8" t="s">
        <v>290</v>
      </c>
      <c r="C35" s="11" t="n">
        <f aca="false">avgo_su*(Units!B8*c_AMD8_su_sw+Units!B9*c_TPU_su_sw+Units!B10*c_TRN_su_sw+Units!B11*c_ASIC_su_sw)/1000+avgo_so*((1-nv_so_sw)*(Units!B4*c_GB_so_sw+Units!B5*c_VR_so_sw+Units!B6*c_RU_so_sw+Units!B7*c_HP_so_sw)/1000+(Units!B8*c_AMD8_so_sw+Units!B9*c_TPU_so_sw+Units!B10*c_TRN_so_sw+Units!B11*c_ASIC_so_sw)/1000)+avgo_nic*(Units!B8*c_AMD8_nic+Units!B9*c_TPU_nic+Units!B10*c_TRN_nic+Units!B11*c_ASIC_nic)/1000+avgo_opt*C18</f>
        <v>12.6075726</v>
      </c>
      <c r="D35" s="11" t="n">
        <f aca="false">avgo_su*(Units!C8*c_AMDR_su_sw+Units!C9*c_TPU_su_sw+Units!C10*c_TRN_su_sw+Units!C11*c_ASIC_su_sw)/1000+avgo_so*((1-nv_so_sw)*(Units!C4*c_GB_so_sw+Units!C5*c_VR_so_sw+Units!C6*c_RU_so_sw+Units!C7*c_HP_so_sw)/1000+(Units!C8*c_AMDR_so_sw+Units!C9*c_TPU_so_sw+Units!C10*c_TRN_so_sw+Units!C11*c_ASIC_so_sw)/1000)+avgo_nic*(Units!C8*c_AMDR_nic+Units!C9*c_TPU_nic+Units!C10*c_TRN_nic+Units!C11*c_ASIC_nic)/1000+avgo_opt*D18</f>
        <v>26.959549</v>
      </c>
      <c r="E35" s="11" t="n">
        <f aca="false">avgo_su*(Units!D8*c_AMDR_su_sw+Units!D9*c_TPU_su_sw+Units!D10*c_TRN_su_sw+Units!D11*c_ASIC_su_sw)/1000+avgo_so*((1-nv_so_sw)*(Units!D4*c_GB_so_sw+Units!D5*c_VR_so_sw+Units!D6*c_RU_so_sw+Units!D7*c_HP_so_sw)/1000+(Units!D8*c_AMDR_so_sw+Units!D9*c_TPU_so_sw+Units!D10*c_TRN_so_sw+Units!D11*c_ASIC_so_sw)/1000)+avgo_nic*(Units!D8*c_AMDR_nic+Units!D9*c_TPU_nic+Units!D10*c_TRN_nic+Units!D11*c_ASIC_nic)/1000+avgo_opt*E18</f>
        <v>32.094922</v>
      </c>
      <c r="F35" s="11" t="n">
        <f aca="false">avgo_su*(Units!E8*c_AMDR_su_sw+Units!E9*c_TPU_su_sw+Units!E10*c_TRN_su_sw+Units!E11*c_ASIC_su_sw)/1000+avgo_so*((1-nv_so_sw)*(Units!E4*c_GB_so_sw+Units!E5*c_VR_so_sw+Units!E6*c_RU_so_sw+Units!E7*c_HP_so_sw)/1000+(Units!E8*c_AMDR_so_sw+Units!E9*c_TPU_so_sw+Units!E10*c_TRN_so_sw+Units!E11*c_ASIC_so_sw)/1000)+avgo_nic*(Units!E8*c_AMDR_nic+Units!E9*c_TPU_nic+Units!E10*c_TRN_nic+Units!E11*c_ASIC_nic)/1000+avgo_opt*F18</f>
        <v>37.8328169</v>
      </c>
    </row>
    <row r="36" customFormat="false" ht="15" hidden="false" customHeight="false" outlineLevel="0" collapsed="false">
      <c r="A36" s="3" t="s">
        <v>360</v>
      </c>
      <c r="B36" s="8" t="s">
        <v>290</v>
      </c>
      <c r="C36" s="11" t="n">
        <f aca="false">rep_avgo26</f>
        <v>17.6</v>
      </c>
    </row>
    <row r="37" customFormat="false" ht="15" hidden="false" customHeight="false" outlineLevel="0" collapsed="false">
      <c r="A37" s="3" t="s">
        <v>358</v>
      </c>
      <c r="B37" s="8" t="s">
        <v>33</v>
      </c>
      <c r="C37" s="12" t="n">
        <f aca="false">C35/C36-1</f>
        <v>-0.283660647727273</v>
      </c>
    </row>
    <row r="38" customFormat="false" ht="15" hidden="false" customHeight="false" outlineLevel="0" collapsed="false">
      <c r="A38" s="2" t="s">
        <v>361</v>
      </c>
      <c r="B38" s="8" t="s">
        <v>33</v>
      </c>
      <c r="C38" s="12" t="n">
        <f aca="false">(C32+C35)/C11</f>
        <v>0.511101759808818</v>
      </c>
      <c r="D38" s="12" t="n">
        <f aca="false">(D32+D35)/D11</f>
        <v>0.511018668464806</v>
      </c>
      <c r="E38" s="12" t="n">
        <f aca="false">(E32+E35)/E11</f>
        <v>0.504532119229275</v>
      </c>
      <c r="F38" s="12" t="n">
        <f aca="false">(F32+F35)/F11</f>
        <v>0.506383309004517</v>
      </c>
      <c r="G38" s="6" t="s">
        <v>362</v>
      </c>
    </row>
    <row r="39" customFormat="false" ht="14.9" hidden="false" customHeight="false" outlineLevel="0" collapsed="false">
      <c r="A39" s="3" t="s">
        <v>363</v>
      </c>
      <c r="B39" s="8" t="s">
        <v>290</v>
      </c>
      <c r="C39" s="11" t="n">
        <f aca="false">C18</f>
        <v>30.0538</v>
      </c>
      <c r="D39" s="11" t="n">
        <f aca="false">rep_opt26</f>
        <v>26</v>
      </c>
      <c r="G39" s="8" t="s">
        <v>364</v>
      </c>
    </row>
    <row r="40" customFormat="false" ht="15" hidden="false" customHeight="false" outlineLevel="0" collapsed="false">
      <c r="A40" s="3" t="s">
        <v>358</v>
      </c>
      <c r="B40" s="8" t="s">
        <v>33</v>
      </c>
      <c r="C40" s="12" t="n">
        <f aca="false">C39/D39-1</f>
        <v>0.155915384615385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0" t="s">
        <v>365</v>
      </c>
    </row>
    <row r="3" customFormat="false" ht="15" hidden="false" customHeight="false" outlineLevel="0" collapsed="false">
      <c r="A3" s="5" t="s">
        <v>366</v>
      </c>
      <c r="B3" s="9" t="s">
        <v>367</v>
      </c>
      <c r="C3" s="5" t="s">
        <v>368</v>
      </c>
      <c r="D3" s="5" t="s">
        <v>327</v>
      </c>
    </row>
    <row r="4" customFormat="false" ht="15" hidden="false" customHeight="false" outlineLevel="0" collapsed="false">
      <c r="A4" s="6" t="s">
        <v>16</v>
      </c>
      <c r="B4" s="11" t="n">
        <f aca="false">Mkt!D11</f>
        <v>292.4504</v>
      </c>
      <c r="C4" s="12" t="n">
        <f aca="false">B4/B$4-1</f>
        <v>0</v>
      </c>
    </row>
    <row r="5" customFormat="false" ht="15" hidden="false" customHeight="false" outlineLevel="0" collapsed="false">
      <c r="A5" s="0" t="s">
        <v>369</v>
      </c>
      <c r="B5" s="11" t="n">
        <f aca="false">Mkt!D11-0.3*u_rb_27*(c_VR_su_sw+c_VR_su_ic+c_VR_so_sw+c_VR_so_opt+c_VR_so_cu+c_VR_nic)/1000</f>
        <v>240.9941</v>
      </c>
      <c r="C5" s="12" t="n">
        <f aca="false">B5/B$4-1</f>
        <v>-0.175948810464954</v>
      </c>
      <c r="D5" s="8" t="s">
        <v>370</v>
      </c>
    </row>
    <row r="6" customFormat="false" ht="15" hidden="false" customHeight="false" outlineLevel="0" collapsed="false">
      <c r="A6" s="0" t="s">
        <v>371</v>
      </c>
      <c r="B6" s="11" t="n">
        <f aca="false">Mkt!D11+0.3*u_rb_27*(c_VR_su_sw+c_VR_su_ic+c_VR_so_sw+c_VR_so_opt+c_VR_so_cu+c_VR_nic)/1000</f>
        <v>343.9067</v>
      </c>
      <c r="C6" s="12" t="n">
        <f aca="false">B6/B$4-1</f>
        <v>0.175948810464954</v>
      </c>
    </row>
    <row r="7" customFormat="false" ht="15" hidden="false" customHeight="false" outlineLevel="0" collapsed="false">
      <c r="A7" s="0" t="s">
        <v>372</v>
      </c>
      <c r="B7" s="11" t="n">
        <f aca="false">Mkt!D11-0.2*u_rb_27*(c_VR_su_sw+c_VR_su_ic+c_VR_so_sw+c_VR_so_opt+c_VR_so_cu+c_VR_nic)/1000</f>
        <v>258.1462</v>
      </c>
      <c r="C7" s="12" t="n">
        <f aca="false">B7/B$4-1</f>
        <v>-0.117299206976636</v>
      </c>
    </row>
    <row r="8" customFormat="false" ht="15" hidden="false" customHeight="false" outlineLevel="0" collapsed="false">
      <c r="A8" s="0" t="s">
        <v>373</v>
      </c>
      <c r="B8" s="11" t="n">
        <f aca="false">Mkt!D11+0.2*u_rb_27*(c_VR_su_sw+c_VR_su_ic+c_VR_so_sw+c_VR_so_opt+c_VR_so_cu+c_VR_nic)/1000</f>
        <v>326.7546</v>
      </c>
      <c r="C8" s="12" t="n">
        <f aca="false">B8/B$4-1</f>
        <v>0.117299206976636</v>
      </c>
    </row>
    <row r="9" customFormat="false" ht="15" hidden="false" customHeight="false" outlineLevel="0" collapsed="false">
      <c r="A9" s="0" t="s">
        <v>374</v>
      </c>
      <c r="B9" s="11" t="n">
        <f aca="false">Mkt!D11+(Units!C9*(c_TPU_su_sw+c_TPU_su_ic+c_TPU_so_sw+c_TPU_so_opt+c_TPU_so_cu+c_TPU_nic)+Units!C10*(c_TRN_su_sw+c_TRN_su_ic+c_TRN_so_sw+c_TRN_so_opt+c_TRN_so_cu+c_TRN_nic)+Units!C11*(c_ASIC_su_sw+c_ASIC_su_ic+c_ASIC_so_sw+c_ASIC_so_opt+c_ASIC_so_cu+c_ASIC_nic))/1000</f>
        <v>347.9504</v>
      </c>
      <c r="C9" s="12" t="n">
        <f aca="false">B9/B$4-1</f>
        <v>0.189775770523822</v>
      </c>
      <c r="D9" s="8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4" t="s">
        <v>376</v>
      </c>
    </row>
    <row r="2" customFormat="false" ht="14.9" hidden="false" customHeight="false" outlineLevel="0" collapsed="false">
      <c r="A2" s="0" t="s">
        <v>377</v>
      </c>
      <c r="B2" s="6" t="s">
        <v>378</v>
      </c>
    </row>
    <row r="3" customFormat="false" ht="14.9" hidden="false" customHeight="false" outlineLevel="0" collapsed="false">
      <c r="A3" s="0" t="s">
        <v>379</v>
      </c>
      <c r="B3" s="6" t="s">
        <v>378</v>
      </c>
    </row>
    <row r="4" customFormat="false" ht="15" hidden="false" customHeight="false" outlineLevel="0" collapsed="false">
      <c r="A4" s="0" t="s">
        <v>380</v>
      </c>
      <c r="B4" s="0" t="s">
        <v>381</v>
      </c>
    </row>
    <row r="5" customFormat="false" ht="15" hidden="false" customHeight="false" outlineLevel="0" collapsed="false">
      <c r="A5" s="0" t="s">
        <v>382</v>
      </c>
      <c r="B5" s="0" t="s">
        <v>383</v>
      </c>
    </row>
    <row r="6" customFormat="false" ht="15" hidden="false" customHeight="false" outlineLevel="0" collapsed="false">
      <c r="A6" s="0" t="s">
        <v>384</v>
      </c>
      <c r="B6" s="0" t="s">
        <v>385</v>
      </c>
    </row>
    <row r="7" customFormat="false" ht="15" hidden="false" customHeight="false" outlineLevel="0" collapsed="false">
      <c r="A7" s="0" t="s">
        <v>386</v>
      </c>
      <c r="B7" s="0" t="s">
        <v>387</v>
      </c>
    </row>
    <row r="8" customFormat="false" ht="15" hidden="false" customHeight="false" outlineLevel="0" collapsed="false">
      <c r="A8" s="0" t="s">
        <v>388</v>
      </c>
      <c r="B8" s="0" t="s">
        <v>389</v>
      </c>
    </row>
    <row r="9" customFormat="false" ht="15" hidden="false" customHeight="false" outlineLevel="0" collapsed="false">
      <c r="A9" s="0" t="s">
        <v>390</v>
      </c>
      <c r="B9" s="0" t="s">
        <v>391</v>
      </c>
    </row>
    <row r="10" customFormat="false" ht="15" hidden="false" customHeight="false" outlineLevel="0" collapsed="false">
      <c r="A10" s="0" t="s">
        <v>392</v>
      </c>
      <c r="B10" s="0" t="s">
        <v>393</v>
      </c>
    </row>
    <row r="11" customFormat="false" ht="15" hidden="false" customHeight="false" outlineLevel="0" collapsed="false">
      <c r="A11" s="0" t="s">
        <v>394</v>
      </c>
      <c r="B11" s="0" t="s">
        <v>395</v>
      </c>
    </row>
    <row r="12" customFormat="false" ht="15" hidden="false" customHeight="false" outlineLevel="0" collapsed="false">
      <c r="A12" s="0" t="s">
        <v>396</v>
      </c>
      <c r="B12" s="0" t="s">
        <v>397</v>
      </c>
    </row>
    <row r="13" customFormat="false" ht="15" hidden="false" customHeight="false" outlineLevel="0" collapsed="false">
      <c r="A13" s="0" t="s">
        <v>398</v>
      </c>
      <c r="B13" s="0" t="s">
        <v>399</v>
      </c>
    </row>
    <row r="14" customFormat="false" ht="15" hidden="false" customHeight="false" outlineLevel="0" collapsed="false">
      <c r="A14" s="0" t="s">
        <v>400</v>
      </c>
      <c r="B14" s="0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2026-10-23T05:38:00Z</dcterms:created>
  <dc:creator>openpyxl</dc:creator>
  <dc:description/>
  <dc:language>en-US</dc:language>
  <cp:lastModifiedBy/>
  <dcterms:modified xsi:type="dcterms:W3CDTF">2026-10-23T05:38:00Z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