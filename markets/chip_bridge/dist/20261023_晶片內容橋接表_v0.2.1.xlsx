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Rack" sheetId="3" state="visible" r:id="rId5"/>
    <sheet name="Bridge" sheetId="4" state="visible" r:id="rId6"/>
    <sheet name="Sens" sheetId="5" state="visible" r:id="rId7"/>
    <sheet name="Requests" sheetId="6" state="visible" r:id="rId8"/>
    <sheet name="Sour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<sst xmlns="http://schemas.openxmlformats.org/spreadsheetml/2006/main" count="346" uniqueCount="308">
  <si>
    <r>
      <rPr>
        <b val="true"/>
        <sz val="11"/>
        <rFont val="WenQuanYi Zen Hei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WenQuanYi Zen Hei"/>
        <family val="2"/>
      </rPr>
      <t xml:space="preserve">晶片內容橋接表（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WenQuanYi Zen Hei"/>
        <family val="2"/>
      </rPr>
      <t xml:space="preserve">半導體專案 步驟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WenQuanYi Zen Hei"/>
        <family val="2"/>
      </rPr>
      <t xml:space="preserve">）</t>
    </r>
    <r>
      <rPr>
        <b val="true"/>
        <sz val="11"/>
        <rFont val="Cambria"/>
        <family val="0"/>
        <charset val="1"/>
      </rPr>
      <t xml:space="preserve">v0.2.1</t>
    </r>
    <r>
      <rPr>
        <b val="true"/>
        <sz val="11"/>
        <rFont val="WenQuanYi Zen Hei"/>
        <family val="2"/>
      </rPr>
      <t xml:space="preserve">　</t>
    </r>
    <r>
      <rPr>
        <b val="true"/>
        <sz val="11"/>
        <rFont val="Cambria"/>
        <family val="0"/>
        <charset val="1"/>
      </rPr>
      <t xml:space="preserve">2026-10-23</t>
    </r>
  </si>
  <si>
    <r>
      <rPr>
        <sz val="11"/>
        <rFont val="Cambria"/>
        <family val="0"/>
        <charset val="1"/>
      </rPr>
      <t xml:space="preserve">v0.2.1</t>
    </r>
    <r>
      <rPr>
        <sz val="11"/>
        <rFont val="WenQuanYi Zen Hei"/>
        <family val="2"/>
      </rPr>
      <t xml:space="preserve">：</t>
    </r>
    <r>
      <rPr>
        <sz val="11"/>
        <rFont val="Cambria"/>
        <family val="0"/>
        <charset val="1"/>
      </rPr>
      <t xml:space="preserve">Tokenomics </t>
    </r>
    <r>
      <rPr>
        <sz val="11"/>
        <rFont val="WenQuanYi Zen Hei"/>
        <family val="2"/>
      </rPr>
      <t xml:space="preserve">快照改 </t>
    </r>
    <r>
      <rPr>
        <sz val="11"/>
        <rFont val="Cambria"/>
        <family val="0"/>
        <charset val="1"/>
      </rPr>
      <t xml:space="preserve">v20.1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v19.0→v20.1 </t>
    </r>
    <r>
      <rPr>
        <sz val="11"/>
        <rFont val="WenQuanYi Zen Hei"/>
        <family val="2"/>
      </rPr>
      <t xml:space="preserve">為 </t>
    </r>
    <r>
      <rPr>
        <sz val="11"/>
        <rFont val="Cambria"/>
        <family val="0"/>
        <charset val="1"/>
      </rPr>
      <t xml:space="preserve">LifeSelf </t>
    </r>
    <r>
      <rPr>
        <sz val="11"/>
        <rFont val="WenQuanYi Zen Hei"/>
        <family val="2"/>
      </rPr>
      <t xml:space="preserve">主口徑與 </t>
    </r>
    <r>
      <rPr>
        <sz val="11"/>
        <rFont val="Cambria"/>
        <family val="0"/>
        <charset val="1"/>
      </rPr>
      <t xml:space="preserve">L1_PriceReqBE </t>
    </r>
    <r>
      <rPr>
        <sz val="11"/>
        <rFont val="WenQuanYi Zen Hei"/>
        <family val="2"/>
      </rPr>
      <t xml:space="preserve">的 </t>
    </r>
    <r>
      <rPr>
        <sz val="11"/>
        <rFont val="Cambria"/>
        <family val="0"/>
        <charset val="1"/>
      </rPr>
      <t xml:space="preserve">L </t>
    </r>
    <r>
      <rPr>
        <sz val="11"/>
        <rFont val="WenQuanYi Zen Hei"/>
        <family val="2"/>
      </rPr>
      <t xml:space="preserve">改動，與本表使用的名稱無關）；</t>
    </r>
    <r>
      <rPr>
        <sz val="11"/>
        <rFont val="Cambria"/>
        <family val="0"/>
        <charset val="1"/>
      </rPr>
      <t xml:space="preserve">IF_CapexIT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IF_CapexFacility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IF_CapexTotal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IF_GPUsPerGW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IF_RacksPerGW </t>
    </r>
    <r>
      <rPr>
        <sz val="11"/>
        <rFont val="WenQuanYi Zen Hei"/>
        <family val="2"/>
      </rPr>
      <t xml:space="preserve">逐值相同，只更新版本標籤與說明文字，數值不變。</t>
    </r>
  </si>
  <si>
    <r>
      <rPr>
        <sz val="11"/>
        <rFont val="WenQuanYi Zen Hei"/>
        <family val="2"/>
      </rPr>
      <t xml:space="preserve">模型命題：買方每投入 </t>
    </r>
    <r>
      <rPr>
        <sz val="11"/>
        <rFont val="Cambria"/>
        <family val="0"/>
        <charset val="1"/>
      </rPr>
      <t xml:space="preserve">1 GW </t>
    </r>
    <r>
      <rPr>
        <sz val="11"/>
        <rFont val="WenQuanYi Zen Hei"/>
        <family val="2"/>
      </rPr>
      <t xml:space="preserve">的資料中心資本支出，晶片內容（運算、</t>
    </r>
    <r>
      <rPr>
        <sz val="11"/>
        <rFont val="Cambria"/>
        <family val="0"/>
        <charset val="1"/>
      </rPr>
      <t xml:space="preserve">HBM</t>
    </r>
    <r>
      <rPr>
        <sz val="11"/>
        <rFont val="WenQuanYi Zen Hei"/>
        <family val="2"/>
      </rPr>
      <t xml:space="preserve">、非 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記憶體、網通晶片、代工）各分到多少，作為後續 </t>
    </r>
    <r>
      <rPr>
        <sz val="11"/>
        <rFont val="Cambria"/>
        <family val="0"/>
        <charset val="1"/>
      </rPr>
      <t xml:space="preserve">HBM</t>
    </r>
    <r>
      <rPr>
        <sz val="11"/>
        <rFont val="WenQuanYi Zen Hei"/>
        <family val="2"/>
      </rPr>
      <t xml:space="preserve">、網通、台積電模型的共同分母。</t>
    </r>
  </si>
  <si>
    <r>
      <rPr>
        <sz val="11"/>
        <rFont val="WenQuanYi Zen Hei"/>
        <family val="2"/>
      </rPr>
      <t xml:space="preserve">取數：</t>
    </r>
    <r>
      <rPr>
        <sz val="11"/>
        <rFont val="Cambria"/>
        <family val="0"/>
        <charset val="1"/>
      </rPr>
      <t xml:space="preserve">Tokenomics v20.1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repo YinchenChang/Tokenomics</t>
    </r>
    <r>
      <rPr>
        <sz val="11"/>
        <rFont val="WenQuanYi Zen Hei"/>
        <family val="2"/>
      </rPr>
      <t xml:space="preserve">，</t>
    </r>
    <r>
      <rPr>
        <sz val="11"/>
        <rFont val="Cambria"/>
        <family val="0"/>
        <charset val="1"/>
      </rPr>
      <t xml:space="preserve">model/20261023_Tokenomics_v20.1.xlsx</t>
    </r>
    <r>
      <rPr>
        <sz val="11"/>
        <rFont val="WenQuanYi Zen Hei"/>
        <family val="2"/>
      </rPr>
      <t xml:space="preserve">，</t>
    </r>
    <r>
      <rPr>
        <sz val="11"/>
        <rFont val="Cambria"/>
        <family val="0"/>
        <charset val="1"/>
      </rPr>
      <t xml:space="preserve">commit 4c4c27f</t>
    </r>
    <r>
      <rPr>
        <sz val="11"/>
        <rFont val="WenQuanYi Zen Hei"/>
        <family val="2"/>
      </rPr>
      <t xml:space="preserve">，</t>
    </r>
    <r>
      <rPr>
        <sz val="11"/>
        <rFont val="Cambria"/>
        <family val="0"/>
        <charset val="1"/>
      </rPr>
      <t xml:space="preserve">SHA-256 027fef9ebd3008d5cb7abdad911e4c2f0806bf1afb105f4a62e7b5b9826fd607</t>
    </r>
    <r>
      <rPr>
        <sz val="11"/>
        <rFont val="WenQuanYi Zen Hei"/>
        <family val="2"/>
      </rPr>
      <t xml:space="preserve">；五個 </t>
    </r>
    <r>
      <rPr>
        <sz val="11"/>
        <rFont val="Cambria"/>
        <family val="0"/>
        <charset val="1"/>
      </rPr>
      <t xml:space="preserve">IF_ </t>
    </r>
    <r>
      <rPr>
        <sz val="11"/>
        <rFont val="WenQuanYi Zen Hei"/>
        <family val="2"/>
      </rPr>
      <t xml:space="preserve">名稱的 </t>
    </r>
    <r>
      <rPr>
        <sz val="11"/>
        <rFont val="Cambria"/>
        <family val="0"/>
        <charset val="1"/>
      </rPr>
      <t xml:space="preserve">75 </t>
    </r>
    <r>
      <rPr>
        <sz val="11"/>
        <rFont val="WenQuanYi Zen Hei"/>
        <family val="2"/>
      </rPr>
      <t xml:space="preserve">個值〔</t>
    </r>
    <r>
      <rPr>
        <sz val="11"/>
        <rFont val="Cambria"/>
        <family val="0"/>
        <charset val="1"/>
      </rPr>
      <t xml:space="preserve">5 </t>
    </r>
    <r>
      <rPr>
        <sz val="11"/>
        <rFont val="WenQuanYi Zen Hei"/>
        <family val="2"/>
      </rPr>
      <t xml:space="preserve">名稱 </t>
    </r>
    <r>
      <rPr>
        <sz val="11"/>
        <rFont val="Cambria"/>
        <family val="0"/>
        <charset val="1"/>
      </rPr>
      <t xml:space="preserve">× 5 </t>
    </r>
    <r>
      <rPr>
        <sz val="11"/>
        <rFont val="WenQuanYi Zen Hei"/>
        <family val="2"/>
      </rPr>
      <t xml:space="preserve">世代 </t>
    </r>
    <r>
      <rPr>
        <sz val="11"/>
        <rFont val="Cambria"/>
        <family val="0"/>
        <charset val="1"/>
      </rPr>
      <t xml:space="preserve">× 3 </t>
    </r>
    <r>
      <rPr>
        <sz val="11"/>
        <rFont val="WenQuanYi Zen Hei"/>
        <family val="2"/>
      </rPr>
      <t xml:space="preserve">成本情境〕逐值與 </t>
    </r>
    <r>
      <rPr>
        <sz val="11"/>
        <rFont val="Cambria"/>
        <family val="0"/>
        <charset val="1"/>
      </rPr>
      <t xml:space="preserve">v19.0 </t>
    </r>
    <r>
      <rPr>
        <sz val="11"/>
        <rFont val="WenQuanYi Zen Hei"/>
        <family val="2"/>
      </rPr>
      <t xml:space="preserve">相同，</t>
    </r>
    <r>
      <rPr>
        <sz val="11"/>
        <rFont val="Cambria"/>
        <family val="0"/>
        <charset val="1"/>
      </rPr>
      <t xml:space="preserve">Spec_Rack E11:F13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Inputs D13:F14 </t>
    </r>
    <r>
      <rPr>
        <sz val="11"/>
        <rFont val="WenQuanYi Zen Hei"/>
        <family val="2"/>
      </rPr>
      <t xml:space="preserve">的抄錄值亦相同）。具名範圍：</t>
    </r>
    <r>
      <rPr>
        <sz val="11"/>
        <rFont val="Cambria"/>
        <family val="0"/>
        <charset val="1"/>
      </rPr>
      <t xml:space="preserve">IF_RacksPerGW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IF_GPUsPerGW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IF_CapexIT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IF_CapexFacility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IF_CapexTotal</t>
    </r>
    <r>
      <rPr>
        <sz val="11"/>
        <rFont val="WenQuanYi Zen Hei"/>
        <family val="2"/>
      </rPr>
      <t xml:space="preserve">；機架單價、</t>
    </r>
    <r>
      <rPr>
        <sz val="11"/>
        <rFont val="Cambria"/>
        <family val="0"/>
        <charset val="1"/>
      </rPr>
      <t xml:space="preserve">scale-out </t>
    </r>
    <r>
      <rPr>
        <sz val="11"/>
        <rFont val="WenQuanYi Zen Hei"/>
        <family val="2"/>
      </rPr>
      <t xml:space="preserve">比率、儲存 </t>
    </r>
    <r>
      <rPr>
        <sz val="11"/>
        <rFont val="Cambria"/>
        <family val="0"/>
        <charset val="1"/>
      </rPr>
      <t xml:space="preserve">$/GPU </t>
    </r>
    <r>
      <rPr>
        <sz val="11"/>
        <rFont val="WenQuanYi Zen Hei"/>
        <family val="2"/>
      </rPr>
      <t xml:space="preserve">不在 </t>
    </r>
    <r>
      <rPr>
        <sz val="11"/>
        <rFont val="Cambria"/>
        <family val="0"/>
        <charset val="1"/>
      </rPr>
      <t xml:space="preserve">Interface</t>
    </r>
    <r>
      <rPr>
        <sz val="11"/>
        <rFont val="WenQuanYi Zen Hei"/>
        <family val="2"/>
      </rPr>
      <t xml:space="preserve">，暫讀 </t>
    </r>
    <r>
      <rPr>
        <sz val="11"/>
        <rFont val="Cambria"/>
        <family val="0"/>
        <charset val="1"/>
      </rPr>
      <t xml:space="preserve">Spec_Rack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Inputs </t>
    </r>
    <r>
      <rPr>
        <sz val="11"/>
        <rFont val="WenQuanYi Zen Hei"/>
        <family val="2"/>
      </rPr>
      <t xml:space="preserve">原格（修改申請 </t>
    </r>
    <r>
      <rPr>
        <sz val="11"/>
        <rFont val="Cambria"/>
        <family val="0"/>
        <charset val="1"/>
      </rPr>
      <t xml:space="preserve">R1</t>
    </r>
    <r>
      <rPr>
        <sz val="11"/>
        <rFont val="WenQuanYi Zen Hei"/>
        <family val="2"/>
      </rPr>
      <t xml:space="preserve">）。</t>
    </r>
  </si>
  <si>
    <r>
      <rPr>
        <sz val="11"/>
        <rFont val="WenQuanYi Zen Hei"/>
        <family val="2"/>
      </rPr>
      <t xml:space="preserve">範圍：</t>
    </r>
    <r>
      <rPr>
        <sz val="11"/>
        <rFont val="Cambria"/>
        <family val="0"/>
        <charset val="1"/>
      </rPr>
      <t xml:space="preserve">NVIDIA GB300 NVL72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VR200 NVL72 </t>
    </r>
    <r>
      <rPr>
        <sz val="11"/>
        <rFont val="WenQuanYi Zen Hei"/>
        <family val="2"/>
      </rPr>
      <t xml:space="preserve">各一個代表性 </t>
    </r>
    <r>
      <rPr>
        <sz val="11"/>
        <rFont val="Cambria"/>
        <family val="0"/>
        <charset val="1"/>
      </rPr>
      <t xml:space="preserve">1 GW</t>
    </r>
    <r>
      <rPr>
        <sz val="11"/>
        <rFont val="WenQuanYi Zen Hei"/>
        <family val="2"/>
      </rPr>
      <t xml:space="preserve">；不含 </t>
    </r>
    <r>
      <rPr>
        <sz val="11"/>
        <rFont val="Cambria"/>
        <family val="0"/>
        <charset val="1"/>
      </rPr>
      <t xml:space="preserve">ASIC </t>
    </r>
    <r>
      <rPr>
        <sz val="11"/>
        <rFont val="WenQuanYi Zen Hei"/>
        <family val="2"/>
      </rPr>
      <t xml:space="preserve">與世代組合（屬步驟 </t>
    </r>
    <r>
      <rPr>
        <sz val="11"/>
        <rFont val="Cambria"/>
        <family val="0"/>
        <charset val="1"/>
      </rPr>
      <t xml:space="preserve">1 </t>
    </r>
    <r>
      <rPr>
        <sz val="11"/>
        <rFont val="WenQuanYi Zen Hei"/>
        <family val="2"/>
      </rPr>
      <t xml:space="preserve">加速器數量層）。</t>
    </r>
  </si>
  <si>
    <t xml:space="preserve">驅動因子 → 推導量（頁：輸入 → 推導 → 因果方向）</t>
  </si>
  <si>
    <r>
      <rPr>
        <sz val="11"/>
        <rFont val="Cambria"/>
        <family val="0"/>
        <charset val="1"/>
      </rPr>
      <t xml:space="preserve">In</t>
    </r>
    <r>
      <rPr>
        <sz val="11"/>
        <rFont val="WenQuanYi Zen Hei"/>
        <family val="2"/>
      </rPr>
      <t xml:space="preserve">：</t>
    </r>
    <r>
      <rPr>
        <sz val="11"/>
        <rFont val="Cambria"/>
        <family val="0"/>
        <charset val="1"/>
      </rPr>
      <t xml:space="preserve">Tokenomics </t>
    </r>
    <r>
      <rPr>
        <sz val="11"/>
        <rFont val="WenQuanYi Zen Hei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WenQuanYi Zen Hei"/>
        <family val="2"/>
      </rPr>
      <t xml:space="preserve">機架數、</t>
    </r>
    <r>
      <rPr>
        <sz val="11"/>
        <rFont val="Cambria"/>
        <family val="0"/>
        <charset val="1"/>
      </rPr>
      <t xml:space="preserve">GPU </t>
    </r>
    <r>
      <rPr>
        <sz val="11"/>
        <rFont val="WenQuanYi Zen Hei"/>
        <family val="2"/>
      </rPr>
      <t xml:space="preserve">數、</t>
    </r>
    <r>
      <rPr>
        <sz val="11"/>
        <rFont val="Cambria"/>
        <family val="0"/>
        <charset val="1"/>
      </rPr>
      <t xml:space="preserve">IT</t>
    </r>
    <r>
      <rPr>
        <sz val="11"/>
        <rFont val="WenQuanYi Zen Hei"/>
        <family val="2"/>
      </rPr>
      <t xml:space="preserve">／廠房 </t>
    </r>
    <r>
      <rPr>
        <sz val="11"/>
        <rFont val="Cambria"/>
        <family val="0"/>
        <charset val="1"/>
      </rPr>
      <t xml:space="preserve">capex</t>
    </r>
    <r>
      <rPr>
        <sz val="11"/>
        <rFont val="WenQuanYi Zen Hei"/>
        <family val="2"/>
      </rPr>
      <t xml:space="preserve">、機架價；機架內構件單價與數量 → 供 </t>
    </r>
    <r>
      <rPr>
        <sz val="11"/>
        <rFont val="Cambria"/>
        <family val="0"/>
        <charset val="1"/>
      </rPr>
      <t xml:space="preserve">Rack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Bridge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Sens </t>
    </r>
    <r>
      <rPr>
        <sz val="11"/>
        <rFont val="WenQuanYi Zen Hei"/>
        <family val="2"/>
      </rPr>
      <t xml:space="preserve">使用</t>
    </r>
  </si>
  <si>
    <r>
      <rPr>
        <sz val="11"/>
        <rFont val="Cambria"/>
        <family val="0"/>
        <charset val="1"/>
      </rPr>
      <t xml:space="preserve">Rack</t>
    </r>
    <r>
      <rPr>
        <sz val="11"/>
        <rFont val="WenQuanYi Zen Hei"/>
        <family val="2"/>
      </rPr>
      <t xml:space="preserve">：</t>
    </r>
    <r>
      <rPr>
        <sz val="11"/>
        <rFont val="Cambria"/>
        <family val="0"/>
        <charset val="1"/>
      </rPr>
      <t xml:space="preserve">GPU </t>
    </r>
    <r>
      <rPr>
        <sz val="11"/>
        <rFont val="WenQuanYi Zen Hei"/>
        <family val="2"/>
      </rPr>
      <t xml:space="preserve">售價、</t>
    </r>
    <r>
      <rPr>
        <sz val="11"/>
        <rFont val="Cambria"/>
        <family val="0"/>
        <charset val="1"/>
      </rPr>
      <t xml:space="preserve">HBM GB × $/GB</t>
    </r>
    <r>
      <rPr>
        <sz val="11"/>
        <rFont val="WenQuanYi Zen Hei"/>
        <family val="2"/>
      </rPr>
      <t xml:space="preserve">、台積電、其他製造 → </t>
    </r>
    <r>
      <rPr>
        <sz val="11"/>
        <rFont val="Cambria"/>
        <family val="0"/>
        <charset val="1"/>
      </rPr>
      <t xml:space="preserve">NVIDIA </t>
    </r>
    <r>
      <rPr>
        <sz val="11"/>
        <rFont val="WenQuanYi Zen Hei"/>
        <family val="2"/>
      </rPr>
      <t xml:space="preserve">晶片毛利（殘差）；機架價 − 各構件 → 匣級殘差。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價↑ → </t>
    </r>
    <r>
      <rPr>
        <sz val="11"/>
        <rFont val="Cambria"/>
        <family val="0"/>
        <charset val="1"/>
      </rPr>
      <t xml:space="preserve">NVIDIA </t>
    </r>
    <r>
      <rPr>
        <sz val="11"/>
        <rFont val="WenQuanYi Zen Hei"/>
        <family val="2"/>
      </rPr>
      <t xml:space="preserve">毛利↓（吸收）或 機架價↑（轉嫁）</t>
    </r>
  </si>
  <si>
    <r>
      <rPr>
        <sz val="11"/>
        <rFont val="Cambria"/>
        <family val="0"/>
        <charset val="1"/>
      </rPr>
      <t xml:space="preserve">Bridge</t>
    </r>
    <r>
      <rPr>
        <sz val="11"/>
        <rFont val="WenQuanYi Zen Hei"/>
        <family val="2"/>
      </rPr>
      <t xml:space="preserve">：每架金額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WenQuanYi Zen Hei"/>
        <family val="2"/>
      </rPr>
      <t xml:space="preserve">機架數 → 每 </t>
    </r>
    <r>
      <rPr>
        <sz val="11"/>
        <rFont val="Cambria"/>
        <family val="0"/>
        <charset val="1"/>
      </rPr>
      <t xml:space="preserve">GW </t>
    </r>
    <r>
      <rPr>
        <sz val="11"/>
        <rFont val="WenQuanYi Zen Hei"/>
        <family val="2"/>
      </rPr>
      <t xml:space="preserve">樹狀拆分；核對 </t>
    </r>
    <r>
      <rPr>
        <sz val="11"/>
        <rFont val="Cambria"/>
        <family val="0"/>
        <charset val="1"/>
      </rPr>
      <t xml:space="preserve">IT </t>
    </r>
    <r>
      <rPr>
        <sz val="11"/>
        <rFont val="WenQuanYi Zen Hei"/>
        <family val="2"/>
      </rPr>
      <t xml:space="preserve">合計＝</t>
    </r>
    <r>
      <rPr>
        <sz val="11"/>
        <rFont val="Cambria"/>
        <family val="0"/>
        <charset val="1"/>
      </rPr>
      <t xml:space="preserve">IF_CapexIT</t>
    </r>
    <r>
      <rPr>
        <sz val="11"/>
        <rFont val="WenQuanYi Zen Hei"/>
        <family val="2"/>
      </rPr>
      <t xml:space="preserve">、合計＝</t>
    </r>
    <r>
      <rPr>
        <sz val="11"/>
        <rFont val="Cambria"/>
        <family val="0"/>
        <charset val="1"/>
      </rPr>
      <t xml:space="preserve">IF_CapexTotal</t>
    </r>
  </si>
  <si>
    <r>
      <rPr>
        <sz val="11"/>
        <rFont val="Cambria"/>
        <family val="0"/>
        <charset val="1"/>
      </rPr>
      <t xml:space="preserve">Sens</t>
    </r>
    <r>
      <rPr>
        <sz val="11"/>
        <rFont val="WenQuanYi Zen Hei"/>
        <family val="2"/>
      </rPr>
      <t xml:space="preserve">：一次動一個輸入 → </t>
    </r>
    <r>
      <rPr>
        <sz val="11"/>
        <rFont val="Cambria"/>
        <family val="0"/>
        <charset val="1"/>
      </rPr>
      <t xml:space="preserve">HBM $/GW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HBM ÷ IT capex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NVIDIA </t>
    </r>
    <r>
      <rPr>
        <sz val="11"/>
        <rFont val="WenQuanYi Zen Hei"/>
        <family val="2"/>
      </rPr>
      <t xml:space="preserve">晶片毛利率、機架殘差</t>
    </r>
  </si>
  <si>
    <r>
      <rPr>
        <sz val="11"/>
        <rFont val="WenQuanYi Zen Hei"/>
        <family val="2"/>
      </rPr>
      <t xml:space="preserve">標記：</t>
    </r>
    <r>
      <rPr>
        <sz val="11"/>
        <rFont val="Cambria"/>
        <family val="0"/>
        <charset val="1"/>
      </rPr>
      <t xml:space="preserve">TK</t>
    </r>
    <r>
      <rPr>
        <sz val="11"/>
        <rFont val="WenQuanYi Zen Hei"/>
        <family val="2"/>
      </rPr>
      <t xml:space="preserve">＝</t>
    </r>
    <r>
      <rPr>
        <sz val="11"/>
        <rFont val="Cambria"/>
        <family val="0"/>
        <charset val="1"/>
      </rPr>
      <t xml:space="preserve">Tokenomics </t>
    </r>
    <r>
      <rPr>
        <sz val="11"/>
        <rFont val="WenQuanYi Zen Hei"/>
        <family val="2"/>
      </rPr>
      <t xml:space="preserve">取數；</t>
    </r>
    <r>
      <rPr>
        <sz val="11"/>
        <rFont val="Cambria"/>
        <family val="0"/>
        <charset val="1"/>
      </rPr>
      <t xml:space="preserve">Verified </t>
    </r>
    <r>
      <rPr>
        <sz val="11"/>
        <rFont val="WenQuanYi Zen Hei"/>
        <family val="2"/>
      </rPr>
      <t xml:space="preserve">公開一手；</t>
    </r>
    <r>
      <rPr>
        <sz val="11"/>
        <rFont val="Cambria"/>
        <family val="0"/>
        <charset val="1"/>
      </rPr>
      <t xml:space="preserve">Interested-party </t>
    </r>
    <r>
      <rPr>
        <sz val="11"/>
        <rFont val="WenQuanYi Zen Hei"/>
        <family val="2"/>
      </rPr>
      <t xml:space="preserve">有利害關係；</t>
    </r>
    <r>
      <rPr>
        <sz val="11"/>
        <rFont val="Cambria"/>
        <family val="0"/>
        <charset val="1"/>
      </rPr>
      <t xml:space="preserve">Analogy </t>
    </r>
    <r>
      <rPr>
        <sz val="11"/>
        <rFont val="WenQuanYi Zen Hei"/>
        <family val="2"/>
      </rPr>
      <t xml:space="preserve">類比；</t>
    </r>
    <r>
      <rPr>
        <sz val="11"/>
        <rFont val="Cambria"/>
        <family val="0"/>
        <charset val="1"/>
      </rPr>
      <t xml:space="preserve">Assumed </t>
    </r>
    <r>
      <rPr>
        <sz val="11"/>
        <rFont val="WenQuanYi Zen Hei"/>
        <family val="2"/>
      </rPr>
      <t xml:space="preserve">無實證；</t>
    </r>
    <r>
      <rPr>
        <sz val="11"/>
        <rFont val="Cambria"/>
        <family val="0"/>
        <charset val="1"/>
      </rPr>
      <t xml:space="preserve">Derived </t>
    </r>
    <r>
      <rPr>
        <sz val="11"/>
        <rFont val="WenQuanYi Zen Hei"/>
        <family val="2"/>
      </rPr>
      <t xml:space="preserve">推導。</t>
    </r>
    <r>
      <rPr>
        <sz val="11"/>
        <rFont val="Cambria"/>
        <family val="0"/>
        <charset val="1"/>
      </rPr>
      <t xml:space="preserve">Analogy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Assumed </t>
    </r>
    <r>
      <rPr>
        <sz val="11"/>
        <rFont val="WenQuanYi Zen Hei"/>
        <family val="2"/>
      </rPr>
      <t xml:space="preserve">一律給區間（</t>
    </r>
    <r>
      <rPr>
        <sz val="11"/>
        <rFont val="Cambria"/>
        <family val="0"/>
        <charset val="1"/>
      </rPr>
      <t xml:space="preserve">In </t>
    </r>
    <r>
      <rPr>
        <sz val="11"/>
        <rFont val="WenQuanYi Zen Hei"/>
        <family val="2"/>
      </rPr>
      <t xml:space="preserve">頁 低／基準／高）。</t>
    </r>
  </si>
  <si>
    <r>
      <rPr>
        <sz val="11"/>
        <rFont val="WenQuanYi Zen Hei"/>
        <family val="2"/>
      </rPr>
      <t xml:space="preserve">讀法注意：</t>
    </r>
    <r>
      <rPr>
        <sz val="11"/>
        <rFont val="Cambria"/>
        <family val="0"/>
        <charset val="1"/>
      </rPr>
      <t xml:space="preserve">(1) </t>
    </r>
    <r>
      <rPr>
        <sz val="11"/>
        <rFont val="WenQuanYi Zen Hei"/>
        <family val="2"/>
      </rPr>
      <t xml:space="preserve">殘差不是單一公司的營收，是 </t>
    </r>
    <r>
      <rPr>
        <sz val="11"/>
        <rFont val="Cambria"/>
        <family val="0"/>
        <charset val="1"/>
      </rPr>
      <t xml:space="preserve">NVIDIA </t>
    </r>
    <r>
      <rPr>
        <sz val="11"/>
        <rFont val="WenQuanYi Zen Hei"/>
        <family val="2"/>
      </rPr>
      <t xml:space="preserve">匣級加價、電路板、供電與 </t>
    </r>
    <r>
      <rPr>
        <sz val="11"/>
        <rFont val="Cambria"/>
        <family val="0"/>
        <charset val="1"/>
      </rPr>
      <t xml:space="preserve">ODM </t>
    </r>
    <r>
      <rPr>
        <sz val="11"/>
        <rFont val="WenQuanYi Zen Hei"/>
        <family val="2"/>
      </rPr>
      <t xml:space="preserve">毛利的合計；</t>
    </r>
    <r>
      <rPr>
        <sz val="11"/>
        <rFont val="Cambria"/>
        <family val="0"/>
        <charset val="1"/>
      </rPr>
      <t xml:space="preserve">(2) LPDDR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NAND </t>
    </r>
    <r>
      <rPr>
        <sz val="11"/>
        <rFont val="WenQuanYi Zen Hei"/>
        <family val="2"/>
      </rPr>
      <t xml:space="preserve">以供應商價格計，</t>
    </r>
    <r>
      <rPr>
        <sz val="11"/>
        <rFont val="Cambria"/>
        <family val="0"/>
        <charset val="1"/>
      </rPr>
      <t xml:space="preserve">NVIDIA </t>
    </r>
    <r>
      <rPr>
        <sz val="11"/>
        <rFont val="WenQuanYi Zen Hei"/>
        <family val="2"/>
      </rPr>
      <t xml:space="preserve">對它們的加價落在殘差；</t>
    </r>
    <r>
      <rPr>
        <sz val="11"/>
        <rFont val="Cambria"/>
        <family val="0"/>
        <charset val="1"/>
      </rPr>
      <t xml:space="preserve">(3) 2027 HBM </t>
    </r>
    <r>
      <rPr>
        <sz val="11"/>
        <rFont val="WenQuanYi Zen Hei"/>
        <family val="2"/>
      </rPr>
      <t xml:space="preserve">情境 </t>
    </r>
    <r>
      <rPr>
        <sz val="11"/>
        <rFont val="Cambria"/>
        <family val="0"/>
        <charset val="1"/>
      </rPr>
      <t xml:space="preserve">E </t>
    </r>
    <r>
      <rPr>
        <sz val="11"/>
        <rFont val="WenQuanYi Zen Hei"/>
        <family val="2"/>
      </rPr>
      <t xml:space="preserve">欄高於 </t>
    </r>
    <r>
      <rPr>
        <sz val="11"/>
        <rFont val="Cambria"/>
        <family val="0"/>
        <charset val="1"/>
      </rPr>
      <t xml:space="preserve">Tokenomics IT capex</t>
    </r>
    <r>
      <rPr>
        <sz val="11"/>
        <rFont val="WenQuanYi Zen Hei"/>
        <family val="2"/>
      </rPr>
      <t xml:space="preserve">，差額即轉嫁額。</t>
    </r>
  </si>
  <si>
    <r>
      <rPr>
        <sz val="11"/>
        <rFont val="Cambria"/>
        <family val="0"/>
        <charset val="1"/>
      </rPr>
      <t xml:space="preserve">SemiAnalysis </t>
    </r>
    <r>
      <rPr>
        <sz val="11"/>
        <rFont val="WenQuanYi Zen Hei"/>
        <family val="2"/>
      </rPr>
      <t xml:space="preserve">資料未使用。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</si>
  <si>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WenQuanYi Zen Hei"/>
        <family val="2"/>
      </rPr>
      <t xml:space="preserve">輸入（藍字）。基準欄＝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WenQuanYi Zen Hei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WenQuanYi Zen Hei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WenQuanYi Zen Hei"/>
        <family val="2"/>
      </rPr>
      <t xml:space="preserve">列取自 </t>
    </r>
    <r>
      <rPr>
        <sz val="11"/>
        <color theme="1"/>
        <rFont val="Calibri"/>
        <family val="2"/>
        <charset val="1"/>
      </rPr>
      <t xml:space="preserve">v20.1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model/20261023_Tokenomics_v20.1.xlsx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SHA-256 027fef9e…d607</t>
    </r>
    <r>
      <rPr>
        <sz val="11"/>
        <color theme="1"/>
        <rFont val="WenQuanYi Zen Hei"/>
        <family val="2"/>
      </rPr>
      <t xml:space="preserve">；五個 </t>
    </r>
    <r>
      <rPr>
        <sz val="11"/>
        <color theme="1"/>
        <rFont val="Calibri"/>
        <family val="2"/>
        <charset val="1"/>
      </rPr>
      <t xml:space="preserve">IF_ </t>
    </r>
    <r>
      <rPr>
        <sz val="11"/>
        <color theme="1"/>
        <rFont val="WenQuanYi Zen Hei"/>
        <family val="2"/>
      </rPr>
      <t xml:space="preserve">名稱逐值與 </t>
    </r>
    <r>
      <rPr>
        <sz val="11"/>
        <color theme="1"/>
        <rFont val="Calibri"/>
        <family val="2"/>
        <charset val="1"/>
      </rPr>
      <t xml:space="preserve">v19.0 </t>
    </r>
    <r>
      <rPr>
        <sz val="11"/>
        <color theme="1"/>
        <rFont val="WenQuanYi Zen Hei"/>
        <family val="2"/>
      </rPr>
      <t xml:space="preserve">相同）</t>
    </r>
  </si>
  <si>
    <t xml:space="preserve">鍵</t>
  </si>
  <si>
    <t xml:space="preserve">項目</t>
  </si>
  <si>
    <t xml:space="preserve">單位</t>
  </si>
  <si>
    <r>
      <rPr>
        <b val="true"/>
        <sz val="11"/>
        <rFont val="Cambria"/>
        <family val="0"/>
        <charset val="1"/>
      </rPr>
      <t xml:space="preserve">GB300 </t>
    </r>
    <r>
      <rPr>
        <b val="true"/>
        <sz val="11"/>
        <rFont val="WenQuanYi Zen Hei"/>
        <family val="2"/>
      </rPr>
      <t xml:space="preserve">低</t>
    </r>
  </si>
  <si>
    <r>
      <rPr>
        <b val="true"/>
        <sz val="11"/>
        <rFont val="Cambria"/>
        <family val="0"/>
        <charset val="1"/>
      </rPr>
      <t xml:space="preserve">GB300 </t>
    </r>
    <r>
      <rPr>
        <b val="true"/>
        <sz val="11"/>
        <rFont val="WenQuanYi Zen Hei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</si>
  <si>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GB300 </t>
    </r>
    <r>
      <rPr>
        <b val="true"/>
        <sz val="11"/>
        <rFont val="WenQuanYi Zen Hei"/>
        <family val="2"/>
      </rPr>
      <t xml:space="preserve">高</t>
    </r>
  </si>
  <si>
    <r>
      <rPr>
        <b val="true"/>
        <sz val="11"/>
        <rFont val="Cambria"/>
        <family val="0"/>
        <charset val="1"/>
      </rPr>
      <t xml:space="preserve">VR200 </t>
    </r>
    <r>
      <rPr>
        <b val="true"/>
        <sz val="11"/>
        <rFont val="WenQuanYi Zen Hei"/>
        <family val="2"/>
      </rPr>
      <t xml:space="preserve">低</t>
    </r>
  </si>
  <si>
    <r>
      <rPr>
        <b val="true"/>
        <sz val="11"/>
        <rFont val="Cambria"/>
        <family val="0"/>
        <charset val="1"/>
      </rPr>
      <t xml:space="preserve">VR200 </t>
    </r>
    <r>
      <rPr>
        <b val="true"/>
        <sz val="11"/>
        <rFont val="WenQuanYi Zen Hei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</si>
  <si>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VR200 </t>
    </r>
    <r>
      <rPr>
        <b val="true"/>
        <sz val="11"/>
        <rFont val="WenQuanYi Zen Hei"/>
        <family val="2"/>
      </rPr>
      <t xml:space="preserve">高</t>
    </r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</si>
  <si>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</si>
  <si>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</si>
  <si>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A. Tokenomics v20.1</t>
    </r>
    <r>
      <rPr>
        <b val="true"/>
        <sz val="11"/>
        <rFont val="WenQuanYi Zen Hei"/>
        <family val="2"/>
      </rPr>
      <t xml:space="preserve">（算力收支；只讀不改；五個 </t>
    </r>
    <r>
      <rPr>
        <b val="true"/>
        <sz val="11"/>
        <rFont val="Cambria"/>
        <family val="0"/>
        <charset val="1"/>
      </rPr>
      <t xml:space="preserve">IF_ </t>
    </r>
    <r>
      <rPr>
        <b val="true"/>
        <sz val="11"/>
        <rFont val="WenQuanYi Zen Hei"/>
        <family val="2"/>
      </rPr>
      <t xml:space="preserve">名稱與 </t>
    </r>
    <r>
      <rPr>
        <b val="true"/>
        <sz val="11"/>
        <rFont val="Cambria"/>
        <family val="0"/>
        <charset val="1"/>
      </rPr>
      <t xml:space="preserve">v19.0 </t>
    </r>
    <r>
      <rPr>
        <b val="true"/>
        <sz val="11"/>
        <rFont val="WenQuanYi Zen Hei"/>
        <family val="2"/>
      </rPr>
      <t xml:space="preserve">逐值相同）</t>
    </r>
  </si>
  <si>
    <t xml:space="preserve">rack</t>
  </si>
  <si>
    <t xml:space="preserve">機架單價</t>
  </si>
  <si>
    <r>
      <rPr>
        <sz val="11"/>
        <color theme="1"/>
        <rFont val="Calibri"/>
        <family val="2"/>
        <charset val="1"/>
      </rPr>
      <t xml:space="preserve">$M/</t>
    </r>
    <r>
      <rPr>
        <sz val="11"/>
        <color theme="1"/>
        <rFont val="WenQuanYi Zen Hei"/>
        <family val="2"/>
      </rPr>
      <t xml:space="preserve">架</t>
    </r>
  </si>
  <si>
    <t xml:space="preserve">TK</t>
  </si>
  <si>
    <r>
      <rPr>
        <sz val="11"/>
        <color theme="1"/>
        <rFont val="Calibri"/>
        <family val="2"/>
        <charset val="1"/>
      </rPr>
      <t xml:space="preserve">Spec_Rack E11:F13</t>
    </r>
    <r>
      <rPr>
        <sz val="11"/>
        <color theme="1"/>
        <rFont val="WenQuanYi Zen Hei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WenQuanYi Zen Hei"/>
        <family val="2"/>
      </rPr>
      <t xml:space="preserve">具名範圍；已提修改申請 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WenQuanYi Zen Hei"/>
        <family val="2"/>
      </rPr>
      <t xml:space="preserve">）</t>
    </r>
  </si>
  <si>
    <t xml:space="preserve">racks</t>
  </si>
  <si>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機架數</t>
    </r>
  </si>
  <si>
    <t xml:space="preserve">架</t>
  </si>
  <si>
    <t xml:space="preserve">IF_RacksPerGW</t>
  </si>
  <si>
    <t xml:space="preserve">gpus</t>
  </si>
  <si>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WenQuanYi Zen Hei"/>
        <family val="2"/>
      </rPr>
      <t xml:space="preserve">數</t>
    </r>
  </si>
  <si>
    <t xml:space="preserve">顆</t>
  </si>
  <si>
    <t xml:space="preserve">IF_GPUsPerGW</t>
  </si>
  <si>
    <t xml:space="preserve">so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</si>
  <si>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機架價格</t>
    </r>
  </si>
  <si>
    <t xml:space="preserve">%</t>
  </si>
  <si>
    <r>
      <rPr>
        <sz val="11"/>
        <color theme="1"/>
        <rFont val="Calibri"/>
        <family val="2"/>
        <charset val="1"/>
      </rPr>
      <t xml:space="preserve">Inputs D13:F13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；非 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WenQuanYi Zen Hei"/>
        <family val="2"/>
      </rPr>
      <t xml:space="preserve">）</t>
    </r>
  </si>
  <si>
    <t xml:space="preserve">stor</t>
  </si>
  <si>
    <t xml:space="preserve">儲存與管理</t>
  </si>
  <si>
    <t xml:space="preserve">$/GPU</t>
  </si>
  <si>
    <r>
      <rPr>
        <sz val="11"/>
        <color theme="1"/>
        <rFont val="Calibri"/>
        <family val="2"/>
        <charset val="1"/>
      </rPr>
      <t xml:space="preserve">Inputs D14:F14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；非 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WenQuanYi Zen Hei"/>
        <family val="2"/>
      </rPr>
      <t xml:space="preserve">）</t>
    </r>
  </si>
  <si>
    <t xml:space="preserve">capit</t>
  </si>
  <si>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設備</t>
    </r>
  </si>
  <si>
    <t xml:space="preserve">$B</t>
  </si>
  <si>
    <t xml:space="preserve">IF_CapexIT</t>
  </si>
  <si>
    <t xml:space="preserve">capfac</t>
  </si>
  <si>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資本支出 — 廠房</t>
    </r>
  </si>
  <si>
    <t xml:space="preserve">IF_CapexFacility</t>
  </si>
  <si>
    <t xml:space="preserve">captot</t>
  </si>
  <si>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資本支出 — 合計</t>
    </r>
  </si>
  <si>
    <t xml:space="preserve">IF_CapexTotal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</si>
  <si>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WenQuanYi Zen Hei"/>
        <family val="2"/>
      </rPr>
      <t xml:space="preserve">機架內構件（本專案蒐集；每數字盡量兩來源）</t>
    </r>
  </si>
  <si>
    <t xml:space="preserve">gpu_n</t>
  </si>
  <si>
    <r>
      <rPr>
        <sz val="11"/>
        <color theme="1"/>
        <rFont val="WenQuanYi Zen Hei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封裝數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</si>
  <si>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</si>
  <si>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規格頁</t>
    </r>
  </si>
  <si>
    <t xml:space="preserve">gpu_p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</si>
  <si>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模組售價（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對買方）</t>
    </r>
  </si>
  <si>
    <r>
      <rPr>
        <sz val="11"/>
        <color theme="1"/>
        <rFont val="Calibri"/>
        <family val="2"/>
        <charset val="1"/>
      </rPr>
      <t xml:space="preserve">$K/</t>
    </r>
    <r>
      <rPr>
        <sz val="11"/>
        <color theme="1"/>
        <rFont val="WenQuanYi Zen Hei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</si>
  <si>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</si>
  <si>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WenQuanYi Zen Hei"/>
        <family val="2"/>
      </rPr>
      <t xml:space="preserve">改）：</t>
    </r>
    <r>
      <rPr>
        <sz val="11"/>
        <color theme="1"/>
        <rFont val="Calibri"/>
        <family val="2"/>
        <charset val="1"/>
      </rPr>
      <t xml:space="preserve">Data Gravity </t>
    </r>
    <r>
      <rPr>
        <sz val="11"/>
        <color theme="1"/>
        <rFont val="WenQuanYi Zen Hei"/>
        <family val="2"/>
      </rPr>
      <t xml:space="preserve">採購單 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WenQuanYi Zen Hei"/>
        <family val="2"/>
      </rPr>
      <t xml:space="preserve">模組約 </t>
    </r>
    <r>
      <rPr>
        <sz val="11"/>
        <color theme="1"/>
        <rFont val="Calibri"/>
        <family val="2"/>
        <charset val="1"/>
      </rPr>
      <t xml:space="preserve">$3.4M</t>
    </r>
    <r>
      <rPr>
        <sz val="11"/>
        <color theme="1"/>
        <rFont val="WenQuanYi Zen Hei"/>
        <family val="2"/>
      </rPr>
      <t xml:space="preserve">、整架約 </t>
    </r>
    <r>
      <rPr>
        <sz val="11"/>
        <color theme="1"/>
        <rFont val="Calibri"/>
        <family val="2"/>
        <charset val="1"/>
      </rPr>
      <t xml:space="preserve">$5.0M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Wing VC 2026-08</t>
    </r>
    <r>
      <rPr>
        <sz val="11"/>
        <color theme="1"/>
        <rFont val="WenQuanYi Zen Hei"/>
        <family val="2"/>
      </rPr>
      <t xml:space="preserve">；＝</t>
    </r>
    <r>
      <rPr>
        <sz val="11"/>
        <color theme="1"/>
        <rFont val="Calibri"/>
        <family val="2"/>
        <charset val="1"/>
      </rPr>
      <t xml:space="preserve">Tokenomics v5.31 </t>
    </r>
    <r>
      <rPr>
        <sz val="11"/>
        <color theme="1"/>
        <rFont val="WenQuanYi Zen Hei"/>
        <family val="2"/>
      </rPr>
      <t xml:space="preserve">起的機架高值）→ 模組占整架 </t>
    </r>
    <r>
      <rPr>
        <sz val="11"/>
        <color theme="1"/>
        <rFont val="Calibri"/>
        <family val="2"/>
        <charset val="1"/>
      </rPr>
      <t xml:space="preserve">67.7%</t>
    </r>
    <r>
      <rPr>
        <sz val="11"/>
        <color theme="1"/>
        <rFont val="WenQuanYi Zen Hei"/>
        <family val="2"/>
      </rPr>
      <t xml:space="preserve">；依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WenQuanYi Zen Hei"/>
        <family val="2"/>
      </rPr>
      <t xml:space="preserve">低／基準 </t>
    </r>
    <r>
      <rPr>
        <sz val="11"/>
        <color theme="1"/>
        <rFont val="Calibri"/>
        <family val="2"/>
        <charset val="1"/>
      </rPr>
      <t xml:space="preserve">4.0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4.3 </t>
    </r>
    <r>
      <rPr>
        <sz val="11"/>
        <color theme="1"/>
        <rFont val="WenQuanYi Zen Hei"/>
        <family val="2"/>
      </rPr>
      <t xml:space="preserve">等比例換算為 </t>
    </r>
    <r>
      <rPr>
        <sz val="11"/>
        <color theme="1"/>
        <rFont val="Calibri"/>
        <family val="2"/>
        <charset val="1"/>
      </rPr>
      <t xml:space="preserve">37.6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40.4</t>
    </r>
    <r>
      <rPr>
        <sz val="11"/>
        <color theme="1"/>
        <rFont val="WenQuanYi Zen Hei"/>
        <family val="2"/>
      </rPr>
      <t xml:space="preserve">，高 </t>
    </r>
    <r>
      <rPr>
        <sz val="11"/>
        <color theme="1"/>
        <rFont val="Calibri"/>
        <family val="2"/>
        <charset val="1"/>
      </rPr>
      <t xml:space="preserve">47 </t>
    </r>
    <r>
      <rPr>
        <sz val="11"/>
        <color theme="1"/>
        <rFont val="WenQuanYi Zen Hei"/>
        <family val="2"/>
      </rPr>
      <t xml:space="preserve">為採購單原值。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47 </t>
    </r>
    <r>
      <rPr>
        <sz val="11"/>
        <color theme="1"/>
        <rFont val="WenQuanYi Zen Hei"/>
        <family val="2"/>
      </rPr>
      <t xml:space="preserve">配 </t>
    </r>
    <r>
      <rPr>
        <sz val="11"/>
        <color theme="1"/>
        <rFont val="Calibri"/>
        <family val="2"/>
        <charset val="1"/>
      </rPr>
      <t xml:space="preserve">$5.0M </t>
    </r>
    <r>
      <rPr>
        <sz val="11"/>
        <color theme="1"/>
        <rFont val="WenQuanYi Zen Hei"/>
        <family val="2"/>
      </rPr>
      <t xml:space="preserve">機架；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WenQuanYi Zen Hei"/>
        <family val="2"/>
      </rPr>
      <t xml:space="preserve">基準改 </t>
    </r>
    <r>
      <rPr>
        <sz val="11"/>
        <color theme="1"/>
        <rFont val="Calibri"/>
        <family val="2"/>
        <charset val="1"/>
      </rPr>
      <t xml:space="preserve">4.3 </t>
    </r>
    <r>
      <rPr>
        <sz val="11"/>
        <color theme="1"/>
        <rFont val="WenQuanYi Zen Hei"/>
        <family val="2"/>
      </rPr>
      <t xml:space="preserve">後若不換算，機架殘差為 −</t>
    </r>
    <r>
      <rPr>
        <sz val="11"/>
        <color theme="1"/>
        <rFont val="Calibri"/>
        <family val="2"/>
        <charset val="1"/>
      </rPr>
      <t xml:space="preserve">5.9%</t>
    </r>
    <r>
      <rPr>
        <sz val="11"/>
        <color theme="1"/>
        <rFont val="WenQuanYi Zen Hei"/>
        <family val="2"/>
      </rPr>
      <t xml:space="preserve">（構件超過售價）；</t>
    </r>
    <r>
      <rPr>
        <sz val="11"/>
        <color theme="1"/>
        <rFont val="Calibri"/>
        <family val="2"/>
        <charset val="1"/>
      </rPr>
      <t xml:space="preserve">Epoch B200 $30–40K</t>
    </r>
    <r>
      <rPr>
        <sz val="11"/>
        <color theme="1"/>
        <rFont val="WenQuanYi Zen Hei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$55K</t>
    </r>
    <r>
      <rPr>
        <sz val="11"/>
        <color theme="1"/>
        <rFont val="WenQuanYi Zen Hei"/>
        <family val="2"/>
      </rPr>
      <t xml:space="preserve">（內文；標題 </t>
    </r>
    <r>
      <rPr>
        <sz val="11"/>
        <color theme="1"/>
        <rFont val="Calibri"/>
        <family val="2"/>
        <charset val="1"/>
      </rPr>
      <t xml:space="preserve">$50K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Tom's Hardware 2026-05-21</t>
    </r>
    <r>
      <rPr>
        <sz val="11"/>
        <color theme="1"/>
        <rFont val="WenQuanYi Zen Hei"/>
        <family val="2"/>
      </rPr>
      <t xml:space="preserve">）</t>
    </r>
  </si>
  <si>
    <t xml:space="preserve">hbm_gb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</si>
  <si>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容量</t>
    </r>
  </si>
  <si>
    <r>
      <rPr>
        <sz val="11"/>
        <color theme="1"/>
        <rFont val="Calibri"/>
        <family val="2"/>
        <charset val="1"/>
      </rPr>
      <t xml:space="preserve">GB/</t>
    </r>
    <r>
      <rPr>
        <sz val="11"/>
        <color theme="1"/>
        <rFont val="WenQuanYi Zen Hei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</si>
  <si>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20 TB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20.7 TB ÷ 72</t>
    </r>
  </si>
  <si>
    <t xml:space="preserve">hbm_p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</si>
  <si>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合約）</t>
    </r>
  </si>
  <si>
    <t xml:space="preserve">$/GB</t>
  </si>
  <si>
    <t xml:space="preserve">Derived</t>
  </si>
  <si>
    <r>
      <rPr>
        <sz val="11"/>
        <color theme="1"/>
        <rFont val="Calibri"/>
        <family val="2"/>
        <charset val="1"/>
      </rPr>
      <t xml:space="preserve">GB300 HBM3E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Epoch $14–17/GB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Silicon Analysts B300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$4,900/</t>
    </r>
    <r>
      <rPr>
        <sz val="11"/>
        <color theme="1"/>
        <rFont val="WenQuanYi Zen Hei"/>
        <family val="2"/>
      </rPr>
      <t xml:space="preserve">顆（</t>
    </r>
    <r>
      <rPr>
        <sz val="11"/>
        <color theme="1"/>
        <rFont val="Calibri"/>
        <family val="2"/>
        <charset val="1"/>
      </rPr>
      <t xml:space="preserve">=$17/GB</t>
    </r>
    <r>
      <rPr>
        <sz val="11"/>
        <color theme="1"/>
        <rFont val="WenQuanYi Zen Hei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VR200 HBM4</t>
    </r>
    <r>
      <rPr>
        <sz val="11"/>
        <color theme="1"/>
        <rFont val="WenQuanYi Zen Hei"/>
        <family val="2"/>
      </rPr>
      <t xml:space="preserve">：首爾經濟日報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WenQuanYi Zen Hei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36GB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$600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=$16.7/GB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$4,943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=$17.2/GB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2026-08-10</t>
    </r>
    <r>
      <rPr>
        <sz val="11"/>
        <color theme="1"/>
        <rFont val="WenQuanYi Zen Hei"/>
        <family val="2"/>
      </rPr>
      <t xml:space="preserve">）</t>
    </r>
  </si>
  <si>
    <t xml:space="preserve">hbm_p27</t>
  </si>
  <si>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WenQuanYi Zen Hei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合約情境）</t>
    </r>
  </si>
  <si>
    <t xml:space="preserve">Interested-party</t>
  </si>
  <si>
    <r>
      <rPr>
        <sz val="11"/>
        <color theme="1"/>
        <rFont val="WenQuanYi Zen Hei"/>
        <family val="2"/>
      </rPr>
      <t xml:space="preserve">首爾經濟日報 約 </t>
    </r>
    <r>
      <rPr>
        <sz val="11"/>
        <color theme="1"/>
        <rFont val="Calibri"/>
        <family val="2"/>
        <charset val="1"/>
      </rPr>
      <t xml:space="preserve">$1,300/36GB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TrendForce 2027 ASP +121%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UBS +79%</t>
    </r>
    <r>
      <rPr>
        <sz val="11"/>
        <color theme="1"/>
        <rFont val="WenQuanYi Zen Hei"/>
        <family val="2"/>
      </rPr>
      <t xml:space="preserve">（低）</t>
    </r>
  </si>
  <si>
    <t xml:space="preserve">tsmc</t>
  </si>
  <si>
    <r>
      <rPr>
        <sz val="11"/>
        <color theme="1"/>
        <rFont val="WenQuanYi Zen Hei"/>
        <family val="2"/>
      </rPr>
      <t xml:space="preserve">台積電：邏輯晶圓＋</t>
    </r>
    <r>
      <rPr>
        <sz val="11"/>
        <color theme="1"/>
        <rFont val="Calibri"/>
        <family val="2"/>
        <charset val="1"/>
      </rPr>
      <t xml:space="preserve">CoWoS</t>
    </r>
  </si>
  <si>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Silicon Analysts </t>
    </r>
    <r>
      <rPr>
        <sz val="11"/>
        <color theme="1"/>
        <rFont val="WenQuanYi Zen Hei"/>
        <family val="2"/>
      </rPr>
      <t xml:space="preserve">邏輯 </t>
    </r>
    <r>
      <rPr>
        <sz val="11"/>
        <color theme="1"/>
        <rFont val="Calibri"/>
        <family val="2"/>
        <charset val="1"/>
      </rPr>
      <t xml:space="preserve">$850</t>
    </r>
    <r>
      <rPr>
        <sz val="11"/>
        <color theme="1"/>
        <rFont val="WenQuanYi Zen Hei"/>
        <family val="2"/>
      </rPr>
      <t xml:space="preserve">＋封裝 </t>
    </r>
    <r>
      <rPr>
        <sz val="11"/>
        <color theme="1"/>
        <rFont val="Calibri"/>
        <family val="2"/>
        <charset val="1"/>
      </rPr>
      <t xml:space="preserve">$1,100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$1.9K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B300 </t>
    </r>
    <r>
      <rPr>
        <sz val="11"/>
        <color theme="1"/>
        <rFont val="WenQuanYi Zen Hei"/>
        <family val="2"/>
      </rPr>
      <t xml:space="preserve">封裝溢價 </t>
    </r>
    <r>
      <rPr>
        <sz val="11"/>
        <color theme="1"/>
        <rFont val="Calibri"/>
        <family val="2"/>
        <charset val="1"/>
      </rPr>
      <t xml:space="preserve">25–40%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WenQuanYi Zen Hei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WenQuanYi Zen Hei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相關扣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』約 </t>
    </r>
    <r>
      <rPr>
        <sz val="11"/>
        <color theme="1"/>
        <rFont val="Calibri"/>
        <family val="2"/>
        <charset val="1"/>
      </rPr>
      <t xml:space="preserve">$4.3K</t>
    </r>
    <r>
      <rPr>
        <sz val="11"/>
        <color theme="1"/>
        <rFont val="WenQuanYi Zen Hei"/>
        <family val="2"/>
      </rPr>
      <t xml:space="preserve">（含周邊）為上限參考；</t>
    </r>
    <r>
      <rPr>
        <sz val="11"/>
        <color theme="1"/>
        <rFont val="Calibri"/>
        <family val="2"/>
        <charset val="1"/>
      </rPr>
      <t xml:space="preserve">N3 </t>
    </r>
    <r>
      <rPr>
        <sz val="11"/>
        <color theme="1"/>
        <rFont val="WenQuanYi Zen Hei"/>
        <family val="2"/>
      </rPr>
      <t xml:space="preserve">晶圓較 </t>
    </r>
    <r>
      <rPr>
        <sz val="11"/>
        <color theme="1"/>
        <rFont val="Calibri"/>
        <family val="2"/>
        <charset val="1"/>
      </rPr>
      <t xml:space="preserve">4NP </t>
    </r>
    <r>
      <rPr>
        <sz val="11"/>
        <color theme="1"/>
        <rFont val="WenQuanYi Zen Hei"/>
        <family val="2"/>
      </rPr>
      <t xml:space="preserve">貴</t>
    </r>
  </si>
  <si>
    <t xml:space="preserve">oth</t>
  </si>
  <si>
    <t xml:space="preserve">其他製造：基板、測試、輔助、封裝良率損失</t>
  </si>
  <si>
    <r>
      <rPr>
        <sz val="11"/>
        <color theme="1"/>
        <rFont val="Calibri"/>
        <family val="2"/>
        <charset val="1"/>
      </rPr>
      <t xml:space="preserve">Epoch B200</t>
    </r>
    <r>
      <rPr>
        <sz val="11"/>
        <color theme="1"/>
        <rFont val="WenQuanYi Zen Hei"/>
        <family val="2"/>
      </rPr>
      <t xml:space="preserve">：封裝良率損失 </t>
    </r>
    <r>
      <rPr>
        <sz val="11"/>
        <color theme="1"/>
        <rFont val="Calibri"/>
        <family val="2"/>
        <charset val="1"/>
      </rPr>
      <t xml:space="preserve">$1,000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$430–1,700</t>
    </r>
    <r>
      <rPr>
        <sz val="11"/>
        <color theme="1"/>
        <rFont val="WenQuanYi Zen Hei"/>
        <family val="2"/>
      </rPr>
      <t xml:space="preserve">）＋輔助 </t>
    </r>
    <r>
      <rPr>
        <sz val="11"/>
        <color theme="1"/>
        <rFont val="Calibri"/>
        <family val="2"/>
        <charset val="1"/>
      </rPr>
      <t xml:space="preserve">$480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WenQuanYi Zen Hei"/>
        <family val="2"/>
      </rPr>
      <t xml:space="preserve">為類比</t>
    </r>
  </si>
  <si>
    <t xml:space="preserve">cpu_n</t>
  </si>
  <si>
    <r>
      <rPr>
        <sz val="11"/>
        <color theme="1"/>
        <rFont val="WenQuanYi Zen Hei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WenQuanYi Zen Hei"/>
        <family val="2"/>
      </rPr>
      <t xml:space="preserve">數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</si>
  <si>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36 Grace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36 Vera</t>
    </r>
  </si>
  <si>
    <t xml:space="preserve">cpu_p</t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</si>
  <si>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WenQuanYi Zen Hei"/>
        <family val="2"/>
      </rPr>
      <t xml:space="preserve">單價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</si>
  <si>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</si>
  <si>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Vera $5K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Grace </t>
    </r>
    <r>
      <rPr>
        <sz val="11"/>
        <color theme="1"/>
        <rFont val="WenQuanYi Zen Hei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Vera </t>
    </r>
    <r>
      <rPr>
        <sz val="11"/>
        <color theme="1"/>
        <rFont val="WenQuanYi Zen Hei"/>
        <family val="2"/>
      </rPr>
      <t xml:space="preserve">類比</t>
    </r>
  </si>
  <si>
    <t xml:space="preserve">lp_tb</t>
  </si>
  <si>
    <r>
      <rPr>
        <sz val="11"/>
        <color theme="1"/>
        <rFont val="Calibri"/>
        <family val="2"/>
        <charset val="1"/>
      </rPr>
      <t xml:space="preserve">LPDDR5X </t>
    </r>
    <r>
      <rPr>
        <sz val="11"/>
        <color theme="1"/>
        <rFont val="WenQuanYi Zen Hei"/>
        <family val="2"/>
      </rPr>
      <t xml:space="preserve">容量（每架）</t>
    </r>
  </si>
  <si>
    <t xml:space="preserve">TB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</si>
  <si>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</si>
  <si>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規格頁 </t>
    </r>
    <r>
      <rPr>
        <sz val="11"/>
        <color theme="1"/>
        <rFont val="Calibri"/>
        <family val="2"/>
        <charset val="1"/>
      </rPr>
      <t xml:space="preserve">17 TB</t>
    </r>
    <r>
      <rPr>
        <sz val="11"/>
        <color theme="1"/>
        <rFont val="WenQuanYi Zen Hei"/>
        <family val="2"/>
      </rPr>
      <t xml:space="preserve">（參考架構頁寫每顆 </t>
    </r>
    <r>
      <rPr>
        <sz val="11"/>
        <color theme="1"/>
        <rFont val="Calibri"/>
        <family val="2"/>
        <charset val="1"/>
      </rPr>
      <t xml:space="preserve">Grace 1 TB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36 TB</t>
    </r>
    <r>
      <rPr>
        <sz val="11"/>
        <color theme="1"/>
        <rFont val="WenQuanYi Zen Hei"/>
        <family val="2"/>
      </rPr>
      <t xml:space="preserve">，作高）。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初步規格 </t>
    </r>
    <r>
      <rPr>
        <sz val="11"/>
        <color theme="1"/>
        <rFont val="Calibri"/>
        <family val="2"/>
        <charset val="1"/>
      </rPr>
      <t xml:space="preserve">54 TB</t>
    </r>
    <r>
      <rPr>
        <sz val="11"/>
        <color theme="1"/>
        <rFont val="WenQuanYi Zen Hei"/>
        <family val="2"/>
      </rPr>
      <t xml:space="preserve">（高）；</t>
    </r>
    <r>
      <rPr>
        <sz val="11"/>
        <color theme="1"/>
        <rFont val="Calibri"/>
        <family val="2"/>
        <charset val="1"/>
      </rPr>
      <t xml:space="preserve">TrendForce 2026-06-10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Securities 2026-07-26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SOCAMM </t>
    </r>
    <r>
      <rPr>
        <sz val="11"/>
        <color theme="1"/>
        <rFont val="WenQuanYi Zen Hei"/>
        <family val="2"/>
      </rPr>
      <t xml:space="preserve">減半，約 </t>
    </r>
    <r>
      <rPr>
        <sz val="11"/>
        <color theme="1"/>
        <rFont val="Calibri"/>
        <family val="2"/>
        <charset val="1"/>
      </rPr>
      <t xml:space="preserve">28 TB</t>
    </r>
    <r>
      <rPr>
        <sz val="11"/>
        <color theme="1"/>
        <rFont val="WenQuanYi Zen Hei"/>
        <family val="2"/>
      </rPr>
      <t xml:space="preserve">（基準）</t>
    </r>
  </si>
  <si>
    <t xml:space="preserve">lp_p</t>
  </si>
  <si>
    <r>
      <rPr>
        <sz val="11"/>
        <color theme="1"/>
        <rFont val="Calibri"/>
        <family val="2"/>
        <charset val="1"/>
      </rPr>
      <t xml:space="preserve">LPDDR5X </t>
    </r>
    <r>
      <rPr>
        <sz val="11"/>
        <color theme="1"/>
        <rFont val="WenQuanYi Zen Hei"/>
        <family val="2"/>
      </rPr>
      <t xml:space="preserve">單價</t>
    </r>
  </si>
  <si>
    <r>
      <rPr>
        <sz val="11"/>
        <color theme="1"/>
        <rFont val="Calibri"/>
        <family val="2"/>
        <charset val="1"/>
      </rPr>
      <t xml:space="preserve">SemiAnalysis 2026Q1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$8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UBS 2026-08 </t>
    </r>
    <r>
      <rPr>
        <sz val="11"/>
        <color theme="1"/>
        <rFont val="WenQuanYi Zen Hei"/>
        <family val="2"/>
      </rPr>
      <t xml:space="preserve">隱含約 </t>
    </r>
    <r>
      <rPr>
        <sz val="11"/>
        <color theme="1"/>
        <rFont val="Calibri"/>
        <family val="2"/>
        <charset val="1"/>
      </rPr>
      <t xml:space="preserve">$12.9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$19,355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1.5 TB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TrendForce 2026Q2 </t>
    </r>
    <r>
      <rPr>
        <sz val="11"/>
        <color theme="1"/>
        <rFont val="WenQuanYi Zen Hei"/>
        <family val="2"/>
      </rPr>
      <t xml:space="preserve">預估約 </t>
    </r>
    <r>
      <rPr>
        <sz val="11"/>
        <color theme="1"/>
        <rFont val="Calibri"/>
        <family val="2"/>
        <charset val="1"/>
      </rPr>
      <t xml:space="preserve">$19–20</t>
    </r>
    <r>
      <rPr>
        <sz val="11"/>
        <color theme="1"/>
        <rFont val="WenQuanYi Zen Hei"/>
        <family val="2"/>
      </rPr>
      <t xml:space="preserve">、長約上限約 </t>
    </r>
    <r>
      <rPr>
        <sz val="11"/>
        <color theme="1"/>
        <rFont val="Calibri"/>
        <family val="2"/>
        <charset val="1"/>
      </rPr>
      <t xml:space="preserve">$21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Wccftech 2026-05-04</t>
    </r>
    <r>
      <rPr>
        <sz val="11"/>
        <color theme="1"/>
        <rFont val="WenQuanYi Zen Hei"/>
        <family val="2"/>
      </rPr>
      <t xml:space="preserve">）</t>
    </r>
  </si>
  <si>
    <t xml:space="preserve">nic_n</t>
  </si>
  <si>
    <r>
      <rPr>
        <sz val="11"/>
        <color theme="1"/>
        <rFont val="WenQuanYi Zen Hei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SuperNIC </t>
    </r>
    <r>
      <rPr>
        <sz val="11"/>
        <color theme="1"/>
        <rFont val="WenQuanYi Zen Hei"/>
        <family val="2"/>
      </rPr>
      <t xml:space="preserve">數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</si>
  <si>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</si>
  <si>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參考架構 每匣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WenQuanYi Zen Hei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CX-8</t>
    </r>
    <r>
      <rPr>
        <sz val="11"/>
        <color theme="1"/>
        <rFont val="WenQuanYi Zen Hei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技術部落格圖示 每匣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WenQuanYi Zen Hei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CX-9</t>
    </r>
    <r>
      <rPr>
        <sz val="11"/>
        <color theme="1"/>
        <rFont val="WenQuanYi Zen Hei"/>
        <family val="2"/>
      </rPr>
      <t xml:space="preserve">（推導 </t>
    </r>
    <r>
      <rPr>
        <sz val="11"/>
        <color theme="1"/>
        <rFont val="Calibri"/>
        <family val="2"/>
        <charset val="1"/>
      </rPr>
      <t xml:space="preserve">144</t>
    </r>
    <r>
      <rPr>
        <sz val="11"/>
        <color theme="1"/>
        <rFont val="WenQuanYi Zen Hei"/>
        <family val="2"/>
      </rPr>
      <t xml:space="preserve">）</t>
    </r>
  </si>
  <si>
    <t xml:space="preserve">nic_p</t>
  </si>
  <si>
    <r>
      <rPr>
        <sz val="11"/>
        <color theme="1"/>
        <rFont val="Calibri"/>
        <family val="2"/>
        <charset val="1"/>
      </rPr>
      <t xml:space="preserve">SuperNIC </t>
    </r>
    <r>
      <rPr>
        <sz val="11"/>
        <color theme="1"/>
        <rFont val="WenQuanYi Zen Hei"/>
        <family val="2"/>
      </rPr>
      <t xml:space="preserve">單價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</si>
  <si>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</si>
  <si>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CX-8 </t>
    </r>
    <r>
      <rPr>
        <sz val="11"/>
        <color theme="1"/>
        <rFont val="WenQuanYi Zen Hei"/>
        <family val="2"/>
      </rPr>
      <t xml:space="preserve">零售約 </t>
    </r>
    <r>
      <rPr>
        <sz val="11"/>
        <color theme="1"/>
        <rFont val="Calibri"/>
        <family val="2"/>
        <charset val="1"/>
      </rPr>
      <t xml:space="preserve">$2,089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Newegg</t>
    </r>
    <r>
      <rPr>
        <sz val="11"/>
        <color theme="1"/>
        <rFont val="WenQuanYi Zen Hei"/>
        <family val="2"/>
      </rPr>
      <t xml:space="preserve">）；大客戶價較低。</t>
    </r>
    <r>
      <rPr>
        <sz val="11"/>
        <color theme="1"/>
        <rFont val="Calibri"/>
        <family val="2"/>
        <charset val="1"/>
      </rPr>
      <t xml:space="preserve">CX-9 </t>
    </r>
    <r>
      <rPr>
        <sz val="11"/>
        <color theme="1"/>
        <rFont val="WenQuanYi Zen Hei"/>
        <family val="2"/>
      </rPr>
      <t xml:space="preserve">無報價</t>
    </r>
  </si>
  <si>
    <t xml:space="preserve">dpu_n</t>
  </si>
  <si>
    <r>
      <rPr>
        <sz val="11"/>
        <color theme="1"/>
        <rFont val="WenQuanYi Zen Hei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DPU </t>
    </r>
    <r>
      <rPr>
        <sz val="11"/>
        <color theme="1"/>
        <rFont val="WenQuanYi Zen Hei"/>
        <family val="2"/>
      </rPr>
      <t xml:space="preserve">數</t>
    </r>
  </si>
  <si>
    <r>
      <rPr>
        <sz val="11"/>
        <color theme="1"/>
        <rFont val="WenQuanYi Zen Hei"/>
        <family val="2"/>
      </rPr>
      <t xml:space="preserve">每匣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WenQuanYi Zen Hei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BlueField-3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BlueField-4</t>
    </r>
  </si>
  <si>
    <t xml:space="preserve">dpu_p</t>
  </si>
  <si>
    <r>
      <rPr>
        <sz val="11"/>
        <color theme="1"/>
        <rFont val="Calibri"/>
        <family val="2"/>
        <charset val="1"/>
      </rPr>
      <t xml:space="preserve">DPU </t>
    </r>
    <r>
      <rPr>
        <sz val="11"/>
        <color theme="1"/>
        <rFont val="WenQuanYi Zen Hei"/>
        <family val="2"/>
      </rPr>
      <t xml:space="preserve">單價</t>
    </r>
  </si>
  <si>
    <t xml:space="preserve">Assumed</t>
  </si>
  <si>
    <t xml:space="preserve">無可靠報價</t>
  </si>
  <si>
    <t xml:space="preserve">nand</t>
  </si>
  <si>
    <r>
      <rPr>
        <sz val="11"/>
        <color theme="1"/>
        <rFont val="WenQuanYi Zen Hei"/>
        <family val="2"/>
      </rPr>
      <t xml:space="preserve">機架內 </t>
    </r>
    <r>
      <rPr>
        <sz val="11"/>
        <color theme="1"/>
        <rFont val="Calibri"/>
        <family val="2"/>
        <charset val="1"/>
      </rPr>
      <t xml:space="preserve">NAND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SSD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</si>
  <si>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</si>
  <si>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WenQuanYi Zen Hei"/>
        <family val="2"/>
      </rPr>
      <t xml:space="preserve">：每匣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WenQuanYi Zen Hei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E1.S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 M.2</t>
    </r>
    <r>
      <rPr>
        <sz val="11"/>
        <color theme="1"/>
        <rFont val="WenQuanYi Zen Hei"/>
        <family val="2"/>
      </rPr>
      <t xml:space="preserve">（容量未揭露）。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$1M </t>
    </r>
    <r>
      <rPr>
        <sz val="11"/>
        <color theme="1"/>
        <rFont val="WenQuanYi Zen Hei"/>
        <family val="2"/>
      </rPr>
      <t xml:space="preserve">以上（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Tokenomics SRC_HW_008 </t>
    </r>
    <r>
      <rPr>
        <sz val="11"/>
        <color theme="1"/>
        <rFont val="WenQuanYi Zen Hei"/>
        <family val="2"/>
      </rPr>
      <t xml:space="preserve">引用同一篇，</t>
    </r>
    <r>
      <rPr>
        <sz val="11"/>
        <color theme="1"/>
        <rFont val="Calibri"/>
        <family val="2"/>
        <charset val="1"/>
      </rPr>
      <t xml:space="preserve">**</t>
    </r>
    <r>
      <rPr>
        <sz val="11"/>
        <color theme="1"/>
        <rFont val="WenQuanYi Zen Hei"/>
        <family val="2"/>
      </rPr>
      <t xml:space="preserve">不是獨立第二來源</t>
    </r>
    <r>
      <rPr>
        <sz val="11"/>
        <color theme="1"/>
        <rFont val="Calibri"/>
        <family val="2"/>
        <charset val="1"/>
      </rPr>
      <t xml:space="preserve">**</t>
    </r>
    <r>
      <rPr>
        <sz val="11"/>
        <color theme="1"/>
        <rFont val="WenQuanYi Zen Hei"/>
        <family val="2"/>
      </rPr>
      <t xml:space="preserve">；低值 </t>
    </r>
    <r>
      <rPr>
        <sz val="11"/>
        <color theme="1"/>
        <rFont val="Calibri"/>
        <family val="2"/>
        <charset val="1"/>
      </rPr>
      <t xml:space="preserve">0.2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（若 </t>
    </r>
    <r>
      <rPr>
        <sz val="11"/>
        <color theme="1"/>
        <rFont val="Calibri"/>
        <family val="2"/>
        <charset val="1"/>
      </rPr>
      <t xml:space="preserve">$1M </t>
    </r>
    <r>
      <rPr>
        <sz val="11"/>
        <color theme="1"/>
        <rFont val="WenQuanYi Zen Hei"/>
        <family val="2"/>
      </rPr>
      <t xml:space="preserve">指的是架外 </t>
    </r>
    <r>
      <rPr>
        <sz val="11"/>
        <color theme="1"/>
        <rFont val="Calibri"/>
        <family val="2"/>
        <charset val="1"/>
      </rPr>
      <t xml:space="preserve">BlueField-4 STX </t>
    </r>
    <r>
      <rPr>
        <sz val="11"/>
        <color theme="1"/>
        <rFont val="WenQuanYi Zen Hei"/>
        <family val="2"/>
      </rPr>
      <t xml:space="preserve">儲存）</t>
    </r>
  </si>
  <si>
    <t xml:space="preserve">nvsw</t>
  </si>
  <si>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WenQuanYi Zen Hei"/>
        <family val="2"/>
      </rPr>
      <t xml:space="preserve">交換匣＋背板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機架</t>
    </r>
  </si>
  <si>
    <r>
      <rPr>
        <sz val="11"/>
        <color theme="1"/>
        <rFont val="Calibri"/>
        <family val="2"/>
        <charset val="1"/>
      </rPr>
      <t xml:space="preserve">Wing VC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內容 </t>
    </r>
    <r>
      <rPr>
        <sz val="11"/>
        <color theme="1"/>
        <rFont val="Calibri"/>
        <family val="2"/>
        <charset val="1"/>
      </rPr>
      <t xml:space="preserve">&gt;92%</t>
    </r>
    <r>
      <rPr>
        <sz val="11"/>
        <color theme="1"/>
        <rFont val="WenQuanYi Zen Hei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NVLink</t>
    </r>
    <r>
      <rPr>
        <sz val="11"/>
        <color theme="1"/>
        <rFont val="WenQuanYi Zen Hei"/>
        <family val="2"/>
      </rPr>
      <t xml:space="preserve">）− 運算匣約 </t>
    </r>
    <r>
      <rPr>
        <sz val="11"/>
        <color theme="1"/>
        <rFont val="Calibri"/>
        <family val="2"/>
        <charset val="1"/>
      </rPr>
      <t xml:space="preserve">87% ≈ 5%</t>
    </r>
  </si>
  <si>
    <t xml:space="preserve">nvsw_chip</t>
  </si>
  <si>
    <t xml:space="preserve">交換匣中交換晶片占比</t>
  </si>
  <si>
    <r>
      <rPr>
        <sz val="11"/>
        <color theme="1"/>
        <rFont val="Calibri"/>
        <family val="2"/>
        <charset val="1"/>
      </rPr>
      <t xml:space="preserve">GB300 18 </t>
    </r>
    <r>
      <rPr>
        <sz val="11"/>
        <color theme="1"/>
        <rFont val="WenQuanYi Zen Hei"/>
        <family val="2"/>
      </rPr>
      <t xml:space="preserve">顆、</t>
    </r>
    <r>
      <rPr>
        <sz val="11"/>
        <color theme="1"/>
        <rFont val="Calibri"/>
        <family val="2"/>
        <charset val="1"/>
      </rPr>
      <t xml:space="preserve">VR200 36 </t>
    </r>
    <r>
      <rPr>
        <sz val="11"/>
        <color theme="1"/>
        <rFont val="WenQuanYi Zen Hei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WenQuanYi Zen Hei"/>
        <family val="2"/>
      </rPr>
      <t xml:space="preserve">交換晶片（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WenQuanYi Zen Hei"/>
        <family val="2"/>
      </rPr>
      <t xml:space="preserve">）</t>
    </r>
  </si>
  <si>
    <t xml:space="preserve">nonnv</t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</si>
  <si>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機架內容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機架</t>
    </r>
  </si>
  <si>
    <r>
      <rPr>
        <sz val="11"/>
        <color theme="1"/>
        <rFont val="Calibri"/>
        <family val="2"/>
        <charset val="1"/>
      </rPr>
      <t xml:space="preserve">Wing VC</t>
    </r>
    <r>
      <rPr>
        <sz val="11"/>
        <color theme="1"/>
        <rFont val="WenQuanYi Zen Hei"/>
        <family val="2"/>
      </rPr>
      <t xml:space="preserve">：電源架、匯流排、冷板、鋼構、線纜、整合合計 </t>
    </r>
    <r>
      <rPr>
        <sz val="11"/>
        <color theme="1"/>
        <rFont val="Calibri"/>
        <family val="2"/>
        <charset val="1"/>
      </rPr>
      <t xml:space="preserve">&lt;8%</t>
    </r>
  </si>
  <si>
    <t xml:space="preserve">cool</t>
  </si>
  <si>
    <t xml:space="preserve">其中：機架內液冷</t>
  </si>
  <si>
    <r>
      <rPr>
        <sz val="11"/>
        <color theme="1"/>
        <rFont val="Calibri"/>
        <family val="2"/>
        <charset val="1"/>
      </rPr>
      <t xml:space="preserve">$K/</t>
    </r>
    <r>
      <rPr>
        <sz val="11"/>
        <color theme="1"/>
        <rFont val="WenQuanYi Zen Hei"/>
        <family val="2"/>
      </rPr>
      <t xml:space="preserve">架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</si>
  <si>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$49,860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$56K</t>
    </r>
  </si>
  <si>
    <r>
      <rPr>
        <sz val="11"/>
        <color theme="1"/>
        <rFont val="Calibri"/>
        <family val="2"/>
        <charset val="1"/>
      </rPr>
      <t xml:space="preserve">Rack — </t>
    </r>
    <r>
      <rPr>
        <sz val="11"/>
        <color theme="1"/>
        <rFont val="WenQuanYi Zen Hei"/>
        <family val="2"/>
      </rPr>
      <t xml:space="preserve">每架拆分（</t>
    </r>
    <r>
      <rPr>
        <sz val="11"/>
        <color theme="1"/>
        <rFont val="Calibri"/>
        <family val="2"/>
        <charset val="1"/>
      </rPr>
      <t xml:space="preserve">$M/</t>
    </r>
    <r>
      <rPr>
        <sz val="11"/>
        <color theme="1"/>
        <rFont val="WenQuanYi Zen Hei"/>
        <family val="2"/>
      </rPr>
      <t xml:space="preserve">架；各欄皆用基準值）。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WenQuanYi Zen Hei"/>
        <family val="2"/>
      </rPr>
      <t xml:space="preserve">欄：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WenQuanYi Zen Hei"/>
        <family val="2"/>
      </rPr>
      <t xml:space="preserve">價、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吸收（售價不變）；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WenQuanYi Zen Hei"/>
        <family val="2"/>
      </rPr>
      <t xml:space="preserve">欄：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WenQuanYi Zen Hei"/>
        <family val="2"/>
      </rPr>
      <t xml:space="preserve">價、全額轉嫁（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與機架售價上調）</t>
    </r>
  </si>
  <si>
    <t xml:space="preserve">GB300 NVL72</t>
  </si>
  <si>
    <r>
      <rPr>
        <b val="true"/>
        <sz val="11"/>
        <rFont val="Cambria"/>
        <family val="0"/>
        <charset val="1"/>
      </rPr>
      <t xml:space="preserve">VR200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 HBM </t>
    </r>
    <r>
      <rPr>
        <b val="true"/>
        <sz val="11"/>
        <rFont val="WenQuanYi Zen Hei"/>
        <family val="2"/>
      </rPr>
      <t xml:space="preserve">價）</t>
    </r>
  </si>
  <si>
    <r>
      <rPr>
        <b val="true"/>
        <sz val="11"/>
        <rFont val="Cambria"/>
        <family val="0"/>
        <charset val="1"/>
      </rPr>
      <t xml:space="preserve">VR200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2027 HBM </t>
    </r>
    <r>
      <rPr>
        <b val="true"/>
        <sz val="11"/>
        <rFont val="WenQuanYi Zen Hei"/>
        <family val="2"/>
      </rPr>
      <t xml:space="preserve">價，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WenQuanYi Zen Hei"/>
        <family val="2"/>
      </rPr>
      <t xml:space="preserve">吸收）</t>
    </r>
  </si>
  <si>
    <r>
      <rPr>
        <b val="true"/>
        <sz val="11"/>
        <rFont val="Cambria"/>
        <family val="0"/>
        <charset val="1"/>
      </rPr>
      <t xml:space="preserve">VR200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2027 HBM </t>
    </r>
    <r>
      <rPr>
        <b val="true"/>
        <sz val="11"/>
        <rFont val="WenQuanYi Zen Hei"/>
        <family val="2"/>
      </rPr>
      <t xml:space="preserve">價，全額轉嫁）</t>
    </r>
  </si>
  <si>
    <t xml:space="preserve">說明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</si>
  <si>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$/GB</t>
    </r>
  </si>
  <si>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$K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</si>
  <si>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模組售價 </t>
    </r>
    <r>
      <rPr>
        <sz val="11"/>
        <color theme="1"/>
        <rFont val="Calibri"/>
        <family val="2"/>
        <charset val="1"/>
      </rPr>
      <t xml:space="preserve">$K</t>
    </r>
  </si>
  <si>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WenQuanYi Zen Hei"/>
        <family val="2"/>
      </rPr>
      <t xml:space="preserve">欄：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增加額全額加到售價</t>
    </r>
  </si>
  <si>
    <r>
      <rPr>
        <sz val="11"/>
        <color theme="1"/>
        <rFont val="WenQuanYi Zen Hei"/>
        <family val="2"/>
      </rPr>
      <t xml:space="preserve">  台積電（邏輯＋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$K</t>
    </r>
  </si>
  <si>
    <r>
      <rPr>
        <sz val="11"/>
        <color theme="1"/>
        <rFont val="WenQuanYi Zen Hei"/>
        <family val="2"/>
      </rPr>
      <t xml:space="preserve">  其他製造 </t>
    </r>
    <r>
      <rPr>
        <sz val="11"/>
        <color theme="1"/>
        <rFont val="Calibri"/>
        <family val="2"/>
        <charset val="1"/>
      </rPr>
      <t xml:space="preserve">$K</t>
    </r>
  </si>
  <si>
    <r>
      <rPr>
        <sz val="11"/>
        <color theme="1"/>
        <rFont val="Calibri"/>
        <family val="2"/>
        <charset val="1"/>
      </rPr>
      <t xml:space="preserve">  NVIDIA </t>
    </r>
    <r>
      <rPr>
        <sz val="11"/>
        <color theme="1"/>
        <rFont val="WenQuanYi Zen Hei"/>
        <family val="2"/>
      </rPr>
      <t xml:space="preserve">晶片毛利 </t>
    </r>
    <r>
      <rPr>
        <sz val="11"/>
        <color theme="1"/>
        <rFont val="Calibri"/>
        <family val="2"/>
        <charset val="1"/>
      </rPr>
      <t xml:space="preserve">$K</t>
    </r>
    <r>
      <rPr>
        <sz val="11"/>
        <color theme="1"/>
        <rFont val="WenQuanYi Zen Hei"/>
        <family val="2"/>
      </rPr>
      <t xml:space="preserve">（殘差）</t>
    </r>
  </si>
  <si>
    <r>
      <rPr>
        <sz val="11"/>
        <color theme="1"/>
        <rFont val="Calibri"/>
        <family val="2"/>
        <charset val="1"/>
      </rPr>
      <t xml:space="preserve">  NVIDIA </t>
    </r>
    <r>
      <rPr>
        <sz val="11"/>
        <color theme="1"/>
        <rFont val="WenQuanYi Zen Hei"/>
        <family val="2"/>
      </rPr>
      <t xml:space="preserve">晶片層級毛利率</t>
    </r>
  </si>
  <si>
    <r>
      <rPr>
        <sz val="11"/>
        <color theme="1"/>
        <rFont val="Calibri"/>
        <family val="2"/>
        <charset val="1"/>
      </rPr>
      <t xml:space="preserve">  HBM ÷ GPU </t>
    </r>
    <r>
      <rPr>
        <sz val="11"/>
        <color theme="1"/>
        <rFont val="WenQuanYi Zen Hei"/>
        <family val="2"/>
      </rPr>
      <t xml:space="preserve">售價</t>
    </r>
  </si>
  <si>
    <r>
      <rPr>
        <sz val="11"/>
        <color theme="1"/>
        <rFont val="WenQuanYi Zen Hei"/>
        <family val="2"/>
      </rPr>
      <t xml:space="preserve">  台積電 </t>
    </r>
    <r>
      <rPr>
        <sz val="11"/>
        <color theme="1"/>
        <rFont val="Calibri"/>
        <family val="2"/>
        <charset val="1"/>
      </rPr>
      <t xml:space="preserve">÷ GPU </t>
    </r>
    <r>
      <rPr>
        <sz val="11"/>
        <color theme="1"/>
        <rFont val="WenQuanYi Zen Hei"/>
        <family val="2"/>
      </rPr>
      <t xml:space="preserve">售價</t>
    </r>
  </si>
  <si>
    <r>
      <rPr>
        <sz val="11"/>
        <color theme="1"/>
        <rFont val="WenQuanYi Zen Hei"/>
        <family val="2"/>
      </rPr>
      <t xml:space="preserve">機架售價 </t>
    </r>
    <r>
      <rPr>
        <sz val="11"/>
        <color theme="1"/>
        <rFont val="Calibri"/>
        <family val="2"/>
        <charset val="1"/>
      </rPr>
      <t xml:space="preserve">$M</t>
    </r>
  </si>
  <si>
    <r>
      <rPr>
        <sz val="11"/>
        <color theme="1"/>
        <rFont val="Calibri"/>
        <family val="2"/>
        <charset val="1"/>
      </rPr>
      <t xml:space="preserve">B–D </t>
    </r>
    <r>
      <rPr>
        <sz val="11"/>
        <color theme="1"/>
        <rFont val="WenQuanYi Zen Hei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WenQuanYi Zen Hei"/>
        <family val="2"/>
      </rPr>
      <t xml:space="preserve">基準；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WenQuanYi Zen Hei"/>
        <family val="2"/>
      </rPr>
      <t xml:space="preserve">欄＝加上轉嫁額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</si>
  <si>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模組（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WenQuanYi Zen Hei"/>
        <family val="2"/>
      </rPr>
      <t xml:space="preserve">顆）</t>
    </r>
  </si>
  <si>
    <t xml:space="preserve">  HBM</t>
  </si>
  <si>
    <r>
      <rPr>
        <sz val="11"/>
        <color theme="1"/>
        <rFont val="WenQuanYi Zen Hei"/>
        <family val="2"/>
      </rPr>
      <t xml:space="preserve">  台積電（邏輯＋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WenQuanYi Zen Hei"/>
        <family val="2"/>
      </rPr>
      <t xml:space="preserve">）</t>
    </r>
  </si>
  <si>
    <t xml:space="preserve">  其他製造</t>
  </si>
  <si>
    <r>
      <rPr>
        <sz val="11"/>
        <color theme="1"/>
        <rFont val="Calibri"/>
        <family val="2"/>
        <charset val="1"/>
      </rPr>
      <t xml:space="preserve">  NVIDIA </t>
    </r>
    <r>
      <rPr>
        <sz val="11"/>
        <color theme="1"/>
        <rFont val="WenQuanYi Zen Hei"/>
        <family val="2"/>
      </rPr>
      <t xml:space="preserve">晶片毛利</t>
    </r>
  </si>
  <si>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Grace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</si>
  <si>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HBM DRAM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LPDDR5X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</si>
  <si>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TB × $/GB ÷ 1000 </t>
    </r>
    <r>
      <rPr>
        <sz val="11"/>
        <color theme="1"/>
        <rFont val="WenQuanYi Zen Hei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$M</t>
    </r>
  </si>
  <si>
    <r>
      <rPr>
        <sz val="11"/>
        <color theme="1"/>
        <rFont val="Calibri"/>
        <family val="2"/>
        <charset val="1"/>
      </rPr>
      <t xml:space="preserve">NAND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SSD</t>
    </r>
    <r>
      <rPr>
        <sz val="11"/>
        <color theme="1"/>
        <rFont val="WenQuanYi Zen Hei"/>
        <family val="2"/>
      </rPr>
      <t xml:space="preserve">（機架內）</t>
    </r>
  </si>
  <si>
    <t xml:space="preserve">SuperNIC</t>
  </si>
  <si>
    <t xml:space="preserve">DPU</t>
  </si>
  <si>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WenQuanYi Zen Hei"/>
        <family val="2"/>
      </rPr>
      <t xml:space="preserve">交換匣＋背板</t>
    </r>
  </si>
  <si>
    <r>
      <rPr>
        <sz val="11"/>
        <color theme="1"/>
        <rFont val="WenQuanYi Zen Hei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WenQuanYi Zen Hei"/>
        <family val="2"/>
      </rPr>
      <t xml:space="preserve">機架價計（不隨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轉嫁放大）</t>
    </r>
  </si>
  <si>
    <r>
      <rPr>
        <sz val="11"/>
        <color theme="1"/>
        <rFont val="Calibri"/>
        <family val="2"/>
        <charset val="1"/>
      </rPr>
      <t xml:space="preserve">  NVLink </t>
    </r>
    <r>
      <rPr>
        <sz val="11"/>
        <color theme="1"/>
        <rFont val="WenQuanYi Zen Hei"/>
        <family val="2"/>
      </rPr>
      <t xml:space="preserve">交換晶片</t>
    </r>
  </si>
  <si>
    <t xml:space="preserve">  交換匣其他（含銅纜背板）</t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</si>
  <si>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機架內容（電源、冷卻、機構、整合）</t>
    </r>
  </si>
  <si>
    <t xml:space="preserve">  其中：液冷</t>
  </si>
  <si>
    <r>
      <rPr>
        <sz val="11"/>
        <color theme="1"/>
        <rFont val="WenQuanYi Zen Hei"/>
        <family val="2"/>
      </rPr>
      <t xml:space="preserve">殘差：匣級電路板、供電與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WenQuanYi Zen Hei"/>
        <family val="2"/>
      </rPr>
      <t xml:space="preserve">匣級加價</t>
    </r>
  </si>
  <si>
    <t xml:space="preserve">負值＝輸入互相矛盾（構件加總超過售價）</t>
  </si>
  <si>
    <r>
      <rPr>
        <sz val="11"/>
        <color theme="1"/>
        <rFont val="WenQuanYi Zen Hei"/>
        <family val="2"/>
      </rPr>
      <t xml:space="preserve">  殘差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機架售價</t>
    </r>
  </si>
  <si>
    <r>
      <rPr>
        <sz val="11"/>
        <color theme="1"/>
        <rFont val="WenQuanYi Zen Hei"/>
        <family val="2"/>
      </rPr>
      <t xml:space="preserve">核對：構件＋殘差－售價（應為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</si>
  <si>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Bridge — </t>
    </r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晶片內容橋接表（軸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：買方每一塊錢分到哪裡；</t>
    </r>
    <r>
      <rPr>
        <sz val="11"/>
        <color theme="1"/>
        <rFont val="Calibri"/>
        <family val="2"/>
        <charset val="1"/>
      </rPr>
      <t xml:space="preserve">$B/GW IT </t>
    </r>
    <r>
      <rPr>
        <sz val="11"/>
        <color theme="1"/>
        <rFont val="WenQuanYi Zen Hei"/>
        <family val="2"/>
      </rPr>
      <t xml:space="preserve">關鍵電力）</t>
    </r>
  </si>
  <si>
    <r>
      <rPr>
        <sz val="11"/>
        <color theme="1"/>
        <rFont val="WenQuanYi Zen Hei"/>
        <family val="2"/>
      </rPr>
      <t xml:space="preserve">每架項目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機架數；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與儲存依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WenQuanYi Zen Hei"/>
        <family val="2"/>
      </rPr>
      <t xml:space="preserve">口徑；廠房＝</t>
    </r>
    <r>
      <rPr>
        <sz val="11"/>
        <color theme="1"/>
        <rFont val="Calibri"/>
        <family val="2"/>
        <charset val="1"/>
      </rPr>
      <t xml:space="preserve">IF_CapexFacility</t>
    </r>
    <r>
      <rPr>
        <sz val="11"/>
        <color theme="1"/>
        <rFont val="WenQuanYi Zen Hei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WenQuanYi Zen Hei"/>
        <family val="2"/>
      </rPr>
      <t xml:space="preserve">欄的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合計高於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WenQuanYi Zen Hei"/>
        <family val="2"/>
      </rPr>
      <t xml:space="preserve">（轉嫁額），見核對列</t>
    </r>
  </si>
  <si>
    <t xml:space="preserve">項目（縮排＝樹狀層級）</t>
  </si>
  <si>
    <t xml:space="preserve">GB300</t>
  </si>
  <si>
    <t xml:space="preserve">VR200 2026</t>
  </si>
  <si>
    <r>
      <rPr>
        <b val="true"/>
        <sz val="11"/>
        <rFont val="Cambria"/>
        <family val="0"/>
        <charset val="1"/>
      </rPr>
      <t xml:space="preserve">VR200 2027 </t>
    </r>
    <r>
      <rPr>
        <b val="true"/>
        <sz val="11"/>
        <rFont val="WenQuanYi Zen Hei"/>
        <family val="2"/>
      </rPr>
      <t xml:space="preserve">吸收</t>
    </r>
  </si>
  <si>
    <r>
      <rPr>
        <b val="true"/>
        <sz val="11"/>
        <rFont val="Cambria"/>
        <family val="0"/>
        <charset val="1"/>
      </rPr>
      <t xml:space="preserve">VR200 2027 </t>
    </r>
    <r>
      <rPr>
        <b val="true"/>
        <sz val="11"/>
        <rFont val="WenQuanYi Zen Hei"/>
        <family val="2"/>
      </rPr>
      <t xml:space="preserve">轉嫁</t>
    </r>
  </si>
  <si>
    <r>
      <rPr>
        <b val="true"/>
        <sz val="11"/>
        <rFont val="Cambria"/>
        <family val="0"/>
        <charset val="1"/>
      </rPr>
      <t xml:space="preserve">GB300 ÷ </t>
    </r>
    <r>
      <rPr>
        <b val="true"/>
        <sz val="11"/>
        <rFont val="WenQuanYi Zen Hei"/>
        <family val="2"/>
      </rPr>
      <t xml:space="preserve">總 </t>
    </r>
    <r>
      <rPr>
        <b val="true"/>
        <sz val="11"/>
        <rFont val="Cambria"/>
        <family val="0"/>
        <charset val="1"/>
      </rPr>
      <t xml:space="preserve">capex</t>
    </r>
  </si>
  <si>
    <r>
      <rPr>
        <b val="true"/>
        <sz val="11"/>
        <rFont val="Cambria"/>
        <family val="0"/>
        <charset val="1"/>
      </rPr>
      <t xml:space="preserve">VR200 2026 ÷ </t>
    </r>
    <r>
      <rPr>
        <b val="true"/>
        <sz val="11"/>
        <rFont val="WenQuanYi Zen Hei"/>
        <family val="2"/>
      </rPr>
      <t xml:space="preserve">總 </t>
    </r>
    <r>
      <rPr>
        <b val="true"/>
        <sz val="11"/>
        <rFont val="Cambria"/>
        <family val="0"/>
        <charset val="1"/>
      </rPr>
      <t xml:space="preserve">capex</t>
    </r>
  </si>
  <si>
    <r>
      <rPr>
        <b val="true"/>
        <sz val="11"/>
        <rFont val="Cambria"/>
        <family val="0"/>
        <charset val="1"/>
      </rPr>
      <t xml:space="preserve">VR200 2027 </t>
    </r>
    <r>
      <rPr>
        <b val="true"/>
        <sz val="11"/>
        <rFont val="WenQuanYi Zen Hei"/>
        <family val="2"/>
      </rPr>
      <t xml:space="preserve">吸收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WenQuanYi Zen Hei"/>
        <family val="2"/>
      </rPr>
      <t xml:space="preserve">總</t>
    </r>
  </si>
  <si>
    <r>
      <rPr>
        <b val="true"/>
        <sz val="11"/>
        <rFont val="Cambria"/>
        <family val="0"/>
        <charset val="1"/>
      </rPr>
      <t xml:space="preserve">VR200 2027 </t>
    </r>
    <r>
      <rPr>
        <b val="true"/>
        <sz val="11"/>
        <rFont val="WenQuanYi Zen Hei"/>
        <family val="2"/>
      </rPr>
      <t xml:space="preserve">轉嫁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WenQuanYi Zen Hei"/>
        <family val="2"/>
      </rPr>
      <t xml:space="preserve">總</t>
    </r>
  </si>
  <si>
    <t xml:space="preserve">下游歸屬</t>
  </si>
  <si>
    <r>
      <rPr>
        <b val="true"/>
        <sz val="11"/>
        <rFont val="WenQuanYi Zen Hei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capex </t>
    </r>
    <r>
      <rPr>
        <b val="true"/>
        <sz val="11"/>
        <rFont val="WenQuanYi Zen Hei"/>
        <family val="2"/>
      </rPr>
      <t xml:space="preserve">合計</t>
    </r>
  </si>
  <si>
    <t xml:space="preserve">├ 廠房（機房、電力、冷卻）</t>
  </si>
  <si>
    <t xml:space="preserve">電力基建專案</t>
  </si>
  <si>
    <r>
      <rPr>
        <b val="true"/>
        <sz val="11"/>
        <rFont val="Cambria"/>
        <family val="0"/>
        <charset val="1"/>
      </rPr>
      <t xml:space="preserve">└ IT </t>
    </r>
    <r>
      <rPr>
        <b val="true"/>
        <sz val="11"/>
        <rFont val="WenQuanYi Zen Hei"/>
        <family val="2"/>
      </rPr>
      <t xml:space="preserve">設備</t>
    </r>
  </si>
  <si>
    <t xml:space="preserve">   ├ 伺服器／機架</t>
  </si>
  <si>
    <r>
      <rPr>
        <sz val="11"/>
        <color theme="1"/>
        <rFont val="WenQuanYi Zen Hei"/>
        <family val="2"/>
      </rPr>
      <t xml:space="preserve">註：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WenQuanYi Zen Hei"/>
        <family val="2"/>
      </rPr>
      <t xml:space="preserve">交換匣實體在機架內，此處移到『網通』列示，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合計已扣除避免重複</t>
    </r>
  </si>
  <si>
    <r>
      <rPr>
        <b val="true"/>
        <sz val="11"/>
        <rFont val="WenQuanYi Zen Hei"/>
        <family val="2"/>
      </rPr>
      <t xml:space="preserve">   │  ├ 加速器封裝（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WenQuanYi Zen Hei"/>
        <family val="2"/>
      </rPr>
      <t xml:space="preserve">模組）</t>
    </r>
  </si>
  <si>
    <r>
      <rPr>
        <sz val="11"/>
        <rFont val="Cambria"/>
        <family val="0"/>
        <charset val="1"/>
      </rPr>
      <t xml:space="preserve">   │  │  ├ GPU </t>
    </r>
    <r>
      <rPr>
        <sz val="11"/>
        <rFont val="WenQuanYi Zen Hei"/>
        <family val="2"/>
      </rPr>
      <t xml:space="preserve">晶片：</t>
    </r>
    <r>
      <rPr>
        <sz val="11"/>
        <rFont val="Cambria"/>
        <family val="0"/>
        <charset val="1"/>
      </rPr>
      <t xml:space="preserve">NVIDIA </t>
    </r>
    <r>
      <rPr>
        <sz val="11"/>
        <rFont val="WenQuanYi Zen Hei"/>
        <family val="2"/>
      </rPr>
      <t xml:space="preserve">毛利（設計）</t>
    </r>
  </si>
  <si>
    <t xml:space="preserve">NVDA</t>
  </si>
  <si>
    <r>
      <rPr>
        <sz val="11"/>
        <rFont val="Cambria"/>
        <family val="0"/>
        <charset val="1"/>
      </rPr>
      <t xml:space="preserve">   │  │  ├ GPU </t>
    </r>
    <r>
      <rPr>
        <sz val="11"/>
        <rFont val="WenQuanYi Zen Hei"/>
        <family val="2"/>
      </rPr>
      <t xml:space="preserve">晶片＋</t>
    </r>
    <r>
      <rPr>
        <sz val="11"/>
        <rFont val="Cambria"/>
        <family val="0"/>
        <charset val="1"/>
      </rPr>
      <t xml:space="preserve">CoWoS</t>
    </r>
    <r>
      <rPr>
        <sz val="11"/>
        <rFont val="WenQuanYi Zen Hei"/>
        <family val="2"/>
      </rPr>
      <t xml:space="preserve">：台積電</t>
    </r>
  </si>
  <si>
    <r>
      <rPr>
        <sz val="11"/>
        <color theme="1"/>
        <rFont val="WenQuanYi Zen Hei"/>
        <family val="2"/>
      </rPr>
      <t xml:space="preserve">台積電（軸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</si>
  <si>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   │  │  ├ HBM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</si>
  <si>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海力士／三星／美光</t>
    </r>
  </si>
  <si>
    <t xml:space="preserve">   │  │  └ 其他製造（基板、測試、良率損失）</t>
  </si>
  <si>
    <t xml:space="preserve">基板廠、封測</t>
  </si>
  <si>
    <r>
      <rPr>
        <sz val="11"/>
        <rFont val="Cambria"/>
        <family val="0"/>
        <charset val="1"/>
      </rPr>
      <t xml:space="preserve">   │  ├ CPU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Grace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Vera</t>
    </r>
    <r>
      <rPr>
        <sz val="1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</si>
  <si>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NVDA</t>
    </r>
    <r>
      <rPr>
        <sz val="11"/>
        <color theme="1"/>
        <rFont val="WenQuanYi Zen Hei"/>
        <family val="2"/>
      </rPr>
      <t xml:space="preserve">（台積電代工）</t>
    </r>
  </si>
  <si>
    <r>
      <rPr>
        <sz val="11"/>
        <rFont val="WenQuanYi Zen Hei"/>
        <family val="2"/>
      </rPr>
      <t xml:space="preserve">   │  ├ 非 </t>
    </r>
    <r>
      <rPr>
        <sz val="11"/>
        <rFont val="Cambria"/>
        <family val="0"/>
        <charset val="1"/>
      </rPr>
      <t xml:space="preserve">HBM DRAM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LPDDR5X</t>
    </r>
    <r>
      <rPr>
        <sz val="11"/>
        <rFont val="WenQuanYi Zen Hei"/>
        <family val="2"/>
      </rPr>
      <t xml:space="preserve">）</t>
    </r>
  </si>
  <si>
    <t xml:space="preserve">記憶體三家</t>
  </si>
  <si>
    <r>
      <rPr>
        <sz val="11"/>
        <rFont val="Cambria"/>
        <family val="0"/>
        <charset val="1"/>
      </rPr>
      <t xml:space="preserve">   │  ├ NAND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SSD</t>
    </r>
    <r>
      <rPr>
        <sz val="11"/>
        <rFont val="WenQuanYi Zen Hei"/>
        <family val="2"/>
      </rPr>
      <t xml:space="preserve">（機架內）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</si>
  <si>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廠</t>
    </r>
  </si>
  <si>
    <r>
      <rPr>
        <sz val="11"/>
        <rFont val="Cambria"/>
        <family val="0"/>
        <charset val="1"/>
      </rPr>
      <t xml:space="preserve">   │  ├ SuperNIC</t>
    </r>
    <r>
      <rPr>
        <sz val="11"/>
        <rFont val="WenQuanYi Zen Hei"/>
        <family val="2"/>
      </rPr>
      <t xml:space="preserve">＋</t>
    </r>
    <r>
      <rPr>
        <sz val="11"/>
        <rFont val="Cambria"/>
        <family val="0"/>
        <charset val="1"/>
      </rPr>
      <t xml:space="preserve">DPU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scale-out </t>
    </r>
    <r>
      <rPr>
        <sz val="11"/>
        <rFont val="WenQuanYi Zen Hei"/>
        <family val="2"/>
      </rPr>
      <t xml:space="preserve">端點，機架內）</t>
    </r>
  </si>
  <si>
    <r>
      <rPr>
        <sz val="11"/>
        <rFont val="WenQuanYi Zen Hei"/>
        <family val="2"/>
      </rPr>
      <t xml:space="preserve">   │  ├ 非 </t>
    </r>
    <r>
      <rPr>
        <sz val="11"/>
        <rFont val="Cambria"/>
        <family val="0"/>
        <charset val="1"/>
      </rPr>
      <t xml:space="preserve">NVIDIA </t>
    </r>
    <r>
      <rPr>
        <sz val="11"/>
        <rFont val="WenQuanYi Zen Hei"/>
        <family val="2"/>
      </rPr>
      <t xml:space="preserve">機架內容（電源、冷卻、機構、整合）</t>
    </r>
  </si>
  <si>
    <t xml:space="preserve">台系供應鏈（待定）</t>
  </si>
  <si>
    <r>
      <rPr>
        <sz val="11"/>
        <rFont val="WenQuanYi Zen Hei"/>
        <family val="2"/>
      </rPr>
      <t xml:space="preserve">   │  └ 殘差：匣級電路板、供電、</t>
    </r>
    <r>
      <rPr>
        <sz val="11"/>
        <rFont val="Cambria"/>
        <family val="0"/>
        <charset val="1"/>
      </rPr>
      <t xml:space="preserve">NVIDIA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ODM </t>
    </r>
    <r>
      <rPr>
        <sz val="11"/>
        <rFont val="WenQuanYi Zen Hei"/>
        <family val="2"/>
      </rPr>
      <t xml:space="preserve">匣級加價</t>
    </r>
  </si>
  <si>
    <r>
      <rPr>
        <sz val="11"/>
        <color theme="1"/>
        <rFont val="Calibri"/>
        <family val="2"/>
        <charset val="1"/>
      </rPr>
      <t xml:space="preserve">NVDA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WenQuanYi Zen Hei"/>
        <family val="2"/>
      </rPr>
      <t xml:space="preserve">（未拆）</t>
    </r>
  </si>
  <si>
    <t xml:space="preserve">   ├ 網通</t>
  </si>
  <si>
    <r>
      <rPr>
        <sz val="11"/>
        <rFont val="Cambria"/>
        <family val="0"/>
        <charset val="1"/>
      </rPr>
      <t xml:space="preserve">   │  ├ scale-up</t>
    </r>
    <r>
      <rPr>
        <sz val="11"/>
        <rFont val="WenQuanYi Zen Hei"/>
        <family val="2"/>
      </rPr>
      <t xml:space="preserve">：</t>
    </r>
    <r>
      <rPr>
        <sz val="11"/>
        <rFont val="Cambria"/>
        <family val="0"/>
        <charset val="1"/>
      </rPr>
      <t xml:space="preserve">NVLink </t>
    </r>
    <r>
      <rPr>
        <sz val="11"/>
        <rFont val="WenQuanYi Zen Hei"/>
        <family val="2"/>
      </rPr>
      <t xml:space="preserve">交換晶片</t>
    </r>
  </si>
  <si>
    <r>
      <rPr>
        <sz val="11"/>
        <rFont val="Cambria"/>
        <family val="0"/>
        <charset val="1"/>
      </rPr>
      <t xml:space="preserve">   │  ├ scale-up</t>
    </r>
    <r>
      <rPr>
        <sz val="11"/>
        <rFont val="WenQuanYi Zen Hei"/>
        <family val="2"/>
      </rPr>
      <t xml:space="preserve">：交換匣其他（含銅纜背板）</t>
    </r>
  </si>
  <si>
    <r>
      <rPr>
        <sz val="11"/>
        <color theme="1"/>
        <rFont val="Calibri"/>
        <family val="2"/>
        <charset val="1"/>
      </rPr>
      <t xml:space="preserve">NVDA</t>
    </r>
    <r>
      <rPr>
        <sz val="11"/>
        <color theme="1"/>
        <rFont val="WenQuanYi Zen Hei"/>
        <family val="2"/>
      </rPr>
      <t xml:space="preserve">／線纜</t>
    </r>
  </si>
  <si>
    <r>
      <rPr>
        <sz val="11"/>
        <rFont val="Cambria"/>
        <family val="0"/>
        <charset val="1"/>
      </rPr>
      <t xml:space="preserve">   │  └ scale-out</t>
    </r>
    <r>
      <rPr>
        <sz val="11"/>
        <rFont val="WenQuanYi Zen Hei"/>
        <family val="2"/>
      </rPr>
      <t xml:space="preserve">：機架外（交換器、光模組、線纜；步驟 </t>
    </r>
    <r>
      <rPr>
        <sz val="11"/>
        <rFont val="Cambria"/>
        <family val="0"/>
        <charset val="1"/>
      </rPr>
      <t xml:space="preserve">3 </t>
    </r>
    <r>
      <rPr>
        <sz val="11"/>
        <rFont val="WenQuanYi Zen Hei"/>
        <family val="2"/>
      </rPr>
      <t xml:space="preserve">拆分）</t>
    </r>
  </si>
  <si>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NVDA</t>
    </r>
    <r>
      <rPr>
        <sz val="11"/>
        <color theme="1"/>
        <rFont val="WenQuanYi Zen Hei"/>
        <family val="2"/>
      </rPr>
      <t xml:space="preserve">、光模組</t>
    </r>
  </si>
  <si>
    <t xml:space="preserve">   └ 儲存與管理</t>
  </si>
  <si>
    <t xml:space="preserve">未拆</t>
  </si>
  <si>
    <t xml:space="preserve">核對</t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</si>
  <si>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合計 − </t>
    </r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B–D </t>
    </r>
    <r>
      <rPr>
        <sz val="11"/>
        <color theme="1"/>
        <rFont val="WenQuanYi Zen Hei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WenQuanYi Zen Hei"/>
        <family val="2"/>
      </rPr>
      <t xml:space="preserve">＝轉嫁額）</t>
    </r>
  </si>
  <si>
    <r>
      <rPr>
        <sz val="11"/>
        <color theme="1"/>
        <rFont val="WenQuanYi Zen Hei"/>
        <family val="2"/>
      </rPr>
      <t xml:space="preserve">合計 − </t>
    </r>
    <r>
      <rPr>
        <sz val="11"/>
        <color theme="1"/>
        <rFont val="Calibri"/>
        <family val="2"/>
        <charset val="1"/>
      </rPr>
      <t xml:space="preserve">Tokenomics IF_CapexTotal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B–D </t>
    </r>
    <r>
      <rPr>
        <sz val="11"/>
        <color theme="1"/>
        <rFont val="WenQuanYi Zen Hei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</si>
  <si>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記憶體彙總（</t>
    </r>
    <r>
      <rPr>
        <b val="true"/>
        <sz val="11"/>
        <rFont val="Cambria"/>
        <family val="0"/>
        <charset val="1"/>
      </rPr>
      <t xml:space="preserve">$B/GW</t>
    </r>
    <r>
      <rPr>
        <b val="true"/>
        <sz val="11"/>
        <rFont val="WenQuanYi Zen Hei"/>
        <family val="2"/>
      </rPr>
      <t xml:space="preserve">）</t>
    </r>
  </si>
  <si>
    <t xml:space="preserve">HBM</t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</si>
  <si>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LPDDR5X</t>
    </r>
    <r>
      <rPr>
        <sz val="11"/>
        <color theme="1"/>
        <rFont val="WenQuanYi Zen Hei"/>
        <family val="2"/>
      </rPr>
      <t xml:space="preserve">＋機架內 </t>
    </r>
    <r>
      <rPr>
        <sz val="11"/>
        <color theme="1"/>
        <rFont val="Calibri"/>
        <family val="2"/>
        <charset val="1"/>
      </rPr>
      <t xml:space="preserve">NAND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</si>
  <si>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  其中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LPDDR5X</t>
    </r>
    <r>
      <rPr>
        <sz val="11"/>
        <color theme="1"/>
        <rFont val="WenQuanYi Zen Hei"/>
        <family val="2"/>
      </rPr>
      <t xml:space="preserve">）</t>
    </r>
  </si>
  <si>
    <t xml:space="preserve">記憶體合計（不含儲存層、機架外）</t>
  </si>
  <si>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WenQuanYi Zen Hei"/>
        <family val="2"/>
      </rPr>
      <t xml:space="preserve">記憶體合計</t>
    </r>
  </si>
  <si>
    <t xml:space="preserve">HBM ÷ IT capex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</si>
  <si>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LPDDR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IT capex</t>
    </r>
  </si>
  <si>
    <t xml:space="preserve">回饋算力收支的摘要數字（每顆加速器）</t>
  </si>
  <si>
    <r>
      <rPr>
        <sz val="11"/>
        <color theme="1"/>
        <rFont val="WenQuanYi Zen Hei"/>
        <family val="2"/>
      </rPr>
      <t xml:space="preserve">每顆加速器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$K</t>
    </r>
  </si>
  <si>
    <r>
      <rPr>
        <sz val="11"/>
        <color theme="1"/>
        <rFont val="Calibri"/>
        <family val="2"/>
        <charset val="1"/>
      </rPr>
      <t xml:space="preserve">HBM ÷ GPU </t>
    </r>
    <r>
      <rPr>
        <sz val="11"/>
        <color theme="1"/>
        <rFont val="WenQuanYi Zen Hei"/>
        <family val="2"/>
      </rPr>
      <t xml:space="preserve">售價</t>
    </r>
  </si>
  <si>
    <r>
      <rPr>
        <sz val="11"/>
        <color theme="1"/>
        <rFont val="WenQuanYi Zen Hei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÷ GPU </t>
    </r>
    <r>
      <rPr>
        <sz val="11"/>
        <color theme="1"/>
        <rFont val="WenQuanYi Zen Hei"/>
        <family val="2"/>
      </rPr>
      <t xml:space="preserve">售價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</si>
  <si>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晶片層級毛利率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</si>
  <si>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÷ IT capex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毛利＋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NIC/DPU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NVLink</t>
    </r>
    <r>
      <rPr>
        <sz val="11"/>
        <color theme="1"/>
        <rFont val="WenQuanYi Zen Hei"/>
        <family val="2"/>
      </rPr>
      <t xml:space="preserve">＋殘差）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</si>
  <si>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WenQuanYi Zen Hei"/>
        <family val="2"/>
      </rPr>
      <t xml:space="preserve">單變數敏感度（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WenQuanYi Zen Hei"/>
        <family val="2"/>
      </rPr>
      <t xml:space="preserve">；一次只動一個藍字輸入；其餘＝基準）。先看本頁，再看 </t>
    </r>
    <r>
      <rPr>
        <sz val="11"/>
        <color theme="1"/>
        <rFont val="Calibri"/>
        <family val="2"/>
        <charset val="1"/>
      </rPr>
      <t xml:space="preserve">Bridge </t>
    </r>
    <r>
      <rPr>
        <sz val="11"/>
        <color theme="1"/>
        <rFont val="WenQuanYi Zen Hei"/>
        <family val="2"/>
      </rPr>
      <t xml:space="preserve">基準</t>
    </r>
  </si>
  <si>
    <t xml:space="preserve">情境</t>
  </si>
  <si>
    <t xml:space="preserve">HBM $/GB</t>
  </si>
  <si>
    <r>
      <rPr>
        <b val="true"/>
        <sz val="11"/>
        <rFont val="Cambria"/>
        <family val="0"/>
        <charset val="1"/>
      </rPr>
      <t xml:space="preserve">LPDDR TB/</t>
    </r>
    <r>
      <rPr>
        <b val="true"/>
        <sz val="11"/>
        <rFont val="WenQuanYi Zen Hei"/>
        <family val="2"/>
      </rPr>
      <t xml:space="preserve">架</t>
    </r>
  </si>
  <si>
    <t xml:space="preserve">LPDDR $/GB</t>
  </si>
  <si>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WenQuanYi Zen Hei"/>
        <family val="2"/>
      </rPr>
      <t xml:space="preserve">售價 </t>
    </r>
    <r>
      <rPr>
        <b val="true"/>
        <sz val="11"/>
        <rFont val="Cambria"/>
        <family val="0"/>
        <charset val="1"/>
      </rPr>
      <t xml:space="preserve">$K</t>
    </r>
  </si>
  <si>
    <r>
      <rPr>
        <b val="true"/>
        <sz val="11"/>
        <rFont val="WenQuanYi Zen Hei"/>
        <family val="2"/>
      </rPr>
      <t xml:space="preserve">機架售價 </t>
    </r>
    <r>
      <rPr>
        <b val="true"/>
        <sz val="11"/>
        <rFont val="Cambria"/>
        <family val="0"/>
        <charset val="1"/>
      </rPr>
      <t xml:space="preserve">$M</t>
    </r>
  </si>
  <si>
    <r>
      <rPr>
        <b val="true"/>
        <sz val="11"/>
        <rFont val="WenQuanYi Zen Hei"/>
        <family val="2"/>
      </rPr>
      <t xml:space="preserve">台積電 </t>
    </r>
    <r>
      <rPr>
        <b val="true"/>
        <sz val="11"/>
        <rFont val="Cambria"/>
        <family val="0"/>
        <charset val="1"/>
      </rPr>
      <t xml:space="preserve">$K/</t>
    </r>
    <r>
      <rPr>
        <b val="true"/>
        <sz val="11"/>
        <rFont val="WenQuanYi Zen Hei"/>
        <family val="2"/>
      </rPr>
      <t xml:space="preserve">顆</t>
    </r>
  </si>
  <si>
    <t xml:space="preserve">HBM $B/GW</t>
  </si>
  <si>
    <t xml:space="preserve">LPDDR $B/GW</t>
  </si>
  <si>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WenQuanYi Zen Hei"/>
        <family val="2"/>
      </rPr>
      <t xml:space="preserve">晶片毛利率</t>
    </r>
  </si>
  <si>
    <r>
      <rPr>
        <b val="true"/>
        <sz val="11"/>
        <rFont val="WenQuanYi Zen Hei"/>
        <family val="2"/>
      </rPr>
      <t xml:space="preserve">機架殘差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WenQuanYi Zen Hei"/>
        <family val="2"/>
      </rPr>
      <t xml:space="preserve">售價</t>
    </r>
  </si>
  <si>
    <r>
      <rPr>
        <b val="true"/>
        <sz val="11"/>
        <rFont val="Cambria"/>
        <family val="0"/>
        <charset val="1"/>
      </rPr>
      <t xml:space="preserve">HBM ÷ GPU </t>
    </r>
    <r>
      <rPr>
        <b val="true"/>
        <sz val="11"/>
        <rFont val="WenQuanYi Zen Hei"/>
        <family val="2"/>
      </rPr>
      <t xml:space="preserve">售價</t>
    </r>
  </si>
  <si>
    <r>
      <rPr>
        <sz val="11"/>
        <color theme="1"/>
        <rFont val="WenQuanYi Zen Hei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WenQuanYi Zen Hei"/>
        <family val="2"/>
      </rPr>
      <t xml:space="preserve">價）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</si>
  <si>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低（</t>
    </r>
    <r>
      <rPr>
        <sz val="11"/>
        <color theme="1"/>
        <rFont val="Calibri"/>
        <family val="2"/>
        <charset val="1"/>
      </rPr>
      <t xml:space="preserve">$15.6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</si>
  <si>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2027 </t>
    </r>
    <r>
      <rPr>
        <sz val="11"/>
        <color theme="1"/>
        <rFont val="WenQuanYi Zen Hei"/>
        <family val="2"/>
      </rPr>
      <t xml:space="preserve">低（</t>
    </r>
    <r>
      <rPr>
        <sz val="11"/>
        <color theme="1"/>
        <rFont val="Calibri"/>
        <family val="2"/>
        <charset val="1"/>
      </rPr>
      <t xml:space="preserve">$30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UBS +79%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</si>
  <si>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$36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TrendForce +121%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</si>
  <si>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LPDDR 54 TB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初步規格）</t>
    </r>
  </si>
  <si>
    <r>
      <rPr>
        <sz val="11"/>
        <color theme="1"/>
        <rFont val="Calibri"/>
        <family val="2"/>
        <charset val="1"/>
      </rPr>
      <t xml:space="preserve">LPDDR $8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</t>
    </r>
  </si>
  <si>
    <r>
      <rPr>
        <sz val="11"/>
        <color theme="1"/>
        <rFont val="Calibri"/>
        <family val="2"/>
        <charset val="1"/>
      </rPr>
      <t xml:space="preserve">LPDDR $21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</si>
  <si>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售價 </t>
    </r>
    <r>
      <rPr>
        <sz val="11"/>
        <color theme="1"/>
        <rFont val="Calibri"/>
        <family val="2"/>
        <charset val="1"/>
      </rPr>
      <t xml:space="preserve">$50K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</si>
  <si>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售價 </t>
    </r>
    <r>
      <rPr>
        <sz val="11"/>
        <color theme="1"/>
        <rFont val="Calibri"/>
        <family val="2"/>
        <charset val="1"/>
      </rPr>
      <t xml:space="preserve">$60K</t>
    </r>
  </si>
  <si>
    <r>
      <rPr>
        <sz val="11"/>
        <color theme="1"/>
        <rFont val="WenQuanYi Zen Hei"/>
        <family val="2"/>
      </rPr>
      <t xml:space="preserve">機架 </t>
    </r>
    <r>
      <rPr>
        <sz val="11"/>
        <color theme="1"/>
        <rFont val="Calibri"/>
        <family val="2"/>
        <charset val="1"/>
      </rPr>
      <t xml:space="preserve">$7.8M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BOM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</si>
  <si>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機架 </t>
    </r>
    <r>
      <rPr>
        <sz val="11"/>
        <color theme="1"/>
        <rFont val="Calibri"/>
        <family val="2"/>
        <charset val="1"/>
      </rPr>
      <t xml:space="preserve">$9.1M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</si>
  <si>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$2.3K</t>
    </r>
  </si>
  <si>
    <r>
      <rPr>
        <sz val="11"/>
        <color theme="1"/>
        <rFont val="WenQuanYi Zen Hei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$3.5K</t>
    </r>
  </si>
  <si>
    <r>
      <rPr>
        <sz val="11"/>
        <color theme="1"/>
        <rFont val="Calibri"/>
        <family val="2"/>
        <charset val="1"/>
      </rPr>
      <t xml:space="preserve">LPDDR 54 TB × $21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WenQuanYi Zen Hei"/>
        <family val="2"/>
      </rPr>
      <t xml:space="preserve">（記憶體最緊）</t>
    </r>
  </si>
  <si>
    <r>
      <rPr>
        <sz val="11"/>
        <color theme="1"/>
        <rFont val="WenQuanYi Zen Hei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HBM ÷ IT capex </t>
    </r>
    <r>
      <rPr>
        <sz val="11"/>
        <color theme="1"/>
        <rFont val="WenQuanYi Zen Hei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價約 </t>
    </r>
    <r>
      <rPr>
        <sz val="11"/>
        <color theme="1"/>
        <rFont val="Calibri"/>
        <family val="2"/>
        <charset val="1"/>
      </rPr>
      <t xml:space="preserve">3.7%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價（</t>
    </r>
    <r>
      <rPr>
        <sz val="11"/>
        <color theme="1"/>
        <rFont val="Calibri"/>
        <family val="2"/>
        <charset val="1"/>
      </rPr>
      <t xml:space="preserve">$36/GB</t>
    </r>
    <r>
      <rPr>
        <sz val="11"/>
        <color theme="1"/>
        <rFont val="WenQuanYi Zen Hei"/>
        <family val="2"/>
      </rPr>
      <t xml:space="preserve">）約 </t>
    </r>
    <r>
      <rPr>
        <sz val="11"/>
        <color theme="1"/>
        <rFont val="Calibri"/>
        <family val="2"/>
        <charset val="1"/>
      </rPr>
      <t xml:space="preserve">8.0%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LPDDR 54 TB × $21/GB </t>
    </r>
    <r>
      <rPr>
        <sz val="11"/>
        <color theme="1"/>
        <rFont val="WenQuanYi Zen Hei"/>
        <family val="2"/>
      </rPr>
      <t xml:space="preserve">時非 </t>
    </r>
    <r>
      <rPr>
        <sz val="11"/>
        <color theme="1"/>
        <rFont val="Calibri"/>
        <family val="2"/>
        <charset val="1"/>
      </rPr>
      <t xml:space="preserve">HBM DRAM </t>
    </r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WenQuanYi Zen Hei"/>
        <family val="2"/>
      </rPr>
      <t xml:space="preserve">倍以上。機架殘差變負＝輸入組合不可能（售價必須上調或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讓利）</t>
    </r>
  </si>
  <si>
    <t xml:space="preserve">給算力收支的修改申請與回饋（由算力收支決定是否升版）</t>
  </si>
  <si>
    <t xml:space="preserve">R1</t>
  </si>
  <si>
    <t xml:space="preserve">工程類（建議）</t>
  </si>
  <si>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WenQuanYi Zen Hei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IF_RackPrice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WenQuanYi Zen Hei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11–13 </t>
    </r>
    <r>
      <rPr>
        <sz val="11"/>
        <color theme="1"/>
        <rFont val="WenQuanYi Zen Hei"/>
        <family val="2"/>
      </rPr>
      <t xml:space="preserve">列）、</t>
    </r>
    <r>
      <rPr>
        <sz val="11"/>
        <color theme="1"/>
        <rFont val="Calibri"/>
        <family val="2"/>
        <charset val="1"/>
      </rPr>
      <t xml:space="preserve">IF_ScaleOutShare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WenQuanYi Zen Hei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WenQuanYi Zen Hei"/>
        <family val="2"/>
      </rPr>
      <t xml:space="preserve">列）、</t>
    </r>
    <r>
      <rPr>
        <sz val="11"/>
        <color theme="1"/>
        <rFont val="Calibri"/>
        <family val="2"/>
        <charset val="1"/>
      </rPr>
      <t xml:space="preserve">IF_StoragePerGPU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WenQuanYi Zen Hei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WenQuanYi Zen Hei"/>
        <family val="2"/>
      </rPr>
      <t xml:space="preserve">列），使下游不必讀非契約儲存格。數值不變。</t>
    </r>
  </si>
  <si>
    <t xml:space="preserve">R2</t>
  </si>
  <si>
    <t xml:space="preserve">判斷類（提請注意，不建議本版改）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</si>
  <si>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WenQuanYi Zen Hei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8.4 </t>
    </r>
    <r>
      <rPr>
        <sz val="11"/>
        <color theme="1"/>
        <rFont val="WenQuanYi Zen Hei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MS 2026-05 BOM </t>
    </r>
    <r>
      <rPr>
        <sz val="11"/>
        <color theme="1"/>
        <rFont val="WenQuanYi Zen Hei"/>
        <family val="2"/>
      </rPr>
      <t xml:space="preserve">為底。之後兩個方向相反的訊息：</t>
    </r>
    <r>
      <rPr>
        <sz val="11"/>
        <color theme="1"/>
        <rFont val="Calibri"/>
        <family val="2"/>
        <charset val="1"/>
      </rPr>
      <t xml:space="preserve">LPDDR5X </t>
    </r>
    <r>
      <rPr>
        <sz val="11"/>
        <color theme="1"/>
        <rFont val="WenQuanYi Zen Hei"/>
        <family val="2"/>
      </rPr>
      <t xml:space="preserve">減半（</t>
    </r>
    <r>
      <rPr>
        <sz val="11"/>
        <color theme="1"/>
        <rFont val="Calibri"/>
        <family val="2"/>
        <charset val="1"/>
      </rPr>
      <t xml:space="preserve">54→28 TB</t>
    </r>
    <r>
      <rPr>
        <sz val="11"/>
        <color theme="1"/>
        <rFont val="WenQuanYi Zen Hei"/>
        <family val="2"/>
      </rPr>
      <t xml:space="preserve">，約 −</t>
    </r>
    <r>
      <rPr>
        <sz val="11"/>
        <color theme="1"/>
        <rFont val="Calibri"/>
        <family val="2"/>
        <charset val="1"/>
      </rPr>
      <t xml:space="preserve">$0.34M/</t>
    </r>
    <r>
      <rPr>
        <sz val="11"/>
        <color theme="1"/>
        <rFont val="WenQuanYi Zen Hei"/>
        <family val="2"/>
      </rPr>
      <t xml:space="preserve">架）與 </t>
    </r>
    <r>
      <rPr>
        <sz val="11"/>
        <color theme="1"/>
        <rFont val="Calibri"/>
        <family val="2"/>
        <charset val="1"/>
      </rPr>
      <t xml:space="preserve">2027 HBM4 </t>
    </r>
    <r>
      <rPr>
        <sz val="11"/>
        <color theme="1"/>
        <rFont val="WenQuanYi Zen Hei"/>
        <family val="2"/>
      </rPr>
      <t xml:space="preserve">合約價約翻倍（若全額轉嫁約 </t>
    </r>
    <r>
      <rPr>
        <sz val="11"/>
        <color theme="1"/>
        <rFont val="Calibri"/>
        <family val="2"/>
        <charset val="1"/>
      </rPr>
      <t xml:space="preserve">+$1.4M/</t>
    </r>
    <r>
      <rPr>
        <sz val="11"/>
        <color theme="1"/>
        <rFont val="WenQuanYi Zen Hei"/>
        <family val="2"/>
      </rPr>
      <t xml:space="preserve">架，</t>
    </r>
    <r>
      <rPr>
        <sz val="11"/>
        <color theme="1"/>
        <rFont val="Calibri"/>
        <family val="2"/>
        <charset val="1"/>
      </rPr>
      <t xml:space="preserve">+17%</t>
    </r>
    <r>
      <rPr>
        <sz val="11"/>
        <color theme="1"/>
        <rFont val="WenQuanYi Zen Hei"/>
        <family val="2"/>
      </rPr>
      <t xml:space="preserve">）。淨效果視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吸收比例而定；建議在步驟 </t>
    </r>
    <r>
      <rPr>
        <sz val="11"/>
        <color theme="1"/>
        <rFont val="Calibri"/>
        <family val="2"/>
        <charset val="1"/>
      </rPr>
      <t xml:space="preserve">2 HBM </t>
    </r>
    <r>
      <rPr>
        <sz val="11"/>
        <color theme="1"/>
        <rFont val="WenQuanYi Zen Hei"/>
        <family val="2"/>
      </rPr>
      <t xml:space="preserve">市場模型完成後再提數值。</t>
    </r>
  </si>
  <si>
    <t xml:space="preserve">F1</t>
  </si>
  <si>
    <t xml:space="preserve">回饋（摘要數字）</t>
  </si>
  <si>
    <r>
      <rPr>
        <sz val="11"/>
        <color theme="1"/>
        <rFont val="WenQuanYi Zen Hei"/>
        <family val="2"/>
      </rPr>
      <t xml:space="preserve">每顆加速器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金額：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$4.5K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2026 </t>
    </r>
    <r>
      <rPr>
        <sz val="11"/>
        <color theme="1"/>
        <rFont val="WenQuanYi Zen Hei"/>
        <family val="2"/>
      </rPr>
      <t xml:space="preserve">價約 </t>
    </r>
    <r>
      <rPr>
        <sz val="11"/>
        <color theme="1"/>
        <rFont val="Calibri"/>
        <family val="2"/>
        <charset val="1"/>
      </rPr>
      <t xml:space="preserve">$4.8K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價約 </t>
    </r>
    <r>
      <rPr>
        <sz val="11"/>
        <color theme="1"/>
        <rFont val="Calibri"/>
        <family val="2"/>
        <charset val="1"/>
      </rPr>
      <t xml:space="preserve">$10.4K</t>
    </r>
    <r>
      <rPr>
        <sz val="11"/>
        <color theme="1"/>
        <rFont val="WenQuanYi Zen Hei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GW HBM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$2.17B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$1.40B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$3.03B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HBM ÷ IT capex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5.8%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3.7%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8.0%</t>
    </r>
    <r>
      <rPr>
        <sz val="11"/>
        <color theme="1"/>
        <rFont val="WenQuanYi Zen Hei"/>
        <family val="2"/>
      </rPr>
      <t xml:space="preserve">（見 </t>
    </r>
    <r>
      <rPr>
        <sz val="11"/>
        <color theme="1"/>
        <rFont val="Calibri"/>
        <family val="2"/>
        <charset val="1"/>
      </rPr>
      <t xml:space="preserve">Bridge</t>
    </r>
    <r>
      <rPr>
        <sz val="11"/>
        <color theme="1"/>
        <rFont val="WenQuanYi Zen Hei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位元（約 </t>
    </r>
    <r>
      <rPr>
        <sz val="11"/>
        <color theme="1"/>
        <rFont val="Calibri"/>
        <family val="2"/>
        <charset val="1"/>
      </rPr>
      <t xml:space="preserve">84 PB</t>
    </r>
    <r>
      <rPr>
        <sz val="11"/>
        <color theme="1"/>
        <rFont val="WenQuanYi Zen Hei"/>
        <family val="2"/>
      </rPr>
      <t xml:space="preserve">）低於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WenQuanYi Zen Hei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140 PB</t>
    </r>
    <r>
      <rPr>
        <sz val="11"/>
        <color theme="1"/>
        <rFont val="WenQuanYi Zen Hei"/>
        <family val="2"/>
      </rPr>
      <t xml:space="preserve">），因每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WenQuanYi Zen Hei"/>
        <family val="2"/>
      </rPr>
      <t xml:space="preserve">數少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WenQuanYi Zen Hei"/>
        <family val="2"/>
      </rPr>
      <t xml:space="preserve">、每顆容量相同。</t>
    </r>
  </si>
  <si>
    <t xml:space="preserve">來源</t>
  </si>
  <si>
    <t xml:space="preserve">Tokenomics v20.1</t>
  </si>
  <si>
    <t xml:space="preserve">https://github.com/YinchenChang/Tokenomics/blob/master/model/20261023_Tokenomics_v20.1.xlsx</t>
  </si>
  <si>
    <r>
      <rPr>
        <sz val="11"/>
        <color theme="1"/>
        <rFont val="Calibri"/>
        <family val="2"/>
        <charset val="1"/>
      </rPr>
      <t xml:space="preserve">Tokenomics v19.0</t>
    </r>
    <r>
      <rPr>
        <sz val="11"/>
        <color theme="1"/>
        <rFont val="WenQuanYi Zen Hei"/>
        <family val="2"/>
      </rPr>
      <t xml:space="preserve">（對照：數值與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WenQuanYi Zen Hei"/>
        <family val="2"/>
      </rPr>
      <t xml:space="preserve">相同）</t>
    </r>
  </si>
  <si>
    <t xml:space="preserve">https://github.com/YinchenChang/Tokenomics/blob/master/model/archive/20261022_Tokenomics_v19.0.xlsx</t>
  </si>
  <si>
    <r>
      <rPr>
        <sz val="11"/>
        <color theme="1"/>
        <rFont val="Calibri"/>
        <family val="2"/>
        <charset val="1"/>
      </rPr>
      <t xml:space="preserve">Wing VC / Data Gravity, How Much Does an NVIDIA NVL72 Cost?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</t>
    </r>
    <r>
      <rPr>
        <sz val="11"/>
        <color theme="1"/>
        <rFont val="WenQuanYi Zen Hei"/>
        <family val="2"/>
      </rPr>
      <t xml:space="preserve">）</t>
    </r>
  </si>
  <si>
    <t xml:space="preserve">https://www.wing.vc/content/how-much-does-an-nvidia-nvl72-cost</t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</si>
  <si>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Morgan Stanley VR200 $7.8M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$55K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Vera $5K</t>
    </r>
    <r>
      <rPr>
        <sz val="11"/>
        <color theme="1"/>
        <rFont val="WenQuanYi Zen Hei"/>
        <family val="2"/>
      </rPr>
      <t xml:space="preserve">、記憶體約 </t>
    </r>
    <r>
      <rPr>
        <sz val="11"/>
        <color theme="1"/>
        <rFont val="Calibri"/>
        <family val="2"/>
        <charset val="1"/>
      </rPr>
      <t xml:space="preserve">$2M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2026-05-21</t>
    </r>
    <r>
      <rPr>
        <sz val="11"/>
        <color theme="1"/>
        <rFont val="WenQuanYi Zen Hei"/>
        <family val="2"/>
      </rPr>
      <t xml:space="preserve">）</t>
    </r>
  </si>
  <si>
    <t xml:space="preserve">https://www.tomshardware.com/tech-industry/artificial-intelligence/nvidias-memory-costs-soar-485-percent-latest-ai-systems-now-cost-usd7-8-million-to-build-memory-now-comprises-25-percent-of-the-total-cost-rubin-gpus-a-mere-usd50-000-apiece</t>
  </si>
  <si>
    <r>
      <rPr>
        <sz val="11"/>
        <color theme="1"/>
        <rFont val="Calibri"/>
        <family val="2"/>
        <charset val="1"/>
      </rPr>
      <t xml:space="preserve">Epoch AI, B200 cost breakdown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2025-12-10</t>
    </r>
    <r>
      <rPr>
        <sz val="11"/>
        <color theme="1"/>
        <rFont val="WenQuanYi Zen Hei"/>
        <family val="2"/>
      </rPr>
      <t xml:space="preserve">）</t>
    </r>
  </si>
  <si>
    <t xml:space="preserve">https://epoch.ai/data-insights/b200-cost-breakdown</t>
  </si>
  <si>
    <r>
      <rPr>
        <sz val="11"/>
        <color theme="1"/>
        <rFont val="Calibri"/>
        <family val="2"/>
        <charset val="1"/>
      </rPr>
      <t xml:space="preserve">Epoch AI, AI chip component cost shares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2026-05-21</t>
    </r>
    <r>
      <rPr>
        <sz val="11"/>
        <color theme="1"/>
        <rFont val="WenQuanYi Zen Hei"/>
        <family val="2"/>
      </rPr>
      <t xml:space="preserve">）</t>
    </r>
  </si>
  <si>
    <t xml:space="preserve">https://epoch.ai/data-insights/ai-chip-component-cost-shares</t>
  </si>
  <si>
    <r>
      <rPr>
        <sz val="11"/>
        <color theme="1"/>
        <rFont val="Calibri"/>
        <family val="2"/>
        <charset val="1"/>
      </rPr>
      <t xml:space="preserve">Silicon Analysts, AI Accelerator Manufacturing Cost Estimates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</t>
    </r>
    <r>
      <rPr>
        <sz val="11"/>
        <color theme="1"/>
        <rFont val="WenQuanYi Zen Hei"/>
        <family val="2"/>
      </rPr>
      <t xml:space="preserve">）</t>
    </r>
  </si>
  <si>
    <t xml:space="preserve">https://siliconanalysts.com/data/ai-chip-costs</t>
  </si>
  <si>
    <r>
      <rPr>
        <sz val="11"/>
        <color theme="1"/>
        <rFont val="Calibri"/>
        <family val="2"/>
        <charset val="1"/>
      </rPr>
      <t xml:space="preserve">UBS Vera Rubin superchip BOM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Let's Data Science </t>
    </r>
    <r>
      <rPr>
        <sz val="11"/>
        <color theme="1"/>
        <rFont val="WenQuanYi Zen Hei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Wccftech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ChosunBiz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2026-08-10</t>
    </r>
    <r>
      <rPr>
        <sz val="11"/>
        <color theme="1"/>
        <rFont val="WenQuanYi Zen Hei"/>
        <family val="2"/>
      </rPr>
      <t xml:space="preserve">）</t>
    </r>
  </si>
  <si>
    <t xml:space="preserve">https://letsdatascience.com/news/nvidia-vera-rubin-memory-costs-dominate-superchip-bom-1c630dcd</t>
  </si>
  <si>
    <r>
      <rPr>
        <sz val="11"/>
        <color theme="1"/>
        <rFont val="Calibri"/>
        <family val="2"/>
        <charset val="1"/>
      </rPr>
      <t xml:space="preserve">Goldman Sachs </t>
    </r>
    <r>
      <rPr>
        <sz val="11"/>
        <color theme="1"/>
        <rFont val="WenQuanYi Zen Hei"/>
        <family val="2"/>
      </rPr>
      <t xml:space="preserve">記憶體占 </t>
    </r>
    <r>
      <rPr>
        <sz val="11"/>
        <color theme="1"/>
        <rFont val="Calibri"/>
        <family val="2"/>
        <charset val="1"/>
      </rPr>
      <t xml:space="preserve">superchip </t>
    </r>
    <r>
      <rPr>
        <sz val="11"/>
        <color theme="1"/>
        <rFont val="WenQuanYi Zen Hei"/>
        <family val="2"/>
      </rPr>
      <t xml:space="preserve">物料 </t>
    </r>
    <r>
      <rPr>
        <sz val="11"/>
        <color theme="1"/>
        <rFont val="Calibri"/>
        <family val="2"/>
        <charset val="1"/>
      </rPr>
      <t xml:space="preserve">62%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53%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Crypto Briefing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2026-08-10</t>
    </r>
    <r>
      <rPr>
        <sz val="11"/>
        <color theme="1"/>
        <rFont val="WenQuanYi Zen Hei"/>
        <family val="2"/>
      </rPr>
      <t xml:space="preserve">）</t>
    </r>
  </si>
  <si>
    <t xml:space="preserve">https://cryptobriefing.com/nvidia-vera-rubin-memory-costs-goldman-sachs/</t>
  </si>
  <si>
    <r>
      <rPr>
        <sz val="11"/>
        <color theme="1"/>
        <rFont val="Calibri"/>
        <family val="2"/>
        <charset val="1"/>
      </rPr>
      <t xml:space="preserve">Vera Rubin LPDDR </t>
    </r>
    <r>
      <rPr>
        <sz val="11"/>
        <color theme="1"/>
        <rFont val="WenQuanYi Zen Hei"/>
        <family val="2"/>
      </rPr>
      <t xml:space="preserve">減半（</t>
    </r>
    <r>
      <rPr>
        <sz val="11"/>
        <color theme="1"/>
        <rFont val="Calibri"/>
        <family val="2"/>
        <charset val="1"/>
      </rPr>
      <t xml:space="preserve">TrendForce 2026-06-10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GF Securities 2026-07-26</t>
    </r>
    <r>
      <rPr>
        <sz val="11"/>
        <color theme="1"/>
        <rFont val="WenQuanYi Zen Hei"/>
        <family val="2"/>
      </rPr>
      <t xml:space="preserve">）</t>
    </r>
  </si>
  <si>
    <t xml:space="preserve">https://letsdatascience.com/news/nvidia-reportedly-reduces-vera-rubin-memory-configuration-01e36b5d</t>
  </si>
  <si>
    <r>
      <rPr>
        <sz val="11"/>
        <color theme="1"/>
        <rFont val="Calibri"/>
        <family val="2"/>
        <charset val="1"/>
      </rPr>
      <t xml:space="preserve">Wccftech, LPDDR </t>
    </r>
    <r>
      <rPr>
        <sz val="11"/>
        <color theme="1"/>
        <rFont val="WenQuanYi Zen Hei"/>
        <family val="2"/>
      </rPr>
      <t xml:space="preserve">合約價（</t>
    </r>
    <r>
      <rPr>
        <sz val="11"/>
        <color theme="1"/>
        <rFont val="Calibri"/>
        <family val="2"/>
        <charset val="1"/>
      </rPr>
      <t xml:space="preserve">2026-05-04</t>
    </r>
    <r>
      <rPr>
        <sz val="11"/>
        <color theme="1"/>
        <rFont val="WenQuanYi Zen Hei"/>
        <family val="2"/>
      </rPr>
      <t xml:space="preserve">）</t>
    </r>
  </si>
  <si>
    <t xml:space="preserve">https://wccftech.com/mobile-dram-prices-expected-to-increase-by-100-quarter-over-quarter-as-long-term-agreements-now-getting-signed-at-prices-as-high-as-21-gb/amp/</t>
  </si>
  <si>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TrendForce 2027 HBM ASP +121%</t>
    </r>
    <r>
      <rPr>
        <sz val="11"/>
        <color theme="1"/>
        <rFont val="WenQuanYi Zen Hei"/>
        <family val="2"/>
      </rPr>
      <t xml:space="preserve">、首爾經濟日報 </t>
    </r>
    <r>
      <rPr>
        <sz val="11"/>
        <color theme="1"/>
        <rFont val="Calibri"/>
        <family val="2"/>
        <charset val="1"/>
      </rPr>
      <t xml:space="preserve">HBM4 $600→$1,300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WenQuanYi Zen Hei"/>
        <family val="2"/>
      </rPr>
      <t xml:space="preserve">）</t>
    </r>
  </si>
  <si>
    <t xml:space="preserve">https://siliconanalysts.com/market/trendforce-lifts-2027-hbm-asp-forecast-to-121-hbm4-stack-seen-doubling-to-1-300-2026-10-01</t>
  </si>
  <si>
    <r>
      <rPr>
        <sz val="11"/>
        <color theme="1"/>
        <rFont val="Calibri"/>
        <family val="2"/>
        <charset val="1"/>
      </rPr>
      <t xml:space="preserve">NVIDIA GB300 NVL72 </t>
    </r>
    <r>
      <rPr>
        <sz val="11"/>
        <color theme="1"/>
        <rFont val="WenQuanYi Zen Hei"/>
        <family val="2"/>
      </rPr>
      <t xml:space="preserve">規格頁</t>
    </r>
  </si>
  <si>
    <t xml:space="preserve">https://www.nvidia.com/en-au/data-center/gb300-nvl72</t>
  </si>
  <si>
    <r>
      <rPr>
        <sz val="11"/>
        <color theme="1"/>
        <rFont val="Calibri"/>
        <family val="2"/>
        <charset val="1"/>
      </rPr>
      <t xml:space="preserve">NVIDIA Vera Rubin NVL72 </t>
    </r>
    <r>
      <rPr>
        <sz val="11"/>
        <color theme="1"/>
        <rFont val="WenQuanYi Zen Hei"/>
        <family val="2"/>
      </rPr>
      <t xml:space="preserve">規格頁</t>
    </r>
  </si>
  <si>
    <t xml:space="preserve">https://nvidia.com/ko-kr/data-center/vera-rubin-nvl72/</t>
  </si>
  <si>
    <r>
      <rPr>
        <sz val="11"/>
        <color theme="1"/>
        <rFont val="Calibri"/>
        <family val="2"/>
        <charset val="1"/>
      </rPr>
      <t xml:space="preserve">NVIDIA NVL72 AI Factory </t>
    </r>
    <r>
      <rPr>
        <sz val="11"/>
        <color theme="1"/>
        <rFont val="WenQuanYi Zen Hei"/>
        <family val="2"/>
      </rPr>
      <t xml:space="preserve">參考架構（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WenQuanYi Zen Hei"/>
        <family val="2"/>
      </rPr>
      <t xml:space="preserve">元件）</t>
    </r>
  </si>
  <si>
    <t xml:space="preserve">https://docs.nvidia.com/enterprise-reference-architectures/nvl72-ai-factory/latest/components.html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</si>
  <si>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技術部落格 </t>
    </r>
    <r>
      <rPr>
        <sz val="11"/>
        <color theme="1"/>
        <rFont val="Calibri"/>
        <family val="2"/>
        <charset val="1"/>
      </rPr>
      <t xml:space="preserve">Vera Rubin POD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</t>
    </r>
    <r>
      <rPr>
        <sz val="11"/>
        <color theme="1"/>
        <rFont val="WenQuanYi Zen Hei"/>
        <family val="2"/>
      </rPr>
      <t xml:space="preserve">）</t>
    </r>
  </si>
  <si>
    <t xml:space="preserve">https://developer.nvidia.com/blog/nvidia-vera-rubin-pod-seven-chips-five-rack-scale-systems-one-ai-supercomputer/</t>
  </si>
  <si>
    <r>
      <rPr>
        <sz val="11"/>
        <color theme="1"/>
        <rFont val="Calibri"/>
        <family val="2"/>
        <charset val="1"/>
      </rPr>
      <t xml:space="preserve">Newegg ConnectX-8 </t>
    </r>
    <r>
      <rPr>
        <sz val="11"/>
        <color theme="1"/>
        <rFont val="WenQuanYi Zen Hei"/>
        <family val="2"/>
      </rPr>
      <t xml:space="preserve">零售價</t>
    </r>
  </si>
  <si>
    <t xml:space="preserve">https://www.newegg.com/p/N82E16833942013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</si>
</sst>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.00"/>
    <numFmt numFmtId="167" formatCode="0.0%"/>
    <numFmt numFmtId="168" formatCode="0.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WenQuanYi Zen Hei"/>
      <family val="2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  <font>
      <sz val="11"/>
      <name val="WenQuanYi Zen Hei"/>
      <family val="2"/>
    </font>
    <font>
      <sz val="11"/>
      <color theme="1"/>
      <name val="WenQuanYi Zen Hei"/>
      <family val="2"/>
    </font>
    <font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4.9" hidden="false" customHeight="false" outlineLevel="0" collapsed="false">
      <c r="A1" s="1" t="s">
        <v>0</v>
      </c>
    </row>
    <row r="2" customFormat="false" ht="14.9" hidden="false" customHeight="false" outlineLevel="0" collapsed="false">
      <c r="A2" s="2" t="s">
        <v>1</v>
      </c>
    </row>
    <row r="3" customFormat="false" ht="14.9" hidden="false" customHeight="false" outlineLevel="0" collapsed="false">
      <c r="A3" s="3" t="s">
        <v>2</v>
      </c>
    </row>
    <row r="4" customFormat="false" ht="15" hidden="false" customHeight="false" outlineLevel="0" collapsed="false">
      <c r="A4" s="2"/>
    </row>
    <row r="5" customFormat="false" ht="14.9" hidden="false" customHeight="false" outlineLevel="0" collapsed="false">
      <c r="A5" s="3" t="s">
        <v>3</v>
      </c>
    </row>
    <row r="6" customFormat="false" ht="14.9" hidden="false" customHeight="false" outlineLevel="0" collapsed="false">
      <c r="A6" s="3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4.9" hidden="false" customHeight="false" outlineLevel="0" collapsed="false">
      <c r="A9" s="2" t="s">
        <v>6</v>
      </c>
    </row>
    <row r="10" customFormat="false" ht="14.9" hidden="false" customHeight="false" outlineLevel="0" collapsed="false">
      <c r="A10" s="2" t="s">
        <v>7</v>
      </c>
    </row>
    <row r="11" customFormat="false" ht="14.9" hidden="false" customHeight="false" outlineLevel="0" collapsed="false">
      <c r="A11" s="2" t="s">
        <v>8</v>
      </c>
    </row>
    <row r="12" customFormat="false" ht="14.9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4.9" hidden="false" customHeight="false" outlineLevel="0" collapsed="false">
      <c r="A14" s="3" t="s">
        <v>10</v>
      </c>
    </row>
    <row r="15" customFormat="false" ht="14.9" hidden="false" customHeight="false" outlineLevel="0" collapsed="false">
      <c r="A15" s="3" t="s">
        <v>11</v>
      </c>
    </row>
    <row r="16" customFormat="false" ht="14.9" hidden="false" customHeight="false" outlineLevel="0" collapsed="false">
      <c r="A16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4" min="3" style="0" width="9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18"/>
    <col collapsed="false" customWidth="true" hidden="false" outlineLevel="0" max="11" min="11" style="0" width="110"/>
  </cols>
  <sheetData>
    <row r="1" customFormat="false" ht="15" hidden="false" customHeight="false" outlineLevel="0" collapsed="false">
      <c r="A1" s="0" t="s">
        <v>13</v>
      </c>
    </row>
    <row r="3" customFormat="false" ht="15" hidden="false" customHeight="false" outlineLevel="0" collapsed="false">
      <c r="A3" s="4" t="s">
        <v>14</v>
      </c>
      <c r="B3" s="4" t="s">
        <v>15</v>
      </c>
      <c r="C3" s="4" t="s">
        <v>16</v>
      </c>
      <c r="D3" s="5" t="s">
        <v>17</v>
      </c>
      <c r="E3" s="5" t="s">
        <v>18</v>
      </c>
      <c r="F3" s="5" t="s">
        <v>19</v>
      </c>
      <c r="G3" s="5" t="s">
        <v>20</v>
      </c>
      <c r="H3" s="5" t="s">
        <v>21</v>
      </c>
      <c r="I3" s="5" t="s">
        <v>22</v>
      </c>
      <c r="J3" s="4" t="s">
        <v>23</v>
      </c>
      <c r="K3" s="4" t="s">
        <v>24</v>
      </c>
    </row>
    <row r="4" customFormat="false" ht="15" hidden="false" customHeight="false" outlineLevel="0" collapsed="false">
      <c r="A4" s="6" t="s">
        <v>25</v>
      </c>
    </row>
    <row r="5" customFormat="false" ht="15" hidden="false" customHeight="false" outlineLevel="0" collapsed="false">
      <c r="A5" s="0" t="s">
        <v>26</v>
      </c>
      <c r="B5" s="7" t="s">
        <v>27</v>
      </c>
      <c r="C5" s="0" t="s">
        <v>28</v>
      </c>
      <c r="D5" s="8" t="n">
        <v>4</v>
      </c>
      <c r="E5" s="8" t="n">
        <v>4.3</v>
      </c>
      <c r="F5" s="8" t="n">
        <v>5</v>
      </c>
      <c r="G5" s="8" t="n">
        <v>7.8</v>
      </c>
      <c r="H5" s="8" t="n">
        <v>8.4</v>
      </c>
      <c r="I5" s="8" t="n">
        <v>9.1</v>
      </c>
      <c r="J5" s="9" t="s">
        <v>29</v>
      </c>
      <c r="K5" s="9" t="s">
        <v>30</v>
      </c>
    </row>
    <row r="6" customFormat="false" ht="15" hidden="false" customHeight="false" outlineLevel="0" collapsed="false">
      <c r="A6" s="0" t="s">
        <v>31</v>
      </c>
      <c r="B6" s="7" t="s">
        <v>32</v>
      </c>
      <c r="C6" s="7" t="s">
        <v>33</v>
      </c>
      <c r="D6" s="8" t="n">
        <v>6764</v>
      </c>
      <c r="E6" s="8" t="n">
        <v>6764</v>
      </c>
      <c r="F6" s="8" t="n">
        <v>6764</v>
      </c>
      <c r="G6" s="8" t="n">
        <v>4052</v>
      </c>
      <c r="H6" s="8" t="n">
        <v>4052</v>
      </c>
      <c r="I6" s="8" t="n">
        <v>4052</v>
      </c>
      <c r="J6" s="9" t="s">
        <v>29</v>
      </c>
      <c r="K6" s="9" t="s">
        <v>34</v>
      </c>
    </row>
    <row r="7" customFormat="false" ht="15" hidden="false" customHeight="false" outlineLevel="0" collapsed="false">
      <c r="A7" s="0" t="s">
        <v>35</v>
      </c>
      <c r="B7" s="7" t="s">
        <v>36</v>
      </c>
      <c r="C7" s="7" t="s">
        <v>37</v>
      </c>
      <c r="D7" s="8" t="n">
        <v>487008</v>
      </c>
      <c r="E7" s="8" t="n">
        <v>487008</v>
      </c>
      <c r="F7" s="8" t="n">
        <v>487008</v>
      </c>
      <c r="G7" s="8" t="n">
        <v>291744</v>
      </c>
      <c r="H7" s="8" t="n">
        <v>291744</v>
      </c>
      <c r="I7" s="8" t="n">
        <v>291744</v>
      </c>
      <c r="J7" s="9" t="s">
        <v>29</v>
      </c>
      <c r="K7" s="9" t="s">
        <v>38</v>
      </c>
    </row>
    <row r="8" customFormat="false" ht="15" hidden="false" customHeight="false" outlineLevel="0" collapsed="false">
      <c r="A8" s="0" t="s">
        <v>39</v>
      </c>
      <c r="B8" s="0" t="s">
        <v>40</v>
      </c>
      <c r="C8" s="0" t="s">
        <v>41</v>
      </c>
      <c r="D8" s="8" t="n">
        <v>0.05</v>
      </c>
      <c r="E8" s="8" t="n">
        <v>0.1</v>
      </c>
      <c r="F8" s="8" t="n">
        <v>0.15</v>
      </c>
      <c r="G8" s="8" t="n">
        <v>0.05</v>
      </c>
      <c r="H8" s="8" t="n">
        <v>0.1</v>
      </c>
      <c r="I8" s="8" t="n">
        <v>0.15</v>
      </c>
      <c r="J8" s="9" t="s">
        <v>29</v>
      </c>
      <c r="K8" s="9" t="s">
        <v>42</v>
      </c>
    </row>
    <row r="9" customFormat="false" ht="15" hidden="false" customHeight="false" outlineLevel="0" collapsed="false">
      <c r="A9" s="0" t="s">
        <v>43</v>
      </c>
      <c r="B9" s="7" t="s">
        <v>44</v>
      </c>
      <c r="C9" s="0" t="s">
        <v>45</v>
      </c>
      <c r="D9" s="8" t="n">
        <v>300</v>
      </c>
      <c r="E9" s="8" t="n">
        <v>500</v>
      </c>
      <c r="F9" s="8" t="n">
        <v>800</v>
      </c>
      <c r="G9" s="8" t="n">
        <v>300</v>
      </c>
      <c r="H9" s="8" t="n">
        <v>500</v>
      </c>
      <c r="I9" s="8" t="n">
        <v>800</v>
      </c>
      <c r="J9" s="9" t="s">
        <v>29</v>
      </c>
      <c r="K9" s="9" t="s">
        <v>46</v>
      </c>
    </row>
    <row r="10" customFormat="false" ht="15" hidden="false" customHeight="false" outlineLevel="0" collapsed="false">
      <c r="A10" s="0" t="s">
        <v>47</v>
      </c>
      <c r="B10" s="7" t="s">
        <v>48</v>
      </c>
      <c r="C10" s="0" t="s">
        <v>49</v>
      </c>
      <c r="D10" s="8" t="n">
        <v>28.5549024</v>
      </c>
      <c r="E10" s="8" t="n">
        <v>32.237224</v>
      </c>
      <c r="F10" s="8" t="n">
        <v>39.2826064</v>
      </c>
      <c r="G10" s="8" t="n">
        <v>33.2734032</v>
      </c>
      <c r="H10" s="8" t="n">
        <v>37.586352</v>
      </c>
      <c r="I10" s="8" t="n">
        <v>42.6375752</v>
      </c>
      <c r="J10" s="9" t="s">
        <v>29</v>
      </c>
      <c r="K10" s="9" t="s">
        <v>50</v>
      </c>
    </row>
    <row r="11" customFormat="false" ht="15" hidden="false" customHeight="false" outlineLevel="0" collapsed="false">
      <c r="A11" s="0" t="s">
        <v>51</v>
      </c>
      <c r="B11" s="7" t="s">
        <v>52</v>
      </c>
      <c r="C11" s="0" t="s">
        <v>49</v>
      </c>
      <c r="D11" s="8" t="n">
        <v>10.212</v>
      </c>
      <c r="E11" s="8" t="n">
        <v>12.67</v>
      </c>
      <c r="F11" s="8" t="n">
        <v>16.186</v>
      </c>
      <c r="G11" s="8" t="n">
        <v>10.212</v>
      </c>
      <c r="H11" s="8" t="n">
        <v>12.67</v>
      </c>
      <c r="I11" s="8" t="n">
        <v>16.186</v>
      </c>
      <c r="J11" s="9" t="s">
        <v>29</v>
      </c>
      <c r="K11" s="9" t="s">
        <v>53</v>
      </c>
    </row>
    <row r="12" customFormat="false" ht="15" hidden="false" customHeight="false" outlineLevel="0" collapsed="false">
      <c r="A12" s="0" t="s">
        <v>54</v>
      </c>
      <c r="B12" s="7" t="s">
        <v>55</v>
      </c>
      <c r="C12" s="0" t="s">
        <v>49</v>
      </c>
      <c r="D12" s="8" t="n">
        <v>38.7669024</v>
      </c>
      <c r="E12" s="8" t="n">
        <v>44.907224</v>
      </c>
      <c r="F12" s="8" t="n">
        <v>55.4686064</v>
      </c>
      <c r="G12" s="8" t="n">
        <v>43.4854032</v>
      </c>
      <c r="H12" s="8" t="n">
        <v>50.256352</v>
      </c>
      <c r="I12" s="8" t="n">
        <v>58.8235752</v>
      </c>
      <c r="J12" s="9" t="s">
        <v>29</v>
      </c>
      <c r="K12" s="9" t="s">
        <v>56</v>
      </c>
    </row>
    <row r="13" customFormat="false" ht="15" hidden="false" customHeight="false" outlineLevel="0" collapsed="false">
      <c r="A13" s="6" t="s">
        <v>57</v>
      </c>
    </row>
    <row r="14" customFormat="false" ht="15" hidden="false" customHeight="false" outlineLevel="0" collapsed="false">
      <c r="A14" s="0" t="s">
        <v>58</v>
      </c>
      <c r="B14" s="7" t="s">
        <v>59</v>
      </c>
      <c r="C14" s="7" t="s">
        <v>37</v>
      </c>
      <c r="D14" s="8" t="n">
        <v>72</v>
      </c>
      <c r="E14" s="8" t="n">
        <v>72</v>
      </c>
      <c r="F14" s="8" t="n">
        <v>72</v>
      </c>
      <c r="G14" s="8" t="n">
        <v>72</v>
      </c>
      <c r="H14" s="8" t="n">
        <v>72</v>
      </c>
      <c r="I14" s="8" t="n">
        <v>72</v>
      </c>
      <c r="J14" s="9" t="s">
        <v>60</v>
      </c>
      <c r="K14" s="9" t="s">
        <v>61</v>
      </c>
    </row>
    <row r="15" customFormat="false" ht="15" hidden="false" customHeight="false" outlineLevel="0" collapsed="false">
      <c r="A15" s="0" t="s">
        <v>62</v>
      </c>
      <c r="B15" s="0" t="s">
        <v>63</v>
      </c>
      <c r="C15" s="0" t="s">
        <v>64</v>
      </c>
      <c r="D15" s="8" t="n">
        <v>37.6</v>
      </c>
      <c r="E15" s="8" t="n">
        <v>40.4</v>
      </c>
      <c r="F15" s="8" t="n">
        <v>47</v>
      </c>
      <c r="G15" s="8" t="n">
        <v>50</v>
      </c>
      <c r="H15" s="8" t="n">
        <v>55</v>
      </c>
      <c r="I15" s="8" t="n">
        <v>60</v>
      </c>
      <c r="J15" s="9" t="s">
        <v>65</v>
      </c>
      <c r="K15" s="9" t="s">
        <v>66</v>
      </c>
    </row>
    <row r="16" customFormat="false" ht="15" hidden="false" customHeight="false" outlineLevel="0" collapsed="false">
      <c r="A16" s="0" t="s">
        <v>67</v>
      </c>
      <c r="B16" s="0" t="s">
        <v>68</v>
      </c>
      <c r="C16" s="0" t="s">
        <v>69</v>
      </c>
      <c r="D16" s="8" t="n">
        <v>288</v>
      </c>
      <c r="E16" s="8" t="n">
        <v>288</v>
      </c>
      <c r="F16" s="8" t="n">
        <v>288</v>
      </c>
      <c r="G16" s="8" t="n">
        <v>288</v>
      </c>
      <c r="H16" s="8" t="n">
        <v>288</v>
      </c>
      <c r="I16" s="8" t="n">
        <v>288</v>
      </c>
      <c r="J16" s="9" t="s">
        <v>60</v>
      </c>
      <c r="K16" s="9" t="s">
        <v>70</v>
      </c>
    </row>
    <row r="17" customFormat="false" ht="15" hidden="false" customHeight="false" outlineLevel="0" collapsed="false">
      <c r="A17" s="0" t="s">
        <v>71</v>
      </c>
      <c r="B17" s="0" t="s">
        <v>72</v>
      </c>
      <c r="C17" s="0" t="s">
        <v>73</v>
      </c>
      <c r="D17" s="8" t="n">
        <v>12</v>
      </c>
      <c r="E17" s="8" t="n">
        <v>15.5</v>
      </c>
      <c r="F17" s="8" t="n">
        <v>17</v>
      </c>
      <c r="G17" s="8" t="n">
        <v>15.6</v>
      </c>
      <c r="H17" s="8" t="n">
        <v>16.7</v>
      </c>
      <c r="I17" s="8" t="n">
        <v>17.2</v>
      </c>
      <c r="J17" s="9" t="s">
        <v>74</v>
      </c>
      <c r="K17" s="9" t="s">
        <v>75</v>
      </c>
    </row>
    <row r="18" customFormat="false" ht="15" hidden="false" customHeight="false" outlineLevel="0" collapsed="false">
      <c r="A18" s="0" t="s">
        <v>76</v>
      </c>
      <c r="B18" s="0" t="s">
        <v>77</v>
      </c>
      <c r="C18" s="0" t="s">
        <v>73</v>
      </c>
      <c r="G18" s="8" t="n">
        <v>30</v>
      </c>
      <c r="H18" s="8" t="n">
        <v>36</v>
      </c>
      <c r="I18" s="8" t="n">
        <v>37</v>
      </c>
      <c r="J18" s="9" t="s">
        <v>78</v>
      </c>
      <c r="K18" s="7" t="s">
        <v>79</v>
      </c>
    </row>
    <row r="19" customFormat="false" ht="15" hidden="false" customHeight="false" outlineLevel="0" collapsed="false">
      <c r="A19" s="0" t="s">
        <v>80</v>
      </c>
      <c r="B19" s="7" t="s">
        <v>81</v>
      </c>
      <c r="C19" s="0" t="s">
        <v>64</v>
      </c>
      <c r="D19" s="8" t="n">
        <v>1.9</v>
      </c>
      <c r="E19" s="8" t="n">
        <v>2.3</v>
      </c>
      <c r="F19" s="8" t="n">
        <v>2.7</v>
      </c>
      <c r="G19" s="8" t="n">
        <v>2.3</v>
      </c>
      <c r="H19" s="8" t="n">
        <v>2.8</v>
      </c>
      <c r="I19" s="8" t="n">
        <v>3.5</v>
      </c>
      <c r="J19" s="9" t="s">
        <v>74</v>
      </c>
      <c r="K19" s="9" t="s">
        <v>82</v>
      </c>
    </row>
    <row r="20" customFormat="false" ht="15" hidden="false" customHeight="false" outlineLevel="0" collapsed="false">
      <c r="A20" s="0" t="s">
        <v>83</v>
      </c>
      <c r="B20" s="7" t="s">
        <v>84</v>
      </c>
      <c r="C20" s="0" t="s">
        <v>64</v>
      </c>
      <c r="D20" s="8" t="n">
        <v>1</v>
      </c>
      <c r="E20" s="8" t="n">
        <v>1.5</v>
      </c>
      <c r="F20" s="8" t="n">
        <v>2</v>
      </c>
      <c r="G20" s="8" t="n">
        <v>1</v>
      </c>
      <c r="H20" s="8" t="n">
        <v>1.5</v>
      </c>
      <c r="I20" s="8" t="n">
        <v>2</v>
      </c>
      <c r="J20" s="9" t="s">
        <v>74</v>
      </c>
      <c r="K20" s="9" t="s">
        <v>85</v>
      </c>
    </row>
    <row r="21" customFormat="false" ht="15" hidden="false" customHeight="false" outlineLevel="0" collapsed="false">
      <c r="A21" s="0" t="s">
        <v>86</v>
      </c>
      <c r="B21" s="7" t="s">
        <v>87</v>
      </c>
      <c r="C21" s="7" t="s">
        <v>37</v>
      </c>
      <c r="D21" s="8" t="n">
        <v>36</v>
      </c>
      <c r="E21" s="8" t="n">
        <v>36</v>
      </c>
      <c r="F21" s="8" t="n">
        <v>36</v>
      </c>
      <c r="G21" s="8" t="n">
        <v>36</v>
      </c>
      <c r="H21" s="8" t="n">
        <v>36</v>
      </c>
      <c r="I21" s="8" t="n">
        <v>36</v>
      </c>
      <c r="J21" s="9" t="s">
        <v>60</v>
      </c>
      <c r="K21" s="9" t="s">
        <v>88</v>
      </c>
    </row>
    <row r="22" customFormat="false" ht="15" hidden="false" customHeight="false" outlineLevel="0" collapsed="false">
      <c r="A22" s="0" t="s">
        <v>89</v>
      </c>
      <c r="B22" s="0" t="s">
        <v>90</v>
      </c>
      <c r="C22" s="0" t="s">
        <v>64</v>
      </c>
      <c r="D22" s="8" t="n">
        <v>3</v>
      </c>
      <c r="E22" s="8" t="n">
        <v>4</v>
      </c>
      <c r="F22" s="8" t="n">
        <v>5</v>
      </c>
      <c r="G22" s="8" t="n">
        <v>4</v>
      </c>
      <c r="H22" s="8" t="n">
        <v>5</v>
      </c>
      <c r="I22" s="8" t="n">
        <v>6</v>
      </c>
      <c r="J22" s="9" t="s">
        <v>91</v>
      </c>
      <c r="K22" s="9" t="s">
        <v>92</v>
      </c>
    </row>
    <row r="23" customFormat="false" ht="15" hidden="false" customHeight="false" outlineLevel="0" collapsed="false">
      <c r="A23" s="0" t="s">
        <v>93</v>
      </c>
      <c r="B23" s="0" t="s">
        <v>94</v>
      </c>
      <c r="C23" s="0" t="s">
        <v>95</v>
      </c>
      <c r="D23" s="8" t="n">
        <v>17</v>
      </c>
      <c r="E23" s="8" t="n">
        <v>17</v>
      </c>
      <c r="F23" s="8" t="n">
        <v>36</v>
      </c>
      <c r="G23" s="8" t="n">
        <v>28</v>
      </c>
      <c r="H23" s="8" t="n">
        <v>28</v>
      </c>
      <c r="I23" s="8" t="n">
        <v>54</v>
      </c>
      <c r="J23" s="9" t="s">
        <v>96</v>
      </c>
      <c r="K23" s="9" t="s">
        <v>97</v>
      </c>
    </row>
    <row r="24" customFormat="false" ht="15" hidden="false" customHeight="false" outlineLevel="0" collapsed="false">
      <c r="A24" s="0" t="s">
        <v>98</v>
      </c>
      <c r="B24" s="0" t="s">
        <v>99</v>
      </c>
      <c r="C24" s="0" t="s">
        <v>73</v>
      </c>
      <c r="D24" s="8" t="n">
        <v>8</v>
      </c>
      <c r="E24" s="8" t="n">
        <v>13</v>
      </c>
      <c r="F24" s="8" t="n">
        <v>21</v>
      </c>
      <c r="G24" s="8" t="n">
        <v>8</v>
      </c>
      <c r="H24" s="8" t="n">
        <v>13</v>
      </c>
      <c r="I24" s="8" t="n">
        <v>21</v>
      </c>
      <c r="J24" s="9" t="s">
        <v>78</v>
      </c>
      <c r="K24" s="9" t="s">
        <v>100</v>
      </c>
    </row>
    <row r="25" customFormat="false" ht="15" hidden="false" customHeight="false" outlineLevel="0" collapsed="false">
      <c r="A25" s="0" t="s">
        <v>101</v>
      </c>
      <c r="B25" s="7" t="s">
        <v>102</v>
      </c>
      <c r="C25" s="7" t="s">
        <v>37</v>
      </c>
      <c r="D25" s="8" t="n">
        <v>72</v>
      </c>
      <c r="E25" s="8" t="n">
        <v>72</v>
      </c>
      <c r="F25" s="8" t="n">
        <v>72</v>
      </c>
      <c r="G25" s="8" t="n">
        <v>72</v>
      </c>
      <c r="H25" s="8" t="n">
        <v>144</v>
      </c>
      <c r="I25" s="8" t="n">
        <v>144</v>
      </c>
      <c r="J25" s="9" t="s">
        <v>103</v>
      </c>
      <c r="K25" s="9" t="s">
        <v>104</v>
      </c>
    </row>
    <row r="26" customFormat="false" ht="15" hidden="false" customHeight="false" outlineLevel="0" collapsed="false">
      <c r="A26" s="0" t="s">
        <v>105</v>
      </c>
      <c r="B26" s="0" t="s">
        <v>106</v>
      </c>
      <c r="C26" s="0" t="s">
        <v>64</v>
      </c>
      <c r="D26" s="8" t="n">
        <v>1.5</v>
      </c>
      <c r="E26" s="8" t="n">
        <v>2</v>
      </c>
      <c r="F26" s="8" t="n">
        <v>2.5</v>
      </c>
      <c r="G26" s="8" t="n">
        <v>2</v>
      </c>
      <c r="H26" s="8" t="n">
        <v>3</v>
      </c>
      <c r="I26" s="8" t="n">
        <v>4</v>
      </c>
      <c r="J26" s="9" t="s">
        <v>107</v>
      </c>
      <c r="K26" s="9" t="s">
        <v>108</v>
      </c>
    </row>
    <row r="27" customFormat="false" ht="15" hidden="false" customHeight="false" outlineLevel="0" collapsed="false">
      <c r="A27" s="0" t="s">
        <v>109</v>
      </c>
      <c r="B27" s="7" t="s">
        <v>110</v>
      </c>
      <c r="C27" s="7" t="s">
        <v>37</v>
      </c>
      <c r="D27" s="8" t="n">
        <v>18</v>
      </c>
      <c r="E27" s="8" t="n">
        <v>18</v>
      </c>
      <c r="F27" s="8" t="n">
        <v>18</v>
      </c>
      <c r="G27" s="8" t="n">
        <v>18</v>
      </c>
      <c r="H27" s="8" t="n">
        <v>18</v>
      </c>
      <c r="I27" s="8" t="n">
        <v>18</v>
      </c>
      <c r="J27" s="9" t="s">
        <v>60</v>
      </c>
      <c r="K27" s="7" t="s">
        <v>111</v>
      </c>
    </row>
    <row r="28" customFormat="false" ht="15" hidden="false" customHeight="false" outlineLevel="0" collapsed="false">
      <c r="A28" s="0" t="s">
        <v>112</v>
      </c>
      <c r="B28" s="0" t="s">
        <v>113</v>
      </c>
      <c r="C28" s="0" t="s">
        <v>64</v>
      </c>
      <c r="D28" s="8" t="n">
        <v>1.5</v>
      </c>
      <c r="E28" s="8" t="n">
        <v>2.5</v>
      </c>
      <c r="F28" s="8" t="n">
        <v>3.5</v>
      </c>
      <c r="G28" s="8" t="n">
        <v>3</v>
      </c>
      <c r="H28" s="8" t="n">
        <v>4</v>
      </c>
      <c r="I28" s="8" t="n">
        <v>5</v>
      </c>
      <c r="J28" s="9" t="s">
        <v>114</v>
      </c>
      <c r="K28" s="7" t="s">
        <v>115</v>
      </c>
    </row>
    <row r="29" customFormat="false" ht="15" hidden="false" customHeight="false" outlineLevel="0" collapsed="false">
      <c r="A29" s="0" t="s">
        <v>116</v>
      </c>
      <c r="B29" s="7" t="s">
        <v>117</v>
      </c>
      <c r="C29" s="0" t="s">
        <v>28</v>
      </c>
      <c r="D29" s="8" t="n">
        <v>0.05</v>
      </c>
      <c r="E29" s="8" t="n">
        <v>0.1</v>
      </c>
      <c r="F29" s="8" t="n">
        <v>0.2</v>
      </c>
      <c r="G29" s="8" t="n">
        <v>0.2</v>
      </c>
      <c r="H29" s="8" t="n">
        <v>1</v>
      </c>
      <c r="I29" s="8" t="n">
        <v>1.2</v>
      </c>
      <c r="J29" s="9" t="s">
        <v>118</v>
      </c>
      <c r="K29" s="9" t="s">
        <v>119</v>
      </c>
    </row>
    <row r="30" customFormat="false" ht="15" hidden="false" customHeight="false" outlineLevel="0" collapsed="false">
      <c r="A30" s="0" t="s">
        <v>120</v>
      </c>
      <c r="B30" s="0" t="s">
        <v>121</v>
      </c>
      <c r="C30" s="0" t="s">
        <v>41</v>
      </c>
      <c r="D30" s="8" t="n">
        <v>0.04</v>
      </c>
      <c r="E30" s="8" t="n">
        <v>0.05</v>
      </c>
      <c r="F30" s="8" t="n">
        <v>0.06</v>
      </c>
      <c r="G30" s="8" t="n">
        <v>0.04</v>
      </c>
      <c r="H30" s="8" t="n">
        <v>0.05</v>
      </c>
      <c r="I30" s="8" t="n">
        <v>0.06</v>
      </c>
      <c r="J30" s="9" t="s">
        <v>74</v>
      </c>
      <c r="K30" s="9" t="s">
        <v>122</v>
      </c>
    </row>
    <row r="31" customFormat="false" ht="15" hidden="false" customHeight="false" outlineLevel="0" collapsed="false">
      <c r="A31" s="0" t="s">
        <v>123</v>
      </c>
      <c r="B31" s="7" t="s">
        <v>124</v>
      </c>
      <c r="C31" s="0" t="s">
        <v>41</v>
      </c>
      <c r="D31" s="8" t="n">
        <v>0.4</v>
      </c>
      <c r="E31" s="8" t="n">
        <v>0.5</v>
      </c>
      <c r="F31" s="8" t="n">
        <v>0.6</v>
      </c>
      <c r="G31" s="8" t="n">
        <v>0.4</v>
      </c>
      <c r="H31" s="8" t="n">
        <v>0.5</v>
      </c>
      <c r="I31" s="8" t="n">
        <v>0.6</v>
      </c>
      <c r="J31" s="9" t="s">
        <v>114</v>
      </c>
      <c r="K31" s="9" t="s">
        <v>125</v>
      </c>
    </row>
    <row r="32" customFormat="false" ht="15" hidden="false" customHeight="false" outlineLevel="0" collapsed="false">
      <c r="A32" s="0" t="s">
        <v>126</v>
      </c>
      <c r="B32" s="7" t="s">
        <v>127</v>
      </c>
      <c r="C32" s="0" t="s">
        <v>41</v>
      </c>
      <c r="D32" s="8" t="n">
        <v>0.05</v>
      </c>
      <c r="E32" s="8" t="n">
        <v>0.07</v>
      </c>
      <c r="F32" s="8" t="n">
        <v>0.08</v>
      </c>
      <c r="G32" s="8" t="n">
        <v>0.05</v>
      </c>
      <c r="H32" s="8" t="n">
        <v>0.07</v>
      </c>
      <c r="I32" s="8" t="n">
        <v>0.08</v>
      </c>
      <c r="J32" s="9" t="s">
        <v>78</v>
      </c>
      <c r="K32" s="9" t="s">
        <v>128</v>
      </c>
    </row>
    <row r="33" customFormat="false" ht="15" hidden="false" customHeight="false" outlineLevel="0" collapsed="false">
      <c r="A33" s="0" t="s">
        <v>129</v>
      </c>
      <c r="B33" s="7" t="s">
        <v>130</v>
      </c>
      <c r="C33" s="0" t="s">
        <v>131</v>
      </c>
      <c r="D33" s="8" t="n">
        <v>50</v>
      </c>
      <c r="E33" s="8" t="n">
        <v>50</v>
      </c>
      <c r="F33" s="8" t="n">
        <v>50</v>
      </c>
      <c r="G33" s="8" t="n">
        <v>56</v>
      </c>
      <c r="H33" s="8" t="n">
        <v>56</v>
      </c>
      <c r="I33" s="8" t="n">
        <v>56</v>
      </c>
      <c r="J33" s="9" t="s">
        <v>78</v>
      </c>
      <c r="K33" s="9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5" min="4" style="0" width="22"/>
    <col collapsed="false" customWidth="true" hidden="false" outlineLevel="0" max="6" min="6" style="0" width="50"/>
  </cols>
  <sheetData>
    <row r="1" customFormat="false" ht="15" hidden="false" customHeight="false" outlineLevel="0" collapsed="false">
      <c r="A1" s="0" t="s">
        <v>133</v>
      </c>
    </row>
    <row r="3" customFormat="false" ht="15" hidden="false" customHeight="false" outlineLevel="0" collapsed="false">
      <c r="A3" s="4" t="s">
        <v>15</v>
      </c>
      <c r="B3" s="5" t="s">
        <v>134</v>
      </c>
      <c r="C3" s="5" t="s">
        <v>135</v>
      </c>
      <c r="D3" s="5" t="s">
        <v>136</v>
      </c>
      <c r="E3" s="5" t="s">
        <v>137</v>
      </c>
      <c r="F3" s="4" t="s">
        <v>138</v>
      </c>
    </row>
    <row r="4" customFormat="false" ht="15" hidden="false" customHeight="false" outlineLevel="0" collapsed="false">
      <c r="A4" s="0" t="s">
        <v>139</v>
      </c>
      <c r="B4" s="10" t="n">
        <f aca="false">In!E17</f>
        <v>15.5</v>
      </c>
      <c r="C4" s="10" t="n">
        <f aca="false">In!H17</f>
        <v>16.7</v>
      </c>
      <c r="D4" s="10" t="n">
        <f aca="false">In!H18</f>
        <v>36</v>
      </c>
      <c r="E4" s="10" t="n">
        <f aca="false">In!H18</f>
        <v>36</v>
      </c>
    </row>
    <row r="5" customFormat="false" ht="15" hidden="false" customHeight="false" outlineLevel="0" collapsed="false">
      <c r="A5" s="7" t="s">
        <v>140</v>
      </c>
      <c r="B5" s="11" t="n">
        <f aca="false">In!E16*B4/1000</f>
        <v>4.464</v>
      </c>
      <c r="C5" s="11" t="n">
        <f aca="false">In!H16*C4/1000</f>
        <v>4.8096</v>
      </c>
      <c r="D5" s="11" t="n">
        <f aca="false">In!H16*D4/1000</f>
        <v>10.368</v>
      </c>
      <c r="E5" s="11" t="n">
        <f aca="false">In!H16*E4/1000</f>
        <v>10.368</v>
      </c>
    </row>
    <row r="6" customFormat="false" ht="15" hidden="false" customHeight="false" outlineLevel="0" collapsed="false">
      <c r="A6" s="0" t="s">
        <v>141</v>
      </c>
      <c r="B6" s="11" t="n">
        <f aca="false">In!E15</f>
        <v>40.4</v>
      </c>
      <c r="C6" s="11" t="n">
        <f aca="false">In!H15</f>
        <v>55</v>
      </c>
      <c r="D6" s="11" t="n">
        <f aca="false">In!H15</f>
        <v>55</v>
      </c>
      <c r="E6" s="11" t="n">
        <f aca="false">In!H15+(E5-C5)</f>
        <v>60.5584</v>
      </c>
      <c r="F6" s="9" t="s">
        <v>142</v>
      </c>
    </row>
    <row r="7" customFormat="false" ht="15" hidden="false" customHeight="false" outlineLevel="0" collapsed="false">
      <c r="A7" s="7" t="s">
        <v>143</v>
      </c>
      <c r="B7" s="11" t="n">
        <f aca="false">In!E19</f>
        <v>2.3</v>
      </c>
      <c r="C7" s="11" t="n">
        <f aca="false">In!H19</f>
        <v>2.8</v>
      </c>
      <c r="D7" s="11" t="n">
        <f aca="false">In!H19</f>
        <v>2.8</v>
      </c>
      <c r="E7" s="11" t="n">
        <f aca="false">In!H19</f>
        <v>2.8</v>
      </c>
    </row>
    <row r="8" customFormat="false" ht="15" hidden="false" customHeight="false" outlineLevel="0" collapsed="false">
      <c r="A8" s="7" t="s">
        <v>144</v>
      </c>
      <c r="B8" s="11" t="n">
        <f aca="false">In!E20</f>
        <v>1.5</v>
      </c>
      <c r="C8" s="11" t="n">
        <f aca="false">In!H20</f>
        <v>1.5</v>
      </c>
      <c r="D8" s="11" t="n">
        <f aca="false">In!H20</f>
        <v>1.5</v>
      </c>
      <c r="E8" s="11" t="n">
        <f aca="false">In!H20</f>
        <v>1.5</v>
      </c>
    </row>
    <row r="9" customFormat="false" ht="15" hidden="false" customHeight="false" outlineLevel="0" collapsed="false">
      <c r="A9" s="0" t="s">
        <v>145</v>
      </c>
      <c r="B9" s="11" t="n">
        <f aca="false">B6-B5-B7-B8</f>
        <v>32.136</v>
      </c>
      <c r="C9" s="11" t="n">
        <f aca="false">C6-C5-C7-C8</f>
        <v>45.8904</v>
      </c>
      <c r="D9" s="11" t="n">
        <f aca="false">D6-D5-D7-D8</f>
        <v>40.332</v>
      </c>
      <c r="E9" s="11" t="n">
        <f aca="false">E6-E5-E7-E8</f>
        <v>45.8904</v>
      </c>
    </row>
    <row r="10" customFormat="false" ht="15" hidden="false" customHeight="false" outlineLevel="0" collapsed="false">
      <c r="A10" s="0" t="s">
        <v>146</v>
      </c>
      <c r="B10" s="12" t="n">
        <f aca="false">B9/B6</f>
        <v>0.795445544554456</v>
      </c>
      <c r="C10" s="12" t="n">
        <f aca="false">C9/C6</f>
        <v>0.834370909090909</v>
      </c>
      <c r="D10" s="12" t="n">
        <f aca="false">D9/D6</f>
        <v>0.733309090909091</v>
      </c>
      <c r="E10" s="12" t="n">
        <f aca="false">E9/E6</f>
        <v>0.757787524108959</v>
      </c>
    </row>
    <row r="11" customFormat="false" ht="15" hidden="false" customHeight="false" outlineLevel="0" collapsed="false">
      <c r="A11" s="0" t="s">
        <v>147</v>
      </c>
      <c r="B11" s="12" t="n">
        <f aca="false">B5/B6</f>
        <v>0.110495049504951</v>
      </c>
      <c r="C11" s="12" t="n">
        <f aca="false">C5/C6</f>
        <v>0.0874472727272727</v>
      </c>
      <c r="D11" s="12" t="n">
        <f aca="false">D5/D6</f>
        <v>0.188509090909091</v>
      </c>
      <c r="E11" s="12" t="n">
        <f aca="false">E5/E6</f>
        <v>0.171206636899258</v>
      </c>
    </row>
    <row r="12" customFormat="false" ht="15" hidden="false" customHeight="false" outlineLevel="0" collapsed="false">
      <c r="A12" s="7" t="s">
        <v>148</v>
      </c>
      <c r="B12" s="12" t="n">
        <f aca="false">B7/B6</f>
        <v>0.0569306930693069</v>
      </c>
      <c r="C12" s="12" t="n">
        <f aca="false">C7/C6</f>
        <v>0.0509090909090909</v>
      </c>
      <c r="D12" s="12" t="n">
        <f aca="false">D7/D6</f>
        <v>0.0509090909090909</v>
      </c>
      <c r="E12" s="12" t="n">
        <f aca="false">E7/E6</f>
        <v>0.0462363602737193</v>
      </c>
    </row>
    <row r="14" customFormat="false" ht="15" hidden="false" customHeight="false" outlineLevel="0" collapsed="false">
      <c r="A14" s="7" t="s">
        <v>149</v>
      </c>
      <c r="B14" s="13" t="n">
        <f aca="false">In!E5</f>
        <v>4.3</v>
      </c>
      <c r="C14" s="13" t="n">
        <f aca="false">In!H5</f>
        <v>8.4</v>
      </c>
      <c r="D14" s="13" t="n">
        <f aca="false">In!H5</f>
        <v>8.4</v>
      </c>
      <c r="E14" s="13" t="n">
        <f aca="false">In!H5+In!H14*(E6-C6)/1000</f>
        <v>8.8002048</v>
      </c>
      <c r="F14" s="9" t="s">
        <v>150</v>
      </c>
    </row>
    <row r="15" customFormat="false" ht="15" hidden="false" customHeight="false" outlineLevel="0" collapsed="false">
      <c r="A15" s="0" t="s">
        <v>151</v>
      </c>
      <c r="B15" s="13" t="n">
        <f aca="false">In!E14*B6/1000</f>
        <v>2.9088</v>
      </c>
      <c r="C15" s="13" t="n">
        <f aca="false">In!H14*C6/1000</f>
        <v>3.96</v>
      </c>
      <c r="D15" s="13" t="n">
        <f aca="false">In!H14*D6/1000</f>
        <v>3.96</v>
      </c>
      <c r="E15" s="13" t="n">
        <f aca="false">In!H14*E6/1000</f>
        <v>4.3602048</v>
      </c>
    </row>
    <row r="16" customFormat="false" ht="15" hidden="false" customHeight="false" outlineLevel="0" collapsed="false">
      <c r="A16" s="0" t="s">
        <v>152</v>
      </c>
      <c r="B16" s="13" t="n">
        <f aca="false">In!E14*B5/1000</f>
        <v>0.321408</v>
      </c>
      <c r="C16" s="13" t="n">
        <f aca="false">In!H14*C5/1000</f>
        <v>0.3462912</v>
      </c>
      <c r="D16" s="13" t="n">
        <f aca="false">In!H14*D5/1000</f>
        <v>0.746496</v>
      </c>
      <c r="E16" s="13" t="n">
        <f aca="false">In!H14*E5/1000</f>
        <v>0.746496</v>
      </c>
    </row>
    <row r="17" customFormat="false" ht="15" hidden="false" customHeight="false" outlineLevel="0" collapsed="false">
      <c r="A17" s="7" t="s">
        <v>153</v>
      </c>
      <c r="B17" s="13" t="n">
        <f aca="false">In!E14*B7/1000</f>
        <v>0.1656</v>
      </c>
      <c r="C17" s="13" t="n">
        <f aca="false">In!H14*C7/1000</f>
        <v>0.2016</v>
      </c>
      <c r="D17" s="13" t="n">
        <f aca="false">In!H14*D7/1000</f>
        <v>0.2016</v>
      </c>
      <c r="E17" s="13" t="n">
        <f aca="false">In!H14*E7/1000</f>
        <v>0.2016</v>
      </c>
    </row>
    <row r="18" customFormat="false" ht="15" hidden="false" customHeight="false" outlineLevel="0" collapsed="false">
      <c r="A18" s="7" t="s">
        <v>154</v>
      </c>
      <c r="B18" s="13" t="n">
        <f aca="false">In!E14*B8/1000</f>
        <v>0.108</v>
      </c>
      <c r="C18" s="13" t="n">
        <f aca="false">In!H14*C8/1000</f>
        <v>0.108</v>
      </c>
      <c r="D18" s="13" t="n">
        <f aca="false">In!H14*D8/1000</f>
        <v>0.108</v>
      </c>
      <c r="E18" s="13" t="n">
        <f aca="false">In!H14*E8/1000</f>
        <v>0.108</v>
      </c>
    </row>
    <row r="19" customFormat="false" ht="15" hidden="false" customHeight="false" outlineLevel="0" collapsed="false">
      <c r="A19" s="0" t="s">
        <v>155</v>
      </c>
      <c r="B19" s="13" t="n">
        <f aca="false">In!E14*B9/1000</f>
        <v>2.313792</v>
      </c>
      <c r="C19" s="13" t="n">
        <f aca="false">In!H14*C9/1000</f>
        <v>3.3041088</v>
      </c>
      <c r="D19" s="13" t="n">
        <f aca="false">In!H14*D9/1000</f>
        <v>2.903904</v>
      </c>
      <c r="E19" s="13" t="n">
        <f aca="false">In!H14*E9/1000</f>
        <v>3.3041088</v>
      </c>
    </row>
    <row r="20" customFormat="false" ht="15" hidden="false" customHeight="false" outlineLevel="0" collapsed="false">
      <c r="A20" s="0" t="s">
        <v>156</v>
      </c>
      <c r="B20" s="13" t="n">
        <f aca="false">In!E21*In!E22/1000</f>
        <v>0.144</v>
      </c>
      <c r="C20" s="13" t="n">
        <f aca="false">In!H21*In!H22/1000</f>
        <v>0.18</v>
      </c>
      <c r="D20" s="13" t="n">
        <f aca="false">In!H21*In!H22/1000</f>
        <v>0.18</v>
      </c>
      <c r="E20" s="13" t="n">
        <f aca="false">In!H21*In!H22/1000</f>
        <v>0.18</v>
      </c>
    </row>
    <row r="21" customFormat="false" ht="15" hidden="false" customHeight="false" outlineLevel="0" collapsed="false">
      <c r="A21" s="7" t="s">
        <v>157</v>
      </c>
      <c r="B21" s="13" t="n">
        <f aca="false">In!E23*In!E24/1000</f>
        <v>0.221</v>
      </c>
      <c r="C21" s="13" t="n">
        <f aca="false">In!H23*In!H24/1000</f>
        <v>0.364</v>
      </c>
      <c r="D21" s="13" t="n">
        <f aca="false">In!H23*In!H24/1000</f>
        <v>0.364</v>
      </c>
      <c r="E21" s="13" t="n">
        <f aca="false">In!H23*In!H24/1000</f>
        <v>0.364</v>
      </c>
      <c r="F21" s="9" t="s">
        <v>158</v>
      </c>
    </row>
    <row r="22" customFormat="false" ht="15" hidden="false" customHeight="false" outlineLevel="0" collapsed="false">
      <c r="A22" s="0" t="s">
        <v>159</v>
      </c>
      <c r="B22" s="13" t="n">
        <f aca="false">In!E29</f>
        <v>0.1</v>
      </c>
      <c r="C22" s="13" t="n">
        <f aca="false">In!H29</f>
        <v>1</v>
      </c>
      <c r="D22" s="13" t="n">
        <f aca="false">In!H29</f>
        <v>1</v>
      </c>
      <c r="E22" s="13" t="n">
        <f aca="false">In!H29</f>
        <v>1</v>
      </c>
    </row>
    <row r="23" customFormat="false" ht="15" hidden="false" customHeight="false" outlineLevel="0" collapsed="false">
      <c r="A23" s="0" t="s">
        <v>160</v>
      </c>
      <c r="B23" s="13" t="n">
        <f aca="false">In!E25*In!E26/1000</f>
        <v>0.144</v>
      </c>
      <c r="C23" s="13" t="n">
        <f aca="false">In!H25*In!H26/1000</f>
        <v>0.432</v>
      </c>
      <c r="D23" s="13" t="n">
        <f aca="false">In!H25*In!H26/1000</f>
        <v>0.432</v>
      </c>
      <c r="E23" s="13" t="n">
        <f aca="false">In!H25*In!H26/1000</f>
        <v>0.432</v>
      </c>
    </row>
    <row r="24" customFormat="false" ht="15" hidden="false" customHeight="false" outlineLevel="0" collapsed="false">
      <c r="A24" s="0" t="s">
        <v>161</v>
      </c>
      <c r="B24" s="13" t="n">
        <f aca="false">In!E27*In!E28/1000</f>
        <v>0.045</v>
      </c>
      <c r="C24" s="13" t="n">
        <f aca="false">In!H27*In!H28/1000</f>
        <v>0.072</v>
      </c>
      <c r="D24" s="13" t="n">
        <f aca="false">In!H27*In!H28/1000</f>
        <v>0.072</v>
      </c>
      <c r="E24" s="13" t="n">
        <f aca="false">In!H27*In!H28/1000</f>
        <v>0.072</v>
      </c>
    </row>
    <row r="25" customFormat="false" ht="15" hidden="false" customHeight="false" outlineLevel="0" collapsed="false">
      <c r="A25" s="0" t="s">
        <v>162</v>
      </c>
      <c r="B25" s="13" t="n">
        <f aca="false">In!E30*In!E5</f>
        <v>0.215</v>
      </c>
      <c r="C25" s="13" t="n">
        <f aca="false">In!H30*In!H5</f>
        <v>0.42</v>
      </c>
      <c r="D25" s="13" t="n">
        <f aca="false">In!H30*In!H5</f>
        <v>0.42</v>
      </c>
      <c r="E25" s="13" t="n">
        <f aca="false">In!H30*In!H5</f>
        <v>0.42</v>
      </c>
      <c r="F25" s="7" t="s">
        <v>163</v>
      </c>
    </row>
    <row r="26" customFormat="false" ht="15" hidden="false" customHeight="false" outlineLevel="0" collapsed="false">
      <c r="A26" s="0" t="s">
        <v>164</v>
      </c>
      <c r="B26" s="13" t="n">
        <f aca="false">B25*In!E31</f>
        <v>0.1075</v>
      </c>
      <c r="C26" s="13" t="n">
        <f aca="false">C25*In!H31</f>
        <v>0.21</v>
      </c>
      <c r="D26" s="13" t="n">
        <f aca="false">D25*In!H31</f>
        <v>0.21</v>
      </c>
      <c r="E26" s="13" t="n">
        <f aca="false">E25*In!H31</f>
        <v>0.21</v>
      </c>
    </row>
    <row r="27" customFormat="false" ht="15" hidden="false" customHeight="false" outlineLevel="0" collapsed="false">
      <c r="A27" s="7" t="s">
        <v>165</v>
      </c>
      <c r="B27" s="13" t="n">
        <f aca="false">B25-B26</f>
        <v>0.1075</v>
      </c>
      <c r="C27" s="13" t="n">
        <f aca="false">C25-C26</f>
        <v>0.21</v>
      </c>
      <c r="D27" s="13" t="n">
        <f aca="false">D25-D26</f>
        <v>0.21</v>
      </c>
      <c r="E27" s="13" t="n">
        <f aca="false">E25-E26</f>
        <v>0.21</v>
      </c>
    </row>
    <row r="28" customFormat="false" ht="15" hidden="false" customHeight="false" outlineLevel="0" collapsed="false">
      <c r="A28" s="7" t="s">
        <v>166</v>
      </c>
      <c r="B28" s="13" t="n">
        <f aca="false">In!E32*In!E5</f>
        <v>0.301</v>
      </c>
      <c r="C28" s="13" t="n">
        <f aca="false">In!H32*In!H5</f>
        <v>0.588</v>
      </c>
      <c r="D28" s="13" t="n">
        <f aca="false">In!H32*In!H5</f>
        <v>0.588</v>
      </c>
      <c r="E28" s="13" t="n">
        <f aca="false">In!H32*In!H5</f>
        <v>0.588</v>
      </c>
    </row>
    <row r="29" customFormat="false" ht="15" hidden="false" customHeight="false" outlineLevel="0" collapsed="false">
      <c r="A29" s="7" t="s">
        <v>167</v>
      </c>
      <c r="B29" s="13" t="n">
        <f aca="false">In!E33/1000</f>
        <v>0.05</v>
      </c>
      <c r="C29" s="13" t="n">
        <f aca="false">In!H33/1000</f>
        <v>0.056</v>
      </c>
      <c r="D29" s="13" t="n">
        <f aca="false">In!H33/1000</f>
        <v>0.056</v>
      </c>
      <c r="E29" s="13" t="n">
        <f aca="false">In!H33/1000</f>
        <v>0.056</v>
      </c>
    </row>
    <row r="30" customFormat="false" ht="15" hidden="false" customHeight="false" outlineLevel="0" collapsed="false">
      <c r="A30" s="7" t="s">
        <v>168</v>
      </c>
      <c r="B30" s="13" t="n">
        <f aca="false">B14-B15-B20-B21-B22-B23-B24-B25-B28</f>
        <v>0.2212</v>
      </c>
      <c r="C30" s="13" t="n">
        <f aca="false">C14-C15-C20-C21-C22-C23-C24-C25-C28</f>
        <v>1.384</v>
      </c>
      <c r="D30" s="13" t="n">
        <f aca="false">D14-D15-D20-D21-D22-D23-D24-D25-D28</f>
        <v>1.384</v>
      </c>
      <c r="E30" s="13" t="n">
        <f aca="false">E14-E15-E20-E21-E22-E23-E24-E25-E28</f>
        <v>1.384</v>
      </c>
      <c r="F30" s="7" t="s">
        <v>169</v>
      </c>
    </row>
    <row r="31" customFormat="false" ht="15" hidden="false" customHeight="false" outlineLevel="0" collapsed="false">
      <c r="A31" s="7" t="s">
        <v>170</v>
      </c>
      <c r="B31" s="12" t="n">
        <f aca="false">B30/B14</f>
        <v>0.0514418604651163</v>
      </c>
      <c r="C31" s="12" t="n">
        <f aca="false">C30/C14</f>
        <v>0.164761904761905</v>
      </c>
      <c r="D31" s="12" t="n">
        <f aca="false">D30/D14</f>
        <v>0.164761904761905</v>
      </c>
      <c r="E31" s="12" t="n">
        <f aca="false">E30/E14</f>
        <v>0.157269067192618</v>
      </c>
    </row>
    <row r="32" customFormat="false" ht="15" hidden="false" customHeight="false" outlineLevel="0" collapsed="false">
      <c r="A32" s="7" t="s">
        <v>171</v>
      </c>
      <c r="B32" s="13" t="n">
        <f aca="false">B15+B20+B21+B22+B23+B24+B25+B28+B30-B14</f>
        <v>0</v>
      </c>
      <c r="C32" s="13" t="n">
        <f aca="false">C15+C20+C21+C22+C23+C24+C25+C28+C30-C14</f>
        <v>0</v>
      </c>
      <c r="D32" s="13" t="n">
        <f aca="false">D15+D20+D21+D22+D23+D24+D25+D28+D30-D14</f>
        <v>0</v>
      </c>
      <c r="E32" s="13" t="n">
        <f aca="false">E15+E20+E21+E22+E23+E24+E25+E28+E30-E14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4" style="0" width="15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9" min="8" style="0" width="15"/>
    <col collapsed="false" customWidth="true" hidden="false" outlineLevel="0" max="10" min="10" style="0" width="30"/>
  </cols>
  <sheetData>
    <row r="1" customFormat="false" ht="15" hidden="false" customHeight="false" outlineLevel="0" collapsed="false">
      <c r="A1" s="0" t="s">
        <v>172</v>
      </c>
    </row>
    <row r="2" customFormat="false" ht="15" hidden="false" customHeight="false" outlineLevel="0" collapsed="false">
      <c r="A2" s="7" t="s">
        <v>173</v>
      </c>
    </row>
    <row r="4" customFormat="false" ht="15" hidden="false" customHeight="false" outlineLevel="0" collapsed="false">
      <c r="A4" s="4" t="s">
        <v>174</v>
      </c>
      <c r="B4" s="5" t="s">
        <v>175</v>
      </c>
      <c r="C4" s="5" t="s">
        <v>176</v>
      </c>
      <c r="D4" s="5" t="s">
        <v>177</v>
      </c>
      <c r="E4" s="5" t="s">
        <v>178</v>
      </c>
      <c r="F4" s="5" t="s">
        <v>179</v>
      </c>
      <c r="G4" s="5" t="s">
        <v>180</v>
      </c>
      <c r="H4" s="5" t="s">
        <v>181</v>
      </c>
      <c r="I4" s="5" t="s">
        <v>182</v>
      </c>
      <c r="J4" s="4" t="s">
        <v>183</v>
      </c>
    </row>
    <row r="5" customFormat="false" ht="15" hidden="false" customHeight="false" outlineLevel="0" collapsed="false">
      <c r="A5" s="1" t="s">
        <v>184</v>
      </c>
      <c r="B5" s="13" t="n">
        <f aca="false">B6+B7</f>
        <v>44.907224</v>
      </c>
      <c r="C5" s="13" t="n">
        <f aca="false">C6+C7</f>
        <v>50.256352</v>
      </c>
      <c r="D5" s="13" t="n">
        <f aca="false">D6+D7</f>
        <v>50.256352</v>
      </c>
      <c r="E5" s="13" t="n">
        <f aca="false">E6+E7</f>
        <v>51.8779818496</v>
      </c>
      <c r="F5" s="12" t="n">
        <f aca="false">B5/B$5</f>
        <v>1</v>
      </c>
      <c r="G5" s="12" t="n">
        <f aca="false">C5/C$5</f>
        <v>1</v>
      </c>
      <c r="H5" s="12" t="n">
        <f aca="false">D5/D$5</f>
        <v>1</v>
      </c>
      <c r="I5" s="12" t="n">
        <f aca="false">E5/E$5</f>
        <v>1</v>
      </c>
    </row>
    <row r="6" customFormat="false" ht="15" hidden="false" customHeight="false" outlineLevel="0" collapsed="false">
      <c r="A6" s="3" t="s">
        <v>185</v>
      </c>
      <c r="B6" s="13" t="n">
        <f aca="false">In!E11</f>
        <v>12.67</v>
      </c>
      <c r="C6" s="13" t="n">
        <f aca="false">In!H11</f>
        <v>12.67</v>
      </c>
      <c r="D6" s="13" t="n">
        <f aca="false">In!H11</f>
        <v>12.67</v>
      </c>
      <c r="E6" s="13" t="n">
        <f aca="false">In!H11</f>
        <v>12.67</v>
      </c>
      <c r="F6" s="12" t="n">
        <f aca="false">B6/B$5</f>
        <v>0.282137234757597</v>
      </c>
      <c r="G6" s="12" t="n">
        <f aca="false">C6/C$5</f>
        <v>0.252107435095966</v>
      </c>
      <c r="H6" s="12" t="n">
        <f aca="false">D6/D$5</f>
        <v>0.252107435095966</v>
      </c>
      <c r="I6" s="12" t="n">
        <f aca="false">E6/E$5</f>
        <v>0.244226925340537</v>
      </c>
      <c r="J6" s="7" t="s">
        <v>186</v>
      </c>
    </row>
    <row r="7" customFormat="false" ht="15" hidden="false" customHeight="false" outlineLevel="0" collapsed="false">
      <c r="A7" s="6" t="s">
        <v>187</v>
      </c>
      <c r="B7" s="13" t="n">
        <f aca="false">B8-B21-B22+B20+B24</f>
        <v>32.237224</v>
      </c>
      <c r="C7" s="13" t="n">
        <f aca="false">C8-C21-C22+C20+C24</f>
        <v>37.586352</v>
      </c>
      <c r="D7" s="13" t="n">
        <f aca="false">D8-D21-D22+D20+D24</f>
        <v>37.586352</v>
      </c>
      <c r="E7" s="13" t="n">
        <f aca="false">E8-E21-E22+E20+E24</f>
        <v>39.2079818496</v>
      </c>
      <c r="F7" s="12" t="n">
        <f aca="false">B7/B$5</f>
        <v>0.717862765242403</v>
      </c>
      <c r="G7" s="12" t="n">
        <f aca="false">C7/C$5</f>
        <v>0.747892564904034</v>
      </c>
      <c r="H7" s="12" t="n">
        <f aca="false">D7/D$5</f>
        <v>0.747892564904034</v>
      </c>
      <c r="I7" s="12" t="n">
        <f aca="false">E7/E$5</f>
        <v>0.755773074659463</v>
      </c>
    </row>
    <row r="8" customFormat="false" ht="15" hidden="false" customHeight="false" outlineLevel="0" collapsed="false">
      <c r="A8" s="1" t="s">
        <v>188</v>
      </c>
      <c r="B8" s="13" t="n">
        <f aca="false">Rack!B14*In!E6/1000</f>
        <v>29.0852</v>
      </c>
      <c r="C8" s="13" t="n">
        <f aca="false">Rack!C14*In!H6/1000</f>
        <v>34.0368</v>
      </c>
      <c r="D8" s="13" t="n">
        <f aca="false">Rack!D14*In!H6/1000</f>
        <v>34.0368</v>
      </c>
      <c r="E8" s="13" t="n">
        <f aca="false">Rack!E14*In!H6/1000</f>
        <v>35.6584298496</v>
      </c>
      <c r="F8" s="12" t="n">
        <f aca="false">B8/B$5</f>
        <v>0.647673078166666</v>
      </c>
      <c r="G8" s="12" t="n">
        <f aca="false">C8/C$5</f>
        <v>0.677263642215814</v>
      </c>
      <c r="H8" s="12" t="n">
        <f aca="false">D8/D$5</f>
        <v>0.677263642215814</v>
      </c>
      <c r="I8" s="12" t="n">
        <f aca="false">E8/E$5</f>
        <v>0.68735190881129</v>
      </c>
      <c r="J8" s="7" t="s">
        <v>189</v>
      </c>
    </row>
    <row r="9" customFormat="false" ht="15" hidden="false" customHeight="false" outlineLevel="0" collapsed="false">
      <c r="A9" s="1" t="s">
        <v>190</v>
      </c>
      <c r="B9" s="13" t="n">
        <f aca="false">Rack!B15*In!E6/1000</f>
        <v>19.6751232</v>
      </c>
      <c r="C9" s="13" t="n">
        <f aca="false">Rack!C15*In!H6/1000</f>
        <v>16.04592</v>
      </c>
      <c r="D9" s="13" t="n">
        <f aca="false">Rack!D15*In!H6/1000</f>
        <v>16.04592</v>
      </c>
      <c r="E9" s="13" t="n">
        <f aca="false">Rack!E15*In!H6/1000</f>
        <v>17.6675498496</v>
      </c>
      <c r="F9" s="12" t="n">
        <f aca="false">B9/B$5</f>
        <v>0.438128244132837</v>
      </c>
      <c r="G9" s="12" t="n">
        <f aca="false">C9/C$5</f>
        <v>0.319281431330312</v>
      </c>
      <c r="H9" s="12" t="n">
        <f aca="false">D9/D$5</f>
        <v>0.319281431330312</v>
      </c>
      <c r="I9" s="12" t="n">
        <f aca="false">E9/E$5</f>
        <v>0.340559698347946</v>
      </c>
    </row>
    <row r="10" customFormat="false" ht="15" hidden="false" customHeight="false" outlineLevel="0" collapsed="false">
      <c r="A10" s="2" t="s">
        <v>191</v>
      </c>
      <c r="B10" s="13" t="n">
        <f aca="false">Rack!B19*In!E6/1000</f>
        <v>15.650489088</v>
      </c>
      <c r="C10" s="13" t="n">
        <f aca="false">Rack!C19*In!H6/1000</f>
        <v>13.3882488576</v>
      </c>
      <c r="D10" s="13" t="n">
        <f aca="false">Rack!D19*In!H6/1000</f>
        <v>11.766619008</v>
      </c>
      <c r="E10" s="13" t="n">
        <f aca="false">Rack!E19*In!H6/1000</f>
        <v>13.3882488576</v>
      </c>
      <c r="F10" s="12" t="n">
        <f aca="false">B10/B$5</f>
        <v>0.348507159738932</v>
      </c>
      <c r="G10" s="12" t="n">
        <f aca="false">C10/C$5</f>
        <v>0.266399138114919</v>
      </c>
      <c r="H10" s="12" t="n">
        <f aca="false">D10/D$5</f>
        <v>0.234131976152985</v>
      </c>
      <c r="I10" s="12" t="n">
        <f aca="false">E10/E$5</f>
        <v>0.258071890622384</v>
      </c>
      <c r="J10" s="9" t="s">
        <v>192</v>
      </c>
    </row>
    <row r="11" customFormat="false" ht="15" hidden="false" customHeight="false" outlineLevel="0" collapsed="false">
      <c r="A11" s="2" t="s">
        <v>193</v>
      </c>
      <c r="B11" s="13" t="n">
        <f aca="false">Rack!B17*In!E6/1000</f>
        <v>1.1201184</v>
      </c>
      <c r="C11" s="13" t="n">
        <f aca="false">Rack!C17*In!H6/1000</f>
        <v>0.8168832</v>
      </c>
      <c r="D11" s="13" t="n">
        <f aca="false">Rack!D17*In!H6/1000</f>
        <v>0.8168832</v>
      </c>
      <c r="E11" s="13" t="n">
        <f aca="false">Rack!E17*In!H6/1000</f>
        <v>0.8168832</v>
      </c>
      <c r="F11" s="12" t="n">
        <f aca="false">B11/B$5</f>
        <v>0.0249429445917209</v>
      </c>
      <c r="G11" s="12" t="n">
        <f aca="false">C11/C$5</f>
        <v>0.0162543274131795</v>
      </c>
      <c r="H11" s="12" t="n">
        <f aca="false">D11/D$5</f>
        <v>0.0162543274131795</v>
      </c>
      <c r="I11" s="12" t="n">
        <f aca="false">E11/E$5</f>
        <v>0.0157462409075248</v>
      </c>
      <c r="J11" s="7" t="s">
        <v>194</v>
      </c>
    </row>
    <row r="12" customFormat="false" ht="15" hidden="false" customHeight="false" outlineLevel="0" collapsed="false">
      <c r="A12" s="2" t="s">
        <v>195</v>
      </c>
      <c r="B12" s="13" t="n">
        <f aca="false">Rack!B16*In!E6/1000</f>
        <v>2.174003712</v>
      </c>
      <c r="C12" s="13" t="n">
        <f aca="false">Rack!C16*In!H6/1000</f>
        <v>1.4031719424</v>
      </c>
      <c r="D12" s="13" t="n">
        <f aca="false">Rack!D16*In!H6/1000</f>
        <v>3.024801792</v>
      </c>
      <c r="E12" s="13" t="n">
        <f aca="false">Rack!E16*In!H6/1000</f>
        <v>3.024801792</v>
      </c>
      <c r="F12" s="12" t="n">
        <f aca="false">B12/B$5</f>
        <v>0.0484110020249749</v>
      </c>
      <c r="G12" s="12" t="n">
        <f aca="false">C12/C$5</f>
        <v>0.0279202904022958</v>
      </c>
      <c r="H12" s="12" t="n">
        <f aca="false">D12/D$5</f>
        <v>0.0601874523642305</v>
      </c>
      <c r="I12" s="12" t="n">
        <f aca="false">E12/E$5</f>
        <v>0.0583060806175775</v>
      </c>
      <c r="J12" s="9" t="s">
        <v>196</v>
      </c>
    </row>
    <row r="13" customFormat="false" ht="15" hidden="false" customHeight="false" outlineLevel="0" collapsed="false">
      <c r="A13" s="3" t="s">
        <v>197</v>
      </c>
      <c r="B13" s="13" t="n">
        <f aca="false">Rack!B18*In!E6/1000</f>
        <v>0.730512</v>
      </c>
      <c r="C13" s="13" t="n">
        <f aca="false">Rack!C18*In!H6/1000</f>
        <v>0.437616</v>
      </c>
      <c r="D13" s="13" t="n">
        <f aca="false">Rack!D18*In!H6/1000</f>
        <v>0.437616</v>
      </c>
      <c r="E13" s="13" t="n">
        <f aca="false">Rack!E18*In!H6/1000</f>
        <v>0.437616</v>
      </c>
      <c r="F13" s="12" t="n">
        <f aca="false">B13/B$5</f>
        <v>0.0162671377772093</v>
      </c>
      <c r="G13" s="12" t="n">
        <f aca="false">C13/C$5</f>
        <v>0.00870767539991761</v>
      </c>
      <c r="H13" s="12" t="n">
        <f aca="false">D13/D$5</f>
        <v>0.00870767539991761</v>
      </c>
      <c r="I13" s="12" t="n">
        <f aca="false">E13/E$5</f>
        <v>0.00843548620045971</v>
      </c>
      <c r="J13" s="7" t="s">
        <v>198</v>
      </c>
    </row>
    <row r="14" customFormat="false" ht="15" hidden="false" customHeight="false" outlineLevel="0" collapsed="false">
      <c r="A14" s="2" t="s">
        <v>199</v>
      </c>
      <c r="B14" s="13" t="n">
        <f aca="false">Rack!B20*In!E6/1000</f>
        <v>0.974016</v>
      </c>
      <c r="C14" s="13" t="n">
        <f aca="false">Rack!C20*In!H6/1000</f>
        <v>0.72936</v>
      </c>
      <c r="D14" s="13" t="n">
        <f aca="false">Rack!D20*In!H6/1000</f>
        <v>0.72936</v>
      </c>
      <c r="E14" s="13" t="n">
        <f aca="false">Rack!E20*In!H6/1000</f>
        <v>0.72936</v>
      </c>
      <c r="F14" s="12" t="n">
        <f aca="false">B14/B$5</f>
        <v>0.0216895170362791</v>
      </c>
      <c r="G14" s="12" t="n">
        <f aca="false">C14/C$5</f>
        <v>0.014512792333196</v>
      </c>
      <c r="H14" s="12" t="n">
        <f aca="false">D14/D$5</f>
        <v>0.014512792333196</v>
      </c>
      <c r="I14" s="12" t="n">
        <f aca="false">E14/E$5</f>
        <v>0.0140591436674329</v>
      </c>
      <c r="J14" s="9" t="s">
        <v>200</v>
      </c>
    </row>
    <row r="15" customFormat="false" ht="15" hidden="false" customHeight="false" outlineLevel="0" collapsed="false">
      <c r="A15" s="3" t="s">
        <v>201</v>
      </c>
      <c r="B15" s="13" t="n">
        <f aca="false">Rack!B21*In!E6/1000</f>
        <v>1.494844</v>
      </c>
      <c r="C15" s="13" t="n">
        <f aca="false">Rack!C21*In!H6/1000</f>
        <v>1.474928</v>
      </c>
      <c r="D15" s="13" t="n">
        <f aca="false">Rack!D21*In!H6/1000</f>
        <v>1.474928</v>
      </c>
      <c r="E15" s="13" t="n">
        <f aca="false">Rack!E21*In!H6/1000</f>
        <v>1.474928</v>
      </c>
      <c r="F15" s="12" t="n">
        <f aca="false">B15/B$5</f>
        <v>0.033287383784845</v>
      </c>
      <c r="G15" s="12" t="n">
        <f aca="false">C15/C$5</f>
        <v>0.0293480911626853</v>
      </c>
      <c r="H15" s="12" t="n">
        <f aca="false">D15/D$5</f>
        <v>0.0293480911626853</v>
      </c>
      <c r="I15" s="12" t="n">
        <f aca="false">E15/E$5</f>
        <v>0.0284307127496975</v>
      </c>
      <c r="J15" s="7" t="s">
        <v>202</v>
      </c>
    </row>
    <row r="16" customFormat="false" ht="15" hidden="false" customHeight="false" outlineLevel="0" collapsed="false">
      <c r="A16" s="2" t="s">
        <v>203</v>
      </c>
      <c r="B16" s="13" t="n">
        <f aca="false">Rack!B22*In!E6/1000</f>
        <v>0.6764</v>
      </c>
      <c r="C16" s="13" t="n">
        <f aca="false">Rack!C22*In!H6/1000</f>
        <v>4.052</v>
      </c>
      <c r="D16" s="13" t="n">
        <f aca="false">Rack!D22*In!H6/1000</f>
        <v>4.052</v>
      </c>
      <c r="E16" s="13" t="n">
        <f aca="false">Rack!E22*In!H6/1000</f>
        <v>4.052</v>
      </c>
      <c r="F16" s="12" t="n">
        <f aca="false">B16/B$5</f>
        <v>0.0150621646085271</v>
      </c>
      <c r="G16" s="12" t="n">
        <f aca="false">C16/C$5</f>
        <v>0.0806266240733112</v>
      </c>
      <c r="H16" s="12" t="n">
        <f aca="false">D16/D$5</f>
        <v>0.0806266240733112</v>
      </c>
      <c r="I16" s="12" t="n">
        <f aca="false">E16/E$5</f>
        <v>0.0781063537079603</v>
      </c>
      <c r="J16" s="9" t="s">
        <v>204</v>
      </c>
    </row>
    <row r="17" customFormat="false" ht="15" hidden="false" customHeight="false" outlineLevel="0" collapsed="false">
      <c r="A17" s="2" t="s">
        <v>205</v>
      </c>
      <c r="B17" s="13" t="n">
        <f aca="false">(Rack!B23+Rack!B24)*In!E6/1000</f>
        <v>1.278396</v>
      </c>
      <c r="C17" s="13" t="n">
        <f aca="false">(Rack!C23+Rack!C24)*In!H6/1000</f>
        <v>2.042208</v>
      </c>
      <c r="D17" s="13" t="n">
        <f aca="false">(Rack!D23+Rack!D24)*In!H6/1000</f>
        <v>2.042208</v>
      </c>
      <c r="E17" s="13" t="n">
        <f aca="false">(Rack!E23+Rack!E24)*In!H6/1000</f>
        <v>2.042208</v>
      </c>
      <c r="F17" s="12" t="n">
        <f aca="false">B17/B$5</f>
        <v>0.0284674911101163</v>
      </c>
      <c r="G17" s="12" t="n">
        <f aca="false">C17/C$5</f>
        <v>0.0406358185329488</v>
      </c>
      <c r="H17" s="12" t="n">
        <f aca="false">D17/D$5</f>
        <v>0.0406358185329488</v>
      </c>
      <c r="I17" s="12" t="n">
        <f aca="false">E17/E$5</f>
        <v>0.039365602268812</v>
      </c>
      <c r="J17" s="9" t="s">
        <v>192</v>
      </c>
    </row>
    <row r="18" customFormat="false" ht="15" hidden="false" customHeight="false" outlineLevel="0" collapsed="false">
      <c r="A18" s="3" t="s">
        <v>206</v>
      </c>
      <c r="B18" s="13" t="n">
        <f aca="false">Rack!B28*In!E6/1000</f>
        <v>2.035964</v>
      </c>
      <c r="C18" s="13" t="n">
        <f aca="false">Rack!C28*In!H6/1000</f>
        <v>2.382576</v>
      </c>
      <c r="D18" s="13" t="n">
        <f aca="false">Rack!D28*In!H6/1000</f>
        <v>2.382576</v>
      </c>
      <c r="E18" s="13" t="n">
        <f aca="false">Rack!E28*In!H6/1000</f>
        <v>2.382576</v>
      </c>
      <c r="F18" s="12" t="n">
        <f aca="false">B18/B$5</f>
        <v>0.0453371154716667</v>
      </c>
      <c r="G18" s="12" t="n">
        <f aca="false">C18/C$5</f>
        <v>0.047408454955107</v>
      </c>
      <c r="H18" s="12" t="n">
        <f aca="false">D18/D$5</f>
        <v>0.047408454955107</v>
      </c>
      <c r="I18" s="12" t="n">
        <f aca="false">E18/E$5</f>
        <v>0.0459265359802807</v>
      </c>
      <c r="J18" s="7" t="s">
        <v>207</v>
      </c>
    </row>
    <row r="19" customFormat="false" ht="15" hidden="false" customHeight="false" outlineLevel="0" collapsed="false">
      <c r="A19" s="3" t="s">
        <v>208</v>
      </c>
      <c r="B19" s="13" t="n">
        <f aca="false">Rack!B30*In!E6/1000</f>
        <v>1.4961968</v>
      </c>
      <c r="C19" s="13" t="n">
        <f aca="false">Rack!C30*In!H6/1000</f>
        <v>5.607968</v>
      </c>
      <c r="D19" s="13" t="n">
        <f aca="false">Rack!D30*In!H6/1000</f>
        <v>5.607968</v>
      </c>
      <c r="E19" s="13" t="n">
        <f aca="false">Rack!E30*In!H6/1000</f>
        <v>5.607968</v>
      </c>
      <c r="F19" s="12" t="n">
        <f aca="false">B19/B$5</f>
        <v>0.033317508114062</v>
      </c>
      <c r="G19" s="12" t="n">
        <f aca="false">C19/C$5</f>
        <v>0.111587247717463</v>
      </c>
      <c r="H19" s="12" t="n">
        <f aca="false">D19/D$5</f>
        <v>0.111587247717463</v>
      </c>
      <c r="I19" s="12" t="n">
        <f aca="false">E19/E$5</f>
        <v>0.108099193531817</v>
      </c>
      <c r="J19" s="9" t="s">
        <v>209</v>
      </c>
    </row>
    <row r="20" customFormat="false" ht="15" hidden="false" customHeight="false" outlineLevel="0" collapsed="false">
      <c r="A20" s="1" t="s">
        <v>210</v>
      </c>
      <c r="B20" s="13" t="n">
        <f aca="false">B21+B22+B23</f>
        <v>4.36278</v>
      </c>
      <c r="C20" s="13" t="n">
        <f aca="false">C21+C22+C23</f>
        <v>5.10552</v>
      </c>
      <c r="D20" s="13" t="n">
        <f aca="false">D21+D22+D23</f>
        <v>5.10552</v>
      </c>
      <c r="E20" s="13" t="n">
        <f aca="false">E21+E22+E23</f>
        <v>5.10552</v>
      </c>
      <c r="F20" s="12" t="n">
        <f aca="false">B20/B$5</f>
        <v>0.097150961725</v>
      </c>
      <c r="G20" s="12" t="n">
        <f aca="false">C20/C$5</f>
        <v>0.101589546332372</v>
      </c>
      <c r="H20" s="12" t="n">
        <f aca="false">D20/D$5</f>
        <v>0.101589546332372</v>
      </c>
      <c r="I20" s="12" t="n">
        <f aca="false">E20/E$5</f>
        <v>0.0984140056720299</v>
      </c>
    </row>
    <row r="21" customFormat="false" ht="15" hidden="false" customHeight="false" outlineLevel="0" collapsed="false">
      <c r="A21" s="2" t="s">
        <v>211</v>
      </c>
      <c r="B21" s="13" t="n">
        <f aca="false">Rack!B26*In!E6/1000</f>
        <v>0.72713</v>
      </c>
      <c r="C21" s="13" t="n">
        <f aca="false">Rack!C26*In!H6/1000</f>
        <v>0.85092</v>
      </c>
      <c r="D21" s="13" t="n">
        <f aca="false">Rack!D26*In!H6/1000</f>
        <v>0.85092</v>
      </c>
      <c r="E21" s="13" t="n">
        <f aca="false">Rack!E26*In!H6/1000</f>
        <v>0.85092</v>
      </c>
      <c r="F21" s="12" t="n">
        <f aca="false">B21/B$5</f>
        <v>0.0161918269541667</v>
      </c>
      <c r="G21" s="12" t="n">
        <f aca="false">C21/C$5</f>
        <v>0.0169315910553954</v>
      </c>
      <c r="H21" s="12" t="n">
        <f aca="false">D21/D$5</f>
        <v>0.0169315910553954</v>
      </c>
      <c r="I21" s="12" t="n">
        <f aca="false">E21/E$5</f>
        <v>0.0164023342786717</v>
      </c>
      <c r="J21" s="9" t="s">
        <v>192</v>
      </c>
    </row>
    <row r="22" customFormat="false" ht="15" hidden="false" customHeight="false" outlineLevel="0" collapsed="false">
      <c r="A22" s="2" t="s">
        <v>212</v>
      </c>
      <c r="B22" s="13" t="n">
        <f aca="false">Rack!B27*In!E6/1000</f>
        <v>0.72713</v>
      </c>
      <c r="C22" s="13" t="n">
        <f aca="false">Rack!C27*In!H6/1000</f>
        <v>0.85092</v>
      </c>
      <c r="D22" s="13" t="n">
        <f aca="false">Rack!D27*In!H6/1000</f>
        <v>0.85092</v>
      </c>
      <c r="E22" s="13" t="n">
        <f aca="false">Rack!E27*In!H6/1000</f>
        <v>0.85092</v>
      </c>
      <c r="F22" s="12" t="n">
        <f aca="false">B22/B$5</f>
        <v>0.0161918269541667</v>
      </c>
      <c r="G22" s="12" t="n">
        <f aca="false">C22/C$5</f>
        <v>0.0169315910553954</v>
      </c>
      <c r="H22" s="12" t="n">
        <f aca="false">D22/D$5</f>
        <v>0.0169315910553954</v>
      </c>
      <c r="I22" s="12" t="n">
        <f aca="false">E22/E$5</f>
        <v>0.0164023342786717</v>
      </c>
      <c r="J22" s="9" t="s">
        <v>213</v>
      </c>
    </row>
    <row r="23" customFormat="false" ht="15" hidden="false" customHeight="false" outlineLevel="0" collapsed="false">
      <c r="A23" s="2" t="s">
        <v>214</v>
      </c>
      <c r="B23" s="13" t="n">
        <f aca="false">In!E8*In!E5*In!E6/1000</f>
        <v>2.90852</v>
      </c>
      <c r="C23" s="13" t="n">
        <f aca="false">In!H8*In!H5*In!H6/1000</f>
        <v>3.40368</v>
      </c>
      <c r="D23" s="13" t="n">
        <f aca="false">In!H8*In!H5*In!H6/1000</f>
        <v>3.40368</v>
      </c>
      <c r="E23" s="13" t="n">
        <f aca="false">In!H8*In!H5*In!H6/1000</f>
        <v>3.40368</v>
      </c>
      <c r="F23" s="12" t="n">
        <f aca="false">B23/B$5</f>
        <v>0.0647673078166667</v>
      </c>
      <c r="G23" s="12" t="n">
        <f aca="false">C23/C$5</f>
        <v>0.0677263642215814</v>
      </c>
      <c r="H23" s="12" t="n">
        <f aca="false">D23/D$5</f>
        <v>0.0677263642215814</v>
      </c>
      <c r="I23" s="12" t="n">
        <f aca="false">E23/E$5</f>
        <v>0.0656093371146866</v>
      </c>
      <c r="J23" s="9" t="s">
        <v>215</v>
      </c>
    </row>
    <row r="24" customFormat="false" ht="15" hidden="false" customHeight="false" outlineLevel="0" collapsed="false">
      <c r="A24" s="3" t="s">
        <v>216</v>
      </c>
      <c r="B24" s="13" t="n">
        <f aca="false">In!E9*In!E7/1000000000</f>
        <v>0.243504</v>
      </c>
      <c r="C24" s="13" t="n">
        <f aca="false">In!H9*In!H7/1000000000</f>
        <v>0.145872</v>
      </c>
      <c r="D24" s="13" t="n">
        <f aca="false">In!H9*In!H7/1000000000</f>
        <v>0.145872</v>
      </c>
      <c r="E24" s="13" t="n">
        <f aca="false">In!H9*In!H7/1000000000</f>
        <v>0.145872</v>
      </c>
      <c r="F24" s="12" t="n">
        <f aca="false">B24/B$5</f>
        <v>0.00542237925906977</v>
      </c>
      <c r="G24" s="12" t="n">
        <f aca="false">C24/C$5</f>
        <v>0.0029025584666392</v>
      </c>
      <c r="H24" s="12" t="n">
        <f aca="false">D24/D$5</f>
        <v>0.0029025584666392</v>
      </c>
      <c r="I24" s="12" t="n">
        <f aca="false">E24/E$5</f>
        <v>0.00281182873348657</v>
      </c>
      <c r="J24" s="7" t="s">
        <v>217</v>
      </c>
    </row>
    <row r="26" customFormat="false" ht="15" hidden="false" customHeight="false" outlineLevel="0" collapsed="false">
      <c r="A26" s="1" t="s">
        <v>218</v>
      </c>
    </row>
    <row r="27" customFormat="false" ht="15" hidden="false" customHeight="false" outlineLevel="0" collapsed="false">
      <c r="A27" s="0" t="s">
        <v>219</v>
      </c>
      <c r="B27" s="13" t="n">
        <f aca="false">B7-In!E10</f>
        <v>0</v>
      </c>
      <c r="C27" s="13" t="n">
        <f aca="false">C7-In!H10</f>
        <v>0</v>
      </c>
      <c r="D27" s="13" t="n">
        <f aca="false">D7-In!H10</f>
        <v>0</v>
      </c>
      <c r="E27" s="13" t="n">
        <f aca="false">E7-In!H10</f>
        <v>1.62162984959999</v>
      </c>
    </row>
    <row r="28" customFormat="false" ht="15" hidden="false" customHeight="false" outlineLevel="0" collapsed="false">
      <c r="A28" s="7" t="s">
        <v>220</v>
      </c>
      <c r="B28" s="13" t="n">
        <f aca="false">B5-In!E12</f>
        <v>0</v>
      </c>
      <c r="C28" s="13" t="n">
        <f aca="false">C5-In!H12</f>
        <v>0</v>
      </c>
      <c r="D28" s="13" t="n">
        <f aca="false">D5-In!H12</f>
        <v>0</v>
      </c>
      <c r="E28" s="13" t="n">
        <f aca="false">E5-In!H12</f>
        <v>1.62162984959999</v>
      </c>
    </row>
    <row r="30" customFormat="false" ht="15" hidden="false" customHeight="false" outlineLevel="0" collapsed="false">
      <c r="A30" s="1" t="s">
        <v>221</v>
      </c>
    </row>
    <row r="31" customFormat="false" ht="15" hidden="false" customHeight="false" outlineLevel="0" collapsed="false">
      <c r="A31" s="0" t="s">
        <v>222</v>
      </c>
      <c r="B31" s="13" t="n">
        <f aca="false">B12</f>
        <v>2.174003712</v>
      </c>
      <c r="C31" s="13" t="n">
        <f aca="false">C12</f>
        <v>1.4031719424</v>
      </c>
      <c r="D31" s="13" t="n">
        <f aca="false">D12</f>
        <v>3.024801792</v>
      </c>
      <c r="E31" s="13" t="n">
        <f aca="false">E12</f>
        <v>3.024801792</v>
      </c>
    </row>
    <row r="32" customFormat="false" ht="15" hidden="false" customHeight="false" outlineLevel="0" collapsed="false">
      <c r="A32" s="7" t="s">
        <v>223</v>
      </c>
      <c r="B32" s="13" t="n">
        <f aca="false">B15+B16</f>
        <v>2.171244</v>
      </c>
      <c r="C32" s="13" t="n">
        <f aca="false">C15+C16</f>
        <v>5.526928</v>
      </c>
      <c r="D32" s="13" t="n">
        <f aca="false">D15+D16</f>
        <v>5.526928</v>
      </c>
      <c r="E32" s="13" t="n">
        <f aca="false">E15+E16</f>
        <v>5.526928</v>
      </c>
    </row>
    <row r="33" customFormat="false" ht="15" hidden="false" customHeight="false" outlineLevel="0" collapsed="false">
      <c r="A33" s="7" t="s">
        <v>224</v>
      </c>
      <c r="B33" s="13" t="n">
        <f aca="false">B15</f>
        <v>1.494844</v>
      </c>
      <c r="C33" s="13" t="n">
        <f aca="false">C15</f>
        <v>1.474928</v>
      </c>
      <c r="D33" s="13" t="n">
        <f aca="false">D15</f>
        <v>1.474928</v>
      </c>
      <c r="E33" s="13" t="n">
        <f aca="false">E15</f>
        <v>1.474928</v>
      </c>
    </row>
    <row r="34" customFormat="false" ht="15" hidden="false" customHeight="false" outlineLevel="0" collapsed="false">
      <c r="A34" s="7" t="s">
        <v>225</v>
      </c>
      <c r="B34" s="13" t="n">
        <f aca="false">B31+B32</f>
        <v>4.345247712</v>
      </c>
      <c r="C34" s="13" t="n">
        <f aca="false">C31+C32</f>
        <v>6.9300999424</v>
      </c>
      <c r="D34" s="13" t="n">
        <f aca="false">D31+D32</f>
        <v>8.551729792</v>
      </c>
      <c r="E34" s="13" t="n">
        <f aca="false">E31+E32</f>
        <v>8.551729792</v>
      </c>
    </row>
    <row r="35" customFormat="false" ht="15" hidden="false" customHeight="false" outlineLevel="0" collapsed="false">
      <c r="A35" s="0" t="s">
        <v>226</v>
      </c>
      <c r="B35" s="12" t="n">
        <f aca="false">B31/B34</f>
        <v>0.500317555198565</v>
      </c>
      <c r="C35" s="12" t="n">
        <f aca="false">C31/C34</f>
        <v>0.202474993732062</v>
      </c>
      <c r="D35" s="12" t="n">
        <f aca="false">D31/D34</f>
        <v>0.353706427304292</v>
      </c>
      <c r="E35" s="12" t="n">
        <f aca="false">E31/E34</f>
        <v>0.353706427304292</v>
      </c>
    </row>
    <row r="36" customFormat="false" ht="15" hidden="false" customHeight="false" outlineLevel="0" collapsed="false">
      <c r="A36" s="0" t="s">
        <v>227</v>
      </c>
      <c r="B36" s="12" t="n">
        <f aca="false">B31/B7</f>
        <v>0.0674376835921108</v>
      </c>
      <c r="C36" s="12" t="n">
        <f aca="false">C31/C7</f>
        <v>0.0373319534282018</v>
      </c>
      <c r="D36" s="12" t="n">
        <f aca="false">D31/D7</f>
        <v>0.0804760672703752</v>
      </c>
      <c r="E36" s="12" t="n">
        <f aca="false">E31/E7</f>
        <v>0.0771476023326832</v>
      </c>
    </row>
    <row r="37" customFormat="false" ht="15" hidden="false" customHeight="false" outlineLevel="0" collapsed="false">
      <c r="A37" s="0" t="s">
        <v>228</v>
      </c>
      <c r="B37" s="12" t="n">
        <f aca="false">(B31+B33)/B7</f>
        <v>0.113807805287453</v>
      </c>
      <c r="C37" s="12" t="n">
        <f aca="false">(C31+C33)/C7</f>
        <v>0.0765730056058646</v>
      </c>
      <c r="D37" s="12" t="n">
        <f aca="false">(D31+D33)/D7</f>
        <v>0.119717119448038</v>
      </c>
      <c r="E37" s="12" t="n">
        <f aca="false">(E31+E33)/E7</f>
        <v>0.114765656882335</v>
      </c>
    </row>
    <row r="39" customFormat="false" ht="15" hidden="false" customHeight="false" outlineLevel="0" collapsed="false">
      <c r="A39" s="1" t="s">
        <v>229</v>
      </c>
    </row>
    <row r="40" customFormat="false" ht="15" hidden="false" customHeight="false" outlineLevel="0" collapsed="false">
      <c r="A40" s="7" t="s">
        <v>230</v>
      </c>
      <c r="B40" s="11" t="n">
        <f aca="false">Rack!B5</f>
        <v>4.464</v>
      </c>
      <c r="C40" s="11" t="n">
        <f aca="false">Rack!C5</f>
        <v>4.8096</v>
      </c>
      <c r="D40" s="11" t="n">
        <f aca="false">Rack!D5</f>
        <v>10.368</v>
      </c>
      <c r="E40" s="11" t="n">
        <f aca="false">Rack!E5</f>
        <v>10.368</v>
      </c>
    </row>
    <row r="41" customFormat="false" ht="15" hidden="false" customHeight="false" outlineLevel="0" collapsed="false">
      <c r="A41" s="0" t="s">
        <v>231</v>
      </c>
      <c r="B41" s="12" t="n">
        <f aca="false">Rack!B11</f>
        <v>0.110495049504951</v>
      </c>
      <c r="C41" s="12" t="n">
        <f aca="false">Rack!C11</f>
        <v>0.0874472727272727</v>
      </c>
      <c r="D41" s="12" t="n">
        <f aca="false">Rack!D11</f>
        <v>0.188509090909091</v>
      </c>
      <c r="E41" s="12" t="n">
        <f aca="false">Rack!E11</f>
        <v>0.171206636899258</v>
      </c>
    </row>
    <row r="42" customFormat="false" ht="15" hidden="false" customHeight="false" outlineLevel="0" collapsed="false">
      <c r="A42" s="7" t="s">
        <v>232</v>
      </c>
      <c r="B42" s="12" t="n">
        <f aca="false">Rack!B12</f>
        <v>0.0569306930693069</v>
      </c>
      <c r="C42" s="12" t="n">
        <f aca="false">Rack!C12</f>
        <v>0.0509090909090909</v>
      </c>
      <c r="D42" s="12" t="n">
        <f aca="false">Rack!D12</f>
        <v>0.0509090909090909</v>
      </c>
      <c r="E42" s="12" t="n">
        <f aca="false">Rack!E12</f>
        <v>0.0462363602737193</v>
      </c>
    </row>
    <row r="43" customFormat="false" ht="15" hidden="false" customHeight="false" outlineLevel="0" collapsed="false">
      <c r="A43" s="0" t="s">
        <v>233</v>
      </c>
      <c r="B43" s="12" t="n">
        <f aca="false">Rack!B10</f>
        <v>0.795445544554456</v>
      </c>
      <c r="C43" s="12" t="n">
        <f aca="false">Rack!C10</f>
        <v>0.834370909090909</v>
      </c>
      <c r="D43" s="12" t="n">
        <f aca="false">Rack!D10</f>
        <v>0.733309090909091</v>
      </c>
      <c r="E43" s="12" t="n">
        <f aca="false">Rack!E10</f>
        <v>0.757787524108959</v>
      </c>
    </row>
    <row r="44" customFormat="false" ht="15" hidden="false" customHeight="false" outlineLevel="0" collapsed="false">
      <c r="A44" s="0" t="s">
        <v>234</v>
      </c>
      <c r="B44" s="12" t="n">
        <f aca="false">(B10+B14+B17+B21+B22+B19)/B7</f>
        <v>0.646872010071339</v>
      </c>
      <c r="C44" s="12" t="n">
        <f aca="false">(C10+C14+C17+C21+C22+C19)/C7</f>
        <v>0.624418801207417</v>
      </c>
      <c r="D44" s="12" t="n">
        <f aca="false">(D10+D14+D17+D21+D22+D19)/D7</f>
        <v>0.581274687365244</v>
      </c>
      <c r="E44" s="12" t="n">
        <f aca="false">(E10+E14+E17+E21+E22+E19)/E7</f>
        <v>0.598593035153617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13" min="2" style="0" width="13"/>
  </cols>
  <sheetData>
    <row r="1" customFormat="false" ht="15" hidden="false" customHeight="false" outlineLevel="0" collapsed="false">
      <c r="A1" s="0" t="s">
        <v>235</v>
      </c>
    </row>
    <row r="3" customFormat="false" ht="15" hidden="false" customHeight="false" outlineLevel="0" collapsed="false">
      <c r="A3" s="4" t="s">
        <v>236</v>
      </c>
      <c r="B3" s="5" t="s">
        <v>237</v>
      </c>
      <c r="C3" s="5" t="s">
        <v>238</v>
      </c>
      <c r="D3" s="5" t="s">
        <v>239</v>
      </c>
      <c r="E3" s="5" t="s">
        <v>240</v>
      </c>
      <c r="F3" s="4" t="s">
        <v>241</v>
      </c>
      <c r="G3" s="4" t="s">
        <v>242</v>
      </c>
      <c r="H3" s="5" t="s">
        <v>243</v>
      </c>
      <c r="I3" s="5" t="s">
        <v>227</v>
      </c>
      <c r="J3" s="5" t="s">
        <v>244</v>
      </c>
      <c r="K3" s="5" t="s">
        <v>245</v>
      </c>
      <c r="L3" s="4" t="s">
        <v>246</v>
      </c>
      <c r="M3" s="5" t="s">
        <v>247</v>
      </c>
    </row>
    <row r="4" customFormat="false" ht="15" hidden="false" customHeight="false" outlineLevel="0" collapsed="false">
      <c r="A4" s="7" t="s">
        <v>248</v>
      </c>
      <c r="B4" s="2" t="n">
        <f aca="false">In!H17</f>
        <v>16.7</v>
      </c>
      <c r="C4" s="2" t="n">
        <f aca="false">In!H23</f>
        <v>28</v>
      </c>
      <c r="D4" s="2" t="n">
        <f aca="false">In!H24</f>
        <v>13</v>
      </c>
      <c r="E4" s="2" t="n">
        <f aca="false">In!H15</f>
        <v>55</v>
      </c>
      <c r="F4" s="2" t="n">
        <f aca="false">In!H5</f>
        <v>8.4</v>
      </c>
      <c r="G4" s="2" t="n">
        <f aca="false">In!H19</f>
        <v>2.8</v>
      </c>
      <c r="H4" s="13" t="n">
        <f aca="false">In!H7*In!H16*B4/1000000000</f>
        <v>1.4031719424</v>
      </c>
      <c r="I4" s="12" t="n">
        <f aca="false">H4/(In!H6*F4*(1+In!H8)/1000+In!H7*In!H9/1000000000)</f>
        <v>0.0373319534282018</v>
      </c>
      <c r="J4" s="13" t="n">
        <f aca="false">In!H6*C4*D4/1000000</f>
        <v>1.474928</v>
      </c>
      <c r="K4" s="12" t="n">
        <f aca="false">(E4-In!H16*B4/1000-G4-In!H20)/E4</f>
        <v>0.834370909090909</v>
      </c>
      <c r="L4" s="12" t="n">
        <f aca="false">(F4-(In!H14*E4/1000+In!H21*In!H22/1000+C4*D4/1000+In!H29+In!H25*In!H26/1000+In!H27*In!H28/1000+F4*(In!H30+In!H32)))/F4</f>
        <v>0.164761904761905</v>
      </c>
      <c r="M4" s="12" t="n">
        <f aca="false">In!H16*B4/1000/E4</f>
        <v>0.0874472727272727</v>
      </c>
    </row>
    <row r="5" customFormat="false" ht="15" hidden="false" customHeight="false" outlineLevel="0" collapsed="false">
      <c r="A5" s="0" t="s">
        <v>249</v>
      </c>
      <c r="B5" s="8" t="n">
        <f aca="false">In!G17</f>
        <v>15.6</v>
      </c>
      <c r="C5" s="2" t="n">
        <f aca="false">In!H23</f>
        <v>28</v>
      </c>
      <c r="D5" s="2" t="n">
        <f aca="false">In!H24</f>
        <v>13</v>
      </c>
      <c r="E5" s="2" t="n">
        <f aca="false">In!H15</f>
        <v>55</v>
      </c>
      <c r="F5" s="2" t="n">
        <f aca="false">In!H5</f>
        <v>8.4</v>
      </c>
      <c r="G5" s="2" t="n">
        <f aca="false">In!H19</f>
        <v>2.8</v>
      </c>
      <c r="H5" s="13" t="n">
        <f aca="false">In!H7*In!H16*B5/1000000000</f>
        <v>1.3107474432</v>
      </c>
      <c r="I5" s="12" t="n">
        <f aca="false">H5/(In!H6*F5*(1+In!H8)/1000+In!H7*In!H9/1000000000)</f>
        <v>0.0348729624838292</v>
      </c>
      <c r="J5" s="13" t="n">
        <f aca="false">In!H6*C5*D5/1000000</f>
        <v>1.474928</v>
      </c>
      <c r="K5" s="12" t="n">
        <f aca="false">(E5-In!H16*B5/1000-G5-In!H20)/E5</f>
        <v>0.840130909090909</v>
      </c>
      <c r="L5" s="12" t="n">
        <f aca="false">(F5-(In!H14*E5/1000+In!H21*In!H22/1000+C5*D5/1000+In!H29+In!H25*In!H26/1000+In!H27*In!H28/1000+F5*(In!H30+In!H32)))/F5</f>
        <v>0.164761904761905</v>
      </c>
      <c r="M5" s="12" t="n">
        <f aca="false">In!H16*B5/1000/E5</f>
        <v>0.0816872727272727</v>
      </c>
    </row>
    <row r="6" customFormat="false" ht="15" hidden="false" customHeight="false" outlineLevel="0" collapsed="false">
      <c r="A6" s="0" t="s">
        <v>250</v>
      </c>
      <c r="B6" s="8" t="n">
        <f aca="false">In!G18</f>
        <v>30</v>
      </c>
      <c r="C6" s="2" t="n">
        <f aca="false">In!H23</f>
        <v>28</v>
      </c>
      <c r="D6" s="2" t="n">
        <f aca="false">In!H24</f>
        <v>13</v>
      </c>
      <c r="E6" s="2" t="n">
        <f aca="false">In!H15</f>
        <v>55</v>
      </c>
      <c r="F6" s="2" t="n">
        <f aca="false">In!H5</f>
        <v>8.4</v>
      </c>
      <c r="G6" s="2" t="n">
        <f aca="false">In!H19</f>
        <v>2.8</v>
      </c>
      <c r="H6" s="13" t="n">
        <f aca="false">In!H7*In!H16*B6/1000000000</f>
        <v>2.52066816</v>
      </c>
      <c r="I6" s="12" t="n">
        <f aca="false">H6/(In!H6*F6*(1+In!H8)/1000+In!H7*In!H9/1000000000)</f>
        <v>0.0670633893919793</v>
      </c>
      <c r="J6" s="13" t="n">
        <f aca="false">In!H6*C6*D6/1000000</f>
        <v>1.474928</v>
      </c>
      <c r="K6" s="12" t="n">
        <f aca="false">(E6-In!H16*B6/1000-G6-In!H20)/E6</f>
        <v>0.764727272727273</v>
      </c>
      <c r="L6" s="12" t="n">
        <f aca="false">(F6-(In!H14*E6/1000+In!H21*In!H22/1000+C6*D6/1000+In!H29+In!H25*In!H26/1000+In!H27*In!H28/1000+F6*(In!H30+In!H32)))/F6</f>
        <v>0.164761904761905</v>
      </c>
      <c r="M6" s="12" t="n">
        <f aca="false">In!H16*B6/1000/E6</f>
        <v>0.157090909090909</v>
      </c>
    </row>
    <row r="7" customFormat="false" ht="15" hidden="false" customHeight="false" outlineLevel="0" collapsed="false">
      <c r="A7" s="0" t="s">
        <v>251</v>
      </c>
      <c r="B7" s="8" t="n">
        <f aca="false">In!H18</f>
        <v>36</v>
      </c>
      <c r="C7" s="2" t="n">
        <f aca="false">In!H23</f>
        <v>28</v>
      </c>
      <c r="D7" s="2" t="n">
        <f aca="false">In!H24</f>
        <v>13</v>
      </c>
      <c r="E7" s="2" t="n">
        <f aca="false">In!H15</f>
        <v>55</v>
      </c>
      <c r="F7" s="2" t="n">
        <f aca="false">In!H5</f>
        <v>8.4</v>
      </c>
      <c r="G7" s="2" t="n">
        <f aca="false">In!H19</f>
        <v>2.8</v>
      </c>
      <c r="H7" s="13" t="n">
        <f aca="false">In!H7*In!H16*B7/1000000000</f>
        <v>3.024801792</v>
      </c>
      <c r="I7" s="12" t="n">
        <f aca="false">H7/(In!H6*F7*(1+In!H8)/1000+In!H7*In!H9/1000000000)</f>
        <v>0.0804760672703752</v>
      </c>
      <c r="J7" s="13" t="n">
        <f aca="false">In!H6*C7*D7/1000000</f>
        <v>1.474928</v>
      </c>
      <c r="K7" s="12" t="n">
        <f aca="false">(E7-In!H16*B7/1000-G7-In!H20)/E7</f>
        <v>0.733309090909091</v>
      </c>
      <c r="L7" s="12" t="n">
        <f aca="false">(F7-(In!H14*E7/1000+In!H21*In!H22/1000+C7*D7/1000+In!H29+In!H25*In!H26/1000+In!H27*In!H28/1000+F7*(In!H30+In!H32)))/F7</f>
        <v>0.164761904761905</v>
      </c>
      <c r="M7" s="12" t="n">
        <f aca="false">In!H16*B7/1000/E7</f>
        <v>0.188509090909091</v>
      </c>
    </row>
    <row r="8" customFormat="false" ht="15" hidden="false" customHeight="false" outlineLevel="0" collapsed="false">
      <c r="A8" s="0" t="s">
        <v>252</v>
      </c>
      <c r="B8" s="2" t="n">
        <f aca="false">In!H17</f>
        <v>16.7</v>
      </c>
      <c r="C8" s="8" t="n">
        <f aca="false">In!I23</f>
        <v>54</v>
      </c>
      <c r="D8" s="2" t="n">
        <f aca="false">In!H24</f>
        <v>13</v>
      </c>
      <c r="E8" s="2" t="n">
        <f aca="false">In!H15</f>
        <v>55</v>
      </c>
      <c r="F8" s="2" t="n">
        <f aca="false">In!H5</f>
        <v>8.4</v>
      </c>
      <c r="G8" s="2" t="n">
        <f aca="false">In!H19</f>
        <v>2.8</v>
      </c>
      <c r="H8" s="13" t="n">
        <f aca="false">In!H7*In!H16*B8/1000000000</f>
        <v>1.4031719424</v>
      </c>
      <c r="I8" s="12" t="n">
        <f aca="false">H8/(In!H6*F8*(1+In!H8)/1000+In!H7*In!H9/1000000000)</f>
        <v>0.0373319534282018</v>
      </c>
      <c r="J8" s="13" t="n">
        <f aca="false">In!H6*C8*D8/1000000</f>
        <v>2.844504</v>
      </c>
      <c r="K8" s="12" t="n">
        <f aca="false">(E8-In!H16*B8/1000-G8-In!H20)/E8</f>
        <v>0.834370909090909</v>
      </c>
      <c r="L8" s="12" t="n">
        <f aca="false">(F8-(In!H14*E8/1000+In!H21*In!H22/1000+C8*D8/1000+In!H29+In!H25*In!H26/1000+In!H27*In!H28/1000+F8*(In!H30+In!H32)))/F8</f>
        <v>0.12452380952381</v>
      </c>
      <c r="M8" s="12" t="n">
        <f aca="false">In!H16*B8/1000/E8</f>
        <v>0.0874472727272727</v>
      </c>
    </row>
    <row r="9" customFormat="false" ht="15" hidden="false" customHeight="false" outlineLevel="0" collapsed="false">
      <c r="A9" s="0" t="s">
        <v>253</v>
      </c>
      <c r="B9" s="2" t="n">
        <f aca="false">In!H17</f>
        <v>16.7</v>
      </c>
      <c r="C9" s="2" t="n">
        <f aca="false">In!H23</f>
        <v>28</v>
      </c>
      <c r="D9" s="8" t="n">
        <f aca="false">In!G24</f>
        <v>8</v>
      </c>
      <c r="E9" s="2" t="n">
        <f aca="false">In!H15</f>
        <v>55</v>
      </c>
      <c r="F9" s="2" t="n">
        <f aca="false">In!H5</f>
        <v>8.4</v>
      </c>
      <c r="G9" s="2" t="n">
        <f aca="false">In!H19</f>
        <v>2.8</v>
      </c>
      <c r="H9" s="13" t="n">
        <f aca="false">In!H7*In!H16*B9/1000000000</f>
        <v>1.4031719424</v>
      </c>
      <c r="I9" s="12" t="n">
        <f aca="false">H9/(In!H6*F9*(1+In!H8)/1000+In!H7*In!H9/1000000000)</f>
        <v>0.0373319534282018</v>
      </c>
      <c r="J9" s="13" t="n">
        <f aca="false">In!H6*C9*D9/1000000</f>
        <v>0.907648</v>
      </c>
      <c r="K9" s="12" t="n">
        <f aca="false">(E9-In!H16*B9/1000-G9-In!H20)/E9</f>
        <v>0.834370909090909</v>
      </c>
      <c r="L9" s="12" t="n">
        <f aca="false">(F9-(In!H14*E9/1000+In!H21*In!H22/1000+C9*D9/1000+In!H29+In!H25*In!H26/1000+In!H27*In!H28/1000+F9*(In!H30+In!H32)))/F9</f>
        <v>0.181428571428571</v>
      </c>
      <c r="M9" s="12" t="n">
        <f aca="false">In!H16*B9/1000/E9</f>
        <v>0.0874472727272727</v>
      </c>
    </row>
    <row r="10" customFormat="false" ht="15" hidden="false" customHeight="false" outlineLevel="0" collapsed="false">
      <c r="A10" s="0" t="s">
        <v>254</v>
      </c>
      <c r="B10" s="2" t="n">
        <f aca="false">In!H17</f>
        <v>16.7</v>
      </c>
      <c r="C10" s="2" t="n">
        <f aca="false">In!H23</f>
        <v>28</v>
      </c>
      <c r="D10" s="8" t="n">
        <f aca="false">In!I24</f>
        <v>21</v>
      </c>
      <c r="E10" s="2" t="n">
        <f aca="false">In!H15</f>
        <v>55</v>
      </c>
      <c r="F10" s="2" t="n">
        <f aca="false">In!H5</f>
        <v>8.4</v>
      </c>
      <c r="G10" s="2" t="n">
        <f aca="false">In!H19</f>
        <v>2.8</v>
      </c>
      <c r="H10" s="13" t="n">
        <f aca="false">In!H7*In!H16*B10/1000000000</f>
        <v>1.4031719424</v>
      </c>
      <c r="I10" s="12" t="n">
        <f aca="false">H10/(In!H6*F10*(1+In!H8)/1000+In!H7*In!H9/1000000000)</f>
        <v>0.0373319534282018</v>
      </c>
      <c r="J10" s="13" t="n">
        <f aca="false">In!H6*C10*D10/1000000</f>
        <v>2.382576</v>
      </c>
      <c r="K10" s="12" t="n">
        <f aca="false">(E10-In!H16*B10/1000-G10-In!H20)/E10</f>
        <v>0.834370909090909</v>
      </c>
      <c r="L10" s="12" t="n">
        <f aca="false">(F10-(In!H14*E10/1000+In!H21*In!H22/1000+C10*D10/1000+In!H29+In!H25*In!H26/1000+In!H27*In!H28/1000+F10*(In!H30+In!H32)))/F10</f>
        <v>0.138095238095238</v>
      </c>
      <c r="M10" s="12" t="n">
        <f aca="false">In!H16*B10/1000/E10</f>
        <v>0.0874472727272727</v>
      </c>
    </row>
    <row r="11" customFormat="false" ht="15" hidden="false" customHeight="false" outlineLevel="0" collapsed="false">
      <c r="A11" s="0" t="s">
        <v>255</v>
      </c>
      <c r="B11" s="2" t="n">
        <f aca="false">In!H17</f>
        <v>16.7</v>
      </c>
      <c r="C11" s="2" t="n">
        <f aca="false">In!H23</f>
        <v>28</v>
      </c>
      <c r="D11" s="2" t="n">
        <f aca="false">In!H24</f>
        <v>13</v>
      </c>
      <c r="E11" s="8" t="n">
        <f aca="false">In!G15</f>
        <v>50</v>
      </c>
      <c r="F11" s="2" t="n">
        <f aca="false">In!H5</f>
        <v>8.4</v>
      </c>
      <c r="G11" s="2" t="n">
        <f aca="false">In!H19</f>
        <v>2.8</v>
      </c>
      <c r="H11" s="13" t="n">
        <f aca="false">In!H7*In!H16*B11/1000000000</f>
        <v>1.4031719424</v>
      </c>
      <c r="I11" s="12" t="n">
        <f aca="false">H11/(In!H6*F11*(1+In!H8)/1000+In!H7*In!H9/1000000000)</f>
        <v>0.0373319534282018</v>
      </c>
      <c r="J11" s="13" t="n">
        <f aca="false">In!H6*C11*D11/1000000</f>
        <v>1.474928</v>
      </c>
      <c r="K11" s="12" t="n">
        <f aca="false">(E11-In!H16*B11/1000-G11-In!H20)/E11</f>
        <v>0.817808</v>
      </c>
      <c r="L11" s="12" t="n">
        <f aca="false">(F11-(In!H14*E11/1000+In!H21*In!H22/1000+C11*D11/1000+In!H29+In!H25*In!H26/1000+In!H27*In!H28/1000+F11*(In!H30+In!H32)))/F11</f>
        <v>0.207619047619048</v>
      </c>
      <c r="M11" s="12" t="n">
        <f aca="false">In!H16*B11/1000/E11</f>
        <v>0.096192</v>
      </c>
    </row>
    <row r="12" customFormat="false" ht="15" hidden="false" customHeight="false" outlineLevel="0" collapsed="false">
      <c r="A12" s="0" t="s">
        <v>256</v>
      </c>
      <c r="B12" s="2" t="n">
        <f aca="false">In!H17</f>
        <v>16.7</v>
      </c>
      <c r="C12" s="2" t="n">
        <f aca="false">In!H23</f>
        <v>28</v>
      </c>
      <c r="D12" s="2" t="n">
        <f aca="false">In!H24</f>
        <v>13</v>
      </c>
      <c r="E12" s="8" t="n">
        <f aca="false">In!I15</f>
        <v>60</v>
      </c>
      <c r="F12" s="2" t="n">
        <f aca="false">In!H5</f>
        <v>8.4</v>
      </c>
      <c r="G12" s="2" t="n">
        <f aca="false">In!H19</f>
        <v>2.8</v>
      </c>
      <c r="H12" s="13" t="n">
        <f aca="false">In!H7*In!H16*B12/1000000000</f>
        <v>1.4031719424</v>
      </c>
      <c r="I12" s="12" t="n">
        <f aca="false">H12/(In!H6*F12*(1+In!H8)/1000+In!H7*In!H9/1000000000)</f>
        <v>0.0373319534282018</v>
      </c>
      <c r="J12" s="13" t="n">
        <f aca="false">In!H6*C12*D12/1000000</f>
        <v>1.474928</v>
      </c>
      <c r="K12" s="12" t="n">
        <f aca="false">(E12-In!H16*B12/1000-G12-In!H20)/E12</f>
        <v>0.848173333333333</v>
      </c>
      <c r="L12" s="12" t="n">
        <f aca="false">(F12-(In!H14*E12/1000+In!H21*In!H22/1000+C12*D12/1000+In!H29+In!H25*In!H26/1000+In!H27*In!H28/1000+F12*(In!H30+In!H32)))/F12</f>
        <v>0.121904761904762</v>
      </c>
      <c r="M12" s="12" t="n">
        <f aca="false">In!H16*B12/1000/E12</f>
        <v>0.08016</v>
      </c>
    </row>
    <row r="13" customFormat="false" ht="15" hidden="false" customHeight="false" outlineLevel="0" collapsed="false">
      <c r="A13" s="7" t="s">
        <v>257</v>
      </c>
      <c r="B13" s="2" t="n">
        <f aca="false">In!H17</f>
        <v>16.7</v>
      </c>
      <c r="C13" s="2" t="n">
        <f aca="false">In!H23</f>
        <v>28</v>
      </c>
      <c r="D13" s="2" t="n">
        <f aca="false">In!H24</f>
        <v>13</v>
      </c>
      <c r="E13" s="2" t="n">
        <f aca="false">In!H15</f>
        <v>55</v>
      </c>
      <c r="F13" s="8" t="n">
        <f aca="false">In!G5</f>
        <v>7.8</v>
      </c>
      <c r="G13" s="2" t="n">
        <f aca="false">In!H19</f>
        <v>2.8</v>
      </c>
      <c r="H13" s="13" t="n">
        <f aca="false">In!H7*In!H16*B13/1000000000</f>
        <v>1.4031719424</v>
      </c>
      <c r="I13" s="12" t="n">
        <f aca="false">H13/(In!H6*F13*(1+In!H8)/1000+In!H7*In!H9/1000000000)</f>
        <v>0.040191643454039</v>
      </c>
      <c r="J13" s="13" t="n">
        <f aca="false">In!H6*C13*D13/1000000</f>
        <v>1.474928</v>
      </c>
      <c r="K13" s="12" t="n">
        <f aca="false">(E13-In!H16*B13/1000-G13-In!H20)/E13</f>
        <v>0.834370909090909</v>
      </c>
      <c r="L13" s="12" t="n">
        <f aca="false">(F13-(In!H14*E13/1000+In!H21*In!H22/1000+C13*D13/1000+In!H29+In!H25*In!H26/1000+In!H27*In!H28/1000+F13*(In!H30+In!H32)))/F13</f>
        <v>0.10974358974359</v>
      </c>
      <c r="M13" s="12" t="n">
        <f aca="false">In!H16*B13/1000/E13</f>
        <v>0.0874472727272727</v>
      </c>
    </row>
    <row r="14" customFormat="false" ht="15" hidden="false" customHeight="false" outlineLevel="0" collapsed="false">
      <c r="A14" s="7" t="s">
        <v>258</v>
      </c>
      <c r="B14" s="2" t="n">
        <f aca="false">In!H17</f>
        <v>16.7</v>
      </c>
      <c r="C14" s="2" t="n">
        <f aca="false">In!H23</f>
        <v>28</v>
      </c>
      <c r="D14" s="2" t="n">
        <f aca="false">In!H24</f>
        <v>13</v>
      </c>
      <c r="E14" s="2" t="n">
        <f aca="false">In!H15</f>
        <v>55</v>
      </c>
      <c r="F14" s="8" t="n">
        <f aca="false">In!I5</f>
        <v>9.1</v>
      </c>
      <c r="G14" s="2" t="n">
        <f aca="false">In!H19</f>
        <v>2.8</v>
      </c>
      <c r="H14" s="13" t="n">
        <f aca="false">In!H7*In!H16*B14/1000000000</f>
        <v>1.4031719424</v>
      </c>
      <c r="I14" s="12" t="n">
        <f aca="false">H14/(In!H6*F14*(1+In!H8)/1000+In!H7*In!H9/1000000000)</f>
        <v>0.0344705554449532</v>
      </c>
      <c r="J14" s="13" t="n">
        <f aca="false">In!H6*C14*D14/1000000</f>
        <v>1.474928</v>
      </c>
      <c r="K14" s="12" t="n">
        <f aca="false">(E14-In!H16*B14/1000-G14-In!H20)/E14</f>
        <v>0.834370909090909</v>
      </c>
      <c r="L14" s="12" t="n">
        <f aca="false">(F14-(In!H14*E14/1000+In!H21*In!H22/1000+C14*D14/1000+In!H29+In!H25*In!H26/1000+In!H27*In!H28/1000+F14*(In!H30+In!H32)))/F14</f>
        <v>0.21978021978022</v>
      </c>
      <c r="M14" s="12" t="n">
        <f aca="false">In!H16*B14/1000/E14</f>
        <v>0.0874472727272727</v>
      </c>
    </row>
    <row r="15" customFormat="false" ht="15" hidden="false" customHeight="false" outlineLevel="0" collapsed="false">
      <c r="A15" s="7" t="s">
        <v>259</v>
      </c>
      <c r="B15" s="2" t="n">
        <f aca="false">In!H17</f>
        <v>16.7</v>
      </c>
      <c r="C15" s="2" t="n">
        <f aca="false">In!H23</f>
        <v>28</v>
      </c>
      <c r="D15" s="2" t="n">
        <f aca="false">In!H24</f>
        <v>13</v>
      </c>
      <c r="E15" s="2" t="n">
        <f aca="false">In!H15</f>
        <v>55</v>
      </c>
      <c r="F15" s="2" t="n">
        <f aca="false">In!H5</f>
        <v>8.4</v>
      </c>
      <c r="G15" s="8" t="n">
        <f aca="false">In!G19</f>
        <v>2.3</v>
      </c>
      <c r="H15" s="13" t="n">
        <f aca="false">In!H7*In!H16*B15/1000000000</f>
        <v>1.4031719424</v>
      </c>
      <c r="I15" s="12" t="n">
        <f aca="false">H15/(In!H6*F15*(1+In!H8)/1000+In!H7*In!H9/1000000000)</f>
        <v>0.0373319534282018</v>
      </c>
      <c r="J15" s="13" t="n">
        <f aca="false">In!H6*C15*D15/1000000</f>
        <v>1.474928</v>
      </c>
      <c r="K15" s="12" t="n">
        <f aca="false">(E15-In!H16*B15/1000-G15-In!H20)/E15</f>
        <v>0.843461818181818</v>
      </c>
      <c r="L15" s="12" t="n">
        <f aca="false">(F15-(In!H14*E15/1000+In!H21*In!H22/1000+C15*D15/1000+In!H29+In!H25*In!H26/1000+In!H27*In!H28/1000+F15*(In!H30+In!H32)))/F15</f>
        <v>0.164761904761905</v>
      </c>
      <c r="M15" s="12" t="n">
        <f aca="false">In!H16*B15/1000/E15</f>
        <v>0.0874472727272727</v>
      </c>
    </row>
    <row r="16" customFormat="false" ht="15" hidden="false" customHeight="false" outlineLevel="0" collapsed="false">
      <c r="A16" s="7" t="s">
        <v>260</v>
      </c>
      <c r="B16" s="2" t="n">
        <f aca="false">In!H17</f>
        <v>16.7</v>
      </c>
      <c r="C16" s="2" t="n">
        <f aca="false">In!H23</f>
        <v>28</v>
      </c>
      <c r="D16" s="2" t="n">
        <f aca="false">In!H24</f>
        <v>13</v>
      </c>
      <c r="E16" s="2" t="n">
        <f aca="false">In!H15</f>
        <v>55</v>
      </c>
      <c r="F16" s="2" t="n">
        <f aca="false">In!H5</f>
        <v>8.4</v>
      </c>
      <c r="G16" s="8" t="n">
        <f aca="false">In!I19</f>
        <v>3.5</v>
      </c>
      <c r="H16" s="13" t="n">
        <f aca="false">In!H7*In!H16*B16/1000000000</f>
        <v>1.4031719424</v>
      </c>
      <c r="I16" s="12" t="n">
        <f aca="false">H16/(In!H6*F16*(1+In!H8)/1000+In!H7*In!H9/1000000000)</f>
        <v>0.0373319534282018</v>
      </c>
      <c r="J16" s="13" t="n">
        <f aca="false">In!H6*C16*D16/1000000</f>
        <v>1.474928</v>
      </c>
      <c r="K16" s="12" t="n">
        <f aca="false">(E16-In!H16*B16/1000-G16-In!H20)/E16</f>
        <v>0.821643636363636</v>
      </c>
      <c r="L16" s="12" t="n">
        <f aca="false">(F16-(In!H14*E16/1000+In!H21*In!H22/1000+C16*D16/1000+In!H29+In!H25*In!H26/1000+In!H27*In!H28/1000+F16*(In!H30+In!H32)))/F16</f>
        <v>0.164761904761905</v>
      </c>
      <c r="M16" s="12" t="n">
        <f aca="false">In!H16*B16/1000/E16</f>
        <v>0.0874472727272727</v>
      </c>
    </row>
    <row r="17" customFormat="false" ht="15" hidden="false" customHeight="false" outlineLevel="0" collapsed="false">
      <c r="A17" s="0" t="s">
        <v>261</v>
      </c>
      <c r="B17" s="2" t="n">
        <f aca="false">In!H17</f>
        <v>16.7</v>
      </c>
      <c r="C17" s="8" t="n">
        <f aca="false">In!I23</f>
        <v>54</v>
      </c>
      <c r="D17" s="8" t="n">
        <f aca="false">In!I24</f>
        <v>21</v>
      </c>
      <c r="E17" s="2" t="n">
        <f aca="false">In!H15</f>
        <v>55</v>
      </c>
      <c r="F17" s="2" t="n">
        <f aca="false">In!H5</f>
        <v>8.4</v>
      </c>
      <c r="G17" s="2" t="n">
        <f aca="false">In!H19</f>
        <v>2.8</v>
      </c>
      <c r="H17" s="13" t="n">
        <f aca="false">In!H7*In!H16*B17/1000000000</f>
        <v>1.4031719424</v>
      </c>
      <c r="I17" s="12" t="n">
        <f aca="false">H17/(In!H6*F17*(1+In!H8)/1000+In!H7*In!H9/1000000000)</f>
        <v>0.0373319534282018</v>
      </c>
      <c r="J17" s="13" t="n">
        <f aca="false">In!H6*C17*D17/1000000</f>
        <v>4.594968</v>
      </c>
      <c r="K17" s="12" t="n">
        <f aca="false">(E17-In!H16*B17/1000-G17-In!H20)/E17</f>
        <v>0.834370909090909</v>
      </c>
      <c r="L17" s="12" t="n">
        <f aca="false">(F17-(In!H14*E17/1000+In!H21*In!H22/1000+C17*D17/1000+In!H29+In!H25*In!H26/1000+In!H27*In!H28/1000+F17*(In!H30+In!H32)))/F17</f>
        <v>0.0730952380952382</v>
      </c>
      <c r="M17" s="12" t="n">
        <f aca="false">In!H16*B17/1000/E17</f>
        <v>0.0874472727272727</v>
      </c>
    </row>
    <row r="20" customFormat="false" ht="15" hidden="false" customHeight="false" outlineLevel="0" collapsed="false">
      <c r="A20" s="7" t="s">
        <v>262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50"/>
  </cols>
  <sheetData>
    <row r="1" customFormat="false" ht="15" hidden="false" customHeight="false" outlineLevel="0" collapsed="false">
      <c r="A1" s="1" t="s">
        <v>263</v>
      </c>
    </row>
    <row r="3" customFormat="false" ht="15" hidden="false" customHeight="false" outlineLevel="0" collapsed="false">
      <c r="A3" s="0" t="s">
        <v>264</v>
      </c>
      <c r="B3" s="7" t="s">
        <v>265</v>
      </c>
      <c r="C3" s="0" t="s">
        <v>266</v>
      </c>
    </row>
    <row r="4" customFormat="false" ht="15" hidden="false" customHeight="false" outlineLevel="0" collapsed="false">
      <c r="A4" s="0" t="s">
        <v>267</v>
      </c>
      <c r="B4" s="7" t="s">
        <v>268</v>
      </c>
      <c r="C4" s="0" t="s">
        <v>269</v>
      </c>
    </row>
    <row r="5" customFormat="false" ht="15" hidden="false" customHeight="false" outlineLevel="0" collapsed="false">
      <c r="A5" s="0" t="s">
        <v>270</v>
      </c>
      <c r="B5" s="7" t="s">
        <v>271</v>
      </c>
      <c r="C5" s="7" t="s">
        <v>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1" t="s">
        <v>273</v>
      </c>
    </row>
    <row r="2" customFormat="false" ht="15" hidden="false" customHeight="false" outlineLevel="0" collapsed="false">
      <c r="A2" s="0" t="s">
        <v>274</v>
      </c>
      <c r="B2" s="0" t="s">
        <v>275</v>
      </c>
    </row>
    <row r="3" customFormat="false" ht="15" hidden="false" customHeight="false" outlineLevel="0" collapsed="false">
      <c r="A3" s="0" t="s">
        <v>276</v>
      </c>
      <c r="B3" s="0" t="s">
        <v>277</v>
      </c>
    </row>
    <row r="4" customFormat="false" ht="15" hidden="false" customHeight="false" outlineLevel="0" collapsed="false">
      <c r="A4" s="0" t="s">
        <v>278</v>
      </c>
      <c r="B4" s="0" t="s">
        <v>279</v>
      </c>
    </row>
    <row r="5" customFormat="false" ht="15" hidden="false" customHeight="false" outlineLevel="0" collapsed="false">
      <c r="A5" s="0" t="s">
        <v>280</v>
      </c>
      <c r="B5" s="0" t="s">
        <v>281</v>
      </c>
    </row>
    <row r="6" customFormat="false" ht="15" hidden="false" customHeight="false" outlineLevel="0" collapsed="false">
      <c r="A6" s="0" t="s">
        <v>282</v>
      </c>
      <c r="B6" s="0" t="s">
        <v>283</v>
      </c>
    </row>
    <row r="7" customFormat="false" ht="15" hidden="false" customHeight="false" outlineLevel="0" collapsed="false">
      <c r="A7" s="0" t="s">
        <v>284</v>
      </c>
      <c r="B7" s="0" t="s">
        <v>285</v>
      </c>
    </row>
    <row r="8" customFormat="false" ht="15" hidden="false" customHeight="false" outlineLevel="0" collapsed="false">
      <c r="A8" s="0" t="s">
        <v>286</v>
      </c>
      <c r="B8" s="0" t="s">
        <v>287</v>
      </c>
    </row>
    <row r="9" customFormat="false" ht="15" hidden="false" customHeight="false" outlineLevel="0" collapsed="false">
      <c r="A9" s="0" t="s">
        <v>288</v>
      </c>
      <c r="B9" s="0" t="s">
        <v>289</v>
      </c>
    </row>
    <row r="10" customFormat="false" ht="15" hidden="false" customHeight="false" outlineLevel="0" collapsed="false">
      <c r="A10" s="0" t="s">
        <v>290</v>
      </c>
      <c r="B10" s="0" t="s">
        <v>291</v>
      </c>
    </row>
    <row r="11" customFormat="false" ht="15" hidden="false" customHeight="false" outlineLevel="0" collapsed="false">
      <c r="A11" s="0" t="s">
        <v>292</v>
      </c>
      <c r="B11" s="0" t="s">
        <v>293</v>
      </c>
    </row>
    <row r="12" customFormat="false" ht="15" hidden="false" customHeight="false" outlineLevel="0" collapsed="false">
      <c r="A12" s="0" t="s">
        <v>294</v>
      </c>
      <c r="B12" s="0" t="s">
        <v>295</v>
      </c>
    </row>
    <row r="13" customFormat="false" ht="15" hidden="false" customHeight="false" outlineLevel="0" collapsed="false">
      <c r="A13" s="0" t="s">
        <v>296</v>
      </c>
      <c r="B13" s="0" t="s">
        <v>297</v>
      </c>
    </row>
    <row r="14" customFormat="false" ht="15" hidden="false" customHeight="false" outlineLevel="0" collapsed="false">
      <c r="A14" s="0" t="s">
        <v>298</v>
      </c>
      <c r="B14" s="0" t="s">
        <v>299</v>
      </c>
    </row>
    <row r="15" customFormat="false" ht="15" hidden="false" customHeight="false" outlineLevel="0" collapsed="false">
      <c r="A15" s="0" t="s">
        <v>300</v>
      </c>
      <c r="B15" s="0" t="s">
        <v>301</v>
      </c>
    </row>
    <row r="16" customFormat="false" ht="15" hidden="false" customHeight="false" outlineLevel="0" collapsed="false">
      <c r="A16" s="0" t="s">
        <v>302</v>
      </c>
      <c r="B16" s="0" t="s">
        <v>303</v>
      </c>
    </row>
    <row r="17" customFormat="false" ht="15" hidden="false" customHeight="false" outlineLevel="0" collapsed="false">
      <c r="A17" s="0" t="s">
        <v>304</v>
      </c>
      <c r="B17" s="0" t="s">
        <v>305</v>
      </c>
    </row>
    <row r="18" customFormat="false" ht="15" hidden="false" customHeight="false" outlineLevel="0" collapsed="false">
      <c r="A18" s="0" t="s">
        <v>306</v>
      </c>
      <c r="B18" s="0" t="s">
        <v>307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2026-10-23T05:37:57Z</dcterms:created>
  <dc:creator>openpyxl</dc:creator>
  <dc:description/>
  <dc:language>en-US</dc:language>
  <cp:lastModifiedBy/>
  <dcterms:modified xsi:type="dcterms:W3CDTF">2026-10-23T05:37:57Z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