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<sst xmlns="http://schemas.openxmlformats.org/spreadsheetml/2006/main" count="1414" uniqueCount="906">
  <si>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</si>
  <si>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</si>
  <si>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</si>
  <si>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</si>
  <si>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</si>
  <si>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資本支出、其他廠成長率與基準、情境係數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</si>
  <si>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</si>
  <si>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</si>
  <si>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WenQuanYi Zen Hei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WenQuanYi Zen Hei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WenQuanYi Zen Hei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</si>
  <si>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WenQuanYi Zen Hei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</si>
  <si>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WenQuanYi Zen Hei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</si>
  <si>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</si>
  <si>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WenQuanYi Zen Hei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WenQuanYi Zen Hei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</si>
  <si>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</si>
  <si>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WenQuanYi Zen Hei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WenQuanYi Zen Hei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WenQuanYi Zen Hei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WenQuanYi Zen Hei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WenQuanYi Zen Hei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WenQuanYi Zen Hei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WenQuanYi Zen Hei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WenQuanYi Zen Hei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WenQuanYi Zen Hei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</si>
  <si>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WenQuanYi Zen Hei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WenQuanYi Zen Hei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WenQuanYi Zen Hei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WenQuanYi Zen Hei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</si>
  <si>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WenQuanYi Zen Hei"/>
        <family val="2"/>
      </rPr>
      <t xml:space="preserve">）台積電設備占比查證</t>
    </r>
  </si>
  <si>
    <r>
      <rPr>
        <sz val="11"/>
        <rFont val="WenQuanYi Zen Hei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WenQuanYi Zen Hei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WenQuanYi Zen Hei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WenQuanYi Zen Hei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WenQuanYi Zen Hei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WenQuanYi Zen Hei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WenQuanYi Zen Hei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WenQuanYi Zen Hei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WenQuanYi Zen Hei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WenQuanYi Zen Hei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WenQuanYi Zen Hei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WenQuanYi Zen Hei"/>
        <family val="2"/>
      </rPr>
      <t xml:space="preserve">頁），所以沒有比照記憶體做校準。</t>
    </r>
  </si>
  <si>
    <r>
      <rPr>
        <sz val="11"/>
        <rFont val="WenQuanYi Zen Hei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WenQuanYi Zen Hei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WenQuanYi Zen Hei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WenQuanYi Zen Hei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WenQuanYi Zen Hei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</si>
  <si>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</si>
  <si>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</si>
  <si>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</si>
  <si>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</si>
  <si>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</si>
  <si>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</si>
  <si>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</si>
  <si>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WenQuanYi Zen Hei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</si>
  <si>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</si>
  <si>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</si>
  <si>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</si>
  <si>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</si>
  <si>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</si>
  <si>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</si>
  <si>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</si>
  <si>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</si>
  <si>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</si>
  <si>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</si>
  <si>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</si>
  <si>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</si>
  <si>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</si>
  <si>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</si>
  <si>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</si>
  <si>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</si>
  <si>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</si>
  <si>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</si>
  <si>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</si>
  <si>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</si>
  <si>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</si>
  <si>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</si>
  <si>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</si>
  <si>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</si>
  <si>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</si>
  <si>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WenQuanYi Zen Hei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WenQuanYi Zen Hei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WenQuanYi Zen Hei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WenQuanYi Zen Hei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WenQuanYi Zen Hei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WenQuanYi Zen Hei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</si>
  <si>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WenQuanYi Zen Hei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WenQuanYi Zen Hei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</si>
  <si>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WenQuanYi Zen Hei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WenQuanYi Zen Hei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WenQuanYi Zen Hei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WenQuanYi Zen Hei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WenQuanYi Zen Hei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</si>
  <si>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WenQuanYi Zen Hei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WenQuanYi Zen Hei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WenQuanYi Zen Hei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WenQuanYi Zen Hei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WenQuanYi Zen Hei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）；代工邏輯是否也有建築比重偏高的問題，待查。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</si>
  <si>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</si>
  <si>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</si>
  <si>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</si>
  <si>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</si>
  <si>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</si>
  <si>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</si>
  <si>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</si>
  <si>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</si>
  <si>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</si>
  <si>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</si>
  <si>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</si>
  <si>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</si>
  <si>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WenQuanYi Zen Hei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WenQuanYi Zen Hei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基準）</t>
    </r>
  </si>
  <si>
    <t xml:space="preserve">fx</t>
  </si>
  <si>
    <r>
      <rPr>
        <sz val="11"/>
        <color theme="1"/>
        <rFont val="WenQuanYi Zen Hei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</si>
  <si>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</si>
  <si>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</si>
  <si>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</si>
  <si>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</si>
  <si>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</si>
  <si>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</si>
  <si>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</si>
  <si>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</si>
  <si>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</si>
  <si>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</si>
  <si>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</si>
  <si>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</si>
  <si>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</si>
  <si>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</si>
  <si>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</si>
  <si>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</si>
  <si>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</si>
  <si>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</si>
  <si>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</si>
  <si>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</si>
  <si>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</si>
  <si>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</si>
  <si>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</si>
  <si>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</si>
  <si>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</si>
  <si>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</si>
  <si>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</si>
  <si>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</si>
  <si>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</si>
  <si>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</si>
  <si>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</si>
  <si>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</si>
  <si>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</si>
  <si>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</si>
  <si>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</si>
  <si>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</si>
  <si>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</si>
  <si>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</si>
  <si>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</si>
  <si>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</si>
  <si>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</si>
  <si>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</si>
  <si>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</si>
  <si>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</si>
  <si>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</si>
  <si>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</si>
  <si>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</si>
  <si>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</si>
  <si>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</si>
  <si>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</si>
  <si>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</si>
  <si>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</si>
  <si>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</si>
  <si>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</si>
  <si>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</si>
  <si>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</si>
  <si>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</si>
  <si>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</si>
  <si>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</si>
  <si>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</si>
  <si>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</si>
  <si>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</si>
  <si>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</si>
  <si>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</si>
  <si>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</si>
  <si>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</si>
  <si>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</si>
  <si>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</si>
  <si>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</si>
  <si>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</si>
  <si>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</si>
  <si>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</si>
  <si>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</si>
  <si>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</si>
  <si>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WenQuanYi Zen Hei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</si>
  <si>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WenQuanYi Zen Hei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</si>
  <si>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</si>
  <si>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（淨）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</si>
  <si>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</si>
  <si>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WenQuanYi Zen Hei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</si>
  <si>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</si>
  <si>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WenQuanYi Zen Hei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</si>
  <si>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WenQuanYi Zen Hei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WenQuanYi Zen Hei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</si>
  <si>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WenQuanYi Zen Hei"/>
        <family val="2"/>
      </rPr>
      <t xml:space="preserve">（低權威）</t>
    </r>
  </si>
  <si>
    <t xml:space="preserve">ss_mem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</si>
  <si>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</si>
  <si>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%</t>
  </si>
  <si>
    <r>
      <rPr>
        <sz val="11"/>
        <color theme="1"/>
        <rFont val="WenQuanYi Zen Hei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WenQuanYi Zen Hei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</si>
  <si>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WenQuanYi Zen Hei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WenQuanYi Zen Hei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WenQuanYi Zen Hei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三大廠資本支出</t>
    </r>
  </si>
  <si>
    <t xml:space="preserve">cap_ts_25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</si>
  <si>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</si>
  <si>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</si>
  <si>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</si>
  <si>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）</t>
    </r>
  </si>
  <si>
    <t xml:space="preserve">sh_mu_25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</si>
  <si>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</si>
  <si>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</si>
  <si>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</si>
  <si>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建築／設備比例</t>
    </r>
  </si>
  <si>
    <t xml:space="preserve">sh_mu_26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</si>
  <si>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</si>
  <si>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增量多數為無塵室建築（摘要轉述，非逐字）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</si>
  <si>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</si>
  <si>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sh_mu_27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</si>
  <si>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</si>
  <si>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</si>
  <si>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</si>
  <si>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</si>
  <si>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</si>
  <si>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WenQuanYi Zen Hei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</si>
  <si>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WenQuanYi Zen Hei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WenQuanYi Zen Hei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保留一列對照</t>
    </r>
  </si>
  <si>
    <t xml:space="preserve">sh_ss</t>
  </si>
  <si>
    <r>
      <rPr>
        <sz val="11"/>
        <color theme="1"/>
        <rFont val="WenQuanYi Zen Hei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海力士，校準值）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</si>
  <si>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</si>
  <si>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WenQuanYi Zen Hei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WenQuanYi Zen Hei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</si>
  <si>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</si>
  <si>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</si>
  <si>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WenQuanYi Zen Hei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WenQuanYi Zen Hei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WenQuanYi Zen Hei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WenQuanYi Zen Hei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</si>
  <si>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WenQuanYi Zen Hei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WenQuanYi Zen Hei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</si>
  <si>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</si>
  <si>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</si>
  <si>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WenQuanYi Zen Hei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WenQuanYi Zen Hei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</si>
  <si>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WenQuanYi Zen Hei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</t>
    </r>
  </si>
  <si>
    <t xml:space="preserve">cap_smic_25</t>
  </si>
  <si>
    <r>
      <rPr>
        <sz val="11"/>
        <color theme="1"/>
        <rFont val="WenQuanYi Zen Hei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</si>
  <si>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WenQuanYi Zen Hei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</si>
  <si>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WenQuanYi Zen Hei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WenQuanYi Zen Hei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</si>
  <si>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</si>
  <si>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WenQuanYi Zen Hei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</si>
  <si>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WenQuanYi Zen Hei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WenQuanYi Zen Hei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WenQuanYi Zen Hei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</si>
  <si>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WenQuanYi Zen Hei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WenQuanYi Zen Hei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</si>
  <si>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WenQuanYi Zen Hei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WenQuanYi Zen Hei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以後預測）</t>
    </r>
  </si>
  <si>
    <t xml:space="preserve">g_oth_dram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</si>
  <si>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</si>
  <si>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</si>
  <si>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WenQuanYi Zen Hei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WenQuanYi Zen Hei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WenQuanYi Zen Hei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WenQuanYi Zen Hei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</si>
  <si>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</si>
  <si>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</si>
  <si>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合資、長江存儲等）設備成長率</t>
    </r>
  </si>
  <si>
    <r>
      <rPr>
        <sz val="11"/>
        <color theme="1"/>
        <rFont val="WenQuanYi Zen Hei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WenQuanYi Zen Hei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底投產，金額未找到</t>
    </r>
  </si>
  <si>
    <r>
      <rPr>
        <sz val="11"/>
        <color theme="1"/>
        <rFont val="WenQuanYi Zen Hei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WenQuanYi Zen Hei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WenQuanYi Zen Hei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</si>
  <si>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</si>
  <si>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WenQuanYi Zen Hei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等）設備成長率</t>
    </r>
  </si>
  <si>
    <r>
      <rPr>
        <sz val="11"/>
        <color theme="1"/>
        <rFont val="WenQuanYi Zen Hei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WenQuanYi Zen Hei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</si>
  <si>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WenQuanYi Zen Hei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WenQuanYi Zen Hei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</si>
  <si>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WenQuanYi Zen Hei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</si>
  <si>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</si>
  <si>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</si>
  <si>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</si>
  <si>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</si>
  <si>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</si>
  <si>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WenQuanYi Zen Hei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</si>
  <si>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WenQuanYi Zen Hei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</si>
  <si>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</si>
  <si>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</si>
  <si>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</si>
  <si>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WenQuanYi Zen Hei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WenQuanYi Zen Hei"/>
        <family val="2"/>
      </rPr>
      <t xml:space="preserve">（非獨立）</t>
    </r>
  </si>
  <si>
    <t xml:space="preserve">ind_ymtc_sh</t>
  </si>
  <si>
    <r>
      <rPr>
        <sz val="11"/>
        <color theme="1"/>
        <rFont val="WenQuanYi Zen Hei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</si>
  <si>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WenQuanYi Zen Hei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WenQuanYi Zen Hei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</si>
  <si>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</si>
  <si>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</si>
  <si>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</si>
  <si>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</si>
  <si>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WenQuanYi Zen Hei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</si>
  <si>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WenQuanYi Zen Hei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WenQuanYi Zen Hei"/>
        <family val="2"/>
      </rPr>
      <t xml:space="preserve">）</t>
    </r>
  </si>
  <si>
    <t xml:space="preserve">fx_jpy</t>
  </si>
  <si>
    <r>
      <rPr>
        <sz val="11"/>
        <color theme="1"/>
        <rFont val="WenQuanYi Zen Hei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</si>
  <si>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JPY/USD</t>
  </si>
  <si>
    <r>
      <rPr>
        <sz val="11"/>
        <color theme="1"/>
        <rFont val="WenQuanYi Zen Hei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</si>
  <si>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</si>
  <si>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</si>
  <si>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</si>
  <si>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NT$B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</si>
  <si>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WenQuanYi Zen Hei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WenQuanYi Zen Hei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</si>
  <si>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WenQuanYi Zen Hei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頁）</t>
    </r>
  </si>
  <si>
    <t xml:space="preserve">fx_twd</t>
  </si>
  <si>
    <r>
      <rPr>
        <sz val="11"/>
        <color theme="1"/>
        <rFont val="WenQuanYi Zen Hei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</si>
  <si>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</si>
  <si>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</si>
  <si>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</si>
  <si>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WenQuanYi Zen Hei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</si>
  <si>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—（未找到）</t>
  </si>
  <si>
    <r>
      <rPr>
        <sz val="11"/>
        <color theme="1"/>
        <rFont val="WenQuanYi Zen Hei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</si>
  <si>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</si>
  <si>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</si>
  <si>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</si>
  <si>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WenQuanYi Zen Hei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</si>
  <si>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WenQuanYi Zen Hei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WenQuanYi Zen Hei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WenQuanYi Zen Hei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</si>
  <si>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</si>
  <si>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</si>
  <si>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</si>
  <si>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</si>
  <si>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</si>
  <si>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</si>
  <si>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</si>
  <si>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</si>
  <si>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</si>
  <si>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</si>
  <si>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</si>
  <si>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</si>
  <si>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</si>
  <si>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</si>
  <si>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</si>
  <si>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</si>
  <si>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</si>
  <si>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</si>
  <si>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</si>
  <si>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</si>
  <si>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</si>
  <si>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</si>
  <si>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</si>
  <si>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</si>
  <si>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</si>
  <si>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</si>
  <si>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</si>
  <si>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</si>
  <si>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</si>
  <si>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</si>
  <si>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</si>
  <si>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</si>
  <si>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</si>
  <si>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</si>
  <si>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</si>
  <si>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</si>
  <si>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</si>
  <si>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</si>
  <si>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</si>
  <si>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</si>
  <si>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</si>
  <si>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</si>
  <si>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</si>
  <si>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</si>
  <si>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</si>
  <si>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</si>
  <si>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</si>
  <si>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</si>
  <si>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</si>
  <si>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</si>
  <si>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</si>
  <si>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</si>
  <si>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</si>
  <si>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</si>
  <si>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</si>
  <si>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</si>
  <si>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</si>
  <si>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</si>
  <si>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預測；僅用於測試與封裝）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</si>
  <si>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</si>
  <si>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</si>
  <si>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</si>
  <si>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</si>
  <si>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</si>
  <si>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</si>
  <si>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</si>
  <si>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</si>
  <si>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</si>
  <si>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</si>
  <si>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</si>
  <si>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</si>
  <si>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</si>
  <si>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</si>
  <si>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</si>
  <si>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</si>
  <si>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</si>
  <si>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</si>
  <si>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</si>
  <si>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</si>
  <si>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</si>
  <si>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</si>
  <si>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</si>
  <si>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</si>
  <si>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</si>
  <si>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</si>
  <si>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</si>
  <si>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</si>
  <si>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</si>
  <si>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</si>
  <si>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</si>
  <si>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WenQuanYi Zen Hei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WenQuanYi Zen Hei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</si>
  <si>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</si>
  <si>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</si>
  <si>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</si>
  <si>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</si>
  <si>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</si>
  <si>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</si>
  <si>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</si>
  <si>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WenQuanYi Zen Hei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</si>
  <si>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</si>
  <si>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</si>
  <si>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</si>
  <si>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WenQuanYi Zen Hei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</si>
  <si>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</si>
  <si>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</si>
  <si>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</si>
  <si>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WenQuanYi Zen Hei"/>
        <family val="2"/>
      </rPr>
      <t xml:space="preserve">」；本環境無法開啟該頁，未直接核對）</t>
    </r>
  </si>
  <si>
    <r>
      <rPr>
        <sz val="11"/>
        <color theme="1"/>
        <rFont val="WenQuanYi Zen Hei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</si>
  <si>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</si>
  <si>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</si>
  <si>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</si>
  <si>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</si>
  <si>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</si>
  <si>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</si>
  <si>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</si>
  <si>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</si>
  <si>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</si>
  <si>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</si>
  <si>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</si>
  <si>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</si>
  <si>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</si>
  <si>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</si>
  <si>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</si>
  <si>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</si>
  <si>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以後的分項只用於對帳。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</si>
  <si>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</si>
  <si>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</si>
  <si>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</si>
  <si>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</si>
  <si>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</si>
  <si>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</si>
  <si>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</si>
  <si>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</si>
  <si>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</si>
  <si>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</si>
  <si>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</si>
  <si>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</si>
  <si>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</si>
  <si>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</si>
  <si>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</si>
  <si>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</si>
  <si>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</si>
  <si>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</si>
  <si>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</si>
  <si>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</si>
  <si>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</si>
  <si>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</si>
  <si>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</si>
  <si>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</si>
  <si>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</si>
  <si>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</si>
  <si>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</si>
  <si>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</si>
  <si>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</si>
  <si>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</si>
  <si>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WenQuanYi Zen Hei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WenQuanYi Zen Hei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</si>
  <si>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</si>
  <si>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</si>
  <si>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</si>
  <si>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</si>
  <si>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WenQuanYi Zen Hei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</si>
  <si>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</si>
  <si>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</si>
  <si>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</si>
  <si>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WenQuanYi Zen Hei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</si>
  <si>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未找到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</si>
  <si>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</si>
  <si>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</si>
  <si>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</si>
  <si>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</si>
  <si>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WenQuanYi Zen Hei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</si>
  <si>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</si>
  <si>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</si>
  <si>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</si>
  <si>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</si>
  <si>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</si>
  <si>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</si>
  <si>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WenQuanYi Zen Hei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</si>
  <si>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設備（實績）</t>
    </r>
  </si>
  <si>
    <r>
      <rPr>
        <sz val="11"/>
        <rFont val="WenQuanYi Zen Hei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</si>
  <si>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設備（獨立估計）</t>
    </r>
  </si>
  <si>
    <r>
      <rPr>
        <sz val="11"/>
        <rFont val="WenQuanYi Zen Hei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</si>
  <si>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WenQuanYi Zen Hei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</t>
    </r>
  </si>
  <si>
    <r>
      <rPr>
        <b val="true"/>
        <sz val="11"/>
        <rFont val="WenQuanYi Zen Hei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WenQuanYi Zen Hei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年以後沿用）</t>
    </r>
  </si>
  <si>
    <r>
      <rPr>
        <sz val="11"/>
        <color theme="1"/>
        <rFont val="WenQuanYi Zen Hei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WenQuanYi Zen Hei"/>
        <family val="2"/>
      </rPr>
      <t xml:space="preserve">基準取此值</t>
    </r>
  </si>
  <si>
    <r>
      <rPr>
        <sz val="11"/>
        <rFont val="WenQuanYi Zen Hei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高）時的校準值</t>
    </r>
  </si>
  <si>
    <r>
      <rPr>
        <sz val="11"/>
        <rFont val="WenQuanYi Zen Hei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低）</t>
    </r>
  </si>
  <si>
    <r>
      <rPr>
        <sz val="11"/>
        <rFont val="WenQuanYi Zen Hei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WenQuanYi Zen Hei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</si>
  <si>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WenQuanYi Zen Hei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</si>
  <si>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</si>
  <si>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WenQuanYi Zen Hei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</si>
  <si>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</si>
  <si>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</si>
  <si>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</si>
  <si>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</si>
  <si>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比例拆三家），合計不受影響</t>
    </r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</si>
  <si>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</si>
  <si>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</si>
  <si>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WenQuanYi Zen Hei"/>
        <family val="2"/>
      </rPr>
      <t xml:space="preserve">）</t>
    </r>
  </si>
  <si>
    <t xml:space="preserve">記憶體設備合計＝三家＋其他</t>
  </si>
  <si>
    <r>
      <rPr>
        <sz val="11"/>
        <rFont val="WenQuanYi Zen Hei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</si>
  <si>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</si>
  <si>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WenQuanYi Zen Hei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</si>
  <si>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</si>
  <si>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</si>
  <si>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</si>
  <si>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WenQuanYi Zen Hei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</si>
  <si>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</si>
  <si>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WenQuanYi Zen Hei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校準</t>
    </r>
  </si>
  <si>
    <r>
      <rPr>
        <sz val="11"/>
        <rFont val="WenQuanYi Zen Hei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WenQuanYi Zen Hei"/>
        <family val="2"/>
      </rPr>
      <t xml:space="preserve">）</t>
    </r>
  </si>
  <si>
    <t xml:space="preserve">代工與邏輯設備合計</t>
  </si>
  <si>
    <r>
      <rPr>
        <sz val="11"/>
        <rFont val="WenQuanYi Zen Hei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</si>
  <si>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WenQuanYi Zen Hei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</si>
  <si>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</si>
  <si>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</si>
  <si>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WenQuanYi Zen Hei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</si>
  <si>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WenQuanYi Zen Hei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WenQuanYi Zen Hei"/>
        <family val="2"/>
      </rPr>
      <t xml:space="preserve">三大廠資本支出</t>
    </r>
  </si>
  <si>
    <t xml:space="preserve">＝三家加權設備占比（校準恆等）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</si>
  <si>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海力士、三星校準值</t>
    </r>
  </si>
  <si>
    <r>
      <rPr>
        <sz val="11"/>
        <rFont val="WenQuanYi Zen Hei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WenQuanYi Zen Hei"/>
        <family val="2"/>
      </rPr>
      <t xml:space="preserve">對照列）</t>
    </r>
  </si>
  <si>
    <r>
      <rPr>
        <sz val="11"/>
        <rFont val="WenQuanYi Zen Hei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</si>
  <si>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color theme="1"/>
        <rFont val="WenQuanYi Zen Hei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</si>
  <si>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</si>
  <si>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</si>
  <si>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</si>
  <si>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</si>
  <si>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</si>
  <si>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</si>
  <si>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</si>
  <si>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</si>
  <si>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</si>
  <si>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</si>
  <si>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</si>
  <si>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</si>
  <si>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</si>
  <si>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</si>
  <si>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</si>
  <si>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</si>
  <si>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</si>
  <si>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</si>
  <si>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</si>
  <si>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</si>
  <si>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</si>
  <si>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</si>
  <si>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</si>
  <si>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</si>
  <si>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</si>
  <si>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</si>
  <si>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</si>
  <si>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</si>
  <si>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</si>
  <si>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</si>
  <si>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</si>
  <si>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</si>
  <si>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</si>
  <si>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實績合計</t>
    </r>
  </si>
  <si>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</si>
  <si>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</si>
  <si>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</si>
  <si>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WenQuanYi Zen Hei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）。金額：百萬美元（除另註）。藍字＝本頁輸入</t>
    </r>
  </si>
  <si>
    <r>
      <rPr>
        <sz val="11"/>
        <color theme="1"/>
        <rFont val="WenQuanYi Zen Hei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WenQuanYi Zen Hei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WenQuanYi Zen Hei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</si>
  <si>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</si>
  <si>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</si>
  <si>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</si>
  <si>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</si>
  <si>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</si>
  <si>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</si>
  <si>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</si>
  <si>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</si>
  <si>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</si>
  <si>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WenQuanYi Zen Hei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</si>
  <si>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</si>
  <si>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</si>
  <si>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</si>
  <si>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WenQuanYi Zen Hei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</si>
  <si>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WenQuanYi Zen Hei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</si>
  <si>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</si>
  <si>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</si>
  <si>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WenQuanYi Zen Hei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</si>
  <si>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</si>
  <si>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</si>
  <si>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WenQuanYi Zen Hei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</si>
  <si>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</si>
  <si>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WenQuanYi Zen Hei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</si>
  <si>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WenQuanYi Zen Hei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WenQuanYi Zen Hei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WenQuanYi Zen Hei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</si>
  <si>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</si>
  <si>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</si>
  <si>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</si>
  <si>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</si>
  <si>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WenQuanYi Zen Hei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WenQuanYi Zen Hei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WenQuanYi Zen Hei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WenQuanYi Zen Hei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WenQuanYi Zen Hei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WenQuanYi Zen Hei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WenQuanYi Zen Hei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</si>
  <si>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</si>
  <si>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WenQuanYi Zen Hei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</si>
  <si>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</si>
  <si>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</si>
  <si>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</si>
  <si>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</si>
  <si>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</si>
  <si>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WenQuanYi Zen Hei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</si>
  <si>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WenQuanYi Zen Hei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</si>
  <si>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</si>
  <si>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WenQuanYi Zen Hei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</si>
  <si>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</si>
  <si>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</si>
  <si>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</si>
  <si>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</si>
  <si>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WenQuanYi Zen Hei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</si>
  <si>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</si>
  <si>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</si>
  <si>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</si>
  <si>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</si>
  <si>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</si>
  <si>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WenQuanYi Zen Hei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WenQuanYi Zen Hei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</si>
  <si>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</si>
  <si>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</si>
  <si>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</si>
  <si>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WenQuanYi Zen Hei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</si>
  <si>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WenQuanYi Zen Hei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</si>
  <si>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WenQuanYi Zen Hei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WenQuanYi Zen Hei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</si>
  <si>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WenQuanYi Zen Hei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WenQuanYi Zen Hei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</si>
  <si>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</si>
  <si>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</si>
  <si>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WenQuanYi Zen Hei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</si>
  <si>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</si>
  <si>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</si>
  <si>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</si>
  <si>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</si>
  <si>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WenQuanYi Zen Hei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WenQuanYi Zen Hei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</si>
  <si>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</si>
  <si>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WenQuanYi Zen Hei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WenQuanYi Zen Hei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</si>
  <si>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（現金流量表金額）</t>
    </r>
  </si>
  <si>
    <r>
      <rPr>
        <sz val="11"/>
        <color theme="1"/>
        <rFont val="WenQuanYi Zen Hei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</si>
  <si>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</si>
  <si>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WenQuanYi Zen Hei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WenQuanYi Zen Hei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WenQuanYi Zen Hei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</si>
  <si>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</si>
  <si>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</si>
  <si>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</si>
  <si>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</si>
  <si>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WenQuanYi Zen Hei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WenQuanYi Zen Hei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</si>
  <si>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</si>
  <si>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（元大投顧）</t>
    </r>
  </si>
  <si>
    <r>
      <rPr>
        <sz val="11"/>
        <color theme="1"/>
        <rFont val="WenQuanYi Zen Hei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WenQuanYi Zen Hei"/>
        <family val="2"/>
      </rPr>
      <t xml:space="preserve">全球資本支出</t>
    </r>
  </si>
  <si>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</si>
  <si>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</si>
  <si>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</si>
  <si>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</si>
  <si>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</si>
  <si>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，記憶體廠；用來問「台積電是否也同樣偏低」</t>
    </r>
  </si>
  <si>
    <r>
      <rPr>
        <b val="true"/>
        <sz val="11"/>
        <rFont val="WenQuanYi Zen Hei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WenQuanYi Zen Hei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WenQuanYi Zen Hei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</si>
  <si>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</si>
  <si>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</si>
  <si>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</si>
  <si>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In</t>
  </si>
  <si>
    <r>
      <rPr>
        <sz val="11"/>
        <color theme="1"/>
        <rFont val="WenQuanYi Zen Hei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（毛額）</t>
    </r>
  </si>
  <si>
    <r>
      <rPr>
        <sz val="11"/>
        <color theme="1"/>
        <rFont val="WenQuanYi Zen Hei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WenQuanYi Zen Hei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WenQuanYi Zen Hei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WenQuanYi Zen Hei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</si>
  <si>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r>
      <rPr>
        <sz val="11"/>
        <color theme="1"/>
        <rFont val="WenQuanYi Zen Hei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</si>
  <si>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WenQuanYi Zen Hei"/>
        <family val="2"/>
      </rPr>
      <t xml:space="preserve">含大量建廠，可能偏高</t>
    </r>
  </si>
  <si>
    <r>
      <rPr>
        <b val="true"/>
        <sz val="11"/>
        <rFont val="WenQuanYi Zen Hei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</si>
  <si>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</si>
  <si>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WenQuanYi Zen Hei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WenQuanYi Zen Hei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</si>
  <si>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WenQuanYi Zen Hei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</si>
  <si>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</si>
  <si>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WenQuanYi Zen Hei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WenQuanYi Zen Hei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WenQuanYi Zen Hei"/>
        <family val="2"/>
      </rPr>
      <t xml:space="preserve">」。</t>
    </r>
  </si>
  <si>
    <r>
      <rPr>
        <sz val="11"/>
        <color theme="1"/>
        <rFont val="WenQuanYi Zen Hei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WenQuanYi Zen Hei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WenQuanYi Zen Hei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WenQuanYi Zen Hei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WenQuanYi Zen Hei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WenQuanYi Zen Hei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WenQuanYi Zen Hei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</si>
  <si>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WenQuanYi Zen Hei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分類的重疊</t>
    </r>
  </si>
  <si>
    <r>
      <rPr>
        <sz val="11"/>
        <color theme="1"/>
        <rFont val="WenQuanYi Zen Hei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</si>
  <si>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WenQuanYi Zen Hei"/>
        <family val="2"/>
      </rPr>
      <t xml:space="preserve">，三情境相同）</t>
    </r>
  </si>
  <si>
    <r>
      <rPr>
        <sz val="11"/>
        <color theme="1"/>
        <rFont val="WenQuanYi Zen Hei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WenQuanYi Zen Hei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分入後段或其他前段）</t>
    </r>
  </si>
  <si>
    <r>
      <rPr>
        <sz val="11"/>
        <color theme="1"/>
        <rFont val="WenQuanYi Zen Hei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WenQuanYi Zen Hei"/>
        <family val="2"/>
      </rPr>
      <t xml:space="preserve">設備總額</t>
    </r>
  </si>
  <si>
    <r>
      <rPr>
        <sz val="11"/>
        <color theme="1"/>
        <rFont val="WenQuanYi Zen Hei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WenQuanYi Zen Hei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WenQuanYi Zen Hei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WenQuanYi Zen Hei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WenQuanYi Zen Hei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WenQuanYi Zen Hei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WenQuanYi Zen Hei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WenQuanYi Zen Hei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</si>
  <si>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</si>
  <si>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</si>
  <si>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</si>
  <si>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</si>
  <si>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</si>
  <si>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</si>
  <si>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</si>
  <si>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</si>
  <si>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</si>
  <si>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</si>
  <si>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</si>
  <si>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</si>
  <si>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</si>
  <si>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</si>
  <si>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</si>
  <si>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</si>
  <si>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</si>
  <si>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</si>
  <si>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</si>
  <si>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</si>
  <si>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</si>
  <si>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</si>
  <si>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</si>
  <si>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</si>
  <si>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</si>
  <si>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</si>
  <si>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</si>
  <si>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</si>
  <si>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</si>
  <si>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</si>
  <si>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</si>
  <si>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</si>
  <si>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</si>
  <si>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</si>
  <si>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</si>
  <si>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</si>
  <si>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</si>
  <si>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</si>
  <si>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</si>
  <si>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與各來源的差距有意義。</t>
    </r>
  </si>
  <si>
    <r>
      <rPr>
        <b val="true"/>
        <sz val="11"/>
        <rFont val="WenQuanYi Zen Hei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；不併入上方差距表，單位：占比，差距為百分點）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</si>
  <si>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WenQuanYi Zen Hei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</si>
  <si>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</si>
  <si>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</si>
  <si>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</si>
  <si>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WenQuanYi Zen Hei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</si>
  <si>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WenQuanYi Zen Hei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月）</t>
    </r>
  </si>
  <si>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全年支出占比：未找到</t>
    </r>
  </si>
  <si>
    <r>
      <rPr>
        <sz val="11"/>
        <color theme="1"/>
        <rFont val="WenQuanYi Zen Hei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</si>
  <si>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</si>
  <si>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WenQuanYi Zen Hei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</si>
  <si>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</si>
  <si>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WenQuanYi Zen Hei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WenQuanYi Zen Hei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</si>
  <si>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</si>
  <si>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</si>
  <si>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海力士、三星校準值（對照，不是台積電的證據）</t>
    </r>
  </si>
  <si>
    <r>
      <rPr>
        <sz val="11"/>
        <color theme="1"/>
        <rFont val="WenQuanYi Zen Hei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</si>
  <si>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</si>
  <si>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</si>
  <si>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</si>
  <si>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</si>
  <si>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</si>
  <si>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</si>
  <si>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WenQuanYi Zen Hei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實績校準）</t>
    </r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</si>
  <si>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</si>
  <si>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</si>
  <si>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，業界下限）</t>
    </r>
  </si>
  <si>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（不再當基準）</t>
    </r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</si>
  <si>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（年度未核對；重新校準）</t>
    </r>
  </si>
  <si>
    <r>
      <rPr>
        <sz val="11"/>
        <color theme="1"/>
        <rFont val="WenQuanYi Zen Hei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WenQuanYi Zen Hei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</si>
  <si>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</si>
  <si>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</si>
  <si>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</si>
  <si>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</si>
  <si>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</si>
  <si>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；若台積電也同樣偏低）</t>
    </r>
  </si>
  <si>
    <r>
      <rPr>
        <sz val="11"/>
        <color theme="1"/>
        <rFont val="WenQuanYi Zen Hei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頁）</t>
    </r>
  </si>
  <si>
    <r>
      <rPr>
        <sz val="11"/>
        <color theme="1"/>
        <rFont val="WenQuanYi Zen Hei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</t>
    </r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</si>
  <si>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</si>
  <si>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WenQuanYi Zen Hei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年以後設備無影響）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</si>
  <si>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</si>
  <si>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兆；重新校準）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</si>
  <si>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</si>
  <si>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（重新校準）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</si>
  <si>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</si>
  <si>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</si>
  <si>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</si>
  <si>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高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</si>
  <si>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</si>
  <si>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</si>
  <si>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</si>
  <si>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</si>
  <si>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</si>
  <si>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</si>
  <si>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</si>
  <si>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</si>
  <si>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</si>
  <si>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</si>
  <si>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</si>
  <si>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</si>
  <si>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</si>
  <si>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</si>
  <si>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</si>
  <si>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</si>
  <si>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</si>
  <si>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WenQuanYi Zen Hei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</si>
  <si>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</si>
  <si>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</si>
  <si>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</si>
  <si>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</si>
  <si>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</si>
  <si>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</si>
  <si>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</si>
  <si>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</si>
  <si>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</si>
  <si>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（校準值（基準））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</si>
  <si>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</si>
  <si>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</si>
  <si>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</si>
  <si>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</si>
  <si>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</si>
  <si>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WenQuanYi Zen Hei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</si>
  <si>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WenQuanYi Zen Hei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</si>
  <si>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</si>
  <si>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</si>
  <si>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</si>
  <si>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</si>
  <si>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</si>
  <si>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</si>
  <si>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</si>
  <si>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</si>
  <si>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</si>
  <si>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</si>
  <si>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</si>
  <si>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</si>
  <si>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</si>
  <si>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</si>
  <si>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</si>
  <si>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</si>
  <si>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</si>
  <si>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</si>
  <si>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</si>
  <si>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</si>
  <si>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</si>
  <si>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（低））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</si>
  <si>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</si>
  <si>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</si>
  <si>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（高））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</si>
  <si>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</si>
  <si>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</si>
  <si>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WenQuanYi Zen Hei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WenQuanYi Zen Hei"/>
        <family val="2"/>
      </rPr>
      <t xml:space="preserve">、三星））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</si>
  <si>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</si>
  <si>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</si>
  <si>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</si>
  <si>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</si>
  <si>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</si>
  <si>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（上限））</t>
    </r>
  </si>
  <si>
    <r>
      <rPr>
        <sz val="11"/>
        <color theme="1"/>
        <rFont val="WenQuanYi Zen Hei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WenQuanYi Zen Hei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欄）。</t>
    </r>
  </si>
  <si>
    <r>
      <rPr>
        <sz val="11"/>
        <color theme="1"/>
        <rFont val="WenQuanYi Zen Hei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</si>
  <si>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</si>
  <si>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</si>
  <si>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</si>
  <si>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</si>
  <si>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</si>
  <si>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</si>
  <si>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</si>
  <si>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</si>
  <si>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</si>
  <si>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</si>
  <si>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</si>
  <si>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</si>
  <si>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</si>
  <si>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</si>
  <si>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</si>
  <si>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</si>
  <si>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</si>
  <si>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</si>
  <si>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</si>
  <si>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</si>
  <si>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</si>
  <si>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</si>
  <si>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</si>
  <si>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</si>
  <si>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</si>
  <si>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</si>
  <si>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</si>
  <si>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</si>
  <si>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</si>
  <si>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</si>
  <si>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</si>
  <si>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</si>
  <si>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</si>
  <si>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WenQuanYi Zen Hei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</si>
  <si>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</si>
  <si>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</si>
  <si>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</si>
  <si>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</si>
  <si>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</si>
  <si>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</si>
  <si>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</si>
  <si>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</si>
  <si>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</si>
  <si>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</si>
  <si>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</si>
  <si>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</si>
  <si>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</si>
  <si>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</si>
  <si>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</si>
  <si>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</si>
  <si>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</si>
  <si>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</si>
  <si>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</si>
  <si>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</si>
  <si>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</si>
  <si>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</si>
  <si>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</si>
  <si>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</si>
  <si>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</si>
  <si>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</si>
  <si>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</si>
  <si>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</si>
  <si>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</si>
  <si>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</si>
  <si>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</si>
  <si>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</si>
  <si>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</si>
  <si>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</si>
  <si>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</si>
  <si>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</si>
  <si>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</si>
  <si>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</si>
  <si>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</si>
  <si>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</si>
  <si>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</si>
  <si>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</si>
  <si>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</si>
  <si>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</si>
  <si>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</si>
  <si>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</si>
  <si>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</si>
  <si>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</si>
  <si>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</si>
  <si>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</si>
  <si>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</si>
  <si>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</si>
  <si>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</si>
  <si>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</si>
  <si>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</si>
  <si>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</si>
  <si>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</si>
  <si>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</si>
  <si>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</si>
  <si>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</si>
  <si>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</si>
  <si>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</si>
  <si>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</si>
  <si>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</si>
  <si>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WenQuanYi Zen Hei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的摘要）</t>
    </r>
  </si>
  <si>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頁來源欄</t>
    </r>
  </si>
  <si>
    <r>
      <rPr>
        <sz val="11"/>
        <color theme="1"/>
        <rFont val="WenQuanYi Zen Hei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</si>
  <si>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WenQuanYi Zen Hei"/>
        <family val="2"/>
      </rPr>
      <t xml:space="preserve">原文未開啟）</t>
    </r>
  </si>
  <si>
    <r>
      <rPr>
        <sz val="11"/>
        <color theme="1"/>
        <rFont val="WenQuanYi Zen Hei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</si>
  <si>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</si>
  <si>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</si>
  <si>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</si>
  <si>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</si>
  <si>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</si>
  <si>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WenQuanYi Zen Hei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</si>
  <si>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</si>
  <si>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</si>
  <si>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</si>
  <si>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WenQuanYi Zen Hei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</si>
  <si>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</si>
  <si>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</si>
  <si>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</si>
  <si>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WenQuanYi Zen Hei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WenQuanYi Zen Hei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</si>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</sst>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62.6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28.35" hidden="false" customHeight="false" outlineLevel="0" collapsed="false">
      <c r="A4" s="1" t="s">
        <v>2</v>
      </c>
    </row>
    <row r="5" customFormat="false" ht="149.25" hidden="false" customHeight="false" outlineLevel="0" collapsed="false">
      <c r="A5" s="3" t="s">
        <v>3</v>
      </c>
    </row>
    <row r="6" customFormat="false" ht="216.4" hidden="false" customHeight="false" outlineLevel="0" collapsed="false">
      <c r="A6" s="3" t="s">
        <v>4</v>
      </c>
    </row>
    <row r="7" customFormat="false" ht="122.3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/>
    </row>
    <row r="9" customFormat="false" ht="41.75" hidden="false" customHeight="false" outlineLevel="0" collapsed="false">
      <c r="A9" s="1" t="s">
        <v>6</v>
      </c>
    </row>
    <row r="10" customFormat="false" ht="176.1" hidden="false" customHeight="false" outlineLevel="0" collapsed="false">
      <c r="A10" s="2" t="s">
        <v>7</v>
      </c>
    </row>
    <row r="11" customFormat="false" ht="310.4" hidden="false" customHeight="false" outlineLevel="0" collapsed="false">
      <c r="A11" s="2" t="s">
        <v>8</v>
      </c>
    </row>
    <row r="12" customFormat="false" ht="270.1" hidden="false" customHeight="false" outlineLevel="0" collapsed="false">
      <c r="A12" s="3" t="s">
        <v>9</v>
      </c>
    </row>
    <row r="13" customFormat="false" ht="162.6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1" t="s">
        <v>11</v>
      </c>
    </row>
    <row r="16" customFormat="false" ht="216.4" hidden="false" customHeight="false" outlineLevel="0" collapsed="false">
      <c r="A16" s="3" t="s">
        <v>12</v>
      </c>
    </row>
    <row r="17" customFormat="false" ht="189.55" hidden="false" customHeight="false" outlineLevel="0" collapsed="false">
      <c r="A17" s="3" t="s">
        <v>13</v>
      </c>
    </row>
    <row r="18" customFormat="false" ht="243.25" hidden="false" customHeight="false" outlineLevel="0" collapsed="false">
      <c r="A18" s="3" t="s">
        <v>14</v>
      </c>
    </row>
    <row r="19" customFormat="false" ht="337.3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/>
    </row>
    <row r="21" customFormat="false" ht="41.75" hidden="false" customHeight="false" outlineLevel="0" collapsed="false">
      <c r="A21" s="4" t="s">
        <v>16</v>
      </c>
    </row>
    <row r="22" customFormat="false" ht="364.15" hidden="false" customHeight="false" outlineLevel="0" collapsed="false">
      <c r="A22" s="2" t="s">
        <v>17</v>
      </c>
    </row>
    <row r="23" customFormat="false" ht="189.5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41.75" hidden="false" customHeight="false" outlineLevel="0" collapsed="false">
      <c r="A25" s="1" t="s">
        <v>19</v>
      </c>
    </row>
    <row r="26" customFormat="false" ht="15" hidden="false" customHeight="false" outlineLevel="0" collapsed="false">
      <c r="A26" s="5" t="s">
        <v>20</v>
      </c>
      <c r="B26" s="5" t="s">
        <v>21</v>
      </c>
      <c r="C26" s="5" t="s">
        <v>22</v>
      </c>
      <c r="D26" s="5" t="s">
        <v>23</v>
      </c>
      <c r="E26" s="5" t="s">
        <v>24</v>
      </c>
    </row>
    <row r="27" customFormat="false" ht="55.2" hidden="false" customHeight="false" outlineLevel="0" collapsed="false">
      <c r="A27" s="6" t="s">
        <v>25</v>
      </c>
      <c r="B27" s="6" t="s">
        <v>26</v>
      </c>
      <c r="C27" s="7" t="s">
        <v>27</v>
      </c>
      <c r="D27" s="6" t="s">
        <v>28</v>
      </c>
      <c r="E27" s="6" t="s">
        <v>29</v>
      </c>
    </row>
    <row r="28" customFormat="false" ht="28.35" hidden="false" customHeight="false" outlineLevel="0" collapsed="false">
      <c r="A28" s="6" t="s">
        <v>30</v>
      </c>
      <c r="B28" s="7" t="s">
        <v>31</v>
      </c>
      <c r="C28" s="7" t="s">
        <v>32</v>
      </c>
      <c r="D28" s="6" t="s">
        <v>33</v>
      </c>
      <c r="E28" s="6" t="s">
        <v>34</v>
      </c>
    </row>
    <row r="29" customFormat="false" ht="28.35" hidden="false" customHeight="false" outlineLevel="0" collapsed="false">
      <c r="A29" s="7" t="s">
        <v>35</v>
      </c>
      <c r="B29" s="7" t="s">
        <v>36</v>
      </c>
      <c r="C29" s="7" t="s">
        <v>37</v>
      </c>
      <c r="D29" s="6" t="s">
        <v>38</v>
      </c>
      <c r="E29" s="7" t="s">
        <v>39</v>
      </c>
    </row>
    <row r="30" customFormat="false" ht="41.75" hidden="false" customHeight="false" outlineLevel="0" collapsed="false">
      <c r="A30" s="6" t="s">
        <v>40</v>
      </c>
      <c r="B30" s="7" t="s">
        <v>41</v>
      </c>
      <c r="C30" s="7" t="s">
        <v>42</v>
      </c>
      <c r="D30" s="6" t="s">
        <v>43</v>
      </c>
      <c r="E30" s="6" t="s">
        <v>44</v>
      </c>
    </row>
    <row r="31" customFormat="false" ht="41.75" hidden="false" customHeight="false" outlineLevel="0" collapsed="false">
      <c r="A31" s="7" t="s">
        <v>45</v>
      </c>
      <c r="B31" s="7" t="s">
        <v>46</v>
      </c>
      <c r="C31" s="7" t="s">
        <v>47</v>
      </c>
      <c r="D31" s="6" t="s">
        <v>48</v>
      </c>
      <c r="E31" s="6" t="s">
        <v>49</v>
      </c>
    </row>
    <row r="33" customFormat="false" ht="15" hidden="false" customHeight="false" outlineLevel="0" collapsed="false">
      <c r="A33" s="8" t="s">
        <v>50</v>
      </c>
    </row>
    <row r="34" customFormat="false" ht="108.95" hidden="false" customHeight="false" outlineLevel="0" collapsed="false">
      <c r="A34" s="6" t="s">
        <v>51</v>
      </c>
    </row>
    <row r="35" customFormat="false" ht="350.7" hidden="false" customHeight="false" outlineLevel="0" collapsed="false">
      <c r="A35" s="7" t="s">
        <v>52</v>
      </c>
    </row>
    <row r="36" customFormat="false" ht="229.85" hidden="false" customHeight="false" outlineLevel="0" collapsed="false">
      <c r="A36" s="7" t="s">
        <v>53</v>
      </c>
    </row>
    <row r="37" customFormat="false" ht="189.55" hidden="false" customHeight="false" outlineLevel="0" collapsed="false">
      <c r="A37" s="7" t="s">
        <v>54</v>
      </c>
    </row>
    <row r="38" customFormat="false" ht="444.75" hidden="false" customHeight="false" outlineLevel="0" collapsed="false">
      <c r="A38" s="7" t="s">
        <v>55</v>
      </c>
    </row>
    <row r="40" customFormat="false" ht="15" hidden="false" customHeight="false" outlineLevel="0" collapsed="false">
      <c r="A40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57</v>
      </c>
    </row>
    <row r="2" customFormat="false" ht="15" hidden="false" customHeight="false" outlineLevel="0" collapsed="false">
      <c r="A2" s="9" t="s">
        <v>58</v>
      </c>
    </row>
    <row r="3" customFormat="false" ht="15" hidden="false" customHeight="false" outlineLevel="0" collapsed="false">
      <c r="A3" s="5" t="s">
        <v>59</v>
      </c>
      <c r="B3" s="5" t="s">
        <v>60</v>
      </c>
      <c r="C3" s="5" t="s">
        <v>61</v>
      </c>
      <c r="D3" s="5" t="s">
        <v>62</v>
      </c>
      <c r="E3" s="5" t="s">
        <v>63</v>
      </c>
      <c r="F3" s="5" t="s">
        <v>64</v>
      </c>
      <c r="G3" s="5" t="s">
        <v>65</v>
      </c>
      <c r="H3" s="5" t="s">
        <v>66</v>
      </c>
      <c r="I3" s="5" t="s">
        <v>67</v>
      </c>
    </row>
    <row r="4" customFormat="false" ht="15" hidden="false" customHeight="false" outlineLevel="0" collapsed="false">
      <c r="A4" s="10" t="s">
        <v>68</v>
      </c>
    </row>
    <row r="5" customFormat="false" ht="15" hidden="false" customHeight="false" outlineLevel="0" collapsed="false">
      <c r="A5" s="0" t="s">
        <v>69</v>
      </c>
      <c r="B5" s="9" t="s">
        <v>70</v>
      </c>
      <c r="C5" s="0" t="s">
        <v>71</v>
      </c>
      <c r="D5" s="11" t="n">
        <v>1350</v>
      </c>
      <c r="E5" s="12" t="n">
        <v>1420</v>
      </c>
      <c r="F5" s="11" t="n">
        <v>1500</v>
      </c>
      <c r="G5" s="13" t="s">
        <v>72</v>
      </c>
      <c r="H5" s="9" t="s">
        <v>73</v>
      </c>
      <c r="I5" s="9" t="s">
        <v>74</v>
      </c>
    </row>
    <row r="6" customFormat="false" ht="15" hidden="false" customHeight="false" outlineLevel="0" collapsed="false">
      <c r="A6" s="0" t="s">
        <v>75</v>
      </c>
      <c r="B6" s="0" t="s">
        <v>76</v>
      </c>
      <c r="C6" s="9" t="s">
        <v>77</v>
      </c>
      <c r="E6" s="12" t="n">
        <v>48.7</v>
      </c>
      <c r="G6" s="13" t="s">
        <v>78</v>
      </c>
      <c r="H6" s="13" t="s">
        <v>79</v>
      </c>
      <c r="I6" s="9" t="s">
        <v>80</v>
      </c>
    </row>
    <row r="7" customFormat="false" ht="15" hidden="false" customHeight="false" outlineLevel="0" collapsed="false">
      <c r="A7" s="0" t="s">
        <v>81</v>
      </c>
      <c r="B7" s="0" t="s">
        <v>82</v>
      </c>
      <c r="C7" s="9" t="s">
        <v>77</v>
      </c>
      <c r="E7" s="12" t="n">
        <v>62.3</v>
      </c>
      <c r="G7" s="13" t="s">
        <v>78</v>
      </c>
      <c r="H7" s="13" t="s">
        <v>83</v>
      </c>
      <c r="I7" s="9" t="s">
        <v>84</v>
      </c>
    </row>
    <row r="8" customFormat="false" ht="15" hidden="false" customHeight="false" outlineLevel="0" collapsed="false">
      <c r="A8" s="0" t="s">
        <v>85</v>
      </c>
      <c r="B8" s="0" t="s">
        <v>86</v>
      </c>
      <c r="C8" s="9" t="s">
        <v>77</v>
      </c>
      <c r="E8" s="12" t="n">
        <v>71.2</v>
      </c>
      <c r="G8" s="13" t="s">
        <v>78</v>
      </c>
      <c r="H8" s="13" t="s">
        <v>87</v>
      </c>
      <c r="I8" s="9" t="s">
        <v>88</v>
      </c>
    </row>
    <row r="9" customFormat="false" ht="15" hidden="false" customHeight="false" outlineLevel="0" collapsed="false">
      <c r="A9" s="0" t="s">
        <v>89</v>
      </c>
      <c r="B9" s="0" t="s">
        <v>90</v>
      </c>
      <c r="C9" s="9" t="s">
        <v>77</v>
      </c>
      <c r="E9" s="12" t="n">
        <v>75</v>
      </c>
      <c r="G9" s="13" t="s">
        <v>91</v>
      </c>
      <c r="H9" s="13" t="s">
        <v>92</v>
      </c>
      <c r="I9" s="9" t="s">
        <v>93</v>
      </c>
    </row>
    <row r="10" customFormat="false" ht="15" hidden="false" customHeight="false" outlineLevel="0" collapsed="false">
      <c r="A10" s="0" t="s">
        <v>94</v>
      </c>
      <c r="B10" s="9" t="s">
        <v>95</v>
      </c>
      <c r="C10" s="0" t="s">
        <v>96</v>
      </c>
      <c r="E10" s="12" t="n">
        <v>27.367</v>
      </c>
      <c r="G10" s="13" t="s">
        <v>97</v>
      </c>
      <c r="H10" s="13" t="s">
        <v>98</v>
      </c>
      <c r="I10" s="9" t="s">
        <v>99</v>
      </c>
    </row>
    <row r="11" customFormat="false" ht="15" hidden="false" customHeight="false" outlineLevel="0" collapsed="false">
      <c r="A11" s="0" t="s">
        <v>100</v>
      </c>
      <c r="B11" s="9" t="s">
        <v>101</v>
      </c>
      <c r="C11" s="0" t="s">
        <v>96</v>
      </c>
      <c r="E11" s="12" t="n">
        <v>55</v>
      </c>
      <c r="G11" s="13" t="s">
        <v>72</v>
      </c>
      <c r="H11" s="13" t="s">
        <v>102</v>
      </c>
      <c r="I11" s="9" t="s">
        <v>103</v>
      </c>
    </row>
    <row r="12" customFormat="false" ht="15" hidden="false" customHeight="false" outlineLevel="0" collapsed="false">
      <c r="A12" s="0" t="s">
        <v>104</v>
      </c>
      <c r="B12" s="9" t="s">
        <v>105</v>
      </c>
      <c r="C12" s="0" t="s">
        <v>96</v>
      </c>
      <c r="E12" s="12" t="n">
        <v>60</v>
      </c>
      <c r="G12" s="13" t="s">
        <v>91</v>
      </c>
      <c r="H12" s="13" t="s">
        <v>106</v>
      </c>
      <c r="I12" s="9" t="s">
        <v>107</v>
      </c>
    </row>
    <row r="13" customFormat="false" ht="15" hidden="false" customHeight="false" outlineLevel="0" collapsed="false">
      <c r="A13" s="0" t="s">
        <v>108</v>
      </c>
      <c r="B13" s="9" t="s">
        <v>109</v>
      </c>
      <c r="C13" s="0" t="s">
        <v>96</v>
      </c>
      <c r="E13" s="12" t="n">
        <v>60</v>
      </c>
      <c r="G13" s="13" t="s">
        <v>91</v>
      </c>
      <c r="H13" s="13" t="s">
        <v>110</v>
      </c>
      <c r="I13" s="9" t="s">
        <v>107</v>
      </c>
    </row>
    <row r="14" customFormat="false" ht="15" hidden="false" customHeight="false" outlineLevel="0" collapsed="false">
      <c r="A14" s="0" t="s">
        <v>111</v>
      </c>
      <c r="B14" s="9" t="s">
        <v>112</v>
      </c>
      <c r="C14" s="9" t="s">
        <v>77</v>
      </c>
      <c r="E14" s="12" t="n">
        <v>52.5</v>
      </c>
      <c r="G14" s="13" t="s">
        <v>113</v>
      </c>
      <c r="H14" s="13" t="s">
        <v>114</v>
      </c>
      <c r="I14" s="9" t="s">
        <v>115</v>
      </c>
    </row>
    <row r="15" customFormat="false" ht="15" hidden="false" customHeight="false" outlineLevel="0" collapsed="false">
      <c r="A15" s="0" t="s">
        <v>116</v>
      </c>
      <c r="B15" s="9" t="s">
        <v>117</v>
      </c>
      <c r="C15" s="9" t="s">
        <v>77</v>
      </c>
      <c r="E15" s="12" t="n">
        <v>60</v>
      </c>
      <c r="G15" s="13" t="s">
        <v>91</v>
      </c>
      <c r="H15" s="13" t="s">
        <v>118</v>
      </c>
      <c r="I15" s="9" t="s">
        <v>119</v>
      </c>
    </row>
    <row r="16" customFormat="false" ht="15" hidden="false" customHeight="false" outlineLevel="0" collapsed="false">
      <c r="A16" s="0" t="s">
        <v>120</v>
      </c>
      <c r="B16" s="9" t="s">
        <v>121</v>
      </c>
      <c r="C16" s="9" t="s">
        <v>77</v>
      </c>
      <c r="E16" s="12" t="n">
        <v>66</v>
      </c>
      <c r="G16" s="13" t="s">
        <v>91</v>
      </c>
      <c r="H16" s="13" t="s">
        <v>122</v>
      </c>
      <c r="I16" s="9" t="s">
        <v>123</v>
      </c>
    </row>
    <row r="17" customFormat="false" ht="15" hidden="false" customHeight="false" outlineLevel="0" collapsed="false">
      <c r="A17" s="0" t="s">
        <v>124</v>
      </c>
      <c r="B17" s="9" t="s">
        <v>125</v>
      </c>
      <c r="C17" s="9" t="s">
        <v>77</v>
      </c>
      <c r="E17" s="12" t="n">
        <v>66</v>
      </c>
      <c r="G17" s="13" t="s">
        <v>91</v>
      </c>
      <c r="H17" s="13" t="s">
        <v>126</v>
      </c>
      <c r="I17" s="9" t="s">
        <v>123</v>
      </c>
    </row>
    <row r="18" customFormat="false" ht="15" hidden="false" customHeight="false" outlineLevel="0" collapsed="false">
      <c r="A18" s="0" t="s">
        <v>127</v>
      </c>
      <c r="B18" s="9" t="s">
        <v>128</v>
      </c>
      <c r="C18" s="0" t="s">
        <v>96</v>
      </c>
      <c r="E18" s="12" t="n">
        <v>62</v>
      </c>
      <c r="G18" s="13" t="s">
        <v>78</v>
      </c>
      <c r="H18" s="13" t="s">
        <v>129</v>
      </c>
      <c r="I18" s="9" t="s">
        <v>130</v>
      </c>
    </row>
    <row r="19" customFormat="false" ht="15" hidden="false" customHeight="false" outlineLevel="0" collapsed="false">
      <c r="A19" s="0" t="s">
        <v>131</v>
      </c>
      <c r="B19" s="9" t="s">
        <v>132</v>
      </c>
      <c r="C19" s="0" t="s">
        <v>96</v>
      </c>
      <c r="E19" s="12" t="n">
        <v>77</v>
      </c>
      <c r="G19" s="13" t="s">
        <v>78</v>
      </c>
      <c r="H19" s="13" t="s">
        <v>133</v>
      </c>
      <c r="I19" s="9" t="s">
        <v>134</v>
      </c>
    </row>
    <row r="20" customFormat="false" ht="15" hidden="false" customHeight="false" outlineLevel="0" collapsed="false">
      <c r="A20" s="0" t="s">
        <v>135</v>
      </c>
      <c r="B20" s="9" t="s">
        <v>136</v>
      </c>
      <c r="C20" s="0" t="s">
        <v>96</v>
      </c>
      <c r="E20" s="12" t="n">
        <v>90</v>
      </c>
      <c r="G20" s="13" t="s">
        <v>78</v>
      </c>
      <c r="H20" s="13" t="s">
        <v>137</v>
      </c>
      <c r="I20" s="9" t="s">
        <v>138</v>
      </c>
    </row>
    <row r="21" customFormat="false" ht="15" hidden="false" customHeight="false" outlineLevel="0" collapsed="false">
      <c r="A21" s="0" t="s">
        <v>139</v>
      </c>
      <c r="B21" s="9" t="s">
        <v>140</v>
      </c>
      <c r="C21" s="0" t="s">
        <v>96</v>
      </c>
      <c r="E21" s="12" t="n">
        <v>95</v>
      </c>
      <c r="G21" s="13" t="s">
        <v>91</v>
      </c>
      <c r="H21" s="13" t="s">
        <v>141</v>
      </c>
      <c r="I21" s="9" t="s">
        <v>142</v>
      </c>
    </row>
    <row r="22" customFormat="false" ht="15" hidden="false" customHeight="false" outlineLevel="0" collapsed="false">
      <c r="A22" s="0" t="s">
        <v>143</v>
      </c>
      <c r="B22" s="0" t="s">
        <v>144</v>
      </c>
      <c r="C22" s="9" t="s">
        <v>77</v>
      </c>
      <c r="D22" s="11" t="n">
        <v>28</v>
      </c>
      <c r="E22" s="12" t="n">
        <v>30.2</v>
      </c>
      <c r="F22" s="11" t="n">
        <v>30.2</v>
      </c>
      <c r="G22" s="13" t="s">
        <v>78</v>
      </c>
      <c r="H22" s="13" t="s">
        <v>145</v>
      </c>
      <c r="I22" s="13" t="s">
        <v>146</v>
      </c>
    </row>
    <row r="23" customFormat="false" ht="15" hidden="false" customHeight="false" outlineLevel="0" collapsed="false">
      <c r="A23" s="0" t="s">
        <v>147</v>
      </c>
      <c r="B23" s="9" t="s">
        <v>148</v>
      </c>
      <c r="C23" s="0" t="s">
        <v>96</v>
      </c>
      <c r="E23" s="12" t="n">
        <v>13.8</v>
      </c>
      <c r="G23" s="13" t="s">
        <v>97</v>
      </c>
      <c r="H23" s="9" t="s">
        <v>149</v>
      </c>
      <c r="I23" s="9" t="s">
        <v>150</v>
      </c>
    </row>
    <row r="24" customFormat="false" ht="15" hidden="false" customHeight="false" outlineLevel="0" collapsed="false">
      <c r="A24" s="0" t="s">
        <v>151</v>
      </c>
      <c r="B24" s="9" t="s">
        <v>152</v>
      </c>
      <c r="C24" s="9" t="s">
        <v>77</v>
      </c>
      <c r="E24" s="12" t="n">
        <v>47.5</v>
      </c>
      <c r="G24" s="13" t="s">
        <v>97</v>
      </c>
      <c r="H24" s="9" t="s">
        <v>153</v>
      </c>
      <c r="I24" s="13" t="s">
        <v>154</v>
      </c>
    </row>
    <row r="25" customFormat="false" ht="15" hidden="false" customHeight="false" outlineLevel="0" collapsed="false">
      <c r="A25" s="0" t="s">
        <v>155</v>
      </c>
      <c r="B25" s="9" t="s">
        <v>156</v>
      </c>
      <c r="C25" s="0" t="s">
        <v>157</v>
      </c>
      <c r="D25" s="14" t="n">
        <v>0.65</v>
      </c>
      <c r="E25" s="14" t="n">
        <v>0.75</v>
      </c>
      <c r="F25" s="14" t="n">
        <v>0.9</v>
      </c>
      <c r="G25" s="13" t="s">
        <v>91</v>
      </c>
      <c r="H25" s="9" t="s">
        <v>158</v>
      </c>
      <c r="I25" s="9" t="s">
        <v>159</v>
      </c>
    </row>
    <row r="26" customFormat="false" ht="15" hidden="false" customHeight="false" outlineLevel="0" collapsed="false">
      <c r="A26" s="0" t="s">
        <v>160</v>
      </c>
      <c r="B26" s="9" t="s">
        <v>161</v>
      </c>
      <c r="C26" s="0" t="s">
        <v>96</v>
      </c>
      <c r="D26" s="11" t="n">
        <v>40</v>
      </c>
      <c r="E26" s="12" t="n">
        <v>40.9</v>
      </c>
      <c r="F26" s="11" t="n">
        <v>42</v>
      </c>
      <c r="G26" s="13" t="s">
        <v>78</v>
      </c>
      <c r="H26" s="13" t="s">
        <v>162</v>
      </c>
      <c r="I26" s="9" t="s">
        <v>163</v>
      </c>
    </row>
    <row r="27" customFormat="false" ht="15" hidden="false" customHeight="false" outlineLevel="0" collapsed="false">
      <c r="A27" s="10" t="s">
        <v>164</v>
      </c>
    </row>
    <row r="28" customFormat="false" ht="15" hidden="false" customHeight="false" outlineLevel="0" collapsed="false">
      <c r="A28" s="0" t="s">
        <v>165</v>
      </c>
      <c r="B28" s="9" t="s">
        <v>166</v>
      </c>
      <c r="C28" s="0" t="s">
        <v>157</v>
      </c>
      <c r="D28" s="14" t="n">
        <v>0.58</v>
      </c>
      <c r="E28" s="14" t="n">
        <v>0.64</v>
      </c>
      <c r="F28" s="14" t="n">
        <v>0.7</v>
      </c>
      <c r="G28" s="13" t="s">
        <v>167</v>
      </c>
      <c r="H28" s="13" t="s">
        <v>168</v>
      </c>
      <c r="I28" s="13" t="s">
        <v>169</v>
      </c>
    </row>
    <row r="29" customFormat="false" ht="15" hidden="false" customHeight="false" outlineLevel="0" collapsed="false">
      <c r="A29" s="0" t="s">
        <v>170</v>
      </c>
      <c r="B29" s="9" t="s">
        <v>171</v>
      </c>
      <c r="C29" s="0" t="s">
        <v>157</v>
      </c>
      <c r="D29" s="14" t="n">
        <v>0.471</v>
      </c>
      <c r="E29" s="14" t="n">
        <v>0.521</v>
      </c>
      <c r="F29" s="14" t="n">
        <v>0.571</v>
      </c>
      <c r="G29" s="13" t="s">
        <v>72</v>
      </c>
      <c r="H29" s="13" t="s">
        <v>172</v>
      </c>
      <c r="I29" s="9" t="s">
        <v>173</v>
      </c>
    </row>
    <row r="30" customFormat="false" ht="15" hidden="false" customHeight="false" outlineLevel="0" collapsed="false">
      <c r="A30" s="0" t="s">
        <v>174</v>
      </c>
      <c r="B30" s="9" t="s">
        <v>175</v>
      </c>
      <c r="C30" s="0" t="s">
        <v>157</v>
      </c>
      <c r="D30" s="14" t="n">
        <v>0.385</v>
      </c>
      <c r="E30" s="14" t="n">
        <v>0.46</v>
      </c>
      <c r="F30" s="14" t="n">
        <v>0.535</v>
      </c>
      <c r="G30" s="13" t="s">
        <v>72</v>
      </c>
      <c r="H30" s="13" t="s">
        <v>176</v>
      </c>
      <c r="I30" s="9" t="s">
        <v>177</v>
      </c>
    </row>
    <row r="31" customFormat="false" ht="15" hidden="false" customHeight="false" outlineLevel="0" collapsed="false">
      <c r="A31" s="0" t="s">
        <v>178</v>
      </c>
      <c r="B31" s="0" t="s">
        <v>179</v>
      </c>
      <c r="C31" s="0" t="s">
        <v>157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72</v>
      </c>
      <c r="H31" s="13" t="s">
        <v>180</v>
      </c>
      <c r="I31" s="9" t="s">
        <v>181</v>
      </c>
    </row>
    <row r="32" customFormat="false" ht="15" hidden="false" customHeight="false" outlineLevel="0" collapsed="false">
      <c r="A32" s="0" t="s">
        <v>182</v>
      </c>
      <c r="B32" s="9" t="s">
        <v>183</v>
      </c>
      <c r="C32" s="0" t="s">
        <v>157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72</v>
      </c>
      <c r="H32" s="9" t="s">
        <v>184</v>
      </c>
      <c r="I32" s="9" t="s">
        <v>185</v>
      </c>
    </row>
    <row r="33" customFormat="false" ht="15" hidden="false" customHeight="false" outlineLevel="0" collapsed="false">
      <c r="A33" s="0" t="s">
        <v>186</v>
      </c>
      <c r="B33" s="9" t="s">
        <v>187</v>
      </c>
      <c r="C33" s="0" t="s">
        <v>157</v>
      </c>
      <c r="D33" s="14" t="n">
        <v>0.5</v>
      </c>
      <c r="E33" s="14" t="n">
        <v>0.64</v>
      </c>
      <c r="F33" s="14" t="n">
        <v>0.75</v>
      </c>
      <c r="G33" s="13" t="s">
        <v>167</v>
      </c>
      <c r="H33" s="13" t="s">
        <v>168</v>
      </c>
      <c r="I33" s="13" t="s">
        <v>188</v>
      </c>
    </row>
    <row r="34" customFormat="false" ht="15" hidden="false" customHeight="false" outlineLevel="0" collapsed="false">
      <c r="A34" s="10" t="s">
        <v>189</v>
      </c>
    </row>
    <row r="35" customFormat="false" ht="15" hidden="false" customHeight="false" outlineLevel="0" collapsed="false">
      <c r="A35" s="0" t="s">
        <v>190</v>
      </c>
      <c r="B35" s="9" t="s">
        <v>191</v>
      </c>
      <c r="C35" s="0" t="s">
        <v>157</v>
      </c>
      <c r="D35" s="14" t="n">
        <v>0.1</v>
      </c>
      <c r="E35" s="14" t="n">
        <v>0.15</v>
      </c>
      <c r="F35" s="14" t="n">
        <v>0.2</v>
      </c>
      <c r="G35" s="13" t="s">
        <v>78</v>
      </c>
      <c r="H35" s="9" t="s">
        <v>192</v>
      </c>
      <c r="I35" s="13" t="s">
        <v>193</v>
      </c>
    </row>
    <row r="36" customFormat="false" ht="15" hidden="false" customHeight="false" outlineLevel="0" collapsed="false">
      <c r="A36" s="0" t="s">
        <v>194</v>
      </c>
      <c r="B36" s="9" t="s">
        <v>195</v>
      </c>
      <c r="C36" s="0" t="s">
        <v>96</v>
      </c>
      <c r="D36" s="11" t="n">
        <v>8.1</v>
      </c>
      <c r="E36" s="12" t="n">
        <v>8.1</v>
      </c>
      <c r="F36" s="11" t="n">
        <v>8.1</v>
      </c>
      <c r="G36" s="13" t="s">
        <v>78</v>
      </c>
      <c r="H36" s="13" t="s">
        <v>196</v>
      </c>
      <c r="I36" s="9" t="s">
        <v>197</v>
      </c>
    </row>
    <row r="37" customFormat="false" ht="15" hidden="false" customHeight="false" outlineLevel="0" collapsed="false">
      <c r="A37" s="0" t="s">
        <v>198</v>
      </c>
      <c r="B37" s="0" t="s">
        <v>199</v>
      </c>
      <c r="C37" s="0" t="s">
        <v>96</v>
      </c>
      <c r="D37" s="11" t="n">
        <v>11.2</v>
      </c>
      <c r="E37" s="12" t="n">
        <v>17.7</v>
      </c>
      <c r="F37" s="11" t="n">
        <v>17.7</v>
      </c>
      <c r="G37" s="13" t="s">
        <v>78</v>
      </c>
      <c r="H37" s="13" t="s">
        <v>200</v>
      </c>
      <c r="I37" s="9" t="s">
        <v>201</v>
      </c>
    </row>
    <row r="38" customFormat="false" ht="15" hidden="false" customHeight="false" outlineLevel="0" collapsed="false">
      <c r="A38" s="10" t="s">
        <v>202</v>
      </c>
    </row>
    <row r="39" customFormat="false" ht="15" hidden="false" customHeight="false" outlineLevel="0" collapsed="false">
      <c r="A39" s="0" t="s">
        <v>203</v>
      </c>
      <c r="B39" s="9" t="s">
        <v>204</v>
      </c>
      <c r="C39" s="0" t="s">
        <v>205</v>
      </c>
      <c r="D39" s="11" t="n">
        <v>0.1</v>
      </c>
      <c r="E39" s="11" t="n">
        <v>0.18</v>
      </c>
      <c r="F39" s="11" t="n">
        <v>0.6</v>
      </c>
      <c r="G39" s="13" t="s">
        <v>91</v>
      </c>
      <c r="H39" s="9" t="s">
        <v>206</v>
      </c>
      <c r="I39" s="9" t="s">
        <v>207</v>
      </c>
    </row>
    <row r="40" customFormat="false" ht="15" hidden="false" customHeight="false" outlineLevel="0" collapsed="false">
      <c r="A40" s="0" t="s">
        <v>208</v>
      </c>
      <c r="B40" s="9" t="s">
        <v>209</v>
      </c>
      <c r="C40" s="0" t="s">
        <v>205</v>
      </c>
      <c r="D40" s="11" t="n">
        <v>0</v>
      </c>
      <c r="E40" s="11" t="n">
        <v>0.18</v>
      </c>
      <c r="F40" s="11" t="n">
        <v>0.6</v>
      </c>
      <c r="G40" s="13" t="s">
        <v>91</v>
      </c>
      <c r="H40" s="9" t="s">
        <v>210</v>
      </c>
      <c r="I40" s="9" t="s">
        <v>211</v>
      </c>
    </row>
    <row r="41" customFormat="false" ht="15" hidden="false" customHeight="false" outlineLevel="0" collapsed="false">
      <c r="A41" s="0" t="s">
        <v>212</v>
      </c>
      <c r="B41" s="9" t="s">
        <v>213</v>
      </c>
      <c r="C41" s="0" t="s">
        <v>205</v>
      </c>
      <c r="D41" s="11" t="n">
        <v>0</v>
      </c>
      <c r="E41" s="11" t="n">
        <v>0.08</v>
      </c>
      <c r="F41" s="11" t="n">
        <v>0.2</v>
      </c>
      <c r="G41" s="13" t="s">
        <v>91</v>
      </c>
      <c r="H41" s="9" t="s">
        <v>214</v>
      </c>
      <c r="I41" s="9" t="s">
        <v>215</v>
      </c>
    </row>
    <row r="42" customFormat="false" ht="15" hidden="false" customHeight="false" outlineLevel="0" collapsed="false">
      <c r="A42" s="10" t="s">
        <v>216</v>
      </c>
    </row>
    <row r="43" customFormat="false" ht="15" hidden="false" customHeight="false" outlineLevel="0" collapsed="false">
      <c r="A43" s="0" t="s">
        <v>217</v>
      </c>
      <c r="B43" s="9" t="s">
        <v>218</v>
      </c>
      <c r="C43" s="0" t="s">
        <v>157</v>
      </c>
      <c r="D43" s="14" t="n">
        <v>0.58</v>
      </c>
      <c r="E43" s="14" t="n">
        <v>0.64</v>
      </c>
      <c r="F43" s="14" t="n">
        <v>0.7</v>
      </c>
      <c r="G43" s="13" t="s">
        <v>167</v>
      </c>
      <c r="H43" s="13" t="s">
        <v>168</v>
      </c>
      <c r="I43" s="13" t="s">
        <v>219</v>
      </c>
    </row>
    <row r="44" customFormat="false" ht="15" hidden="false" customHeight="false" outlineLevel="0" collapsed="false">
      <c r="A44" s="0" t="s">
        <v>220</v>
      </c>
      <c r="B44" s="9" t="s">
        <v>221</v>
      </c>
      <c r="C44" s="0" t="s">
        <v>96</v>
      </c>
      <c r="D44" s="11" t="n">
        <v>6.9</v>
      </c>
      <c r="E44" s="11" t="n">
        <v>6.9</v>
      </c>
      <c r="F44" s="11" t="n">
        <v>12</v>
      </c>
      <c r="G44" s="13" t="s">
        <v>78</v>
      </c>
      <c r="H44" s="13" t="s">
        <v>222</v>
      </c>
      <c r="I44" s="9" t="s">
        <v>223</v>
      </c>
    </row>
    <row r="45" customFormat="false" ht="15" hidden="false" customHeight="false" outlineLevel="0" collapsed="false">
      <c r="A45" s="0" t="s">
        <v>224</v>
      </c>
      <c r="B45" s="9" t="s">
        <v>225</v>
      </c>
      <c r="C45" s="0" t="s">
        <v>96</v>
      </c>
      <c r="E45" s="11" t="n">
        <v>21.1</v>
      </c>
      <c r="G45" s="13" t="s">
        <v>78</v>
      </c>
      <c r="H45" s="13" t="s">
        <v>226</v>
      </c>
      <c r="I45" s="13" t="s">
        <v>227</v>
      </c>
    </row>
    <row r="46" customFormat="false" ht="15" hidden="false" customHeight="false" outlineLevel="0" collapsed="false">
      <c r="A46" s="0" t="s">
        <v>228</v>
      </c>
      <c r="B46" s="9" t="s">
        <v>229</v>
      </c>
      <c r="C46" s="0" t="s">
        <v>157</v>
      </c>
      <c r="E46" s="14" t="n">
        <v>0.2</v>
      </c>
      <c r="G46" s="13" t="s">
        <v>78</v>
      </c>
      <c r="H46" s="9" t="s">
        <v>230</v>
      </c>
      <c r="I46" s="9" t="s">
        <v>231</v>
      </c>
    </row>
    <row r="47" customFormat="false" ht="15" hidden="false" customHeight="false" outlineLevel="0" collapsed="false">
      <c r="A47" s="0" t="s">
        <v>232</v>
      </c>
      <c r="B47" s="9" t="s">
        <v>233</v>
      </c>
      <c r="C47" s="0" t="s">
        <v>234</v>
      </c>
      <c r="E47" s="11" t="n">
        <v>283.7</v>
      </c>
      <c r="G47" s="13" t="s">
        <v>78</v>
      </c>
      <c r="H47" s="13" t="s">
        <v>235</v>
      </c>
      <c r="I47" s="9" t="s">
        <v>236</v>
      </c>
    </row>
    <row r="48" customFormat="false" ht="15" hidden="false" customHeight="false" outlineLevel="0" collapsed="false">
      <c r="A48" s="0" t="s">
        <v>237</v>
      </c>
      <c r="B48" s="9" t="s">
        <v>238</v>
      </c>
      <c r="C48" s="0" t="s">
        <v>239</v>
      </c>
      <c r="D48" s="11" t="n">
        <v>140</v>
      </c>
      <c r="E48" s="11" t="n">
        <v>150</v>
      </c>
      <c r="F48" s="11" t="n">
        <v>155</v>
      </c>
      <c r="G48" s="13" t="s">
        <v>91</v>
      </c>
      <c r="H48" s="9" t="s">
        <v>240</v>
      </c>
      <c r="I48" s="13" t="s">
        <v>241</v>
      </c>
    </row>
    <row r="49" customFormat="false" ht="15" hidden="false" customHeight="false" outlineLevel="0" collapsed="false">
      <c r="A49" s="0" t="s">
        <v>242</v>
      </c>
      <c r="B49" s="9" t="s">
        <v>243</v>
      </c>
      <c r="C49" s="0" t="s">
        <v>244</v>
      </c>
      <c r="E49" s="11" t="n">
        <v>13.4</v>
      </c>
      <c r="G49" s="13" t="s">
        <v>97</v>
      </c>
      <c r="H49" s="9" t="s">
        <v>245</v>
      </c>
      <c r="I49" s="9" t="s">
        <v>246</v>
      </c>
    </row>
    <row r="50" customFormat="false" ht="15" hidden="false" customHeight="false" outlineLevel="0" collapsed="false">
      <c r="A50" s="0" t="s">
        <v>247</v>
      </c>
      <c r="B50" s="9" t="s">
        <v>248</v>
      </c>
      <c r="C50" s="0" t="s">
        <v>249</v>
      </c>
      <c r="D50" s="11" t="n">
        <v>29.5</v>
      </c>
      <c r="E50" s="11" t="n">
        <v>31</v>
      </c>
      <c r="F50" s="11" t="n">
        <v>32.5</v>
      </c>
      <c r="G50" s="13" t="s">
        <v>91</v>
      </c>
      <c r="H50" s="9" t="s">
        <v>250</v>
      </c>
      <c r="I50" s="13" t="s">
        <v>241</v>
      </c>
    </row>
    <row r="51" customFormat="false" ht="15" hidden="false" customHeight="false" outlineLevel="0" collapsed="false">
      <c r="A51" s="0" t="s">
        <v>251</v>
      </c>
      <c r="B51" s="9" t="s">
        <v>252</v>
      </c>
      <c r="C51" s="0" t="s">
        <v>244</v>
      </c>
      <c r="G51" s="9" t="s">
        <v>253</v>
      </c>
      <c r="H51" s="9" t="s">
        <v>254</v>
      </c>
      <c r="I51" s="9" t="s">
        <v>255</v>
      </c>
    </row>
    <row r="52" customFormat="false" ht="15" hidden="false" customHeight="false" outlineLevel="0" collapsed="false">
      <c r="A52" s="0" t="s">
        <v>256</v>
      </c>
      <c r="B52" s="0" t="s">
        <v>257</v>
      </c>
      <c r="C52" s="0" t="s">
        <v>96</v>
      </c>
      <c r="G52" s="9" t="s">
        <v>253</v>
      </c>
      <c r="H52" s="0" t="s">
        <v>258</v>
      </c>
      <c r="I52" s="0" t="s">
        <v>259</v>
      </c>
    </row>
    <row r="53" customFormat="false" ht="15" hidden="false" customHeight="false" outlineLevel="0" collapsed="false">
      <c r="A53" s="10" t="s">
        <v>260</v>
      </c>
    </row>
    <row r="54" customFormat="false" ht="15" hidden="false" customHeight="false" outlineLevel="0" collapsed="false">
      <c r="A54" s="0" t="s">
        <v>261</v>
      </c>
      <c r="B54" s="0" t="s">
        <v>262</v>
      </c>
      <c r="C54" s="0" t="s">
        <v>96</v>
      </c>
      <c r="E54" s="11" t="n">
        <v>38.8</v>
      </c>
      <c r="G54" s="13" t="s">
        <v>78</v>
      </c>
      <c r="H54" s="13" t="s">
        <v>263</v>
      </c>
      <c r="I54" s="9" t="s">
        <v>264</v>
      </c>
    </row>
    <row r="55" customFormat="false" ht="15" hidden="false" customHeight="false" outlineLevel="0" collapsed="false">
      <c r="A55" s="0" t="s">
        <v>265</v>
      </c>
      <c r="B55" s="0" t="s">
        <v>266</v>
      </c>
      <c r="C55" s="0" t="s">
        <v>157</v>
      </c>
      <c r="E55" s="14" t="n">
        <v>0.39</v>
      </c>
      <c r="G55" s="13" t="s">
        <v>78</v>
      </c>
      <c r="H55" s="13" t="s">
        <v>263</v>
      </c>
      <c r="I55" s="9" t="s">
        <v>264</v>
      </c>
    </row>
    <row r="56" customFormat="false" ht="15" hidden="false" customHeight="false" outlineLevel="0" collapsed="false">
      <c r="A56" s="0" t="s">
        <v>267</v>
      </c>
      <c r="B56" s="0" t="s">
        <v>268</v>
      </c>
      <c r="C56" s="0" t="s">
        <v>157</v>
      </c>
      <c r="E56" s="14" t="n">
        <v>0.274</v>
      </c>
      <c r="G56" s="13" t="s">
        <v>78</v>
      </c>
      <c r="H56" s="13" t="s">
        <v>269</v>
      </c>
      <c r="I56" s="9" t="s">
        <v>264</v>
      </c>
    </row>
    <row r="57" customFormat="false" ht="15" hidden="false" customHeight="false" outlineLevel="0" collapsed="false">
      <c r="A57" s="0" t="s">
        <v>270</v>
      </c>
      <c r="B57" s="0" t="s">
        <v>271</v>
      </c>
      <c r="C57" s="0" t="s">
        <v>157</v>
      </c>
      <c r="E57" s="14" t="n">
        <v>0.15</v>
      </c>
      <c r="G57" s="13" t="s">
        <v>78</v>
      </c>
      <c r="H57" s="13" t="s">
        <v>263</v>
      </c>
      <c r="I57" s="9" t="s">
        <v>272</v>
      </c>
    </row>
    <row r="58" customFormat="false" ht="15" hidden="false" customHeight="false" outlineLevel="0" collapsed="false">
      <c r="A58" s="0" t="s">
        <v>273</v>
      </c>
      <c r="B58" s="0" t="s">
        <v>274</v>
      </c>
      <c r="C58" s="0" t="s">
        <v>96</v>
      </c>
      <c r="E58" s="11" t="n">
        <v>13.9</v>
      </c>
      <c r="G58" s="13" t="s">
        <v>78</v>
      </c>
      <c r="H58" s="13" t="s">
        <v>263</v>
      </c>
      <c r="I58" s="9" t="s">
        <v>264</v>
      </c>
    </row>
    <row r="59" customFormat="false" ht="15" hidden="false" customHeight="false" outlineLevel="0" collapsed="false">
      <c r="A59" s="0" t="s">
        <v>275</v>
      </c>
      <c r="B59" s="0" t="s">
        <v>276</v>
      </c>
      <c r="C59" s="0" t="s">
        <v>157</v>
      </c>
      <c r="E59" s="14" t="n">
        <v>0.307</v>
      </c>
      <c r="G59" s="13" t="s">
        <v>78</v>
      </c>
      <c r="H59" s="13" t="s">
        <v>263</v>
      </c>
      <c r="I59" s="9" t="s">
        <v>264</v>
      </c>
    </row>
    <row r="60" customFormat="false" ht="15" hidden="false" customHeight="false" outlineLevel="0" collapsed="false">
      <c r="A60" s="0" t="s">
        <v>277</v>
      </c>
      <c r="B60" s="0" t="s">
        <v>278</v>
      </c>
      <c r="C60" s="0" t="s">
        <v>157</v>
      </c>
      <c r="E60" s="14" t="n">
        <v>0.311</v>
      </c>
      <c r="G60" s="13" t="s">
        <v>78</v>
      </c>
      <c r="H60" s="13" t="s">
        <v>269</v>
      </c>
      <c r="I60" s="9" t="s">
        <v>264</v>
      </c>
    </row>
    <row r="61" customFormat="false" ht="15" hidden="false" customHeight="false" outlineLevel="0" collapsed="false">
      <c r="A61" s="0" t="s">
        <v>279</v>
      </c>
      <c r="B61" s="0" t="s">
        <v>280</v>
      </c>
      <c r="C61" s="0" t="s">
        <v>157</v>
      </c>
      <c r="E61" s="14" t="n">
        <v>0.145</v>
      </c>
      <c r="G61" s="13" t="s">
        <v>78</v>
      </c>
      <c r="H61" s="13" t="s">
        <v>263</v>
      </c>
      <c r="I61" s="9" t="s">
        <v>272</v>
      </c>
    </row>
    <row r="62" customFormat="false" ht="15" hidden="false" customHeight="false" outlineLevel="0" collapsed="false">
      <c r="A62" s="0" t="s">
        <v>281</v>
      </c>
      <c r="B62" s="0" t="s">
        <v>282</v>
      </c>
      <c r="C62" s="0" t="s">
        <v>96</v>
      </c>
      <c r="E62" s="11" t="n">
        <v>78</v>
      </c>
      <c r="G62" s="13" t="s">
        <v>78</v>
      </c>
      <c r="H62" s="13" t="s">
        <v>263</v>
      </c>
      <c r="I62" s="9" t="s">
        <v>264</v>
      </c>
    </row>
    <row r="63" customFormat="false" ht="15" hidden="false" customHeight="false" outlineLevel="0" collapsed="false">
      <c r="A63" s="0" t="s">
        <v>283</v>
      </c>
      <c r="B63" s="0" t="s">
        <v>284</v>
      </c>
      <c r="C63" s="0" t="s">
        <v>157</v>
      </c>
      <c r="E63" s="14" t="n">
        <v>0.189</v>
      </c>
      <c r="G63" s="13" t="s">
        <v>78</v>
      </c>
      <c r="H63" s="13" t="s">
        <v>263</v>
      </c>
      <c r="I63" s="9" t="s">
        <v>264</v>
      </c>
    </row>
    <row r="64" customFormat="false" ht="15" hidden="false" customHeight="false" outlineLevel="0" collapsed="false">
      <c r="A64" s="0" t="s">
        <v>285</v>
      </c>
      <c r="B64" s="0" t="s">
        <v>286</v>
      </c>
      <c r="C64" s="0" t="s">
        <v>157</v>
      </c>
      <c r="E64" s="14" t="n">
        <v>0.181</v>
      </c>
      <c r="G64" s="13" t="s">
        <v>78</v>
      </c>
      <c r="H64" s="13" t="s">
        <v>269</v>
      </c>
      <c r="I64" s="9" t="s">
        <v>264</v>
      </c>
    </row>
    <row r="65" customFormat="false" ht="15" hidden="false" customHeight="false" outlineLevel="0" collapsed="false">
      <c r="A65" s="0" t="s">
        <v>287</v>
      </c>
      <c r="B65" s="0" t="s">
        <v>288</v>
      </c>
      <c r="C65" s="0" t="s">
        <v>157</v>
      </c>
      <c r="E65" s="14" t="n">
        <v>0.136</v>
      </c>
      <c r="G65" s="13" t="s">
        <v>78</v>
      </c>
      <c r="H65" s="13" t="s">
        <v>263</v>
      </c>
      <c r="I65" s="9" t="s">
        <v>272</v>
      </c>
    </row>
    <row r="66" customFormat="false" ht="15" hidden="false" customHeight="false" outlineLevel="0" collapsed="false">
      <c r="A66" s="0" t="s">
        <v>289</v>
      </c>
      <c r="B66" s="0" t="s">
        <v>290</v>
      </c>
      <c r="C66" s="0" t="s">
        <v>96</v>
      </c>
      <c r="E66" s="11" t="n">
        <v>143.9</v>
      </c>
      <c r="G66" s="13" t="s">
        <v>78</v>
      </c>
      <c r="H66" s="13" t="s">
        <v>263</v>
      </c>
      <c r="I66" s="9" t="s">
        <v>264</v>
      </c>
    </row>
    <row r="67" customFormat="false" ht="15" hidden="false" customHeight="false" outlineLevel="0" collapsed="false">
      <c r="A67" s="0" t="s">
        <v>291</v>
      </c>
      <c r="B67" s="0" t="s">
        <v>292</v>
      </c>
      <c r="C67" s="0" t="s">
        <v>157</v>
      </c>
      <c r="E67" s="14" t="n">
        <v>0.231</v>
      </c>
      <c r="G67" s="13" t="s">
        <v>78</v>
      </c>
      <c r="H67" s="13" t="s">
        <v>263</v>
      </c>
      <c r="I67" s="9" t="s">
        <v>264</v>
      </c>
    </row>
    <row r="68" customFormat="false" ht="15" hidden="false" customHeight="false" outlineLevel="0" collapsed="false">
      <c r="A68" s="0" t="s">
        <v>293</v>
      </c>
      <c r="B68" s="0" t="s">
        <v>294</v>
      </c>
      <c r="C68" s="0" t="s">
        <v>157</v>
      </c>
      <c r="E68" s="14" t="n">
        <v>0.218</v>
      </c>
      <c r="G68" s="13" t="s">
        <v>78</v>
      </c>
      <c r="H68" s="13" t="s">
        <v>269</v>
      </c>
      <c r="I68" s="9" t="s">
        <v>264</v>
      </c>
    </row>
    <row r="69" customFormat="false" ht="15" hidden="false" customHeight="false" outlineLevel="0" collapsed="false">
      <c r="A69" s="0" t="s">
        <v>295</v>
      </c>
      <c r="B69" s="0" t="s">
        <v>296</v>
      </c>
      <c r="C69" s="0" t="s">
        <v>157</v>
      </c>
      <c r="E69" s="14" t="n">
        <v>0.141</v>
      </c>
      <c r="G69" s="13" t="s">
        <v>78</v>
      </c>
      <c r="H69" s="13" t="s">
        <v>263</v>
      </c>
      <c r="I69" s="9" t="s">
        <v>272</v>
      </c>
    </row>
    <row r="70" customFormat="false" ht="15" hidden="false" customHeight="false" outlineLevel="0" collapsed="false">
      <c r="A70" s="0" t="s">
        <v>297</v>
      </c>
      <c r="B70" s="0" t="s">
        <v>298</v>
      </c>
      <c r="C70" s="0" t="s">
        <v>96</v>
      </c>
      <c r="E70" s="11" t="n">
        <v>15.3</v>
      </c>
      <c r="G70" s="13" t="s">
        <v>78</v>
      </c>
      <c r="H70" s="13" t="s">
        <v>263</v>
      </c>
      <c r="I70" s="9" t="s">
        <v>264</v>
      </c>
    </row>
    <row r="71" customFormat="false" ht="15" hidden="false" customHeight="false" outlineLevel="0" collapsed="false">
      <c r="A71" s="0" t="s">
        <v>299</v>
      </c>
      <c r="B71" s="0" t="s">
        <v>300</v>
      </c>
      <c r="C71" s="0" t="s">
        <v>157</v>
      </c>
      <c r="E71" s="14" t="n">
        <v>0.31</v>
      </c>
      <c r="G71" s="13" t="s">
        <v>78</v>
      </c>
      <c r="H71" s="13" t="s">
        <v>263</v>
      </c>
      <c r="I71" s="9" t="s">
        <v>264</v>
      </c>
    </row>
    <row r="72" customFormat="false" ht="15" hidden="false" customHeight="false" outlineLevel="0" collapsed="false">
      <c r="A72" s="0" t="s">
        <v>301</v>
      </c>
      <c r="B72" s="0" t="s">
        <v>302</v>
      </c>
      <c r="C72" s="0" t="s">
        <v>96</v>
      </c>
      <c r="E72" s="11" t="n">
        <v>20.8</v>
      </c>
      <c r="G72" s="13" t="s">
        <v>78</v>
      </c>
      <c r="H72" s="13" t="s">
        <v>263</v>
      </c>
      <c r="I72" s="9" t="s">
        <v>303</v>
      </c>
    </row>
    <row r="73" customFormat="false" ht="15" hidden="false" customHeight="false" outlineLevel="0" collapsed="false">
      <c r="A73" s="0" t="s">
        <v>304</v>
      </c>
      <c r="B73" s="0" t="s">
        <v>305</v>
      </c>
      <c r="C73" s="0" t="s">
        <v>96</v>
      </c>
      <c r="E73" s="11" t="n">
        <v>6.7</v>
      </c>
      <c r="G73" s="13" t="s">
        <v>78</v>
      </c>
      <c r="H73" s="13" t="s">
        <v>263</v>
      </c>
      <c r="I73" s="9" t="s">
        <v>264</v>
      </c>
    </row>
    <row r="74" customFormat="false" ht="15" hidden="false" customHeight="false" outlineLevel="0" collapsed="false">
      <c r="A74" s="0" t="s">
        <v>306</v>
      </c>
      <c r="B74" s="0" t="s">
        <v>307</v>
      </c>
      <c r="C74" s="0" t="s">
        <v>157</v>
      </c>
      <c r="E74" s="14" t="n">
        <v>0.096</v>
      </c>
      <c r="G74" s="13" t="s">
        <v>78</v>
      </c>
      <c r="H74" s="13" t="s">
        <v>263</v>
      </c>
      <c r="I74" s="9" t="s">
        <v>264</v>
      </c>
    </row>
    <row r="75" customFormat="false" ht="15" hidden="false" customHeight="false" outlineLevel="0" collapsed="false">
      <c r="A75" s="0" t="s">
        <v>308</v>
      </c>
      <c r="B75" s="0" t="s">
        <v>309</v>
      </c>
      <c r="C75" s="0" t="s">
        <v>96</v>
      </c>
      <c r="E75" s="11" t="n">
        <v>8.6</v>
      </c>
      <c r="G75" s="13" t="s">
        <v>78</v>
      </c>
      <c r="H75" s="13" t="s">
        <v>263</v>
      </c>
      <c r="I75" s="9" t="s">
        <v>310</v>
      </c>
    </row>
    <row r="76" customFormat="false" ht="15" hidden="false" customHeight="false" outlineLevel="0" collapsed="false">
      <c r="A76" s="0" t="s">
        <v>311</v>
      </c>
      <c r="B76" s="0" t="s">
        <v>312</v>
      </c>
      <c r="C76" s="0" t="s">
        <v>96</v>
      </c>
      <c r="E76" s="11" t="n">
        <v>165.9</v>
      </c>
      <c r="G76" s="13" t="s">
        <v>78</v>
      </c>
      <c r="H76" s="13" t="s">
        <v>263</v>
      </c>
      <c r="I76" s="9" t="s">
        <v>264</v>
      </c>
    </row>
    <row r="77" customFormat="false" ht="15" hidden="false" customHeight="false" outlineLevel="0" collapsed="false">
      <c r="A77" s="0" t="s">
        <v>313</v>
      </c>
      <c r="B77" s="0" t="s">
        <v>314</v>
      </c>
      <c r="C77" s="0" t="s">
        <v>157</v>
      </c>
      <c r="E77" s="14" t="n">
        <v>0.232</v>
      </c>
      <c r="G77" s="13" t="s">
        <v>78</v>
      </c>
      <c r="H77" s="13" t="s">
        <v>263</v>
      </c>
      <c r="I77" s="9" t="s">
        <v>264</v>
      </c>
    </row>
    <row r="78" customFormat="false" ht="15" hidden="false" customHeight="false" outlineLevel="0" collapsed="false">
      <c r="A78" s="0" t="s">
        <v>315</v>
      </c>
      <c r="B78" s="0" t="s">
        <v>316</v>
      </c>
      <c r="C78" s="0" t="s">
        <v>96</v>
      </c>
      <c r="E78" s="11" t="n">
        <v>229.5</v>
      </c>
      <c r="G78" s="13" t="s">
        <v>78</v>
      </c>
      <c r="H78" s="13" t="s">
        <v>263</v>
      </c>
      <c r="I78" s="9" t="s">
        <v>264</v>
      </c>
    </row>
    <row r="79" customFormat="false" ht="15" hidden="false" customHeight="false" outlineLevel="0" collapsed="false">
      <c r="A79" s="0" t="s">
        <v>317</v>
      </c>
      <c r="B79" s="0" t="s">
        <v>318</v>
      </c>
      <c r="C79" s="0" t="s">
        <v>157</v>
      </c>
      <c r="D79" s="14" t="n">
        <v>0</v>
      </c>
      <c r="E79" s="14" t="n">
        <v>0.08</v>
      </c>
      <c r="F79" s="14" t="n">
        <v>0.12</v>
      </c>
      <c r="G79" s="13" t="s">
        <v>91</v>
      </c>
      <c r="H79" s="9" t="s">
        <v>319</v>
      </c>
      <c r="I79" s="9" t="s">
        <v>320</v>
      </c>
    </row>
    <row r="80" customFormat="false" ht="15" hidden="false" customHeight="false" outlineLevel="0" collapsed="false">
      <c r="A80" s="10" t="s">
        <v>321</v>
      </c>
    </row>
    <row r="81" customFormat="false" ht="15" hidden="false" customHeight="false" outlineLevel="0" collapsed="false">
      <c r="A81" s="0" t="s">
        <v>322</v>
      </c>
      <c r="B81" s="9" t="s">
        <v>323</v>
      </c>
      <c r="C81" s="0" t="s">
        <v>324</v>
      </c>
      <c r="D81" s="11" t="n">
        <v>0.95</v>
      </c>
      <c r="E81" s="11" t="n">
        <v>1</v>
      </c>
      <c r="F81" s="11" t="n">
        <v>1.05</v>
      </c>
      <c r="G81" s="13" t="s">
        <v>91</v>
      </c>
      <c r="H81" s="9" t="s">
        <v>325</v>
      </c>
      <c r="I81" s="9" t="s">
        <v>326</v>
      </c>
    </row>
    <row r="82" customFormat="false" ht="15" hidden="false" customHeight="false" outlineLevel="0" collapsed="false">
      <c r="A82" s="0" t="s">
        <v>327</v>
      </c>
      <c r="B82" s="9" t="s">
        <v>328</v>
      </c>
      <c r="C82" s="0" t="s">
        <v>324</v>
      </c>
      <c r="D82" s="11" t="n">
        <v>0.75</v>
      </c>
      <c r="E82" s="11" t="n">
        <v>0.8</v>
      </c>
      <c r="F82" s="11" t="n">
        <v>0.85</v>
      </c>
      <c r="G82" s="13" t="s">
        <v>91</v>
      </c>
      <c r="H82" s="9" t="s">
        <v>329</v>
      </c>
      <c r="I82" s="9" t="s">
        <v>330</v>
      </c>
    </row>
    <row r="83" customFormat="false" ht="15" hidden="false" customHeight="false" outlineLevel="0" collapsed="false">
      <c r="A83" s="0" t="s">
        <v>331</v>
      </c>
      <c r="B83" s="9" t="s">
        <v>332</v>
      </c>
      <c r="C83" s="0" t="s">
        <v>324</v>
      </c>
      <c r="D83" s="11" t="n">
        <v>0.9</v>
      </c>
      <c r="E83" s="11" t="n">
        <v>0.95</v>
      </c>
      <c r="F83" s="11" t="n">
        <v>1.05</v>
      </c>
      <c r="G83" s="13" t="s">
        <v>91</v>
      </c>
      <c r="H83" s="9" t="s">
        <v>333</v>
      </c>
      <c r="I83" s="9" t="s">
        <v>334</v>
      </c>
    </row>
    <row r="84" customFormat="false" ht="15" hidden="false" customHeight="false" outlineLevel="0" collapsed="false">
      <c r="A84" s="0" t="s">
        <v>335</v>
      </c>
      <c r="B84" s="9" t="s">
        <v>336</v>
      </c>
      <c r="C84" s="0" t="s">
        <v>324</v>
      </c>
      <c r="D84" s="11" t="n">
        <v>0.9</v>
      </c>
      <c r="E84" s="11" t="n">
        <v>1</v>
      </c>
      <c r="F84" s="11" t="n">
        <v>1.1</v>
      </c>
      <c r="G84" s="13" t="s">
        <v>91</v>
      </c>
      <c r="H84" s="9" t="s">
        <v>337</v>
      </c>
      <c r="I84" s="9" t="s">
        <v>334</v>
      </c>
    </row>
    <row r="85" customFormat="false" ht="15" hidden="false" customHeight="false" outlineLevel="0" collapsed="false">
      <c r="A85" s="10" t="s">
        <v>338</v>
      </c>
    </row>
    <row r="86" customFormat="false" ht="15" hidden="false" customHeight="false" outlineLevel="0" collapsed="false">
      <c r="A86" s="0" t="s">
        <v>339</v>
      </c>
      <c r="B86" s="9" t="s">
        <v>340</v>
      </c>
      <c r="C86" s="0" t="s">
        <v>157</v>
      </c>
      <c r="D86" s="14" t="n">
        <v>0.15</v>
      </c>
      <c r="E86" s="14" t="n">
        <v>0.25</v>
      </c>
      <c r="F86" s="14" t="n">
        <v>0.4</v>
      </c>
      <c r="G86" s="13" t="s">
        <v>91</v>
      </c>
      <c r="H86" s="9" t="s">
        <v>341</v>
      </c>
      <c r="I86" s="9" t="s">
        <v>342</v>
      </c>
    </row>
    <row r="87" customFormat="false" ht="15" hidden="false" customHeight="false" outlineLevel="0" collapsed="false">
      <c r="A87" s="0" t="s">
        <v>343</v>
      </c>
      <c r="B87" s="9" t="s">
        <v>344</v>
      </c>
      <c r="C87" s="0" t="s">
        <v>157</v>
      </c>
      <c r="D87" s="14" t="n">
        <v>0.35</v>
      </c>
      <c r="E87" s="14" t="n">
        <v>0.5</v>
      </c>
      <c r="F87" s="14" t="n">
        <v>0.65</v>
      </c>
      <c r="G87" s="13" t="s">
        <v>91</v>
      </c>
      <c r="H87" s="9" t="s">
        <v>345</v>
      </c>
      <c r="I87" s="9" t="s">
        <v>346</v>
      </c>
    </row>
    <row r="88" customFormat="false" ht="15" hidden="false" customHeight="false" outlineLevel="0" collapsed="false">
      <c r="A88" s="10" t="s">
        <v>347</v>
      </c>
    </row>
    <row r="89" customFormat="false" ht="15" hidden="false" customHeight="false" outlineLevel="0" collapsed="false">
      <c r="A89" s="0" t="s">
        <v>348</v>
      </c>
      <c r="B89" s="0" t="s">
        <v>349</v>
      </c>
      <c r="C89" s="0" t="s">
        <v>96</v>
      </c>
      <c r="E89" s="11" t="n">
        <v>150</v>
      </c>
      <c r="G89" s="13" t="s">
        <v>78</v>
      </c>
      <c r="H89" s="13" t="s">
        <v>350</v>
      </c>
      <c r="I89" s="13" t="s">
        <v>351</v>
      </c>
    </row>
    <row r="90" customFormat="false" ht="15" hidden="false" customHeight="false" outlineLevel="0" collapsed="false">
      <c r="A90" s="0" t="s">
        <v>352</v>
      </c>
      <c r="B90" s="0" t="s">
        <v>353</v>
      </c>
      <c r="C90" s="0" t="s">
        <v>96</v>
      </c>
      <c r="E90" s="11" t="n">
        <v>200</v>
      </c>
      <c r="G90" s="13" t="s">
        <v>78</v>
      </c>
      <c r="H90" s="9" t="s">
        <v>354</v>
      </c>
      <c r="I90" s="9" t="s">
        <v>355</v>
      </c>
    </row>
    <row r="91" customFormat="false" ht="15" hidden="false" customHeight="false" outlineLevel="0" collapsed="false">
      <c r="A91" s="0" t="s">
        <v>356</v>
      </c>
      <c r="B91" s="0" t="s">
        <v>357</v>
      </c>
      <c r="C91" s="0" t="s">
        <v>96</v>
      </c>
      <c r="E91" s="11" t="n">
        <v>150</v>
      </c>
      <c r="G91" s="13" t="s">
        <v>78</v>
      </c>
      <c r="H91" s="13" t="s">
        <v>358</v>
      </c>
      <c r="I91" s="9" t="s">
        <v>359</v>
      </c>
    </row>
    <row r="92" customFormat="false" ht="15" hidden="false" customHeight="false" outlineLevel="0" collapsed="false">
      <c r="A92" s="0" t="s">
        <v>360</v>
      </c>
      <c r="B92" s="0" t="s">
        <v>361</v>
      </c>
      <c r="C92" s="0" t="s">
        <v>96</v>
      </c>
      <c r="E92" s="11" t="n">
        <v>190</v>
      </c>
      <c r="G92" s="13" t="s">
        <v>78</v>
      </c>
      <c r="H92" s="13" t="s">
        <v>362</v>
      </c>
      <c r="I92" s="9" t="s">
        <v>363</v>
      </c>
    </row>
    <row r="93" customFormat="false" ht="15" hidden="false" customHeight="false" outlineLevel="0" collapsed="false">
      <c r="A93" s="0" t="s">
        <v>364</v>
      </c>
      <c r="B93" s="0" t="s">
        <v>365</v>
      </c>
      <c r="C93" s="0" t="s">
        <v>96</v>
      </c>
      <c r="E93" s="11" t="n">
        <v>202</v>
      </c>
      <c r="G93" s="13" t="s">
        <v>78</v>
      </c>
      <c r="H93" s="9" t="s">
        <v>366</v>
      </c>
      <c r="I93" s="9" t="s">
        <v>367</v>
      </c>
    </row>
    <row r="94" customFormat="false" ht="15" hidden="false" customHeight="false" outlineLevel="0" collapsed="false">
      <c r="A94" s="0" t="s">
        <v>368</v>
      </c>
      <c r="B94" s="0" t="s">
        <v>369</v>
      </c>
      <c r="C94" s="0" t="s">
        <v>96</v>
      </c>
      <c r="E94" s="11" t="n">
        <v>227</v>
      </c>
      <c r="G94" s="13" t="s">
        <v>78</v>
      </c>
      <c r="H94" s="9" t="s">
        <v>370</v>
      </c>
      <c r="I94" s="9" t="s">
        <v>371</v>
      </c>
    </row>
    <row r="95" customFormat="false" ht="15" hidden="false" customHeight="false" outlineLevel="0" collapsed="false">
      <c r="A95" s="0" t="s">
        <v>372</v>
      </c>
      <c r="B95" s="0" t="s">
        <v>373</v>
      </c>
      <c r="C95" s="0" t="s">
        <v>96</v>
      </c>
      <c r="E95" s="11" t="n">
        <v>150</v>
      </c>
      <c r="G95" s="13" t="s">
        <v>78</v>
      </c>
      <c r="H95" s="13" t="s">
        <v>374</v>
      </c>
      <c r="I95" s="13" t="s">
        <v>375</v>
      </c>
    </row>
    <row r="96" customFormat="false" ht="15" hidden="false" customHeight="false" outlineLevel="0" collapsed="false">
      <c r="A96" s="0" t="s">
        <v>376</v>
      </c>
      <c r="B96" s="0" t="s">
        <v>377</v>
      </c>
      <c r="C96" s="0" t="s">
        <v>96</v>
      </c>
      <c r="E96" s="11" t="n">
        <v>218</v>
      </c>
      <c r="G96" s="13" t="s">
        <v>78</v>
      </c>
      <c r="H96" s="13" t="s">
        <v>374</v>
      </c>
      <c r="I96" s="9" t="s">
        <v>371</v>
      </c>
    </row>
    <row r="97" customFormat="false" ht="15" hidden="false" customHeight="false" outlineLevel="0" collapsed="false">
      <c r="A97" s="0" t="s">
        <v>378</v>
      </c>
      <c r="B97" s="0" t="s">
        <v>379</v>
      </c>
      <c r="C97" s="0" t="s">
        <v>96</v>
      </c>
      <c r="E97" s="11" t="n">
        <v>281</v>
      </c>
      <c r="G97" s="13" t="s">
        <v>78</v>
      </c>
      <c r="H97" s="13" t="s">
        <v>374</v>
      </c>
      <c r="I97" s="9" t="s">
        <v>371</v>
      </c>
    </row>
    <row r="98" customFormat="false" ht="15" hidden="false" customHeight="false" outlineLevel="0" collapsed="false">
      <c r="A98" s="0" t="s">
        <v>380</v>
      </c>
      <c r="B98" s="9" t="s">
        <v>381</v>
      </c>
      <c r="C98" s="0" t="s">
        <v>157</v>
      </c>
      <c r="E98" s="14" t="n">
        <v>0.15</v>
      </c>
      <c r="G98" s="13" t="s">
        <v>97</v>
      </c>
      <c r="H98" s="9" t="s">
        <v>382</v>
      </c>
      <c r="I98" s="13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383</v>
      </c>
    </row>
    <row r="2" customFormat="false" ht="15" hidden="false" customHeight="false" outlineLevel="0" collapsed="false">
      <c r="A2" s="0" t="s">
        <v>384</v>
      </c>
    </row>
    <row r="3" customFormat="false" ht="15" hidden="false" customHeight="false" outlineLevel="0" collapsed="false">
      <c r="A3" s="5" t="s">
        <v>60</v>
      </c>
      <c r="B3" s="5" t="s">
        <v>61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385</v>
      </c>
    </row>
    <row r="4" customFormat="false" ht="15" hidden="false" customHeight="false" outlineLevel="0" collapsed="false">
      <c r="A4" s="8" t="s">
        <v>386</v>
      </c>
    </row>
    <row r="5" customFormat="false" ht="15" hidden="false" customHeight="false" outlineLevel="0" collapsed="false">
      <c r="A5" s="8" t="s">
        <v>387</v>
      </c>
    </row>
    <row r="6" customFormat="false" ht="15" hidden="false" customHeight="false" outlineLevel="0" collapsed="false">
      <c r="A6" s="9" t="s">
        <v>388</v>
      </c>
      <c r="B6" s="0" t="s">
        <v>96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389</v>
      </c>
      <c r="B7" s="0" t="s">
        <v>157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390</v>
      </c>
      <c r="B8" s="0" t="s">
        <v>96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5" hidden="false" customHeight="false" outlineLevel="0" collapsed="false">
      <c r="A9" s="0" t="s">
        <v>391</v>
      </c>
      <c r="B9" s="0" t="s">
        <v>96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5" hidden="false" customHeight="false" outlineLevel="0" collapsed="false">
      <c r="A10" s="0" t="s">
        <v>392</v>
      </c>
      <c r="B10" s="0" t="s">
        <v>157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5" hidden="false" customHeight="false" outlineLevel="0" collapsed="false">
      <c r="A11" s="0" t="s">
        <v>393</v>
      </c>
      <c r="B11" s="0" t="s">
        <v>157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394</v>
      </c>
      <c r="C12" s="20" t="n">
        <f aca="false">C136</f>
        <v>2029</v>
      </c>
    </row>
    <row r="13" customFormat="false" ht="15" hidden="false" customHeight="false" outlineLevel="0" collapsed="false">
      <c r="A13" s="8" t="s">
        <v>395</v>
      </c>
    </row>
    <row r="14" customFormat="false" ht="15" hidden="false" customHeight="false" outlineLevel="0" collapsed="false">
      <c r="A14" s="9" t="s">
        <v>388</v>
      </c>
      <c r="B14" s="0" t="s">
        <v>96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389</v>
      </c>
      <c r="B15" s="0" t="s">
        <v>157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390</v>
      </c>
      <c r="B16" s="0" t="s">
        <v>96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5" hidden="false" customHeight="false" outlineLevel="0" collapsed="false">
      <c r="A17" s="0" t="s">
        <v>391</v>
      </c>
      <c r="B17" s="0" t="s">
        <v>96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5" hidden="false" customHeight="false" outlineLevel="0" collapsed="false">
      <c r="A18" s="0" t="s">
        <v>392</v>
      </c>
      <c r="B18" s="0" t="s">
        <v>157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5" hidden="false" customHeight="false" outlineLevel="0" collapsed="false">
      <c r="A19" s="0" t="s">
        <v>393</v>
      </c>
      <c r="B19" s="0" t="s">
        <v>157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394</v>
      </c>
      <c r="C20" s="20" t="n">
        <f aca="false">C155</f>
        <v>2028</v>
      </c>
    </row>
    <row r="21" customFormat="false" ht="15" hidden="false" customHeight="false" outlineLevel="0" collapsed="false">
      <c r="A21" s="8" t="s">
        <v>396</v>
      </c>
    </row>
    <row r="22" customFormat="false" ht="15" hidden="false" customHeight="false" outlineLevel="0" collapsed="false">
      <c r="A22" s="9" t="s">
        <v>388</v>
      </c>
      <c r="B22" s="0" t="s">
        <v>96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389</v>
      </c>
      <c r="B23" s="0" t="s">
        <v>157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390</v>
      </c>
      <c r="B24" s="0" t="s">
        <v>96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5" hidden="false" customHeight="false" outlineLevel="0" collapsed="false">
      <c r="A25" s="0" t="s">
        <v>391</v>
      </c>
      <c r="B25" s="0" t="s">
        <v>96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5" hidden="false" customHeight="false" outlineLevel="0" collapsed="false">
      <c r="A26" s="0" t="s">
        <v>392</v>
      </c>
      <c r="B26" s="0" t="s">
        <v>157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5" hidden="false" customHeight="false" outlineLevel="0" collapsed="false">
      <c r="A27" s="0" t="s">
        <v>393</v>
      </c>
      <c r="B27" s="0" t="s">
        <v>157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394</v>
      </c>
      <c r="C28" s="20" t="n">
        <f aca="false">C174</f>
        <v>2027</v>
      </c>
    </row>
    <row r="40" customFormat="false" ht="15" hidden="false" customHeight="false" outlineLevel="0" collapsed="false">
      <c r="A40" s="10" t="s">
        <v>397</v>
      </c>
    </row>
    <row r="41" customFormat="false" ht="15" hidden="false" customHeight="false" outlineLevel="0" collapsed="false">
      <c r="A41" s="21" t="s">
        <v>398</v>
      </c>
      <c r="B41" s="13" t="s">
        <v>96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399</v>
      </c>
    </row>
    <row r="42" customFormat="false" ht="15" hidden="false" customHeight="false" outlineLevel="0" collapsed="false">
      <c r="A42" s="21" t="s">
        <v>400</v>
      </c>
      <c r="B42" s="13" t="s">
        <v>96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399</v>
      </c>
    </row>
    <row r="43" customFormat="false" ht="15" hidden="false" customHeight="false" outlineLevel="0" collapsed="false">
      <c r="A43" s="21" t="s">
        <v>401</v>
      </c>
      <c r="B43" s="13" t="s">
        <v>96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399</v>
      </c>
    </row>
    <row r="44" customFormat="false" ht="15" hidden="false" customHeight="false" outlineLevel="0" collapsed="false">
      <c r="A44" s="21" t="s">
        <v>402</v>
      </c>
      <c r="B44" s="13" t="s">
        <v>96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399</v>
      </c>
    </row>
    <row r="45" customFormat="false" ht="15" hidden="false" customHeight="false" outlineLevel="0" collapsed="false">
      <c r="A45" s="21" t="s">
        <v>403</v>
      </c>
      <c r="B45" s="13" t="s">
        <v>96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404</v>
      </c>
    </row>
    <row r="46" customFormat="false" ht="15" hidden="false" customHeight="false" outlineLevel="0" collapsed="false">
      <c r="A46" s="21" t="s">
        <v>405</v>
      </c>
      <c r="B46" s="13" t="s">
        <v>96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404</v>
      </c>
    </row>
    <row r="47" customFormat="false" ht="15" hidden="false" customHeight="false" outlineLevel="0" collapsed="false">
      <c r="A47" s="21" t="s">
        <v>406</v>
      </c>
      <c r="B47" s="13" t="s">
        <v>96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407</v>
      </c>
    </row>
    <row r="48" customFormat="false" ht="15" hidden="false" customHeight="false" outlineLevel="0" collapsed="false">
      <c r="A48" s="10" t="s">
        <v>408</v>
      </c>
      <c r="B48" s="13" t="s">
        <v>96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409</v>
      </c>
    </row>
    <row r="49" customFormat="false" ht="15" hidden="false" customHeight="false" outlineLevel="0" collapsed="false">
      <c r="A49" s="21" t="s">
        <v>410</v>
      </c>
      <c r="B49" s="13" t="s">
        <v>157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411</v>
      </c>
    </row>
    <row r="50" customFormat="false" ht="15" hidden="false" customHeight="false" outlineLevel="0" collapsed="false">
      <c r="A50" s="21" t="s">
        <v>412</v>
      </c>
      <c r="B50" s="13" t="s">
        <v>157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413</v>
      </c>
    </row>
    <row r="52" customFormat="false" ht="15" hidden="false" customHeight="false" outlineLevel="0" collapsed="false">
      <c r="A52" s="10" t="s">
        <v>414</v>
      </c>
    </row>
    <row r="53" customFormat="false" ht="15" hidden="false" customHeight="false" outlineLevel="0" collapsed="false">
      <c r="A53" s="10" t="s">
        <v>415</v>
      </c>
    </row>
    <row r="54" customFormat="false" ht="15" hidden="false" customHeight="false" outlineLevel="0" collapsed="false">
      <c r="A54" s="22" t="s">
        <v>416</v>
      </c>
      <c r="B54" s="13" t="s">
        <v>96</v>
      </c>
      <c r="C54" s="17" t="n">
        <f aca="false">ind_cxmt</f>
        <v>6.9</v>
      </c>
      <c r="H54" s="13" t="s">
        <v>417</v>
      </c>
    </row>
    <row r="55" customFormat="false" ht="15" hidden="false" customHeight="false" outlineLevel="0" collapsed="false">
      <c r="A55" s="22" t="s">
        <v>418</v>
      </c>
      <c r="B55" s="13" t="s">
        <v>96</v>
      </c>
      <c r="C55" s="17" t="n">
        <f aca="false">ind_nanya/fx_twd</f>
        <v>0.432258064516129</v>
      </c>
    </row>
    <row r="56" customFormat="false" ht="15" hidden="false" customHeight="false" outlineLevel="0" collapsed="false">
      <c r="A56" s="22" t="s">
        <v>419</v>
      </c>
      <c r="B56" s="13" t="s">
        <v>96</v>
      </c>
      <c r="C56" s="17" t="n">
        <v>0</v>
      </c>
      <c r="H56" s="9" t="s">
        <v>420</v>
      </c>
    </row>
    <row r="57" customFormat="false" ht="15" hidden="false" customHeight="false" outlineLevel="0" collapsed="false">
      <c r="A57" s="22" t="s">
        <v>421</v>
      </c>
      <c r="B57" s="13" t="s">
        <v>96</v>
      </c>
      <c r="C57" s="17" t="n">
        <f aca="false">C54+C55+C56</f>
        <v>7.33225806451613</v>
      </c>
    </row>
    <row r="58" customFormat="false" ht="15" hidden="false" customHeight="false" outlineLevel="0" collapsed="false">
      <c r="A58" s="22" t="s">
        <v>422</v>
      </c>
      <c r="B58" s="13" t="s">
        <v>96</v>
      </c>
      <c r="C58" s="17" t="n">
        <f aca="false">ind_kioxia/fx_jpy</f>
        <v>1.89133333333333</v>
      </c>
    </row>
    <row r="59" customFormat="false" ht="15" hidden="false" customHeight="false" outlineLevel="0" collapsed="false">
      <c r="A59" s="22" t="s">
        <v>423</v>
      </c>
      <c r="B59" s="13" t="s">
        <v>96</v>
      </c>
      <c r="C59" s="17" t="n">
        <f aca="false">ind_nand_ind*ind_ymtc_sh</f>
        <v>4.22</v>
      </c>
    </row>
    <row r="60" customFormat="false" ht="15" hidden="false" customHeight="false" outlineLevel="0" collapsed="false">
      <c r="A60" s="21" t="s">
        <v>424</v>
      </c>
      <c r="B60" s="13" t="s">
        <v>96</v>
      </c>
      <c r="C60" s="17" t="n">
        <v>0</v>
      </c>
      <c r="H60" s="13" t="s">
        <v>425</v>
      </c>
    </row>
    <row r="61" customFormat="false" ht="15" hidden="false" customHeight="false" outlineLevel="0" collapsed="false">
      <c r="A61" s="22" t="s">
        <v>426</v>
      </c>
      <c r="B61" s="13" t="s">
        <v>96</v>
      </c>
      <c r="C61" s="17" t="n">
        <f aca="false">C58+C59+C60</f>
        <v>6.11133333333333</v>
      </c>
    </row>
    <row r="62" customFormat="false" ht="15" hidden="false" customHeight="false" outlineLevel="0" collapsed="false">
      <c r="A62" s="22" t="s">
        <v>427</v>
      </c>
      <c r="B62" s="13" t="s">
        <v>96</v>
      </c>
      <c r="C62" s="17" t="n">
        <f aca="false">C57*sh_oth</f>
        <v>4.69264516129032</v>
      </c>
    </row>
    <row r="63" customFormat="false" ht="15" hidden="false" customHeight="false" outlineLevel="0" collapsed="false">
      <c r="A63" s="22" t="s">
        <v>428</v>
      </c>
      <c r="B63" s="13" t="s">
        <v>96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429</v>
      </c>
      <c r="B64" s="13" t="s">
        <v>96</v>
      </c>
      <c r="C64" s="17" t="n">
        <f aca="false">C62+C63</f>
        <v>8.60389849462366</v>
      </c>
    </row>
    <row r="66" customFormat="false" ht="15" hidden="false" customHeight="false" outlineLevel="0" collapsed="false">
      <c r="A66" s="10" t="s">
        <v>430</v>
      </c>
    </row>
    <row r="67" customFormat="false" ht="15" hidden="false" customHeight="false" outlineLevel="0" collapsed="false">
      <c r="A67" s="21" t="s">
        <v>431</v>
      </c>
      <c r="B67" s="13" t="s">
        <v>96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432</v>
      </c>
    </row>
    <row r="68" customFormat="false" ht="15" hidden="false" customHeight="false" outlineLevel="0" collapsed="false">
      <c r="A68" s="22" t="s">
        <v>433</v>
      </c>
      <c r="B68" s="13" t="s">
        <v>96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5" hidden="false" customHeight="false" outlineLevel="0" collapsed="false">
      <c r="A69" s="22" t="s">
        <v>434</v>
      </c>
      <c r="B69" s="13" t="s">
        <v>96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435</v>
      </c>
    </row>
    <row r="70" customFormat="false" ht="15" hidden="false" customHeight="false" outlineLevel="0" collapsed="false">
      <c r="A70" s="8" t="s">
        <v>436</v>
      </c>
      <c r="B70" s="13" t="s">
        <v>96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5" hidden="false" customHeight="false" outlineLevel="0" collapsed="false">
      <c r="A72" s="10" t="s">
        <v>437</v>
      </c>
    </row>
    <row r="73" customFormat="false" ht="15" hidden="false" customHeight="false" outlineLevel="0" collapsed="false">
      <c r="A73" s="21" t="s">
        <v>438</v>
      </c>
      <c r="B73" s="13" t="s">
        <v>96</v>
      </c>
      <c r="C73" s="17" t="n">
        <f aca="false">C41+C42</f>
        <v>38.54871114585</v>
      </c>
    </row>
    <row r="74" customFormat="false" ht="15" hidden="false" customHeight="false" outlineLevel="0" collapsed="false">
      <c r="A74" s="22" t="s">
        <v>439</v>
      </c>
      <c r="B74" s="13" t="s">
        <v>96</v>
      </c>
      <c r="C74" s="17" t="n">
        <f aca="false">C68*sh_mu_25</f>
        <v>8.832</v>
      </c>
    </row>
    <row r="75" customFormat="false" ht="15" hidden="false" customHeight="false" outlineLevel="0" collapsed="false">
      <c r="A75" s="22" t="s">
        <v>440</v>
      </c>
      <c r="B75" s="13" t="s">
        <v>96</v>
      </c>
      <c r="C75" s="17" t="n">
        <f aca="false">C64</f>
        <v>8.60389849462366</v>
      </c>
    </row>
    <row r="76" customFormat="false" ht="15" hidden="false" customHeight="false" outlineLevel="0" collapsed="false">
      <c r="A76" s="22" t="s">
        <v>441</v>
      </c>
      <c r="B76" s="13" t="s">
        <v>96</v>
      </c>
      <c r="C76" s="17" t="n">
        <f aca="false">C73-C74-C75</f>
        <v>21.1128126512263</v>
      </c>
    </row>
    <row r="77" customFormat="false" ht="15" hidden="false" customHeight="false" outlineLevel="0" collapsed="false">
      <c r="A77" s="21" t="s">
        <v>442</v>
      </c>
      <c r="B77" s="13" t="s">
        <v>96</v>
      </c>
      <c r="C77" s="17" t="n">
        <f aca="false">C67+C69</f>
        <v>46.3556338028169</v>
      </c>
    </row>
    <row r="78" customFormat="false" ht="15" hidden="false" customHeight="false" outlineLevel="0" collapsed="false">
      <c r="A78" s="8" t="s">
        <v>443</v>
      </c>
      <c r="B78" s="13" t="s">
        <v>157</v>
      </c>
      <c r="C78" s="18" t="n">
        <f aca="false">C76/C77</f>
        <v>0.455453003642102</v>
      </c>
      <c r="H78" s="9" t="s">
        <v>444</v>
      </c>
    </row>
    <row r="79" customFormat="false" ht="15" hidden="false" customHeight="false" outlineLevel="0" collapsed="false">
      <c r="A79" s="22" t="s">
        <v>445</v>
      </c>
      <c r="B79" s="13" t="s">
        <v>157</v>
      </c>
      <c r="C79" s="18" t="n">
        <f aca="false">(C73-(C57-C54+ind_cxmt_hi+C61)*sh_oth-C74)/C77</f>
        <v>0.385040850204958</v>
      </c>
    </row>
    <row r="80" customFormat="false" ht="15" hidden="false" customHeight="false" outlineLevel="0" collapsed="false">
      <c r="A80" s="22" t="s">
        <v>446</v>
      </c>
      <c r="B80" s="13" t="s">
        <v>157</v>
      </c>
      <c r="C80" s="18" t="n">
        <f aca="false">sh_oth_lo</f>
        <v>0.58</v>
      </c>
    </row>
    <row r="81" customFormat="false" ht="15" hidden="false" customHeight="false" outlineLevel="0" collapsed="false">
      <c r="A81" s="22" t="s">
        <v>447</v>
      </c>
      <c r="B81" s="13" t="s">
        <v>157</v>
      </c>
      <c r="C81" s="18" t="n">
        <f aca="false">sh_oth</f>
        <v>0.64</v>
      </c>
    </row>
    <row r="83" customFormat="false" ht="15" hidden="false" customHeight="false" outlineLevel="0" collapsed="false">
      <c r="A83" s="10" t="s">
        <v>448</v>
      </c>
    </row>
    <row r="84" customFormat="false" ht="15" hidden="false" customHeight="false" outlineLevel="0" collapsed="false">
      <c r="A84" s="21" t="s">
        <v>449</v>
      </c>
      <c r="B84" s="13" t="s">
        <v>96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5" hidden="false" customHeight="false" outlineLevel="0" collapsed="false">
      <c r="A85" s="22" t="s">
        <v>450</v>
      </c>
      <c r="B85" s="13" t="s">
        <v>96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5" hidden="false" customHeight="false" outlineLevel="0" collapsed="false">
      <c r="A86" s="22" t="s">
        <v>451</v>
      </c>
      <c r="B86" s="13" t="s">
        <v>96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452</v>
      </c>
      <c r="B87" s="13" t="s">
        <v>96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453</v>
      </c>
      <c r="B88" s="13" t="s">
        <v>157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5" hidden="false" customHeight="false" outlineLevel="0" collapsed="false">
      <c r="A89" s="22" t="s">
        <v>454</v>
      </c>
      <c r="B89" s="13" t="s">
        <v>96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455</v>
      </c>
    </row>
    <row r="90" customFormat="false" ht="15" hidden="false" customHeight="false" outlineLevel="0" collapsed="false">
      <c r="A90" s="22" t="s">
        <v>456</v>
      </c>
      <c r="B90" s="13" t="s">
        <v>96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5" hidden="false" customHeight="false" outlineLevel="0" collapsed="false">
      <c r="A91" s="22" t="s">
        <v>457</v>
      </c>
      <c r="B91" s="13" t="s">
        <v>96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5" hidden="false" customHeight="false" outlineLevel="0" collapsed="false">
      <c r="A92" s="22" t="s">
        <v>458</v>
      </c>
      <c r="B92" s="13" t="s">
        <v>96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459</v>
      </c>
      <c r="B93" s="13" t="s">
        <v>96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5" hidden="false" customHeight="false" outlineLevel="0" collapsed="false">
      <c r="A94" s="22" t="s">
        <v>460</v>
      </c>
      <c r="B94" s="13" t="s">
        <v>96</v>
      </c>
      <c r="C94" s="23" t="n">
        <f aca="false">C93-C73</f>
        <v>0</v>
      </c>
    </row>
    <row r="95" customFormat="false" ht="15" hidden="false" customHeight="false" outlineLevel="0" collapsed="false">
      <c r="A95" s="22" t="s">
        <v>461</v>
      </c>
      <c r="B95" s="13" t="s">
        <v>96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462</v>
      </c>
    </row>
    <row r="97" customFormat="false" ht="15" hidden="false" customHeight="false" outlineLevel="0" collapsed="false">
      <c r="A97" s="10" t="s">
        <v>463</v>
      </c>
    </row>
    <row r="98" customFormat="false" ht="15" hidden="false" customHeight="false" outlineLevel="0" collapsed="false">
      <c r="A98" s="22" t="s">
        <v>464</v>
      </c>
      <c r="B98" s="13" t="s">
        <v>96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5" hidden="false" customHeight="false" outlineLevel="0" collapsed="false">
      <c r="A99" s="22" t="s">
        <v>465</v>
      </c>
      <c r="B99" s="13" t="s">
        <v>96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466</v>
      </c>
    </row>
    <row r="100" customFormat="false" ht="15" hidden="false" customHeight="false" outlineLevel="0" collapsed="false">
      <c r="A100" s="21" t="s">
        <v>467</v>
      </c>
      <c r="B100" s="13" t="s">
        <v>96</v>
      </c>
      <c r="C100" s="17" t="n">
        <f aca="false">C43-C99</f>
        <v>39.4253456686291</v>
      </c>
      <c r="H100" s="13" t="s">
        <v>468</v>
      </c>
    </row>
    <row r="101" customFormat="false" ht="15" hidden="false" customHeight="false" outlineLevel="0" collapsed="false">
      <c r="A101" s="22" t="s">
        <v>469</v>
      </c>
      <c r="B101" s="13" t="s">
        <v>96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470</v>
      </c>
      <c r="B102" s="13" t="s">
        <v>96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5" hidden="false" customHeight="false" outlineLevel="0" collapsed="false">
      <c r="A103" s="22" t="s">
        <v>471</v>
      </c>
      <c r="B103" s="13" t="s">
        <v>96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5" hidden="false" customHeight="false" outlineLevel="0" collapsed="false">
      <c r="A105" s="10" t="s">
        <v>472</v>
      </c>
    </row>
    <row r="106" customFormat="false" ht="15" hidden="false" customHeight="false" outlineLevel="0" collapsed="false">
      <c r="A106" s="22" t="s">
        <v>473</v>
      </c>
      <c r="B106" s="13" t="s">
        <v>96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474</v>
      </c>
    </row>
    <row r="108" customFormat="false" ht="15" hidden="false" customHeight="false" outlineLevel="0" collapsed="false">
      <c r="A108" s="10" t="s">
        <v>475</v>
      </c>
    </row>
    <row r="109" customFormat="false" ht="15" hidden="false" customHeight="false" outlineLevel="0" collapsed="false">
      <c r="A109" s="8" t="s">
        <v>476</v>
      </c>
      <c r="B109" s="13" t="s">
        <v>157</v>
      </c>
      <c r="C109" s="18" t="n">
        <f aca="false">(C73-C64)/C70</f>
        <v>0.497788997608801</v>
      </c>
      <c r="H109" s="9" t="s">
        <v>477</v>
      </c>
    </row>
    <row r="110" customFormat="false" ht="15" hidden="false" customHeight="false" outlineLevel="0" collapsed="false">
      <c r="A110" s="22" t="s">
        <v>478</v>
      </c>
      <c r="B110" s="13" t="s">
        <v>157</v>
      </c>
      <c r="C110" s="18" t="n">
        <f aca="false">C78</f>
        <v>0.455453003642102</v>
      </c>
    </row>
    <row r="111" customFormat="false" ht="15" hidden="false" customHeight="false" outlineLevel="0" collapsed="false">
      <c r="A111" s="22" t="s">
        <v>479</v>
      </c>
      <c r="B111" s="13" t="s">
        <v>157</v>
      </c>
      <c r="C111" s="18" t="n">
        <f aca="false">C81</f>
        <v>0.64</v>
      </c>
    </row>
    <row r="112" customFormat="false" ht="15" hidden="false" customHeight="false" outlineLevel="0" collapsed="false">
      <c r="A112" s="22" t="s">
        <v>480</v>
      </c>
      <c r="C112" s="20" t="n">
        <f aca="false">IF(C78&lt;sh_oth_lo,1,0)</f>
        <v>1</v>
      </c>
      <c r="H112" s="9" t="s">
        <v>481</v>
      </c>
    </row>
    <row r="114" customFormat="false" ht="15" hidden="false" customHeight="false" outlineLevel="0" collapsed="false">
      <c r="A114" s="10" t="s">
        <v>482</v>
      </c>
    </row>
    <row r="115" customFormat="false" ht="15" hidden="false" customHeight="false" outlineLevel="0" collapsed="false">
      <c r="A115" s="9" t="s">
        <v>483</v>
      </c>
    </row>
    <row r="116" customFormat="false" ht="15" hidden="false" customHeight="false" outlineLevel="0" collapsed="false">
      <c r="A116" s="22" t="s">
        <v>484</v>
      </c>
      <c r="B116" s="13" t="s">
        <v>96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485</v>
      </c>
      <c r="B117" s="13" t="s">
        <v>96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5" hidden="false" customHeight="false" outlineLevel="0" collapsed="false">
      <c r="A119" s="10" t="s">
        <v>486</v>
      </c>
    </row>
    <row r="120" customFormat="false" ht="15" hidden="false" customHeight="false" outlineLevel="0" collapsed="false">
      <c r="A120" s="22" t="s">
        <v>487</v>
      </c>
      <c r="B120" s="13" t="s">
        <v>96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488</v>
      </c>
      <c r="B121" s="13" t="s">
        <v>96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5" hidden="false" customHeight="false" outlineLevel="0" collapsed="false">
      <c r="A122" s="21" t="s">
        <v>489</v>
      </c>
      <c r="B122" s="13" t="s">
        <v>96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490</v>
      </c>
      <c r="B123" s="13" t="s">
        <v>96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491</v>
      </c>
      <c r="B124" s="13" t="s">
        <v>96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5" hidden="false" customHeight="false" outlineLevel="0" collapsed="false">
      <c r="A125" s="22" t="s">
        <v>492</v>
      </c>
      <c r="B125" s="13" t="s">
        <v>96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493</v>
      </c>
      <c r="B126" s="13" t="s">
        <v>96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494</v>
      </c>
      <c r="B127" s="13" t="s">
        <v>96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495</v>
      </c>
      <c r="B128" s="13" t="s">
        <v>96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5" hidden="false" customHeight="false" outlineLevel="0" collapsed="false">
      <c r="A129" s="8" t="s">
        <v>496</v>
      </c>
      <c r="B129" s="13" t="s">
        <v>96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5" hidden="false" customHeight="false" outlineLevel="0" collapsed="false">
      <c r="A130" s="22" t="s">
        <v>389</v>
      </c>
      <c r="B130" s="13" t="s">
        <v>157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497</v>
      </c>
    </row>
    <row r="131" customFormat="false" ht="15" hidden="false" customHeight="false" outlineLevel="0" collapsed="false">
      <c r="A131" s="22" t="s">
        <v>498</v>
      </c>
      <c r="B131" s="13" t="s">
        <v>157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5" hidden="false" customHeight="false" outlineLevel="0" collapsed="false">
      <c r="A132" s="10" t="s">
        <v>499</v>
      </c>
      <c r="B132" s="13" t="s">
        <v>96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5" hidden="false" customHeight="false" outlineLevel="0" collapsed="false">
      <c r="A133" s="21" t="s">
        <v>500</v>
      </c>
      <c r="B133" s="13" t="s">
        <v>157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5" hidden="false" customHeight="false" outlineLevel="0" collapsed="false">
      <c r="A134" s="21" t="s">
        <v>501</v>
      </c>
      <c r="B134" s="13" t="s">
        <v>157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502</v>
      </c>
    </row>
    <row r="135" customFormat="false" ht="15" hidden="false" customHeight="false" outlineLevel="0" collapsed="false">
      <c r="A135" s="21" t="s">
        <v>503</v>
      </c>
      <c r="B135" s="13" t="s">
        <v>157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504</v>
      </c>
    </row>
    <row r="136" customFormat="false" ht="15" hidden="false" customHeight="false" outlineLevel="0" collapsed="false">
      <c r="A136" s="22" t="s">
        <v>505</v>
      </c>
      <c r="B136" s="9" t="s">
        <v>506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507</v>
      </c>
    </row>
    <row r="138" customFormat="false" ht="15" hidden="false" customHeight="false" outlineLevel="0" collapsed="false">
      <c r="A138" s="10" t="s">
        <v>508</v>
      </c>
    </row>
    <row r="139" customFormat="false" ht="15" hidden="false" customHeight="false" outlineLevel="0" collapsed="false">
      <c r="A139" s="22" t="s">
        <v>487</v>
      </c>
      <c r="B139" s="13" t="s">
        <v>96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488</v>
      </c>
      <c r="B140" s="13" t="s">
        <v>96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5" hidden="false" customHeight="false" outlineLevel="0" collapsed="false">
      <c r="A141" s="21" t="s">
        <v>489</v>
      </c>
      <c r="B141" s="13" t="s">
        <v>96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490</v>
      </c>
      <c r="B142" s="13" t="s">
        <v>96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491</v>
      </c>
      <c r="B143" s="13" t="s">
        <v>96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5" hidden="false" customHeight="false" outlineLevel="0" collapsed="false">
      <c r="A144" s="22" t="s">
        <v>492</v>
      </c>
      <c r="B144" s="13" t="s">
        <v>96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493</v>
      </c>
      <c r="B145" s="13" t="s">
        <v>96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494</v>
      </c>
      <c r="B146" s="13" t="s">
        <v>96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495</v>
      </c>
      <c r="B147" s="13" t="s">
        <v>96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5" hidden="false" customHeight="false" outlineLevel="0" collapsed="false">
      <c r="A148" s="8" t="s">
        <v>509</v>
      </c>
      <c r="B148" s="13" t="s">
        <v>96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5" hidden="false" customHeight="false" outlineLevel="0" collapsed="false">
      <c r="A149" s="22" t="s">
        <v>389</v>
      </c>
      <c r="B149" s="13" t="s">
        <v>157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497</v>
      </c>
    </row>
    <row r="150" customFormat="false" ht="15" hidden="false" customHeight="false" outlineLevel="0" collapsed="false">
      <c r="A150" s="22" t="s">
        <v>498</v>
      </c>
      <c r="B150" s="13" t="s">
        <v>157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5" hidden="false" customHeight="false" outlineLevel="0" collapsed="false">
      <c r="A151" s="10" t="s">
        <v>499</v>
      </c>
      <c r="B151" s="13" t="s">
        <v>96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5" hidden="false" customHeight="false" outlineLevel="0" collapsed="false">
      <c r="A152" s="21" t="s">
        <v>500</v>
      </c>
      <c r="B152" s="13" t="s">
        <v>157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5" hidden="false" customHeight="false" outlineLevel="0" collapsed="false">
      <c r="A153" s="21" t="s">
        <v>501</v>
      </c>
      <c r="B153" s="13" t="s">
        <v>157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502</v>
      </c>
    </row>
    <row r="154" customFormat="false" ht="15" hidden="false" customHeight="false" outlineLevel="0" collapsed="false">
      <c r="A154" s="21" t="s">
        <v>503</v>
      </c>
      <c r="B154" s="13" t="s">
        <v>157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504</v>
      </c>
    </row>
    <row r="155" customFormat="false" ht="15" hidden="false" customHeight="false" outlineLevel="0" collapsed="false">
      <c r="A155" s="22" t="s">
        <v>505</v>
      </c>
      <c r="B155" s="9" t="s">
        <v>506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507</v>
      </c>
    </row>
    <row r="157" customFormat="false" ht="15" hidden="false" customHeight="false" outlineLevel="0" collapsed="false">
      <c r="A157" s="10" t="s">
        <v>510</v>
      </c>
    </row>
    <row r="158" customFormat="false" ht="15" hidden="false" customHeight="false" outlineLevel="0" collapsed="false">
      <c r="A158" s="22" t="s">
        <v>487</v>
      </c>
      <c r="B158" s="13" t="s">
        <v>96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488</v>
      </c>
      <c r="B159" s="13" t="s">
        <v>96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5" hidden="false" customHeight="false" outlineLevel="0" collapsed="false">
      <c r="A160" s="21" t="s">
        <v>489</v>
      </c>
      <c r="B160" s="13" t="s">
        <v>96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490</v>
      </c>
      <c r="B161" s="13" t="s">
        <v>96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491</v>
      </c>
      <c r="B162" s="13" t="s">
        <v>96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5" hidden="false" customHeight="false" outlineLevel="0" collapsed="false">
      <c r="A163" s="22" t="s">
        <v>492</v>
      </c>
      <c r="B163" s="13" t="s">
        <v>96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493</v>
      </c>
      <c r="B164" s="13" t="s">
        <v>96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494</v>
      </c>
      <c r="B165" s="13" t="s">
        <v>96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495</v>
      </c>
      <c r="B166" s="13" t="s">
        <v>96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5" hidden="false" customHeight="false" outlineLevel="0" collapsed="false">
      <c r="A167" s="8" t="s">
        <v>511</v>
      </c>
      <c r="B167" s="13" t="s">
        <v>96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5" hidden="false" customHeight="false" outlineLevel="0" collapsed="false">
      <c r="A168" s="22" t="s">
        <v>389</v>
      </c>
      <c r="B168" s="13" t="s">
        <v>157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497</v>
      </c>
    </row>
    <row r="169" customFormat="false" ht="15" hidden="false" customHeight="false" outlineLevel="0" collapsed="false">
      <c r="A169" s="22" t="s">
        <v>498</v>
      </c>
      <c r="B169" s="13" t="s">
        <v>157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5" hidden="false" customHeight="false" outlineLevel="0" collapsed="false">
      <c r="A170" s="10" t="s">
        <v>499</v>
      </c>
      <c r="B170" s="13" t="s">
        <v>96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5" hidden="false" customHeight="false" outlineLevel="0" collapsed="false">
      <c r="A171" s="21" t="s">
        <v>500</v>
      </c>
      <c r="B171" s="13" t="s">
        <v>157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5" hidden="false" customHeight="false" outlineLevel="0" collapsed="false">
      <c r="A172" s="21" t="s">
        <v>501</v>
      </c>
      <c r="B172" s="13" t="s">
        <v>157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502</v>
      </c>
    </row>
    <row r="173" customFormat="false" ht="15" hidden="false" customHeight="false" outlineLevel="0" collapsed="false">
      <c r="A173" s="21" t="s">
        <v>503</v>
      </c>
      <c r="B173" s="13" t="s">
        <v>157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504</v>
      </c>
    </row>
    <row r="174" customFormat="false" ht="15" hidden="false" customHeight="false" outlineLevel="0" collapsed="false">
      <c r="A174" s="22" t="s">
        <v>505</v>
      </c>
      <c r="B174" s="9" t="s">
        <v>506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507</v>
      </c>
    </row>
    <row r="176" customFormat="false" ht="15" hidden="false" customHeight="false" outlineLevel="0" collapsed="false">
      <c r="A176" s="10" t="s">
        <v>512</v>
      </c>
    </row>
    <row r="177" customFormat="false" ht="15" hidden="false" customHeight="false" outlineLevel="0" collapsed="false">
      <c r="A177" s="21" t="s">
        <v>513</v>
      </c>
      <c r="B177" s="13" t="s">
        <v>96</v>
      </c>
      <c r="D177" s="24" t="n">
        <f aca="false">D48-s_tot_26</f>
        <v>0</v>
      </c>
      <c r="F177" s="24" t="n">
        <f aca="false">F48-s_tot_28</f>
        <v>-0.116701799999959</v>
      </c>
      <c r="H177" s="13" t="s">
        <v>514</v>
      </c>
    </row>
    <row r="178" customFormat="false" ht="15" hidden="false" customHeight="false" outlineLevel="0" collapsed="false">
      <c r="A178" s="21" t="s">
        <v>515</v>
      </c>
      <c r="B178" s="13" t="s">
        <v>96</v>
      </c>
      <c r="C178" s="23" t="n">
        <f aca="false">C129-C48</f>
        <v>0</v>
      </c>
      <c r="H178" s="9" t="s">
        <v>516</v>
      </c>
    </row>
    <row r="179" customFormat="false" ht="15" hidden="false" customHeight="false" outlineLevel="0" collapsed="false">
      <c r="A179" s="22" t="s">
        <v>517</v>
      </c>
      <c r="B179" s="13" t="s">
        <v>96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5" hidden="false" customHeight="false" outlineLevel="0" collapsed="false">
      <c r="A180" s="21" t="s">
        <v>518</v>
      </c>
      <c r="B180" s="13" t="s">
        <v>96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5" hidden="false" customHeight="false" outlineLevel="0" collapsed="false">
      <c r="A1" s="0" t="s">
        <v>519</v>
      </c>
    </row>
    <row r="2" customFormat="false" ht="15" hidden="false" customHeight="false" outlineLevel="0" collapsed="false">
      <c r="A2" s="9" t="s">
        <v>520</v>
      </c>
    </row>
    <row r="4" customFormat="false" ht="15" hidden="false" customHeight="false" outlineLevel="0" collapsed="false">
      <c r="A4" s="5" t="s">
        <v>521</v>
      </c>
      <c r="B4" s="5" t="s">
        <v>522</v>
      </c>
      <c r="C4" s="5" t="s">
        <v>523</v>
      </c>
      <c r="D4" s="5" t="s">
        <v>524</v>
      </c>
      <c r="E4" s="5" t="s">
        <v>525</v>
      </c>
      <c r="F4" s="5" t="s">
        <v>526</v>
      </c>
      <c r="G4" s="5" t="s">
        <v>527</v>
      </c>
      <c r="H4" s="5" t="s">
        <v>528</v>
      </c>
      <c r="I4" s="5" t="s">
        <v>66</v>
      </c>
      <c r="J4" s="5" t="s">
        <v>67</v>
      </c>
      <c r="K4" s="5" t="s">
        <v>65</v>
      </c>
    </row>
    <row r="5" customFormat="false" ht="15" hidden="false" customHeight="false" outlineLevel="0" collapsed="false">
      <c r="A5" s="0" t="s">
        <v>529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530</v>
      </c>
      <c r="J5" s="9" t="s">
        <v>531</v>
      </c>
      <c r="K5" s="13" t="s">
        <v>532</v>
      </c>
    </row>
    <row r="6" customFormat="false" ht="15" hidden="false" customHeight="false" outlineLevel="0" collapsed="false">
      <c r="A6" s="0" t="s">
        <v>533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534</v>
      </c>
      <c r="J6" s="9" t="s">
        <v>535</v>
      </c>
      <c r="K6" s="13" t="s">
        <v>532</v>
      </c>
    </row>
    <row r="7" customFormat="false" ht="15" hidden="false" customHeight="false" outlineLevel="0" collapsed="false">
      <c r="A7" s="0" t="s">
        <v>536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537</v>
      </c>
      <c r="J7" s="9" t="s">
        <v>538</v>
      </c>
      <c r="K7" s="13" t="s">
        <v>532</v>
      </c>
    </row>
    <row r="8" customFormat="false" ht="15" hidden="false" customHeight="false" outlineLevel="0" collapsed="false">
      <c r="A8" s="0" t="s">
        <v>539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540</v>
      </c>
      <c r="J8" s="9" t="s">
        <v>541</v>
      </c>
      <c r="K8" s="13" t="s">
        <v>532</v>
      </c>
    </row>
    <row r="9" customFormat="false" ht="15" hidden="false" customHeight="false" outlineLevel="0" collapsed="false">
      <c r="A9" s="0" t="s">
        <v>542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543</v>
      </c>
      <c r="J9" s="9" t="s">
        <v>544</v>
      </c>
      <c r="K9" s="13" t="s">
        <v>532</v>
      </c>
    </row>
    <row r="10" customFormat="false" ht="15" hidden="false" customHeight="false" outlineLevel="0" collapsed="false">
      <c r="A10" s="10" t="s">
        <v>545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72</v>
      </c>
    </row>
    <row r="11" customFormat="false" ht="15" hidden="false" customHeight="false" outlineLevel="0" collapsed="false">
      <c r="A11" s="10" t="s">
        <v>546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72</v>
      </c>
    </row>
    <row r="12" customFormat="false" ht="15" hidden="false" customHeight="false" outlineLevel="0" collapsed="false">
      <c r="A12" s="8" t="s">
        <v>547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72</v>
      </c>
    </row>
    <row r="13" customFormat="false" ht="15" hidden="false" customHeight="false" outlineLevel="0" collapsed="false">
      <c r="A13" s="9" t="s">
        <v>548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49.25" hidden="false" customHeight="false" outlineLevel="0" collapsed="false">
      <c r="A14" s="6" t="s">
        <v>549</v>
      </c>
    </row>
    <row r="16" customFormat="false" ht="15" hidden="false" customHeight="false" outlineLevel="0" collapsed="false">
      <c r="A16" s="5" t="s">
        <v>550</v>
      </c>
      <c r="B16" s="5" t="s">
        <v>551</v>
      </c>
      <c r="C16" s="5"/>
      <c r="D16" s="5"/>
      <c r="E16" s="5"/>
      <c r="F16" s="5"/>
      <c r="G16" s="5"/>
      <c r="H16" s="5"/>
      <c r="I16" s="5" t="s">
        <v>22</v>
      </c>
      <c r="J16" s="5" t="s">
        <v>552</v>
      </c>
      <c r="K16" s="5" t="s">
        <v>65</v>
      </c>
    </row>
    <row r="17" customFormat="false" ht="15" hidden="false" customHeight="false" outlineLevel="0" collapsed="false">
      <c r="A17" s="0" t="s">
        <v>553</v>
      </c>
      <c r="B17" s="25" t="n">
        <v>17141.4</v>
      </c>
      <c r="I17" s="13" t="s">
        <v>554</v>
      </c>
      <c r="K17" s="13" t="s">
        <v>555</v>
      </c>
    </row>
    <row r="18" customFormat="false" ht="15" hidden="false" customHeight="false" outlineLevel="0" collapsed="false">
      <c r="A18" s="0" t="s">
        <v>556</v>
      </c>
      <c r="B18" s="25" t="n">
        <v>14981</v>
      </c>
      <c r="I18" s="13" t="s">
        <v>557</v>
      </c>
      <c r="J18" s="9" t="s">
        <v>558</v>
      </c>
      <c r="K18" s="13" t="s">
        <v>555</v>
      </c>
    </row>
    <row r="19" customFormat="false" ht="15" hidden="false" customHeight="false" outlineLevel="0" collapsed="false">
      <c r="A19" s="0" t="s">
        <v>559</v>
      </c>
      <c r="B19" s="25" t="n">
        <v>9421.48</v>
      </c>
      <c r="I19" s="9" t="s">
        <v>560</v>
      </c>
      <c r="J19" s="9" t="s">
        <v>561</v>
      </c>
      <c r="K19" s="13" t="s">
        <v>555</v>
      </c>
    </row>
    <row r="20" customFormat="false" ht="15" hidden="false" customHeight="false" outlineLevel="0" collapsed="false">
      <c r="A20" s="0" t="s">
        <v>562</v>
      </c>
      <c r="B20" s="25" t="n">
        <v>17356.2</v>
      </c>
      <c r="I20" s="13" t="s">
        <v>563</v>
      </c>
      <c r="K20" s="13" t="s">
        <v>555</v>
      </c>
    </row>
    <row r="21" customFormat="false" ht="15" hidden="false" customHeight="false" outlineLevel="0" collapsed="false">
      <c r="A21" s="0" t="s">
        <v>564</v>
      </c>
      <c r="B21" s="25" t="n">
        <v>29615.47</v>
      </c>
      <c r="I21" s="13" t="s">
        <v>565</v>
      </c>
      <c r="K21" s="13" t="s">
        <v>555</v>
      </c>
    </row>
    <row r="22" customFormat="false" ht="15" hidden="false" customHeight="false" outlineLevel="0" collapsed="false">
      <c r="A22" s="0" t="s">
        <v>566</v>
      </c>
      <c r="B22" s="25" t="n">
        <v>15479.95</v>
      </c>
      <c r="I22" s="13" t="s">
        <v>567</v>
      </c>
      <c r="K22" s="13" t="s">
        <v>555</v>
      </c>
    </row>
    <row r="23" customFormat="false" ht="15" hidden="false" customHeight="false" outlineLevel="0" collapsed="false">
      <c r="A23" s="0" t="s">
        <v>568</v>
      </c>
      <c r="B23" s="25" t="n">
        <v>6959.5</v>
      </c>
      <c r="I23" s="13" t="s">
        <v>569</v>
      </c>
      <c r="K23" s="13" t="s">
        <v>555</v>
      </c>
    </row>
    <row r="24" customFormat="false" ht="15" hidden="false" customHeight="false" outlineLevel="0" collapsed="false">
      <c r="A24" s="0" t="s">
        <v>570</v>
      </c>
      <c r="B24" s="25" t="n">
        <v>366.1</v>
      </c>
      <c r="I24" s="9" t="s">
        <v>571</v>
      </c>
      <c r="J24" s="9" t="s">
        <v>572</v>
      </c>
      <c r="K24" s="13" t="s">
        <v>555</v>
      </c>
    </row>
    <row r="25" customFormat="false" ht="15" hidden="false" customHeight="false" outlineLevel="0" collapsed="false">
      <c r="A25" s="0" t="s">
        <v>573</v>
      </c>
      <c r="B25" s="25" t="n">
        <v>6059.5</v>
      </c>
      <c r="I25" s="13" t="s">
        <v>574</v>
      </c>
      <c r="J25" s="13" t="s">
        <v>575</v>
      </c>
      <c r="K25" s="13" t="s">
        <v>555</v>
      </c>
    </row>
    <row r="26" customFormat="false" ht="15" hidden="false" customHeight="false" outlineLevel="0" collapsed="false">
      <c r="A26" s="0" t="s">
        <v>576</v>
      </c>
      <c r="B26" s="25" t="n">
        <v>20944.17</v>
      </c>
      <c r="I26" s="13" t="s">
        <v>577</v>
      </c>
      <c r="J26" s="13" t="s">
        <v>578</v>
      </c>
      <c r="K26" s="13" t="s">
        <v>555</v>
      </c>
    </row>
    <row r="27" customFormat="false" ht="15" hidden="false" customHeight="false" outlineLevel="0" collapsed="false">
      <c r="A27" s="0" t="s">
        <v>579</v>
      </c>
      <c r="B27" s="25" t="n">
        <v>9290</v>
      </c>
      <c r="I27" s="13" t="s">
        <v>580</v>
      </c>
      <c r="J27" s="13" t="s">
        <v>581</v>
      </c>
      <c r="K27" s="13" t="s">
        <v>555</v>
      </c>
    </row>
    <row r="29" customFormat="false" ht="15" hidden="false" customHeight="false" outlineLevel="0" collapsed="false">
      <c r="A29" s="8" t="s">
        <v>582</v>
      </c>
    </row>
    <row r="30" customFormat="false" ht="15" hidden="false" customHeight="false" outlineLevel="0" collapsed="false">
      <c r="A30" s="5" t="s">
        <v>583</v>
      </c>
      <c r="B30" s="5" t="s">
        <v>584</v>
      </c>
      <c r="C30" s="5" t="s">
        <v>585</v>
      </c>
      <c r="D30" s="5"/>
      <c r="E30" s="5"/>
      <c r="F30" s="5"/>
      <c r="G30" s="5"/>
      <c r="H30" s="5"/>
      <c r="I30" s="5" t="s">
        <v>22</v>
      </c>
      <c r="J30" s="5" t="s">
        <v>552</v>
      </c>
      <c r="K30" s="5" t="s">
        <v>65</v>
      </c>
    </row>
    <row r="31" customFormat="false" ht="15" hidden="false" customHeight="false" outlineLevel="0" collapsed="false">
      <c r="A31" s="0" t="n">
        <v>2021</v>
      </c>
      <c r="I31" s="9" t="s">
        <v>586</v>
      </c>
      <c r="K31" s="9" t="s">
        <v>587</v>
      </c>
    </row>
    <row r="32" customFormat="false" ht="15" hidden="false" customHeight="false" outlineLevel="0" collapsed="false">
      <c r="A32" s="0" t="n">
        <v>2022</v>
      </c>
      <c r="B32" s="27" t="n">
        <v>1082672</v>
      </c>
      <c r="I32" s="13" t="s">
        <v>588</v>
      </c>
      <c r="K32" s="13" t="s">
        <v>589</v>
      </c>
    </row>
    <row r="33" customFormat="false" ht="15" hidden="false" customHeight="false" outlineLevel="0" collapsed="false">
      <c r="A33" s="0" t="n">
        <v>2023</v>
      </c>
      <c r="B33" s="27" t="n">
        <v>949817</v>
      </c>
      <c r="I33" s="9" t="s">
        <v>371</v>
      </c>
      <c r="K33" s="13" t="s">
        <v>589</v>
      </c>
    </row>
    <row r="34" customFormat="false" ht="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590</v>
      </c>
      <c r="J34" s="9" t="s">
        <v>591</v>
      </c>
      <c r="K34" s="13" t="s">
        <v>589</v>
      </c>
    </row>
    <row r="35" customFormat="false" ht="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592</v>
      </c>
      <c r="J35" s="9" t="s">
        <v>593</v>
      </c>
      <c r="K35" s="13" t="s">
        <v>589</v>
      </c>
    </row>
    <row r="37" customFormat="false" ht="15" hidden="false" customHeight="false" outlineLevel="0" collapsed="false">
      <c r="A37" s="8" t="s">
        <v>594</v>
      </c>
    </row>
    <row r="38" customFormat="false" ht="15" hidden="false" customHeight="false" outlineLevel="0" collapsed="false">
      <c r="A38" s="5" t="s">
        <v>60</v>
      </c>
      <c r="B38" s="5" t="s">
        <v>62</v>
      </c>
      <c r="C38" s="5" t="s">
        <v>595</v>
      </c>
      <c r="D38" s="5" t="s">
        <v>64</v>
      </c>
      <c r="E38" s="5"/>
      <c r="F38" s="5"/>
      <c r="G38" s="5"/>
      <c r="H38" s="5"/>
      <c r="I38" s="5" t="s">
        <v>22</v>
      </c>
      <c r="J38" s="5" t="s">
        <v>552</v>
      </c>
      <c r="K38" s="5" t="s">
        <v>65</v>
      </c>
    </row>
    <row r="39" customFormat="false" ht="15" hidden="false" customHeight="false" outlineLevel="0" collapsed="false">
      <c r="A39" s="9" t="s">
        <v>596</v>
      </c>
      <c r="B39" s="14" t="n">
        <v>0.7</v>
      </c>
      <c r="D39" s="14" t="n">
        <v>0.8</v>
      </c>
      <c r="I39" s="9" t="s">
        <v>597</v>
      </c>
      <c r="J39" s="9" t="s">
        <v>598</v>
      </c>
      <c r="K39" s="13" t="s">
        <v>599</v>
      </c>
    </row>
    <row r="40" customFormat="false" ht="15" hidden="false" customHeight="false" outlineLevel="0" collapsed="false">
      <c r="A40" s="9" t="s">
        <v>600</v>
      </c>
      <c r="B40" s="14" t="n">
        <v>0.58</v>
      </c>
      <c r="C40" s="14" t="n">
        <v>0.64</v>
      </c>
      <c r="D40" s="14" t="n">
        <v>0.7</v>
      </c>
      <c r="I40" s="9" t="s">
        <v>601</v>
      </c>
      <c r="J40" s="9" t="s">
        <v>602</v>
      </c>
      <c r="K40" s="13" t="s">
        <v>603</v>
      </c>
    </row>
    <row r="41" customFormat="false" ht="15" hidden="false" customHeight="false" outlineLevel="0" collapsed="false">
      <c r="A41" s="0" t="s">
        <v>604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605</v>
      </c>
      <c r="J41" s="13" t="s">
        <v>606</v>
      </c>
      <c r="K41" s="13" t="s">
        <v>72</v>
      </c>
    </row>
    <row r="43" customFormat="false" ht="15" hidden="false" customHeight="false" outlineLevel="0" collapsed="false">
      <c r="A43" s="8" t="s">
        <v>607</v>
      </c>
    </row>
    <row r="44" customFormat="false" ht="15" hidden="false" customHeight="false" outlineLevel="0" collapsed="false">
      <c r="A44" s="0" t="s">
        <v>608</v>
      </c>
      <c r="B44" s="17" t="n">
        <f aca="false">Mkt!C43</f>
        <v>65.6013456686291</v>
      </c>
      <c r="C44" s="13" t="s">
        <v>96</v>
      </c>
      <c r="J44" s="13" t="s">
        <v>609</v>
      </c>
    </row>
    <row r="45" customFormat="false" ht="15" hidden="false" customHeight="false" outlineLevel="0" collapsed="false">
      <c r="A45" s="9" t="s">
        <v>610</v>
      </c>
      <c r="B45" s="17" t="n">
        <f aca="false">cap_ts_25</f>
        <v>40.9</v>
      </c>
      <c r="C45" s="13" t="s">
        <v>96</v>
      </c>
      <c r="J45" s="13" t="s">
        <v>611</v>
      </c>
    </row>
    <row r="46" customFormat="false" ht="15" hidden="false" customHeight="false" outlineLevel="0" collapsed="false">
      <c r="A46" s="9" t="s">
        <v>612</v>
      </c>
      <c r="B46" s="17" t="n">
        <f aca="false">cap_smic_25+cap_intel_25</f>
        <v>25.8</v>
      </c>
      <c r="C46" s="13" t="s">
        <v>96</v>
      </c>
      <c r="J46" s="9" t="s">
        <v>613</v>
      </c>
    </row>
    <row r="47" customFormat="false" ht="15" hidden="false" customHeight="false" outlineLevel="0" collapsed="false">
      <c r="A47" s="9" t="s">
        <v>614</v>
      </c>
      <c r="B47" s="17" t="n">
        <f aca="false">B46*sh_oth</f>
        <v>16.512</v>
      </c>
      <c r="C47" s="13" t="s">
        <v>96</v>
      </c>
      <c r="J47" s="13" t="s">
        <v>615</v>
      </c>
    </row>
    <row r="48" customFormat="false" ht="15" hidden="false" customHeight="false" outlineLevel="0" collapsed="false">
      <c r="A48" s="5" t="s">
        <v>616</v>
      </c>
      <c r="B48" s="5" t="s">
        <v>617</v>
      </c>
      <c r="C48" s="5" t="s">
        <v>618</v>
      </c>
      <c r="D48" s="28" t="s">
        <v>619</v>
      </c>
      <c r="E48" s="5"/>
      <c r="F48" s="5"/>
      <c r="G48" s="5"/>
      <c r="H48" s="5"/>
      <c r="I48" s="5"/>
      <c r="J48" s="5" t="s">
        <v>385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5" hidden="false" customHeight="false" outlineLevel="0" collapsed="false">
      <c r="A53" s="0" t="s">
        <v>620</v>
      </c>
      <c r="B53" s="19" t="n">
        <f aca="false">(B44-B47)/B45</f>
        <v>1.20022850045548</v>
      </c>
      <c r="J53" s="9" t="s">
        <v>621</v>
      </c>
    </row>
    <row r="54" customFormat="false" ht="176.1" hidden="false" customHeight="false" outlineLevel="0" collapsed="false">
      <c r="A54" s="6" t="s">
        <v>622</v>
      </c>
    </row>
    <row r="56" customFormat="false" ht="15" hidden="false" customHeight="false" outlineLevel="0" collapsed="false">
      <c r="A56" s="8" t="s">
        <v>623</v>
      </c>
    </row>
    <row r="57" customFormat="false" ht="15" hidden="false" customHeight="false" outlineLevel="0" collapsed="false">
      <c r="A57" s="9" t="s">
        <v>624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5" hidden="false" customHeight="false" outlineLevel="0" collapsed="false">
      <c r="A58" s="0" t="s">
        <v>625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5" hidden="false" customHeight="false" outlineLevel="0" collapsed="false">
      <c r="A59" s="9" t="s">
        <v>626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5" hidden="false" customHeight="false" outlineLevel="0" collapsed="false">
      <c r="A60" s="9" t="s">
        <v>627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270.1" hidden="false" customHeight="false" outlineLevel="0" collapsed="false">
      <c r="A61" s="6" t="s">
        <v>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629</v>
      </c>
    </row>
    <row r="3" customFormat="false" ht="15" hidden="false" customHeight="false" outlineLevel="0" collapsed="false">
      <c r="A3" s="5" t="s">
        <v>60</v>
      </c>
      <c r="B3" s="5" t="s">
        <v>583</v>
      </c>
      <c r="C3" s="5" t="s">
        <v>22</v>
      </c>
      <c r="D3" s="5" t="s">
        <v>630</v>
      </c>
      <c r="E3" s="5" t="s">
        <v>631</v>
      </c>
      <c r="F3" s="5" t="s">
        <v>632</v>
      </c>
      <c r="G3" s="5" t="s">
        <v>633</v>
      </c>
      <c r="H3" s="5" t="s">
        <v>634</v>
      </c>
      <c r="I3" s="5" t="s">
        <v>635</v>
      </c>
      <c r="J3" s="5" t="s">
        <v>636</v>
      </c>
      <c r="K3" s="28" t="s">
        <v>637</v>
      </c>
      <c r="L3" s="5" t="s">
        <v>638</v>
      </c>
    </row>
    <row r="4" customFormat="false" ht="15" hidden="false" customHeight="false" outlineLevel="0" collapsed="false">
      <c r="A4" s="9" t="s">
        <v>639</v>
      </c>
      <c r="B4" s="0" t="n">
        <v>2026</v>
      </c>
      <c r="C4" s="0" t="s">
        <v>640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641</v>
      </c>
    </row>
    <row r="5" customFormat="false" ht="15" hidden="false" customHeight="false" outlineLevel="0" collapsed="false">
      <c r="A5" s="9" t="s">
        <v>642</v>
      </c>
      <c r="B5" s="0" t="n">
        <v>2026</v>
      </c>
      <c r="C5" s="0" t="s">
        <v>640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643</v>
      </c>
      <c r="B6" s="0" t="n">
        <v>2026</v>
      </c>
      <c r="C6" s="0" t="s">
        <v>640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644</v>
      </c>
    </row>
    <row r="7" customFormat="false" ht="15" hidden="false" customHeight="false" outlineLevel="0" collapsed="false">
      <c r="A7" s="0" t="s">
        <v>645</v>
      </c>
      <c r="B7" s="0" t="n">
        <v>2026</v>
      </c>
      <c r="C7" s="0" t="s">
        <v>640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646</v>
      </c>
    </row>
    <row r="8" customFormat="false" ht="15" hidden="false" customHeight="false" outlineLevel="0" collapsed="false">
      <c r="A8" s="0" t="s">
        <v>490</v>
      </c>
      <c r="B8" s="0" t="n">
        <v>2026</v>
      </c>
      <c r="C8" s="0" t="s">
        <v>640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5" hidden="false" customHeight="false" outlineLevel="0" collapsed="false">
      <c r="A9" s="9" t="s">
        <v>647</v>
      </c>
      <c r="B9" s="0" t="n">
        <v>2027</v>
      </c>
      <c r="C9" s="0" t="s">
        <v>648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649</v>
      </c>
    </row>
    <row r="10" customFormat="false" ht="15" hidden="false" customHeight="false" outlineLevel="0" collapsed="false">
      <c r="A10" s="9" t="s">
        <v>642</v>
      </c>
      <c r="B10" s="0" t="n">
        <v>2027</v>
      </c>
      <c r="C10" s="0" t="s">
        <v>650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651</v>
      </c>
    </row>
    <row r="11" customFormat="false" ht="15" hidden="false" customHeight="false" outlineLevel="0" collapsed="false">
      <c r="A11" s="9" t="s">
        <v>642</v>
      </c>
      <c r="B11" s="0" t="n">
        <v>2028</v>
      </c>
      <c r="C11" s="0" t="s">
        <v>652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653</v>
      </c>
    </row>
    <row r="12" customFormat="false" ht="15" hidden="false" customHeight="false" outlineLevel="0" collapsed="false">
      <c r="A12" s="9" t="s">
        <v>639</v>
      </c>
      <c r="B12" s="0" t="n">
        <v>2028</v>
      </c>
      <c r="C12" s="0" t="s">
        <v>640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654</v>
      </c>
    </row>
    <row r="13" customFormat="false" ht="15" hidden="false" customHeight="false" outlineLevel="0" collapsed="false">
      <c r="A13" s="9" t="s">
        <v>642</v>
      </c>
      <c r="B13" s="0" t="n">
        <v>2026</v>
      </c>
      <c r="C13" s="0" t="s">
        <v>655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656</v>
      </c>
    </row>
    <row r="14" customFormat="false" ht="15" hidden="false" customHeight="false" outlineLevel="0" collapsed="false">
      <c r="A14" s="9" t="s">
        <v>642</v>
      </c>
      <c r="B14" s="0" t="n">
        <v>2026</v>
      </c>
      <c r="C14" s="0" t="s">
        <v>657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658</v>
      </c>
    </row>
    <row r="15" customFormat="false" ht="15" hidden="false" customHeight="false" outlineLevel="0" collapsed="false">
      <c r="A15" s="9" t="s">
        <v>642</v>
      </c>
      <c r="B15" s="0" t="n">
        <v>2027</v>
      </c>
      <c r="C15" s="0" t="s">
        <v>659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9" t="s">
        <v>642</v>
      </c>
      <c r="B16" s="0" t="n">
        <v>2027</v>
      </c>
      <c r="C16" s="0" t="s">
        <v>660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661</v>
      </c>
    </row>
    <row r="17" customFormat="false" ht="15" hidden="false" customHeight="false" outlineLevel="0" collapsed="false">
      <c r="A17" s="9" t="s">
        <v>642</v>
      </c>
      <c r="B17" s="0" t="n">
        <v>2027</v>
      </c>
      <c r="C17" s="0" t="s">
        <v>662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663</v>
      </c>
    </row>
    <row r="18" customFormat="false" ht="15" hidden="false" customHeight="false" outlineLevel="0" collapsed="false">
      <c r="A18" s="9" t="s">
        <v>642</v>
      </c>
      <c r="B18" s="0" t="n">
        <v>2028</v>
      </c>
      <c r="C18" s="0" t="s">
        <v>662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664</v>
      </c>
    </row>
    <row r="19" customFormat="false" ht="15" hidden="false" customHeight="false" outlineLevel="0" collapsed="false">
      <c r="A19" s="9" t="s">
        <v>642</v>
      </c>
      <c r="B19" s="0" t="n">
        <v>2026</v>
      </c>
      <c r="C19" s="0" t="s">
        <v>665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642</v>
      </c>
      <c r="B20" s="0" t="n">
        <v>2027</v>
      </c>
      <c r="C20" s="0" t="s">
        <v>665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642</v>
      </c>
      <c r="B21" s="0" t="n">
        <v>2028</v>
      </c>
      <c r="C21" s="0" t="s">
        <v>665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8" t="s">
        <v>666</v>
      </c>
    </row>
    <row r="24" customFormat="false" ht="15" hidden="false" customHeight="false" outlineLevel="0" collapsed="false">
      <c r="A24" s="0" t="s">
        <v>667</v>
      </c>
      <c r="D24" s="23" t="n">
        <f aca="false">Mkt!D41+Mkt!D42+Mkt!D43+Mkt!D47-Mkt!D44</f>
        <v>0</v>
      </c>
    </row>
    <row r="25" customFormat="false" ht="15" hidden="false" customHeight="false" outlineLevel="0" collapsed="false">
      <c r="A25" s="9" t="s">
        <v>668</v>
      </c>
    </row>
    <row r="27" customFormat="false" ht="15" hidden="false" customHeight="false" outlineLevel="0" collapsed="false">
      <c r="A27" s="8" t="s">
        <v>669</v>
      </c>
    </row>
    <row r="28" customFormat="false" ht="15" hidden="false" customHeight="false" outlineLevel="0" collapsed="false">
      <c r="A28" s="5" t="s">
        <v>60</v>
      </c>
      <c r="B28" s="5"/>
      <c r="C28" s="5" t="s">
        <v>22</v>
      </c>
      <c r="D28" s="5" t="s">
        <v>630</v>
      </c>
      <c r="E28" s="5" t="s">
        <v>670</v>
      </c>
      <c r="F28" s="5" t="s">
        <v>671</v>
      </c>
      <c r="G28" s="5"/>
      <c r="H28" s="5"/>
      <c r="I28" s="5"/>
      <c r="J28" s="5"/>
      <c r="K28" s="5"/>
      <c r="L28" s="5" t="s">
        <v>638</v>
      </c>
    </row>
    <row r="29" customFormat="false" ht="15" hidden="false" customHeight="false" outlineLevel="0" collapsed="false">
      <c r="A29" s="9" t="s">
        <v>672</v>
      </c>
      <c r="C29" s="9" t="s">
        <v>673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674</v>
      </c>
    </row>
    <row r="30" customFormat="false" ht="15" hidden="false" customHeight="false" outlineLevel="0" collapsed="false">
      <c r="A30" s="9" t="s">
        <v>675</v>
      </c>
      <c r="C30" s="9" t="s">
        <v>371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676</v>
      </c>
    </row>
    <row r="31" customFormat="false" ht="15" hidden="false" customHeight="false" outlineLevel="0" collapsed="false">
      <c r="A31" s="9" t="s">
        <v>677</v>
      </c>
      <c r="C31" s="9" t="s">
        <v>371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5" hidden="false" customHeight="false" outlineLevel="0" collapsed="false">
      <c r="A32" s="9" t="s">
        <v>678</v>
      </c>
      <c r="C32" s="9" t="s">
        <v>679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680</v>
      </c>
    </row>
    <row r="33" customFormat="false" ht="15" hidden="false" customHeight="false" outlineLevel="0" collapsed="false">
      <c r="A33" s="9" t="s">
        <v>681</v>
      </c>
      <c r="C33" s="0" t="s">
        <v>682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683</v>
      </c>
    </row>
    <row r="34" customFormat="false" ht="15" hidden="false" customHeight="false" outlineLevel="0" collapsed="false">
      <c r="A34" s="0" t="s">
        <v>684</v>
      </c>
      <c r="C34" s="0" t="s">
        <v>605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686</v>
      </c>
    </row>
    <row r="3" customFormat="false" ht="15" hidden="false" customHeight="false" outlineLevel="0" collapsed="false">
      <c r="A3" s="5" t="s">
        <v>687</v>
      </c>
      <c r="B3" s="28" t="s">
        <v>688</v>
      </c>
      <c r="C3" s="5" t="s">
        <v>689</v>
      </c>
      <c r="D3" s="28" t="s">
        <v>690</v>
      </c>
      <c r="E3" s="5" t="s">
        <v>689</v>
      </c>
      <c r="F3" s="28" t="s">
        <v>691</v>
      </c>
      <c r="G3" s="5" t="s">
        <v>689</v>
      </c>
      <c r="H3" s="5" t="s">
        <v>385</v>
      </c>
    </row>
    <row r="4" customFormat="false" ht="15" hidden="false" customHeight="false" outlineLevel="0" collapsed="false">
      <c r="A4" s="9" t="s">
        <v>692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693</v>
      </c>
    </row>
    <row r="5" customFormat="false" ht="15" hidden="false" customHeight="false" outlineLevel="0" collapsed="false">
      <c r="A5" s="0" t="s">
        <v>694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5" hidden="false" customHeight="false" outlineLevel="0" collapsed="false">
      <c r="A6" s="0" t="s">
        <v>695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5" hidden="false" customHeight="false" outlineLevel="0" collapsed="false">
      <c r="A7" s="9" t="s">
        <v>696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5" hidden="false" customHeight="false" outlineLevel="0" collapsed="false">
      <c r="A8" s="9" t="s">
        <v>697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5" hidden="false" customHeight="false" outlineLevel="0" collapsed="false">
      <c r="A9" s="9" t="s">
        <v>698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699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5" hidden="false" customHeight="false" outlineLevel="0" collapsed="false">
      <c r="A11" s="9" t="s">
        <v>700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5" hidden="false" customHeight="false" outlineLevel="0" collapsed="false">
      <c r="A12" s="9" t="s">
        <v>701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5" hidden="false" customHeight="false" outlineLevel="0" collapsed="false">
      <c r="A13" s="9" t="s">
        <v>702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5" hidden="false" customHeight="false" outlineLevel="0" collapsed="false">
      <c r="A14" s="9" t="s">
        <v>703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5" hidden="false" customHeight="false" outlineLevel="0" collapsed="false">
      <c r="A15" s="9" t="s">
        <v>704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5" hidden="false" customHeight="false" outlineLevel="0" collapsed="false">
      <c r="A16" s="9" t="s">
        <v>705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5" hidden="false" customHeight="false" outlineLevel="0" collapsed="false">
      <c r="A17" s="9" t="s">
        <v>706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5" hidden="false" customHeight="false" outlineLevel="0" collapsed="false">
      <c r="A18" s="9" t="s">
        <v>707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708</v>
      </c>
    </row>
    <row r="19" customFormat="false" ht="15" hidden="false" customHeight="false" outlineLevel="0" collapsed="false">
      <c r="A19" s="9" t="s">
        <v>709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5" hidden="false" customHeight="false" outlineLevel="0" collapsed="false">
      <c r="A20" s="0" t="s">
        <v>710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5" hidden="false" customHeight="false" outlineLevel="0" collapsed="false">
      <c r="A21" s="9" t="s">
        <v>711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5" hidden="false" customHeight="false" outlineLevel="0" collapsed="false">
      <c r="A22" s="9" t="s">
        <v>712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5" hidden="false" customHeight="false" outlineLevel="0" collapsed="false">
      <c r="A23" s="9" t="s">
        <v>713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5" hidden="false" customHeight="false" outlineLevel="0" collapsed="false">
      <c r="A24" s="9" t="s">
        <v>714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5" hidden="false" customHeight="false" outlineLevel="0" collapsed="false">
      <c r="A25" s="9" t="s">
        <v>715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5" hidden="false" customHeight="false" outlineLevel="0" collapsed="false">
      <c r="A26" s="9" t="s">
        <v>716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5" hidden="false" customHeight="false" outlineLevel="0" collapsed="false">
      <c r="A27" s="9" t="s">
        <v>717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5" hidden="false" customHeight="false" outlineLevel="0" collapsed="false">
      <c r="A28" s="9" t="s">
        <v>718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719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720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5" hidden="false" customHeight="false" outlineLevel="0" collapsed="false">
      <c r="A31" s="9" t="s">
        <v>721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5" hidden="false" customHeight="false" outlineLevel="0" collapsed="false">
      <c r="A33" s="5" t="s">
        <v>722</v>
      </c>
      <c r="B33" s="28" t="s">
        <v>723</v>
      </c>
      <c r="C33" s="5" t="s">
        <v>724</v>
      </c>
      <c r="D33" s="28" t="s">
        <v>725</v>
      </c>
      <c r="E33" s="5" t="s">
        <v>726</v>
      </c>
      <c r="F33" s="5"/>
      <c r="G33" s="5"/>
      <c r="H33" s="5" t="s">
        <v>385</v>
      </c>
    </row>
    <row r="34" customFormat="false" ht="15" hidden="false" customHeight="false" outlineLevel="0" collapsed="false">
      <c r="A34" s="0" t="s">
        <v>727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5" hidden="false" customHeight="false" outlineLevel="0" collapsed="false">
      <c r="A35" s="0" t="s">
        <v>728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5" hidden="false" customHeight="false" outlineLevel="0" collapsed="false">
      <c r="A36" s="0" t="s">
        <v>729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5" hidden="false" customHeight="false" outlineLevel="0" collapsed="false">
      <c r="A37" s="0" t="s">
        <v>730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5" hidden="false" customHeight="false" outlineLevel="0" collapsed="false">
      <c r="A38" s="0" t="s">
        <v>731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5" hidden="false" customHeight="false" outlineLevel="0" collapsed="false">
      <c r="A39" s="0" t="s">
        <v>732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5" hidden="false" customHeight="false" outlineLevel="0" collapsed="false">
      <c r="A40" s="9" t="s">
        <v>733</v>
      </c>
    </row>
    <row r="42" customFormat="false" ht="15" hidden="false" customHeight="false" outlineLevel="0" collapsed="false">
      <c r="A42" s="8" t="s">
        <v>734</v>
      </c>
    </row>
    <row r="43" customFormat="false" ht="15" hidden="false" customHeight="false" outlineLevel="0" collapsed="false">
      <c r="A43" s="5" t="s">
        <v>735</v>
      </c>
      <c r="B43" s="28" t="s">
        <v>736</v>
      </c>
      <c r="C43" s="28" t="s">
        <v>737</v>
      </c>
      <c r="D43" s="28" t="s">
        <v>738</v>
      </c>
      <c r="E43" s="28" t="s">
        <v>739</v>
      </c>
      <c r="F43" s="28" t="s">
        <v>740</v>
      </c>
      <c r="G43" s="5" t="s">
        <v>741</v>
      </c>
      <c r="H43" s="5" t="s">
        <v>385</v>
      </c>
    </row>
    <row r="44" customFormat="false" ht="15" hidden="false" customHeight="false" outlineLevel="0" collapsed="false">
      <c r="A44" s="9" t="s">
        <v>742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5" hidden="false" customHeight="false" outlineLevel="0" collapsed="false">
      <c r="A45" s="9" t="s">
        <v>743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5" hidden="false" customHeight="false" outlineLevel="0" collapsed="false">
      <c r="A46" s="9" t="s">
        <v>744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5" hidden="false" customHeight="false" outlineLevel="0" collapsed="false">
      <c r="A47" s="9" t="s">
        <v>745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5" hidden="false" customHeight="false" outlineLevel="0" collapsed="false">
      <c r="A48" s="9" t="s">
        <v>746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5" hidden="false" customHeight="false" outlineLevel="0" collapsed="false">
      <c r="A49" s="9" t="s">
        <v>747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5" hidden="false" customHeight="false" outlineLevel="0" collapsed="false">
      <c r="A50" s="9" t="s">
        <v>748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5" hidden="false" customHeight="false" outlineLevel="0" collapsed="false">
      <c r="A51" s="9" t="s">
        <v>749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5" hidden="false" customHeight="false" outlineLevel="0" collapsed="false">
      <c r="A52" s="9" t="s">
        <v>750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5" hidden="false" customHeight="false" outlineLevel="0" collapsed="false">
      <c r="A55" s="8" t="s">
        <v>751</v>
      </c>
    </row>
    <row r="56" customFormat="false" ht="15" hidden="false" customHeight="false" outlineLevel="0" collapsed="false">
      <c r="A56" s="5" t="s">
        <v>752</v>
      </c>
      <c r="B56" s="28" t="s">
        <v>736</v>
      </c>
      <c r="C56" s="28" t="s">
        <v>737</v>
      </c>
      <c r="D56" s="28" t="s">
        <v>738</v>
      </c>
      <c r="E56" s="28" t="s">
        <v>739</v>
      </c>
      <c r="F56" s="28" t="s">
        <v>740</v>
      </c>
      <c r="G56" s="5" t="s">
        <v>741</v>
      </c>
      <c r="H56" s="5" t="s">
        <v>385</v>
      </c>
    </row>
    <row r="57" customFormat="false" ht="15" hidden="false" customHeight="false" outlineLevel="0" collapsed="false">
      <c r="A57" s="9" t="s">
        <v>753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5" hidden="false" customHeight="false" outlineLevel="0" collapsed="false">
      <c r="A58" s="9" t="s">
        <v>754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5" hidden="false" customHeight="false" outlineLevel="0" collapsed="false">
      <c r="A59" s="9" t="s">
        <v>755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5" hidden="false" customHeight="false" outlineLevel="0" collapsed="false">
      <c r="A60" s="9" t="s">
        <v>756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5" hidden="false" customHeight="false" outlineLevel="0" collapsed="false">
      <c r="A61" s="9" t="s">
        <v>757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5" hidden="false" customHeight="false" outlineLevel="0" collapsed="false">
      <c r="A62" s="9" t="s">
        <v>758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5" hidden="false" customHeight="false" outlineLevel="0" collapsed="false">
      <c r="A63" s="9" t="s">
        <v>759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5" hidden="false" customHeight="false" outlineLevel="0" collapsed="false">
      <c r="A64" s="9" t="s">
        <v>760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5" hidden="false" customHeight="false" outlineLevel="0" collapsed="false">
      <c r="A65" s="9" t="s">
        <v>761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5" hidden="false" customHeight="false" outlineLevel="0" collapsed="false">
      <c r="A66" s="9" t="s">
        <v>762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5" hidden="false" customHeight="false" outlineLevel="0" collapsed="false">
      <c r="A67" s="9" t="s">
        <v>763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5" hidden="false" customHeight="false" outlineLevel="0" collapsed="false">
      <c r="A68" s="9" t="s">
        <v>764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5" hidden="false" customHeight="false" outlineLevel="0" collapsed="false">
      <c r="A69" s="9" t="s">
        <v>765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5" hidden="false" customHeight="false" outlineLevel="0" collapsed="false">
      <c r="A70" s="9" t="s">
        <v>766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5" hidden="false" customHeight="false" outlineLevel="0" collapsed="false">
      <c r="A71" s="9" t="s">
        <v>767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5" hidden="false" customHeight="false" outlineLevel="0" collapsed="false">
      <c r="A72" s="9" t="s">
        <v>768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5" hidden="false" customHeight="false" outlineLevel="0" collapsed="false">
      <c r="A73" s="9" t="s">
        <v>769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5" hidden="false" customHeight="false" outlineLevel="0" collapsed="false">
      <c r="A74" s="9" t="s">
        <v>770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5" hidden="false" customHeight="false" outlineLevel="0" collapsed="false">
      <c r="A75" s="9" t="s">
        <v>771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5" hidden="false" customHeight="false" outlineLevel="0" collapsed="false">
      <c r="A76" s="9" t="s">
        <v>772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5" hidden="false" customHeight="false" outlineLevel="0" collapsed="false">
      <c r="A77" s="9" t="s">
        <v>773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5" hidden="false" customHeight="false" outlineLevel="0" collapsed="false">
      <c r="A78" s="9" t="s">
        <v>774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5" hidden="false" customHeight="false" outlineLevel="0" collapsed="false">
      <c r="A79" s="9" t="s">
        <v>775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5" hidden="false" customHeight="false" outlineLevel="0" collapsed="false">
      <c r="A80" s="9" t="s">
        <v>776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5" hidden="false" customHeight="false" outlineLevel="0" collapsed="false">
      <c r="A81" s="9" t="s">
        <v>777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5" hidden="false" customHeight="false" outlineLevel="0" collapsed="false">
      <c r="A82" s="9" t="s">
        <v>778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5" hidden="false" customHeight="false" outlineLevel="0" collapsed="false">
      <c r="A83" s="9" t="s">
        <v>779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5" hidden="false" customHeight="false" outlineLevel="0" collapsed="false">
      <c r="A84" s="9" t="s">
        <v>780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5" hidden="false" customHeight="false" outlineLevel="0" collapsed="false">
      <c r="A85" s="9" t="s">
        <v>781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5" hidden="false" customHeight="false" outlineLevel="0" collapsed="false">
      <c r="A86" s="9" t="s">
        <v>782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5" hidden="false" customHeight="false" outlineLevel="0" collapsed="false">
      <c r="A87" s="9" t="s">
        <v>783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5" hidden="false" customHeight="false" outlineLevel="0" collapsed="false">
      <c r="A88" s="9" t="s">
        <v>784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5" hidden="false" customHeight="false" outlineLevel="0" collapsed="false">
      <c r="A89" s="9" t="s">
        <v>785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5" hidden="false" customHeight="false" outlineLevel="0" collapsed="false">
      <c r="A90" s="9" t="s">
        <v>786</v>
      </c>
    </row>
    <row r="92" customFormat="false" ht="15" hidden="false" customHeight="false" outlineLevel="0" collapsed="false">
      <c r="A92" s="9" t="s">
        <v>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22</v>
      </c>
    </row>
    <row r="2" customFormat="false" ht="15" hidden="false" customHeight="false" outlineLevel="0" collapsed="false">
      <c r="A2" s="5" t="s">
        <v>22</v>
      </c>
      <c r="B2" s="5" t="s">
        <v>788</v>
      </c>
      <c r="C2" s="5" t="s">
        <v>789</v>
      </c>
      <c r="D2" s="5" t="s">
        <v>23</v>
      </c>
    </row>
    <row r="3" customFormat="false" ht="15" hidden="false" customHeight="false" outlineLevel="0" collapsed="false">
      <c r="A3" s="0" t="s">
        <v>790</v>
      </c>
      <c r="B3" s="0" t="s">
        <v>791</v>
      </c>
      <c r="C3" s="0" t="s">
        <v>792</v>
      </c>
      <c r="D3" s="9" t="s">
        <v>793</v>
      </c>
    </row>
    <row r="4" customFormat="false" ht="15" hidden="false" customHeight="false" outlineLevel="0" collapsed="false">
      <c r="A4" s="0" t="s">
        <v>794</v>
      </c>
      <c r="B4" s="0" t="s">
        <v>795</v>
      </c>
      <c r="C4" s="9" t="s">
        <v>796</v>
      </c>
      <c r="D4" s="9" t="s">
        <v>797</v>
      </c>
    </row>
    <row r="5" customFormat="false" ht="15" hidden="false" customHeight="false" outlineLevel="0" collapsed="false">
      <c r="A5" s="0" t="s">
        <v>798</v>
      </c>
      <c r="B5" s="0" t="s">
        <v>799</v>
      </c>
      <c r="C5" s="9" t="s">
        <v>371</v>
      </c>
      <c r="D5" s="9" t="s">
        <v>797</v>
      </c>
    </row>
    <row r="6" customFormat="false" ht="15" hidden="false" customHeight="false" outlineLevel="0" collapsed="false">
      <c r="A6" s="0" t="s">
        <v>800</v>
      </c>
      <c r="B6" s="0" t="s">
        <v>801</v>
      </c>
      <c r="C6" s="0" t="s">
        <v>802</v>
      </c>
      <c r="D6" s="9" t="s">
        <v>797</v>
      </c>
    </row>
    <row r="7" customFormat="false" ht="15" hidden="false" customHeight="false" outlineLevel="0" collapsed="false">
      <c r="A7" s="0" t="s">
        <v>803</v>
      </c>
      <c r="B7" s="0" t="s">
        <v>804</v>
      </c>
      <c r="C7" s="9" t="s">
        <v>805</v>
      </c>
      <c r="D7" s="9" t="s">
        <v>806</v>
      </c>
    </row>
    <row r="8" customFormat="false" ht="15" hidden="false" customHeight="false" outlineLevel="0" collapsed="false">
      <c r="A8" s="0" t="s">
        <v>807</v>
      </c>
      <c r="B8" s="0" t="s">
        <v>808</v>
      </c>
      <c r="C8" s="9" t="s">
        <v>809</v>
      </c>
      <c r="D8" s="9" t="s">
        <v>810</v>
      </c>
    </row>
    <row r="9" customFormat="false" ht="15" hidden="false" customHeight="false" outlineLevel="0" collapsed="false">
      <c r="A9" s="0" t="s">
        <v>811</v>
      </c>
      <c r="B9" s="0" t="s">
        <v>812</v>
      </c>
      <c r="C9" s="0" t="s">
        <v>813</v>
      </c>
      <c r="D9" s="9" t="s">
        <v>814</v>
      </c>
    </row>
    <row r="10" customFormat="false" ht="15" hidden="false" customHeight="false" outlineLevel="0" collapsed="false">
      <c r="A10" s="0" t="s">
        <v>815</v>
      </c>
      <c r="B10" s="0" t="s">
        <v>816</v>
      </c>
      <c r="C10" s="9" t="s">
        <v>817</v>
      </c>
      <c r="D10" s="9" t="s">
        <v>818</v>
      </c>
    </row>
    <row r="11" customFormat="false" ht="15" hidden="false" customHeight="false" outlineLevel="0" collapsed="false">
      <c r="A11" s="9" t="s">
        <v>819</v>
      </c>
      <c r="B11" s="0" t="s">
        <v>820</v>
      </c>
      <c r="C11" s="0" t="s">
        <v>821</v>
      </c>
      <c r="D11" s="9" t="s">
        <v>822</v>
      </c>
    </row>
    <row r="12" customFormat="false" ht="15" hidden="false" customHeight="false" outlineLevel="0" collapsed="false">
      <c r="A12" s="9" t="s">
        <v>823</v>
      </c>
      <c r="B12" s="0" t="s">
        <v>824</v>
      </c>
      <c r="C12" s="0" t="s">
        <v>825</v>
      </c>
      <c r="D12" s="9" t="s">
        <v>826</v>
      </c>
    </row>
    <row r="13" customFormat="false" ht="15" hidden="false" customHeight="false" outlineLevel="0" collapsed="false">
      <c r="A13" s="0" t="s">
        <v>827</v>
      </c>
      <c r="B13" s="0" t="s">
        <v>828</v>
      </c>
      <c r="C13" s="9" t="s">
        <v>829</v>
      </c>
      <c r="D13" s="9" t="s">
        <v>797</v>
      </c>
    </row>
    <row r="14" customFormat="false" ht="15" hidden="false" customHeight="false" outlineLevel="0" collapsed="false">
      <c r="A14" s="0" t="s">
        <v>830</v>
      </c>
      <c r="B14" s="0" t="s">
        <v>831</v>
      </c>
      <c r="C14" s="0" t="s">
        <v>832</v>
      </c>
      <c r="D14" s="9" t="s">
        <v>818</v>
      </c>
    </row>
    <row r="15" customFormat="false" ht="15" hidden="false" customHeight="false" outlineLevel="0" collapsed="false">
      <c r="A15" s="0" t="s">
        <v>833</v>
      </c>
      <c r="B15" s="0" t="s">
        <v>834</v>
      </c>
      <c r="C15" s="9" t="s">
        <v>835</v>
      </c>
      <c r="D15" s="9" t="s">
        <v>797</v>
      </c>
    </row>
    <row r="16" customFormat="false" ht="15" hidden="false" customHeight="false" outlineLevel="0" collapsed="false">
      <c r="A16" s="0" t="s">
        <v>836</v>
      </c>
      <c r="B16" s="0" t="s">
        <v>837</v>
      </c>
      <c r="C16" s="9" t="s">
        <v>838</v>
      </c>
      <c r="D16" s="9" t="s">
        <v>797</v>
      </c>
    </row>
    <row r="17" customFormat="false" ht="15" hidden="false" customHeight="false" outlineLevel="0" collapsed="false">
      <c r="A17" s="0" t="s">
        <v>839</v>
      </c>
      <c r="B17" s="0" t="s">
        <v>840</v>
      </c>
      <c r="C17" s="9" t="s">
        <v>838</v>
      </c>
      <c r="D17" s="9" t="s">
        <v>818</v>
      </c>
    </row>
    <row r="18" customFormat="false" ht="15" hidden="false" customHeight="false" outlineLevel="0" collapsed="false">
      <c r="A18" s="0" t="s">
        <v>841</v>
      </c>
      <c r="B18" s="0" t="s">
        <v>842</v>
      </c>
      <c r="C18" s="0" t="s">
        <v>843</v>
      </c>
      <c r="D18" s="9" t="s">
        <v>844</v>
      </c>
    </row>
    <row r="19" customFormat="false" ht="15" hidden="false" customHeight="false" outlineLevel="0" collapsed="false">
      <c r="A19" s="0" t="s">
        <v>845</v>
      </c>
      <c r="B19" s="0" t="s">
        <v>846</v>
      </c>
      <c r="C19" s="0" t="s">
        <v>847</v>
      </c>
      <c r="D19" s="9" t="s">
        <v>797</v>
      </c>
    </row>
    <row r="20" customFormat="false" ht="15" hidden="false" customHeight="false" outlineLevel="0" collapsed="false">
      <c r="A20" s="0" t="s">
        <v>848</v>
      </c>
      <c r="B20" s="0" t="s">
        <v>849</v>
      </c>
      <c r="C20" s="0" t="s">
        <v>850</v>
      </c>
      <c r="D20" s="9" t="s">
        <v>797</v>
      </c>
    </row>
    <row r="21" customFormat="false" ht="15" hidden="false" customHeight="false" outlineLevel="0" collapsed="false">
      <c r="A21" s="0" t="s">
        <v>851</v>
      </c>
      <c r="B21" s="0" t="s">
        <v>852</v>
      </c>
      <c r="C21" s="0" t="s">
        <v>853</v>
      </c>
      <c r="D21" s="9" t="s">
        <v>854</v>
      </c>
    </row>
    <row r="22" customFormat="false" ht="15" hidden="false" customHeight="false" outlineLevel="0" collapsed="false">
      <c r="A22" s="0" t="s">
        <v>855</v>
      </c>
      <c r="B22" s="0" t="s">
        <v>856</v>
      </c>
      <c r="C22" s="9" t="s">
        <v>857</v>
      </c>
      <c r="D22" s="9" t="s">
        <v>858</v>
      </c>
    </row>
    <row r="23" customFormat="false" ht="15" hidden="false" customHeight="false" outlineLevel="0" collapsed="false">
      <c r="A23" s="0" t="s">
        <v>859</v>
      </c>
      <c r="B23" s="0" t="s">
        <v>860</v>
      </c>
      <c r="C23" s="0" t="s">
        <v>861</v>
      </c>
      <c r="D23" s="9" t="s">
        <v>797</v>
      </c>
    </row>
    <row r="24" customFormat="false" ht="15" hidden="false" customHeight="false" outlineLevel="0" collapsed="false">
      <c r="A24" s="0" t="s">
        <v>862</v>
      </c>
      <c r="B24" s="0" t="s">
        <v>374</v>
      </c>
      <c r="C24" s="0" t="s">
        <v>863</v>
      </c>
      <c r="D24" s="9" t="s">
        <v>854</v>
      </c>
    </row>
    <row r="25" customFormat="false" ht="15" hidden="false" customHeight="false" outlineLevel="0" collapsed="false">
      <c r="A25" s="0" t="s">
        <v>864</v>
      </c>
      <c r="B25" s="0" t="s">
        <v>865</v>
      </c>
      <c r="C25" s="9" t="s">
        <v>866</v>
      </c>
      <c r="D25" s="9" t="s">
        <v>867</v>
      </c>
    </row>
    <row r="26" customFormat="false" ht="15" hidden="false" customHeight="false" outlineLevel="0" collapsed="false">
      <c r="A26" s="0" t="s">
        <v>868</v>
      </c>
      <c r="B26" s="0" t="s">
        <v>869</v>
      </c>
      <c r="C26" s="9" t="s">
        <v>817</v>
      </c>
      <c r="D26" s="9" t="s">
        <v>818</v>
      </c>
    </row>
    <row r="27" customFormat="false" ht="15" hidden="false" customHeight="false" outlineLevel="0" collapsed="false">
      <c r="A27" s="0" t="s">
        <v>870</v>
      </c>
      <c r="B27" s="0" t="s">
        <v>871</v>
      </c>
      <c r="C27" s="0" t="s">
        <v>872</v>
      </c>
      <c r="D27" s="9" t="s">
        <v>844</v>
      </c>
    </row>
    <row r="28" customFormat="false" ht="15" hidden="false" customHeight="false" outlineLevel="0" collapsed="false">
      <c r="A28" s="0" t="s">
        <v>873</v>
      </c>
      <c r="B28" s="0" t="s">
        <v>874</v>
      </c>
      <c r="C28" s="9" t="s">
        <v>875</v>
      </c>
      <c r="D28" s="9" t="s">
        <v>876</v>
      </c>
    </row>
    <row r="29" customFormat="false" ht="15" hidden="false" customHeight="false" outlineLevel="0" collapsed="false">
      <c r="A29" s="0" t="s">
        <v>877</v>
      </c>
      <c r="B29" s="0" t="s">
        <v>878</v>
      </c>
      <c r="C29" s="9" t="s">
        <v>879</v>
      </c>
      <c r="D29" s="9" t="s">
        <v>797</v>
      </c>
    </row>
    <row r="30" customFormat="false" ht="15" hidden="false" customHeight="false" outlineLevel="0" collapsed="false">
      <c r="A30" s="0" t="s">
        <v>880</v>
      </c>
      <c r="B30" s="0" t="s">
        <v>881</v>
      </c>
      <c r="C30" s="9" t="s">
        <v>882</v>
      </c>
      <c r="D30" s="9" t="s">
        <v>797</v>
      </c>
    </row>
    <row r="31" customFormat="false" ht="15" hidden="false" customHeight="false" outlineLevel="0" collapsed="false">
      <c r="A31" s="0" t="s">
        <v>883</v>
      </c>
      <c r="B31" s="0" t="s">
        <v>884</v>
      </c>
      <c r="C31" s="9" t="s">
        <v>885</v>
      </c>
      <c r="D31" s="9" t="s">
        <v>797</v>
      </c>
    </row>
    <row r="32" customFormat="false" ht="14.9" hidden="false" customHeight="false" outlineLevel="0" collapsed="false">
      <c r="A32" s="9" t="s">
        <v>886</v>
      </c>
      <c r="B32" s="9" t="s">
        <v>887</v>
      </c>
      <c r="C32" s="9" t="s">
        <v>888</v>
      </c>
      <c r="D32" s="9" t="s">
        <v>889</v>
      </c>
    </row>
    <row r="33" customFormat="false" ht="15" hidden="false" customHeight="false" outlineLevel="0" collapsed="false">
      <c r="A33" s="9" t="s">
        <v>890</v>
      </c>
      <c r="B33" s="0" t="s">
        <v>891</v>
      </c>
      <c r="C33" s="9" t="s">
        <v>892</v>
      </c>
      <c r="D33" s="9" t="s">
        <v>893</v>
      </c>
    </row>
    <row r="34" customFormat="false" ht="15" hidden="false" customHeight="false" outlineLevel="0" collapsed="false">
      <c r="A34" s="9" t="s">
        <v>894</v>
      </c>
      <c r="B34" s="0" t="s">
        <v>895</v>
      </c>
      <c r="C34" s="9" t="s">
        <v>896</v>
      </c>
      <c r="D34" s="9" t="s">
        <v>897</v>
      </c>
    </row>
    <row r="35" customFormat="false" ht="15" hidden="false" customHeight="false" outlineLevel="0" collapsed="false">
      <c r="A35" s="0" t="s">
        <v>898</v>
      </c>
      <c r="B35" s="0" t="s">
        <v>899</v>
      </c>
      <c r="C35" s="9" t="s">
        <v>900</v>
      </c>
      <c r="D35" s="9" t="s">
        <v>901</v>
      </c>
    </row>
    <row r="36" customFormat="false" ht="15" hidden="false" customHeight="false" outlineLevel="0" collapsed="false">
      <c r="A36" s="0" t="s">
        <v>902</v>
      </c>
      <c r="B36" s="0" t="s">
        <v>903</v>
      </c>
      <c r="C36" s="0" t="s">
        <v>904</v>
      </c>
      <c r="D36" s="9" t="s">
        <v>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2026-10-23T05:37:50Z</dcterms:created>
  <dc:creator>openpyxl</dc:creator>
  <dc:description/>
  <dc:language>en-US</dc:language>
  <cp:lastModifiedBy/>
  <dcterms:modified xsi:type="dcterms:W3CDTF">2026-10-23T05:37:50Z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