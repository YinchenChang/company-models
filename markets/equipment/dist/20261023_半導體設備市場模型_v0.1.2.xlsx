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Mkt" sheetId="3" state="visible" r:id="rId5"/>
    <sheet name="TSMC" sheetId="4" state="visible" r:id="rId6"/>
    <sheet name="Recon" sheetId="5" state="visible" r:id="rId7"/>
    <sheet name="Sens" sheetId="6" state="visible" r:id="rId8"/>
    <sheet name="Sources" sheetId="7" state="visible" r:id="rId9"/>
  </sheets>
  <definedNames>
    <definedName function="false" hidden="false" name="adv_other" vbProcedure="false">In!$E$86</definedName>
    <definedName function="false" hidden="false" name="adv_other_hi" vbProcedure="false">In!$F$86</definedName>
    <definedName function="false" hidden="false" name="adv_other_lo" vbProcedure="false">In!$D$86</definedName>
    <definedName function="false" hidden="false" name="cap_intel_25" vbProcedure="false">In!$E$37</definedName>
    <definedName function="false" hidden="false" name="cap_intel_25_hi" vbProcedure="false">In!$F$37</definedName>
    <definedName function="false" hidden="false" name="cap_intel_25_lo" vbProcedure="false">In!$D$37</definedName>
    <definedName function="false" hidden="false" name="cap_mu_25" vbProcedure="false">In!$E$23</definedName>
    <definedName function="false" hidden="false" name="cap_mu_26" vbProcedure="false">In!$E$10</definedName>
    <definedName function="false" hidden="false" name="cap_mu_27" vbProcedure="false">In!$E$11</definedName>
    <definedName function="false" hidden="false" name="cap_mu_28" vbProcedure="false">In!$E$12</definedName>
    <definedName function="false" hidden="false" name="cap_mu_29" vbProcedure="false">In!$E$13</definedName>
    <definedName function="false" hidden="false" name="cap_sk_25" vbProcedure="false">In!$E$22</definedName>
    <definedName function="false" hidden="false" name="cap_sk_25_hi" vbProcedure="false">In!$F$22</definedName>
    <definedName function="false" hidden="false" name="cap_sk_25_lo" vbProcedure="false">In!$D$22</definedName>
    <definedName function="false" hidden="false" name="cap_sk_26" vbProcedure="false">In!$E$6</definedName>
    <definedName function="false" hidden="false" name="cap_sk_27" vbProcedure="false">In!$E$7</definedName>
    <definedName function="false" hidden="false" name="cap_sk_28" vbProcedure="false">In!$E$8</definedName>
    <definedName function="false" hidden="false" name="cap_sk_29" vbProcedure="false">In!$E$9</definedName>
    <definedName function="false" hidden="false" name="cap_smic_25" vbProcedure="false">In!$E$36</definedName>
    <definedName function="false" hidden="false" name="cap_smic_25_hi" vbProcedure="false">In!$F$36</definedName>
    <definedName function="false" hidden="false" name="cap_smic_25_lo" vbProcedure="false">In!$D$36</definedName>
    <definedName function="false" hidden="false" name="cap_ssds_25" vbProcedure="false">In!$E$24</definedName>
    <definedName function="false" hidden="false" name="cap_ss_26" vbProcedure="false">In!$E$14</definedName>
    <definedName function="false" hidden="false" name="cap_ss_27" vbProcedure="false">In!$E$15</definedName>
    <definedName function="false" hidden="false" name="cap_ss_28" vbProcedure="false">In!$E$16</definedName>
    <definedName function="false" hidden="false" name="cap_ss_29" vbProcedure="false">In!$E$17</definedName>
    <definedName function="false" hidden="false" name="cap_ts_25" vbProcedure="false">In!$E$26</definedName>
    <definedName function="false" hidden="false" name="cap_ts_25_hi" vbProcedure="false">In!$F$26</definedName>
    <definedName function="false" hidden="false" name="cap_ts_25_lo" vbProcedure="false">In!$D$26</definedName>
    <definedName function="false" hidden="false" name="cap_ts_26" vbProcedure="false">In!$E$18</definedName>
    <definedName function="false" hidden="false" name="cap_ts_27" vbProcedure="false">In!$E$19</definedName>
    <definedName function="false" hidden="false" name="cap_ts_28" vbProcedure="false">In!$E$20</definedName>
    <definedName function="false" hidden="false" name="cap_ts_29" vbProcedure="false">In!$E$21</definedName>
    <definedName function="false" hidden="false" name="ck_B_28" vbProcedure="false">In!$E$81</definedName>
    <definedName function="false" hidden="false" name="ck_B_28_hi" vbProcedure="false">In!$F$81</definedName>
    <definedName function="false" hidden="false" name="ck_B_28_lo" vbProcedure="false">In!$D$81</definedName>
    <definedName function="false" hidden="false" name="ck_B_29" vbProcedure="false">In!$E$83</definedName>
    <definedName function="false" hidden="false" name="ck_B_29_hi" vbProcedure="false">In!$F$83</definedName>
    <definedName function="false" hidden="false" name="ck_B_29_lo" vbProcedure="false">In!$D$83</definedName>
    <definedName function="false" hidden="false" name="ck_C_28" vbProcedure="false">In!$E$82</definedName>
    <definedName function="false" hidden="false" name="ck_C_28_hi" vbProcedure="false">In!$F$82</definedName>
    <definedName function="false" hidden="false" name="ck_C_28_lo" vbProcedure="false">In!$D$82</definedName>
    <definedName function="false" hidden="false" name="ck_C_29" vbProcedure="false">In!$E$84</definedName>
    <definedName function="false" hidden="false" name="ck_C_29_hi" vbProcedure="false">In!$F$84</definedName>
    <definedName function="false" hidden="false" name="ck_C_29_lo" vbProcedure="false">In!$D$84</definedName>
    <definedName function="false" hidden="false" name="fx" vbProcedure="false">In!$E$5</definedName>
    <definedName function="false" hidden="false" name="fx_hi" vbProcedure="false">In!$F$5</definedName>
    <definedName function="false" hidden="false" name="fx_jpy" vbProcedure="false">In!$E$48</definedName>
    <definedName function="false" hidden="false" name="fx_jpy_hi" vbProcedure="false">In!$F$48</definedName>
    <definedName function="false" hidden="false" name="fx_jpy_lo" vbProcedure="false">In!$D$48</definedName>
    <definedName function="false" hidden="false" name="fx_lo" vbProcedure="false">In!$D$5</definedName>
    <definedName function="false" hidden="false" name="fx_twd" vbProcedure="false">In!$E$50</definedName>
    <definedName function="false" hidden="false" name="fx_twd_hi" vbProcedure="false">In!$F$50</definedName>
    <definedName function="false" hidden="false" name="fx_twd_lo" vbProcedure="false">In!$D$50</definedName>
    <definedName function="false" hidden="false" name="g29" vbProcedure="false">In!$E$79</definedName>
    <definedName function="false" hidden="false" name="g29_hi" vbProcedure="false">In!$F$79</definedName>
    <definedName function="false" hidden="false" name="g29_lo" vbProcedure="false">In!$D$79</definedName>
    <definedName function="false" hidden="false" name="g_dram_26" vbProcedure="false">In!$E$55</definedName>
    <definedName function="false" hidden="false" name="g_dram_27" vbProcedure="false">In!$E$56</definedName>
    <definedName function="false" hidden="false" name="g_dram_28" vbProcedure="false">In!$E$57</definedName>
    <definedName function="false" hidden="false" name="g_fd_26" vbProcedure="false">In!$E$63</definedName>
    <definedName function="false" hidden="false" name="g_fd_27" vbProcedure="false">In!$E$64</definedName>
    <definedName function="false" hidden="false" name="g_fd_28" vbProcedure="false">In!$E$65</definedName>
    <definedName function="false" hidden="false" name="g_nand_26" vbProcedure="false">In!$E$59</definedName>
    <definedName function="false" hidden="false" name="g_nand_27" vbProcedure="false">In!$E$60</definedName>
    <definedName function="false" hidden="false" name="g_nand_28" vbProcedure="false">In!$E$61</definedName>
    <definedName function="false" hidden="false" name="g_oth_dram" vbProcedure="false">In!$E$39</definedName>
    <definedName function="false" hidden="false" name="g_oth_dram_hi" vbProcedure="false">In!$F$39</definedName>
    <definedName function="false" hidden="false" name="g_oth_dram_lo" vbProcedure="false">In!$D$39</definedName>
    <definedName function="false" hidden="false" name="g_oth_fd" vbProcedure="false">In!$E$41</definedName>
    <definedName function="false" hidden="false" name="g_oth_fd_hi" vbProcedure="false">In!$F$41</definedName>
    <definedName function="false" hidden="false" name="g_oth_fd_lo" vbProcedure="false">In!$D$41</definedName>
    <definedName function="false" hidden="false" name="g_oth_nand" vbProcedure="false">In!$E$40</definedName>
    <definedName function="false" hidden="false" name="g_oth_nand_hi" vbProcedure="false">In!$F$40</definedName>
    <definedName function="false" hidden="false" name="g_oth_nand_lo" vbProcedure="false">In!$D$40</definedName>
    <definedName function="false" hidden="false" name="g_pkg_26" vbProcedure="false">In!$E$74</definedName>
    <definedName function="false" hidden="false" name="g_test_26" vbProcedure="false">In!$E$71</definedName>
    <definedName function="false" hidden="false" name="g_tot_26" vbProcedure="false">In!$E$77</definedName>
    <definedName function="false" hidden="false" name="g_wfe_26" vbProcedure="false">In!$E$67</definedName>
    <definedName function="false" hidden="false" name="g_wfe_27" vbProcedure="false">In!$E$68</definedName>
    <definedName function="false" hidden="false" name="g_wfe_28" vbProcedure="false">In!$E$69</definedName>
    <definedName function="false" hidden="false" name="ind_cxmt" vbProcedure="false">In!$E$44</definedName>
    <definedName function="false" hidden="false" name="ind_cxmt_hi" vbProcedure="false">In!$F$44</definedName>
    <definedName function="false" hidden="false" name="ind_cxmt_lo" vbProcedure="false">In!$D$44</definedName>
    <definedName function="false" hidden="false" name="ind_kioxia" vbProcedure="false">In!$E$47</definedName>
    <definedName function="false" hidden="false" name="ind_nand_ind" vbProcedure="false">In!$E$45</definedName>
    <definedName function="false" hidden="false" name="ind_nanya" vbProcedure="false">In!$E$49</definedName>
    <definedName function="false" hidden="false" name="ind_sandisk" vbProcedure="false">In!$E$52</definedName>
    <definedName function="false" hidden="false" name="ind_winbond" vbProcedure="false">In!$E$51</definedName>
    <definedName function="false" hidden="false" name="ind_ymtc_sh" vbProcedure="false">In!$E$46</definedName>
    <definedName function="false" hidden="false" name="pkg_adv" vbProcedure="false">In!$E$87</definedName>
    <definedName function="false" hidden="false" name="pkg_adv_hi" vbProcedure="false">In!$F$87</definedName>
    <definedName function="false" hidden="false" name="pkg_adv_lo" vbProcedure="false">In!$D$87</definedName>
    <definedName function="false" hidden="false" name="pk_ts" vbProcedure="false">In!$E$35</definedName>
    <definedName function="false" hidden="false" name="pk_ts_hi" vbProcedure="false">In!$F$35</definedName>
    <definedName function="false" hidden="false" name="pk_ts_lo" vbProcedure="false">In!$D$35</definedName>
    <definedName function="false" hidden="false" name="rc_gs26" vbProcedure="false">In!$E$95</definedName>
    <definedName function="false" hidden="false" name="rc_gs27" vbProcedure="false">In!$E$96</definedName>
    <definedName function="false" hidden="false" name="rc_gs28" vbProcedure="false">In!$E$97</definedName>
    <definedName function="false" hidden="false" name="rc_kla26" vbProcedure="false">In!$E$91</definedName>
    <definedName function="false" hidden="false" name="rc_kla27" vbProcedure="false">In!$E$92</definedName>
    <definedName function="false" hidden="false" name="rc_lam26" vbProcedure="false">In!$E$89</definedName>
    <definedName function="false" hidden="false" name="rc_lam27" vbProcedure="false">In!$E$90</definedName>
    <definedName function="false" hidden="false" name="rc_ms27" vbProcedure="false">In!$E$93</definedName>
    <definedName function="false" hidden="false" name="rc_ms28" vbProcedure="false">In!$E$94</definedName>
    <definedName function="false" hidden="false" name="rc_thr" vbProcedure="false">In!$E$98</definedName>
    <definedName function="false" hidden="false" name="sh_fd" vbProcedure="false">In!$E$33</definedName>
    <definedName function="false" hidden="false" name="sh_fd_hi" vbProcedure="false">In!$F$33</definedName>
    <definedName function="false" hidden="false" name="sh_fd_lo" vbProcedure="false">In!$D$33</definedName>
    <definedName function="false" hidden="false" name="sh_mu_25" vbProcedure="false">In!$E$28</definedName>
    <definedName function="false" hidden="false" name="sh_mu_25_hi" vbProcedure="false">In!$F$28</definedName>
    <definedName function="false" hidden="false" name="sh_mu_25_lo" vbProcedure="false">In!$D$28</definedName>
    <definedName function="false" hidden="false" name="sh_mu_26" vbProcedure="false">In!$E$29</definedName>
    <definedName function="false" hidden="false" name="sh_mu_26_hi" vbProcedure="false">In!$F$29</definedName>
    <definedName function="false" hidden="false" name="sh_mu_26_lo" vbProcedure="false">In!$D$29</definedName>
    <definedName function="false" hidden="false" name="sh_mu_27" vbProcedure="false">In!$E$30</definedName>
    <definedName function="false" hidden="false" name="sh_mu_27_hi" vbProcedure="false">In!$F$30</definedName>
    <definedName function="false" hidden="false" name="sh_mu_27_lo" vbProcedure="false">In!$D$30</definedName>
    <definedName function="false" hidden="false" name="sh_oth" vbProcedure="false">In!$E$43</definedName>
    <definedName function="false" hidden="false" name="sh_oth_hi" vbProcedure="false">In!$F$43</definedName>
    <definedName function="false" hidden="false" name="sh_oth_lo" vbProcedure="false">In!$D$43</definedName>
    <definedName function="false" hidden="false" name="sh_sk" vbProcedure="false">In!$E$31</definedName>
    <definedName function="false" hidden="false" name="sh_sk_hi" vbProcedure="false">In!$F$31</definedName>
    <definedName function="false" hidden="false" name="sh_sk_lo" vbProcedure="false">In!$D$31</definedName>
    <definedName function="false" hidden="false" name="sh_ss" vbProcedure="false">In!$E$32</definedName>
    <definedName function="false" hidden="false" name="sh_ss_hi" vbProcedure="false">In!$F$32</definedName>
    <definedName function="false" hidden="false" name="sh_ss_lo" vbProcedure="false">In!$D$32</definedName>
    <definedName function="false" hidden="false" name="ss_mem" vbProcedure="false">In!$E$25</definedName>
    <definedName function="false" hidden="false" name="ss_mem_hi" vbProcedure="false">In!$F$25</definedName>
    <definedName function="false" hidden="false" name="ss_mem_lo" vbProcedure="false">In!$D$25</definedName>
    <definedName function="false" hidden="false" name="s_dram_26" vbProcedure="false">In!$E$54</definedName>
    <definedName function="false" hidden="false" name="s_fd_26" vbProcedure="false">In!$E$62</definedName>
    <definedName function="false" hidden="false" name="s_nand_26" vbProcedure="false">In!$E$58</definedName>
    <definedName function="false" hidden="false" name="s_pkg_26" vbProcedure="false">In!$E$73</definedName>
    <definedName function="false" hidden="false" name="s_pkg_28" vbProcedure="false">In!$E$75</definedName>
    <definedName function="false" hidden="false" name="s_test_26" vbProcedure="false">In!$E$70</definedName>
    <definedName function="false" hidden="false" name="s_test_28" vbProcedure="false">In!$E$72</definedName>
    <definedName function="false" hidden="false" name="s_tot_26" vbProcedure="false">In!$E$76</definedName>
    <definedName function="false" hidden="false" name="s_tot_28" vbProcedure="false">In!$E$78</definedName>
    <definedName function="false" hidden="false" name="s_wfe_26" vbProcedure="false">In!$E$66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<sst xmlns="http://schemas.openxmlformats.org/spreadsheetml/2006/main" count="1414" uniqueCount="906">
  <si>
    <r>
      <rPr>
        <b val="true"/>
        <sz val="11"/>
        <rFont val="WenQuanYi Zen Hei"/>
        <family val="2"/>
      </rPr>
      <t xml:space="preserve">半導體設備市場模型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：設備與材料——設備部分）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</si>
  <si>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模型命題：設備需求＝為滿足記憶體、代工擴產所需的資本支出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設備占比；本模型回答核心問題 </t>
    </r>
    <r>
      <rPr>
        <sz val="11"/>
        <rFont val="Cambria"/>
        <family val="0"/>
        <charset val="1"/>
      </rPr>
      <t xml:space="preserve">1——</t>
    </r>
    <r>
      <rPr>
        <sz val="11"/>
        <rFont val="WenQuanYi Zen Hei"/>
        <family val="2"/>
      </rPr>
      <t xml:space="preserve">設備循環在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還是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見頂——並列出核心問題 </t>
    </r>
    <r>
      <rPr>
        <sz val="11"/>
        <rFont val="Cambria"/>
        <family val="0"/>
        <charset val="1"/>
      </rPr>
      <t xml:space="preserve">2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3 </t>
    </r>
    <r>
      <rPr>
        <sz val="11"/>
        <rFont val="WenQuanYi Zen Hei"/>
        <family val="2"/>
      </rPr>
      <t xml:space="preserve">的瓶頸表。公司份額與毛利留給公司層，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不做。</t>
    </r>
  </si>
  <si>
    <t xml:space="preserve">驅動因子 → 推導量</t>
  </si>
  <si>
    <r>
      <rPr>
        <sz val="11"/>
        <rFont val="Cambria"/>
        <family val="0"/>
        <charset val="1"/>
      </rPr>
      <t xml:space="preserve">In</t>
    </r>
    <r>
      <rPr>
        <sz val="11"/>
        <rFont val="WenQuanYi Zen Hei"/>
        <family val="2"/>
      </rPr>
      <t xml:space="preserve">：公司資本支出（讀自 </t>
    </r>
    <r>
      <rPr>
        <sz val="11"/>
        <rFont val="Cambria"/>
        <family val="0"/>
        <charset val="1"/>
      </rPr>
      <t xml:space="preserve">skhynix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micron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samsung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tsmc dist</t>
    </r>
    <r>
      <rPr>
        <sz val="11"/>
        <rFont val="WenQuanYi Zen Hei"/>
        <family val="2"/>
      </rPr>
      <t xml:space="preserve">，不修改它們）、設備占資本支出比例（兩個來源給低／高）、</t>
    </r>
    <r>
      <rPr>
        <sz val="11"/>
        <rFont val="Cambria"/>
        <family val="0"/>
        <charset val="1"/>
      </rPr>
      <t xml:space="preserve">SEMI 2026-07 </t>
    </r>
    <r>
      <rPr>
        <sz val="11"/>
        <rFont val="WenQuanYi Zen Hei"/>
        <family val="2"/>
      </rPr>
      <t xml:space="preserve">分項、情境係數（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）、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分類假設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</si>
  <si>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海力士、三星設備占比以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實績校準（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），其他記憶體廠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基準＝獨立估計，代工邏輯其他廠＝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實績殘差；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起各廠資本支出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占比，其他廠基準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）；測試與封裝＝</t>
    </r>
    <r>
      <rPr>
        <sz val="11"/>
        <rFont val="Cambria"/>
        <family val="0"/>
        <charset val="1"/>
      </rPr>
      <t xml:space="preserve">SEMI</t>
    </r>
    <r>
      <rPr>
        <sz val="11"/>
        <rFont val="WenQuanYi Zen Hei"/>
        <family val="2"/>
      </rPr>
      <t xml:space="preserve">；三情境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增量占比；見頂年度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</si>
  <si>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：對 </t>
    </r>
    <r>
      <rPr>
        <sz val="11"/>
        <rFont val="Cambria"/>
        <family val="0"/>
        <charset val="1"/>
      </rPr>
      <t xml:space="preserve">SEMI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Lam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KLA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Morgan Stanley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Goldman Sachs </t>
    </r>
    <r>
      <rPr>
        <sz val="11"/>
        <rFont val="WenQuanYi Zen Hei"/>
        <family val="2"/>
      </rPr>
      <t xml:space="preserve">的差距；不為對上而調參。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：占比、匯率、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資本支出、其他廠成長率與基準、情境係數</t>
    </r>
  </si>
  <si>
    <r>
      <rPr>
        <b val="true"/>
        <sz val="11"/>
        <rFont val="WenQuanYi Zen Hei"/>
        <family val="2"/>
      </rPr>
      <t xml:space="preserve">結果摘要（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建置時；見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WenQuanYi Zen Hei"/>
        <family val="2"/>
      </rPr>
      <t xml:space="preserve">摘要區）</t>
    </r>
  </si>
  <si>
    <r>
      <rPr>
        <sz val="11"/>
        <rFont val="WenQuanYi Zen Hei"/>
        <family val="2"/>
      </rPr>
      <t xml:space="preserve">設備總額（</t>
    </r>
    <r>
      <rPr>
        <sz val="11"/>
        <rFont val="Cambria"/>
        <family val="0"/>
        <charset val="1"/>
      </rPr>
      <t xml:space="preserve">$B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A 2025–2029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246.0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260.7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仍增，未在區間內見頂）；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207.3</t>
    </r>
    <r>
      <rPr>
        <sz val="11"/>
        <rFont val="WenQuanYi Zen Hei"/>
        <family val="2"/>
      </rPr>
      <t xml:space="preserve">（見頂 </t>
    </r>
    <r>
      <rPr>
        <sz val="11"/>
        <rFont val="Cambria"/>
        <family val="0"/>
        <charset val="1"/>
      </rPr>
      <t xml:space="preserve">2028</t>
    </r>
    <r>
      <rPr>
        <sz val="11"/>
        <rFont val="WenQuanYi Zen Hei"/>
        <family val="2"/>
      </rPr>
      <t xml:space="preserve">，與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同水準）；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174.6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174.6</t>
    </r>
    <r>
      <rPr>
        <sz val="11"/>
        <rFont val="WenQuanYi Zen Hei"/>
        <family val="2"/>
      </rPr>
      <t xml:space="preserve">（見頂 </t>
    </r>
    <r>
      <rPr>
        <sz val="11"/>
        <rFont val="Cambria"/>
        <family val="0"/>
        <charset val="1"/>
      </rPr>
      <t xml:space="preserve">2027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</si>
  <si>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校準（只用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實績）：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海力士、三星共用一個設備占比 </t>
    </r>
    <r>
      <rPr>
        <sz val="11"/>
        <rFont val="Cambria"/>
        <family val="0"/>
        <charset val="1"/>
      </rPr>
      <t xml:space="preserve">45.5%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；低 </t>
    </r>
    <r>
      <rPr>
        <sz val="11"/>
        <rFont val="Cambria"/>
        <family val="0"/>
        <charset val="1"/>
      </rPr>
      <t xml:space="preserve">38.5%</t>
    </r>
    <r>
      <rPr>
        <sz val="11"/>
        <rFont val="WenQuanYi Zen Hei"/>
        <family val="2"/>
      </rPr>
      <t xml:space="preserve">＝長鑫取 </t>
    </r>
    <r>
      <rPr>
        <sz val="11"/>
        <rFont val="Cambria"/>
        <family val="0"/>
        <charset val="1"/>
      </rPr>
      <t xml:space="preserve">12.0</t>
    </r>
    <r>
      <rPr>
        <sz val="11"/>
        <rFont val="WenQuanYi Zen Hei"/>
        <family val="2"/>
      </rPr>
      <t xml:space="preserve">，高 </t>
    </r>
    <r>
      <rPr>
        <sz val="11"/>
        <rFont val="Cambria"/>
        <family val="0"/>
        <charset val="1"/>
      </rPr>
      <t xml:space="preserve">58%</t>
    </r>
    <r>
      <rPr>
        <sz val="11"/>
        <rFont val="WenQuanYi Zen Hei"/>
        <family val="2"/>
      </rPr>
      <t xml:space="preserve">＝業界下限），使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年「三家設備＋其他記憶體廠獨立估計」＝</t>
    </r>
    <r>
      <rPr>
        <sz val="11"/>
        <rFont val="Cambria"/>
        <family val="0"/>
        <charset val="1"/>
      </rPr>
      <t xml:space="preserve">SEMI 2025 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實績（</t>
    </r>
    <r>
      <rPr>
        <sz val="11"/>
        <rFont val="Cambria"/>
        <family val="0"/>
        <charset val="1"/>
      </rPr>
      <t xml:space="preserve">38.5</t>
    </r>
    <r>
      <rPr>
        <sz val="11"/>
        <rFont val="WenQuanYi Zen Hei"/>
        <family val="2"/>
      </rPr>
      <t xml:space="preserve">）；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年以後沿用。美光維持由原文推導的占比（</t>
    </r>
    <r>
      <rPr>
        <sz val="11"/>
        <rFont val="Cambria"/>
        <family val="0"/>
        <charset val="1"/>
      </rPr>
      <t xml:space="preserve">FY26 52.1%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FY27–29 46.0%</t>
    </r>
    <r>
      <rPr>
        <sz val="11"/>
        <rFont val="WenQuanYi Zen Hei"/>
        <family val="2"/>
      </rPr>
      <t xml:space="preserve">）；台積電維持 </t>
    </r>
    <r>
      <rPr>
        <sz val="11"/>
        <rFont val="Cambria"/>
        <family val="0"/>
        <charset val="1"/>
      </rPr>
      <t xml:space="preserve">64%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）。業界值 </t>
    </r>
    <r>
      <rPr>
        <sz val="11"/>
        <rFont val="Cambria"/>
        <family val="0"/>
        <charset val="1"/>
      </rPr>
      <t xml:space="preserve">64% </t>
    </r>
    <r>
      <rPr>
        <sz val="11"/>
        <rFont val="WenQuanYi Zen Hei"/>
        <family val="2"/>
      </rPr>
      <t xml:space="preserve">不再當基準，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保留對照列。</t>
    </r>
  </si>
  <si>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年以後的前段設備完全沒有參照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或券商預測：三家與台積電的資本支出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設備占比，加「其他廠＝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獨立估計（記憶體）或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實績殘差（代工邏輯）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）」；其他前段維持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年占比。測試與封裝為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輸入（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規格）。</t>
    </r>
    <r>
      <rPr>
        <sz val="11"/>
        <rFont val="Cambria"/>
        <family val="0"/>
        <charset val="1"/>
      </rPr>
      <t xml:space="preserve">SEMI 2026 </t>
    </r>
    <r>
      <rPr>
        <sz val="11"/>
        <rFont val="WenQuanYi Zen Hei"/>
        <family val="2"/>
      </rPr>
      <t xml:space="preserve">以後的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、代工邏輯、前段預測只用於對帳。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</si>
  <si>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相關增量（先進邏輯＋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＋先進封裝）占總增量（相對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累計）：</t>
    </r>
    <r>
      <rPr>
        <sz val="11"/>
        <rFont val="Cambria"/>
        <family val="0"/>
        <charset val="1"/>
      </rPr>
      <t xml:space="preserve">A 2026–2029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61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60%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B 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64%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C 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72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72%</t>
    </r>
    <r>
      <rPr>
        <sz val="11"/>
        <rFont val="WenQuanYi Zen Hei"/>
        <family val="2"/>
      </rPr>
      <t xml:space="preserve">。結論取決於情境係數（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），不是預測。</t>
    </r>
  </si>
  <si>
    <t xml:space="preserve">限制</t>
  </si>
  <si>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校準依賴其他記憶體廠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獨立估計（長鑫 </t>
    </r>
    <r>
      <rPr>
        <sz val="11"/>
        <rFont val="Cambria"/>
        <family val="0"/>
        <charset val="1"/>
      </rPr>
      <t xml:space="preserve">6.9–12.0 </t>
    </r>
    <r>
      <rPr>
        <sz val="11"/>
        <rFont val="WenQuanYi Zen Hei"/>
        <family val="2"/>
      </rPr>
      <t xml:space="preserve">無一手資料、長江存儲為推算、華邦與 </t>
    </r>
    <r>
      <rPr>
        <sz val="11"/>
        <rFont val="Cambria"/>
        <family val="0"/>
        <charset val="1"/>
      </rPr>
      <t xml:space="preserve">SanDisk </t>
    </r>
    <r>
      <rPr>
        <sz val="11"/>
        <rFont val="WenQuanYi Zen Hei"/>
        <family val="2"/>
      </rPr>
      <t xml:space="preserve">未找到）與三星記憶體資本支出假設；校準值低於業界下限 </t>
    </r>
    <r>
      <rPr>
        <sz val="11"/>
        <rFont val="Cambria"/>
        <family val="0"/>
        <charset val="1"/>
      </rPr>
      <t xml:space="preserve">58%</t>
    </r>
    <r>
      <rPr>
        <sz val="11"/>
        <rFont val="WenQuanYi Zen Hei"/>
        <family val="2"/>
      </rPr>
      <t xml:space="preserve">，方向與美光「增量多數為建築」一致，但不是證明。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拆分不準（合計準）。</t>
    </r>
  </si>
  <si>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其他廠成長率為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（長鑫、長江存儲、三星晶圓代工、華虹的資本支出指引未找到）。</t>
    </r>
    <r>
      <rPr>
        <sz val="11"/>
        <rFont val="Cambria"/>
        <family val="0"/>
        <charset val="1"/>
      </rPr>
      <t xml:space="preserve">(3) </t>
    </r>
    <r>
      <rPr>
        <sz val="11"/>
        <rFont val="WenQuanYi Zen Hei"/>
        <family val="2"/>
      </rPr>
      <t xml:space="preserve">測試與封裝以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為輸入：缺少每顆加速器的測試時間與每條產線鍵合機台數資料。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情境係數為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，是「若 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則…」的情境。</t>
    </r>
  </si>
  <si>
    <r>
      <rPr>
        <sz val="11"/>
        <rFont val="Cambria"/>
        <family val="0"/>
        <charset val="1"/>
      </rPr>
      <t xml:space="preserve">(5) Morgan Stanley 202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227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itiger </t>
    </r>
    <r>
      <rPr>
        <sz val="11"/>
        <rFont val="WenQuanYi Zen Hei"/>
        <family val="2"/>
      </rPr>
      <t xml:space="preserve">二手轉述（</t>
    </r>
    <r>
      <rPr>
        <sz val="11"/>
        <rFont val="Cambria"/>
        <family val="0"/>
        <charset val="1"/>
      </rPr>
      <t xml:space="preserve">2026-07-06</t>
    </r>
    <r>
      <rPr>
        <sz val="11"/>
        <rFont val="WenQuanYi Zen Hei"/>
        <family val="2"/>
      </rPr>
      <t xml:space="preserve">，環境無法開啟，未直接核對；上修前 </t>
    </r>
    <r>
      <rPr>
        <sz val="11"/>
        <rFont val="Cambria"/>
        <family val="0"/>
        <charset val="1"/>
      </rPr>
      <t xml:space="preserve">191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215 </t>
    </r>
    <r>
      <rPr>
        <sz val="11"/>
        <rFont val="WenQuanYi Zen Hei"/>
        <family val="2"/>
      </rPr>
      <t xml:space="preserve">另有 </t>
    </r>
    <r>
      <rPr>
        <sz val="11"/>
        <rFont val="Cambria"/>
        <family val="0"/>
        <charset val="1"/>
      </rPr>
      <t xml:space="preserve">Investing.com </t>
    </r>
    <r>
      <rPr>
        <sz val="11"/>
        <rFont val="WenQuanYi Zen Hei"/>
        <family val="2"/>
      </rPr>
      <t xml:space="preserve">佐證）。</t>
    </r>
    <r>
      <rPr>
        <sz val="11"/>
        <rFont val="Cambria"/>
        <family val="0"/>
        <charset val="1"/>
      </rPr>
      <t xml:space="preserve">(6) </t>
    </r>
    <r>
      <rPr>
        <sz val="11"/>
        <rFont val="WenQuanYi Zen Hei"/>
        <family val="2"/>
      </rPr>
      <t xml:space="preserve">台積電資本支出含先進封裝、光罩（公司稱 </t>
    </r>
    <r>
      <rPr>
        <sz val="11"/>
        <rFont val="Cambria"/>
        <family val="0"/>
        <charset val="1"/>
      </rPr>
      <t xml:space="preserve">10–20%</t>
    </r>
    <r>
      <rPr>
        <sz val="11"/>
        <rFont val="WenQuanYi Zen Hei"/>
        <family val="2"/>
      </rPr>
      <t xml:space="preserve">），與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後段、其他前段可能重疊：重疊程度無法識別，</t>
    </r>
    <r>
      <rPr>
        <sz val="11"/>
        <rFont val="Cambria"/>
        <family val="0"/>
        <charset val="1"/>
      </rPr>
      <t xml:space="preserve">base </t>
    </r>
    <r>
      <rPr>
        <sz val="11"/>
        <rFont val="WenQuanYi Zen Hei"/>
        <family val="2"/>
      </rPr>
      <t xml:space="preserve">不扣，上限影響見 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（情境 </t>
    </r>
    <r>
      <rPr>
        <sz val="11"/>
        <rFont val="Cambria"/>
        <family val="0"/>
        <charset val="1"/>
      </rPr>
      <t xml:space="preserve">A 2026–2029 </t>
    </r>
    <r>
      <rPr>
        <sz val="11"/>
        <rFont val="WenQuanYi Zen Hei"/>
        <family val="2"/>
      </rPr>
      <t xml:space="preserve">約 −</t>
    </r>
    <r>
      <rPr>
        <sz val="11"/>
        <rFont val="Cambria"/>
        <family val="0"/>
        <charset val="1"/>
      </rPr>
      <t xml:space="preserve">1.1% </t>
    </r>
    <r>
      <rPr>
        <sz val="11"/>
        <rFont val="WenQuanYi Zen Hei"/>
        <family val="2"/>
      </rPr>
      <t xml:space="preserve">至 −</t>
    </r>
    <r>
      <rPr>
        <sz val="11"/>
        <rFont val="Cambria"/>
        <family val="0"/>
        <charset val="1"/>
      </rPr>
      <t xml:space="preserve">2.2%</t>
    </r>
    <r>
      <rPr>
        <sz val="11"/>
        <rFont val="WenQuanYi Zen Hei"/>
        <family val="2"/>
      </rPr>
      <t xml:space="preserve">）。</t>
    </r>
  </si>
  <si>
    <r>
      <rPr>
        <sz val="11"/>
        <rFont val="Cambria"/>
        <family val="0"/>
        <charset val="1"/>
      </rPr>
      <t xml:space="preserve">(7) </t>
    </r>
    <r>
      <rPr>
        <sz val="11"/>
        <rFont val="WenQuanYi Zen Hei"/>
        <family val="2"/>
      </rPr>
      <t xml:space="preserve">時差：資本支出是現金支出，設備營收是出貨認列，兩者約差一到兩季，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沒有建模（年度金額直接相乘）。</t>
    </r>
    <r>
      <rPr>
        <sz val="11"/>
        <rFont val="Cambria"/>
        <family val="0"/>
        <charset val="1"/>
      </rPr>
      <t xml:space="preserve">(8) </t>
    </r>
    <r>
      <rPr>
        <sz val="11"/>
        <rFont val="WenQuanYi Zen Hei"/>
        <family val="2"/>
      </rPr>
      <t xml:space="preserve">設備占比：美光依公司揭露推導（引文為一手，比例為 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；公司原文是「增量」多數為建築，並未給設備占比）；台積電的設備／建築比例未找到年報分類數字（附註有揭露，本環境無法開啟原文），用業界值 </t>
    </r>
    <r>
      <rPr>
        <sz val="11"/>
        <rFont val="Cambria"/>
        <family val="0"/>
        <charset val="1"/>
      </rPr>
      <t xml:space="preserve">64%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，區間改 </t>
    </r>
    <r>
      <rPr>
        <sz val="11"/>
        <rFont val="Cambria"/>
        <family val="0"/>
        <charset val="1"/>
      </rPr>
      <t xml:space="preserve">50–75%</t>
    </r>
    <r>
      <rPr>
        <sz val="11"/>
        <rFont val="WenQuanYi Zen Hei"/>
        <family val="2"/>
      </rPr>
      <t xml:space="preserve">），以董事會資本預算分項（</t>
    </r>
    <r>
      <rPr>
        <sz val="11"/>
        <rFont val="Cambria"/>
        <family val="0"/>
        <charset val="1"/>
      </rPr>
      <t xml:space="preserve">5 </t>
    </r>
    <r>
      <rPr>
        <sz val="11"/>
        <rFont val="WenQuanYi Zen Hei"/>
        <family val="2"/>
      </rPr>
      <t xml:space="preserve">次彙總 </t>
    </r>
    <r>
      <rPr>
        <sz val="11"/>
        <rFont val="Cambria"/>
        <family val="0"/>
        <charset val="1"/>
      </rPr>
      <t xml:space="preserve">60%</t>
    </r>
    <r>
      <rPr>
        <sz val="11"/>
        <rFont val="WenQuanYi Zen Hei"/>
        <family val="2"/>
      </rPr>
      <t xml:space="preserve">）與元大 </t>
    </r>
    <r>
      <rPr>
        <sz val="11"/>
        <rFont val="Cambria"/>
        <family val="0"/>
        <charset val="1"/>
      </rPr>
      <t xml:space="preserve">7</t>
    </r>
    <r>
      <rPr>
        <sz val="11"/>
        <rFont val="WenQuanYi Zen Hei"/>
        <family val="2"/>
      </rPr>
      <t xml:space="preserve">～</t>
    </r>
    <r>
      <rPr>
        <sz val="11"/>
        <rFont val="Cambria"/>
        <family val="0"/>
        <charset val="1"/>
      </rPr>
      <t xml:space="preserve">8 </t>
    </r>
    <r>
      <rPr>
        <sz val="11"/>
        <rFont val="WenQuanYi Zen Hei"/>
        <family val="2"/>
      </rPr>
      <t xml:space="preserve">成交叉檢查。</t>
    </r>
  </si>
  <si>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2026-10-23</t>
    </r>
    <r>
      <rPr>
        <b val="true"/>
        <sz val="11"/>
        <rFont val="WenQuanYi Zen Hei"/>
        <family val="2"/>
      </rPr>
      <t xml:space="preserve">）台積電設備占比查證</t>
    </r>
  </si>
  <si>
    <r>
      <rPr>
        <sz val="11"/>
        <rFont val="WenQuanYi Zen Hei"/>
        <family val="2"/>
      </rPr>
      <t xml:space="preserve">結論：台積電設備占比維持 </t>
    </r>
    <r>
      <rPr>
        <sz val="11"/>
        <rFont val="Cambria"/>
        <family val="0"/>
        <charset val="1"/>
      </rPr>
      <t xml:space="preserve">64%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），只改區間（</t>
    </r>
    <r>
      <rPr>
        <sz val="11"/>
        <rFont val="Cambria"/>
        <family val="0"/>
        <charset val="1"/>
      </rPr>
      <t xml:space="preserve">58–70% → 50–75%</t>
    </r>
    <r>
      <rPr>
        <sz val="11"/>
        <rFont val="WenQuanYi Zen Hei"/>
        <family val="2"/>
      </rPr>
      <t xml:space="preserve">）；數值不變，三情境設備總額與見頂年度與 </t>
    </r>
    <r>
      <rPr>
        <sz val="11"/>
        <rFont val="Cambria"/>
        <family val="0"/>
        <charset val="1"/>
      </rPr>
      <t xml:space="preserve">v0.1.1 </t>
    </r>
    <r>
      <rPr>
        <sz val="11"/>
        <rFont val="WenQuanYi Zen Hei"/>
        <family val="2"/>
      </rPr>
      <t xml:space="preserve">完全相同。理由：</t>
    </r>
    <r>
      <rPr>
        <sz val="11"/>
        <rFont val="Cambria"/>
        <family val="0"/>
        <charset val="1"/>
      </rPr>
      <t xml:space="preserve">(a) </t>
    </r>
    <r>
      <rPr>
        <sz val="11"/>
        <rFont val="WenQuanYi Zen Hei"/>
        <family val="2"/>
      </rPr>
      <t xml:space="preserve">董事會資本預算「機器設備」占比 </t>
    </r>
    <r>
      <rPr>
        <sz val="11"/>
        <rFont val="Cambria"/>
        <family val="0"/>
        <charset val="1"/>
      </rPr>
      <t xml:space="preserve">5 </t>
    </r>
    <r>
      <rPr>
        <sz val="11"/>
        <rFont val="WenQuanYi Zen Hei"/>
        <family val="2"/>
      </rPr>
      <t xml:space="preserve">次彙總 </t>
    </r>
    <r>
      <rPr>
        <sz val="11"/>
        <rFont val="Cambria"/>
        <family val="0"/>
        <charset val="1"/>
      </rPr>
      <t xml:space="preserve">60%</t>
    </r>
    <r>
      <rPr>
        <sz val="11"/>
        <rFont val="WenQuanYi Zen Hei"/>
        <family val="2"/>
      </rPr>
      <t xml:space="preserve">（單次 </t>
    </r>
    <r>
      <rPr>
        <sz val="11"/>
        <rFont val="Cambria"/>
        <family val="0"/>
        <charset val="1"/>
      </rPr>
      <t xml:space="preserve">47–71%</t>
    </r>
    <r>
      <rPr>
        <sz val="11"/>
        <rFont val="WenQuanYi Zen Hei"/>
        <family val="2"/>
      </rPr>
      <t xml:space="preserve">），元大稱先進製程前段設備 </t>
    </r>
    <r>
      <rPr>
        <sz val="11"/>
        <rFont val="Cambria"/>
        <family val="0"/>
        <charset val="1"/>
      </rPr>
      <t xml:space="preserve">7</t>
    </r>
    <r>
      <rPr>
        <sz val="11"/>
        <rFont val="WenQuanYi Zen Hei"/>
        <family val="2"/>
      </rPr>
      <t xml:space="preserve">～</t>
    </r>
    <r>
      <rPr>
        <sz val="11"/>
        <rFont val="Cambria"/>
        <family val="0"/>
        <charset val="1"/>
      </rPr>
      <t xml:space="preserve">8 </t>
    </r>
    <r>
      <rPr>
        <sz val="11"/>
        <rFont val="WenQuanYi Zen Hei"/>
        <family val="2"/>
      </rPr>
      <t xml:space="preserve">成，兩者夾住 </t>
    </r>
    <r>
      <rPr>
        <sz val="11"/>
        <rFont val="Cambria"/>
        <family val="0"/>
        <charset val="1"/>
      </rPr>
      <t xml:space="preserve">64%</t>
    </r>
    <r>
      <rPr>
        <sz val="11"/>
        <rFont val="WenQuanYi Zen Hei"/>
        <family val="2"/>
      </rPr>
      <t xml:space="preserve">，都沒有像 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海力士、三星（</t>
    </r>
    <r>
      <rPr>
        <sz val="11"/>
        <rFont val="Cambria"/>
        <family val="0"/>
        <charset val="1"/>
      </rPr>
      <t xml:space="preserve">45.5%</t>
    </r>
    <r>
      <rPr>
        <sz val="11"/>
        <rFont val="WenQuanYi Zen Hei"/>
        <family val="2"/>
      </rPr>
      <t xml:space="preserve">）那樣明顯偏低；</t>
    </r>
    <r>
      <rPr>
        <sz val="11"/>
        <rFont val="Cambria"/>
        <family val="0"/>
        <charset val="1"/>
      </rPr>
      <t xml:space="preserve">(b) SEMI 2025 </t>
    </r>
    <r>
      <rPr>
        <sz val="11"/>
        <rFont val="WenQuanYi Zen Hei"/>
        <family val="2"/>
      </rPr>
      <t xml:space="preserve">代工邏輯實績無法校準台積電：台積電占比與『未列名其他廠』是兩個未知數、一條方程式（</t>
    </r>
    <r>
      <rPr>
        <sz val="11"/>
        <rFont val="Cambria"/>
        <family val="0"/>
        <charset val="1"/>
      </rPr>
      <t xml:space="preserve">TSMC </t>
    </r>
    <r>
      <rPr>
        <sz val="11"/>
        <rFont val="WenQuanYi Zen Hei"/>
        <family val="2"/>
      </rPr>
      <t xml:space="preserve">頁），所以沒有比照記憶體做校準。</t>
    </r>
  </si>
  <si>
    <r>
      <rPr>
        <sz val="11"/>
        <rFont val="WenQuanYi Zen Hei"/>
        <family val="2"/>
      </rPr>
      <t xml:space="preserve">證據缺口：年報／</t>
    </r>
    <r>
      <rPr>
        <sz val="11"/>
        <rFont val="Cambria"/>
        <family val="0"/>
        <charset val="1"/>
      </rPr>
      <t xml:space="preserve">20-F </t>
    </r>
    <r>
      <rPr>
        <sz val="11"/>
        <rFont val="WenQuanYi Zen Hei"/>
        <family val="2"/>
      </rPr>
      <t xml:space="preserve">不動產廠房及設備附註的分類增添（</t>
    </r>
    <r>
      <rPr>
        <sz val="11"/>
        <rFont val="Cambria"/>
        <family val="0"/>
        <charset val="1"/>
      </rPr>
      <t xml:space="preserve">2021–2025</t>
    </r>
    <r>
      <rPr>
        <sz val="11"/>
        <rFont val="WenQuanYi Zen Hei"/>
        <family val="2"/>
      </rPr>
      <t xml:space="preserve">）、董事會預算 </t>
    </r>
    <r>
      <rPr>
        <sz val="11"/>
        <rFont val="Cambria"/>
        <family val="0"/>
        <charset val="1"/>
      </rPr>
      <t xml:space="preserve">2021–2024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2025-02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2025-11 </t>
    </r>
    <r>
      <rPr>
        <sz val="11"/>
        <rFont val="WenQuanYi Zen Hei"/>
        <family val="2"/>
      </rPr>
      <t xml:space="preserve">的分項、</t>
    </r>
    <r>
      <rPr>
        <sz val="11"/>
        <rFont val="Cambria"/>
        <family val="0"/>
        <charset val="1"/>
      </rPr>
      <t xml:space="preserve">2021 </t>
    </r>
    <r>
      <rPr>
        <sz val="11"/>
        <rFont val="WenQuanYi Zen Hei"/>
        <family val="2"/>
      </rPr>
      <t xml:space="preserve">年現金資本支出：未找到（檢索缺口，非公司不揭露）。董事會預算是核准額不是支出，且含非現金的資本化租賃資產。</t>
    </r>
  </si>
  <si>
    <r>
      <rPr>
        <b val="true"/>
        <sz val="11"/>
        <rFont val="WenQuanYi Zen Hei"/>
        <family val="2"/>
      </rPr>
      <t xml:space="preserve">瓶頸表（核心問題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只做表，不入模）</t>
    </r>
  </si>
  <si>
    <t xml:space="preserve">瓶頸</t>
  </si>
  <si>
    <r>
      <rPr>
        <b val="true"/>
        <sz val="11"/>
        <rFont val="WenQuanYi Zen Hei"/>
        <family val="2"/>
      </rPr>
      <t xml:space="preserve">現況（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能找到的證據）</t>
    </r>
  </si>
  <si>
    <t xml:space="preserve">來源</t>
  </si>
  <si>
    <t xml:space="preserve">證據強度</t>
  </si>
  <si>
    <t xml:space="preserve">對本模型的含意</t>
  </si>
  <si>
    <t xml:space="preserve">無塵室空間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</si>
  <si>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資本支出『增量』一半以上為建築（</t>
    </r>
    <r>
      <rPr>
        <sz val="11"/>
        <color theme="1"/>
        <rFont val="Calibri"/>
        <family val="2"/>
        <charset val="1"/>
      </rPr>
      <t xml:space="preserve">FQ3 </t>
    </r>
    <r>
      <rPr>
        <sz val="11"/>
        <color theme="1"/>
        <rFont val="WenQuanYi Zen Hei"/>
        <family val="2"/>
      </rPr>
      <t xml:space="preserve">稿）、『增量』多數為建築且用於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下半年後的無塵室（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WenQuanYi Zen Hei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稱客戶受廠房就緒度與廠房外殼限制，壓住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WenQuanYi Zen Hei"/>
        <family val="2"/>
      </rPr>
      <t xml:space="preserve">出貨；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證券稱記憶體供給成長受無塵室限制至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海力士首座無塵室提前到 </t>
    </r>
    <r>
      <rPr>
        <sz val="11"/>
        <color theme="1"/>
        <rFont val="Calibri"/>
        <family val="2"/>
        <charset val="1"/>
      </rPr>
      <t xml:space="preserve">2027-02</t>
    </r>
  </si>
  <si>
    <r>
      <rPr>
        <sz val="11"/>
        <color theme="1"/>
        <rFont val="Calibri"/>
        <family val="2"/>
        <charset val="1"/>
      </rPr>
      <t xml:space="preserve">Micron FQ3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KLA FQ2 2026 </t>
    </r>
    <r>
      <rPr>
        <sz val="11"/>
        <color theme="1"/>
        <rFont val="WenQuanYi Zen Hei"/>
        <family val="2"/>
      </rPr>
      <t xml:space="preserve">摘要）；</t>
    </r>
    <r>
      <rPr>
        <sz val="11"/>
        <color theme="1"/>
        <rFont val="Calibri"/>
        <family val="2"/>
        <charset val="1"/>
      </rPr>
      <t xml:space="preserve">Cleanroom Technology</t>
    </r>
    <r>
      <rPr>
        <sz val="11"/>
        <color theme="1"/>
        <rFont val="WenQuanYi Zen Hei"/>
        <family val="2"/>
      </rPr>
      <t xml:space="preserve">（三星 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WenQuanYi Zen Hei"/>
        <family val="2"/>
      </rPr>
      <t xml:space="preserve">）</t>
    </r>
  </si>
  <si>
    <t xml:space="preserve">強（美光一手）／中／弱</t>
  </si>
  <si>
    <r>
      <rPr>
        <sz val="11"/>
        <color theme="1"/>
        <rFont val="WenQuanYi Zen Hei"/>
        <family val="2"/>
      </rPr>
      <t xml:space="preserve">解釋為何三家資本支出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設備占比可能超過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記憶體總額；設備認列落後資本支出現金支出一至兩季，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未建模</t>
    </r>
  </si>
  <si>
    <t xml:space="preserve">長交期零組件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</si>
  <si>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：設備零組件（閥件管路、陶瓷、</t>
    </r>
    <r>
      <rPr>
        <sz val="11"/>
        <color theme="1"/>
        <rFont val="Calibri"/>
        <family val="2"/>
        <charset val="1"/>
      </rPr>
      <t xml:space="preserve">RF </t>
    </r>
    <r>
      <rPr>
        <sz val="11"/>
        <color theme="1"/>
        <rFont val="WenQuanYi Zen Hei"/>
        <family val="2"/>
      </rPr>
      <t xml:space="preserve">電源、氣體箱）交期據報倍增、最長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個月；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：日本關鍵零件最長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個月，沉積設備零組件由約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個月增至約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個月</t>
    </r>
  </si>
  <si>
    <r>
      <rPr>
        <sz val="11"/>
        <color theme="1"/>
        <rFont val="Calibri"/>
        <family val="2"/>
        <charset val="1"/>
      </rPr>
      <t xml:space="preserve">TrendForce 2026-09-18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Finance</t>
    </r>
  </si>
  <si>
    <r>
      <rPr>
        <sz val="11"/>
        <color theme="1"/>
        <rFont val="WenQuanYi Zen Hei"/>
        <family val="2"/>
      </rPr>
      <t xml:space="preserve">中（皆為「據報」）／弱；應用材料、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WenQuanYi Zen Hei"/>
        <family val="2"/>
      </rPr>
      <t xml:space="preserve">的一手說法：未找到</t>
    </r>
  </si>
  <si>
    <r>
      <rPr>
        <sz val="11"/>
        <color theme="1"/>
        <rFont val="WenQuanYi Zen Hei"/>
        <family val="2"/>
      </rPr>
      <t xml:space="preserve">限制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設備出貨上限，不改變需求面；若上限生效，情境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可能偏高</t>
    </r>
  </si>
  <si>
    <t xml:space="preserve">EUV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</si>
  <si>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NA </t>
    </r>
    <r>
      <rPr>
        <sz val="11"/>
        <color theme="1"/>
        <rFont val="WenQuanYi Zen Hei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WenQuanYi Zen Hei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再增約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需求超過供給（二手摘要）；各來源對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台數不一致（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WenQuanYi Zen Hei"/>
        <family val="2"/>
      </rPr>
      <t xml:space="preserve">／約 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</si>
  <si>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ASML 2026 Q2 6-K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Pomegra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TechPowerUp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</t>
    </r>
    <r>
      <rPr>
        <sz val="11"/>
        <color theme="1"/>
        <rFont val="WenQuanYi Zen Hei"/>
        <family val="2"/>
      </rPr>
      <t xml:space="preserve">類二手整理</t>
    </r>
  </si>
  <si>
    <r>
      <rPr>
        <sz val="11"/>
        <color theme="1"/>
        <rFont val="WenQuanYi Zen Hei"/>
        <family val="2"/>
      </rPr>
      <t xml:space="preserve">強（產能，一手）／弱（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台數與供不應求，二手）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</si>
  <si>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WenQuanYi Zen Hei"/>
        <family val="2"/>
      </rPr>
      <t xml:space="preserve">台數限制先進邏輯與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增量；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未建模</t>
    </r>
  </si>
  <si>
    <t xml:space="preserve">量測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</si>
  <si>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WenQuanYi Zen Hei"/>
        <family val="2"/>
      </rPr>
      <t xml:space="preserve">；交期 </t>
    </r>
    <r>
      <rPr>
        <sz val="11"/>
        <color theme="1"/>
        <rFont val="Calibri"/>
        <family val="2"/>
        <charset val="1"/>
      </rPr>
      <t xml:space="preserve">18–24 </t>
    </r>
    <r>
      <rPr>
        <sz val="11"/>
        <color theme="1"/>
        <rFont val="WenQuanYi Zen Hei"/>
        <family val="2"/>
      </rPr>
      <t xml:space="preserve">個月僅見於社群貼文轉述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法說；「量測產能是瓶頸」本身的證據：未找到（搜尋 </t>
    </r>
    <r>
      <rPr>
        <sz val="11"/>
        <color theme="1"/>
        <rFont val="Calibri"/>
        <family val="2"/>
        <charset val="1"/>
      </rPr>
      <t xml:space="preserve">Onto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皆無交期或積壓一手數字）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</si>
  <si>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TheValueist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Futurum</t>
    </r>
  </si>
  <si>
    <t xml:space="preserve">弱；瓶頸證據：未找到</t>
  </si>
  <si>
    <r>
      <rPr>
        <sz val="11"/>
        <color theme="1"/>
        <rFont val="WenQuanYi Zen Hei"/>
        <family val="2"/>
      </rPr>
      <t xml:space="preserve">不影響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數字；列為待查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</si>
  <si>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鍵合機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</si>
  <si>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WenQuanYi Zen Hei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前三季）；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約用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WenQuanYi Zen Hei"/>
        <family val="2"/>
      </rPr>
      <t xml:space="preserve">組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WenQuanYi Zen Hei"/>
        <family val="2"/>
      </rPr>
      <t xml:space="preserve">鍵合機、約半數來自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WenQuanYi Zen Hei"/>
        <family val="2"/>
      </rPr>
      <t xml:space="preserve">；預期約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WenQuanYi Zen Hei"/>
        <family val="2"/>
      </rPr>
      <t xml:space="preserve">台訂單（</t>
    </r>
    <r>
      <rPr>
        <sz val="11"/>
        <color theme="1"/>
        <rFont val="Calibri"/>
        <family val="2"/>
        <charset val="1"/>
      </rPr>
      <t xml:space="preserve">M15X 1b DRAM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Hanmi 6 </t>
    </r>
    <r>
      <rPr>
        <sz val="11"/>
        <color theme="1"/>
        <rFont val="WenQuanYi Zen Hei"/>
        <family val="2"/>
      </rPr>
      <t xml:space="preserve">月接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台。供給短缺或交期：未找到</t>
    </r>
  </si>
  <si>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Techtimes 2026-06</t>
    </r>
  </si>
  <si>
    <t xml:space="preserve">中（供應商集中度）；短缺：未找到</t>
  </si>
  <si>
    <r>
      <rPr>
        <sz val="11"/>
        <color theme="1"/>
        <rFont val="WenQuanYi Zen Hei"/>
        <family val="2"/>
      </rPr>
      <t xml:space="preserve">鍵合機屬後段／封裝，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金額為輸入，未建模</t>
    </r>
  </si>
  <si>
    <t xml:space="preserve">對帳差距說明</t>
  </si>
  <si>
    <r>
      <rPr>
        <sz val="11"/>
        <color theme="1"/>
        <rFont val="WenQuanYi Zen Hei"/>
        <family val="2"/>
      </rPr>
      <t xml:space="preserve">對帳差距 </t>
    </r>
    <r>
      <rPr>
        <sz val="11"/>
        <color theme="1"/>
        <rFont val="Calibri"/>
        <family val="2"/>
        <charset val="1"/>
      </rPr>
      <t xml:space="preserve">&gt; 15% </t>
    </r>
    <r>
      <rPr>
        <sz val="11"/>
        <color theme="1"/>
        <rFont val="WenQuanYi Zen Hei"/>
        <family val="2"/>
      </rPr>
      <t xml:space="preserve">的項目與可能原因（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建置時數值；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實績校準之外，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年以後完全沒有參照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或券商的預測來設定參數）：</t>
    </r>
  </si>
  <si>
    <r>
      <rPr>
        <sz val="11"/>
        <color theme="1"/>
        <rFont val="Calibri"/>
        <family val="2"/>
        <charset val="1"/>
      </rPr>
      <t xml:space="preserve">(a) 2026 NAND +25.9%</t>
    </r>
    <r>
      <rPr>
        <sz val="11"/>
        <color theme="1"/>
        <rFont val="WenQuanYi Zen Hei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17.5 vs SEMI 13.9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年三家設備以 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72.4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27.6</t>
    </r>
    <r>
      <rPr>
        <sz val="11"/>
        <color theme="1"/>
        <rFont val="WenQuanYi Zen Hei"/>
        <family val="2"/>
      </rPr>
      <t xml:space="preserve">）拆分，其他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廠（鎧俠、長江存儲）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獨立估計 </t>
    </r>
    <r>
      <rPr>
        <sz val="11"/>
        <color theme="1"/>
        <rFont val="Calibri"/>
        <family val="2"/>
        <charset val="1"/>
      </rPr>
      <t xml:space="preserve">3.9 $B </t>
    </r>
    <r>
      <rPr>
        <sz val="11"/>
        <color theme="1"/>
        <rFont val="WenQuanYi Zen Hei"/>
        <family val="2"/>
      </rPr>
      <t xml:space="preserve">已占 </t>
    </r>
    <r>
      <rPr>
        <sz val="11"/>
        <color theme="1"/>
        <rFont val="Calibri"/>
        <family val="2"/>
        <charset val="1"/>
      </rPr>
      <t xml:space="preserve">SEMI 2025 NAND 10.6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WenQuanYi Zen Hei"/>
        <family val="2"/>
      </rPr>
      <t xml:space="preserve">，再乘 </t>
    </r>
    <r>
      <rPr>
        <sz val="11"/>
        <color theme="1"/>
        <rFont val="Calibri"/>
        <family val="2"/>
        <charset val="1"/>
      </rPr>
      <t xml:space="preserve">18% </t>
    </r>
    <r>
      <rPr>
        <sz val="11"/>
        <color theme="1"/>
        <rFont val="WenQuanYi Zen Hei"/>
        <family val="2"/>
      </rPr>
      <t xml:space="preserve">成長；</t>
    </r>
    <r>
      <rPr>
        <sz val="11"/>
        <color theme="1"/>
        <rFont val="Calibri"/>
        <family val="2"/>
        <charset val="1"/>
      </rPr>
      <t xml:space="preserve">SEMI 2026 NAND </t>
    </r>
    <r>
      <rPr>
        <sz val="11"/>
        <color theme="1"/>
        <rFont val="WenQuanYi Zen Hei"/>
        <family val="2"/>
      </rPr>
      <t xml:space="preserve">占比降到 </t>
    </r>
    <r>
      <rPr>
        <sz val="11"/>
        <color theme="1"/>
        <rFont val="Calibri"/>
        <family val="2"/>
        <charset val="1"/>
      </rPr>
      <t xml:space="preserve">26.4%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+1.5%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合計高 </t>
    </r>
    <r>
      <rPr>
        <sz val="11"/>
        <color theme="1"/>
        <rFont val="Calibri"/>
        <family val="2"/>
        <charset val="1"/>
      </rPr>
      <t xml:space="preserve">4.2 $B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+7.9%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拆分本身就不準（模型 </t>
    </r>
    <r>
      <rPr>
        <sz val="11"/>
        <color theme="1"/>
        <rFont val="Calibri"/>
        <family val="2"/>
        <charset val="1"/>
      </rPr>
      <t xml:space="preserve">DRAM 26.4 vs SEMI 27.9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12.2 vs 10.6</t>
    </r>
    <r>
      <rPr>
        <sz val="11"/>
        <color theme="1"/>
        <rFont val="WenQuanYi Zen Hei"/>
        <family val="2"/>
      </rPr>
      <t xml:space="preserve">），合計則因校準而相等。</t>
    </r>
  </si>
  <si>
    <r>
      <rPr>
        <sz val="11"/>
        <color theme="1"/>
        <rFont val="Calibri"/>
        <family val="2"/>
        <charset val="1"/>
      </rPr>
      <t xml:space="preserve">(b) Goldman Sachs 2028 −22.9%</t>
    </r>
    <r>
      <rPr>
        <sz val="11"/>
        <color theme="1"/>
        <rFont val="WenQuanYi Zen Hei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 216.6 vs 281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GS 2027 </t>
    </r>
    <r>
      <rPr>
        <sz val="11"/>
        <color theme="1"/>
        <rFont val="WenQuanYi Zen Hei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+45%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150→218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2028 +29%</t>
    </r>
    <r>
      <rPr>
        <sz val="11"/>
        <color theme="1"/>
        <rFont val="WenQuanYi Zen Hei"/>
        <family val="2"/>
      </rPr>
      <t xml:space="preserve">，分別高於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+21.8%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+14.1%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WenQuanYi Zen Hei"/>
        <family val="2"/>
      </rPr>
      <t xml:space="preserve">為最高的一組，可能納入不同口徑（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口徑含先進封裝；廠務設備）、更激進的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／先進代工假設，且發布較晚（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</si>
  <si>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WenQuanYi Zen Hei"/>
        <family val="2"/>
      </rPr>
      <t xml:space="preserve">未超過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WenQuanYi Zen Hei"/>
        <family val="2"/>
      </rPr>
      <t xml:space="preserve">的差距：本模型高於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+10.0%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+8.3%</t>
    </r>
    <r>
      <rPr>
        <sz val="11"/>
        <color theme="1"/>
        <rFont val="WenQuanYi Zen Hei"/>
        <family val="2"/>
      </rPr>
      <t xml:space="preserve">），低於 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WenQuanYi Zen Hei"/>
        <family val="2"/>
      </rPr>
      <t xml:space="preserve">數字（−</t>
    </r>
    <r>
      <rPr>
        <sz val="11"/>
        <color theme="1"/>
        <rFont val="Calibri"/>
        <family val="2"/>
        <charset val="1"/>
      </rPr>
      <t xml:space="preserve">3.6% </t>
    </r>
    <r>
      <rPr>
        <sz val="11"/>
        <color theme="1"/>
        <rFont val="WenQuanYi Zen Hei"/>
        <family val="2"/>
      </rPr>
      <t xml:space="preserve">到 −</t>
    </r>
    <r>
      <rPr>
        <sz val="11"/>
        <color theme="1"/>
        <rFont val="Calibri"/>
        <family val="2"/>
        <charset val="1"/>
      </rPr>
      <t xml:space="preserve">11.6%</t>
    </r>
    <r>
      <rPr>
        <sz val="11"/>
        <color theme="1"/>
        <rFont val="WenQuanYi Zen Hei"/>
        <family val="2"/>
      </rPr>
      <t xml:space="preserve">），落在 </t>
    </r>
    <r>
      <rPr>
        <sz val="11"/>
        <color theme="1"/>
        <rFont val="Calibri"/>
        <family val="2"/>
        <charset val="1"/>
      </rPr>
      <t xml:space="preserve">KLA 190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+1.5%</t>
    </r>
    <r>
      <rPr>
        <sz val="11"/>
        <color theme="1"/>
        <rFont val="WenQuanYi Zen Hei"/>
        <family val="2"/>
      </rPr>
      <t xml:space="preserve">）附近。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的差距是情境設計的結果。</t>
    </r>
  </si>
  <si>
    <r>
      <rPr>
        <sz val="11"/>
        <color theme="1"/>
        <rFont val="Calibri"/>
        <family val="2"/>
        <charset val="1"/>
      </rPr>
      <t xml:space="preserve">(d) </t>
    </r>
    <r>
      <rPr>
        <sz val="11"/>
        <color theme="1"/>
        <rFont val="WenQuanYi Zen Hei"/>
        <family val="2"/>
      </rPr>
      <t xml:space="preserve">校準：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海力士、三星共用一個設備占比（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38.5–58%</t>
    </r>
    <r>
      <rPr>
        <sz val="11"/>
        <color theme="1"/>
        <rFont val="WenQuanYi Zen Hei"/>
        <family val="2"/>
      </rPr>
      <t xml:space="preserve">），使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年各廠設備加總等於 </t>
    </r>
    <r>
      <rPr>
        <sz val="11"/>
        <color theme="1"/>
        <rFont val="Calibri"/>
        <family val="2"/>
        <charset val="1"/>
      </rPr>
      <t xml:space="preserve">SEMI 2025 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實績。校準值低於業界下限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，表示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海力士、三星的資本支出中建築與無塵室比重高於業界值，與美光「增量多數為建築」的方向一致（方向，不是證明）。校準的前提是其他記憶體廠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獨立估計（</t>
    </r>
    <r>
      <rPr>
        <sz val="11"/>
        <color theme="1"/>
        <rFont val="Calibri"/>
        <family val="2"/>
        <charset val="1"/>
      </rPr>
      <t xml:space="preserve">8.6 $B</t>
    </r>
    <r>
      <rPr>
        <sz val="11"/>
        <color theme="1"/>
        <rFont val="WenQuanYi Zen Hei"/>
        <family val="2"/>
      </rPr>
      <t xml:space="preserve">，長鑫取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WenQuanYi Zen Hei"/>
        <family val="2"/>
      </rPr>
      <t xml:space="preserve">時校準值降到 </t>
    </r>
    <r>
      <rPr>
        <sz val="11"/>
        <color theme="1"/>
        <rFont val="Calibri"/>
        <family val="2"/>
        <charset val="1"/>
      </rPr>
      <t xml:space="preserve">38.5%</t>
    </r>
    <r>
      <rPr>
        <sz val="11"/>
        <color theme="1"/>
        <rFont val="WenQuanYi Zen Hei"/>
        <family val="2"/>
      </rPr>
      <t xml:space="preserve">）與三星記憶體資本支出假設（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75%</t>
    </r>
    <r>
      <rPr>
        <sz val="11"/>
        <color theme="1"/>
        <rFont val="WenQuanYi Zen Hei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65–90%</t>
    </r>
    <r>
      <rPr>
        <sz val="11"/>
        <color theme="1"/>
        <rFont val="WenQuanYi Zen Hei"/>
        <family val="2"/>
      </rPr>
      <t xml:space="preserve">）。代工邏輯未比照辦理（台積電沒有類似美光的揭露、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殘差為正，維持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）；代工邏輯是否也有建築比重偏高的問題，待查。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</si>
  <si>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未使用。本檔不含任何個人投資部位或個人先驗。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</si>
  <si>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輸入（藍字＝本模型輸入；綠字＝讀自其他模型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WenQuanYi Zen Hei"/>
        <family val="2"/>
      </rPr>
      <t xml:space="preserve">成品，不在此修改；基準欄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）。金額：十億美元（公司資本支出另標幣別）</t>
    </r>
  </si>
  <si>
    <r>
      <rPr>
        <sz val="11"/>
        <color theme="1"/>
        <rFont val="WenQuanYi Zen Hei"/>
        <family val="2"/>
      </rPr>
      <t xml:space="preserve">每個數字附兩個來源（來源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、來源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）；找不到第二來源者寫「未找到」。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給低／高區間。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</si>
  <si>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</si>
  <si>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</si>
  <si>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</si>
  <si>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</si>
  <si>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</si>
  <si>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</si>
  <si>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</si>
  <si>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</si>
  <si>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／備註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</si>
  <si>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公司資本支出（</t>
    </r>
    <r>
      <rPr>
        <b val="true"/>
        <sz val="11"/>
        <rFont val="Cambria"/>
        <family val="0"/>
        <charset val="1"/>
      </rPr>
      <t xml:space="preserve">2026–2029 </t>
    </r>
    <r>
      <rPr>
        <b val="true"/>
        <sz val="11"/>
        <rFont val="WenQuanYi Zen Hei"/>
        <family val="2"/>
      </rPr>
      <t xml:space="preserve">讀自 </t>
    </r>
    <r>
      <rPr>
        <b val="true"/>
        <sz val="11"/>
        <rFont val="Cambria"/>
        <family val="0"/>
        <charset val="1"/>
      </rPr>
      <t xml:space="preserve">dist </t>
    </r>
    <r>
      <rPr>
        <b val="true"/>
        <sz val="11"/>
        <rFont val="WenQuanYi Zen Hei"/>
        <family val="2"/>
      </rPr>
      <t xml:space="preserve">成品，三情境相同；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為本模型自行輸入——其他模型不含 </t>
    </r>
    <r>
      <rPr>
        <b val="true"/>
        <sz val="11"/>
        <rFont val="Cambria"/>
        <family val="0"/>
        <charset val="1"/>
      </rPr>
      <t xml:space="preserve">2025——</t>
    </r>
    <r>
      <rPr>
        <b val="true"/>
        <sz val="11"/>
        <rFont val="WenQuanYi Zen Hei"/>
        <family val="2"/>
      </rPr>
      <t xml:space="preserve">用於求「其他廠」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基準）</t>
    </r>
  </si>
  <si>
    <t xml:space="preserve">fx</t>
  </si>
  <si>
    <r>
      <rPr>
        <sz val="11"/>
        <color theme="1"/>
        <rFont val="WenQuanYi Zen Hei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亦沿用，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</si>
  <si>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KRW/USD</t>
  </si>
  <si>
    <t xml:space="preserve">Derived</t>
  </si>
  <si>
    <r>
      <rPr>
        <sz val="11"/>
        <color theme="1"/>
        <rFont val="WenQuanYi Zen Hei"/>
        <family val="2"/>
      </rPr>
      <t xml:space="preserve">讀自 </t>
    </r>
    <r>
      <rPr>
        <sz val="11"/>
        <color theme="1"/>
        <rFont val="Calibri"/>
        <family val="2"/>
        <charset val="1"/>
      </rPr>
      <t xml:space="preserve">skhynix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In!fx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WenQuanYi Zen Hei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</si>
  <si>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三星模型 </t>
    </r>
    <r>
      <rPr>
        <sz val="11"/>
        <color theme="1"/>
        <rFont val="Calibri"/>
        <family val="2"/>
        <charset val="1"/>
      </rPr>
      <t xml:space="preserve">In!fx </t>
    </r>
    <r>
      <rPr>
        <sz val="11"/>
        <color theme="1"/>
        <rFont val="WenQuanYi Zen Hei"/>
        <family val="2"/>
      </rPr>
      <t xml:space="preserve">同值（「同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海力士」）；獨立匯率來源：本模型未另查</t>
    </r>
  </si>
  <si>
    <t xml:space="preserve">cap_sk_26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</si>
  <si>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</si>
  <si>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兆韓元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</si>
  <si>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</si>
  <si>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</si>
  <si>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  <r>
      <rPr>
        <sz val="11"/>
        <color theme="1"/>
        <rFont val="WenQuanYi Zen Hei"/>
        <family val="2"/>
      </rPr>
      <t xml:space="preserve">｜第二來源：未找到（模型只引共識）</t>
    </r>
  </si>
  <si>
    <t xml:space="preserve">cap_sk_27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</si>
  <si>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</si>
  <si>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</si>
  <si>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  <r>
      <rPr>
        <sz val="11"/>
        <color theme="1"/>
        <rFont val="WenQuanYi Zen Hei"/>
        <family val="2"/>
      </rPr>
      <t xml:space="preserve">｜第二來源：未找到（模型只引共識）</t>
    </r>
  </si>
  <si>
    <t xml:space="preserve">cap_sk_28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</si>
  <si>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</si>
  <si>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</si>
  <si>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WenQuanYi Zen Hei"/>
        <family val="2"/>
      </rPr>
      <t xml:space="preserve">｜第二來源：未找到（模型只引共識）</t>
    </r>
  </si>
  <si>
    <t xml:space="preserve">cap_sk_29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</si>
  <si>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</si>
  <si>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</si>
  <si>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</si>
  <si>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WenQuanYi Zen Hei"/>
        <family val="2"/>
      </rPr>
      <t xml:space="preserve">期｜第二來源：未找到</t>
    </r>
  </si>
  <si>
    <t xml:space="preserve">cap_mu_26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</si>
  <si>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</si>
  <si>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</si>
  <si>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</si>
  <si>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20261023_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</si>
  <si>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WenQuanYi Zen Hei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WenQuanYi Zen Hei"/>
        <family val="2"/>
      </rPr>
      <t xml:space="preserve">）｜美光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個月）</t>
    </r>
  </si>
  <si>
    <t xml:space="preserve">cap_mu_27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</si>
  <si>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</si>
  <si>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20261023_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</si>
  <si>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、下半年更高（書面說明）｜美光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個月）</t>
    </r>
  </si>
  <si>
    <t xml:space="preserve">cap_mu_28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</si>
  <si>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</si>
  <si>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20261023_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</si>
  <si>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  <r>
      <rPr>
        <sz val="11"/>
        <color theme="1"/>
        <rFont val="WenQuanYi Zen Hei"/>
        <family val="2"/>
      </rPr>
      <t xml:space="preserve">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個月）</t>
    </r>
  </si>
  <si>
    <t xml:space="preserve">cap_mu_29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</si>
  <si>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</si>
  <si>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20261023_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</si>
  <si>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t xml:space="preserve">cap_ss_26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</si>
  <si>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</si>
  <si>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</si>
  <si>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20261023_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</si>
  <si>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WenQuanYi Zen Hei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WenQuanYi Zen Hei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；第二來源：未找到</t>
    </r>
  </si>
  <si>
    <t xml:space="preserve">cap_ss_27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</si>
  <si>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</si>
  <si>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20261023_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</si>
  <si>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WenQuanYi Zen Hei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WenQuanYi Zen Hei"/>
        <family val="2"/>
      </rPr>
      <t xml:space="preserve">兆，多年）；全公司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；第二來源：未找到</t>
    </r>
  </si>
  <si>
    <t xml:space="preserve">cap_ss_28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</si>
  <si>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</si>
  <si>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20261023_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</si>
  <si>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WenQuanYi Zen Hei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  <r>
      <rPr>
        <sz val="11"/>
        <color theme="1"/>
        <rFont val="WenQuanYi Zen Hei"/>
        <family val="2"/>
      </rPr>
      <t xml:space="preserve">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；第二來源：未找到</t>
    </r>
  </si>
  <si>
    <t xml:space="preserve">cap_ss_29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</si>
  <si>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</si>
  <si>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20261023_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</si>
  <si>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t xml:space="preserve">cap_ts_26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</si>
  <si>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</si>
  <si>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PL!B15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</si>
  <si>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WenQuanYi Zen Hei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</si>
  <si>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cap_ts_27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</si>
  <si>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</si>
  <si>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PL!C15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</si>
  <si>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</si>
  <si>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cap_ts_28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</si>
  <si>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</si>
  <si>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PL!D15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</si>
  <si>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JPMorgan</t>
    </r>
  </si>
  <si>
    <t xml:space="preserve">cap_ts_29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</si>
  <si>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</si>
  <si>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PL!E15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</si>
  <si>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</si>
  <si>
    <t xml:space="preserve">cap_sk_25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</si>
  <si>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</si>
  <si>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Qz 2026-07-29</t>
    </r>
    <r>
      <rPr>
        <sz val="11"/>
        <color theme="1"/>
        <rFont val="WenQuanYi Zen Hei"/>
        <family val="2"/>
      </rPr>
      <t xml:space="preserve">（公司在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預算相較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WenQuanYi Zen Hei"/>
        <family val="2"/>
      </rPr>
      <t xml:space="preserve">兆韓元）</t>
    </r>
    <r>
      <rPr>
        <sz val="11"/>
        <color theme="1"/>
        <rFont val="Calibri"/>
        <family val="2"/>
        <charset val="1"/>
      </rPr>
      <t xml:space="preserve">https://qz.com/sk-hynix-q2-2026-earnings-record-profit-misses-estimates-072926</t>
    </r>
  </si>
  <si>
    <r>
      <rPr>
        <sz val="11"/>
        <color theme="1"/>
        <rFont val="Calibri"/>
        <family val="2"/>
        <charset val="1"/>
      </rPr>
      <t xml:space="preserve">MLQ https://mlq.ai/news/sk-hynix-posts-record-605-trillion-won-operating-profit-raises-capacity-spending/ </t>
    </r>
    <r>
      <rPr>
        <sz val="11"/>
        <color theme="1"/>
        <rFont val="WenQuanYi Zen Hei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法說摘要；另有產業估計約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）。皆為搜尋摘要，未開啟原文</t>
    </r>
  </si>
  <si>
    <t xml:space="preserve">cap_mu_25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</si>
  <si>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（淨）</t>
    </r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</si>
  <si>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8-K</t>
    </r>
    <r>
      <rPr>
        <sz val="11"/>
        <color theme="1"/>
        <rFont val="WenQuanYi Zen Hei"/>
        <family val="2"/>
      </rPr>
      <t xml:space="preserve">（淨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https://www.sec.gov/Archives/edgar/data/723125/000072312525000024/a2025q4ex991-pressrelease.htm</t>
    </r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</si>
  <si>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10-K</t>
    </r>
    <r>
      <rPr>
        <sz val="11"/>
        <color theme="1"/>
        <rFont val="WenQuanYi Zen Hei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15.86</t>
    </r>
    <r>
      <rPr>
        <sz val="11"/>
        <color theme="1"/>
        <rFont val="WenQuanYi Zen Hei"/>
        <family val="2"/>
      </rPr>
      <t xml:space="preserve">、政府補助 </t>
    </r>
    <r>
      <rPr>
        <sz val="11"/>
        <color theme="1"/>
        <rFont val="Calibri"/>
        <family val="2"/>
        <charset val="1"/>
      </rPr>
      <t xml:space="preserve">2.01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https://www.sec.gov/Archives/edgar/data/723125/000072312525000028/mu-20250828.htm</t>
    </r>
  </si>
  <si>
    <t xml:space="preserve">cap_ssds_25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</si>
  <si>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WenQuanYi Zen Hei"/>
        <family val="2"/>
      </rPr>
      <t xml:space="preserve">（半導體）資本支出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</si>
  <si>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CAPEX Results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DS 47.5</t>
    </r>
    <r>
      <rPr>
        <sz val="11"/>
        <color theme="1"/>
        <rFont val="WenQuanYi Zen Hei"/>
        <family val="2"/>
      </rPr>
      <t xml:space="preserve">、顯示 </t>
    </r>
    <r>
      <rPr>
        <sz val="11"/>
        <color theme="1"/>
        <rFont val="Calibri"/>
        <family val="2"/>
        <charset val="1"/>
      </rPr>
      <t xml:space="preserve">2.8</t>
    </r>
    <r>
      <rPr>
        <sz val="11"/>
        <color theme="1"/>
        <rFont val="WenQuanYi Zen Hei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52.7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https://www.samsung.com/global/ir/reports-disclosures/public-disclosure-view.84547/</t>
    </r>
  </si>
  <si>
    <r>
      <rPr>
        <sz val="11"/>
        <color theme="1"/>
        <rFont val="Calibri"/>
        <family val="2"/>
        <charset val="1"/>
      </rPr>
      <t xml:space="preserve">Korea Herald </t>
    </r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52.7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https://koreaherald.com/article/10691933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另見 </t>
    </r>
    <r>
      <rPr>
        <sz val="11"/>
        <color theme="1"/>
        <rFont val="Calibri"/>
        <family val="2"/>
        <charset val="1"/>
      </rPr>
      <t xml:space="preserve">tech-insider</t>
    </r>
    <r>
      <rPr>
        <sz val="11"/>
        <color theme="1"/>
        <rFont val="WenQuanYi Zen Hei"/>
        <family val="2"/>
      </rPr>
      <t xml:space="preserve">（低權威）</t>
    </r>
  </si>
  <si>
    <t xml:space="preserve">ss_mem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</si>
  <si>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資本支出中記憶體占比（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</si>
  <si>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%</t>
  </si>
  <si>
    <r>
      <rPr>
        <sz val="11"/>
        <color theme="1"/>
        <rFont val="WenQuanYi Zen Hei"/>
        <family val="2"/>
      </rPr>
      <t xml:space="preserve">沿用三星模型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（全公司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）；三星不揭露記憶體分項。區間上修到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年三星晶圓代工投資據報減半至約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兆韓元（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Sedaily </t>
    </r>
    <r>
      <rPr>
        <sz val="11"/>
        <color theme="1"/>
        <rFont val="WenQuanYi Zen Hei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https://www.trendforce.com/news/2025/01/22/news-samsung-faces-struggles-ahead-as-foundry-investment-reportedly-slashed-by-half-for-2025/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https://www.digitimes.com/news/a20250122PD229/samsung-capex-business-plant-investment.html</t>
    </r>
    <r>
      <rPr>
        <sz val="11"/>
        <color theme="1"/>
        <rFont val="WenQuanYi Zen Hei"/>
        <family val="2"/>
      </rPr>
      <t xml:space="preserve">），記憶體占比較可能高於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</si>
  <si>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WenQuanYi Zen Hei"/>
        <family val="2"/>
      </rPr>
      <t xml:space="preserve">未找到記憶體分項的第二來源。算術參考（非來源）：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兆扣除晶圓代工約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WenQuanYi Zen Hei"/>
        <family val="2"/>
      </rPr>
      <t xml:space="preserve">未知，記憶體約 </t>
    </r>
    <r>
      <rPr>
        <sz val="11"/>
        <color theme="1"/>
        <rFont val="Calibri"/>
        <family val="2"/>
        <charset val="1"/>
      </rPr>
      <t xml:space="preserve">85–89%</t>
    </r>
    <r>
      <rPr>
        <sz val="11"/>
        <color theme="1"/>
        <rFont val="WenQuanYi Zen Hei"/>
        <family val="2"/>
      </rPr>
      <t xml:space="preserve">；基準按指示維持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。此假設直接影響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三大廠資本支出</t>
    </r>
  </si>
  <si>
    <t xml:space="preserve">cap_ts_25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</si>
  <si>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</si>
  <si>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40.9B https://www.semiconductorintelligence.com/capex-up-for-foundry-memory/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</si>
  <si>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WenQuanYi Zen Hei"/>
        <family val="2"/>
      </rPr>
      <t xml:space="preserve">法說：全年指引 </t>
    </r>
    <r>
      <rPr>
        <sz val="11"/>
        <color theme="1"/>
        <rFont val="Calibri"/>
        <family val="2"/>
        <charset val="1"/>
      </rPr>
      <t xml:space="preserve">40–42B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https://www.fool.com/earnings/call-transcripts/2025/10/17/tsmc-tsm-q3-2025-earnings-call-transcript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</si>
  <si>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設備占資本支出比例：按公司分開（公司有揭露建築與設備比例者用公司揭露；未找到者用業界 </t>
    </r>
    <r>
      <rPr>
        <b val="true"/>
        <sz val="11"/>
        <rFont val="Cambria"/>
        <family val="0"/>
        <charset val="1"/>
      </rPr>
      <t xml:space="preserve">58–70%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WenQuanYi Zen Hei"/>
        <family val="2"/>
      </rPr>
      <t xml:space="preserve">）</t>
    </r>
  </si>
  <si>
    <t xml:space="preserve">sh_mu_25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</si>
  <si>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設備占資本支出比例（建築基數的起點）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</si>
  <si>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</si>
  <si>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WenQuanYi Zen Hei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WenQuanYi Zen Hei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WenQuanYi Zen Hei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WenQuanYi Zen Hei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</si>
  <si>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。業界合計值，未找到記憶體／代工分項。美光未揭露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建築／設備比例</t>
    </r>
  </si>
  <si>
    <t xml:space="preserve">sh_mu_26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</si>
  <si>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設備占資本支出比例</t>
    </r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</si>
  <si>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WenQuanYi Zen Hei"/>
        <family val="2"/>
      </rPr>
      <t xml:space="preserve">準備稿（</t>
    </r>
    <r>
      <rPr>
        <sz val="11"/>
        <color theme="1"/>
        <rFont val="Calibri"/>
        <family val="2"/>
        <charset val="1"/>
      </rPr>
      <t xml:space="preserve">https://s25.q4cdn.com/621799436/files/doc_financials/2026/q3/Q3-FY26-Prepared-Remarks.pdf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more than half the increase year over year in fiscal 2027 from construction capex as we pull in cleanroom capacity required to address long-term demand</t>
    </r>
    <r>
      <rPr>
        <sz val="11"/>
        <color theme="1"/>
        <rFont val="WenQuanYi Zen Hei"/>
        <family val="2"/>
      </rPr>
      <t xml:space="preserve">」（引自搜尋摘要，未能開啟全文）｜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https://s25.q4cdn.com/621799436/files/doc_financials/2026/q4/Q4-FY26-Prepared-Remarks.pdf</t>
    </r>
    <r>
      <rPr>
        <sz val="11"/>
        <color theme="1"/>
        <rFont val="WenQuanYi Zen Hei"/>
        <family val="2"/>
      </rPr>
      <t xml:space="preserve">；逐字稿 </t>
    </r>
    <r>
      <rPr>
        <sz val="11"/>
        <color theme="1"/>
        <rFont val="Calibri"/>
        <family val="2"/>
        <charset val="1"/>
      </rPr>
      <t xml:space="preserve">https://www.fool.com/earnings/call-transcripts/2026/10/01/micron-mu-q4-2026-earnings-call-transcript/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A majority of the increase is for construction capex, most of which is to help accelerate clean room space availability in late calendar 2028 and beyond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 meaningfully higher growth rate in construction CapEx as compared to equipment CapEx in fiscal 2027</t>
    </r>
    <r>
      <rPr>
        <sz val="11"/>
        <color theme="1"/>
        <rFont val="WenQuanYi Zen Hei"/>
        <family val="2"/>
      </rPr>
      <t xml:space="preserve">」（引自搜尋摘要）｜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增量多數為無塵室建築（摘要轉述，非逐字）</t>
    </r>
  </si>
  <si>
    <r>
      <rPr>
        <sz val="11"/>
        <color theme="1"/>
        <rFont val="WenQuanYi Zen Hei"/>
        <family val="2"/>
      </rPr>
      <t xml:space="preserve">注意：公司原文是「資本支出『增量』多數為建築」，不是「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資本支出多數為建築」，故文稿本身不給出設備占比，只給出下限性的建築比例。推導：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(1−64%) </t>
    </r>
    <r>
      <rPr>
        <sz val="11"/>
        <color theme="1"/>
        <rFont val="WenQuanYi Zen Hei"/>
        <family val="2"/>
      </rPr>
      <t xml:space="preserve">＝建築基數；之後每年增量中建築占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「多於一半」為上限情境，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區間）；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27.37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（美光模型）。</t>
    </r>
    <r>
      <rPr>
        <sz val="11"/>
        <color theme="1"/>
        <rFont val="Calibri"/>
        <family val="2"/>
        <charset val="1"/>
      </rPr>
      <t xml:space="preserve">FY28–FY29 </t>
    </r>
    <r>
      <rPr>
        <sz val="11"/>
        <color theme="1"/>
        <rFont val="WenQuanYi Zen Hei"/>
        <family val="2"/>
      </rPr>
      <t xml:space="preserve">無揭露，沿用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。 引文為公司一手（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），比例為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</si>
  <si>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sh_mu_27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</si>
  <si>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FY27–FY29 </t>
    </r>
    <r>
      <rPr>
        <sz val="11"/>
        <color theme="1"/>
        <rFont val="WenQuanYi Zen Hei"/>
        <family val="2"/>
      </rPr>
      <t xml:space="preserve">設備占資本支出比例</t>
    </r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</si>
  <si>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WenQuanYi Zen Hei"/>
        <family val="2"/>
      </rPr>
      <t xml:space="preserve">準備稿（</t>
    </r>
    <r>
      <rPr>
        <sz val="11"/>
        <color theme="1"/>
        <rFont val="Calibri"/>
        <family val="2"/>
        <charset val="1"/>
      </rPr>
      <t xml:space="preserve">https://s25.q4cdn.com/621799436/files/doc_financials/2026/q3/Q3-FY26-Prepared-Remarks.pdf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more than half the increase year over year in fiscal 2027 from construction capex as we pull in cleanroom capacity required to address long-term demand</t>
    </r>
    <r>
      <rPr>
        <sz val="11"/>
        <color theme="1"/>
        <rFont val="WenQuanYi Zen Hei"/>
        <family val="2"/>
      </rPr>
      <t xml:space="preserve">」（引自搜尋摘要，未能開啟全文）；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https://s25.q4cdn.com/621799436/files/doc_financials/2026/q4/Q4-FY26-Prepared-Remarks.pdf</t>
    </r>
    <r>
      <rPr>
        <sz val="11"/>
        <color theme="1"/>
        <rFont val="WenQuanYi Zen Hei"/>
        <family val="2"/>
      </rPr>
      <t xml:space="preserve">；逐字稿 </t>
    </r>
    <r>
      <rPr>
        <sz val="11"/>
        <color theme="1"/>
        <rFont val="Calibri"/>
        <family val="2"/>
        <charset val="1"/>
      </rPr>
      <t xml:space="preserve">https://www.fool.com/earnings/call-transcripts/2026/10/01/micron-mu-q4-2026-earnings-call-transcript/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A majority of the increase is for construction capex, most of which is to help accelerate clean room space availability in late calendar 2028 and beyond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 meaningfully higher growth rate in construction CapEx as compared to equipment CapEx in fiscal 2027</t>
    </r>
    <r>
      <rPr>
        <sz val="11"/>
        <color theme="1"/>
        <rFont val="WenQuanYi Zen Hei"/>
        <family val="2"/>
      </rPr>
      <t xml:space="preserve">」（引自搜尋摘要）</t>
    </r>
  </si>
  <si>
    <r>
      <rPr>
        <sz val="11"/>
        <color theme="1"/>
        <rFont val="WenQuanYi Zen Hei"/>
        <family val="2"/>
      </rPr>
      <t xml:space="preserve">注意：公司原文是「資本支出『增量』多數為建築」，不是「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資本支出多數為建築」，故文稿本身不給出設備占比，只給出下限性的建築比例。推導：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(1−64%) </t>
    </r>
    <r>
      <rPr>
        <sz val="11"/>
        <color theme="1"/>
        <rFont val="WenQuanYi Zen Hei"/>
        <family val="2"/>
      </rPr>
      <t xml:space="preserve">＝建築基數；之後每年增量中建築占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「多於一半」為上限情境，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區間）；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27.37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（美光模型）。</t>
    </r>
    <r>
      <rPr>
        <sz val="11"/>
        <color theme="1"/>
        <rFont val="Calibri"/>
        <family val="2"/>
        <charset val="1"/>
      </rPr>
      <t xml:space="preserve">FY28–FY29 </t>
    </r>
    <r>
      <rPr>
        <sz val="11"/>
        <color theme="1"/>
        <rFont val="WenQuanYi Zen Hei"/>
        <family val="2"/>
      </rPr>
      <t xml:space="preserve">無揭露，沿用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。 高＝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（「多於一半」）時的推導上限，約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WenQuanYi Zen Hei"/>
        <family val="2"/>
      </rPr>
      <t xml:space="preserve">。引文為公司一手（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），比例為 </t>
    </r>
    <r>
      <rPr>
        <sz val="11"/>
        <color theme="1"/>
        <rFont val="Calibri"/>
        <family val="2"/>
        <charset val="1"/>
      </rPr>
      <t xml:space="preserve">Derived</t>
    </r>
  </si>
  <si>
    <t xml:space="preserve">sh_sk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</si>
  <si>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海力士：設備占資本支出比例（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實績校準值）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</si>
  <si>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頁公式：令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年「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＋三星＋美光設備＋其他廠獨立估計」＝</t>
    </r>
    <r>
      <rPr>
        <sz val="11"/>
        <color theme="1"/>
        <rFont val="Calibri"/>
        <family val="2"/>
        <charset val="1"/>
      </rPr>
      <t xml:space="preserve">SEMI 2025 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38.5</t>
    </r>
    <r>
      <rPr>
        <sz val="11"/>
        <color theme="1"/>
        <rFont val="WenQuanYi Zen Hei"/>
        <family val="2"/>
      </rPr>
      <t xml:space="preserve">），解出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、三星共用的一個占比；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年以後沿用。低＝長鑫取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WenQuanYi Zen Hei"/>
        <family val="2"/>
      </rPr>
      <t xml:space="preserve">時的校準值；高＝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（業界下限，</t>
    </r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</si>
  <si>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校準只用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年以後完全沒有參照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或券商的預測。未找到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海力士公司揭露（定性：董事會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WenQuanYi Zen Hei"/>
        <family val="2"/>
      </rPr>
      <t xml:space="preserve">核准 </t>
    </r>
    <r>
      <rPr>
        <sz val="11"/>
        <color theme="1"/>
        <rFont val="Calibri"/>
        <family val="2"/>
        <charset val="1"/>
      </rPr>
      <t xml:space="preserve">21.6 </t>
    </r>
    <r>
      <rPr>
        <sz val="11"/>
        <color theme="1"/>
        <rFont val="WenQuanYi Zen Hei"/>
        <family val="2"/>
      </rPr>
      <t xml:space="preserve">兆韓元完成龍仁第一晶圓廠結構工程與二至六期無塵室）。業界值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不再當基準，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保留一列對照</t>
    </r>
  </si>
  <si>
    <t xml:space="preserve">sh_ss</t>
  </si>
  <si>
    <r>
      <rPr>
        <sz val="11"/>
        <color theme="1"/>
        <rFont val="WenQuanYi Zen Hei"/>
        <family val="2"/>
      </rPr>
      <t xml:space="preserve">三星（記憶體）：設備占資本支出比例（同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海力士，校準值）</t>
    </r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</si>
  <si>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sh_sk</t>
    </r>
    <r>
      <rPr>
        <sz val="11"/>
        <color theme="1"/>
        <rFont val="WenQuanYi Zen Hei"/>
        <family val="2"/>
      </rPr>
      <t xml:space="preserve">（兩者共用同一個校準值，以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實績校準）</t>
    </r>
  </si>
  <si>
    <r>
      <rPr>
        <sz val="11"/>
        <color theme="1"/>
        <rFont val="WenQuanYi Zen Hei"/>
        <family val="2"/>
      </rPr>
      <t xml:space="preserve">未找到三星公司揭露（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無塵室先行，無建築／設備比例）。三星記憶體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資本支出為 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ss_mem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ss_mem </t>
    </r>
    <r>
      <rPr>
        <sz val="11"/>
        <color theme="1"/>
        <rFont val="WenQuanYi Zen Hei"/>
        <family val="2"/>
      </rPr>
      <t xml:space="preserve">改變時校準值隨之改變（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WenQuanYi Zen Hei"/>
        <family val="2"/>
      </rPr>
      <t xml:space="preserve">）</t>
    </r>
  </si>
  <si>
    <t xml:space="preserve">sh_fd</t>
  </si>
  <si>
    <t xml:space="preserve">台積電（代工與邏輯）：設備占資本支出比例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</si>
  <si>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。業界合計值，未找到記憶體／代工分項。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WenQuanYi Zen Hei"/>
        <family val="2"/>
      </rPr>
      <t xml:space="preserve">查證（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頁）：台積電董事會每季資本預算有分「機器設備」與「不動產與資本化租賃資產」（二手摘要，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次，彙總設備占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，單次 </t>
    </r>
    <r>
      <rPr>
        <sz val="11"/>
        <color theme="1"/>
        <rFont val="Calibri"/>
        <family val="2"/>
        <charset val="1"/>
      </rPr>
      <t xml:space="preserve">47–71%</t>
    </r>
    <r>
      <rPr>
        <sz val="11"/>
        <color theme="1"/>
        <rFont val="WenQuanYi Zen Hei"/>
        <family val="2"/>
      </rPr>
      <t xml:space="preserve">）；元大投顧稱先進製程外商前段設備占資本支出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成（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）。兩者都未顯示台積電像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）那樣偏低，故基準維持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＝董事會 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WenQuanYi Zen Hei"/>
        <family val="2"/>
      </rPr>
      <t xml:space="preserve">）兩次的水準，高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＝元大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成的中點。年報不動產廠房及設備附註的分類增添：未找到（本環境無法開啟年報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WenQuanYi Zen Hei"/>
        <family val="2"/>
      </rPr>
      <t xml:space="preserve">）。台積電資本支出含先進封裝、光罩等（公司稱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WenQuanYi Zen Hei"/>
        <family val="2"/>
      </rPr>
      <t xml:space="preserve">未另扣，見 </t>
    </r>
    <r>
      <rPr>
        <sz val="11"/>
        <color theme="1"/>
        <rFont val="Calibri"/>
        <family val="2"/>
        <charset val="1"/>
      </rPr>
      <t xml:space="preserve">pk_ts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</si>
  <si>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r>
      <rPr>
        <b val="true"/>
        <sz val="11"/>
        <rFont val="Cambria"/>
        <family val="0"/>
        <charset val="1"/>
      </rPr>
      <t xml:space="preserve">B1b. </t>
    </r>
    <r>
      <rPr>
        <b val="true"/>
        <sz val="11"/>
        <rFont val="WenQuanYi Zen Hei"/>
        <family val="2"/>
      </rPr>
      <t xml:space="preserve">台積電設備占比證據（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WenQuanYi Zen Hei"/>
        <family val="2"/>
      </rPr>
      <t xml:space="preserve">；明細見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WenQuanYi Zen Hei"/>
        <family val="2"/>
      </rPr>
      <t xml:space="preserve">頁）</t>
    </r>
  </si>
  <si>
    <t xml:space="preserve">pk_ts</t>
  </si>
  <si>
    <t xml:space="preserve">台積電資本支出中屬先進封裝、測試、光罩及其他的比例</t>
  </si>
  <si>
    <r>
      <rPr>
        <sz val="11"/>
        <color theme="1"/>
        <rFont val="WenQuanYi Zen Hei"/>
        <family val="2"/>
      </rPr>
      <t xml:space="preserve">台積電（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WenQuanYi Zen Hei"/>
        <family val="2"/>
      </rPr>
      <t xml:space="preserve">法說逐字稿，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10–20% </t>
    </r>
    <r>
      <rPr>
        <sz val="11"/>
        <color theme="1"/>
        <rFont val="WenQuanYi Zen Hei"/>
        <family val="2"/>
      </rPr>
      <t xml:space="preserve">用於先進封裝、測試、光罩及其他 </t>
    </r>
    <r>
      <rPr>
        <sz val="11"/>
        <color theme="1"/>
        <rFont val="Calibri"/>
        <family val="2"/>
        <charset val="1"/>
      </rPr>
      <t xml:space="preserve">https://www.fool.com/earnings/call-transcripts/2025/10/17/tsmc-tsm-q3-2025-earnings-call-transcript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</si>
  <si>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年配置同為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WenQuanYi Zen Hei"/>
        <family val="2"/>
      </rPr>
      <t xml:space="preserve">（搜尋摘要：</t>
    </r>
    <r>
      <rPr>
        <sz val="11"/>
        <color theme="1"/>
        <rFont val="Calibri"/>
        <family val="2"/>
        <charset val="1"/>
      </rPr>
      <t xml:space="preserve">https://xmy.tw/articles/global-semiconductor-capex-2026/tsmc-capex-2026</t>
    </r>
    <r>
      <rPr>
        <sz val="11"/>
        <color theme="1"/>
        <rFont val="WenQuanYi Zen Hei"/>
        <family val="2"/>
      </rPr>
      <t xml:space="preserve">，未開啟原文）。公司揭露的是「用途」分類，不是設備／建築分類；其設備中有多少被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分入後段（測試、組裝封裝）或其他前段（光罩）：未找到。</t>
    </r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WenQuanYi Zen Hei"/>
        <family val="2"/>
      </rPr>
      <t xml:space="preserve">不扣，只進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頁</t>
    </r>
  </si>
  <si>
    <t xml:space="preserve">cap_smic_25</t>
  </si>
  <si>
    <r>
      <rPr>
        <sz val="11"/>
        <color theme="1"/>
        <rFont val="WenQuanYi Zen Hei"/>
        <family val="2"/>
      </rPr>
      <t xml:space="preserve">中芯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頁可識別性檢查用）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</si>
  <si>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WenQuanYi Zen Hei"/>
        <family val="2"/>
      </rPr>
      <t xml:space="preserve">）：中芯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約持平 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</si>
  <si>
    <r>
      <rPr>
        <sz val="11"/>
        <color theme="1"/>
        <rFont val="WenQuanYi Zen Hei"/>
        <family val="2"/>
      </rPr>
      <t xml:space="preserve">第二來源：未找到。沿用本模型 </t>
    </r>
    <r>
      <rPr>
        <sz val="11"/>
        <color theme="1"/>
        <rFont val="Calibri"/>
        <family val="2"/>
        <charset val="1"/>
      </rPr>
      <t xml:space="preserve">g_oth_fd </t>
    </r>
    <r>
      <rPr>
        <sz val="11"/>
        <color theme="1"/>
        <rFont val="WenQuanYi Zen Hei"/>
        <family val="2"/>
      </rPr>
      <t xml:space="preserve">說明所引數字</t>
    </r>
  </si>
  <si>
    <t xml:space="preserve">cap_intel_25</t>
  </si>
  <si>
    <r>
      <rPr>
        <sz val="11"/>
        <color theme="1"/>
        <rFont val="Calibri"/>
        <family val="2"/>
        <charset val="1"/>
      </rPr>
      <t xml:space="preserve">Intel 2025 </t>
    </r>
    <r>
      <rPr>
        <sz val="11"/>
        <color theme="1"/>
        <rFont val="WenQuanYi Zen Hei"/>
        <family val="2"/>
      </rPr>
      <t xml:space="preserve">資本支出（毛額；扣抵後淨額約 </t>
    </r>
    <r>
      <rPr>
        <sz val="11"/>
        <color theme="1"/>
        <rFont val="Calibri"/>
        <family val="2"/>
        <charset val="1"/>
      </rPr>
      <t xml:space="preserve">11.2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</si>
  <si>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Intel 4Q25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WenQuanYi Zen Hei"/>
        <family val="2"/>
      </rPr>
      <t xml:space="preserve">）：毛額 </t>
    </r>
    <r>
      <rPr>
        <sz val="11"/>
        <color theme="1"/>
        <rFont val="Calibri"/>
        <family val="2"/>
        <charset val="1"/>
      </rPr>
      <t xml:space="preserve">$17.7B</t>
    </r>
    <r>
      <rPr>
        <sz val="11"/>
        <color theme="1"/>
        <rFont val="WenQuanYi Zen Hei"/>
        <family val="2"/>
      </rPr>
      <t xml:space="preserve">、扣抵約 </t>
    </r>
    <r>
      <rPr>
        <sz val="11"/>
        <color theme="1"/>
        <rFont val="Calibri"/>
        <family val="2"/>
        <charset val="1"/>
      </rPr>
      <t xml:space="preserve">$6.5B → </t>
    </r>
    <r>
      <rPr>
        <sz val="11"/>
        <color theme="1"/>
        <rFont val="WenQuanYi Zen Hei"/>
        <family val="2"/>
      </rPr>
      <t xml:space="preserve">淨約 </t>
    </r>
    <r>
      <rPr>
        <sz val="11"/>
        <color theme="1"/>
        <rFont val="Calibri"/>
        <family val="2"/>
        <charset val="1"/>
      </rPr>
      <t xml:space="preserve">$11.2B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https://finance.yahoo.com/news/intel-q4-earnings-call-highlights-234233695.html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</si>
  <si>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Intel FY2025 10-K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https://www.sec.gov/Archives/edgar/data/50863/000005086326000011/intc-20251227.htm</t>
    </r>
    <r>
      <rPr>
        <sz val="11"/>
        <color theme="1"/>
        <rFont val="WenQuanYi Zen Hei"/>
        <family val="2"/>
      </rPr>
      <t xml:space="preserve">，搜尋結果列出，未開啟核對）；第三方資料站現金流量口徑 </t>
    </r>
    <r>
      <rPr>
        <sz val="11"/>
        <color theme="1"/>
        <rFont val="Calibri"/>
        <family val="2"/>
        <charset val="1"/>
      </rPr>
      <t xml:space="preserve">14.65</t>
    </r>
    <r>
      <rPr>
        <sz val="11"/>
        <color theme="1"/>
        <rFont val="WenQuanYi Zen Hei"/>
        <family val="2"/>
      </rPr>
      <t xml:space="preserve">（口徑不同）。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計的是設備出貨，取毛額為基準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</si>
  <si>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WenQuanYi Zen Hei"/>
        <family val="2"/>
      </rPr>
      <t xml:space="preserve">其他廠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年以後成長率（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；每個區塊合併成一個年成長率，套用 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WenQuanYi Zen Hei"/>
        <family val="2"/>
      </rPr>
      <t xml:space="preserve">。依據公司資本支出指引；不參照 </t>
    </r>
    <r>
      <rPr>
        <b val="true"/>
        <sz val="11"/>
        <rFont val="Cambria"/>
        <family val="0"/>
        <charset val="1"/>
      </rPr>
      <t xml:space="preserve">SEMI 2026 </t>
    </r>
    <r>
      <rPr>
        <b val="true"/>
        <sz val="11"/>
        <rFont val="WenQuanYi Zen Hei"/>
        <family val="2"/>
      </rPr>
      <t xml:space="preserve">以後預測）</t>
    </r>
  </si>
  <si>
    <t xml:space="preserve">g_oth_dram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</si>
  <si>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</si>
  <si>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</si>
  <si>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WenQuanYi Zen Hei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WenQuanYi Zen Hei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WenQuanYi Zen Hei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WenQuanYi Zen Hei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WenQuanYi Zen Hei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</si>
  <si>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WenQuanYi Zen Hei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年基準（華邦、南亞）：未找到</t>
    </r>
  </si>
  <si>
    <t xml:space="preserve">g_oth_nand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</si>
  <si>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WenQuanYi Zen Hei"/>
        <family val="2"/>
      </rPr>
      <t xml:space="preserve">合資、長江存儲等）設備成長率</t>
    </r>
  </si>
  <si>
    <r>
      <rPr>
        <sz val="11"/>
        <color theme="1"/>
        <rFont val="WenQuanYi Zen Hei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WenQuanYi Zen Hei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WenQuanYi Zen Hei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WenQuanYi Zen Hei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WenQuanYi Zen Hei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底投產，金額未找到</t>
    </r>
  </si>
  <si>
    <r>
      <rPr>
        <sz val="11"/>
        <color theme="1"/>
        <rFont val="WenQuanYi Zen Hei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WenQuanYi Zen Hei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WenQuanYi Zen Hei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單年增速。長江存儲資本支出指引：未找到</t>
    </r>
  </si>
  <si>
    <t xml:space="preserve">g_oth_fd</t>
  </si>
  <si>
    <r>
      <rPr>
        <sz val="11"/>
        <color theme="1"/>
        <rFont val="WenQuanYi Zen Hei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WenQuanYi Zen Hei"/>
        <family val="2"/>
      </rPr>
      <t xml:space="preserve">等）設備成長率</t>
    </r>
  </si>
  <si>
    <r>
      <rPr>
        <sz val="11"/>
        <color theme="1"/>
        <rFont val="WenQuanYi Zen Hei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WenQuanYi Zen Hei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</si>
  <si>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WenQuanYi Zen Hei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WenQuanYi Zen Hei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WenQuanYi Zen Hei"/>
        <family val="2"/>
      </rPr>
      <t xml:space="preserve">資本支出指引：未找到（三星僅有半導體合計）</t>
    </r>
  </si>
  <si>
    <r>
      <rPr>
        <b val="true"/>
        <sz val="11"/>
        <rFont val="Cambria"/>
        <family val="0"/>
        <charset val="1"/>
      </rPr>
      <t xml:space="preserve">G. 2025 </t>
    </r>
    <r>
      <rPr>
        <b val="true"/>
        <sz val="11"/>
        <rFont val="WenQuanYi Zen Hei"/>
        <family val="2"/>
      </rPr>
      <t xml:space="preserve">年其他記憶體廠資本支出：獨立估計（用作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其他廠基準，並用於校準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WenQuanYi Zen Hei"/>
        <family val="2"/>
      </rPr>
      <t xml:space="preserve">海力士、三星設備占比；只用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實績）</t>
    </r>
  </si>
  <si>
    <t xml:space="preserve">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</si>
  <si>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</si>
  <si>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</t>
    </r>
  </si>
  <si>
    <t xml:space="preserve">ind_cxmt</t>
  </si>
  <si>
    <r>
      <rPr>
        <sz val="11"/>
        <color theme="1"/>
        <rFont val="WenQuanYi Zen Hei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</si>
  <si>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WenQuanYi Zen Hei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WenQuanYi Zen Hei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WenQuanYi Zen Hei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</si>
  <si>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r>
      <rPr>
        <sz val="11"/>
        <color theme="1"/>
        <rFont val="WenQuanYi Zen Hei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WenQuanYi Zen Hei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資本支出：未找到。基準取低端，無依據偏好</t>
    </r>
  </si>
  <si>
    <t xml:space="preserve">ind_nand_ind</t>
  </si>
  <si>
    <r>
      <rPr>
        <sz val="11"/>
        <color theme="1"/>
        <rFont val="WenQuanYi Zen Hei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</si>
  <si>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</si>
  <si>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WenQuanYi Zen Hei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WenQuanYi Zen Hei"/>
        <family val="2"/>
      </rPr>
      <t xml:space="preserve">（非獨立）</t>
    </r>
  </si>
  <si>
    <t xml:space="preserve">ind_ymtc_sh</t>
  </si>
  <si>
    <r>
      <rPr>
        <sz val="11"/>
        <color theme="1"/>
        <rFont val="WenQuanYi Zen Hei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</si>
  <si>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WenQuanYi Zen Hei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WenQuanYi Zen Hei"/>
        <family val="2"/>
      </rPr>
      <t xml:space="preserve">系列報導，確切文章未核對）</t>
    </r>
  </si>
  <si>
    <t xml:space="preserve">第二來源：未找到</t>
  </si>
  <si>
    <t xml:space="preserve">ind_kioxia</t>
  </si>
  <si>
    <r>
      <rPr>
        <sz val="11"/>
        <color theme="1"/>
        <rFont val="WenQuanYi Zen Hei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WenQuanYi Zen Hei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</si>
  <si>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</si>
  <si>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WenQuanYi Zen Hei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WenQuanYi Zen Hei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WenQuanYi Zen Hei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</si>
  <si>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r>
      <rPr>
        <sz val="11"/>
        <color theme="1"/>
        <rFont val="WenQuanYi Zen Hei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WenQuanYi Zen Hei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WenQuanYi Zen Hei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WenQuanYi Zen Hei"/>
        <family val="2"/>
      </rPr>
      <t xml:space="preserve">）</t>
    </r>
  </si>
  <si>
    <t xml:space="preserve">fx_jpy</t>
  </si>
  <si>
    <r>
      <rPr>
        <sz val="11"/>
        <color theme="1"/>
        <rFont val="WenQuanYi Zen Hei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</si>
  <si>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JPY/USD</t>
  </si>
  <si>
    <r>
      <rPr>
        <sz val="11"/>
        <color theme="1"/>
        <rFont val="WenQuanYi Zen Hei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WenQuanYi Zen Hei"/>
        <family val="2"/>
      </rPr>
      <t xml:space="preserve">）</t>
    </r>
  </si>
  <si>
    <t xml:space="preserve">—</t>
  </si>
  <si>
    <t xml:space="preserve">ind_nanya</t>
  </si>
  <si>
    <r>
      <rPr>
        <sz val="11"/>
        <color theme="1"/>
        <rFont val="WenQuanYi Zen Hei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</t>
    </r>
  </si>
  <si>
    <t xml:space="preserve">NT$B</t>
  </si>
  <si>
    <r>
      <rPr>
        <sz val="11"/>
        <color theme="1"/>
        <rFont val="WenQuanYi Zen Hei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WenQuanYi Zen Hei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WenQuanYi Zen Hei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</si>
  <si>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r>
      <rPr>
        <sz val="11"/>
        <color theme="1"/>
        <rFont val="WenQuanYi Zen Hei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頁）</t>
    </r>
  </si>
  <si>
    <t xml:space="preserve">fx_twd</t>
  </si>
  <si>
    <r>
      <rPr>
        <sz val="11"/>
        <color theme="1"/>
        <rFont val="WenQuanYi Zen Hei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</si>
  <si>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TWD/USD</t>
  </si>
  <si>
    <t xml:space="preserve">無：未查匯率來源</t>
  </si>
  <si>
    <t xml:space="preserve">ind_winbond</t>
  </si>
  <si>
    <r>
      <rPr>
        <sz val="11"/>
        <color theme="1"/>
        <rFont val="WenQuanYi Zen Hei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</t>
    </r>
  </si>
  <si>
    <t xml:space="preserve">—（未找到）</t>
  </si>
  <si>
    <r>
      <rPr>
        <sz val="11"/>
        <color theme="1"/>
        <rFont val="WenQuanYi Zen Hei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</si>
  <si>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（總額偏低）</t>
    </r>
  </si>
  <si>
    <t xml:space="preserve">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</si>
  <si>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WenQuanYi Zen Hei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WenQuanYi Zen Hei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</si>
  <si>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WenQuanYi Zen Hei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WenQuanYi Zen Hei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</si>
  <si>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WenQuanYi Zen Hei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WenQuanYi Zen Hei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WenQuanYi Zen Hei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WenQuanYi Zen Hei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WenQuanYi Zen Hei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），忽略</t>
    </r>
  </si>
  <si>
    <r>
      <rPr>
        <b val="true"/>
        <sz val="11"/>
        <rFont val="Cambria"/>
        <family val="0"/>
        <charset val="1"/>
      </rPr>
      <t xml:space="preserve">C. SEMI 2026-07 </t>
    </r>
    <r>
      <rPr>
        <b val="true"/>
        <sz val="11"/>
        <rFont val="WenQuanYi Zen Hei"/>
        <family val="2"/>
      </rPr>
      <t xml:space="preserve">年中預測（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WenQuanYi Zen Hei"/>
        <family val="2"/>
      </rPr>
      <t xml:space="preserve">）。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為實績（由年增率回推），用於求其他廠基準；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以後的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分項只用於對帳，不決定本模型總額（測試與封裝除外，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為輸入）</t>
    </r>
  </si>
  <si>
    <t xml:space="preserve">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</si>
  <si>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</si>
  <si>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WenQuanYi Zen Hei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</si>
  <si>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</t>
    </r>
  </si>
  <si>
    <t xml:space="preserve">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</si>
  <si>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</si>
  <si>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</si>
  <si>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</si>
  <si>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WenQuanYi Zen Hei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WenQuanYi Zen Hei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新聞稿摘要）</t>
    </r>
  </si>
  <si>
    <t xml:space="preserve">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</si>
  <si>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</si>
  <si>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WenQuanYi Zen Hei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WenQuanYi Zen Hei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WenQuanYi Zen Hei"/>
        <family val="2"/>
      </rPr>
      <t xml:space="preserve">（捨入）</t>
    </r>
  </si>
  <si>
    <t xml:space="preserve">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</si>
  <si>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</si>
  <si>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</si>
  <si>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</si>
  <si>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</si>
  <si>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</si>
  <si>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t xml:space="preserve">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</si>
  <si>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</si>
  <si>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t xml:space="preserve">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</si>
  <si>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</si>
  <si>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</si>
  <si>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</si>
  <si>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</si>
  <si>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</si>
  <si>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t xml:space="preserve">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</si>
  <si>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</si>
  <si>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t xml:space="preserve">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</si>
  <si>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</si>
  <si>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</si>
  <si>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</si>
  <si>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</si>
  <si>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</si>
  <si>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t xml:space="preserve">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</si>
  <si>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</si>
  <si>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t xml:space="preserve">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</si>
  <si>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</si>
  <si>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</si>
  <si>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</si>
  <si>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</si>
  <si>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</si>
  <si>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</si>
  <si>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</si>
  <si>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</si>
  <si>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</si>
  <si>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</si>
  <si>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</si>
  <si>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</si>
  <si>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</si>
  <si>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</si>
  <si>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（對帳用）</t>
    </r>
  </si>
  <si>
    <t xml:space="preserve">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</si>
  <si>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年增（對帳用）</t>
    </r>
  </si>
  <si>
    <t xml:space="preserve">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</si>
  <si>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（對帳用）</t>
    </r>
  </si>
  <si>
    <t xml:space="preserve">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</si>
  <si>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預測；僅用於測試與封裝）</t>
    </r>
  </si>
  <si>
    <r>
      <rPr>
        <sz val="11"/>
        <color theme="1"/>
        <rFont val="WenQuanYi Zen Hei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WenQuanYi Zen Hei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WenQuanYi Zen Hei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</si>
  <si>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WenQuanYi Zen Hei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由情境係數覆寫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</si>
  <si>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資本支出情境係數（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WenQuanYi Zen Hei"/>
        <family val="2"/>
      </rPr>
      <t xml:space="preserve">；設備總額相對前一年的倍數；情境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沿用上表由下而上路徑，不用係數）</t>
    </r>
  </si>
  <si>
    <t xml:space="preserve">ck_B_28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</si>
  <si>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WenQuanYi Zen Hei"/>
        <family val="2"/>
      </rPr>
      <t xml:space="preserve">係數（持平）</t>
    </r>
  </si>
  <si>
    <t xml:space="preserve">x</t>
  </si>
  <si>
    <r>
      <rPr>
        <sz val="11"/>
        <color theme="1"/>
        <rFont val="WenQuanYi Zen Hei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見頂）</t>
    </r>
  </si>
  <si>
    <r>
      <rPr>
        <sz val="11"/>
        <color theme="1"/>
        <rFont val="WenQuanYi Zen Hei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WenQuanYi Zen Hei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設備訂單轉為持平。無實證，非預測</t>
    </r>
  </si>
  <si>
    <t xml:space="preserve">ck_C_28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</si>
  <si>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WenQuanYi Zen Hei"/>
        <family val="2"/>
      </rPr>
      <t xml:space="preserve">係數（下滑約兩成）</t>
    </r>
  </si>
  <si>
    <r>
      <rPr>
        <sz val="11"/>
        <color theme="1"/>
        <rFont val="WenQuanYi Zen Hei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下滑約兩成</t>
    </r>
  </si>
  <si>
    <r>
      <rPr>
        <sz val="11"/>
        <color theme="1"/>
        <rFont val="WenQuanYi Zen Hei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WenQuanYi Zen Hei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為壓力情境。無實證</t>
    </r>
  </si>
  <si>
    <t xml:space="preserve">ck_B_29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</si>
  <si>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WenQuanYi Zen Hei"/>
        <family val="2"/>
      </rPr>
      <t xml:space="preserve">係數</t>
    </r>
  </si>
  <si>
    <t xml:space="preserve">平台後的溫和消化</t>
  </si>
  <si>
    <t xml:space="preserve">無實證</t>
  </si>
  <si>
    <t xml:space="preserve">ck_C_29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</si>
  <si>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WenQuanYi Zen Hei"/>
        <family val="2"/>
      </rPr>
      <t xml:space="preserve">係數</t>
    </r>
  </si>
  <si>
    <t xml:space="preserve">谷底持平</t>
  </si>
  <si>
    <r>
      <rPr>
        <b val="true"/>
        <sz val="11"/>
        <rFont val="Cambria"/>
        <family val="0"/>
        <charset val="1"/>
      </rPr>
      <t xml:space="preserve">E. AI </t>
    </r>
    <r>
      <rPr>
        <b val="true"/>
        <sz val="11"/>
        <rFont val="WenQuanYi Zen Hei"/>
        <family val="2"/>
      </rPr>
      <t xml:space="preserve">相關分類（用於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增量占比；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的分類假設，非公開資料）</t>
    </r>
  </si>
  <si>
    <t xml:space="preserve">adv_other</t>
  </si>
  <si>
    <t xml:space="preserve">台積電以外代工邏輯中屬先進邏輯的比例</t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</si>
  <si>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WenQuanYi Zen Hei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WenQuanYi Zen Hei"/>
        <family val="2"/>
      </rPr>
      <t xml:space="preserve">相對成熟製程擴產（中芯、華虹等）的占比未找到</t>
    </r>
  </si>
  <si>
    <t xml:space="preserve">未找到第二來源</t>
  </si>
  <si>
    <t xml:space="preserve">pkg_adv</t>
  </si>
  <si>
    <t xml:space="preserve">組裝與封裝設備中屬先進封裝的比例</t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</si>
  <si>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WenQuanYi Zen Hei"/>
        <family val="2"/>
      </rPr>
      <t xml:space="preserve">，但整體先進封裝設備金額未找到</t>
    </r>
  </si>
  <si>
    <r>
      <rPr>
        <sz val="11"/>
        <color theme="1"/>
        <rFont val="WenQuanYi Zen Hei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WenQuanYi Zen Hei"/>
        <family val="2"/>
      </rPr>
      <t xml:space="preserve">限制）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</si>
  <si>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對帳來源值（本模型不得為對上這些數字而調整；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前段口徑各家不同，見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WenQuanYi Zen Hei"/>
        <family val="2"/>
      </rPr>
      <t xml:space="preserve">）</t>
    </r>
  </si>
  <si>
    <t xml:space="preserve">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</si>
  <si>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</si>
  <si>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WenQuanYi Zen Hei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WenQuanYi Zen Hei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WenQuanYi Zen Hei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WenQuanYi Zen Hei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</si>
  <si>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WenQuanYi Zen Hei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WenQuanYi Zen Hei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WenQuanYi Zen Hei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WenQuanYi Zen Hei"/>
        <family val="2"/>
      </rPr>
      <t xml:space="preserve">為下限</t>
    </r>
  </si>
  <si>
    <t xml:space="preserve">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</si>
  <si>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WenQuanYi Zen Hei"/>
        <family val="2"/>
      </rPr>
      <t xml:space="preserve">，下限；額外對照）</t>
    </r>
  </si>
  <si>
    <r>
      <rPr>
        <sz val="11"/>
        <color theme="1"/>
        <rFont val="WenQuanYi Zen Hei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</si>
  <si>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使用者未列；額外列示</t>
  </si>
  <si>
    <t xml:space="preserve">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</si>
  <si>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</si>
  <si>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WenQuanYi Zen Hei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</si>
  <si>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r>
      <rPr>
        <sz val="11"/>
        <color theme="1"/>
        <rFont val="WenQuanYi Zen Hei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WenQuanYi Zen Hei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WenQuanYi Zen Hei"/>
        <family val="2"/>
      </rPr>
      <t xml:space="preserve">，口徑含先進封裝</t>
    </r>
  </si>
  <si>
    <t xml:space="preserve">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</si>
  <si>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WenQuanYi Zen Hei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</si>
  <si>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WenQuanYi Zen Hei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</si>
  <si>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同上社群摘要；一手逐字稿未找到</t>
  </si>
  <si>
    <t xml:space="preserve">rc_ms27</t>
  </si>
  <si>
    <t xml:space="preserve">Morgan Stanley 2027 WFE</t>
  </si>
  <si>
    <r>
      <rPr>
        <sz val="11"/>
        <color theme="1"/>
        <rFont val="WenQuanYi Zen Hei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WenQuanYi Zen 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WenQuanYi Zen Hei"/>
        <family val="2"/>
      </rPr>
      <t xml:space="preserve">」；本環境無法開啟該頁，未直接核對）</t>
    </r>
  </si>
  <si>
    <r>
      <rPr>
        <sz val="11"/>
        <color theme="1"/>
        <rFont val="WenQuanYi Zen Hei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WenQuanYi Zen Hei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WenQuanYi Zen Hei"/>
        <family val="2"/>
      </rPr>
      <t xml:space="preserve">為其上修值</t>
    </r>
  </si>
  <si>
    <t xml:space="preserve">rc_ms28</t>
  </si>
  <si>
    <t xml:space="preserve">Morgan Stanley 2028 WFE</t>
  </si>
  <si>
    <r>
      <rPr>
        <sz val="11"/>
        <color theme="1"/>
        <rFont val="WenQuanYi Zen Hei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WenQuanYi Zen Hei"/>
        <family val="2"/>
      </rPr>
      <t xml:space="preserve">，二手轉述）</t>
    </r>
  </si>
  <si>
    <t xml:space="preserve">同上</t>
  </si>
  <si>
    <t xml:space="preserve">rc_gs26</t>
  </si>
  <si>
    <t xml:space="preserve">Goldman Sachs 2026 WFE</t>
  </si>
  <si>
    <t xml:space="preserve">https://www.gate.com/news/detail/goldman-sachs-significantly-raises-wfe-forecasts-through-2028-can-the-ai-23706576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</si>
  <si>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WenQuanYi Zen Hei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WenQuanYi Zen Hei"/>
        <family val="2"/>
      </rPr>
      <t xml:space="preserve">）</t>
    </r>
  </si>
  <si>
    <t xml:space="preserve">rc_gs27</t>
  </si>
  <si>
    <t xml:space="preserve">Goldman Sachs 2027 WFE</t>
  </si>
  <si>
    <t xml:space="preserve">rc_gs28</t>
  </si>
  <si>
    <t xml:space="preserve">Goldman Sachs 2028 WFE</t>
  </si>
  <si>
    <t xml:space="preserve">rc_thr</t>
  </si>
  <si>
    <r>
      <rPr>
        <sz val="11"/>
        <color theme="1"/>
        <rFont val="WenQuanYi Zen Hei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WenQuanYi Zen Hei"/>
        <family val="2"/>
      </rPr>
      <t xml:space="preserve">須說明原因）</t>
    </r>
  </si>
  <si>
    <r>
      <rPr>
        <sz val="11"/>
        <color theme="1"/>
        <rFont val="WenQuanYi Zen Hei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</si>
  <si>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WenQuanYi Zen Hei"/>
        <family val="2"/>
      </rPr>
      <t xml:space="preserve">半導體設備市場（十億美元）：由下而上（公司資本支出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設備占比）＋ 其他廠（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成長率）＋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後段；三情境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</si>
  <si>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＝由下而上（三家＋台積電資本支出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設備占比）＋其他廠基準（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實績減已知廠）；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起其他廠＝基準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），總額由下而上，不由 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WenQuanYi Zen Hei"/>
        <family val="2"/>
      </rPr>
      <t xml:space="preserve">以後預測決定。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WenQuanYi Zen Hei"/>
        <family val="2"/>
      </rPr>
      <t xml:space="preserve">以後的分項只用於對帳。</t>
    </r>
  </si>
  <si>
    <t xml:space="preserve">說明</t>
  </si>
  <si>
    <r>
      <rPr>
        <b val="true"/>
        <sz val="11"/>
        <rFont val="WenQuanYi Zen Hei"/>
        <family val="2"/>
      </rPr>
      <t xml:space="preserve">摘要（各情境設備總額、年增、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增量占比、見頂年度）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</si>
  <si>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</si>
  <si>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設備總額</t>
  </si>
  <si>
    <t xml:space="preserve">  年增</t>
  </si>
  <si>
    <t xml:space="preserve">  其中晶圓前段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</si>
  <si>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WenQuanYi Zen Hei"/>
        <family val="2"/>
      </rPr>
      <t xml:space="preserve">相關設備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</si>
  <si>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WenQuanYi Zen Hei"/>
        <family val="2"/>
      </rPr>
      <t xml:space="preserve">增量占總增量（相對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累計）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</si>
  <si>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WenQuanYi Zen Hei"/>
        <family val="2"/>
      </rPr>
      <t xml:space="preserve">增量占總增量（當年）</t>
    </r>
  </si>
  <si>
    <t xml:space="preserve">  見頂年度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</si>
  <si>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</si>
  <si>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</si>
  <si>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1. SEMI </t>
    </r>
    <r>
      <rPr>
        <b val="true"/>
        <sz val="11"/>
        <rFont val="WenQuanYi Zen Hei"/>
        <family val="2"/>
      </rPr>
      <t xml:space="preserve">分項金額（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路徑的天花板與「其他廠」推導基礎）</t>
    </r>
  </si>
  <si>
    <r>
      <rPr>
        <sz val="11"/>
        <rFont val="Cambria"/>
        <family val="0"/>
        <charset val="1"/>
      </rPr>
      <t xml:space="preserve">SEMI DRAM </t>
    </r>
    <r>
      <rPr>
        <sz val="11"/>
        <rFont val="WenQuanYi Zen Hei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</si>
  <si>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年增連乘；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</si>
  <si>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SEMI NAND </t>
    </r>
    <r>
      <rPr>
        <sz val="11"/>
        <rFont val="WenQuanYi Zen Hei"/>
        <family val="2"/>
      </rPr>
      <t xml:space="preserve">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</si>
  <si>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代工與邏輯設備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</si>
  <si>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晶圓前段設備（</t>
    </r>
    <r>
      <rPr>
        <sz val="11"/>
        <rFont val="Cambria"/>
        <family val="0"/>
        <charset val="1"/>
      </rPr>
      <t xml:space="preserve">WFE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</si>
  <si>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</si>
  <si>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，未找到年中預測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值）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</si>
  <si>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組裝與封裝設備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</si>
  <si>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其他前段（</t>
    </r>
    <r>
      <rPr>
        <sz val="11"/>
        <rFont val="Cambria"/>
        <family val="0"/>
        <charset val="1"/>
      </rPr>
      <t xml:space="preserve">WFE − </t>
    </r>
    <r>
      <rPr>
        <sz val="11"/>
        <rFont val="WenQuanYi Zen Hei"/>
        <family val="2"/>
      </rPr>
      <t xml:space="preserve">代工邏輯 − </t>
    </r>
    <r>
      <rPr>
        <sz val="11"/>
        <rFont val="Cambria"/>
        <family val="0"/>
        <charset val="1"/>
      </rPr>
      <t xml:space="preserve">DRAM − NAND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</si>
  <si>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：類比、功率、光罩、廠務設備等；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不由下而上，沿用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差額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</si>
  <si>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WenQuanYi Zen Hei"/>
        <family val="2"/>
      </rPr>
      <t xml:space="preserve">＋測試＋封裝）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</si>
  <si>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165.9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229.5</t>
    </r>
    <r>
      <rPr>
        <sz val="11"/>
        <color theme="1"/>
        <rFont val="WenQuanYi Zen Hei"/>
        <family val="2"/>
      </rPr>
      <t xml:space="preserve">（捨入差見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</si>
  <si>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SEMI DRAM ÷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）（各年沿用，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</si>
  <si>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把各廠記憶體設備拆成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：假設三家組合同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市場組合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</si>
  <si>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其他前段占（記憶體＋代工邏輯）比例（</t>
    </r>
    <r>
      <rPr>
        <sz val="11"/>
        <rFont val="Cambria"/>
        <family val="0"/>
        <charset val="1"/>
      </rPr>
      <t xml:space="preserve">2025</t>
    </r>
    <r>
      <rPr>
        <sz val="11"/>
        <rFont val="WenQuanYi Zen Hei"/>
        <family val="2"/>
      </rPr>
      <t xml:space="preserve">；各年沿用，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</si>
  <si>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其他前段（類比、功率、光罩等）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年占比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</si>
  <si>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記憶體晶圓前段設備（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以實績校準；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起沿用校準值與成長率）</t>
    </r>
  </si>
  <si>
    <r>
      <rPr>
        <b val="true"/>
        <sz val="11"/>
        <rFont val="Cambria"/>
        <family val="0"/>
        <charset val="1"/>
      </rPr>
      <t xml:space="preserve">2a. 2025 </t>
    </r>
    <r>
      <rPr>
        <b val="true"/>
        <sz val="11"/>
        <rFont val="WenQuanYi Zen Hei"/>
        <family val="2"/>
      </rPr>
      <t xml:space="preserve">年其他記憶體廠：由下而上獨立估計（資本支出 </t>
    </r>
    <r>
      <rPr>
        <b val="true"/>
        <sz val="11"/>
        <rFont val="Cambria"/>
        <family val="0"/>
        <charset val="1"/>
      </rPr>
      <t xml:space="preserve">× sh_oth</t>
    </r>
    <r>
      <rPr>
        <b val="true"/>
        <sz val="11"/>
        <rFont val="WenQuanYi Zen Hei"/>
        <family val="2"/>
      </rPr>
      <t xml:space="preserve">）＝其他廠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基準</t>
    </r>
  </si>
  <si>
    <t xml:space="preserve">長鑫資本支出</t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</si>
  <si>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WenQuanYi Zen Hei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WenQuanYi Zen Hei"/>
        <family val="2"/>
      </rPr>
      <t xml:space="preserve">年度未核對，見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Sens</t>
    </r>
  </si>
  <si>
    <t xml:space="preserve">南亞科資本支出</t>
  </si>
  <si>
    <t xml:space="preserve">華邦資本支出</t>
  </si>
  <si>
    <r>
      <rPr>
        <sz val="11"/>
        <color theme="1"/>
        <rFont val="WenQuanYi Zen Hei"/>
        <family val="2"/>
      </rPr>
      <t xml:space="preserve">未找到，記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</si>
  <si>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廠資本支出</t>
    </r>
  </si>
  <si>
    <r>
      <rPr>
        <sz val="11"/>
        <rFont val="WenQuanYi Zen Hei"/>
        <family val="2"/>
      </rPr>
      <t xml:space="preserve">鎧俠資本支出（</t>
    </r>
    <r>
      <rPr>
        <sz val="11"/>
        <rFont val="Cambria"/>
        <family val="0"/>
        <charset val="1"/>
      </rPr>
      <t xml:space="preserve">FY25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</si>
  <si>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長江存儲資本支出（全球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占比）</t>
    </r>
  </si>
  <si>
    <r>
      <rPr>
        <sz val="11"/>
        <rFont val="Cambria"/>
        <family val="0"/>
        <charset val="1"/>
      </rPr>
      <t xml:space="preserve">SanDisk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JV </t>
    </r>
    <r>
      <rPr>
        <sz val="11"/>
        <rFont val="WenQuanYi Zen Hei"/>
        <family val="2"/>
      </rPr>
      <t xml:space="preserve">分攤與鎧俠重疊，不另計）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</si>
  <si>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未找到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</si>
  <si>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廠資本支出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</si>
  <si>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廠設備＝資本支出 </t>
    </r>
    <r>
      <rPr>
        <sz val="11"/>
        <rFont val="Cambria"/>
        <family val="0"/>
        <charset val="1"/>
      </rPr>
      <t xml:space="preserve">× sh_oth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</si>
  <si>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廠設備＝資本支出 </t>
    </r>
    <r>
      <rPr>
        <sz val="11"/>
        <rFont val="Cambria"/>
        <family val="0"/>
        <charset val="1"/>
      </rPr>
      <t xml:space="preserve">× sh_oth</t>
    </r>
  </si>
  <si>
    <t xml:space="preserve">其他記憶體廠設備（獨立估計）</t>
  </si>
  <si>
    <r>
      <rPr>
        <b val="true"/>
        <sz val="11"/>
        <rFont val="Cambria"/>
        <family val="0"/>
        <charset val="1"/>
      </rPr>
      <t xml:space="preserve">2b. </t>
    </r>
    <r>
      <rPr>
        <b val="true"/>
        <sz val="11"/>
        <rFont val="WenQuanYi Zen Hei"/>
        <family val="2"/>
      </rPr>
      <t xml:space="preserve">三大廠資本支出</t>
    </r>
  </si>
  <si>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海力士資本支出（美元）</t>
    </r>
  </si>
  <si>
    <r>
      <rPr>
        <sz val="11"/>
        <color theme="1"/>
        <rFont val="WenQuanYi Zen Hei"/>
        <family val="2"/>
      </rPr>
      <t xml:space="preserve">兆韓元 </t>
    </r>
    <r>
      <rPr>
        <sz val="11"/>
        <color theme="1"/>
        <rFont val="Calibri"/>
        <family val="2"/>
        <charset val="1"/>
      </rPr>
      <t xml:space="preserve">× 1000 ÷ KRW/USD </t>
    </r>
    <r>
      <rPr>
        <sz val="11"/>
        <color theme="1"/>
        <rFont val="WenQuanYi Zen Hei"/>
        <family val="2"/>
      </rPr>
      <t xml:space="preserve">＝ 十億美元（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亦用同一匯率，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</si>
  <si>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美光資本支出（淨；</t>
    </r>
    <r>
      <rPr>
        <sz val="11"/>
        <rFont val="Cambria"/>
        <family val="0"/>
        <charset val="1"/>
      </rPr>
      <t xml:space="preserve">FY≈</t>
    </r>
    <r>
      <rPr>
        <sz val="11"/>
        <rFont val="WenQuanYi Zen Hei"/>
        <family val="2"/>
      </rPr>
      <t xml:space="preserve">日曆年）</t>
    </r>
  </si>
  <si>
    <t xml:space="preserve">三星記憶體資本支出（美元）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</si>
  <si>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記憶體占比（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</si>
  <si>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三家資本支出合計</t>
  </si>
  <si>
    <r>
      <rPr>
        <b val="true"/>
        <sz val="11"/>
        <rFont val="Cambria"/>
        <family val="0"/>
        <charset val="1"/>
      </rPr>
      <t xml:space="preserve">2c. </t>
    </r>
    <r>
      <rPr>
        <b val="true"/>
        <sz val="11"/>
        <rFont val="WenQuanYi Zen Hei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實績）：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WenQuanYi Zen Hei"/>
        <family val="2"/>
      </rPr>
      <t xml:space="preserve">海力士、三星共用一個設備占比，使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年各廠設備加總＝</t>
    </r>
    <r>
      <rPr>
        <b val="true"/>
        <sz val="11"/>
        <rFont val="Cambria"/>
        <family val="0"/>
        <charset val="1"/>
      </rPr>
      <t xml:space="preserve">SEMI 2025 DRAM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NAND</t>
    </r>
  </si>
  <si>
    <r>
      <rPr>
        <sz val="11"/>
        <rFont val="Cambria"/>
        <family val="0"/>
        <charset val="1"/>
      </rPr>
      <t xml:space="preserve">SEMI 2025 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設備（實績）</t>
    </r>
  </si>
  <si>
    <r>
      <rPr>
        <sz val="11"/>
        <rFont val="WenQuanYi Zen Hei"/>
        <family val="2"/>
      </rPr>
      <t xml:space="preserve">  減：美光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設備（資本支出 </t>
    </r>
    <r>
      <rPr>
        <sz val="11"/>
        <rFont val="Cambria"/>
        <family val="0"/>
        <charset val="1"/>
      </rPr>
      <t xml:space="preserve">× sh_mu_25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</si>
  <si>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  減：其他記憶體廠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設備（獨立估計）</t>
    </r>
  </si>
  <si>
    <r>
      <rPr>
        <sz val="11"/>
        <rFont val="WenQuanYi Zen Hei"/>
        <family val="2"/>
      </rPr>
      <t xml:space="preserve">  ＝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海力士＋三星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設備（校準目標）</t>
    </r>
  </si>
  <si>
    <r>
      <rPr>
        <sz val="11"/>
        <rFont val="Cambria"/>
        <family val="0"/>
        <charset val="1"/>
      </rPr>
      <t xml:space="preserve">  ÷ SK </t>
    </r>
    <r>
      <rPr>
        <sz val="11"/>
        <rFont val="WenQuanYi Zen Hei"/>
        <family val="2"/>
      </rPr>
      <t xml:space="preserve">海力士＋三星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資本支出</t>
    </r>
  </si>
  <si>
    <r>
      <rPr>
        <b val="true"/>
        <sz val="11"/>
        <rFont val="WenQuanYi Zen Hei"/>
        <family val="2"/>
      </rPr>
      <t xml:space="preserve">校準值：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WenQuanYi Zen Hei"/>
        <family val="2"/>
      </rPr>
      <t xml:space="preserve">海力士、三星設備占比（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年以後沿用）</t>
    </r>
  </si>
  <si>
    <r>
      <rPr>
        <sz val="11"/>
        <color theme="1"/>
        <rFont val="WenQuanYi Zen Hei"/>
        <family val="2"/>
      </rPr>
      <t xml:space="preserve">用公式算出；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sh_ss </t>
    </r>
    <r>
      <rPr>
        <sz val="11"/>
        <color theme="1"/>
        <rFont val="WenQuanYi Zen Hei"/>
        <family val="2"/>
      </rPr>
      <t xml:space="preserve">基準取此值</t>
    </r>
  </si>
  <si>
    <r>
      <rPr>
        <sz val="11"/>
        <rFont val="WenQuanYi Zen Hei"/>
        <family val="2"/>
      </rPr>
      <t xml:space="preserve">  低：長鑫取高值（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高）時的校準值</t>
    </r>
  </si>
  <si>
    <r>
      <rPr>
        <sz val="11"/>
        <rFont val="WenQuanYi Zen Hei"/>
        <family val="2"/>
      </rPr>
      <t xml:space="preserve">  高：業界下限（</t>
    </r>
    <r>
      <rPr>
        <sz val="11"/>
        <rFont val="Cambria"/>
        <family val="0"/>
        <charset val="1"/>
      </rPr>
      <t xml:space="preserve">sh_oth </t>
    </r>
    <r>
      <rPr>
        <sz val="11"/>
        <rFont val="WenQuanYi Zen Hei"/>
        <family val="2"/>
      </rPr>
      <t xml:space="preserve">低）</t>
    </r>
  </si>
  <si>
    <r>
      <rPr>
        <sz val="11"/>
        <rFont val="WenQuanYi Zen Hei"/>
        <family val="2"/>
      </rPr>
      <t xml:space="preserve">  對照：業界值（</t>
    </r>
    <r>
      <rPr>
        <sz val="11"/>
        <rFont val="Cambria"/>
        <family val="0"/>
        <charset val="1"/>
      </rPr>
      <t xml:space="preserve">sh_oth </t>
    </r>
    <r>
      <rPr>
        <sz val="11"/>
        <rFont val="WenQuanYi Zen Hei"/>
        <family val="2"/>
      </rPr>
      <t xml:space="preserve">基準，不再當基準）</t>
    </r>
  </si>
  <si>
    <r>
      <rPr>
        <b val="true"/>
        <sz val="11"/>
        <rFont val="Cambria"/>
        <family val="0"/>
        <charset val="1"/>
      </rPr>
      <t xml:space="preserve">2d. </t>
    </r>
    <r>
      <rPr>
        <b val="true"/>
        <sz val="11"/>
        <rFont val="WenQuanYi Zen Hei"/>
        <family val="2"/>
      </rPr>
      <t xml:space="preserve">各廠設備與合計</t>
    </r>
  </si>
  <si>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海力士設備＝資本支出 </t>
    </r>
    <r>
      <rPr>
        <sz val="11"/>
        <rFont val="Cambria"/>
        <family val="0"/>
        <charset val="1"/>
      </rPr>
      <t xml:space="preserve">× sh_sk</t>
    </r>
  </si>
  <si>
    <r>
      <rPr>
        <sz val="11"/>
        <rFont val="WenQuanYi Zen Hei"/>
        <family val="2"/>
      </rPr>
      <t xml:space="preserve">美光設備＝資本支出 </t>
    </r>
    <r>
      <rPr>
        <sz val="11"/>
        <rFont val="Cambria"/>
        <family val="0"/>
        <charset val="1"/>
      </rPr>
      <t xml:space="preserve">× sh_mu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FY25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FY26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FY27–29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</si>
  <si>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三星記憶體設備＝資本支出 </t>
    </r>
    <r>
      <rPr>
        <sz val="11"/>
        <rFont val="Cambria"/>
        <family val="0"/>
        <charset val="1"/>
      </rPr>
      <t xml:space="preserve">× sh_ss</t>
    </r>
  </si>
  <si>
    <t xml:space="preserve">三家設備合計</t>
  </si>
  <si>
    <t xml:space="preserve">  三家加權設備占比</t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</si>
  <si>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× 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</si>
  <si>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拆分為近似（以 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WenQuanYi Zen Hei"/>
        <family val="2"/>
      </rPr>
      <t xml:space="preserve">比例拆三家），合計不受影響</t>
    </r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</si>
  <si>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NAND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</si>
  <si>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廠設備（</t>
    </r>
    <r>
      <rPr>
        <sz val="11"/>
        <rFont val="Cambria"/>
        <family val="0"/>
        <charset val="1"/>
      </rPr>
      <t xml:space="preserve">2025</t>
    </r>
    <r>
      <rPr>
        <sz val="11"/>
        <rFont val="WenQuanYi Zen Hei"/>
        <family val="2"/>
      </rPr>
      <t xml:space="preserve">＝獨立估計；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g_oth_dram)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</si>
  <si>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廠設備（</t>
    </r>
    <r>
      <rPr>
        <sz val="11"/>
        <rFont val="Cambria"/>
        <family val="0"/>
        <charset val="1"/>
      </rPr>
      <t xml:space="preserve">2025</t>
    </r>
    <r>
      <rPr>
        <sz val="11"/>
        <rFont val="WenQuanYi Zen Hei"/>
        <family val="2"/>
      </rPr>
      <t xml:space="preserve">＝獨立估計；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g_oth_nand)</t>
    </r>
    <r>
      <rPr>
        <sz val="11"/>
        <rFont val="WenQuanYi Zen Hei"/>
        <family val="2"/>
      </rPr>
      <t xml:space="preserve">）</t>
    </r>
  </si>
  <si>
    <t xml:space="preserve">記憶體設備合計＝三家＋其他</t>
  </si>
  <si>
    <r>
      <rPr>
        <sz val="11"/>
        <rFont val="WenQuanYi Zen Hei"/>
        <family val="2"/>
      </rPr>
      <t xml:space="preserve">核對：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記憶體合計 −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實績（應為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</si>
  <si>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診斷：記憶體合計 − </t>
    </r>
    <r>
      <rPr>
        <sz val="11"/>
        <rFont val="Cambria"/>
        <family val="0"/>
        <charset val="1"/>
      </rPr>
      <t xml:space="preserve">SEMI 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</si>
  <si>
    <r>
      <rPr>
        <sz val="11"/>
        <color theme="1"/>
        <rFont val="WenQuanYi Zen Hei"/>
        <family val="2"/>
      </rPr>
      <t xml:space="preserve">診斷值（不是輸入）：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起正＝本模型高於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（校準）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</si>
  <si>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代工與邏輯晶圓前段設備（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WenQuanYi Zen Hei"/>
        <family val="2"/>
      </rPr>
      <t xml:space="preserve">：台積電由下而上＋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殘差求其他廠基準；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起：其他廠＝基準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成長率）</t>
    </r>
  </si>
  <si>
    <t xml:space="preserve">台積電資本支出</t>
  </si>
  <si>
    <r>
      <rPr>
        <sz val="11"/>
        <rFont val="WenQuanYi Zen Hei"/>
        <family val="2"/>
      </rPr>
      <t xml:space="preserve">台積電設備＝資本支出 </t>
    </r>
    <r>
      <rPr>
        <sz val="11"/>
        <rFont val="Cambria"/>
        <family val="0"/>
        <charset val="1"/>
      </rPr>
      <t xml:space="preserve">× sh_fd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</si>
  <si>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sh_fd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維持（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），區間改 </t>
    </r>
    <r>
      <rPr>
        <sz val="11"/>
        <color theme="1"/>
        <rFont val="Calibri"/>
        <family val="2"/>
        <charset val="1"/>
      </rPr>
      <t xml:space="preserve">50–75%</t>
    </r>
    <r>
      <rPr>
        <sz val="11"/>
        <color theme="1"/>
        <rFont val="WenQuanYi Zen Hei"/>
        <family val="2"/>
      </rPr>
      <t xml:space="preserve">；證據與可識別性見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頁。未另扣先進封裝／光罩（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WenQuanYi Zen Hei"/>
        <family val="2"/>
      </rPr>
      <t xml:space="preserve">），上限影響見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</si>
  <si>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殘差：其他代工邏輯＝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代工邏輯 − 台積電設備（照實顯示）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</si>
  <si>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：三星晶圓代工、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、中芯等。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WenQuanYi Zen Hei"/>
        <family val="2"/>
      </rPr>
      <t xml:space="preserve">：此殘差無法拆成『台積電占比』與『未列名其他廠』（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頁可識別性檢查：需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18–30 </t>
    </r>
    <r>
      <rPr>
        <sz val="11"/>
        <color theme="1"/>
        <rFont val="WenQuanYi Zen Hei"/>
        <family val="2"/>
      </rPr>
      <t xml:space="preserve">的未列名設備），所以台積電占比不由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校準</t>
    </r>
  </si>
  <si>
    <r>
      <rPr>
        <sz val="11"/>
        <rFont val="WenQuanYi Zen Hei"/>
        <family val="2"/>
      </rPr>
      <t xml:space="preserve">其他代工與邏輯設備（基準＝</t>
    </r>
    <r>
      <rPr>
        <sz val="11"/>
        <rFont val="Cambria"/>
        <family val="0"/>
        <charset val="1"/>
      </rPr>
      <t xml:space="preserve">MAX(</t>
    </r>
    <r>
      <rPr>
        <sz val="11"/>
        <rFont val="WenQuanYi Zen Hei"/>
        <family val="2"/>
      </rPr>
      <t xml:space="preserve">殘差</t>
    </r>
    <r>
      <rPr>
        <sz val="11"/>
        <rFont val="Cambria"/>
        <family val="0"/>
        <charset val="1"/>
      </rPr>
      <t xml:space="preserve">, 0)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g_oth_fd)</t>
    </r>
    <r>
      <rPr>
        <sz val="11"/>
        <rFont val="WenQuanYi Zen Hei"/>
        <family val="2"/>
      </rPr>
      <t xml:space="preserve">）</t>
    </r>
  </si>
  <si>
    <t xml:space="preserve">代工與邏輯設備合計</t>
  </si>
  <si>
    <r>
      <rPr>
        <sz val="11"/>
        <rFont val="WenQuanYi Zen Hei"/>
        <family val="2"/>
      </rPr>
      <t xml:space="preserve">診斷：代工邏輯合計 −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代工邏輯</t>
    </r>
  </si>
  <si>
    <r>
      <rPr>
        <b val="true"/>
        <sz val="11"/>
        <rFont val="Cambria"/>
        <family val="0"/>
        <charset val="1"/>
      </rPr>
      <t xml:space="preserve">3b. </t>
    </r>
    <r>
      <rPr>
        <b val="true"/>
        <sz val="11"/>
        <rFont val="WenQuanYi Zen Hei"/>
        <family val="2"/>
      </rPr>
      <t xml:space="preserve">其他前段（類比、功率、光罩、廠務等）：維持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年占（記憶體＋代工邏輯）的比例</t>
    </r>
  </si>
  <si>
    <t xml:space="preserve">其他前段設備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</si>
  <si>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差額；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起＝比例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本模型（記憶體＋代工邏輯）</t>
    </r>
  </si>
  <si>
    <r>
      <rPr>
        <b val="true"/>
        <sz val="11"/>
        <rFont val="Cambria"/>
        <family val="0"/>
        <charset val="1"/>
      </rPr>
      <t xml:space="preserve">3c. </t>
    </r>
    <r>
      <rPr>
        <b val="true"/>
        <sz val="11"/>
        <rFont val="WenQuanYi Zen Hei"/>
        <family val="2"/>
      </rPr>
      <t xml:space="preserve">診斷：三大廠隱含設備占比（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</si>
  <si>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三大廠隱含設備占比（獨立估計）＝</t>
    </r>
    <r>
      <rPr>
        <b val="true"/>
        <sz val="11"/>
        <rFont val="Cambria"/>
        <family val="0"/>
        <charset val="1"/>
      </rPr>
      <t xml:space="preserve">(SEMI − </t>
    </r>
    <r>
      <rPr>
        <b val="true"/>
        <sz val="11"/>
        <rFont val="WenQuanYi Zen Hei"/>
        <family val="2"/>
      </rPr>
      <t xml:space="preserve">其他廠獨立估計</t>
    </r>
    <r>
      <rPr>
        <b val="true"/>
        <sz val="11"/>
        <rFont val="Cambria"/>
        <family val="0"/>
        <charset val="1"/>
      </rPr>
      <t xml:space="preserve">) ÷ </t>
    </r>
    <r>
      <rPr>
        <b val="true"/>
        <sz val="11"/>
        <rFont val="WenQuanYi Zen Hei"/>
        <family val="2"/>
      </rPr>
      <t xml:space="preserve">三大廠資本支出</t>
    </r>
  </si>
  <si>
    <t xml:space="preserve">＝三家加權設備占比（校準恆等）</t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</si>
  <si>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海力士、三星校準值</t>
    </r>
  </si>
  <si>
    <r>
      <rPr>
        <sz val="11"/>
        <rFont val="WenQuanYi Zen Hei"/>
        <family val="2"/>
      </rPr>
      <t xml:space="preserve">  對照：業界值 </t>
    </r>
    <r>
      <rPr>
        <sz val="11"/>
        <rFont val="Cambria"/>
        <family val="0"/>
        <charset val="1"/>
      </rPr>
      <t xml:space="preserve">sh_oth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保留 </t>
    </r>
    <r>
      <rPr>
        <sz val="11"/>
        <rFont val="Cambria"/>
        <family val="0"/>
        <charset val="1"/>
      </rPr>
      <t xml:space="preserve">64% </t>
    </r>
    <r>
      <rPr>
        <sz val="11"/>
        <rFont val="WenQuanYi Zen Hei"/>
        <family val="2"/>
      </rPr>
      <t xml:space="preserve">對照列）</t>
    </r>
  </si>
  <si>
    <r>
      <rPr>
        <sz val="11"/>
        <rFont val="WenQuanYi Zen Hei"/>
        <family val="2"/>
      </rPr>
      <t xml:space="preserve">旗標：校準值低於業界下限 </t>
    </r>
    <r>
      <rPr>
        <sz val="11"/>
        <rFont val="Cambria"/>
        <family val="0"/>
        <charset val="1"/>
      </rPr>
      <t xml:space="preserve">58%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＝是）</t>
    </r>
  </si>
  <si>
    <r>
      <rPr>
        <sz val="11"/>
        <color theme="1"/>
        <rFont val="WenQuanYi Zen Hei"/>
        <family val="2"/>
      </rPr>
      <t xml:space="preserve">低於下限＝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海力士、三星資本支出中建築與無塵室比重高於業界值（與美光「增量多數為建築」方向一致，非證明）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</si>
  <si>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測試與封裝設備（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金額為輸入，不做由下而上）</t>
    </r>
  </si>
  <si>
    <r>
      <rPr>
        <sz val="11"/>
        <color theme="1"/>
        <rFont val="WenQuanYi Zen Hei"/>
        <family val="2"/>
      </rPr>
      <t xml:space="preserve">為何不由下而上：需要「每顆加速器的測試時間（最終測試、燒機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WenQuanYi Zen Hei"/>
        <family val="2"/>
      </rPr>
      <t xml:space="preserve">、系統級測試 </t>
    </r>
    <r>
      <rPr>
        <sz val="11"/>
        <color theme="1"/>
        <rFont val="Calibri"/>
        <family val="2"/>
        <charset val="1"/>
      </rPr>
      <t xml:space="preserve">SLT </t>
    </r>
    <r>
      <rPr>
        <sz val="11"/>
        <color theme="1"/>
        <rFont val="WenQuanYi Zen Hei"/>
        <family val="2"/>
      </rPr>
      <t xml:space="preserve">的小時數）」與「每條 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堆疊產線的鍵合機台數」，兩者公開資料皆未找到（</t>
    </r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WenQuanYi Zen Hei"/>
        <family val="2"/>
      </rPr>
      <t xml:space="preserve">等僅有訂單，無台數與產能對照）；以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為輸入、並標明為單一來源。</t>
    </r>
  </si>
  <si>
    <t xml:space="preserve">測試設備</t>
  </si>
  <si>
    <t xml:space="preserve">組裝與封裝設備</t>
  </si>
  <si>
    <r>
      <rPr>
        <b val="true"/>
        <sz val="11"/>
        <rFont val="Cambria"/>
        <family val="0"/>
        <charset val="1"/>
      </rPr>
      <t xml:space="preserve">5A.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：由下而上路徑（資本支出沿用記憶體與台積電模型；其他廠沿 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WenQuanYi Zen Hei"/>
        <family val="2"/>
      </rPr>
      <t xml:space="preserve">沿 </t>
    </r>
    <r>
      <rPr>
        <b val="true"/>
        <sz val="11"/>
        <rFont val="Cambria"/>
        <family val="0"/>
        <charset val="1"/>
      </rPr>
      <t xml:space="preserve">g29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</si>
  <si>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先進邏輯（台積電設備＋其他代工中屬先進者）〔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〕</t>
    </r>
  </si>
  <si>
    <t xml:space="preserve">其他代工與邏輯</t>
  </si>
  <si>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（含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）〔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〕</t>
    </r>
  </si>
  <si>
    <t xml:space="preserve">NAND</t>
  </si>
  <si>
    <t xml:space="preserve">其他前段</t>
  </si>
  <si>
    <r>
      <rPr>
        <sz val="11"/>
        <rFont val="WenQuanYi Zen Hei"/>
        <family val="2"/>
      </rPr>
      <t xml:space="preserve">先進封裝〔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〕</t>
    </r>
  </si>
  <si>
    <t xml:space="preserve">測試與其他封裝</t>
  </si>
  <si>
    <t xml:space="preserve">晶圓前段設備</t>
  </si>
  <si>
    <t xml:space="preserve">後段設備（測試＋封裝）</t>
  </si>
  <si>
    <r>
      <rPr>
        <b val="true"/>
        <sz val="11"/>
        <rFont val="WenQuanYi Zen Hei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</si>
  <si>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年增含口徑轉換（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＝由下而上）</t>
    </r>
  </si>
  <si>
    <t xml:space="preserve">  前段年增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</si>
  <si>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相關設備（先進邏輯＋</t>
    </r>
    <r>
      <rPr>
        <b val="true"/>
        <sz val="11"/>
        <rFont val="Cambria"/>
        <family val="0"/>
        <charset val="1"/>
      </rPr>
      <t xml:space="preserve">DRAM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＋先進封裝）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</si>
  <si>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WenQuanYi Zen Hei"/>
        <family val="2"/>
      </rPr>
      <t xml:space="preserve">相關占總額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</si>
  <si>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WenQuanYi Zen Hei"/>
        <family val="2"/>
      </rPr>
      <t xml:space="preserve">相關增量占總增量（相對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累計）</t>
    </r>
  </si>
  <si>
    <r>
      <rPr>
        <sz val="11"/>
        <color theme="1"/>
        <rFont val="WenQuanYi Zen Hei"/>
        <family val="2"/>
      </rPr>
      <t xml:space="preserve">分子分母同為負（下滑）＝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相關占下滑額的比例；總增量接近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時比值失真（可超過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</si>
  <si>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WenQuanYi Zen Hei"/>
        <family val="2"/>
      </rPr>
      <t xml:space="preserve">相關增量占總增量（當年）</t>
    </r>
  </si>
  <si>
    <r>
      <rPr>
        <sz val="11"/>
        <color theme="1"/>
        <rFont val="WenQuanYi Zen Hei"/>
        <family val="2"/>
      </rPr>
      <t xml:space="preserve">增量為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（持平）時不適用</t>
    </r>
  </si>
  <si>
    <t xml:space="preserve">見頂年度（設備總額最高水準；同值取較晚者）</t>
  </si>
  <si>
    <t xml:space="preserve">年</t>
  </si>
  <si>
    <r>
      <rPr>
        <sz val="11"/>
        <color theme="1"/>
        <rFont val="WenQuanYi Zen Hei"/>
        <family val="2"/>
      </rPr>
      <t xml:space="preserve">若為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＝區間末尾，未見頂（</t>
    </r>
    <r>
      <rPr>
        <sz val="11"/>
        <color theme="1"/>
        <rFont val="Calibri"/>
        <family val="2"/>
        <charset val="1"/>
      </rPr>
      <t xml:space="preserve">'≥2029'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</si>
  <si>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5B.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ck_B_28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ck_B_29 </t>
    </r>
    <r>
      <rPr>
        <b val="true"/>
        <sz val="11"/>
        <rFont val="WenQuanYi Zen Hei"/>
        <family val="2"/>
      </rPr>
      <t xml:space="preserve">套用於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路徑的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WenQuanYi Zen Hei"/>
        <family val="2"/>
      </rPr>
      <t xml:space="preserve">水準）</t>
    </r>
  </si>
  <si>
    <r>
      <rPr>
        <b val="true"/>
        <sz val="11"/>
        <rFont val="WenQuanYi Zen Hei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</si>
  <si>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5C.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下滑約兩成（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ck_C_28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ck_C_29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</si>
  <si>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</si>
  <si>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核對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</si>
  <si>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設備合計 − 公布值（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；捨入差）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</si>
  <si>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分項捨入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</si>
  <si>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本模型（由下而上）−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實績合計</t>
    </r>
  </si>
  <si>
    <r>
      <rPr>
        <sz val="11"/>
        <color theme="1"/>
        <rFont val="WenQuanYi Zen Hei"/>
        <family val="2"/>
      </rPr>
      <t xml:space="preserve">殘差為負時基準取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，故可 ≠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</si>
  <si>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rFont val="WenQuanYi Zen Hei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分項合計 − 總額（應為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</si>
  <si>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在 </t>
    </r>
    <r>
      <rPr>
        <sz val="11"/>
        <rFont val="Cambria"/>
        <family val="0"/>
        <charset val="1"/>
      </rPr>
      <t xml:space="preserve">2025–2027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相同（差額合計，應為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</si>
  <si>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— </t>
    </r>
    <r>
      <rPr>
        <sz val="11"/>
        <color theme="1"/>
        <rFont val="WenQuanYi Zen Hei"/>
        <family val="2"/>
      </rPr>
      <t xml:space="preserve">台積電設備占資本支出：證據、可識別性、先進封裝／光罩重疊（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WenQuanYi Zen Hei"/>
        <family val="2"/>
      </rPr>
      <t xml:space="preserve">）。金額：百萬美元（除另註）。藍字＝本頁輸入</t>
    </r>
  </si>
  <si>
    <r>
      <rPr>
        <sz val="11"/>
        <color theme="1"/>
        <rFont val="WenQuanYi Zen Hei"/>
        <family val="2"/>
      </rPr>
      <t xml:space="preserve">年報／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WenQuanYi Zen Hei"/>
        <family val="2"/>
      </rPr>
      <t xml:space="preserve">「不動產、廠房及設備」附註的分類增添（房屋及建築、機器設備、待驗設備及未完工程）：未找到——本環境無法開啟年報與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WenQuanYi Zen Hei"/>
        <family val="2"/>
      </rPr>
      <t xml:space="preserve">原文，只能讀搜尋摘錄；該附註公司有揭露，屬檢索缺口，不是公司不揭露。以下改用董事會每季「資本預算」分項（核准額，不是實際支出）；各次分項來自二手摘要，三項加總與公司公告總額相符（核對欄）。</t>
    </r>
  </si>
  <si>
    <t xml:space="preserve">董事會日期</t>
  </si>
  <si>
    <t xml:space="preserve">機器設備：先進製程</t>
  </si>
  <si>
    <t xml:space="preserve">機器設備：先進封裝／成熟／特殊</t>
  </si>
  <si>
    <t xml:space="preserve">不動產與資本化租賃資產</t>
  </si>
  <si>
    <t xml:space="preserve">三項合計</t>
  </si>
  <si>
    <t xml:space="preserve">公司公告總額</t>
  </si>
  <si>
    <t xml:space="preserve">合計−公告</t>
  </si>
  <si>
    <t xml:space="preserve">設備占比</t>
  </si>
  <si>
    <t xml:space="preserve">2025-05-13</t>
  </si>
  <si>
    <r>
      <rPr>
        <sz val="11"/>
        <color theme="1"/>
        <rFont val="Calibri"/>
        <family val="2"/>
        <charset val="1"/>
      </rPr>
      <t xml:space="preserve">Investing.com 6-K </t>
    </r>
    <r>
      <rPr>
        <sz val="11"/>
        <color theme="1"/>
        <rFont val="WenQuanYi Zen Hei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2025-06-25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https://www.investing.com/news/sec-filings/tsmc-reports-board-share-changes-and-new-capital-spending-approvals-93CH-4110161</t>
    </r>
  </si>
  <si>
    <r>
      <rPr>
        <sz val="11"/>
        <color theme="1"/>
        <rFont val="WenQuanYi Zen Hei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Focus Taiwan https://focustaiwan.tw/business/202505130022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WenQuanYi Zen Hei"/>
        <family val="2"/>
      </rPr>
      <t xml:space="preserve">逐季 </t>
    </r>
    <r>
      <rPr>
        <sz val="11"/>
        <color theme="1"/>
        <rFont val="Calibri"/>
        <family val="2"/>
        <charset val="1"/>
      </rPr>
      <t xml:space="preserve">15.247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</si>
  <si>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（台積電揭露；二手摘要，合計與公告總額核對）</t>
    </r>
  </si>
  <si>
    <t xml:space="preserve">2025-08-12</t>
  </si>
  <si>
    <r>
      <rPr>
        <sz val="11"/>
        <color theme="1"/>
        <rFont val="Calibri"/>
        <family val="2"/>
        <charset val="1"/>
      </rPr>
      <t xml:space="preserve">Panabee </t>
    </r>
    <r>
      <rPr>
        <sz val="11"/>
        <color theme="1"/>
        <rFont val="WenQuanYi Zen Hei"/>
        <family val="2"/>
      </rPr>
      <t xml:space="preserve">摘要（只到 </t>
    </r>
    <r>
      <rPr>
        <sz val="11"/>
        <color theme="1"/>
        <rFont val="Calibri"/>
        <family val="2"/>
        <charset val="1"/>
      </rPr>
      <t xml:space="preserve">0.1B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https://www.panabee.com/news/tsmc-commits-us-20-7-billion-to-bolster-advanced-tech-and-manufacturing-capacity</t>
    </r>
  </si>
  <si>
    <r>
      <rPr>
        <sz val="11"/>
        <color theme="1"/>
        <rFont val="WenQuanYi Zen Hei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WenQuanYi Zen Hei"/>
        <family val="2"/>
      </rPr>
      <t xml:space="preserve">逐季 </t>
    </r>
    <r>
      <rPr>
        <sz val="11"/>
        <color theme="1"/>
        <rFont val="Calibri"/>
        <family val="2"/>
        <charset val="1"/>
      </rPr>
      <t xml:space="preserve">20.657</t>
    </r>
    <r>
      <rPr>
        <sz val="11"/>
        <color theme="1"/>
        <rFont val="WenQuanYi Zen Hei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WenQuanYi Zen Hei"/>
        <family val="2"/>
      </rPr>
      <t xml:space="preserve">原文分項：未能開啟核對</t>
    </r>
  </si>
  <si>
    <t xml:space="preserve">2026-02-10</t>
  </si>
  <si>
    <r>
      <rPr>
        <sz val="11"/>
        <color theme="1"/>
        <rFont val="Calibri"/>
        <family val="2"/>
        <charset val="1"/>
      </rPr>
      <t xml:space="preserve">Investing.com 6-K </t>
    </r>
    <r>
      <rPr>
        <sz val="11"/>
        <color theme="1"/>
        <rFont val="WenQuanYi Zen Hei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https://www.investing.com/news/sec-filings/tsmc-reports-board-shareholding-changes-and-major-capital-approvals-for-february-93CH-4579333</t>
    </r>
  </si>
  <si>
    <r>
      <rPr>
        <sz val="11"/>
        <color theme="1"/>
        <rFont val="WenQuanYi Zen Hei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Taipei Times https://www.taipeitimes.com/News/biz/archives/2026/02/11/2003852112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WenQuanYi Zen Hei"/>
        <family val="2"/>
      </rPr>
      <t xml:space="preserve">同分項。公司新聞稿決議文只列用途與總額，分項見於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WenQuanYi Zen Hei"/>
        <family val="2"/>
      </rPr>
      <t xml:space="preserve">摘要</t>
    </r>
  </si>
  <si>
    <t xml:space="preserve">2026-05-12</t>
  </si>
  <si>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WenQuanYi Zen Hei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https://www.tipranks.com/news/company-announcements/tsmc-details-heavy-capex-bond-issuance-and-share-capital-reduction-for-may-2026</t>
    </r>
  </si>
  <si>
    <r>
      <rPr>
        <sz val="11"/>
        <color theme="1"/>
        <rFont val="WenQuanYi Zen Hei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Focus Taiwan https://focustaiwan.tw/business/202605120026</t>
    </r>
    <r>
      <rPr>
        <sz val="11"/>
        <color theme="1"/>
        <rFont val="WenQuanYi Zen Hei"/>
        <family val="2"/>
      </rPr>
      <t xml:space="preserve">；摘要只列兩項，封裝等機器設備未單獨列（可能併入先進製程）</t>
    </r>
  </si>
  <si>
    <t xml:space="preserve">2026-08</t>
  </si>
  <si>
    <r>
      <rPr>
        <sz val="11"/>
        <color theme="1"/>
        <rFont val="Calibri"/>
        <family val="2"/>
        <charset val="1"/>
      </rPr>
      <t xml:space="preserve">Stocktitan 6-K </t>
    </r>
    <r>
      <rPr>
        <sz val="11"/>
        <color theme="1"/>
        <rFont val="WenQuanYi Zen Hei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https://www.stocktitan.net/sec-filings/TSM/6-k-taiwan-semiconductor-manufacturing-co-ltd-current-report-foreign--efeb868a1401.html</t>
    </r>
  </si>
  <si>
    <r>
      <rPr>
        <sz val="11"/>
        <color theme="1"/>
        <rFont val="WenQuanYi Zen Hei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Focus Taiwan https://focustaiwan.tw/business/202608110015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29.44B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WenQuanYi Zen Hei"/>
        <family val="2"/>
      </rPr>
      <t xml:space="preserve">檔 </t>
    </r>
    <r>
      <rPr>
        <sz val="11"/>
        <color theme="1"/>
        <rFont val="Calibri"/>
        <family val="2"/>
        <charset val="1"/>
      </rPr>
      <t xml:space="preserve">tsm-monthend6kx20260924</t>
    </r>
    <r>
      <rPr>
        <sz val="11"/>
        <color theme="1"/>
        <rFont val="WenQuanYi Zen Hei"/>
        <family val="2"/>
      </rPr>
      <t xml:space="preserve">（搜尋結果列出，未開啟）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</si>
  <si>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兩次合計（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WenQuanYi Zen Hei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</si>
  <si>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三次合計</t>
    </r>
  </si>
  <si>
    <t xml:space="preserve">五次合計</t>
  </si>
  <si>
    <t xml:space="preserve">單次最低／最高設備占比</t>
  </si>
  <si>
    <r>
      <rPr>
        <sz val="11"/>
        <color theme="1"/>
        <rFont val="WenQuanYi Zen Hei"/>
        <family val="2"/>
      </rPr>
      <t xml:space="preserve">怎麼讀：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WenQuanYi Zen Hei"/>
        <family val="2"/>
      </rPr>
      <t xml:space="preserve">這是核准額，不是支出；核准在前、多年執行，且「資本化租賃資產」含非現金項目（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年四次核准合計 </t>
    </r>
    <r>
      <rPr>
        <sz val="11"/>
        <color theme="1"/>
        <rFont val="Calibri"/>
        <family val="2"/>
        <charset val="1"/>
      </rPr>
      <t xml:space="preserve">68.0B</t>
    </r>
    <r>
      <rPr>
        <sz val="11"/>
        <color theme="1"/>
        <rFont val="WenQuanYi Zen Hei"/>
        <family val="2"/>
      </rPr>
      <t xml:space="preserve">，現金資本支出 </t>
    </r>
    <r>
      <rPr>
        <sz val="11"/>
        <color theme="1"/>
        <rFont val="Calibri"/>
        <family val="2"/>
        <charset val="1"/>
      </rPr>
      <t xml:space="preserve">40.9B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WenQuanYi Zen Hei"/>
        <family val="2"/>
      </rPr>
      <t xml:space="preserve">建廠先於裝機，擴廠加速期的不動產占比會領先實際支出占比。</t>
    </r>
    <r>
      <rPr>
        <sz val="11"/>
        <color theme="1"/>
        <rFont val="Calibri"/>
        <family val="2"/>
        <charset val="1"/>
      </rPr>
      <t xml:space="preserve">(3) SEMI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含「廠務設備」（</t>
    </r>
    <r>
      <rPr>
        <sz val="11"/>
        <color theme="1"/>
        <rFont val="Calibri"/>
        <family val="2"/>
        <charset val="1"/>
      </rPr>
      <t xml:space="preserve">Fab Facilities</t>
    </r>
    <r>
      <rPr>
        <sz val="11"/>
        <color theme="1"/>
        <rFont val="WenQuanYi Zen Hei"/>
        <family val="2"/>
      </rPr>
      <t xml:space="preserve">），台積電『不動產與廠務系統』裡的廠務機電部分在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口徑可能算設備，所以和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可比的設備占比 ≥ 本欄。</t>
    </r>
    <r>
      <rPr>
        <sz val="11"/>
        <color theme="1"/>
        <rFont val="Calibri"/>
        <family val="2"/>
        <charset val="1"/>
      </rPr>
      <t xml:space="preserve">(4) 2025 </t>
    </r>
    <r>
      <rPr>
        <sz val="11"/>
        <color theme="1"/>
        <rFont val="WenQuanYi Zen Hei"/>
        <family val="2"/>
      </rPr>
      <t xml:space="preserve">年只有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次、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次找到分項；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2021–2024 </t>
    </r>
    <r>
      <rPr>
        <sz val="11"/>
        <color theme="1"/>
        <rFont val="WenQuanYi Zen Hei"/>
        <family val="2"/>
      </rPr>
      <t xml:space="preserve">各次：只找到總額（下表），分項未找到。</t>
    </r>
  </si>
  <si>
    <t xml:space="preserve">只找到總額的董事會核准（分項未找到）</t>
  </si>
  <si>
    <r>
      <rPr>
        <b val="true"/>
        <sz val="11"/>
        <rFont val="WenQuanYi Zen Hei"/>
        <family val="2"/>
      </rPr>
      <t xml:space="preserve">核准總額 </t>
    </r>
    <r>
      <rPr>
        <b val="true"/>
        <sz val="11"/>
        <rFont val="Cambria"/>
        <family val="0"/>
        <charset val="1"/>
      </rPr>
      <t xml:space="preserve">US$M</t>
    </r>
  </si>
  <si>
    <t xml:space="preserve">備註</t>
  </si>
  <si>
    <t xml:space="preserve">2025-02-12</t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</si>
  <si>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決議新聞稿 </t>
    </r>
    <r>
      <rPr>
        <sz val="11"/>
        <color theme="1"/>
        <rFont val="Calibri"/>
        <family val="2"/>
        <charset val="1"/>
      </rPr>
      <t xml:space="preserve">https://pr.tsmc.com/english/news/3207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</si>
  <si>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（公司公告總額；搜尋摘錄）</t>
    </r>
  </si>
  <si>
    <t xml:space="preserve">2025-11-11</t>
  </si>
  <si>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WenQuanYi Zen Hei"/>
        <family val="2"/>
      </rPr>
      <t xml:space="preserve">逐季；</t>
    </r>
    <r>
      <rPr>
        <sz val="11"/>
        <color theme="1"/>
        <rFont val="Calibri"/>
        <family val="2"/>
        <charset val="1"/>
      </rPr>
      <t xml:space="preserve">Tribune https://www.tribuneindia.com/news/business/tsmc-approved-a-capital-appropriation-plan-of-usd-14-98-bn-company-also-raised-dividend-payout/amp</t>
    </r>
  </si>
  <si>
    <r>
      <rPr>
        <sz val="11"/>
        <color theme="1"/>
        <rFont val="WenQuanYi Zen Hei"/>
        <family val="2"/>
      </rPr>
      <t xml:space="preserve">此次含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年研發與經常性資本預算、資本化租賃資產</t>
    </r>
  </si>
  <si>
    <t xml:space="preserve">2024-02</t>
  </si>
  <si>
    <r>
      <rPr>
        <sz val="11"/>
        <color theme="1"/>
        <rFont val="WenQuanYi Zen Hei"/>
        <family val="2"/>
      </rPr>
      <t xml:space="preserve">搜尋摘要（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決議）</t>
    </r>
  </si>
  <si>
    <t xml:space="preserve">含資本化租賃資產</t>
  </si>
  <si>
    <t xml:space="preserve">2024-06-05</t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</si>
  <si>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決議 </t>
    </r>
    <r>
      <rPr>
        <sz val="11"/>
        <color theme="1"/>
        <rFont val="Calibri"/>
        <family val="2"/>
        <charset val="1"/>
      </rPr>
      <t xml:space="preserve">https://pr.tsmc.com/system/files/newspdf/attachment/4f8848e007a8291ca9e5e720193efebc599d0a9e/0605%20board%20meeting%20(E)_final_wmn.pdf</t>
    </r>
  </si>
  <si>
    <t xml:space="preserve">2024-08-13</t>
  </si>
  <si>
    <r>
      <rPr>
        <sz val="11"/>
        <color theme="1"/>
        <rFont val="Calibri"/>
        <family val="2"/>
        <charset val="1"/>
      </rPr>
      <t xml:space="preserve">MarketScreener 6-K </t>
    </r>
    <r>
      <rPr>
        <sz val="11"/>
        <color theme="1"/>
        <rFont val="WenQuanYi Zen Hei"/>
        <family val="2"/>
      </rPr>
      <t xml:space="preserve">標題頁</t>
    </r>
  </si>
  <si>
    <t xml:space="preserve">2024-11-12</t>
  </si>
  <si>
    <t xml:space="preserve">SEC 6-K https://www.sec.gov/Archives/edgar/data/1046179/000104617924000124/tsm-boardx20241112x6k.htm</t>
  </si>
  <si>
    <t xml:space="preserve">2023-02-14</t>
  </si>
  <si>
    <t xml:space="preserve">SEC 6-K https://www.sec.gov/Archives/edgar/data/1046179/000156459023001822/tsm-6k_20230214.htm</t>
  </si>
  <si>
    <t xml:space="preserve">2023-05-09</t>
  </si>
  <si>
    <r>
      <rPr>
        <sz val="11"/>
        <color theme="1"/>
        <rFont val="WenQuanYi Zen Hei"/>
        <family val="2"/>
      </rPr>
      <t xml:space="preserve">搜尋摘要（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WenQuanYi Zen Hei"/>
        <family val="2"/>
      </rPr>
      <t xml:space="preserve">）</t>
    </r>
  </si>
  <si>
    <t xml:space="preserve">僅廠房建設</t>
  </si>
  <si>
    <t xml:space="preserve">2023-08-08</t>
  </si>
  <si>
    <t xml:space="preserve">SEC 6-K https://www.sec.gov/Archives/edgar/data/1046179/000162828023027944/tsm-boardx20230808x6k.htm</t>
  </si>
  <si>
    <r>
      <rPr>
        <sz val="11"/>
        <color theme="1"/>
        <rFont val="Calibri"/>
        <family val="2"/>
        <charset val="1"/>
      </rPr>
      <t xml:space="preserve">2023-11 </t>
    </r>
    <r>
      <rPr>
        <sz val="11"/>
        <color theme="1"/>
        <rFont val="WenQuanYi Zen Hei"/>
        <family val="2"/>
      </rPr>
      <t xml:space="preserve">一次：未找到</t>
    </r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</si>
  <si>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全年</t>
    </r>
  </si>
  <si>
    <r>
      <rPr>
        <sz val="11"/>
        <color theme="1"/>
        <rFont val="Calibri"/>
        <family val="2"/>
        <charset val="1"/>
      </rPr>
      <t xml:space="preserve">TSMC 2022 </t>
    </r>
    <r>
      <rPr>
        <sz val="11"/>
        <color theme="1"/>
        <rFont val="WenQuanYi Zen Hei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https://investor.tsmc.com/sites/ir/annual-report/2022/2022%20Annual%20Report-E.pdf</t>
    </r>
    <r>
      <rPr>
        <sz val="11"/>
        <color theme="1"/>
        <rFont val="WenQuanYi Zen Hei"/>
        <family val="2"/>
      </rPr>
      <t xml:space="preserve">（搜尋摘錄）</t>
    </r>
  </si>
  <si>
    <r>
      <rPr>
        <sz val="11"/>
        <color theme="1"/>
        <rFont val="Calibri"/>
        <family val="2"/>
        <charset val="1"/>
      </rPr>
      <t xml:space="preserve">2022-12 </t>
    </r>
    <r>
      <rPr>
        <sz val="11"/>
        <color theme="1"/>
        <rFont val="WenQuanYi Zen Hei"/>
        <family val="2"/>
      </rPr>
      <t xml:space="preserve">摘錄顯示「不動產與資本化租賃資產」曾單列約 </t>
    </r>
    <r>
      <rPr>
        <sz val="11"/>
        <color theme="1"/>
        <rFont val="Calibri"/>
        <family val="2"/>
        <charset val="1"/>
      </rPr>
      <t xml:space="preserve">1.1B</t>
    </r>
    <r>
      <rPr>
        <sz val="11"/>
        <color theme="1"/>
        <rFont val="WenQuanYi Zen Hei"/>
        <family val="2"/>
      </rPr>
      <t xml:space="preserve">，其餘分項未找到</t>
    </r>
  </si>
  <si>
    <t xml:space="preserve">2021-06</t>
  </si>
  <si>
    <t xml:space="preserve">Focus Taiwan https://focustaiwan.tw/business/202106100005</t>
  </si>
  <si>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WenQuanYi Zen Hei"/>
        <family val="2"/>
      </rPr>
      <t xml:space="preserve">其他季：未找到</t>
    </r>
  </si>
  <si>
    <t xml:space="preserve">現金資本支出（取得不動產、廠房及設備）</t>
  </si>
  <si>
    <t xml:space="preserve">年度</t>
  </si>
  <si>
    <t xml:space="preserve">新台幣百萬元</t>
  </si>
  <si>
    <t xml:space="preserve">美元百萬元</t>
  </si>
  <si>
    <r>
      <rPr>
        <sz val="11"/>
        <color theme="1"/>
        <rFont val="WenQuanYi Zen Hei"/>
        <family val="2"/>
      </rPr>
      <t xml:space="preserve">未找到（本次搜尋未取得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WenQuanYi Zen Hei"/>
        <family val="2"/>
      </rPr>
      <t xml:space="preserve">年數字）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</si>
  <si>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</si>
  <si>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TSMC 2024 20-F </t>
    </r>
    <r>
      <rPr>
        <sz val="11"/>
        <color theme="1"/>
        <rFont val="WenQuanYi Zen Hei"/>
        <family val="2"/>
      </rPr>
      <t xml:space="preserve">搜尋摘錄（</t>
    </r>
    <r>
      <rPr>
        <sz val="11"/>
        <color theme="1"/>
        <rFont val="Calibri"/>
        <family val="2"/>
        <charset val="1"/>
      </rPr>
      <t xml:space="preserve">2022–2024 </t>
    </r>
    <r>
      <rPr>
        <sz val="11"/>
        <color theme="1"/>
        <rFont val="WenQuanYi Zen Hei"/>
        <family val="2"/>
      </rPr>
      <t xml:space="preserve">資本支出）</t>
    </r>
    <r>
      <rPr>
        <sz val="11"/>
        <color theme="1"/>
        <rFont val="Calibri"/>
        <family val="2"/>
        <charset val="1"/>
      </rPr>
      <t xml:space="preserve">https://investor.tsmc.com/sites/ir/sec-filings/2024%2020-F.pdf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</si>
  <si>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（現金流量表金額）</t>
    </r>
  </si>
  <si>
    <r>
      <rPr>
        <sz val="11"/>
        <color theme="1"/>
        <rFont val="WenQuanYi Zen Hei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4Q24 Management Report 29.76B</t>
    </r>
  </si>
  <si>
    <t xml:space="preserve">美元為公司換算</t>
  </si>
  <si>
    <r>
      <rPr>
        <sz val="11"/>
        <color theme="1"/>
        <rFont val="Calibri"/>
        <family val="2"/>
        <charset val="1"/>
      </rPr>
      <t xml:space="preserve">Stocktitan 2025 </t>
    </r>
    <r>
      <rPr>
        <sz val="11"/>
        <color theme="1"/>
        <rFont val="WenQuanYi Zen Hei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WenQuanYi Zen Hei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WenQuanYi Zen Hei"/>
        <family val="2"/>
      </rPr>
      <t xml:space="preserve">增添 </t>
    </r>
    <r>
      <rPr>
        <sz val="11"/>
        <color theme="1"/>
        <rFont val="Calibri"/>
        <family val="2"/>
        <charset val="1"/>
      </rPr>
      <t xml:space="preserve">1,272,410,529 </t>
    </r>
    <r>
      <rPr>
        <sz val="11"/>
        <color theme="1"/>
        <rFont val="WenQuanYi Zen Hei"/>
        <family val="2"/>
      </rPr>
      <t xml:space="preserve">千元）；美元 </t>
    </r>
    <r>
      <rPr>
        <sz val="11"/>
        <color theme="1"/>
        <rFont val="Calibri"/>
        <family val="2"/>
        <charset val="1"/>
      </rPr>
      <t xml:space="preserve">40.9B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Semiconductor Intelligence https://www.semiconductorintelligence.com/capex-up-for-foundry-memory/</t>
    </r>
  </si>
  <si>
    <t xml:space="preserve">新台幣為二手摘要，未開原文</t>
  </si>
  <si>
    <t xml:space="preserve">其他證據與業界值</t>
  </si>
  <si>
    <t xml:space="preserve">基準／中</t>
  </si>
  <si>
    <t xml:space="preserve">元大投顧：先進製程外商前段設備占資本支出</t>
  </si>
  <si>
    <r>
      <rPr>
        <sz val="11"/>
        <color theme="1"/>
        <rFont val="WenQuanYi Zen Hei"/>
        <family val="2"/>
      </rPr>
      <t xml:space="preserve">自由財經／財富自由（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WenQuanYi Zen Hei"/>
        <family val="2"/>
      </rPr>
      <t xml:space="preserve">法說後）</t>
    </r>
    <r>
      <rPr>
        <sz val="11"/>
        <color theme="1"/>
        <rFont val="Calibri"/>
        <family val="2"/>
        <charset val="1"/>
      </rPr>
      <t xml:space="preserve">https://stock.ltn.com.tw/article/70szg3dsjge2</t>
    </r>
  </si>
  <si>
    <t xml:space="preserve">媒體轉述，原報告全文未找到；只含外商主導的前段設備、限先進製程；投顧報告以設備供應鏈受惠股為主題，立場偏多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</si>
  <si>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（元大投顧）</t>
    </r>
  </si>
  <si>
    <r>
      <rPr>
        <sz val="11"/>
        <color theme="1"/>
        <rFont val="WenQuanYi Zen Hei"/>
        <family val="2"/>
      </rPr>
      <t xml:space="preserve">業界值：</t>
    </r>
    <r>
      <rPr>
        <sz val="11"/>
        <color theme="1"/>
        <rFont val="Calibri"/>
        <family val="2"/>
        <charset val="1"/>
      </rPr>
      <t xml:space="preserve">SEMI 2025 WFE ÷ </t>
    </r>
    <r>
      <rPr>
        <sz val="11"/>
        <color theme="1"/>
        <rFont val="WenQuanYi Zen Hei"/>
        <family val="2"/>
      </rPr>
      <t xml:space="preserve">全球資本支出</t>
    </r>
  </si>
  <si>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SH_SRC1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SH_SRC2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）</t>
    </r>
  </si>
  <si>
    <t xml:space="preserve">業界合計，非台積電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</si>
  <si>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（全產業，差異：含記憶體與 </t>
    </r>
    <r>
      <rPr>
        <sz val="11"/>
        <color theme="1"/>
        <rFont val="Calibri"/>
        <family val="2"/>
        <charset val="1"/>
      </rPr>
      <t xml:space="preserve">IDM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</si>
  <si>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海力士、三星校準值（對照）</t>
    </r>
  </si>
  <si>
    <t xml:space="preserve">Mkt 2c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</si>
  <si>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，記憶體廠；用來問「台積電是否也同樣偏低」</t>
    </r>
  </si>
  <si>
    <r>
      <rPr>
        <b val="true"/>
        <sz val="11"/>
        <rFont val="WenQuanYi Zen Hei"/>
        <family val="2"/>
      </rPr>
      <t xml:space="preserve">可識別性：能不能用 </t>
    </r>
    <r>
      <rPr>
        <b val="true"/>
        <sz val="11"/>
        <rFont val="Cambria"/>
        <family val="0"/>
        <charset val="1"/>
      </rPr>
      <t xml:space="preserve">SEMI 2025 </t>
    </r>
    <r>
      <rPr>
        <b val="true"/>
        <sz val="11"/>
        <rFont val="WenQuanYi Zen Hei"/>
        <family val="2"/>
      </rPr>
      <t xml:space="preserve">代工邏輯實績校準台積電的設備占比？（比照 </t>
    </r>
    <r>
      <rPr>
        <b val="true"/>
        <sz val="11"/>
        <rFont val="Cambria"/>
        <family val="0"/>
        <charset val="1"/>
      </rPr>
      <t xml:space="preserve">SK</t>
    </r>
    <r>
      <rPr>
        <b val="true"/>
        <sz val="11"/>
        <rFont val="WenQuanYi Zen Hei"/>
        <family val="2"/>
      </rPr>
      <t xml:space="preserve">＋三星，但其他廠無法獨立估計）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</si>
  <si>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WenQuanYi Zen Hei"/>
        <family val="2"/>
      </rPr>
      <t xml:space="preserve">代工與邏輯設備（實績）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</si>
  <si>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頁／</t>
    </r>
    <r>
      <rPr>
        <sz val="11"/>
        <color theme="1"/>
        <rFont val="Calibri"/>
        <family val="2"/>
        <charset val="1"/>
      </rPr>
      <t xml:space="preserve">Mkt 1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</si>
  <si>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</t>
    </r>
  </si>
  <si>
    <t xml:space="preserve">In</t>
  </si>
  <si>
    <r>
      <rPr>
        <sz val="11"/>
        <color theme="1"/>
        <rFont val="WenQuanYi Zen Hei"/>
        <family val="2"/>
      </rPr>
      <t xml:space="preserve">已知其他廠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資本支出：中芯＋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（毛額）</t>
    </r>
  </si>
  <si>
    <r>
      <rPr>
        <sz val="11"/>
        <color theme="1"/>
        <rFont val="WenQuanYi Zen Hei"/>
        <family val="2"/>
      </rPr>
      <t xml:space="preserve">僅此二家有數字；三星晶圓代工（報導約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兆韓元，未核對）、聯電（資料站約 </t>
    </r>
    <r>
      <rPr>
        <sz val="11"/>
        <color theme="1"/>
        <rFont val="Calibri"/>
        <family val="2"/>
        <charset val="1"/>
      </rPr>
      <t xml:space="preserve">1.5B</t>
    </r>
    <r>
      <rPr>
        <sz val="11"/>
        <color theme="1"/>
        <rFont val="WenQuanYi Zen Hei"/>
        <family val="2"/>
      </rPr>
      <t xml:space="preserve">，弱）、</t>
    </r>
    <r>
      <rPr>
        <sz val="11"/>
        <color theme="1"/>
        <rFont val="Calibri"/>
        <family val="2"/>
        <charset val="1"/>
      </rPr>
      <t xml:space="preserve">GlobalFoundries</t>
    </r>
    <r>
      <rPr>
        <sz val="11"/>
        <color theme="1"/>
        <rFont val="WenQuanYi Zen Hei"/>
        <family val="2"/>
      </rPr>
      <t xml:space="preserve">、華虹、力積電、世界先進、</t>
    </r>
    <r>
      <rPr>
        <sz val="11"/>
        <color theme="1"/>
        <rFont val="Calibri"/>
        <family val="2"/>
        <charset val="1"/>
      </rPr>
      <t xml:space="preserve">Rapidus</t>
    </r>
    <r>
      <rPr>
        <sz val="11"/>
        <color theme="1"/>
        <rFont val="WenQuanYi Zen Hei"/>
        <family val="2"/>
      </rPr>
      <t xml:space="preserve">、中國未上市廠：未找到可用的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</t>
    </r>
  </si>
  <si>
    <r>
      <rPr>
        <sz val="11"/>
        <color theme="1"/>
        <rFont val="WenQuanYi Zen Hei"/>
        <family val="2"/>
      </rPr>
      <t xml:space="preserve">已知其他廠設備（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</si>
  <si>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：假設同業界值；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WenQuanYi Zen Hei"/>
        <family val="2"/>
      </rPr>
      <t xml:space="preserve">含大量建廠，可能偏高</t>
    </r>
  </si>
  <si>
    <r>
      <rPr>
        <b val="true"/>
        <sz val="11"/>
        <rFont val="WenQuanYi Zen Hei"/>
        <family val="2"/>
      </rPr>
      <t xml:space="preserve">假設台積電設備占比 </t>
    </r>
    <r>
      <rPr>
        <b val="true"/>
        <sz val="11"/>
        <rFont val="Cambria"/>
        <family val="0"/>
        <charset val="1"/>
      </rPr>
      <t xml:space="preserve">s</t>
    </r>
  </si>
  <si>
    <t xml:space="preserve">台積電設備</t>
  </si>
  <si>
    <r>
      <rPr>
        <b val="true"/>
        <sz val="11"/>
        <rFont val="WenQuanYi Zen Hei"/>
        <family val="2"/>
      </rPr>
      <t xml:space="preserve">需要的『未列名其他廠設備』</t>
    </r>
    <r>
      <rPr>
        <b val="true"/>
        <sz val="11"/>
        <rFont val="Cambria"/>
        <family val="0"/>
        <charset val="1"/>
      </rPr>
      <t xml:space="preserve">X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SEMI−</t>
    </r>
    <r>
      <rPr>
        <b val="true"/>
        <sz val="11"/>
        <rFont val="WenQuanYi Zen Hei"/>
        <family val="2"/>
      </rPr>
      <t xml:space="preserve">台積電−已知其他廠</t>
    </r>
  </si>
  <si>
    <r>
      <rPr>
        <b val="true"/>
        <sz val="11"/>
        <rFont val="Cambria"/>
        <family val="0"/>
        <charset val="1"/>
      </rPr>
      <t xml:space="preserve">X </t>
    </r>
    <r>
      <rPr>
        <b val="true"/>
        <sz val="11"/>
        <rFont val="WenQuanYi Zen Hei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代工邏輯</t>
    </r>
  </si>
  <si>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WenQuanYi Zen Hei"/>
        <family val="2"/>
      </rPr>
      <t xml:space="preserve">的上限情況：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時隱含的 </t>
    </r>
    <r>
      <rPr>
        <sz val="11"/>
        <color theme="1"/>
        <rFont val="Calibri"/>
        <family val="2"/>
        <charset val="1"/>
      </rPr>
      <t xml:space="preserve">s</t>
    </r>
  </si>
  <si>
    <r>
      <rPr>
        <sz val="11"/>
        <color theme="1"/>
        <rFont val="WenQuanYi Zen Hei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不可能：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代工邏輯設備出貨，大於「台積電全部資本支出＋已知其他廠 </t>
    </r>
    <r>
      <rPr>
        <sz val="11"/>
        <color theme="1"/>
        <rFont val="Calibri"/>
        <family val="2"/>
        <charset val="1"/>
      </rPr>
      <t xml:space="preserve">× 64%</t>
    </r>
    <r>
      <rPr>
        <sz val="11"/>
        <color theme="1"/>
        <rFont val="WenQuanYi Zen Hei"/>
        <family val="2"/>
      </rPr>
      <t xml:space="preserve">」。</t>
    </r>
  </si>
  <si>
    <r>
      <rPr>
        <sz val="11"/>
        <color theme="1"/>
        <rFont val="WenQuanYi Zen Hei"/>
        <family val="2"/>
      </rPr>
      <t xml:space="preserve">結論：不論 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WenQuanYi Zen Hei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，都需要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18–30 </t>
    </r>
    <r>
      <rPr>
        <sz val="11"/>
        <color theme="1"/>
        <rFont val="WenQuanYi Zen Hei"/>
        <family val="2"/>
      </rPr>
      <t xml:space="preserve">十億美元（占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28–46%</t>
    </r>
    <r>
      <rPr>
        <sz val="11"/>
        <color theme="1"/>
        <rFont val="WenQuanYi Zen Hei"/>
        <family val="2"/>
      </rPr>
      <t xml:space="preserve">）的『未列名其他廠設備』才能湊成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實績，而這個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WenQuanYi Zen Hei"/>
        <family val="2"/>
      </rPr>
      <t xml:space="preserve">沒有任何獨立估計（未找到）。因此與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＋三星不同：記憶體校準有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實績＋美光（一手揭露）＋其他廠獨立估計三個已知量，只剩一個未知數；代工邏輯是『台積電 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WenQuanYi Zen Hei"/>
        <family val="2"/>
      </rPr>
      <t xml:space="preserve">』與『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』兩個未知數、一條方程式，不可識別。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實績只約束 </t>
    </r>
    <r>
      <rPr>
        <sz val="11"/>
        <color theme="1"/>
        <rFont val="Calibri"/>
        <family val="2"/>
        <charset val="1"/>
      </rPr>
      <t xml:space="preserve">s×</t>
    </r>
    <r>
      <rPr>
        <sz val="11"/>
        <color theme="1"/>
        <rFont val="WenQuanYi Zen Hei"/>
        <family val="2"/>
      </rPr>
      <t xml:space="preserve">台積電資本支出＋其他廠＝</t>
    </r>
    <r>
      <rPr>
        <sz val="11"/>
        <color theme="1"/>
        <rFont val="Calibri"/>
        <family val="2"/>
        <charset val="1"/>
      </rPr>
      <t xml:space="preserve">65.6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WenQuanYi Zen Hei"/>
        <family val="2"/>
      </rPr>
      <t xml:space="preserve">由其他證據決定。可能的來源：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計設備出貨、資本支出是現金支出（時差，見限制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）；中國未上市晶圓廠與口徑差異；本表已知其他廠的資本支出不全。</t>
    </r>
  </si>
  <si>
    <r>
      <rPr>
        <b val="true"/>
        <sz val="11"/>
        <rFont val="WenQuanYi Zen Hei"/>
        <family val="2"/>
      </rPr>
      <t xml:space="preserve">先進封裝、測試、光罩與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分類的重疊</t>
    </r>
  </si>
  <si>
    <r>
      <rPr>
        <sz val="11"/>
        <color theme="1"/>
        <rFont val="WenQuanYi Zen Hei"/>
        <family val="2"/>
      </rPr>
      <t xml:space="preserve">公司稱用於先進封裝、測試、光罩及其他（</t>
    </r>
    <r>
      <rPr>
        <sz val="11"/>
        <color theme="1"/>
        <rFont val="Calibri"/>
        <family val="2"/>
        <charset val="1"/>
      </rPr>
      <t xml:space="preserve">pk_ts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</si>
  <si>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台積電資本支出（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WenQuanYi Zen Hei"/>
        <family val="2"/>
      </rPr>
      <t xml:space="preserve">，三情境相同）</t>
    </r>
  </si>
  <si>
    <r>
      <rPr>
        <sz val="11"/>
        <color theme="1"/>
        <rFont val="WenQuanYi Zen Hei"/>
        <family val="2"/>
      </rPr>
      <t xml:space="preserve">該類資本支出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 </t>
    </r>
    <r>
      <rPr>
        <sz val="11"/>
        <color theme="1"/>
        <rFont val="Calibri"/>
        <family val="2"/>
        <charset val="1"/>
      </rPr>
      <t xml:space="preserve">sh_fd</t>
    </r>
    <r>
      <rPr>
        <sz val="11"/>
        <color theme="1"/>
        <rFont val="WenQuanYi Zen Hei"/>
        <family val="2"/>
      </rPr>
      <t xml:space="preserve">（若全部被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分入後段或其他前段）</t>
    </r>
  </si>
  <si>
    <r>
      <rPr>
        <sz val="11"/>
        <color theme="1"/>
        <rFont val="WenQuanYi Zen Hei"/>
        <family val="2"/>
      </rPr>
      <t xml:space="preserve">占情境 </t>
    </r>
    <r>
      <rPr>
        <sz val="11"/>
        <color theme="1"/>
        <rFont val="Calibri"/>
        <family val="2"/>
        <charset val="1"/>
      </rPr>
      <t xml:space="preserve">A 2026 </t>
    </r>
    <r>
      <rPr>
        <sz val="11"/>
        <color theme="1"/>
        <rFont val="WenQuanYi Zen Hei"/>
        <family val="2"/>
      </rPr>
      <t xml:space="preserve">設備總額</t>
    </r>
  </si>
  <si>
    <r>
      <rPr>
        <sz val="11"/>
        <color theme="1"/>
        <rFont val="WenQuanYi Zen Hei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的口徑——總設備＝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（晶圓處理、光罩、廠務）＋測試＋組裝封裝（來源：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簡報定義，搜尋摘錄）；台積電的先進封裝（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等）設備應落在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『組裝與封裝』或『測試』，光罩設備落在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的光罩項（本模型的『其他前段』），而本模型把台積電全部資本支出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設備占比放進『代工邏輯』，另外再以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金額加入測試與封裝——所以有重疊的可能，上表是上限（</t>
    </r>
    <r>
      <rPr>
        <sz val="11"/>
        <color theme="1"/>
        <rFont val="Calibri"/>
        <family val="2"/>
        <charset val="1"/>
      </rPr>
      <t xml:space="preserve">10–20% </t>
    </r>
    <r>
      <rPr>
        <sz val="11"/>
        <color theme="1"/>
        <rFont val="WenQuanYi Zen Hei"/>
        <family val="2"/>
      </rPr>
      <t xml:space="preserve">內含測試、光罩與『其他』，且部分封裝用的蝕刻、沉積、微影設備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可能算在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年因代工邏輯由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殘差補平，重疊不影響總額；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年以後台積電成長（</t>
    </r>
    <r>
      <rPr>
        <sz val="11"/>
        <color theme="1"/>
        <rFont val="Calibri"/>
        <family val="2"/>
        <charset val="1"/>
      </rPr>
      <t xml:space="preserve">+52%</t>
    </r>
    <r>
      <rPr>
        <sz val="11"/>
        <color theme="1"/>
        <rFont val="WenQuanYi Zen Hei"/>
        <family val="2"/>
      </rPr>
      <t xml:space="preserve">）遠高於其他廠（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WenQuanYi Zen Hei"/>
        <family val="2"/>
      </rPr>
      <t xml:space="preserve">），重疊使總額高估；直接扣除為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年設備總額的 </t>
    </r>
    <r>
      <rPr>
        <sz val="11"/>
        <color theme="1"/>
        <rFont val="Calibri"/>
        <family val="2"/>
        <charset val="1"/>
      </rPr>
      <t xml:space="preserve">2.2–4.5%</t>
    </r>
    <r>
      <rPr>
        <sz val="11"/>
        <color theme="1"/>
        <rFont val="WenQuanYi Zen Hei"/>
        <family val="2"/>
      </rPr>
      <t xml:space="preserve">（上表），但因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殘差補平，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的淨影響較小：情境 </t>
    </r>
    <r>
      <rPr>
        <sz val="11"/>
        <color theme="1"/>
        <rFont val="Calibri"/>
        <family val="2"/>
        <charset val="1"/>
      </rPr>
      <t xml:space="preserve">A 2026–2029 </t>
    </r>
    <r>
      <rPr>
        <sz val="11"/>
        <color theme="1"/>
        <rFont val="WenQuanYi Zen Hei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1.1% </t>
    </r>
    <r>
      <rPr>
        <sz val="11"/>
        <color theme="1"/>
        <rFont val="WenQuanYi Zen Hei"/>
        <family val="2"/>
      </rPr>
      <t xml:space="preserve">至 −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WenQuanYi Zen Hei"/>
        <family val="2"/>
      </rPr>
      <t xml:space="preserve">（扣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是否把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前段工序算在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：未找到。</t>
    </r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WenQuanYi Zen Hei"/>
        <family val="2"/>
      </rPr>
      <t xml:space="preserve">不扣，理由：重疊程度無法識別，且扣除方向會被『未列名其他廠』的校準殘差吸收。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</si>
  <si>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本模型與外部來源對帳。不為對上來源而調整參數；差距 </t>
    </r>
    <r>
      <rPr>
        <sz val="11"/>
        <color theme="1"/>
        <rFont val="Calibri"/>
        <family val="2"/>
        <charset val="1"/>
      </rPr>
      <t xml:space="preserve">&gt; 15% </t>
    </r>
    <r>
      <rPr>
        <sz val="11"/>
        <color theme="1"/>
        <rFont val="WenQuanYi Zen Hei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WenQuanYi Zen Hei"/>
        <family val="2"/>
      </rPr>
      <t xml:space="preserve">。模型欄＝晶圓前段設備（除非另註）；來源口徑各異（</t>
    </r>
    <r>
      <rPr>
        <sz val="11"/>
        <color theme="1"/>
        <rFont val="Calibri"/>
        <family val="2"/>
        <charset val="1"/>
      </rPr>
      <t xml:space="preserve">SEMI WFE</t>
    </r>
    <r>
      <rPr>
        <sz val="11"/>
        <color theme="1"/>
        <rFont val="WenQuanYi Zen Hei"/>
        <family val="2"/>
      </rPr>
      <t xml:space="preserve">、分析師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含先進封裝）</t>
    </r>
  </si>
  <si>
    <t xml:space="preserve">來源值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</si>
  <si>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</si>
  <si>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</si>
  <si>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</si>
  <si>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</si>
  <si>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</si>
  <si>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</si>
  <si>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&gt; </t>
    </r>
    <r>
      <rPr>
        <b val="true"/>
        <sz val="11"/>
        <rFont val="WenQuanYi Zen Hei"/>
        <family val="2"/>
      </rPr>
      <t xml:space="preserve">門檻</t>
    </r>
  </si>
  <si>
    <t xml:space="preserve">口徑備註</t>
  </si>
  <si>
    <t xml:space="preserve">設備合計</t>
  </si>
  <si>
    <t xml:space="preserve">SEMI 2026-07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</si>
  <si>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165.9</t>
    </r>
  </si>
  <si>
    <t xml:space="preserve">晶圓前段</t>
  </si>
  <si>
    <t xml:space="preserve">代工與邏輯</t>
  </si>
  <si>
    <t xml:space="preserve">模型＝代工邏輯設備合計（台積電由下而上＋其他殘差）</t>
  </si>
  <si>
    <t xml:space="preserve">DRAM</t>
  </si>
  <si>
    <r>
      <rPr>
        <sz val="11"/>
        <color theme="1"/>
        <rFont val="WenQuanYi Zen Hei"/>
        <family val="2"/>
      </rPr>
      <t xml:space="preserve">模型記憶體設備 </t>
    </r>
    <r>
      <rPr>
        <sz val="11"/>
        <color theme="1"/>
        <rFont val="Calibri"/>
        <family val="2"/>
        <charset val="1"/>
      </rPr>
      <t xml:space="preserve">× SEMI DRAM </t>
    </r>
    <r>
      <rPr>
        <sz val="11"/>
        <color theme="1"/>
        <rFont val="WenQuanYi Zen Hei"/>
        <family val="2"/>
      </rPr>
      <t xml:space="preserve">占比</t>
    </r>
  </si>
  <si>
    <t xml:space="preserve">晶圓前段年增</t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</si>
  <si>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+21.8%</t>
    </r>
    <r>
      <rPr>
        <sz val="11"/>
        <color theme="1"/>
        <rFont val="WenQuanYi Zen Hei"/>
        <family val="2"/>
      </rPr>
      <t xml:space="preserve">）</t>
    </r>
  </si>
  <si>
    <t xml:space="preserve">年增率之差以百分點計</t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</si>
  <si>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值連乘年增）</t>
    </r>
  </si>
  <si>
    <r>
      <rPr>
        <sz val="11"/>
        <color theme="1"/>
        <rFont val="Calibri"/>
        <family val="2"/>
        <charset val="1"/>
      </rPr>
      <t xml:space="preserve">SEMI 2027 </t>
    </r>
    <r>
      <rPr>
        <sz val="11"/>
        <color theme="1"/>
        <rFont val="WenQuanYi Zen Hei"/>
        <family val="2"/>
      </rPr>
      <t xml:space="preserve">絕對金額為推得（</t>
    </r>
    <r>
      <rPr>
        <sz val="11"/>
        <color theme="1"/>
        <rFont val="Calibri"/>
        <family val="2"/>
        <charset val="1"/>
      </rPr>
      <t xml:space="preserve">143.9×1.218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</si>
  <si>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（連乘）</t>
    </r>
  </si>
  <si>
    <r>
      <rPr>
        <sz val="11"/>
        <color theme="1"/>
        <rFont val="WenQuanYi Zen Hei"/>
        <family val="2"/>
      </rPr>
      <t xml:space="preserve">新聞稿稱「達 </t>
    </r>
    <r>
      <rPr>
        <sz val="11"/>
        <color theme="1"/>
        <rFont val="Calibri"/>
        <family val="2"/>
        <charset val="1"/>
      </rPr>
      <t xml:space="preserve">200B</t>
    </r>
    <r>
      <rPr>
        <sz val="11"/>
        <color theme="1"/>
        <rFont val="WenQuanYi Zen Hei"/>
        <family val="2"/>
      </rPr>
      <t xml:space="preserve">」</t>
    </r>
  </si>
  <si>
    <r>
      <rPr>
        <sz val="11"/>
        <color theme="1"/>
        <rFont val="WenQuanYi Zen Hei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229.5</t>
    </r>
    <r>
      <rPr>
        <sz val="11"/>
        <color theme="1"/>
        <rFont val="WenQuanYi Zen Hei"/>
        <family val="2"/>
      </rPr>
      <t xml:space="preserve">；分項加總 </t>
    </r>
    <r>
      <rPr>
        <sz val="11"/>
        <color theme="1"/>
        <rFont val="Calibri"/>
        <family val="2"/>
        <charset val="1"/>
      </rPr>
      <t xml:space="preserve">229.4</t>
    </r>
  </si>
  <si>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</si>
  <si>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2026-10 </t>
    </r>
    <r>
      <rPr>
        <sz val="11"/>
        <color theme="1"/>
        <rFont val="WenQuanYi Zen Hei"/>
        <family val="2"/>
      </rPr>
      <t xml:space="preserve">法說另稱 </t>
    </r>
    <r>
      <rPr>
        <sz val="11"/>
        <color theme="1"/>
        <rFont val="Calibri"/>
        <family val="2"/>
        <charset val="1"/>
      </rPr>
      <t xml:space="preserve">mid-150</t>
    </r>
  </si>
  <si>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</si>
  <si>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口徑含先進封裝，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120 vs SEMI 116.9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</si>
  <si>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</si>
  <si>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WenQuanYi Zen Hei"/>
        <family val="2"/>
      </rPr>
      <t xml:space="preserve">；額外對照）</t>
    </r>
  </si>
  <si>
    <t xml:space="preserve">取下限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</si>
  <si>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二手轉述 </t>
    </r>
    <r>
      <rPr>
        <sz val="11"/>
        <color theme="1"/>
        <rFont val="Calibri"/>
        <family val="2"/>
        <charset val="1"/>
      </rPr>
      <t xml:space="preserve">https://www.itiger.com/news/2649678863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</si>
  <si>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；連結見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</si>
  <si>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二手轉述：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</si>
  <si>
    <t xml:space="preserve">Goldman Sachs</t>
  </si>
  <si>
    <r>
      <rPr>
        <b val="true"/>
        <sz val="11"/>
        <rFont val="WenQuanYi Zen Hei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SEMI 2026 </t>
    </r>
    <r>
      <rPr>
        <b val="true"/>
        <sz val="11"/>
        <rFont val="WenQuanYi Zen Hei"/>
        <family val="2"/>
      </rPr>
      <t xml:space="preserve">分項加總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</si>
  <si>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＋代工邏輯＋其他前段 −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</si>
  <si>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WenQuanYi Zen Hei"/>
        <family val="2"/>
      </rPr>
      <t xml:space="preserve">注意：校準只用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路徑的總額由下而上（其他廠＝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成長率，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），不由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或券商預測決定（測試與封裝除外，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為輸入），所以對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與各來源的差距有意義。</t>
    </r>
  </si>
  <si>
    <r>
      <rPr>
        <b val="true"/>
        <sz val="11"/>
        <rFont val="WenQuanYi Zen Hei"/>
        <family val="2"/>
      </rPr>
      <t xml:space="preserve">台積電設備占比對帳（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WenQuanYi Zen Hei"/>
        <family val="2"/>
      </rPr>
      <t xml:space="preserve">；不併入上方差距表，單位：占比，差距為百分點）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</si>
  <si>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sh_fd </t>
    </r>
    <r>
      <rPr>
        <b val="true"/>
        <sz val="11"/>
        <rFont val="WenQuanYi Zen Hei"/>
        <family val="2"/>
      </rPr>
      <t xml:space="preserve">基準</t>
    </r>
  </si>
  <si>
    <t xml:space="preserve">差距（模型−來源）</t>
  </si>
  <si>
    <t xml:space="preserve">董事會資本預算：五次合計設備占比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</si>
  <si>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WenQuanYi Zen Hei"/>
        <family val="2"/>
      </rPr>
      <t xml:space="preserve">二手摘要（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頁）</t>
    </r>
  </si>
  <si>
    <r>
      <rPr>
        <sz val="11"/>
        <color theme="1"/>
        <rFont val="WenQuanYi Zen Hei"/>
        <family val="2"/>
      </rPr>
      <t xml:space="preserve">核准額，非支出；含資本化租賃資產；單次 </t>
    </r>
    <r>
      <rPr>
        <sz val="11"/>
        <color theme="1"/>
        <rFont val="Calibri"/>
        <family val="2"/>
        <charset val="1"/>
      </rPr>
      <t xml:space="preserve">47–71%</t>
    </r>
  </si>
  <si>
    <r>
      <rPr>
        <sz val="11"/>
        <color theme="1"/>
        <rFont val="WenQuanYi Zen Hei"/>
        <family val="2"/>
      </rPr>
      <t xml:space="preserve">董事會資本預算：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兩次（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月）</t>
    </r>
  </si>
  <si>
    <r>
      <rPr>
        <sz val="11"/>
        <color theme="1"/>
        <rFont val="WenQuanYi Zen Hei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次找到分項；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全年支出占比：未找到</t>
    </r>
  </si>
  <si>
    <r>
      <rPr>
        <sz val="11"/>
        <color theme="1"/>
        <rFont val="WenQuanYi Zen Hei"/>
        <family val="2"/>
      </rPr>
      <t xml:space="preserve">董事會資本預算：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三次（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月）</t>
    </r>
  </si>
  <si>
    <t xml:space="preserve">元大投顧：先進製程外商前段設備（中點）</t>
  </si>
  <si>
    <r>
      <rPr>
        <sz val="11"/>
        <color theme="1"/>
        <rFont val="WenQuanYi Zen Hei"/>
        <family val="2"/>
      </rPr>
      <t xml:space="preserve">自由財經轉述（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</t>
    </r>
  </si>
  <si>
    <t xml:space="preserve">只含外商前段設備、限先進製程</t>
  </si>
  <si>
    <r>
      <rPr>
        <sz val="11"/>
        <color theme="1"/>
        <rFont val="WenQuanYi Zen Hei"/>
        <family val="2"/>
      </rPr>
      <t xml:space="preserve">業界值（</t>
    </r>
    <r>
      <rPr>
        <sz val="11"/>
        <color theme="1"/>
        <rFont val="Calibri"/>
        <family val="2"/>
        <charset val="1"/>
      </rPr>
      <t xml:space="preserve">SEMI WFE ÷ </t>
    </r>
    <r>
      <rPr>
        <sz val="11"/>
        <color theme="1"/>
        <rFont val="WenQuanYi Zen Hei"/>
        <family val="2"/>
      </rPr>
      <t xml:space="preserve">全球資本支出等）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</si>
  <si>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sh_oth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</si>
  <si>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，模型基準的來源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</si>
  <si>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海力士、三星校準值（對照，不是台積電的證據）</t>
    </r>
  </si>
  <si>
    <r>
      <rPr>
        <sz val="11"/>
        <color theme="1"/>
        <rFont val="WenQuanYi Zen Hei"/>
        <family val="2"/>
      </rPr>
      <t xml:space="preserve">記憶體廠，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</si>
  <si>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一次動一個輸入（低／高取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的區間）；輸出：情境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設備總額（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）。最後兩組列出「其他記憶體廠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基準」若不為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對總額的影響（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殘差為負時基準取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</si>
  <si>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輸入</t>
  </si>
  <si>
    <t xml:space="preserve">2027 A</t>
  </si>
  <si>
    <t xml:space="preserve">相對基準</t>
  </si>
  <si>
    <t xml:space="preserve">2028 A</t>
  </si>
  <si>
    <t xml:space="preserve">2029 A</t>
  </si>
  <si>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實績校準）</t>
    </r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</si>
  <si>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（公式重算；核對列應為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</si>
  <si>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海力士＋三星設備占比 低（長鑫取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WenQuanYi Zen Hei"/>
        <family val="2"/>
      </rPr>
      <t xml:space="preserve">的校準值）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</si>
  <si>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海力士＋三星設備占比 高（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，業界下限）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</si>
  <si>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海力士＋三星設備占比＝業界值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（不再當基準）</t>
    </r>
  </si>
  <si>
    <r>
      <rPr>
        <sz val="11"/>
        <color theme="1"/>
        <rFont val="WenQuanYi Zen Hei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資本支出取高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（年度未核對；重新校準）</t>
    </r>
  </si>
  <si>
    <r>
      <rPr>
        <sz val="11"/>
        <color theme="1"/>
        <rFont val="WenQuanYi Zen Hei"/>
        <family val="2"/>
      </rPr>
      <t xml:space="preserve">美光設備占比 低（</t>
    </r>
    <r>
      <rPr>
        <sz val="11"/>
        <color theme="1"/>
        <rFont val="Calibri"/>
        <family val="2"/>
        <charset val="1"/>
      </rPr>
      <t xml:space="preserve">FY25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27–29</t>
    </r>
    <r>
      <rPr>
        <sz val="11"/>
        <color theme="1"/>
        <rFont val="WenQuanYi Zen Hei"/>
        <family val="2"/>
      </rPr>
      <t xml:space="preserve">；重新校準）</t>
    </r>
  </si>
  <si>
    <t xml:space="preserve">美光設備占比 高（重新校準）</t>
  </si>
  <si>
    <r>
      <rPr>
        <sz val="11"/>
        <color theme="1"/>
        <rFont val="WenQuanYi Zen Hei"/>
        <family val="2"/>
      </rPr>
      <t xml:space="preserve">其他記憶體廠設備占比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（重新校準）</t>
    </r>
  </si>
  <si>
    <r>
      <rPr>
        <sz val="11"/>
        <color theme="1"/>
        <rFont val="WenQuanYi Zen Hei"/>
        <family val="2"/>
      </rPr>
      <t xml:space="preserve">其他記憶體廠設備占比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（重新校準）</t>
    </r>
  </si>
  <si>
    <r>
      <rPr>
        <sz val="11"/>
        <color theme="1"/>
        <rFont val="WenQuanYi Zen Hei"/>
        <family val="2"/>
      </rPr>
      <t xml:space="preserve">台積電設備占比 低（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</si>
  <si>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台積電設備占比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</si>
  <si>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台積電設備占比＝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海力士、三星校準值（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；若台積電也同樣偏低）</t>
    </r>
  </si>
  <si>
    <r>
      <rPr>
        <sz val="11"/>
        <color theme="1"/>
        <rFont val="WenQuanYi Zen Hei"/>
        <family val="2"/>
      </rPr>
      <t xml:space="preserve">台積電資本支出扣除先進封裝／光罩等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（設備同比例；上限，見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頁）</t>
    </r>
  </si>
  <si>
    <r>
      <rPr>
        <sz val="11"/>
        <color theme="1"/>
        <rFont val="WenQuanYi Zen Hei"/>
        <family val="2"/>
      </rPr>
      <t xml:space="preserve">台積電資本支出扣除先進封裝／光罩等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（上限）</t>
    </r>
  </si>
  <si>
    <r>
      <rPr>
        <sz val="11"/>
        <color theme="1"/>
        <rFont val="WenQuanYi Zen Hei"/>
        <family val="2"/>
      </rPr>
      <t xml:space="preserve">匯率 低（</t>
    </r>
    <r>
      <rPr>
        <sz val="11"/>
        <color theme="1"/>
        <rFont val="Calibri"/>
        <family val="2"/>
        <charset val="1"/>
      </rPr>
      <t xml:space="preserve">1,350</t>
    </r>
    <r>
      <rPr>
        <sz val="11"/>
        <color theme="1"/>
        <rFont val="WenQuanYi Zen Hei"/>
        <family val="2"/>
      </rPr>
      <t xml:space="preserve">；重新校準）</t>
    </r>
  </si>
  <si>
    <r>
      <rPr>
        <sz val="11"/>
        <color theme="1"/>
        <rFont val="WenQuanYi Zen Hei"/>
        <family val="2"/>
      </rPr>
      <t xml:space="preserve">標「重新校準」的列：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輸入改變後重新解出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、三星共用占比。匯率改變時校準值同比例改變，設備金額不變（匯率對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年以後設備無影響）</t>
    </r>
  </si>
  <si>
    <r>
      <rPr>
        <sz val="11"/>
        <color theme="1"/>
        <rFont val="WenQuanYi Zen Hei"/>
        <family val="2"/>
      </rPr>
      <t xml:space="preserve">匯率 高（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WenQuanYi Zen Hei"/>
        <family val="2"/>
      </rPr>
      <t xml:space="preserve">；重新校準）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</si>
  <si>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低（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WenQuanYi Zen Hei"/>
        <family val="2"/>
      </rPr>
      <t xml:space="preserve">兆；重新校準）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</si>
  <si>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記憶體占比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WenQuanYi Zen Hei"/>
        <family val="2"/>
      </rPr>
      <t xml:space="preserve">（重新校準）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</si>
  <si>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記憶體占比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WenQuanYi Zen Hei"/>
        <family val="2"/>
      </rPr>
      <t xml:space="preserve">（重新校準）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</si>
  <si>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低（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</si>
  <si>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高（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</si>
  <si>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廠成長 低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</si>
  <si>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廠成長 高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</si>
  <si>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廠成長 低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</si>
  <si>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廠成長 高</t>
    </r>
  </si>
  <si>
    <t xml:space="preserve">其他代工邏輯成長 低</t>
  </si>
  <si>
    <t xml:space="preserve">其他代工邏輯成長 高</t>
  </si>
  <si>
    <r>
      <rPr>
        <sz val="11"/>
        <color theme="1"/>
        <rFont val="WenQuanYi Zen Hei"/>
        <family val="2"/>
      </rPr>
      <t xml:space="preserve">核對：基準 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總額（應為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</si>
  <si>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情境係數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</si>
  <si>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設備總額</t>
    </r>
  </si>
  <si>
    <r>
      <rPr>
        <b val="true"/>
        <sz val="11"/>
        <rFont val="WenQuanYi Zen Hei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2027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</si>
  <si>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WenQuanYi Zen Hei"/>
        <family val="2"/>
      </rPr>
      <t xml:space="preserve">設備總額</t>
    </r>
  </si>
  <si>
    <r>
      <rPr>
        <b val="true"/>
        <sz val="11"/>
        <rFont val="WenQuanYi Zen Hei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</si>
  <si>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係數 低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</si>
  <si>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係數 基準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</si>
  <si>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係數 高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</si>
  <si>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係數 低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</si>
  <si>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係數 基準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</si>
  <si>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係數 高</t>
    </r>
  </si>
  <si>
    <r>
      <rPr>
        <sz val="11"/>
        <color theme="1"/>
        <rFont val="WenQuanYi Zen Hei"/>
        <family val="2"/>
      </rPr>
      <t xml:space="preserve">說明：係數為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，區間無實證；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的見頂年度對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係數敏感（≥</t>
    </r>
    <r>
      <rPr>
        <sz val="11"/>
        <color theme="1"/>
        <rFont val="Calibri"/>
        <family val="2"/>
        <charset val="1"/>
      </rPr>
      <t xml:space="preserve">1.00 </t>
    </r>
    <r>
      <rPr>
        <sz val="11"/>
        <color theme="1"/>
        <rFont val="WenQuanYi Zen Hei"/>
        <family val="2"/>
      </rPr>
      <t xml:space="preserve">則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不下滑，見頂年度移到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）。</t>
    </r>
  </si>
  <si>
    <r>
      <rPr>
        <b val="true"/>
        <sz val="11"/>
        <rFont val="WenQuanYi Zen Hei"/>
        <family val="2"/>
      </rPr>
      <t xml:space="preserve">校準值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WenQuanYi Zen Hei"/>
        <family val="2"/>
      </rPr>
      <t xml:space="preserve">業界值 </t>
    </r>
    <r>
      <rPr>
        <b val="true"/>
        <sz val="11"/>
        <rFont val="Cambria"/>
        <family val="0"/>
        <charset val="1"/>
      </rPr>
      <t xml:space="preserve">64%</t>
    </r>
    <r>
      <rPr>
        <b val="true"/>
        <sz val="11"/>
        <rFont val="WenQuanYi Zen Hei"/>
        <family val="2"/>
      </rPr>
      <t xml:space="preserve">（對照）：三情境總額與見頂年度</t>
    </r>
  </si>
  <si>
    <t xml:space="preserve">情境／占比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</si>
  <si>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</si>
  <si>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</si>
  <si>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</si>
  <si>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</si>
  <si>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</si>
  <si>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見頂年度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</si>
  <si>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（校準值（基準））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</si>
  <si>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（校準值（基準））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</si>
  <si>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（校準值（基準））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</si>
  <si>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</si>
  <si>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</si>
  <si>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</si>
  <si>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業界值 </t>
    </r>
    <r>
      <rPr>
        <sz val="11"/>
        <color theme="1"/>
        <rFont val="Calibri"/>
        <family val="2"/>
        <charset val="1"/>
      </rPr>
      <t xml:space="preserve">64% − </t>
    </r>
    <r>
      <rPr>
        <sz val="11"/>
        <color theme="1"/>
        <rFont val="WenQuanYi Zen Hei"/>
        <family val="2"/>
      </rPr>
      <t xml:space="preserve">校準值：情境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</si>
  <si>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  業界值 </t>
    </r>
    <r>
      <rPr>
        <sz val="11"/>
        <color theme="1"/>
        <rFont val="Calibri"/>
        <family val="2"/>
        <charset val="1"/>
      </rPr>
      <t xml:space="preserve">64% − </t>
    </r>
    <r>
      <rPr>
        <sz val="11"/>
        <color theme="1"/>
        <rFont val="WenQuanYi Zen Hei"/>
        <family val="2"/>
      </rPr>
      <t xml:space="preserve">校準值：情境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</si>
  <si>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  業界值 </t>
    </r>
    <r>
      <rPr>
        <sz val="11"/>
        <color theme="1"/>
        <rFont val="Calibri"/>
        <family val="2"/>
        <charset val="1"/>
      </rPr>
      <t xml:space="preserve">64% − </t>
    </r>
    <r>
      <rPr>
        <sz val="11"/>
        <color theme="1"/>
        <rFont val="WenQuanYi Zen Hei"/>
        <family val="2"/>
      </rPr>
      <t xml:space="preserve">校準值：情境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</si>
  <si>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台積電設備占比／封裝光罩扣除（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WenQuanYi Zen Hei"/>
        <family val="2"/>
      </rPr>
      <t xml:space="preserve">）：三情境總額與見頂年度（其他參數不動）</t>
    </r>
  </si>
  <si>
    <t xml:space="preserve">情境／台積電設定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</si>
  <si>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</si>
  <si>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</si>
  <si>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</si>
  <si>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（低））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</si>
  <si>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（低））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</si>
  <si>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（低））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</si>
  <si>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（高））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</si>
  <si>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（高））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</si>
  <si>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（高））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</si>
  <si>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</si>
  <si>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</si>
  <si>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</si>
  <si>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</si>
  <si>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</si>
  <si>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</si>
  <si>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（上限））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</si>
  <si>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（上限））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</si>
  <si>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（上限））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</si>
  <si>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（低））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</si>
  <si>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（低））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</si>
  <si>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（低））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</si>
  <si>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（高））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</si>
  <si>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（高））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</si>
  <si>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（高））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</si>
  <si>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</si>
  <si>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</si>
  <si>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</si>
  <si>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</si>
  <si>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</si>
  <si>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</si>
  <si>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（上限））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</si>
  <si>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（上限））</t>
    </r>
  </si>
  <si>
    <r>
      <rPr>
        <sz val="11"/>
        <color theme="1"/>
        <rFont val="WenQuanYi Zen Hei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（上限））</t>
    </r>
  </si>
  <si>
    <r>
      <rPr>
        <sz val="11"/>
        <color theme="1"/>
        <rFont val="WenQuanYi Zen Hei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因代工邏輯由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殘差補平，台積電占比不影響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總額；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年以後台積電資本支出成長（</t>
    </r>
    <r>
      <rPr>
        <sz val="11"/>
        <color theme="1"/>
        <rFont val="Calibri"/>
        <family val="2"/>
        <charset val="1"/>
      </rPr>
      <t xml:space="preserve">+52%</t>
    </r>
    <r>
      <rPr>
        <sz val="11"/>
        <color theme="1"/>
        <rFont val="WenQuanYi Zen Hei"/>
        <family val="2"/>
      </rPr>
      <t xml:space="preserve">）遠高於其他廠（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），占比降低使總額下降。見頂年度由情境係數決定，不受台積電占比影響（三情境見頂年度與基準相同，見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WenQuanYi Zen Hei"/>
        <family val="2"/>
      </rPr>
      <t xml:space="preserve">欄）。</t>
    </r>
  </si>
  <si>
    <r>
      <rPr>
        <sz val="11"/>
        <color theme="1"/>
        <rFont val="WenQuanYi Zen Hei"/>
        <family val="2"/>
      </rPr>
      <t xml:space="preserve">說明：業界值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本模型總額高於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實績（三家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加上其他廠獨立估計超過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）；校準值使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恰等於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實績。單因子列中未標「重新校準」者，校準值固定不變。</t>
    </r>
  </si>
  <si>
    <t xml:space="preserve">網址／位置</t>
  </si>
  <si>
    <t xml:space="preserve">用途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</si>
  <si>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年中設備預測新聞稿 </t>
    </r>
    <r>
      <rPr>
        <sz val="11"/>
        <color theme="1"/>
        <rFont val="Calibri"/>
        <family val="2"/>
        <charset val="1"/>
      </rPr>
      <t xml:space="preserve">2026-07-14</t>
    </r>
  </si>
  <si>
    <t xml:space="preserve">https://www.semi.org/en/semi-press-release/global-semiconductor-equipment-sales-forecast-to-reach-a-record-229-billion-dollars-in-2028-semi-reports</t>
  </si>
  <si>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WenQuanYi Zen Hei"/>
        <family val="2"/>
      </rPr>
      <t xml:space="preserve">設備金額、年增</t>
    </r>
  </si>
  <si>
    <t xml:space="preserve">中（一手但協會有立場；分項年增取自搜尋摘要，未能直接開啟全文）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</si>
  <si>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新聞稿轉載（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）</t>
    </r>
  </si>
  <si>
    <t xml:space="preserve">https://www.prnewswire.co.uk/news-releases/global-semiconductor-equipment-sales-forecast-to-reach-a-record-229-billion-in-2028-semi-reports-302824214.html</t>
  </si>
  <si>
    <t xml:space="preserve">同上第二來源（非獨立）</t>
  </si>
  <si>
    <t xml:space="preserve">中</t>
  </si>
  <si>
    <r>
      <rPr>
        <sz val="11"/>
        <color theme="1"/>
        <rFont val="Calibri"/>
        <family val="2"/>
        <charset val="1"/>
      </rPr>
      <t xml:space="preserve">Semiconductor Digest </t>
    </r>
    <r>
      <rPr>
        <sz val="11"/>
        <color theme="1"/>
        <rFont val="WenQuanYi Zen Hei"/>
        <family val="2"/>
      </rPr>
      <t xml:space="preserve">轉載</t>
    </r>
  </si>
  <si>
    <t xml:space="preserve">https://www.semiconductor-digest.com/global-semiconductor-equipment-sales-forecast-to-reach-a-record-229-billion-in-2028-semi-reports/</t>
  </si>
  <si>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CapEx Up for Foundry, Memory</t>
    </r>
  </si>
  <si>
    <t xml:space="preserve">https://www.semiconductorintelligence.com/capex-up-for-foundry-memory/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</si>
  <si>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WenQuanYi Zen Hei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40.9B</t>
    </r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</si>
  <si>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產業深度</t>
    </r>
  </si>
  <si>
    <t xml:space="preserve">https://reboundcapital.substack.com/p/industry-deep-dive-semiconductor</t>
  </si>
  <si>
    <r>
      <rPr>
        <sz val="11"/>
        <color theme="1"/>
        <rFont val="WenQuanYi Zen Hei"/>
        <family val="2"/>
      </rPr>
      <t xml:space="preserve">資本支出→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轉換率約 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</si>
  <si>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WenQuanYi Zen Hei"/>
        <family val="2"/>
      </rPr>
      <t xml:space="preserve">弱（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</si>
  <si>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海力士、美光、三星、台積電模型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WenQuanYi Zen Hei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</si>
  <si>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dist/*.xlsx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頁「資本支出」列）</t>
    </r>
  </si>
  <si>
    <t xml:space="preserve">公司資本支出</t>
  </si>
  <si>
    <r>
      <rPr>
        <sz val="11"/>
        <color theme="1"/>
        <rFont val="WenQuanYi Zen Hei"/>
        <family val="2"/>
      </rPr>
      <t xml:space="preserve">各模型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頁標記</t>
    </r>
  </si>
  <si>
    <r>
      <rPr>
        <sz val="11"/>
        <color theme="1"/>
        <rFont val="Calibri"/>
        <family val="2"/>
        <charset val="1"/>
      </rPr>
      <t xml:space="preserve">Qz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WenQuanYi Zen Hei"/>
        <family val="2"/>
      </rPr>
      <t xml:space="preserve">兆）</t>
    </r>
  </si>
  <si>
    <t xml:space="preserve">https://qz.com/sk-hynix-q2-2026-earnings-record-profit-misses-estimates-072926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</si>
  <si>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</t>
    </r>
  </si>
  <si>
    <t xml:space="preserve">弱～中（摘要）</t>
  </si>
  <si>
    <r>
      <rPr>
        <sz val="11"/>
        <color theme="1"/>
        <rFont val="Calibri"/>
        <family val="2"/>
        <charset val="1"/>
      </rPr>
      <t xml:space="preserve">MLQ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2Q26</t>
    </r>
  </si>
  <si>
    <t xml:space="preserve">https://mlq.ai/news/sk-hynix-posts-record-605-trillion-won-operating-profit-raises-capacity-spending/</t>
  </si>
  <si>
    <t xml:space="preserve">同上第二來源</t>
  </si>
  <si>
    <t xml:space="preserve">弱～中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</si>
  <si>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CAPEX Results</t>
    </r>
  </si>
  <si>
    <t xml:space="preserve">https://www.samsung.com/global/ir/reports-disclosures/public-disclosure-view.84547/</t>
  </si>
  <si>
    <r>
      <rPr>
        <sz val="11"/>
        <color theme="1"/>
        <rFont val="Calibri"/>
        <family val="2"/>
        <charset val="1"/>
      </rPr>
      <t xml:space="preserve">DS 2025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47.5 </t>
    </r>
    <r>
      <rPr>
        <sz val="11"/>
        <color theme="1"/>
        <rFont val="WenQuanYi Zen Hei"/>
        <family val="2"/>
      </rPr>
      <t xml:space="preserve">兆</t>
    </r>
  </si>
  <si>
    <t xml:space="preserve">強（公司一手；頁面日期與內文不一致，需核對）</t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</si>
  <si>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8-K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</si>
  <si>
    <t xml:space="preserve">https://www.sec.gov/Archives/edgar/data/723125/000072312525000024/a2025q4ex991-pressrelease.htm</t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</si>
  <si>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</si>
  <si>
    <t xml:space="preserve">強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</si>
  <si>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：鎧俠 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WenQuanYi Zen Hei"/>
        <family val="2"/>
      </rPr>
      <t xml:space="preserve">資本支出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</si>
  <si>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</si>
  <si>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廠成長率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</si>
  <si>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WenQuanYi Zen Hei"/>
        <family val="2"/>
      </rPr>
      <t xml:space="preserve">／鎧俠日本投資</t>
    </r>
  </si>
  <si>
    <t xml:space="preserve">https://www.fool.com/investing/2026/08/29/sandisk-and-kioxia-plan-to-invest-more-than-usd31-billion-in-japanese-memory-plants-about-60-of-what-they-have-spent-there-in-25-years/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</si>
  <si>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WenQuanYi Zen Hei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</si>
  <si>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WenQuanYi Zen Hei"/>
        <family val="2"/>
      </rPr>
      <t xml:space="preserve">：南亞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資本支出</t>
    </r>
  </si>
  <si>
    <t xml:space="preserve">https://www.digitimes.com/news/a20260713PD211/nanya-technology-capex-capacity-2027.html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</si>
  <si>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廠成長率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</si>
  <si>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：中芯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資本支出持平</t>
    </r>
  </si>
  <si>
    <t xml:space="preserve">https://www.trendforce.com/news/2026/03/30/news-smic-2026-action-plan-points-to-above-industry-growth-capex-held-in-line-with-2025/</t>
  </si>
  <si>
    <t xml:space="preserve">其他代工邏輯成長率</t>
  </si>
  <si>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Intel 2026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&gt;$20B</t>
    </r>
  </si>
  <si>
    <t xml:space="preserve">https://www.gate.com/news/detail/intel-raises-2026-capex-guidance-to-over-20-billion-q2-earnings-beat-22949346</t>
  </si>
  <si>
    <r>
      <rPr>
        <sz val="11"/>
        <color theme="1"/>
        <rFont val="Calibri"/>
        <family val="2"/>
        <charset val="1"/>
      </rPr>
      <t xml:space="preserve">Micron FQ3 2026 </t>
    </r>
    <r>
      <rPr>
        <sz val="11"/>
        <color theme="1"/>
        <rFont val="WenQuanYi Zen Hei"/>
        <family val="2"/>
      </rPr>
      <t xml:space="preserve">準備稿</t>
    </r>
  </si>
  <si>
    <t xml:space="preserve">https://s25.q4cdn.com/621799436/files/doc_financials/2026/q3/Q3-FY26-Prepared-Remarks.pdf</t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</si>
  <si>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資本支出增量多數為建築（無塵室）</t>
    </r>
  </si>
  <si>
    <t xml:space="preserve">強（公司一手）</t>
  </si>
  <si>
    <r>
      <rPr>
        <sz val="11"/>
        <color theme="1"/>
        <rFont val="Calibri"/>
        <family val="2"/>
        <charset val="1"/>
      </rPr>
      <t xml:space="preserve">Lam Research 2026-10-21 </t>
    </r>
    <r>
      <rPr>
        <sz val="11"/>
        <color theme="1"/>
        <rFont val="WenQuanYi Zen Hei"/>
        <family val="2"/>
      </rPr>
      <t xml:space="preserve">法說稿</t>
    </r>
  </si>
  <si>
    <t xml:space="preserve">https://www.fool.com/earnings/call-transcripts/2026/10/21/lam-research-lrcx-q1-2027-earnings-call-transcript/</t>
  </si>
  <si>
    <r>
      <rPr>
        <sz val="11"/>
        <color theme="1"/>
        <rFont val="Calibri"/>
        <family val="2"/>
        <charset val="1"/>
      </rPr>
      <t xml:space="preserve">2026 mid-150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&gt;200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</si>
  <si>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WenQuanYi Zen Hei"/>
        <family val="2"/>
      </rPr>
      <t xml:space="preserve">提高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WenQuanYi Zen Hei"/>
        <family val="2"/>
      </rPr>
      <t xml:space="preserve">預期（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）</t>
    </r>
  </si>
  <si>
    <t xml:space="preserve">https://finance.yahoo.com/technology/ai/articles/lam-research-lifts-2026-wfe-180229282.html</t>
  </si>
  <si>
    <t xml:space="preserve">2026 low-150</t>
  </si>
  <si>
    <r>
      <rPr>
        <sz val="11"/>
        <color theme="1"/>
        <rFont val="Calibri"/>
        <family val="2"/>
        <charset val="1"/>
      </rPr>
      <t xml:space="preserve">KLA FQ4 2026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）</t>
    </r>
  </si>
  <si>
    <t xml:space="preserve">https://finance.biggo.com/news/US_KLAC_2026-07-28</t>
  </si>
  <si>
    <r>
      <rPr>
        <sz val="11"/>
        <color theme="1"/>
        <rFont val="Calibri"/>
        <family val="2"/>
        <charset val="1"/>
      </rPr>
      <t xml:space="preserve">2026 low-150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190</t>
    </r>
  </si>
  <si>
    <t xml:space="preserve">弱～中（轉述）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</si>
  <si>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）</t>
    </r>
  </si>
  <si>
    <t xml:space="preserve">https://x.com/TheValueist/status/2082235400190640364</t>
  </si>
  <si>
    <r>
      <rPr>
        <sz val="11"/>
        <color theme="1"/>
        <rFont val="WenQuanYi Zen Hei"/>
        <family val="2"/>
      </rPr>
      <t xml:space="preserve">同上；交期 </t>
    </r>
    <r>
      <rPr>
        <sz val="11"/>
        <color theme="1"/>
        <rFont val="Calibri"/>
        <family val="2"/>
        <charset val="1"/>
      </rPr>
      <t xml:space="preserve">18–24 </t>
    </r>
    <r>
      <rPr>
        <sz val="11"/>
        <color theme="1"/>
        <rFont val="WenQuanYi Zen Hei"/>
        <family val="2"/>
      </rPr>
      <t xml:space="preserve">個月</t>
    </r>
  </si>
  <si>
    <t xml:space="preserve">弱（社群貼文）</t>
  </si>
  <si>
    <r>
      <rPr>
        <sz val="11"/>
        <color theme="1"/>
        <rFont val="Calibri"/>
        <family val="2"/>
        <charset val="1"/>
      </rPr>
      <t xml:space="preserve">Morgan Stanley WFE </t>
    </r>
    <r>
      <rPr>
        <sz val="11"/>
        <color theme="1"/>
        <rFont val="WenQuanYi Zen Hei"/>
        <family val="2"/>
      </rPr>
      <t xml:space="preserve">上修（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，較早版本）</t>
    </r>
  </si>
  <si>
    <t xml:space="preserve">https://www.investing.com/news/stock-market-news/semicap-stocks-morgan-stanley-raises-wfe-outlook-and-shifts-ratings-4696580</t>
  </si>
  <si>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WenQuanYi Zen Hei"/>
        <family val="2"/>
      </rPr>
      <t xml:space="preserve">（舊版）；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WenQuanYi Zen Hei"/>
        <family val="2"/>
      </rPr>
      <t xml:space="preserve">未能查到</t>
    </r>
  </si>
  <si>
    <r>
      <rPr>
        <sz val="11"/>
        <color theme="1"/>
        <rFont val="Calibri"/>
        <family val="2"/>
        <charset val="1"/>
      </rPr>
      <t xml:space="preserve">Goldman Sachs WFE </t>
    </r>
    <r>
      <rPr>
        <sz val="11"/>
        <color theme="1"/>
        <rFont val="WenQuanYi Zen Hei"/>
        <family val="2"/>
      </rPr>
      <t xml:space="preserve">上修（</t>
    </r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</si>
  <si>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281</t>
    </r>
  </si>
  <si>
    <r>
      <rPr>
        <sz val="11"/>
        <color theme="1"/>
        <rFont val="Calibri"/>
        <family val="2"/>
        <charset val="1"/>
      </rPr>
      <t xml:space="preserve">TrendForce 2026-09-18 </t>
    </r>
    <r>
      <rPr>
        <sz val="11"/>
        <color theme="1"/>
        <rFont val="WenQuanYi Zen Hei"/>
        <family val="2"/>
      </rPr>
      <t xml:space="preserve">設備零組件交期</t>
    </r>
  </si>
  <si>
    <t xml:space="preserve">https://www.trendforce.com/news/2026/09/18/news-chip-equipment-component-lead-times-reportedly-double-stretching-to-40-months-as-price-pressures-mount/</t>
  </si>
  <si>
    <r>
      <rPr>
        <sz val="11"/>
        <color theme="1"/>
        <rFont val="WenQuanYi Zen Hei"/>
        <family val="2"/>
      </rPr>
      <t xml:space="preserve">零組件交期加倍、最長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</t>
    </r>
  </si>
  <si>
    <r>
      <rPr>
        <sz val="11"/>
        <color theme="1"/>
        <rFont val="WenQuanYi Zen Hei"/>
        <family val="2"/>
      </rPr>
      <t xml:space="preserve">中（</t>
    </r>
    <r>
      <rPr>
        <sz val="11"/>
        <color theme="1"/>
        <rFont val="Calibri"/>
        <family val="2"/>
        <charset val="1"/>
      </rPr>
      <t xml:space="preserve">'reportedly'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</si>
  <si>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：日本關鍵零件交期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</t>
    </r>
  </si>
  <si>
    <t xml:space="preserve">https://finance.biggo.com/news/f46a8b91-046a-4708-87db-63b34e0862b2</t>
  </si>
  <si>
    <t xml:space="preserve">ASML 2026 Q2 6-K</t>
  </si>
  <si>
    <t xml:space="preserve">https://www.sec.gov/Archives/edgar/data/0000937966/000162828026048235/pressreleasefinancialresul.htm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</si>
  <si>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WenQuanYi Zen Hei"/>
        <family val="2"/>
      </rPr>
      <t xml:space="preserve">產能、訂單</t>
    </r>
  </si>
  <si>
    <r>
      <rPr>
        <sz val="11"/>
        <color theme="1"/>
        <rFont val="Calibri"/>
        <family val="2"/>
        <charset val="1"/>
      </rPr>
      <t xml:space="preserve">ASML Q3 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WenQuanYi Zen Hei"/>
        <family val="2"/>
      </rPr>
      <t xml:space="preserve">需求超過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Pomegra</t>
    </r>
    <r>
      <rPr>
        <sz val="11"/>
        <color theme="1"/>
        <rFont val="WenQuanYi Zen Hei"/>
        <family val="2"/>
      </rPr>
      <t xml:space="preserve">）</t>
    </r>
  </si>
  <si>
    <t xml:space="preserve">https://pomegra.io/news/asml-q3-2026-euv-demand-outruns-2027-capacity</t>
  </si>
  <si>
    <t xml:space="preserve">第二來源</t>
  </si>
  <si>
    <t xml:space="preserve">弱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</si>
  <si>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WenQuanYi Zen Hei"/>
        <family val="2"/>
      </rPr>
      <t xml:space="preserve">鍵合機訂單</t>
    </r>
  </si>
  <si>
    <t xml:space="preserve">https://www.trendforce.com/news/2025/12/12/news-sk-hynix-reportedly-places-hbm4-tc-bonder-order-with-asmpt-as-hanmi-hanwha-patent-clash-heats-up/</t>
  </si>
  <si>
    <t xml:space="preserve">鍵合機供應商集中度</t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</si>
  <si>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FQ2 2026</t>
    </r>
    <r>
      <rPr>
        <sz val="11"/>
        <color theme="1"/>
        <rFont val="WenQuanYi Zen Hei"/>
        <family val="2"/>
      </rPr>
      <t xml:space="preserve">（客戶受廠房就緒度限制）</t>
    </r>
  </si>
  <si>
    <t xml:space="preserve">https://futurumgroup.com/insights/kla-corporation-q2-fy-2026-results-beat-on-ai-led-demand/</t>
  </si>
  <si>
    <t xml:space="preserve">無塵室／廠房限制</t>
  </si>
  <si>
    <r>
      <rPr>
        <sz val="11"/>
        <color theme="1"/>
        <rFont val="Calibri"/>
        <family val="2"/>
        <charset val="1"/>
      </rPr>
      <t xml:space="preserve">Samsung </t>
    </r>
    <r>
      <rPr>
        <sz val="11"/>
        <color theme="1"/>
        <rFont val="WenQuanYi Zen Hei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無塵室（</t>
    </r>
    <r>
      <rPr>
        <sz val="11"/>
        <color theme="1"/>
        <rFont val="Calibri"/>
        <family val="2"/>
        <charset val="1"/>
      </rPr>
      <t xml:space="preserve">Cleanroom Technology</t>
    </r>
    <r>
      <rPr>
        <sz val="11"/>
        <color theme="1"/>
        <rFont val="WenQuanYi Zen Hei"/>
        <family val="2"/>
      </rPr>
      <t xml:space="preserve">）</t>
    </r>
  </si>
  <si>
    <t xml:space="preserve">https://cleanroomtechnology.com/samsung-speeds-up-construction-of-p5-cleanroom-for</t>
  </si>
  <si>
    <t xml:space="preserve">無塵室先行</t>
  </si>
  <si>
    <r>
      <rPr>
        <sz val="11"/>
        <color theme="1"/>
        <rFont val="WenQuanYi Zen Hei"/>
        <family val="2"/>
      </rPr>
      <t xml:space="preserve">台積電董事會資本預算（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Stocktitan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Panabee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WenQuanYi Zen Hei"/>
        <family val="2"/>
      </rPr>
      <t xml:space="preserve">的摘要）</t>
    </r>
  </si>
  <si>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頁來源欄</t>
    </r>
  </si>
  <si>
    <r>
      <rPr>
        <sz val="11"/>
        <color theme="1"/>
        <rFont val="WenQuanYi Zen Hei"/>
        <family val="2"/>
      </rPr>
      <t xml:space="preserve">台積電設備占比：機器設備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不動產與資本化租賃資產（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</si>
  <si>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中（公司揭露，二手摘要；合計與公司公告總額核對相符；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WenQuanYi Zen Hei"/>
        <family val="2"/>
      </rPr>
      <t xml:space="preserve">原文未開啟）</t>
    </r>
  </si>
  <si>
    <r>
      <rPr>
        <sz val="11"/>
        <color theme="1"/>
        <rFont val="WenQuanYi Zen Hei"/>
        <family val="2"/>
      </rPr>
      <t xml:space="preserve">元大投顧：先進製程外商前段設備占資本支出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成（自由財經）</t>
    </r>
  </si>
  <si>
    <t xml:space="preserve">https://stock.ltn.com.tw/article/70szg3dsjge2</t>
  </si>
  <si>
    <t xml:space="preserve">台積電設備占比第二來源</t>
  </si>
  <si>
    <t xml:space="preserve">弱～中（媒體轉述，投顧立場偏多，原報告未找到）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</si>
  <si>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WenQuanYi Zen Hei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）</t>
    </r>
  </si>
  <si>
    <t xml:space="preserve">https://www.fool.com/earnings/call-transcripts/2025/10/17/tsmc-tsm-q3-2025-earnings-call-transcript</t>
  </si>
  <si>
    <r>
      <rPr>
        <sz val="11"/>
        <color theme="1"/>
        <rFont val="WenQuanYi Zen Hei"/>
        <family val="2"/>
      </rPr>
      <t xml:space="preserve">資本支出配置：先進製程約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、特殊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WenQuanYi Zen Hei"/>
        <family val="2"/>
      </rPr>
      <t xml:space="preserve">、先進封裝／測試／光罩 </t>
    </r>
    <r>
      <rPr>
        <sz val="11"/>
        <color theme="1"/>
        <rFont val="Calibri"/>
        <family val="2"/>
        <charset val="1"/>
      </rPr>
      <t xml:space="preserve">10–20%</t>
    </r>
  </si>
  <si>
    <t xml:space="preserve">中（公司一手，經逐字稿網站）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</si>
  <si>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設備口徑簡報（搜尋摘錄）</t>
    </r>
  </si>
  <si>
    <t xml:space="preserve">https://www.semi.org/sites/semi.org/files/2024-07/SEMI%20Market%20Outlook_2024%20SEMICON%20WEST_SMG%20Meetingl.pdf</t>
  </si>
  <si>
    <r>
      <rPr>
        <sz val="11"/>
        <color theme="1"/>
        <rFont val="WenQuanYi Zen Hei"/>
        <family val="2"/>
      </rPr>
      <t xml:space="preserve">總設備＝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（晶圓處理＋光罩＋廠務）＋測試＋組裝封裝</t>
    </r>
  </si>
  <si>
    <t xml:space="preserve">中（摘錄，未開啟）</t>
  </si>
  <si>
    <r>
      <rPr>
        <sz val="11"/>
        <color theme="1"/>
        <rFont val="Calibri"/>
        <family val="2"/>
        <charset val="1"/>
      </rPr>
      <t xml:space="preserve">Intel 4Q25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）</t>
    </r>
  </si>
  <si>
    <t xml:space="preserve">https://finance.yahoo.com/news/intel-q4-earnings-call-highlights-234233695.html</t>
  </si>
  <si>
    <r>
      <rPr>
        <sz val="11"/>
        <color theme="1"/>
        <rFont val="Calibri"/>
        <family val="2"/>
        <charset val="1"/>
      </rPr>
      <t xml:space="preserve">Intel 2025 </t>
    </r>
    <r>
      <rPr>
        <sz val="11"/>
        <color theme="1"/>
        <rFont val="WenQuanYi Zen Hei"/>
        <family val="2"/>
      </rPr>
      <t xml:space="preserve">資本支出毛額 </t>
    </r>
    <r>
      <rPr>
        <sz val="11"/>
        <color theme="1"/>
        <rFont val="Calibri"/>
        <family val="2"/>
        <charset val="1"/>
      </rPr>
      <t xml:space="preserve">17.7</t>
    </r>
    <r>
      <rPr>
        <sz val="11"/>
        <color theme="1"/>
        <rFont val="WenQuanYi Zen Hei"/>
        <family val="2"/>
      </rPr>
      <t xml:space="preserve">、扣抵 </t>
    </r>
    <r>
      <rPr>
        <sz val="11"/>
        <color theme="1"/>
        <rFont val="Calibri"/>
        <family val="2"/>
        <charset val="1"/>
      </rPr>
      <t xml:space="preserve">6.5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頁可識別性檢查）</t>
    </r>
  </si>
  <si>
    <t xml:space="preserve">中（摘要）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</si>
</sst>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"/>
    <numFmt numFmtId="167" formatCode="0.0"/>
    <numFmt numFmtId="168" formatCode="0%"/>
    <numFmt numFmtId="169" formatCode="0.000"/>
    <numFmt numFmtId="170" formatCode="0.00"/>
    <numFmt numFmtId="171" formatCode="#,##0.0"/>
    <numFmt numFmtId="172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  <font>
      <sz val="11"/>
      <color rgb="FF007A33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82.05" hidden="false" customHeight="false" outlineLevel="0" collapsed="false">
      <c r="A1" s="1" t="s">
        <v>0</v>
      </c>
    </row>
    <row r="2" customFormat="false" ht="162.6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8.35" hidden="false" customHeight="false" outlineLevel="0" collapsed="false">
      <c r="A4" s="1" t="s">
        <v>2</v>
      </c>
    </row>
    <row r="5" customFormat="false" ht="149.25" hidden="false" customHeight="false" outlineLevel="0" collapsed="false">
      <c r="A5" s="3" t="s">
        <v>3</v>
      </c>
    </row>
    <row r="6" customFormat="false" ht="216.4" hidden="false" customHeight="false" outlineLevel="0" collapsed="false">
      <c r="A6" s="3" t="s">
        <v>4</v>
      </c>
    </row>
    <row r="7" customFormat="false" ht="122.3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/>
    </row>
    <row r="9" customFormat="false" ht="41.75" hidden="false" customHeight="false" outlineLevel="0" collapsed="false">
      <c r="A9" s="1" t="s">
        <v>6</v>
      </c>
    </row>
    <row r="10" customFormat="false" ht="176.1" hidden="false" customHeight="false" outlineLevel="0" collapsed="false">
      <c r="A10" s="2" t="s">
        <v>7</v>
      </c>
    </row>
    <row r="11" customFormat="false" ht="310.4" hidden="false" customHeight="false" outlineLevel="0" collapsed="false">
      <c r="A11" s="2" t="s">
        <v>8</v>
      </c>
    </row>
    <row r="12" customFormat="false" ht="270.1" hidden="false" customHeight="false" outlineLevel="0" collapsed="false">
      <c r="A12" s="3" t="s">
        <v>9</v>
      </c>
    </row>
    <row r="13" customFormat="false" ht="162.6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11</v>
      </c>
    </row>
    <row r="16" customFormat="false" ht="216.4" hidden="false" customHeight="false" outlineLevel="0" collapsed="false">
      <c r="A16" s="3" t="s">
        <v>12</v>
      </c>
    </row>
    <row r="17" customFormat="false" ht="189.55" hidden="false" customHeight="false" outlineLevel="0" collapsed="false">
      <c r="A17" s="3" t="s">
        <v>13</v>
      </c>
    </row>
    <row r="18" customFormat="false" ht="243.25" hidden="false" customHeight="false" outlineLevel="0" collapsed="false">
      <c r="A18" s="3" t="s">
        <v>14</v>
      </c>
    </row>
    <row r="19" customFormat="false" ht="337.3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/>
    </row>
    <row r="21" customFormat="false" ht="41.75" hidden="false" customHeight="false" outlineLevel="0" collapsed="false">
      <c r="A21" s="4" t="s">
        <v>16</v>
      </c>
    </row>
    <row r="22" customFormat="false" ht="364.15" hidden="false" customHeight="false" outlineLevel="0" collapsed="false">
      <c r="A22" s="2" t="s">
        <v>17</v>
      </c>
    </row>
    <row r="23" customFormat="false" ht="189.5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41.75" hidden="false" customHeight="false" outlineLevel="0" collapsed="false">
      <c r="A25" s="1" t="s">
        <v>19</v>
      </c>
    </row>
    <row r="26" customFormat="false" ht="15" hidden="false" customHeight="false" outlineLevel="0" collapsed="false">
      <c r="A26" s="5" t="s">
        <v>20</v>
      </c>
      <c r="B26" s="5" t="s">
        <v>21</v>
      </c>
      <c r="C26" s="5" t="s">
        <v>22</v>
      </c>
      <c r="D26" s="5" t="s">
        <v>23</v>
      </c>
      <c r="E26" s="5" t="s">
        <v>24</v>
      </c>
    </row>
    <row r="27" customFormat="false" ht="55.2" hidden="false" customHeight="false" outlineLevel="0" collapsed="false">
      <c r="A27" s="6" t="s">
        <v>25</v>
      </c>
      <c r="B27" s="6" t="s">
        <v>26</v>
      </c>
      <c r="C27" s="7" t="s">
        <v>27</v>
      </c>
      <c r="D27" s="6" t="s">
        <v>28</v>
      </c>
      <c r="E27" s="6" t="s">
        <v>29</v>
      </c>
    </row>
    <row r="28" customFormat="false" ht="28.35" hidden="false" customHeight="false" outlineLevel="0" collapsed="false">
      <c r="A28" s="6" t="s">
        <v>30</v>
      </c>
      <c r="B28" s="7" t="s">
        <v>31</v>
      </c>
      <c r="C28" s="7" t="s">
        <v>32</v>
      </c>
      <c r="D28" s="6" t="s">
        <v>33</v>
      </c>
      <c r="E28" s="6" t="s">
        <v>34</v>
      </c>
    </row>
    <row r="29" customFormat="false" ht="28.35" hidden="false" customHeight="false" outlineLevel="0" collapsed="false">
      <c r="A29" s="7" t="s">
        <v>35</v>
      </c>
      <c r="B29" s="7" t="s">
        <v>36</v>
      </c>
      <c r="C29" s="7" t="s">
        <v>37</v>
      </c>
      <c r="D29" s="6" t="s">
        <v>38</v>
      </c>
      <c r="E29" s="7" t="s">
        <v>39</v>
      </c>
    </row>
    <row r="30" customFormat="false" ht="41.75" hidden="false" customHeight="false" outlineLevel="0" collapsed="false">
      <c r="A30" s="6" t="s">
        <v>40</v>
      </c>
      <c r="B30" s="7" t="s">
        <v>41</v>
      </c>
      <c r="C30" s="7" t="s">
        <v>42</v>
      </c>
      <c r="D30" s="6" t="s">
        <v>43</v>
      </c>
      <c r="E30" s="6" t="s">
        <v>44</v>
      </c>
    </row>
    <row r="31" customFormat="false" ht="41.75" hidden="false" customHeight="false" outlineLevel="0" collapsed="false">
      <c r="A31" s="7" t="s">
        <v>45</v>
      </c>
      <c r="B31" s="7" t="s">
        <v>46</v>
      </c>
      <c r="C31" s="7" t="s">
        <v>47</v>
      </c>
      <c r="D31" s="6" t="s">
        <v>48</v>
      </c>
      <c r="E31" s="6" t="s">
        <v>49</v>
      </c>
    </row>
    <row r="33" customFormat="false" ht="15" hidden="false" customHeight="false" outlineLevel="0" collapsed="false">
      <c r="A33" s="8" t="s">
        <v>50</v>
      </c>
    </row>
    <row r="34" customFormat="false" ht="108.95" hidden="false" customHeight="false" outlineLevel="0" collapsed="false">
      <c r="A34" s="6" t="s">
        <v>51</v>
      </c>
    </row>
    <row r="35" customFormat="false" ht="350.7" hidden="false" customHeight="false" outlineLevel="0" collapsed="false">
      <c r="A35" s="7" t="s">
        <v>52</v>
      </c>
    </row>
    <row r="36" customFormat="false" ht="229.85" hidden="false" customHeight="false" outlineLevel="0" collapsed="false">
      <c r="A36" s="7" t="s">
        <v>53</v>
      </c>
    </row>
    <row r="37" customFormat="false" ht="189.55" hidden="false" customHeight="false" outlineLevel="0" collapsed="false">
      <c r="A37" s="7" t="s">
        <v>54</v>
      </c>
    </row>
    <row r="38" customFormat="false" ht="444.75" hidden="false" customHeight="false" outlineLevel="0" collapsed="false">
      <c r="A38" s="7" t="s">
        <v>55</v>
      </c>
    </row>
    <row r="40" customFormat="false" ht="15" hidden="false" customHeight="false" outlineLevel="0" collapsed="false">
      <c r="A40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9" min="8" style="0" width="90"/>
  </cols>
  <sheetData>
    <row r="1" customFormat="false" ht="15" hidden="false" customHeight="false" outlineLevel="0" collapsed="false">
      <c r="A1" s="0" t="s">
        <v>57</v>
      </c>
    </row>
    <row r="2" customFormat="false" ht="15" hidden="false" customHeight="false" outlineLevel="0" collapsed="false">
      <c r="A2" s="9" t="s">
        <v>58</v>
      </c>
    </row>
    <row r="3" customFormat="false" ht="15" hidden="false" customHeight="false" outlineLevel="0" collapsed="false">
      <c r="A3" s="5" t="s">
        <v>59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5" t="s">
        <v>67</v>
      </c>
    </row>
    <row r="4" customFormat="false" ht="15" hidden="false" customHeight="false" outlineLevel="0" collapsed="false">
      <c r="A4" s="10" t="s">
        <v>68</v>
      </c>
    </row>
    <row r="5" customFormat="false" ht="15" hidden="false" customHeight="false" outlineLevel="0" collapsed="false">
      <c r="A5" s="0" t="s">
        <v>69</v>
      </c>
      <c r="B5" s="9" t="s">
        <v>70</v>
      </c>
      <c r="C5" s="0" t="s">
        <v>71</v>
      </c>
      <c r="D5" s="11" t="n">
        <v>1350</v>
      </c>
      <c r="E5" s="12" t="n">
        <v>1420</v>
      </c>
      <c r="F5" s="11" t="n">
        <v>1500</v>
      </c>
      <c r="G5" s="13" t="s">
        <v>72</v>
      </c>
      <c r="H5" s="9" t="s">
        <v>73</v>
      </c>
      <c r="I5" s="9" t="s">
        <v>74</v>
      </c>
    </row>
    <row r="6" customFormat="false" ht="15" hidden="false" customHeight="false" outlineLevel="0" collapsed="false">
      <c r="A6" s="0" t="s">
        <v>75</v>
      </c>
      <c r="B6" s="0" t="s">
        <v>76</v>
      </c>
      <c r="C6" s="9" t="s">
        <v>77</v>
      </c>
      <c r="E6" s="12" t="n">
        <v>48.7</v>
      </c>
      <c r="G6" s="13" t="s">
        <v>78</v>
      </c>
      <c r="H6" s="13" t="s">
        <v>79</v>
      </c>
      <c r="I6" s="9" t="s">
        <v>80</v>
      </c>
    </row>
    <row r="7" customFormat="false" ht="15" hidden="false" customHeight="false" outlineLevel="0" collapsed="false">
      <c r="A7" s="0" t="s">
        <v>81</v>
      </c>
      <c r="B7" s="0" t="s">
        <v>82</v>
      </c>
      <c r="C7" s="9" t="s">
        <v>77</v>
      </c>
      <c r="E7" s="12" t="n">
        <v>62.3</v>
      </c>
      <c r="G7" s="13" t="s">
        <v>78</v>
      </c>
      <c r="H7" s="13" t="s">
        <v>83</v>
      </c>
      <c r="I7" s="9" t="s">
        <v>84</v>
      </c>
    </row>
    <row r="8" customFormat="false" ht="15" hidden="false" customHeight="false" outlineLevel="0" collapsed="false">
      <c r="A8" s="0" t="s">
        <v>85</v>
      </c>
      <c r="B8" s="0" t="s">
        <v>86</v>
      </c>
      <c r="C8" s="9" t="s">
        <v>77</v>
      </c>
      <c r="E8" s="12" t="n">
        <v>71.2</v>
      </c>
      <c r="G8" s="13" t="s">
        <v>78</v>
      </c>
      <c r="H8" s="13" t="s">
        <v>87</v>
      </c>
      <c r="I8" s="9" t="s">
        <v>88</v>
      </c>
    </row>
    <row r="9" customFormat="false" ht="15" hidden="false" customHeight="false" outlineLevel="0" collapsed="false">
      <c r="A9" s="0" t="s">
        <v>89</v>
      </c>
      <c r="B9" s="0" t="s">
        <v>90</v>
      </c>
      <c r="C9" s="9" t="s">
        <v>77</v>
      </c>
      <c r="E9" s="12" t="n">
        <v>75</v>
      </c>
      <c r="G9" s="13" t="s">
        <v>91</v>
      </c>
      <c r="H9" s="13" t="s">
        <v>92</v>
      </c>
      <c r="I9" s="9" t="s">
        <v>93</v>
      </c>
    </row>
    <row r="10" customFormat="false" ht="15" hidden="false" customHeight="false" outlineLevel="0" collapsed="false">
      <c r="A10" s="0" t="s">
        <v>94</v>
      </c>
      <c r="B10" s="9" t="s">
        <v>95</v>
      </c>
      <c r="C10" s="0" t="s">
        <v>96</v>
      </c>
      <c r="E10" s="12" t="n">
        <v>27.367</v>
      </c>
      <c r="G10" s="13" t="s">
        <v>97</v>
      </c>
      <c r="H10" s="13" t="s">
        <v>98</v>
      </c>
      <c r="I10" s="9" t="s">
        <v>99</v>
      </c>
    </row>
    <row r="11" customFormat="false" ht="15" hidden="false" customHeight="false" outlineLevel="0" collapsed="false">
      <c r="A11" s="0" t="s">
        <v>100</v>
      </c>
      <c r="B11" s="9" t="s">
        <v>101</v>
      </c>
      <c r="C11" s="0" t="s">
        <v>96</v>
      </c>
      <c r="E11" s="12" t="n">
        <v>55</v>
      </c>
      <c r="G11" s="13" t="s">
        <v>72</v>
      </c>
      <c r="H11" s="13" t="s">
        <v>102</v>
      </c>
      <c r="I11" s="9" t="s">
        <v>103</v>
      </c>
    </row>
    <row r="12" customFormat="false" ht="15" hidden="false" customHeight="false" outlineLevel="0" collapsed="false">
      <c r="A12" s="0" t="s">
        <v>104</v>
      </c>
      <c r="B12" s="9" t="s">
        <v>105</v>
      </c>
      <c r="C12" s="0" t="s">
        <v>96</v>
      </c>
      <c r="E12" s="12" t="n">
        <v>60</v>
      </c>
      <c r="G12" s="13" t="s">
        <v>91</v>
      </c>
      <c r="H12" s="13" t="s">
        <v>106</v>
      </c>
      <c r="I12" s="9" t="s">
        <v>107</v>
      </c>
    </row>
    <row r="13" customFormat="false" ht="15" hidden="false" customHeight="false" outlineLevel="0" collapsed="false">
      <c r="A13" s="0" t="s">
        <v>108</v>
      </c>
      <c r="B13" s="9" t="s">
        <v>109</v>
      </c>
      <c r="C13" s="0" t="s">
        <v>96</v>
      </c>
      <c r="E13" s="12" t="n">
        <v>60</v>
      </c>
      <c r="G13" s="13" t="s">
        <v>91</v>
      </c>
      <c r="H13" s="13" t="s">
        <v>110</v>
      </c>
      <c r="I13" s="9" t="s">
        <v>107</v>
      </c>
    </row>
    <row r="14" customFormat="false" ht="15" hidden="false" customHeight="false" outlineLevel="0" collapsed="false">
      <c r="A14" s="0" t="s">
        <v>111</v>
      </c>
      <c r="B14" s="9" t="s">
        <v>112</v>
      </c>
      <c r="C14" s="9" t="s">
        <v>77</v>
      </c>
      <c r="E14" s="12" t="n">
        <v>52.5</v>
      </c>
      <c r="G14" s="13" t="s">
        <v>113</v>
      </c>
      <c r="H14" s="13" t="s">
        <v>114</v>
      </c>
      <c r="I14" s="9" t="s">
        <v>115</v>
      </c>
    </row>
    <row r="15" customFormat="false" ht="15" hidden="false" customHeight="false" outlineLevel="0" collapsed="false">
      <c r="A15" s="0" t="s">
        <v>116</v>
      </c>
      <c r="B15" s="9" t="s">
        <v>117</v>
      </c>
      <c r="C15" s="9" t="s">
        <v>77</v>
      </c>
      <c r="E15" s="12" t="n">
        <v>60</v>
      </c>
      <c r="G15" s="13" t="s">
        <v>91</v>
      </c>
      <c r="H15" s="13" t="s">
        <v>118</v>
      </c>
      <c r="I15" s="9" t="s">
        <v>119</v>
      </c>
    </row>
    <row r="16" customFormat="false" ht="15" hidden="false" customHeight="false" outlineLevel="0" collapsed="false">
      <c r="A16" s="0" t="s">
        <v>120</v>
      </c>
      <c r="B16" s="9" t="s">
        <v>121</v>
      </c>
      <c r="C16" s="9" t="s">
        <v>77</v>
      </c>
      <c r="E16" s="12" t="n">
        <v>66</v>
      </c>
      <c r="G16" s="13" t="s">
        <v>91</v>
      </c>
      <c r="H16" s="13" t="s">
        <v>122</v>
      </c>
      <c r="I16" s="9" t="s">
        <v>123</v>
      </c>
    </row>
    <row r="17" customFormat="false" ht="15" hidden="false" customHeight="false" outlineLevel="0" collapsed="false">
      <c r="A17" s="0" t="s">
        <v>124</v>
      </c>
      <c r="B17" s="9" t="s">
        <v>125</v>
      </c>
      <c r="C17" s="9" t="s">
        <v>77</v>
      </c>
      <c r="E17" s="12" t="n">
        <v>66</v>
      </c>
      <c r="G17" s="13" t="s">
        <v>91</v>
      </c>
      <c r="H17" s="13" t="s">
        <v>126</v>
      </c>
      <c r="I17" s="9" t="s">
        <v>123</v>
      </c>
    </row>
    <row r="18" customFormat="false" ht="15" hidden="false" customHeight="false" outlineLevel="0" collapsed="false">
      <c r="A18" s="0" t="s">
        <v>127</v>
      </c>
      <c r="B18" s="9" t="s">
        <v>128</v>
      </c>
      <c r="C18" s="0" t="s">
        <v>96</v>
      </c>
      <c r="E18" s="12" t="n">
        <v>62</v>
      </c>
      <c r="G18" s="13" t="s">
        <v>78</v>
      </c>
      <c r="H18" s="13" t="s">
        <v>129</v>
      </c>
      <c r="I18" s="9" t="s">
        <v>130</v>
      </c>
    </row>
    <row r="19" customFormat="false" ht="15" hidden="false" customHeight="false" outlineLevel="0" collapsed="false">
      <c r="A19" s="0" t="s">
        <v>131</v>
      </c>
      <c r="B19" s="9" t="s">
        <v>132</v>
      </c>
      <c r="C19" s="0" t="s">
        <v>96</v>
      </c>
      <c r="E19" s="12" t="n">
        <v>77</v>
      </c>
      <c r="G19" s="13" t="s">
        <v>78</v>
      </c>
      <c r="H19" s="13" t="s">
        <v>133</v>
      </c>
      <c r="I19" s="9" t="s">
        <v>134</v>
      </c>
    </row>
    <row r="20" customFormat="false" ht="15" hidden="false" customHeight="false" outlineLevel="0" collapsed="false">
      <c r="A20" s="0" t="s">
        <v>135</v>
      </c>
      <c r="B20" s="9" t="s">
        <v>136</v>
      </c>
      <c r="C20" s="0" t="s">
        <v>96</v>
      </c>
      <c r="E20" s="12" t="n">
        <v>90</v>
      </c>
      <c r="G20" s="13" t="s">
        <v>78</v>
      </c>
      <c r="H20" s="13" t="s">
        <v>137</v>
      </c>
      <c r="I20" s="9" t="s">
        <v>138</v>
      </c>
    </row>
    <row r="21" customFormat="false" ht="15" hidden="false" customHeight="false" outlineLevel="0" collapsed="false">
      <c r="A21" s="0" t="s">
        <v>139</v>
      </c>
      <c r="B21" s="9" t="s">
        <v>140</v>
      </c>
      <c r="C21" s="0" t="s">
        <v>96</v>
      </c>
      <c r="E21" s="12" t="n">
        <v>95</v>
      </c>
      <c r="G21" s="13" t="s">
        <v>91</v>
      </c>
      <c r="H21" s="13" t="s">
        <v>141</v>
      </c>
      <c r="I21" s="9" t="s">
        <v>142</v>
      </c>
    </row>
    <row r="22" customFormat="false" ht="15" hidden="false" customHeight="false" outlineLevel="0" collapsed="false">
      <c r="A22" s="0" t="s">
        <v>143</v>
      </c>
      <c r="B22" s="0" t="s">
        <v>144</v>
      </c>
      <c r="C22" s="9" t="s">
        <v>77</v>
      </c>
      <c r="D22" s="11" t="n">
        <v>28</v>
      </c>
      <c r="E22" s="12" t="n">
        <v>30.2</v>
      </c>
      <c r="F22" s="11" t="n">
        <v>30.2</v>
      </c>
      <c r="G22" s="13" t="s">
        <v>78</v>
      </c>
      <c r="H22" s="13" t="s">
        <v>145</v>
      </c>
      <c r="I22" s="13" t="s">
        <v>146</v>
      </c>
    </row>
    <row r="23" customFormat="false" ht="15" hidden="false" customHeight="false" outlineLevel="0" collapsed="false">
      <c r="A23" s="0" t="s">
        <v>147</v>
      </c>
      <c r="B23" s="9" t="s">
        <v>148</v>
      </c>
      <c r="C23" s="0" t="s">
        <v>96</v>
      </c>
      <c r="E23" s="12" t="n">
        <v>13.8</v>
      </c>
      <c r="G23" s="13" t="s">
        <v>97</v>
      </c>
      <c r="H23" s="9" t="s">
        <v>149</v>
      </c>
      <c r="I23" s="9" t="s">
        <v>150</v>
      </c>
    </row>
    <row r="24" customFormat="false" ht="15" hidden="false" customHeight="false" outlineLevel="0" collapsed="false">
      <c r="A24" s="0" t="s">
        <v>151</v>
      </c>
      <c r="B24" s="9" t="s">
        <v>152</v>
      </c>
      <c r="C24" s="9" t="s">
        <v>77</v>
      </c>
      <c r="E24" s="12" t="n">
        <v>47.5</v>
      </c>
      <c r="G24" s="13" t="s">
        <v>97</v>
      </c>
      <c r="H24" s="9" t="s">
        <v>153</v>
      </c>
      <c r="I24" s="13" t="s">
        <v>154</v>
      </c>
    </row>
    <row r="25" customFormat="false" ht="15" hidden="false" customHeight="false" outlineLevel="0" collapsed="false">
      <c r="A25" s="0" t="s">
        <v>155</v>
      </c>
      <c r="B25" s="9" t="s">
        <v>156</v>
      </c>
      <c r="C25" s="0" t="s">
        <v>157</v>
      </c>
      <c r="D25" s="14" t="n">
        <v>0.65</v>
      </c>
      <c r="E25" s="14" t="n">
        <v>0.75</v>
      </c>
      <c r="F25" s="14" t="n">
        <v>0.9</v>
      </c>
      <c r="G25" s="13" t="s">
        <v>91</v>
      </c>
      <c r="H25" s="9" t="s">
        <v>158</v>
      </c>
      <c r="I25" s="9" t="s">
        <v>159</v>
      </c>
    </row>
    <row r="26" customFormat="false" ht="15" hidden="false" customHeight="false" outlineLevel="0" collapsed="false">
      <c r="A26" s="0" t="s">
        <v>160</v>
      </c>
      <c r="B26" s="9" t="s">
        <v>161</v>
      </c>
      <c r="C26" s="0" t="s">
        <v>96</v>
      </c>
      <c r="D26" s="11" t="n">
        <v>40</v>
      </c>
      <c r="E26" s="12" t="n">
        <v>40.9</v>
      </c>
      <c r="F26" s="11" t="n">
        <v>42</v>
      </c>
      <c r="G26" s="13" t="s">
        <v>78</v>
      </c>
      <c r="H26" s="13" t="s">
        <v>162</v>
      </c>
      <c r="I26" s="9" t="s">
        <v>163</v>
      </c>
    </row>
    <row r="27" customFormat="false" ht="15" hidden="false" customHeight="false" outlineLevel="0" collapsed="false">
      <c r="A27" s="10" t="s">
        <v>164</v>
      </c>
    </row>
    <row r="28" customFormat="false" ht="15" hidden="false" customHeight="false" outlineLevel="0" collapsed="false">
      <c r="A28" s="0" t="s">
        <v>165</v>
      </c>
      <c r="B28" s="9" t="s">
        <v>166</v>
      </c>
      <c r="C28" s="0" t="s">
        <v>157</v>
      </c>
      <c r="D28" s="14" t="n">
        <v>0.58</v>
      </c>
      <c r="E28" s="14" t="n">
        <v>0.64</v>
      </c>
      <c r="F28" s="14" t="n">
        <v>0.7</v>
      </c>
      <c r="G28" s="13" t="s">
        <v>167</v>
      </c>
      <c r="H28" s="13" t="s">
        <v>168</v>
      </c>
      <c r="I28" s="13" t="s">
        <v>169</v>
      </c>
    </row>
    <row r="29" customFormat="false" ht="15" hidden="false" customHeight="false" outlineLevel="0" collapsed="false">
      <c r="A29" s="0" t="s">
        <v>170</v>
      </c>
      <c r="B29" s="9" t="s">
        <v>171</v>
      </c>
      <c r="C29" s="0" t="s">
        <v>157</v>
      </c>
      <c r="D29" s="14" t="n">
        <v>0.471</v>
      </c>
      <c r="E29" s="14" t="n">
        <v>0.521</v>
      </c>
      <c r="F29" s="14" t="n">
        <v>0.571</v>
      </c>
      <c r="G29" s="13" t="s">
        <v>72</v>
      </c>
      <c r="H29" s="13" t="s">
        <v>172</v>
      </c>
      <c r="I29" s="9" t="s">
        <v>173</v>
      </c>
    </row>
    <row r="30" customFormat="false" ht="15" hidden="false" customHeight="false" outlineLevel="0" collapsed="false">
      <c r="A30" s="0" t="s">
        <v>174</v>
      </c>
      <c r="B30" s="9" t="s">
        <v>175</v>
      </c>
      <c r="C30" s="0" t="s">
        <v>157</v>
      </c>
      <c r="D30" s="14" t="n">
        <v>0.385</v>
      </c>
      <c r="E30" s="14" t="n">
        <v>0.46</v>
      </c>
      <c r="F30" s="14" t="n">
        <v>0.535</v>
      </c>
      <c r="G30" s="13" t="s">
        <v>72</v>
      </c>
      <c r="H30" s="13" t="s">
        <v>176</v>
      </c>
      <c r="I30" s="9" t="s">
        <v>177</v>
      </c>
    </row>
    <row r="31" customFormat="false" ht="15" hidden="false" customHeight="false" outlineLevel="0" collapsed="false">
      <c r="A31" s="0" t="s">
        <v>178</v>
      </c>
      <c r="B31" s="0" t="s">
        <v>179</v>
      </c>
      <c r="C31" s="0" t="s">
        <v>157</v>
      </c>
      <c r="D31" s="15" t="n">
        <f aca="false">Mkt!$C$79</f>
        <v>0.385040850204958</v>
      </c>
      <c r="E31" s="15" t="n">
        <f aca="false">Mkt!$C$78</f>
        <v>0.455453003642102</v>
      </c>
      <c r="F31" s="15" t="n">
        <f aca="false">Mkt!$C$80</f>
        <v>0.58</v>
      </c>
      <c r="G31" s="13" t="s">
        <v>72</v>
      </c>
      <c r="H31" s="13" t="s">
        <v>180</v>
      </c>
      <c r="I31" s="9" t="s">
        <v>181</v>
      </c>
    </row>
    <row r="32" customFormat="false" ht="15" hidden="false" customHeight="false" outlineLevel="0" collapsed="false">
      <c r="A32" s="0" t="s">
        <v>182</v>
      </c>
      <c r="B32" s="9" t="s">
        <v>183</v>
      </c>
      <c r="C32" s="0" t="s">
        <v>157</v>
      </c>
      <c r="D32" s="15" t="n">
        <f aca="false">Mkt!$C$79</f>
        <v>0.385040850204958</v>
      </c>
      <c r="E32" s="15" t="n">
        <f aca="false">Mkt!$C$78</f>
        <v>0.455453003642102</v>
      </c>
      <c r="F32" s="15" t="n">
        <f aca="false">Mkt!$C$80</f>
        <v>0.58</v>
      </c>
      <c r="G32" s="13" t="s">
        <v>72</v>
      </c>
      <c r="H32" s="9" t="s">
        <v>184</v>
      </c>
      <c r="I32" s="9" t="s">
        <v>185</v>
      </c>
    </row>
    <row r="33" customFormat="false" ht="15" hidden="false" customHeight="false" outlineLevel="0" collapsed="false">
      <c r="A33" s="0" t="s">
        <v>186</v>
      </c>
      <c r="B33" s="9" t="s">
        <v>187</v>
      </c>
      <c r="C33" s="0" t="s">
        <v>157</v>
      </c>
      <c r="D33" s="14" t="n">
        <v>0.5</v>
      </c>
      <c r="E33" s="14" t="n">
        <v>0.64</v>
      </c>
      <c r="F33" s="14" t="n">
        <v>0.75</v>
      </c>
      <c r="G33" s="13" t="s">
        <v>167</v>
      </c>
      <c r="H33" s="13" t="s">
        <v>168</v>
      </c>
      <c r="I33" s="13" t="s">
        <v>188</v>
      </c>
    </row>
    <row r="34" customFormat="false" ht="15" hidden="false" customHeight="false" outlineLevel="0" collapsed="false">
      <c r="A34" s="10" t="s">
        <v>189</v>
      </c>
    </row>
    <row r="35" customFormat="false" ht="15" hidden="false" customHeight="false" outlineLevel="0" collapsed="false">
      <c r="A35" s="0" t="s">
        <v>190</v>
      </c>
      <c r="B35" s="9" t="s">
        <v>191</v>
      </c>
      <c r="C35" s="0" t="s">
        <v>157</v>
      </c>
      <c r="D35" s="14" t="n">
        <v>0.1</v>
      </c>
      <c r="E35" s="14" t="n">
        <v>0.15</v>
      </c>
      <c r="F35" s="14" t="n">
        <v>0.2</v>
      </c>
      <c r="G35" s="13" t="s">
        <v>78</v>
      </c>
      <c r="H35" s="9" t="s">
        <v>192</v>
      </c>
      <c r="I35" s="13" t="s">
        <v>193</v>
      </c>
    </row>
    <row r="36" customFormat="false" ht="15" hidden="false" customHeight="false" outlineLevel="0" collapsed="false">
      <c r="A36" s="0" t="s">
        <v>194</v>
      </c>
      <c r="B36" s="9" t="s">
        <v>195</v>
      </c>
      <c r="C36" s="0" t="s">
        <v>96</v>
      </c>
      <c r="D36" s="11" t="n">
        <v>8.1</v>
      </c>
      <c r="E36" s="12" t="n">
        <v>8.1</v>
      </c>
      <c r="F36" s="11" t="n">
        <v>8.1</v>
      </c>
      <c r="G36" s="13" t="s">
        <v>78</v>
      </c>
      <c r="H36" s="13" t="s">
        <v>196</v>
      </c>
      <c r="I36" s="9" t="s">
        <v>197</v>
      </c>
    </row>
    <row r="37" customFormat="false" ht="15" hidden="false" customHeight="false" outlineLevel="0" collapsed="false">
      <c r="A37" s="0" t="s">
        <v>198</v>
      </c>
      <c r="B37" s="0" t="s">
        <v>199</v>
      </c>
      <c r="C37" s="0" t="s">
        <v>96</v>
      </c>
      <c r="D37" s="11" t="n">
        <v>11.2</v>
      </c>
      <c r="E37" s="12" t="n">
        <v>17.7</v>
      </c>
      <c r="F37" s="11" t="n">
        <v>17.7</v>
      </c>
      <c r="G37" s="13" t="s">
        <v>78</v>
      </c>
      <c r="H37" s="13" t="s">
        <v>200</v>
      </c>
      <c r="I37" s="9" t="s">
        <v>201</v>
      </c>
    </row>
    <row r="38" customFormat="false" ht="15" hidden="false" customHeight="false" outlineLevel="0" collapsed="false">
      <c r="A38" s="10" t="s">
        <v>202</v>
      </c>
    </row>
    <row r="39" customFormat="false" ht="15" hidden="false" customHeight="false" outlineLevel="0" collapsed="false">
      <c r="A39" s="0" t="s">
        <v>203</v>
      </c>
      <c r="B39" s="9" t="s">
        <v>204</v>
      </c>
      <c r="C39" s="0" t="s">
        <v>205</v>
      </c>
      <c r="D39" s="11" t="n">
        <v>0.1</v>
      </c>
      <c r="E39" s="11" t="n">
        <v>0.18</v>
      </c>
      <c r="F39" s="11" t="n">
        <v>0.6</v>
      </c>
      <c r="G39" s="13" t="s">
        <v>91</v>
      </c>
      <c r="H39" s="9" t="s">
        <v>206</v>
      </c>
      <c r="I39" s="9" t="s">
        <v>207</v>
      </c>
    </row>
    <row r="40" customFormat="false" ht="15" hidden="false" customHeight="false" outlineLevel="0" collapsed="false">
      <c r="A40" s="0" t="s">
        <v>208</v>
      </c>
      <c r="B40" s="9" t="s">
        <v>209</v>
      </c>
      <c r="C40" s="0" t="s">
        <v>205</v>
      </c>
      <c r="D40" s="11" t="n">
        <v>0</v>
      </c>
      <c r="E40" s="11" t="n">
        <v>0.18</v>
      </c>
      <c r="F40" s="11" t="n">
        <v>0.6</v>
      </c>
      <c r="G40" s="13" t="s">
        <v>91</v>
      </c>
      <c r="H40" s="9" t="s">
        <v>210</v>
      </c>
      <c r="I40" s="9" t="s">
        <v>211</v>
      </c>
    </row>
    <row r="41" customFormat="false" ht="15" hidden="false" customHeight="false" outlineLevel="0" collapsed="false">
      <c r="A41" s="0" t="s">
        <v>212</v>
      </c>
      <c r="B41" s="9" t="s">
        <v>213</v>
      </c>
      <c r="C41" s="0" t="s">
        <v>205</v>
      </c>
      <c r="D41" s="11" t="n">
        <v>0</v>
      </c>
      <c r="E41" s="11" t="n">
        <v>0.08</v>
      </c>
      <c r="F41" s="11" t="n">
        <v>0.2</v>
      </c>
      <c r="G41" s="13" t="s">
        <v>91</v>
      </c>
      <c r="H41" s="9" t="s">
        <v>214</v>
      </c>
      <c r="I41" s="9" t="s">
        <v>215</v>
      </c>
    </row>
    <row r="42" customFormat="false" ht="15" hidden="false" customHeight="false" outlineLevel="0" collapsed="false">
      <c r="A42" s="10" t="s">
        <v>216</v>
      </c>
    </row>
    <row r="43" customFormat="false" ht="15" hidden="false" customHeight="false" outlineLevel="0" collapsed="false">
      <c r="A43" s="0" t="s">
        <v>217</v>
      </c>
      <c r="B43" s="9" t="s">
        <v>218</v>
      </c>
      <c r="C43" s="0" t="s">
        <v>157</v>
      </c>
      <c r="D43" s="14" t="n">
        <v>0.58</v>
      </c>
      <c r="E43" s="14" t="n">
        <v>0.64</v>
      </c>
      <c r="F43" s="14" t="n">
        <v>0.7</v>
      </c>
      <c r="G43" s="13" t="s">
        <v>167</v>
      </c>
      <c r="H43" s="13" t="s">
        <v>168</v>
      </c>
      <c r="I43" s="13" t="s">
        <v>219</v>
      </c>
    </row>
    <row r="44" customFormat="false" ht="15" hidden="false" customHeight="false" outlineLevel="0" collapsed="false">
      <c r="A44" s="0" t="s">
        <v>220</v>
      </c>
      <c r="B44" s="9" t="s">
        <v>221</v>
      </c>
      <c r="C44" s="0" t="s">
        <v>96</v>
      </c>
      <c r="D44" s="11" t="n">
        <v>6.9</v>
      </c>
      <c r="E44" s="11" t="n">
        <v>6.9</v>
      </c>
      <c r="F44" s="11" t="n">
        <v>12</v>
      </c>
      <c r="G44" s="13" t="s">
        <v>78</v>
      </c>
      <c r="H44" s="13" t="s">
        <v>222</v>
      </c>
      <c r="I44" s="9" t="s">
        <v>223</v>
      </c>
    </row>
    <row r="45" customFormat="false" ht="15" hidden="false" customHeight="false" outlineLevel="0" collapsed="false">
      <c r="A45" s="0" t="s">
        <v>224</v>
      </c>
      <c r="B45" s="9" t="s">
        <v>225</v>
      </c>
      <c r="C45" s="0" t="s">
        <v>96</v>
      </c>
      <c r="E45" s="11" t="n">
        <v>21.1</v>
      </c>
      <c r="G45" s="13" t="s">
        <v>78</v>
      </c>
      <c r="H45" s="13" t="s">
        <v>226</v>
      </c>
      <c r="I45" s="13" t="s">
        <v>227</v>
      </c>
    </row>
    <row r="46" customFormat="false" ht="15" hidden="false" customHeight="false" outlineLevel="0" collapsed="false">
      <c r="A46" s="0" t="s">
        <v>228</v>
      </c>
      <c r="B46" s="9" t="s">
        <v>229</v>
      </c>
      <c r="C46" s="0" t="s">
        <v>157</v>
      </c>
      <c r="E46" s="14" t="n">
        <v>0.2</v>
      </c>
      <c r="G46" s="13" t="s">
        <v>78</v>
      </c>
      <c r="H46" s="9" t="s">
        <v>230</v>
      </c>
      <c r="I46" s="9" t="s">
        <v>231</v>
      </c>
    </row>
    <row r="47" customFormat="false" ht="15" hidden="false" customHeight="false" outlineLevel="0" collapsed="false">
      <c r="A47" s="0" t="s">
        <v>232</v>
      </c>
      <c r="B47" s="9" t="s">
        <v>233</v>
      </c>
      <c r="C47" s="0" t="s">
        <v>234</v>
      </c>
      <c r="E47" s="11" t="n">
        <v>283.7</v>
      </c>
      <c r="G47" s="13" t="s">
        <v>78</v>
      </c>
      <c r="H47" s="13" t="s">
        <v>235</v>
      </c>
      <c r="I47" s="9" t="s">
        <v>236</v>
      </c>
    </row>
    <row r="48" customFormat="false" ht="15" hidden="false" customHeight="false" outlineLevel="0" collapsed="false">
      <c r="A48" s="0" t="s">
        <v>237</v>
      </c>
      <c r="B48" s="9" t="s">
        <v>238</v>
      </c>
      <c r="C48" s="0" t="s">
        <v>239</v>
      </c>
      <c r="D48" s="11" t="n">
        <v>140</v>
      </c>
      <c r="E48" s="11" t="n">
        <v>150</v>
      </c>
      <c r="F48" s="11" t="n">
        <v>155</v>
      </c>
      <c r="G48" s="13" t="s">
        <v>91</v>
      </c>
      <c r="H48" s="9" t="s">
        <v>240</v>
      </c>
      <c r="I48" s="13" t="s">
        <v>241</v>
      </c>
    </row>
    <row r="49" customFormat="false" ht="15" hidden="false" customHeight="false" outlineLevel="0" collapsed="false">
      <c r="A49" s="0" t="s">
        <v>242</v>
      </c>
      <c r="B49" s="9" t="s">
        <v>243</v>
      </c>
      <c r="C49" s="0" t="s">
        <v>244</v>
      </c>
      <c r="E49" s="11" t="n">
        <v>13.4</v>
      </c>
      <c r="G49" s="13" t="s">
        <v>97</v>
      </c>
      <c r="H49" s="9" t="s">
        <v>245</v>
      </c>
      <c r="I49" s="9" t="s">
        <v>246</v>
      </c>
    </row>
    <row r="50" customFormat="false" ht="15" hidden="false" customHeight="false" outlineLevel="0" collapsed="false">
      <c r="A50" s="0" t="s">
        <v>247</v>
      </c>
      <c r="B50" s="9" t="s">
        <v>248</v>
      </c>
      <c r="C50" s="0" t="s">
        <v>249</v>
      </c>
      <c r="D50" s="11" t="n">
        <v>29.5</v>
      </c>
      <c r="E50" s="11" t="n">
        <v>31</v>
      </c>
      <c r="F50" s="11" t="n">
        <v>32.5</v>
      </c>
      <c r="G50" s="13" t="s">
        <v>91</v>
      </c>
      <c r="H50" s="9" t="s">
        <v>250</v>
      </c>
      <c r="I50" s="13" t="s">
        <v>241</v>
      </c>
    </row>
    <row r="51" customFormat="false" ht="15" hidden="false" customHeight="false" outlineLevel="0" collapsed="false">
      <c r="A51" s="0" t="s">
        <v>251</v>
      </c>
      <c r="B51" s="9" t="s">
        <v>252</v>
      </c>
      <c r="C51" s="0" t="s">
        <v>244</v>
      </c>
      <c r="G51" s="9" t="s">
        <v>253</v>
      </c>
      <c r="H51" s="9" t="s">
        <v>254</v>
      </c>
      <c r="I51" s="9" t="s">
        <v>255</v>
      </c>
    </row>
    <row r="52" customFormat="false" ht="15" hidden="false" customHeight="false" outlineLevel="0" collapsed="false">
      <c r="A52" s="0" t="s">
        <v>256</v>
      </c>
      <c r="B52" s="0" t="s">
        <v>257</v>
      </c>
      <c r="C52" s="0" t="s">
        <v>96</v>
      </c>
      <c r="G52" s="9" t="s">
        <v>253</v>
      </c>
      <c r="H52" s="0" t="s">
        <v>258</v>
      </c>
      <c r="I52" s="0" t="s">
        <v>259</v>
      </c>
    </row>
    <row r="53" customFormat="false" ht="15" hidden="false" customHeight="false" outlineLevel="0" collapsed="false">
      <c r="A53" s="10" t="s">
        <v>260</v>
      </c>
    </row>
    <row r="54" customFormat="false" ht="15" hidden="false" customHeight="false" outlineLevel="0" collapsed="false">
      <c r="A54" s="0" t="s">
        <v>261</v>
      </c>
      <c r="B54" s="0" t="s">
        <v>262</v>
      </c>
      <c r="C54" s="0" t="s">
        <v>96</v>
      </c>
      <c r="E54" s="11" t="n">
        <v>38.8</v>
      </c>
      <c r="G54" s="13" t="s">
        <v>78</v>
      </c>
      <c r="H54" s="13" t="s">
        <v>263</v>
      </c>
      <c r="I54" s="9" t="s">
        <v>264</v>
      </c>
    </row>
    <row r="55" customFormat="false" ht="15" hidden="false" customHeight="false" outlineLevel="0" collapsed="false">
      <c r="A55" s="0" t="s">
        <v>265</v>
      </c>
      <c r="B55" s="0" t="s">
        <v>266</v>
      </c>
      <c r="C55" s="0" t="s">
        <v>157</v>
      </c>
      <c r="E55" s="14" t="n">
        <v>0.39</v>
      </c>
      <c r="G55" s="13" t="s">
        <v>78</v>
      </c>
      <c r="H55" s="13" t="s">
        <v>263</v>
      </c>
      <c r="I55" s="9" t="s">
        <v>264</v>
      </c>
    </row>
    <row r="56" customFormat="false" ht="15" hidden="false" customHeight="false" outlineLevel="0" collapsed="false">
      <c r="A56" s="0" t="s">
        <v>267</v>
      </c>
      <c r="B56" s="0" t="s">
        <v>268</v>
      </c>
      <c r="C56" s="0" t="s">
        <v>157</v>
      </c>
      <c r="E56" s="14" t="n">
        <v>0.274</v>
      </c>
      <c r="G56" s="13" t="s">
        <v>78</v>
      </c>
      <c r="H56" s="13" t="s">
        <v>269</v>
      </c>
      <c r="I56" s="9" t="s">
        <v>264</v>
      </c>
    </row>
    <row r="57" customFormat="false" ht="15" hidden="false" customHeight="false" outlineLevel="0" collapsed="false">
      <c r="A57" s="0" t="s">
        <v>270</v>
      </c>
      <c r="B57" s="0" t="s">
        <v>271</v>
      </c>
      <c r="C57" s="0" t="s">
        <v>157</v>
      </c>
      <c r="E57" s="14" t="n">
        <v>0.15</v>
      </c>
      <c r="G57" s="13" t="s">
        <v>78</v>
      </c>
      <c r="H57" s="13" t="s">
        <v>263</v>
      </c>
      <c r="I57" s="9" t="s">
        <v>272</v>
      </c>
    </row>
    <row r="58" customFormat="false" ht="15" hidden="false" customHeight="false" outlineLevel="0" collapsed="false">
      <c r="A58" s="0" t="s">
        <v>273</v>
      </c>
      <c r="B58" s="0" t="s">
        <v>274</v>
      </c>
      <c r="C58" s="0" t="s">
        <v>96</v>
      </c>
      <c r="E58" s="11" t="n">
        <v>13.9</v>
      </c>
      <c r="G58" s="13" t="s">
        <v>78</v>
      </c>
      <c r="H58" s="13" t="s">
        <v>263</v>
      </c>
      <c r="I58" s="9" t="s">
        <v>264</v>
      </c>
    </row>
    <row r="59" customFormat="false" ht="15" hidden="false" customHeight="false" outlineLevel="0" collapsed="false">
      <c r="A59" s="0" t="s">
        <v>275</v>
      </c>
      <c r="B59" s="0" t="s">
        <v>276</v>
      </c>
      <c r="C59" s="0" t="s">
        <v>157</v>
      </c>
      <c r="E59" s="14" t="n">
        <v>0.307</v>
      </c>
      <c r="G59" s="13" t="s">
        <v>78</v>
      </c>
      <c r="H59" s="13" t="s">
        <v>263</v>
      </c>
      <c r="I59" s="9" t="s">
        <v>264</v>
      </c>
    </row>
    <row r="60" customFormat="false" ht="15" hidden="false" customHeight="false" outlineLevel="0" collapsed="false">
      <c r="A60" s="0" t="s">
        <v>277</v>
      </c>
      <c r="B60" s="0" t="s">
        <v>278</v>
      </c>
      <c r="C60" s="0" t="s">
        <v>157</v>
      </c>
      <c r="E60" s="14" t="n">
        <v>0.311</v>
      </c>
      <c r="G60" s="13" t="s">
        <v>78</v>
      </c>
      <c r="H60" s="13" t="s">
        <v>269</v>
      </c>
      <c r="I60" s="9" t="s">
        <v>264</v>
      </c>
    </row>
    <row r="61" customFormat="false" ht="15" hidden="false" customHeight="false" outlineLevel="0" collapsed="false">
      <c r="A61" s="0" t="s">
        <v>279</v>
      </c>
      <c r="B61" s="0" t="s">
        <v>280</v>
      </c>
      <c r="C61" s="0" t="s">
        <v>157</v>
      </c>
      <c r="E61" s="14" t="n">
        <v>0.145</v>
      </c>
      <c r="G61" s="13" t="s">
        <v>78</v>
      </c>
      <c r="H61" s="13" t="s">
        <v>263</v>
      </c>
      <c r="I61" s="9" t="s">
        <v>272</v>
      </c>
    </row>
    <row r="62" customFormat="false" ht="15" hidden="false" customHeight="false" outlineLevel="0" collapsed="false">
      <c r="A62" s="0" t="s">
        <v>281</v>
      </c>
      <c r="B62" s="0" t="s">
        <v>282</v>
      </c>
      <c r="C62" s="0" t="s">
        <v>96</v>
      </c>
      <c r="E62" s="11" t="n">
        <v>78</v>
      </c>
      <c r="G62" s="13" t="s">
        <v>78</v>
      </c>
      <c r="H62" s="13" t="s">
        <v>263</v>
      </c>
      <c r="I62" s="9" t="s">
        <v>264</v>
      </c>
    </row>
    <row r="63" customFormat="false" ht="15" hidden="false" customHeight="false" outlineLevel="0" collapsed="false">
      <c r="A63" s="0" t="s">
        <v>283</v>
      </c>
      <c r="B63" s="0" t="s">
        <v>284</v>
      </c>
      <c r="C63" s="0" t="s">
        <v>157</v>
      </c>
      <c r="E63" s="14" t="n">
        <v>0.189</v>
      </c>
      <c r="G63" s="13" t="s">
        <v>78</v>
      </c>
      <c r="H63" s="13" t="s">
        <v>263</v>
      </c>
      <c r="I63" s="9" t="s">
        <v>264</v>
      </c>
    </row>
    <row r="64" customFormat="false" ht="15" hidden="false" customHeight="false" outlineLevel="0" collapsed="false">
      <c r="A64" s="0" t="s">
        <v>285</v>
      </c>
      <c r="B64" s="0" t="s">
        <v>286</v>
      </c>
      <c r="C64" s="0" t="s">
        <v>157</v>
      </c>
      <c r="E64" s="14" t="n">
        <v>0.181</v>
      </c>
      <c r="G64" s="13" t="s">
        <v>78</v>
      </c>
      <c r="H64" s="13" t="s">
        <v>269</v>
      </c>
      <c r="I64" s="9" t="s">
        <v>264</v>
      </c>
    </row>
    <row r="65" customFormat="false" ht="15" hidden="false" customHeight="false" outlineLevel="0" collapsed="false">
      <c r="A65" s="0" t="s">
        <v>287</v>
      </c>
      <c r="B65" s="0" t="s">
        <v>288</v>
      </c>
      <c r="C65" s="0" t="s">
        <v>157</v>
      </c>
      <c r="E65" s="14" t="n">
        <v>0.136</v>
      </c>
      <c r="G65" s="13" t="s">
        <v>78</v>
      </c>
      <c r="H65" s="13" t="s">
        <v>263</v>
      </c>
      <c r="I65" s="9" t="s">
        <v>272</v>
      </c>
    </row>
    <row r="66" customFormat="false" ht="15" hidden="false" customHeight="false" outlineLevel="0" collapsed="false">
      <c r="A66" s="0" t="s">
        <v>289</v>
      </c>
      <c r="B66" s="0" t="s">
        <v>290</v>
      </c>
      <c r="C66" s="0" t="s">
        <v>96</v>
      </c>
      <c r="E66" s="11" t="n">
        <v>143.9</v>
      </c>
      <c r="G66" s="13" t="s">
        <v>78</v>
      </c>
      <c r="H66" s="13" t="s">
        <v>263</v>
      </c>
      <c r="I66" s="9" t="s">
        <v>264</v>
      </c>
    </row>
    <row r="67" customFormat="false" ht="15" hidden="false" customHeight="false" outlineLevel="0" collapsed="false">
      <c r="A67" s="0" t="s">
        <v>291</v>
      </c>
      <c r="B67" s="0" t="s">
        <v>292</v>
      </c>
      <c r="C67" s="0" t="s">
        <v>157</v>
      </c>
      <c r="E67" s="14" t="n">
        <v>0.231</v>
      </c>
      <c r="G67" s="13" t="s">
        <v>78</v>
      </c>
      <c r="H67" s="13" t="s">
        <v>263</v>
      </c>
      <c r="I67" s="9" t="s">
        <v>264</v>
      </c>
    </row>
    <row r="68" customFormat="false" ht="15" hidden="false" customHeight="false" outlineLevel="0" collapsed="false">
      <c r="A68" s="0" t="s">
        <v>293</v>
      </c>
      <c r="B68" s="0" t="s">
        <v>294</v>
      </c>
      <c r="C68" s="0" t="s">
        <v>157</v>
      </c>
      <c r="E68" s="14" t="n">
        <v>0.218</v>
      </c>
      <c r="G68" s="13" t="s">
        <v>78</v>
      </c>
      <c r="H68" s="13" t="s">
        <v>269</v>
      </c>
      <c r="I68" s="9" t="s">
        <v>264</v>
      </c>
    </row>
    <row r="69" customFormat="false" ht="15" hidden="false" customHeight="false" outlineLevel="0" collapsed="false">
      <c r="A69" s="0" t="s">
        <v>295</v>
      </c>
      <c r="B69" s="0" t="s">
        <v>296</v>
      </c>
      <c r="C69" s="0" t="s">
        <v>157</v>
      </c>
      <c r="E69" s="14" t="n">
        <v>0.141</v>
      </c>
      <c r="G69" s="13" t="s">
        <v>78</v>
      </c>
      <c r="H69" s="13" t="s">
        <v>263</v>
      </c>
      <c r="I69" s="9" t="s">
        <v>272</v>
      </c>
    </row>
    <row r="70" customFormat="false" ht="15" hidden="false" customHeight="false" outlineLevel="0" collapsed="false">
      <c r="A70" s="0" t="s">
        <v>297</v>
      </c>
      <c r="B70" s="0" t="s">
        <v>298</v>
      </c>
      <c r="C70" s="0" t="s">
        <v>96</v>
      </c>
      <c r="E70" s="11" t="n">
        <v>15.3</v>
      </c>
      <c r="G70" s="13" t="s">
        <v>78</v>
      </c>
      <c r="H70" s="13" t="s">
        <v>263</v>
      </c>
      <c r="I70" s="9" t="s">
        <v>264</v>
      </c>
    </row>
    <row r="71" customFormat="false" ht="15" hidden="false" customHeight="false" outlineLevel="0" collapsed="false">
      <c r="A71" s="0" t="s">
        <v>299</v>
      </c>
      <c r="B71" s="0" t="s">
        <v>300</v>
      </c>
      <c r="C71" s="0" t="s">
        <v>157</v>
      </c>
      <c r="E71" s="14" t="n">
        <v>0.31</v>
      </c>
      <c r="G71" s="13" t="s">
        <v>78</v>
      </c>
      <c r="H71" s="13" t="s">
        <v>263</v>
      </c>
      <c r="I71" s="9" t="s">
        <v>264</v>
      </c>
    </row>
    <row r="72" customFormat="false" ht="15" hidden="false" customHeight="false" outlineLevel="0" collapsed="false">
      <c r="A72" s="0" t="s">
        <v>301</v>
      </c>
      <c r="B72" s="0" t="s">
        <v>302</v>
      </c>
      <c r="C72" s="0" t="s">
        <v>96</v>
      </c>
      <c r="E72" s="11" t="n">
        <v>20.8</v>
      </c>
      <c r="G72" s="13" t="s">
        <v>78</v>
      </c>
      <c r="H72" s="13" t="s">
        <v>263</v>
      </c>
      <c r="I72" s="9" t="s">
        <v>303</v>
      </c>
    </row>
    <row r="73" customFormat="false" ht="15" hidden="false" customHeight="false" outlineLevel="0" collapsed="false">
      <c r="A73" s="0" t="s">
        <v>304</v>
      </c>
      <c r="B73" s="0" t="s">
        <v>305</v>
      </c>
      <c r="C73" s="0" t="s">
        <v>96</v>
      </c>
      <c r="E73" s="11" t="n">
        <v>6.7</v>
      </c>
      <c r="G73" s="13" t="s">
        <v>78</v>
      </c>
      <c r="H73" s="13" t="s">
        <v>263</v>
      </c>
      <c r="I73" s="9" t="s">
        <v>264</v>
      </c>
    </row>
    <row r="74" customFormat="false" ht="15" hidden="false" customHeight="false" outlineLevel="0" collapsed="false">
      <c r="A74" s="0" t="s">
        <v>306</v>
      </c>
      <c r="B74" s="0" t="s">
        <v>307</v>
      </c>
      <c r="C74" s="0" t="s">
        <v>157</v>
      </c>
      <c r="E74" s="14" t="n">
        <v>0.096</v>
      </c>
      <c r="G74" s="13" t="s">
        <v>78</v>
      </c>
      <c r="H74" s="13" t="s">
        <v>263</v>
      </c>
      <c r="I74" s="9" t="s">
        <v>264</v>
      </c>
    </row>
    <row r="75" customFormat="false" ht="15" hidden="false" customHeight="false" outlineLevel="0" collapsed="false">
      <c r="A75" s="0" t="s">
        <v>308</v>
      </c>
      <c r="B75" s="0" t="s">
        <v>309</v>
      </c>
      <c r="C75" s="0" t="s">
        <v>96</v>
      </c>
      <c r="E75" s="11" t="n">
        <v>8.6</v>
      </c>
      <c r="G75" s="13" t="s">
        <v>78</v>
      </c>
      <c r="H75" s="13" t="s">
        <v>263</v>
      </c>
      <c r="I75" s="9" t="s">
        <v>310</v>
      </c>
    </row>
    <row r="76" customFormat="false" ht="15" hidden="false" customHeight="false" outlineLevel="0" collapsed="false">
      <c r="A76" s="0" t="s">
        <v>311</v>
      </c>
      <c r="B76" s="0" t="s">
        <v>312</v>
      </c>
      <c r="C76" s="0" t="s">
        <v>96</v>
      </c>
      <c r="E76" s="11" t="n">
        <v>165.9</v>
      </c>
      <c r="G76" s="13" t="s">
        <v>78</v>
      </c>
      <c r="H76" s="13" t="s">
        <v>263</v>
      </c>
      <c r="I76" s="9" t="s">
        <v>264</v>
      </c>
    </row>
    <row r="77" customFormat="false" ht="15" hidden="false" customHeight="false" outlineLevel="0" collapsed="false">
      <c r="A77" s="0" t="s">
        <v>313</v>
      </c>
      <c r="B77" s="0" t="s">
        <v>314</v>
      </c>
      <c r="C77" s="0" t="s">
        <v>157</v>
      </c>
      <c r="E77" s="14" t="n">
        <v>0.232</v>
      </c>
      <c r="G77" s="13" t="s">
        <v>78</v>
      </c>
      <c r="H77" s="13" t="s">
        <v>263</v>
      </c>
      <c r="I77" s="9" t="s">
        <v>264</v>
      </c>
    </row>
    <row r="78" customFormat="false" ht="15" hidden="false" customHeight="false" outlineLevel="0" collapsed="false">
      <c r="A78" s="0" t="s">
        <v>315</v>
      </c>
      <c r="B78" s="0" t="s">
        <v>316</v>
      </c>
      <c r="C78" s="0" t="s">
        <v>96</v>
      </c>
      <c r="E78" s="11" t="n">
        <v>229.5</v>
      </c>
      <c r="G78" s="13" t="s">
        <v>78</v>
      </c>
      <c r="H78" s="13" t="s">
        <v>263</v>
      </c>
      <c r="I78" s="9" t="s">
        <v>264</v>
      </c>
    </row>
    <row r="79" customFormat="false" ht="15" hidden="false" customHeight="false" outlineLevel="0" collapsed="false">
      <c r="A79" s="0" t="s">
        <v>317</v>
      </c>
      <c r="B79" s="0" t="s">
        <v>318</v>
      </c>
      <c r="C79" s="0" t="s">
        <v>157</v>
      </c>
      <c r="D79" s="14" t="n">
        <v>0</v>
      </c>
      <c r="E79" s="14" t="n">
        <v>0.08</v>
      </c>
      <c r="F79" s="14" t="n">
        <v>0.12</v>
      </c>
      <c r="G79" s="13" t="s">
        <v>91</v>
      </c>
      <c r="H79" s="9" t="s">
        <v>319</v>
      </c>
      <c r="I79" s="9" t="s">
        <v>320</v>
      </c>
    </row>
    <row r="80" customFormat="false" ht="15" hidden="false" customHeight="false" outlineLevel="0" collapsed="false">
      <c r="A80" s="10" t="s">
        <v>321</v>
      </c>
    </row>
    <row r="81" customFormat="false" ht="15" hidden="false" customHeight="false" outlineLevel="0" collapsed="false">
      <c r="A81" s="0" t="s">
        <v>322</v>
      </c>
      <c r="B81" s="9" t="s">
        <v>323</v>
      </c>
      <c r="C81" s="0" t="s">
        <v>324</v>
      </c>
      <c r="D81" s="11" t="n">
        <v>0.95</v>
      </c>
      <c r="E81" s="11" t="n">
        <v>1</v>
      </c>
      <c r="F81" s="11" t="n">
        <v>1.05</v>
      </c>
      <c r="G81" s="13" t="s">
        <v>91</v>
      </c>
      <c r="H81" s="9" t="s">
        <v>325</v>
      </c>
      <c r="I81" s="9" t="s">
        <v>326</v>
      </c>
    </row>
    <row r="82" customFormat="false" ht="15" hidden="false" customHeight="false" outlineLevel="0" collapsed="false">
      <c r="A82" s="0" t="s">
        <v>327</v>
      </c>
      <c r="B82" s="9" t="s">
        <v>328</v>
      </c>
      <c r="C82" s="0" t="s">
        <v>324</v>
      </c>
      <c r="D82" s="11" t="n">
        <v>0.75</v>
      </c>
      <c r="E82" s="11" t="n">
        <v>0.8</v>
      </c>
      <c r="F82" s="11" t="n">
        <v>0.85</v>
      </c>
      <c r="G82" s="13" t="s">
        <v>91</v>
      </c>
      <c r="H82" s="9" t="s">
        <v>329</v>
      </c>
      <c r="I82" s="9" t="s">
        <v>330</v>
      </c>
    </row>
    <row r="83" customFormat="false" ht="15" hidden="false" customHeight="false" outlineLevel="0" collapsed="false">
      <c r="A83" s="0" t="s">
        <v>331</v>
      </c>
      <c r="B83" s="9" t="s">
        <v>332</v>
      </c>
      <c r="C83" s="0" t="s">
        <v>324</v>
      </c>
      <c r="D83" s="11" t="n">
        <v>0.9</v>
      </c>
      <c r="E83" s="11" t="n">
        <v>0.95</v>
      </c>
      <c r="F83" s="11" t="n">
        <v>1.05</v>
      </c>
      <c r="G83" s="13" t="s">
        <v>91</v>
      </c>
      <c r="H83" s="9" t="s">
        <v>333</v>
      </c>
      <c r="I83" s="9" t="s">
        <v>334</v>
      </c>
    </row>
    <row r="84" customFormat="false" ht="15" hidden="false" customHeight="false" outlineLevel="0" collapsed="false">
      <c r="A84" s="0" t="s">
        <v>335</v>
      </c>
      <c r="B84" s="9" t="s">
        <v>336</v>
      </c>
      <c r="C84" s="0" t="s">
        <v>324</v>
      </c>
      <c r="D84" s="11" t="n">
        <v>0.9</v>
      </c>
      <c r="E84" s="11" t="n">
        <v>1</v>
      </c>
      <c r="F84" s="11" t="n">
        <v>1.1</v>
      </c>
      <c r="G84" s="13" t="s">
        <v>91</v>
      </c>
      <c r="H84" s="9" t="s">
        <v>337</v>
      </c>
      <c r="I84" s="9" t="s">
        <v>334</v>
      </c>
    </row>
    <row r="85" customFormat="false" ht="15" hidden="false" customHeight="false" outlineLevel="0" collapsed="false">
      <c r="A85" s="10" t="s">
        <v>338</v>
      </c>
    </row>
    <row r="86" customFormat="false" ht="15" hidden="false" customHeight="false" outlineLevel="0" collapsed="false">
      <c r="A86" s="0" t="s">
        <v>339</v>
      </c>
      <c r="B86" s="9" t="s">
        <v>340</v>
      </c>
      <c r="C86" s="0" t="s">
        <v>157</v>
      </c>
      <c r="D86" s="14" t="n">
        <v>0.15</v>
      </c>
      <c r="E86" s="14" t="n">
        <v>0.25</v>
      </c>
      <c r="F86" s="14" t="n">
        <v>0.4</v>
      </c>
      <c r="G86" s="13" t="s">
        <v>91</v>
      </c>
      <c r="H86" s="9" t="s">
        <v>341</v>
      </c>
      <c r="I86" s="9" t="s">
        <v>342</v>
      </c>
    </row>
    <row r="87" customFormat="false" ht="15" hidden="false" customHeight="false" outlineLevel="0" collapsed="false">
      <c r="A87" s="0" t="s">
        <v>343</v>
      </c>
      <c r="B87" s="9" t="s">
        <v>344</v>
      </c>
      <c r="C87" s="0" t="s">
        <v>157</v>
      </c>
      <c r="D87" s="14" t="n">
        <v>0.35</v>
      </c>
      <c r="E87" s="14" t="n">
        <v>0.5</v>
      </c>
      <c r="F87" s="14" t="n">
        <v>0.65</v>
      </c>
      <c r="G87" s="13" t="s">
        <v>91</v>
      </c>
      <c r="H87" s="9" t="s">
        <v>345</v>
      </c>
      <c r="I87" s="9" t="s">
        <v>346</v>
      </c>
    </row>
    <row r="88" customFormat="false" ht="15" hidden="false" customHeight="false" outlineLevel="0" collapsed="false">
      <c r="A88" s="10" t="s">
        <v>347</v>
      </c>
    </row>
    <row r="89" customFormat="false" ht="15" hidden="false" customHeight="false" outlineLevel="0" collapsed="false">
      <c r="A89" s="0" t="s">
        <v>348</v>
      </c>
      <c r="B89" s="0" t="s">
        <v>349</v>
      </c>
      <c r="C89" s="0" t="s">
        <v>96</v>
      </c>
      <c r="E89" s="11" t="n">
        <v>150</v>
      </c>
      <c r="G89" s="13" t="s">
        <v>78</v>
      </c>
      <c r="H89" s="13" t="s">
        <v>350</v>
      </c>
      <c r="I89" s="13" t="s">
        <v>351</v>
      </c>
    </row>
    <row r="90" customFormat="false" ht="15" hidden="false" customHeight="false" outlineLevel="0" collapsed="false">
      <c r="A90" s="0" t="s">
        <v>352</v>
      </c>
      <c r="B90" s="0" t="s">
        <v>353</v>
      </c>
      <c r="C90" s="0" t="s">
        <v>96</v>
      </c>
      <c r="E90" s="11" t="n">
        <v>200</v>
      </c>
      <c r="G90" s="13" t="s">
        <v>78</v>
      </c>
      <c r="H90" s="9" t="s">
        <v>354</v>
      </c>
      <c r="I90" s="9" t="s">
        <v>355</v>
      </c>
    </row>
    <row r="91" customFormat="false" ht="15" hidden="false" customHeight="false" outlineLevel="0" collapsed="false">
      <c r="A91" s="0" t="s">
        <v>356</v>
      </c>
      <c r="B91" s="0" t="s">
        <v>357</v>
      </c>
      <c r="C91" s="0" t="s">
        <v>96</v>
      </c>
      <c r="E91" s="11" t="n">
        <v>150</v>
      </c>
      <c r="G91" s="13" t="s">
        <v>78</v>
      </c>
      <c r="H91" s="13" t="s">
        <v>358</v>
      </c>
      <c r="I91" s="9" t="s">
        <v>359</v>
      </c>
    </row>
    <row r="92" customFormat="false" ht="15" hidden="false" customHeight="false" outlineLevel="0" collapsed="false">
      <c r="A92" s="0" t="s">
        <v>360</v>
      </c>
      <c r="B92" s="0" t="s">
        <v>361</v>
      </c>
      <c r="C92" s="0" t="s">
        <v>96</v>
      </c>
      <c r="E92" s="11" t="n">
        <v>190</v>
      </c>
      <c r="G92" s="13" t="s">
        <v>78</v>
      </c>
      <c r="H92" s="13" t="s">
        <v>362</v>
      </c>
      <c r="I92" s="9" t="s">
        <v>363</v>
      </c>
    </row>
    <row r="93" customFormat="false" ht="15" hidden="false" customHeight="false" outlineLevel="0" collapsed="false">
      <c r="A93" s="0" t="s">
        <v>364</v>
      </c>
      <c r="B93" s="0" t="s">
        <v>365</v>
      </c>
      <c r="C93" s="0" t="s">
        <v>96</v>
      </c>
      <c r="E93" s="11" t="n">
        <v>202</v>
      </c>
      <c r="G93" s="13" t="s">
        <v>78</v>
      </c>
      <c r="H93" s="9" t="s">
        <v>366</v>
      </c>
      <c r="I93" s="9" t="s">
        <v>367</v>
      </c>
    </row>
    <row r="94" customFormat="false" ht="15" hidden="false" customHeight="false" outlineLevel="0" collapsed="false">
      <c r="A94" s="0" t="s">
        <v>368</v>
      </c>
      <c r="B94" s="0" t="s">
        <v>369</v>
      </c>
      <c r="C94" s="0" t="s">
        <v>96</v>
      </c>
      <c r="E94" s="11" t="n">
        <v>227</v>
      </c>
      <c r="G94" s="13" t="s">
        <v>78</v>
      </c>
      <c r="H94" s="9" t="s">
        <v>370</v>
      </c>
      <c r="I94" s="9" t="s">
        <v>371</v>
      </c>
    </row>
    <row r="95" customFormat="false" ht="15" hidden="false" customHeight="false" outlineLevel="0" collapsed="false">
      <c r="A95" s="0" t="s">
        <v>372</v>
      </c>
      <c r="B95" s="0" t="s">
        <v>373</v>
      </c>
      <c r="C95" s="0" t="s">
        <v>96</v>
      </c>
      <c r="E95" s="11" t="n">
        <v>150</v>
      </c>
      <c r="G95" s="13" t="s">
        <v>78</v>
      </c>
      <c r="H95" s="13" t="s">
        <v>374</v>
      </c>
      <c r="I95" s="13" t="s">
        <v>375</v>
      </c>
    </row>
    <row r="96" customFormat="false" ht="15" hidden="false" customHeight="false" outlineLevel="0" collapsed="false">
      <c r="A96" s="0" t="s">
        <v>376</v>
      </c>
      <c r="B96" s="0" t="s">
        <v>377</v>
      </c>
      <c r="C96" s="0" t="s">
        <v>96</v>
      </c>
      <c r="E96" s="11" t="n">
        <v>218</v>
      </c>
      <c r="G96" s="13" t="s">
        <v>78</v>
      </c>
      <c r="H96" s="13" t="s">
        <v>374</v>
      </c>
      <c r="I96" s="9" t="s">
        <v>371</v>
      </c>
    </row>
    <row r="97" customFormat="false" ht="15" hidden="false" customHeight="false" outlineLevel="0" collapsed="false">
      <c r="A97" s="0" t="s">
        <v>378</v>
      </c>
      <c r="B97" s="0" t="s">
        <v>379</v>
      </c>
      <c r="C97" s="0" t="s">
        <v>96</v>
      </c>
      <c r="E97" s="11" t="n">
        <v>281</v>
      </c>
      <c r="G97" s="13" t="s">
        <v>78</v>
      </c>
      <c r="H97" s="13" t="s">
        <v>374</v>
      </c>
      <c r="I97" s="9" t="s">
        <v>371</v>
      </c>
    </row>
    <row r="98" customFormat="false" ht="15" hidden="false" customHeight="false" outlineLevel="0" collapsed="false">
      <c r="A98" s="0" t="s">
        <v>380</v>
      </c>
      <c r="B98" s="9" t="s">
        <v>381</v>
      </c>
      <c r="C98" s="0" t="s">
        <v>157</v>
      </c>
      <c r="E98" s="14" t="n">
        <v>0.15</v>
      </c>
      <c r="G98" s="13" t="s">
        <v>97</v>
      </c>
      <c r="H98" s="9" t="s">
        <v>382</v>
      </c>
      <c r="I98" s="13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6"/>
    <col collapsed="false" customWidth="true" hidden="false" outlineLevel="0" max="7" min="3" style="0" width="10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0" t="s">
        <v>383</v>
      </c>
    </row>
    <row r="2" customFormat="false" ht="15" hidden="false" customHeight="false" outlineLevel="0" collapsed="false">
      <c r="A2" s="0" t="s">
        <v>384</v>
      </c>
    </row>
    <row r="3" customFormat="false" ht="15" hidden="false" customHeight="false" outlineLevel="0" collapsed="false">
      <c r="A3" s="5" t="s">
        <v>60</v>
      </c>
      <c r="B3" s="5" t="s">
        <v>61</v>
      </c>
      <c r="C3" s="16" t="n">
        <v>2025</v>
      </c>
      <c r="D3" s="16" t="n">
        <v>2026</v>
      </c>
      <c r="E3" s="16" t="n">
        <v>2027</v>
      </c>
      <c r="F3" s="16" t="n">
        <v>2028</v>
      </c>
      <c r="G3" s="16" t="n">
        <v>2029</v>
      </c>
      <c r="H3" s="5" t="s">
        <v>385</v>
      </c>
    </row>
    <row r="4" customFormat="false" ht="15" hidden="false" customHeight="false" outlineLevel="0" collapsed="false">
      <c r="A4" s="8" t="s">
        <v>386</v>
      </c>
    </row>
    <row r="5" customFormat="false" ht="15" hidden="false" customHeight="false" outlineLevel="0" collapsed="false">
      <c r="A5" s="8" t="s">
        <v>387</v>
      </c>
    </row>
    <row r="6" customFormat="false" ht="15" hidden="false" customHeight="false" outlineLevel="0" collapsed="false">
      <c r="A6" s="9" t="s">
        <v>388</v>
      </c>
      <c r="B6" s="0" t="s">
        <v>96</v>
      </c>
      <c r="C6" s="17" t="n">
        <f aca="false">C129</f>
        <v>134.689359843138</v>
      </c>
      <c r="D6" s="17" t="n">
        <f aca="false">D129</f>
        <v>178.157050570127</v>
      </c>
      <c r="E6" s="17" t="n">
        <f aca="false">E129</f>
        <v>218.225535760082</v>
      </c>
      <c r="F6" s="17" t="n">
        <f aca="false">F129</f>
        <v>246.028626308958</v>
      </c>
      <c r="G6" s="17" t="n">
        <f aca="false">G129</f>
        <v>260.655685855226</v>
      </c>
    </row>
    <row r="7" customFormat="false" ht="15" hidden="false" customHeight="false" outlineLevel="0" collapsed="false">
      <c r="A7" s="9" t="s">
        <v>389</v>
      </c>
      <c r="B7" s="0" t="s">
        <v>157</v>
      </c>
      <c r="D7" s="18" t="n">
        <f aca="false">D130</f>
        <v>0.322725497972614</v>
      </c>
      <c r="E7" s="18" t="n">
        <f aca="false">E130</f>
        <v>0.224905413856655</v>
      </c>
      <c r="F7" s="18" t="n">
        <f aca="false">F130</f>
        <v>0.127405303197159</v>
      </c>
      <c r="G7" s="18" t="n">
        <f aca="false">G130</f>
        <v>0.0594526733157439</v>
      </c>
    </row>
    <row r="8" customFormat="false" ht="15" hidden="false" customHeight="false" outlineLevel="0" collapsed="false">
      <c r="A8" s="9" t="s">
        <v>390</v>
      </c>
      <c r="B8" s="0" t="s">
        <v>96</v>
      </c>
      <c r="C8" s="17" t="n">
        <f aca="false">C127</f>
        <v>116.896831844029</v>
      </c>
      <c r="D8" s="17" t="n">
        <f aca="false">D127</f>
        <v>156.157050570127</v>
      </c>
      <c r="E8" s="17" t="n">
        <f aca="false">E127</f>
        <v>192.795469377561</v>
      </c>
      <c r="F8" s="17" t="n">
        <f aca="false">F127</f>
        <v>216.628626308958</v>
      </c>
      <c r="G8" s="17" t="n">
        <f aca="false">G127</f>
        <v>228.903685855226</v>
      </c>
    </row>
    <row r="9" customFormat="false" ht="15" hidden="false" customHeight="false" outlineLevel="0" collapsed="false">
      <c r="A9" s="0" t="s">
        <v>391</v>
      </c>
      <c r="B9" s="0" t="s">
        <v>96</v>
      </c>
      <c r="C9" s="17" t="n">
        <f aca="false">C132</f>
        <v>65.4650149260473</v>
      </c>
      <c r="D9" s="17" t="n">
        <f aca="false">D132</f>
        <v>93.0407901320055</v>
      </c>
      <c r="E9" s="17" t="n">
        <f aca="false">E132</f>
        <v>117.830555555179</v>
      </c>
      <c r="F9" s="17" t="n">
        <f aca="false">F132</f>
        <v>133.877045097969</v>
      </c>
      <c r="G9" s="17" t="n">
        <f aca="false">G132</f>
        <v>140.684729972807</v>
      </c>
    </row>
    <row r="10" customFormat="false" ht="15" hidden="false" customHeight="false" outlineLevel="0" collapsed="false">
      <c r="A10" s="0" t="s">
        <v>392</v>
      </c>
      <c r="B10" s="0" t="s">
        <v>157</v>
      </c>
      <c r="D10" s="19" t="n">
        <f aca="false">D134</f>
        <v>0.634397060086663</v>
      </c>
      <c r="E10" s="19" t="n">
        <f aca="false">E134</f>
        <v>0.626860639170224</v>
      </c>
      <c r="F10" s="19" t="n">
        <f aca="false">F134</f>
        <v>0.614446568075091</v>
      </c>
      <c r="G10" s="19" t="n">
        <f aca="false">G134</f>
        <v>0.597141453816325</v>
      </c>
    </row>
    <row r="11" customFormat="false" ht="15" hidden="false" customHeight="false" outlineLevel="0" collapsed="false">
      <c r="A11" s="0" t="s">
        <v>393</v>
      </c>
      <c r="B11" s="0" t="s">
        <v>157</v>
      </c>
      <c r="D11" s="19" t="n">
        <f aca="false">D135</f>
        <v>0.634397060086663</v>
      </c>
      <c r="E11" s="19" t="n">
        <f aca="false">E135</f>
        <v>0.61868486681369</v>
      </c>
      <c r="F11" s="19" t="n">
        <f aca="false">F135</f>
        <v>0.577147692073321</v>
      </c>
      <c r="G11" s="19" t="n">
        <f aca="false">G135</f>
        <v>0.465417184725631</v>
      </c>
    </row>
    <row r="12" customFormat="false" ht="15" hidden="false" customHeight="false" outlineLevel="0" collapsed="false">
      <c r="A12" s="9" t="s">
        <v>394</v>
      </c>
      <c r="C12" s="20" t="n">
        <f aca="false">C136</f>
        <v>2029</v>
      </c>
    </row>
    <row r="13" customFormat="false" ht="15" hidden="false" customHeight="false" outlineLevel="0" collapsed="false">
      <c r="A13" s="8" t="s">
        <v>395</v>
      </c>
    </row>
    <row r="14" customFormat="false" ht="15" hidden="false" customHeight="false" outlineLevel="0" collapsed="false">
      <c r="A14" s="9" t="s">
        <v>388</v>
      </c>
      <c r="B14" s="0" t="s">
        <v>96</v>
      </c>
      <c r="C14" s="17" t="n">
        <f aca="false">C148</f>
        <v>134.689359843138</v>
      </c>
      <c r="D14" s="17" t="n">
        <f aca="false">D148</f>
        <v>178.157050570127</v>
      </c>
      <c r="E14" s="17" t="n">
        <f aca="false">E148</f>
        <v>218.225535760082</v>
      </c>
      <c r="F14" s="17" t="n">
        <f aca="false">F148</f>
        <v>218.225535760082</v>
      </c>
      <c r="G14" s="17" t="n">
        <f aca="false">G148</f>
        <v>207.314258972078</v>
      </c>
    </row>
    <row r="15" customFormat="false" ht="15" hidden="false" customHeight="false" outlineLevel="0" collapsed="false">
      <c r="A15" s="9" t="s">
        <v>389</v>
      </c>
      <c r="B15" s="0" t="s">
        <v>157</v>
      </c>
      <c r="D15" s="18" t="n">
        <f aca="false">D149</f>
        <v>0.322725497972614</v>
      </c>
      <c r="E15" s="18" t="n">
        <f aca="false">E149</f>
        <v>0.224905413856655</v>
      </c>
      <c r="F15" s="18" t="n">
        <f aca="false">F149</f>
        <v>0</v>
      </c>
      <c r="G15" s="18" t="n">
        <f aca="false">G149</f>
        <v>-0.05</v>
      </c>
    </row>
    <row r="16" customFormat="false" ht="15" hidden="false" customHeight="false" outlineLevel="0" collapsed="false">
      <c r="A16" s="9" t="s">
        <v>390</v>
      </c>
      <c r="B16" s="0" t="s">
        <v>96</v>
      </c>
      <c r="C16" s="17" t="n">
        <f aca="false">C146</f>
        <v>116.896831844029</v>
      </c>
      <c r="D16" s="17" t="n">
        <f aca="false">D146</f>
        <v>156.157050570127</v>
      </c>
      <c r="E16" s="17" t="n">
        <f aca="false">E146</f>
        <v>192.795469377561</v>
      </c>
      <c r="F16" s="17" t="n">
        <f aca="false">F146</f>
        <v>192.795469377561</v>
      </c>
      <c r="G16" s="17" t="n">
        <f aca="false">G146</f>
        <v>183.155695908683</v>
      </c>
    </row>
    <row r="17" customFormat="false" ht="15" hidden="false" customHeight="false" outlineLevel="0" collapsed="false">
      <c r="A17" s="0" t="s">
        <v>391</v>
      </c>
      <c r="B17" s="0" t="s">
        <v>96</v>
      </c>
      <c r="C17" s="17" t="n">
        <f aca="false">C151</f>
        <v>65.4650149260473</v>
      </c>
      <c r="D17" s="17" t="n">
        <f aca="false">D151</f>
        <v>93.0407901320055</v>
      </c>
      <c r="E17" s="17" t="n">
        <f aca="false">E151</f>
        <v>117.830555555179</v>
      </c>
      <c r="F17" s="17" t="n">
        <f aca="false">F151</f>
        <v>117.830555555179</v>
      </c>
      <c r="G17" s="17" t="n">
        <f aca="false">G151</f>
        <v>111.93902777742</v>
      </c>
    </row>
    <row r="18" customFormat="false" ht="15" hidden="false" customHeight="false" outlineLevel="0" collapsed="false">
      <c r="A18" s="0" t="s">
        <v>392</v>
      </c>
      <c r="B18" s="0" t="s">
        <v>157</v>
      </c>
      <c r="D18" s="19" t="n">
        <f aca="false">D153</f>
        <v>0.634397060086663</v>
      </c>
      <c r="E18" s="19" t="n">
        <f aca="false">E153</f>
        <v>0.626860639170224</v>
      </c>
      <c r="F18" s="19" t="n">
        <f aca="false">F153</f>
        <v>0.626860639170224</v>
      </c>
      <c r="G18" s="19" t="n">
        <f aca="false">G153</f>
        <v>0.639918449578316</v>
      </c>
    </row>
    <row r="19" customFormat="false" ht="15" hidden="false" customHeight="false" outlineLevel="0" collapsed="false">
      <c r="A19" s="0" t="s">
        <v>393</v>
      </c>
      <c r="B19" s="0" t="s">
        <v>157</v>
      </c>
      <c r="D19" s="19" t="n">
        <f aca="false">D154</f>
        <v>0.634397060086663</v>
      </c>
      <c r="E19" s="19" t="n">
        <f aca="false">E154</f>
        <v>0.61868486681369</v>
      </c>
      <c r="F19" s="19" t="str">
        <f aca="false">F154</f>
        <v>n/a</v>
      </c>
      <c r="G19" s="19" t="n">
        <f aca="false">G154</f>
        <v>0.539948522269743</v>
      </c>
    </row>
    <row r="20" customFormat="false" ht="15" hidden="false" customHeight="false" outlineLevel="0" collapsed="false">
      <c r="A20" s="9" t="s">
        <v>394</v>
      </c>
      <c r="C20" s="20" t="n">
        <f aca="false">C155</f>
        <v>2028</v>
      </c>
    </row>
    <row r="21" customFormat="false" ht="15" hidden="false" customHeight="false" outlineLevel="0" collapsed="false">
      <c r="A21" s="8" t="s">
        <v>396</v>
      </c>
    </row>
    <row r="22" customFormat="false" ht="15" hidden="false" customHeight="false" outlineLevel="0" collapsed="false">
      <c r="A22" s="9" t="s">
        <v>388</v>
      </c>
      <c r="B22" s="0" t="s">
        <v>96</v>
      </c>
      <c r="C22" s="17" t="n">
        <f aca="false">C167</f>
        <v>134.689359843138</v>
      </c>
      <c r="D22" s="17" t="n">
        <f aca="false">D167</f>
        <v>178.157050570127</v>
      </c>
      <c r="E22" s="17" t="n">
        <f aca="false">E167</f>
        <v>218.225535760082</v>
      </c>
      <c r="F22" s="17" t="n">
        <f aca="false">F167</f>
        <v>174.580428608066</v>
      </c>
      <c r="G22" s="17" t="n">
        <f aca="false">G167</f>
        <v>174.580428608066</v>
      </c>
    </row>
    <row r="23" customFormat="false" ht="15" hidden="false" customHeight="false" outlineLevel="0" collapsed="false">
      <c r="A23" s="9" t="s">
        <v>389</v>
      </c>
      <c r="B23" s="0" t="s">
        <v>157</v>
      </c>
      <c r="D23" s="18" t="n">
        <f aca="false">D168</f>
        <v>0.322725497972614</v>
      </c>
      <c r="E23" s="18" t="n">
        <f aca="false">E168</f>
        <v>0.224905413856655</v>
      </c>
      <c r="F23" s="18" t="n">
        <f aca="false">F168</f>
        <v>-0.2</v>
      </c>
      <c r="G23" s="18" t="n">
        <f aca="false">G168</f>
        <v>0</v>
      </c>
    </row>
    <row r="24" customFormat="false" ht="15" hidden="false" customHeight="false" outlineLevel="0" collapsed="false">
      <c r="A24" s="9" t="s">
        <v>390</v>
      </c>
      <c r="B24" s="0" t="s">
        <v>96</v>
      </c>
      <c r="C24" s="17" t="n">
        <f aca="false">C165</f>
        <v>116.896831844029</v>
      </c>
      <c r="D24" s="17" t="n">
        <f aca="false">D165</f>
        <v>156.157050570127</v>
      </c>
      <c r="E24" s="17" t="n">
        <f aca="false">E165</f>
        <v>192.795469377561</v>
      </c>
      <c r="F24" s="17" t="n">
        <f aca="false">F165</f>
        <v>154.236375502049</v>
      </c>
      <c r="G24" s="17" t="n">
        <f aca="false">G165</f>
        <v>154.236375502049</v>
      </c>
    </row>
    <row r="25" customFormat="false" ht="15" hidden="false" customHeight="false" outlineLevel="0" collapsed="false">
      <c r="A25" s="0" t="s">
        <v>391</v>
      </c>
      <c r="B25" s="0" t="s">
        <v>96</v>
      </c>
      <c r="C25" s="17" t="n">
        <f aca="false">C170</f>
        <v>65.4650149260473</v>
      </c>
      <c r="D25" s="17" t="n">
        <f aca="false">D170</f>
        <v>93.0407901320055</v>
      </c>
      <c r="E25" s="17" t="n">
        <f aca="false">E170</f>
        <v>117.830555555179</v>
      </c>
      <c r="F25" s="17" t="n">
        <f aca="false">F170</f>
        <v>94.2644444441436</v>
      </c>
      <c r="G25" s="17" t="n">
        <f aca="false">G170</f>
        <v>94.2644444441436</v>
      </c>
    </row>
    <row r="26" customFormat="false" ht="15" hidden="false" customHeight="false" outlineLevel="0" collapsed="false">
      <c r="A26" s="0" t="s">
        <v>392</v>
      </c>
      <c r="B26" s="0" t="s">
        <v>157</v>
      </c>
      <c r="D26" s="19" t="n">
        <f aca="false">D172</f>
        <v>0.634397060086663</v>
      </c>
      <c r="E26" s="19" t="n">
        <f aca="false">E172</f>
        <v>0.626860639170224</v>
      </c>
      <c r="F26" s="19" t="n">
        <f aca="false">F172</f>
        <v>0.721951815525595</v>
      </c>
      <c r="G26" s="19" t="n">
        <f aca="false">G172</f>
        <v>0.721951815525595</v>
      </c>
    </row>
    <row r="27" customFormat="false" ht="15" hidden="false" customHeight="false" outlineLevel="0" collapsed="false">
      <c r="A27" s="0" t="s">
        <v>393</v>
      </c>
      <c r="B27" s="0" t="s">
        <v>157</v>
      </c>
      <c r="D27" s="19" t="n">
        <f aca="false">D173</f>
        <v>0.634397060086663</v>
      </c>
      <c r="E27" s="19" t="n">
        <f aca="false">E173</f>
        <v>0.61868486681369</v>
      </c>
      <c r="F27" s="19" t="n">
        <f aca="false">F173</f>
        <v>0.539948522269743</v>
      </c>
      <c r="G27" s="19" t="str">
        <f aca="false">G173</f>
        <v>n/a</v>
      </c>
    </row>
    <row r="28" customFormat="false" ht="15" hidden="false" customHeight="false" outlineLevel="0" collapsed="false">
      <c r="A28" s="9" t="s">
        <v>394</v>
      </c>
      <c r="C28" s="20" t="n">
        <f aca="false">C174</f>
        <v>2027</v>
      </c>
    </row>
    <row r="40" customFormat="false" ht="15" hidden="false" customHeight="false" outlineLevel="0" collapsed="false">
      <c r="A40" s="10" t="s">
        <v>397</v>
      </c>
    </row>
    <row r="41" customFormat="false" ht="15" hidden="false" customHeight="false" outlineLevel="0" collapsed="false">
      <c r="A41" s="21" t="s">
        <v>398</v>
      </c>
      <c r="B41" s="13" t="s">
        <v>96</v>
      </c>
      <c r="C41" s="17" t="n">
        <f aca="false">D41/(1+g_dram_26)</f>
        <v>27.9136690647482</v>
      </c>
      <c r="D41" s="17" t="n">
        <f aca="false">s_dram_26</f>
        <v>38.8</v>
      </c>
      <c r="E41" s="17" t="n">
        <f aca="false">D41*(1+g_dram_27)</f>
        <v>49.4312</v>
      </c>
      <c r="F41" s="17" t="n">
        <f aca="false">E41*(1+g_dram_28)</f>
        <v>56.84588</v>
      </c>
      <c r="G41" s="17" t="n">
        <f aca="false">F41*(1+g29)</f>
        <v>61.3935504</v>
      </c>
      <c r="H41" s="13" t="s">
        <v>399</v>
      </c>
    </row>
    <row r="42" customFormat="false" ht="15" hidden="false" customHeight="false" outlineLevel="0" collapsed="false">
      <c r="A42" s="21" t="s">
        <v>400</v>
      </c>
      <c r="B42" s="13" t="s">
        <v>96</v>
      </c>
      <c r="C42" s="17" t="n">
        <f aca="false">D42/(1+g_nand_26)</f>
        <v>10.6350420811018</v>
      </c>
      <c r="D42" s="17" t="n">
        <f aca="false">s_nand_26</f>
        <v>13.9</v>
      </c>
      <c r="E42" s="17" t="n">
        <f aca="false">D42*(1+g_nand_27)</f>
        <v>18.2229</v>
      </c>
      <c r="F42" s="17" t="n">
        <f aca="false">E42*(1+g_nand_28)</f>
        <v>20.8652205</v>
      </c>
      <c r="G42" s="17" t="n">
        <f aca="false">F42*(1+g29)</f>
        <v>22.53443814</v>
      </c>
      <c r="H42" s="13" t="s">
        <v>399</v>
      </c>
    </row>
    <row r="43" customFormat="false" ht="15" hidden="false" customHeight="false" outlineLevel="0" collapsed="false">
      <c r="A43" s="21" t="s">
        <v>401</v>
      </c>
      <c r="B43" s="13" t="s">
        <v>96</v>
      </c>
      <c r="C43" s="17" t="n">
        <f aca="false">D43/(1+g_fd_26)</f>
        <v>65.6013456686291</v>
      </c>
      <c r="D43" s="17" t="n">
        <f aca="false">s_fd_26</f>
        <v>78</v>
      </c>
      <c r="E43" s="17" t="n">
        <f aca="false">D43*(1+g_fd_27)</f>
        <v>92.118</v>
      </c>
      <c r="F43" s="17" t="n">
        <f aca="false">E43*(1+g_fd_28)</f>
        <v>104.646048</v>
      </c>
      <c r="G43" s="17" t="n">
        <f aca="false">F43*(1+g29)</f>
        <v>113.01773184</v>
      </c>
      <c r="H43" s="13" t="s">
        <v>399</v>
      </c>
    </row>
    <row r="44" customFormat="false" ht="15" hidden="false" customHeight="false" outlineLevel="0" collapsed="false">
      <c r="A44" s="21" t="s">
        <v>402</v>
      </c>
      <c r="B44" s="13" t="s">
        <v>96</v>
      </c>
      <c r="C44" s="17" t="n">
        <f aca="false">D44/(1+g_wfe_26)</f>
        <v>116.896831844029</v>
      </c>
      <c r="D44" s="17" t="n">
        <f aca="false">s_wfe_26</f>
        <v>143.9</v>
      </c>
      <c r="E44" s="17" t="n">
        <f aca="false">D44*(1+g_wfe_27)</f>
        <v>175.2702</v>
      </c>
      <c r="F44" s="17" t="n">
        <f aca="false">E44*(1+g_wfe_28)</f>
        <v>199.9832982</v>
      </c>
      <c r="G44" s="17" t="n">
        <f aca="false">F44*(1+g29)</f>
        <v>215.981962056</v>
      </c>
      <c r="H44" s="13" t="s">
        <v>399</v>
      </c>
    </row>
    <row r="45" customFormat="false" ht="15" hidden="false" customHeight="false" outlineLevel="0" collapsed="false">
      <c r="A45" s="21" t="s">
        <v>403</v>
      </c>
      <c r="B45" s="13" t="s">
        <v>96</v>
      </c>
      <c r="C45" s="17" t="n">
        <f aca="false">D45/(1+g_test_26)</f>
        <v>11.6793893129771</v>
      </c>
      <c r="D45" s="17" t="n">
        <f aca="false">s_test_26</f>
        <v>15.3</v>
      </c>
      <c r="E45" s="17" t="n">
        <f aca="false">SQRT(D45*F45)</f>
        <v>17.8392824967822</v>
      </c>
      <c r="F45" s="17" t="n">
        <f aca="false">s_test_28</f>
        <v>20.8</v>
      </c>
      <c r="G45" s="17" t="n">
        <f aca="false">F45*(1+g29)</f>
        <v>22.464</v>
      </c>
      <c r="H45" s="13" t="s">
        <v>404</v>
      </c>
    </row>
    <row r="46" customFormat="false" ht="15" hidden="false" customHeight="false" outlineLevel="0" collapsed="false">
      <c r="A46" s="21" t="s">
        <v>405</v>
      </c>
      <c r="B46" s="13" t="s">
        <v>96</v>
      </c>
      <c r="C46" s="17" t="n">
        <f aca="false">D46/(1+g_pkg_26)</f>
        <v>6.11313868613139</v>
      </c>
      <c r="D46" s="17" t="n">
        <f aca="false">s_pkg_26</f>
        <v>6.7</v>
      </c>
      <c r="E46" s="17" t="n">
        <f aca="false">SQRT(D46*F46)</f>
        <v>7.59078388573934</v>
      </c>
      <c r="F46" s="17" t="n">
        <f aca="false">s_pkg_28</f>
        <v>8.6</v>
      </c>
      <c r="G46" s="17" t="n">
        <f aca="false">F46*(1+g29)</f>
        <v>9.288</v>
      </c>
      <c r="H46" s="13" t="s">
        <v>404</v>
      </c>
    </row>
    <row r="47" customFormat="false" ht="15" hidden="false" customHeight="false" outlineLevel="0" collapsed="false">
      <c r="A47" s="21" t="s">
        <v>406</v>
      </c>
      <c r="B47" s="13" t="s">
        <v>96</v>
      </c>
      <c r="C47" s="17" t="n">
        <f aca="false">C44-C43-C41-C42</f>
        <v>12.7467750295502</v>
      </c>
      <c r="D47" s="17" t="n">
        <f aca="false">D44-D43-D41-D42</f>
        <v>13.2</v>
      </c>
      <c r="E47" s="17" t="n">
        <f aca="false">E44-E43-E41-E42</f>
        <v>15.4981</v>
      </c>
      <c r="F47" s="17" t="n">
        <f aca="false">F44-F43-F41-F42</f>
        <v>17.6261497</v>
      </c>
      <c r="G47" s="17" t="n">
        <f aca="false">G44-G43-G41-G42</f>
        <v>19.036241676</v>
      </c>
      <c r="H47" s="13" t="s">
        <v>407</v>
      </c>
    </row>
    <row r="48" customFormat="false" ht="15" hidden="false" customHeight="false" outlineLevel="0" collapsed="false">
      <c r="A48" s="10" t="s">
        <v>408</v>
      </c>
      <c r="B48" s="13" t="s">
        <v>96</v>
      </c>
      <c r="C48" s="17" t="n">
        <f aca="false">C44+C45+C46</f>
        <v>134.689359843138</v>
      </c>
      <c r="D48" s="17" t="n">
        <f aca="false">D44+D45+D46</f>
        <v>165.9</v>
      </c>
      <c r="E48" s="17" t="n">
        <f aca="false">E44+E45+E46</f>
        <v>200.700266382522</v>
      </c>
      <c r="F48" s="17" t="n">
        <f aca="false">F44+F45+F46</f>
        <v>229.3832982</v>
      </c>
      <c r="G48" s="17" t="n">
        <f aca="false">G44+G45+G46</f>
        <v>247.733962056</v>
      </c>
      <c r="H48" s="13" t="s">
        <v>409</v>
      </c>
    </row>
    <row r="49" customFormat="false" ht="15" hidden="false" customHeight="false" outlineLevel="0" collapsed="false">
      <c r="A49" s="21" t="s">
        <v>410</v>
      </c>
      <c r="B49" s="13" t="s">
        <v>157</v>
      </c>
      <c r="C49" s="18" t="n">
        <f aca="false">C41/(C41+C42)</f>
        <v>0.724114198244817</v>
      </c>
      <c r="D49" s="18" t="n">
        <f aca="false">$C49</f>
        <v>0.724114198244817</v>
      </c>
      <c r="E49" s="18" t="n">
        <f aca="false">$C49</f>
        <v>0.724114198244817</v>
      </c>
      <c r="F49" s="18" t="n">
        <f aca="false">$C49</f>
        <v>0.724114198244817</v>
      </c>
      <c r="G49" s="18" t="n">
        <f aca="false">$C49</f>
        <v>0.724114198244817</v>
      </c>
      <c r="H49" s="9" t="s">
        <v>411</v>
      </c>
    </row>
    <row r="50" customFormat="false" ht="15" hidden="false" customHeight="false" outlineLevel="0" collapsed="false">
      <c r="A50" s="21" t="s">
        <v>412</v>
      </c>
      <c r="B50" s="13" t="s">
        <v>157</v>
      </c>
      <c r="C50" s="18" t="n">
        <f aca="false">C47/(C41+C42+C43)</f>
        <v>0.12238855569955</v>
      </c>
      <c r="D50" s="18" t="n">
        <f aca="false">$C50</f>
        <v>0.12238855569955</v>
      </c>
      <c r="E50" s="18" t="n">
        <f aca="false">$C50</f>
        <v>0.12238855569955</v>
      </c>
      <c r="F50" s="18" t="n">
        <f aca="false">$C50</f>
        <v>0.12238855569955</v>
      </c>
      <c r="G50" s="18" t="n">
        <f aca="false">$C50</f>
        <v>0.12238855569955</v>
      </c>
      <c r="H50" s="9" t="s">
        <v>413</v>
      </c>
    </row>
    <row r="52" customFormat="false" ht="15" hidden="false" customHeight="false" outlineLevel="0" collapsed="false">
      <c r="A52" s="10" t="s">
        <v>414</v>
      </c>
    </row>
    <row r="53" customFormat="false" ht="15" hidden="false" customHeight="false" outlineLevel="0" collapsed="false">
      <c r="A53" s="10" t="s">
        <v>415</v>
      </c>
    </row>
    <row r="54" customFormat="false" ht="15" hidden="false" customHeight="false" outlineLevel="0" collapsed="false">
      <c r="A54" s="22" t="s">
        <v>416</v>
      </c>
      <c r="B54" s="13" t="s">
        <v>96</v>
      </c>
      <c r="C54" s="17" t="n">
        <f aca="false">ind_cxmt</f>
        <v>6.9</v>
      </c>
      <c r="H54" s="13" t="s">
        <v>417</v>
      </c>
    </row>
    <row r="55" customFormat="false" ht="15" hidden="false" customHeight="false" outlineLevel="0" collapsed="false">
      <c r="A55" s="22" t="s">
        <v>418</v>
      </c>
      <c r="B55" s="13" t="s">
        <v>96</v>
      </c>
      <c r="C55" s="17" t="n">
        <f aca="false">ind_nanya/fx_twd</f>
        <v>0.432258064516129</v>
      </c>
    </row>
    <row r="56" customFormat="false" ht="15" hidden="false" customHeight="false" outlineLevel="0" collapsed="false">
      <c r="A56" s="22" t="s">
        <v>419</v>
      </c>
      <c r="B56" s="13" t="s">
        <v>96</v>
      </c>
      <c r="C56" s="17" t="n">
        <v>0</v>
      </c>
      <c r="H56" s="9" t="s">
        <v>420</v>
      </c>
    </row>
    <row r="57" customFormat="false" ht="15" hidden="false" customHeight="false" outlineLevel="0" collapsed="false">
      <c r="A57" s="22" t="s">
        <v>421</v>
      </c>
      <c r="B57" s="13" t="s">
        <v>96</v>
      </c>
      <c r="C57" s="17" t="n">
        <f aca="false">C54+C55+C56</f>
        <v>7.33225806451613</v>
      </c>
    </row>
    <row r="58" customFormat="false" ht="15" hidden="false" customHeight="false" outlineLevel="0" collapsed="false">
      <c r="A58" s="22" t="s">
        <v>422</v>
      </c>
      <c r="B58" s="13" t="s">
        <v>96</v>
      </c>
      <c r="C58" s="17" t="n">
        <f aca="false">ind_kioxia/fx_jpy</f>
        <v>1.89133333333333</v>
      </c>
    </row>
    <row r="59" customFormat="false" ht="15" hidden="false" customHeight="false" outlineLevel="0" collapsed="false">
      <c r="A59" s="22" t="s">
        <v>423</v>
      </c>
      <c r="B59" s="13" t="s">
        <v>96</v>
      </c>
      <c r="C59" s="17" t="n">
        <f aca="false">ind_nand_ind*ind_ymtc_sh</f>
        <v>4.22</v>
      </c>
    </row>
    <row r="60" customFormat="false" ht="15" hidden="false" customHeight="false" outlineLevel="0" collapsed="false">
      <c r="A60" s="21" t="s">
        <v>424</v>
      </c>
      <c r="B60" s="13" t="s">
        <v>96</v>
      </c>
      <c r="C60" s="17" t="n">
        <v>0</v>
      </c>
      <c r="H60" s="13" t="s">
        <v>425</v>
      </c>
    </row>
    <row r="61" customFormat="false" ht="15" hidden="false" customHeight="false" outlineLevel="0" collapsed="false">
      <c r="A61" s="22" t="s">
        <v>426</v>
      </c>
      <c r="B61" s="13" t="s">
        <v>96</v>
      </c>
      <c r="C61" s="17" t="n">
        <f aca="false">C58+C59+C60</f>
        <v>6.11133333333333</v>
      </c>
    </row>
    <row r="62" customFormat="false" ht="15" hidden="false" customHeight="false" outlineLevel="0" collapsed="false">
      <c r="A62" s="22" t="s">
        <v>427</v>
      </c>
      <c r="B62" s="13" t="s">
        <v>96</v>
      </c>
      <c r="C62" s="17" t="n">
        <f aca="false">C57*sh_oth</f>
        <v>4.69264516129032</v>
      </c>
    </row>
    <row r="63" customFormat="false" ht="15" hidden="false" customHeight="false" outlineLevel="0" collapsed="false">
      <c r="A63" s="22" t="s">
        <v>428</v>
      </c>
      <c r="B63" s="13" t="s">
        <v>96</v>
      </c>
      <c r="C63" s="17" t="n">
        <f aca="false">C61*sh_oth</f>
        <v>3.91125333333333</v>
      </c>
    </row>
    <row r="64" customFormat="false" ht="15" hidden="false" customHeight="false" outlineLevel="0" collapsed="false">
      <c r="A64" s="8" t="s">
        <v>429</v>
      </c>
      <c r="B64" s="13" t="s">
        <v>96</v>
      </c>
      <c r="C64" s="17" t="n">
        <f aca="false">C62+C63</f>
        <v>8.60389849462366</v>
      </c>
    </row>
    <row r="66" customFormat="false" ht="15" hidden="false" customHeight="false" outlineLevel="0" collapsed="false">
      <c r="A66" s="10" t="s">
        <v>430</v>
      </c>
    </row>
    <row r="67" customFormat="false" ht="15" hidden="false" customHeight="false" outlineLevel="0" collapsed="false">
      <c r="A67" s="21" t="s">
        <v>431</v>
      </c>
      <c r="B67" s="13" t="s">
        <v>96</v>
      </c>
      <c r="C67" s="17" t="n">
        <f aca="false">cap_sk_25*1000/fx</f>
        <v>21.2676056338028</v>
      </c>
      <c r="D67" s="17" t="n">
        <f aca="false">cap_sk_26*1000/fx</f>
        <v>34.2957746478873</v>
      </c>
      <c r="E67" s="17" t="n">
        <f aca="false">cap_sk_27*1000/fx</f>
        <v>43.8732394366197</v>
      </c>
      <c r="F67" s="17" t="n">
        <f aca="false">cap_sk_28*1000/fx</f>
        <v>50.1408450704225</v>
      </c>
      <c r="G67" s="17" t="n">
        <f aca="false">cap_sk_29*1000/fx</f>
        <v>52.8169014084507</v>
      </c>
      <c r="H67" s="9" t="s">
        <v>432</v>
      </c>
    </row>
    <row r="68" customFormat="false" ht="15" hidden="false" customHeight="false" outlineLevel="0" collapsed="false">
      <c r="A68" s="22" t="s">
        <v>433</v>
      </c>
      <c r="B68" s="13" t="s">
        <v>96</v>
      </c>
      <c r="C68" s="17" t="n">
        <f aca="false">cap_mu_25</f>
        <v>13.8</v>
      </c>
      <c r="D68" s="17" t="n">
        <f aca="false">cap_mu_26</f>
        <v>27.367</v>
      </c>
      <c r="E68" s="17" t="n">
        <f aca="false">cap_mu_27</f>
        <v>55</v>
      </c>
      <c r="F68" s="17" t="n">
        <f aca="false">cap_mu_28</f>
        <v>60</v>
      </c>
      <c r="G68" s="17" t="n">
        <f aca="false">cap_mu_29</f>
        <v>60</v>
      </c>
    </row>
    <row r="69" customFormat="false" ht="15" hidden="false" customHeight="false" outlineLevel="0" collapsed="false">
      <c r="A69" s="22" t="s">
        <v>434</v>
      </c>
      <c r="B69" s="13" t="s">
        <v>96</v>
      </c>
      <c r="C69" s="17" t="n">
        <f aca="false">cap_ssds_25*ss_mem*1000/fx</f>
        <v>25.0880281690141</v>
      </c>
      <c r="D69" s="17" t="n">
        <f aca="false">cap_ss_26*1000/fx</f>
        <v>36.9718309859155</v>
      </c>
      <c r="E69" s="17" t="n">
        <f aca="false">cap_ss_27*1000/fx</f>
        <v>42.2535211267606</v>
      </c>
      <c r="F69" s="17" t="n">
        <f aca="false">cap_ss_28*1000/fx</f>
        <v>46.4788732394366</v>
      </c>
      <c r="G69" s="17" t="n">
        <f aca="false">cap_ss_29*1000/fx</f>
        <v>46.4788732394366</v>
      </c>
      <c r="H69" s="13" t="s">
        <v>435</v>
      </c>
    </row>
    <row r="70" customFormat="false" ht="15" hidden="false" customHeight="false" outlineLevel="0" collapsed="false">
      <c r="A70" s="8" t="s">
        <v>436</v>
      </c>
      <c r="B70" s="13" t="s">
        <v>96</v>
      </c>
      <c r="C70" s="17" t="n">
        <f aca="false">C67+C68+C69</f>
        <v>60.1556338028169</v>
      </c>
      <c r="D70" s="17" t="n">
        <f aca="false">D67+D68+D69</f>
        <v>98.6346056338028</v>
      </c>
      <c r="E70" s="17" t="n">
        <f aca="false">E67+E68+E69</f>
        <v>141.12676056338</v>
      </c>
      <c r="F70" s="17" t="n">
        <f aca="false">F67+F68+F69</f>
        <v>156.619718309859</v>
      </c>
      <c r="G70" s="17" t="n">
        <f aca="false">G67+G68+G69</f>
        <v>159.295774647887</v>
      </c>
    </row>
    <row r="72" customFormat="false" ht="15" hidden="false" customHeight="false" outlineLevel="0" collapsed="false">
      <c r="A72" s="10" t="s">
        <v>437</v>
      </c>
    </row>
    <row r="73" customFormat="false" ht="15" hidden="false" customHeight="false" outlineLevel="0" collapsed="false">
      <c r="A73" s="21" t="s">
        <v>438</v>
      </c>
      <c r="B73" s="13" t="s">
        <v>96</v>
      </c>
      <c r="C73" s="17" t="n">
        <f aca="false">C41+C42</f>
        <v>38.54871114585</v>
      </c>
    </row>
    <row r="74" customFormat="false" ht="15" hidden="false" customHeight="false" outlineLevel="0" collapsed="false">
      <c r="A74" s="22" t="s">
        <v>439</v>
      </c>
      <c r="B74" s="13" t="s">
        <v>96</v>
      </c>
      <c r="C74" s="17" t="n">
        <f aca="false">C68*sh_mu_25</f>
        <v>8.832</v>
      </c>
    </row>
    <row r="75" customFormat="false" ht="15" hidden="false" customHeight="false" outlineLevel="0" collapsed="false">
      <c r="A75" s="22" t="s">
        <v>440</v>
      </c>
      <c r="B75" s="13" t="s">
        <v>96</v>
      </c>
      <c r="C75" s="17" t="n">
        <f aca="false">C64</f>
        <v>8.60389849462366</v>
      </c>
    </row>
    <row r="76" customFormat="false" ht="15" hidden="false" customHeight="false" outlineLevel="0" collapsed="false">
      <c r="A76" s="22" t="s">
        <v>441</v>
      </c>
      <c r="B76" s="13" t="s">
        <v>96</v>
      </c>
      <c r="C76" s="17" t="n">
        <f aca="false">C73-C74-C75</f>
        <v>21.1128126512263</v>
      </c>
    </row>
    <row r="77" customFormat="false" ht="15" hidden="false" customHeight="false" outlineLevel="0" collapsed="false">
      <c r="A77" s="21" t="s">
        <v>442</v>
      </c>
      <c r="B77" s="13" t="s">
        <v>96</v>
      </c>
      <c r="C77" s="17" t="n">
        <f aca="false">C67+C69</f>
        <v>46.3556338028169</v>
      </c>
    </row>
    <row r="78" customFormat="false" ht="15" hidden="false" customHeight="false" outlineLevel="0" collapsed="false">
      <c r="A78" s="8" t="s">
        <v>443</v>
      </c>
      <c r="B78" s="13" t="s">
        <v>157</v>
      </c>
      <c r="C78" s="18" t="n">
        <f aca="false">C76/C77</f>
        <v>0.455453003642102</v>
      </c>
      <c r="H78" s="9" t="s">
        <v>444</v>
      </c>
    </row>
    <row r="79" customFormat="false" ht="15" hidden="false" customHeight="false" outlineLevel="0" collapsed="false">
      <c r="A79" s="22" t="s">
        <v>445</v>
      </c>
      <c r="B79" s="13" t="s">
        <v>157</v>
      </c>
      <c r="C79" s="18" t="n">
        <f aca="false">(C73-(C57-C54+ind_cxmt_hi+C61)*sh_oth-C74)/C77</f>
        <v>0.385040850204958</v>
      </c>
    </row>
    <row r="80" customFormat="false" ht="15" hidden="false" customHeight="false" outlineLevel="0" collapsed="false">
      <c r="A80" s="22" t="s">
        <v>446</v>
      </c>
      <c r="B80" s="13" t="s">
        <v>157</v>
      </c>
      <c r="C80" s="18" t="n">
        <f aca="false">sh_oth_lo</f>
        <v>0.58</v>
      </c>
    </row>
    <row r="81" customFormat="false" ht="15" hidden="false" customHeight="false" outlineLevel="0" collapsed="false">
      <c r="A81" s="22" t="s">
        <v>447</v>
      </c>
      <c r="B81" s="13" t="s">
        <v>157</v>
      </c>
      <c r="C81" s="18" t="n">
        <f aca="false">sh_oth</f>
        <v>0.64</v>
      </c>
    </row>
    <row r="83" customFormat="false" ht="15" hidden="false" customHeight="false" outlineLevel="0" collapsed="false">
      <c r="A83" s="10" t="s">
        <v>448</v>
      </c>
    </row>
    <row r="84" customFormat="false" ht="15" hidden="false" customHeight="false" outlineLevel="0" collapsed="false">
      <c r="A84" s="21" t="s">
        <v>449</v>
      </c>
      <c r="B84" s="13" t="s">
        <v>96</v>
      </c>
      <c r="C84" s="17" t="n">
        <f aca="false">C67*sh_sk</f>
        <v>9.68639486619118</v>
      </c>
      <c r="D84" s="17" t="n">
        <f aca="false">D67*sh_sk</f>
        <v>15.6201135756129</v>
      </c>
      <c r="E84" s="17" t="n">
        <f aca="false">E67*sh_sk</f>
        <v>19.9821986809176</v>
      </c>
      <c r="F84" s="17" t="n">
        <f aca="false">F67*sh_sk</f>
        <v>22.8367984924772</v>
      </c>
      <c r="G84" s="17" t="n">
        <f aca="false">G67*sh_sk</f>
        <v>24.0556163895476</v>
      </c>
    </row>
    <row r="85" customFormat="false" ht="15" hidden="false" customHeight="false" outlineLevel="0" collapsed="false">
      <c r="A85" s="22" t="s">
        <v>450</v>
      </c>
      <c r="B85" s="13" t="s">
        <v>96</v>
      </c>
      <c r="C85" s="17" t="n">
        <f aca="false">C68*sh_mu_25</f>
        <v>8.832</v>
      </c>
      <c r="D85" s="17" t="n">
        <f aca="false">D68*sh_mu_26</f>
        <v>14.258207</v>
      </c>
      <c r="E85" s="17" t="n">
        <f aca="false">E68*sh_mu_27</f>
        <v>25.3</v>
      </c>
      <c r="F85" s="17" t="n">
        <f aca="false">F68*sh_mu_27</f>
        <v>27.6</v>
      </c>
      <c r="G85" s="17" t="n">
        <f aca="false">G68*sh_mu_27</f>
        <v>27.6</v>
      </c>
    </row>
    <row r="86" customFormat="false" ht="15" hidden="false" customHeight="false" outlineLevel="0" collapsed="false">
      <c r="A86" s="22" t="s">
        <v>451</v>
      </c>
      <c r="B86" s="13" t="s">
        <v>96</v>
      </c>
      <c r="C86" s="17" t="n">
        <f aca="false">C69*sh_ss</f>
        <v>11.4264177850351</v>
      </c>
      <c r="D86" s="17" t="n">
        <f aca="false">D69*sh_ss</f>
        <v>16.8389314726833</v>
      </c>
      <c r="E86" s="17" t="n">
        <f aca="false">E69*sh_ss</f>
        <v>19.2444931116381</v>
      </c>
      <c r="F86" s="17" t="n">
        <f aca="false">F69*sh_ss</f>
        <v>21.1689424228019</v>
      </c>
      <c r="G86" s="17" t="n">
        <f aca="false">G69*sh_ss</f>
        <v>21.1689424228019</v>
      </c>
    </row>
    <row r="87" customFormat="false" ht="15" hidden="false" customHeight="false" outlineLevel="0" collapsed="false">
      <c r="A87" s="8" t="s">
        <v>452</v>
      </c>
      <c r="B87" s="13" t="s">
        <v>96</v>
      </c>
      <c r="C87" s="17" t="n">
        <f aca="false">C84+C85+C86</f>
        <v>29.9448126512263</v>
      </c>
      <c r="D87" s="17" t="n">
        <f aca="false">D84+D85+D86</f>
        <v>46.7172520482963</v>
      </c>
      <c r="E87" s="17" t="n">
        <f aca="false">E84+E85+E86</f>
        <v>64.5266917925557</v>
      </c>
      <c r="F87" s="17" t="n">
        <f aca="false">F84+F85+F86</f>
        <v>71.6057409152791</v>
      </c>
      <c r="G87" s="17" t="n">
        <f aca="false">G84+G85+G86</f>
        <v>72.8245588123496</v>
      </c>
    </row>
    <row r="88" customFormat="false" ht="15" hidden="false" customHeight="false" outlineLevel="0" collapsed="false">
      <c r="A88" s="22" t="s">
        <v>453</v>
      </c>
      <c r="B88" s="13" t="s">
        <v>157</v>
      </c>
      <c r="C88" s="18" t="n">
        <f aca="false">C87/C70</f>
        <v>0.497788997608801</v>
      </c>
      <c r="D88" s="18" t="n">
        <f aca="false">D87/D70</f>
        <v>0.47363956846689</v>
      </c>
      <c r="E88" s="18" t="n">
        <f aca="false">E87/E70</f>
        <v>0.457225061603937</v>
      </c>
      <c r="F88" s="18" t="n">
        <f aca="false">F87/F70</f>
        <v>0.457194928505829</v>
      </c>
      <c r="G88" s="18" t="n">
        <f aca="false">G87/G70</f>
        <v>0.457165665400249</v>
      </c>
    </row>
    <row r="89" customFormat="false" ht="15" hidden="false" customHeight="false" outlineLevel="0" collapsed="false">
      <c r="A89" s="22" t="s">
        <v>454</v>
      </c>
      <c r="B89" s="13" t="s">
        <v>96</v>
      </c>
      <c r="C89" s="17" t="n">
        <f aca="false">C87*C49</f>
        <v>21.683464004534</v>
      </c>
      <c r="D89" s="17" t="n">
        <f aca="false">D87*D49</f>
        <v>33.8286255111531</v>
      </c>
      <c r="E89" s="17" t="n">
        <f aca="false">E87*E49</f>
        <v>46.7246936927569</v>
      </c>
      <c r="F89" s="17" t="n">
        <f aca="false">F87*F49</f>
        <v>51.8507336725935</v>
      </c>
      <c r="G89" s="17" t="n">
        <f aca="false">G87*G49</f>
        <v>52.733297016937</v>
      </c>
      <c r="H89" s="13" t="s">
        <v>455</v>
      </c>
    </row>
    <row r="90" customFormat="false" ht="15" hidden="false" customHeight="false" outlineLevel="0" collapsed="false">
      <c r="A90" s="22" t="s">
        <v>456</v>
      </c>
      <c r="B90" s="13" t="s">
        <v>96</v>
      </c>
      <c r="C90" s="17" t="n">
        <f aca="false">C87-C89</f>
        <v>8.26134864669231</v>
      </c>
      <c r="D90" s="17" t="n">
        <f aca="false">D87-D89</f>
        <v>12.8886265371432</v>
      </c>
      <c r="E90" s="17" t="n">
        <f aca="false">E87-E89</f>
        <v>17.8019980997988</v>
      </c>
      <c r="F90" s="17" t="n">
        <f aca="false">F87-F89</f>
        <v>19.7550072426857</v>
      </c>
      <c r="G90" s="17" t="n">
        <f aca="false">G87-G89</f>
        <v>20.0912617954125</v>
      </c>
    </row>
    <row r="91" customFormat="false" ht="15" hidden="false" customHeight="false" outlineLevel="0" collapsed="false">
      <c r="A91" s="22" t="s">
        <v>457</v>
      </c>
      <c r="B91" s="13" t="s">
        <v>96</v>
      </c>
      <c r="C91" s="17" t="n">
        <f aca="false">C62</f>
        <v>4.69264516129032</v>
      </c>
      <c r="D91" s="17" t="n">
        <f aca="false">C91*(1+g_oth_dram)</f>
        <v>5.53732129032258</v>
      </c>
      <c r="E91" s="17" t="n">
        <f aca="false">D91*(1+g_oth_dram)</f>
        <v>6.53403912258065</v>
      </c>
      <c r="F91" s="17" t="n">
        <f aca="false">E91*(1+g_oth_dram)</f>
        <v>7.71016616464516</v>
      </c>
      <c r="G91" s="17" t="n">
        <f aca="false">F91*(1+g_oth_dram)</f>
        <v>9.09799607428129</v>
      </c>
    </row>
    <row r="92" customFormat="false" ht="15" hidden="false" customHeight="false" outlineLevel="0" collapsed="false">
      <c r="A92" s="22" t="s">
        <v>458</v>
      </c>
      <c r="B92" s="13" t="s">
        <v>96</v>
      </c>
      <c r="C92" s="17" t="n">
        <f aca="false">C63</f>
        <v>3.91125333333333</v>
      </c>
      <c r="D92" s="17" t="n">
        <f aca="false">C92*(1+g_oth_nand)</f>
        <v>4.61527893333333</v>
      </c>
      <c r="E92" s="17" t="n">
        <f aca="false">D92*(1+g_oth_nand)</f>
        <v>5.44602914133333</v>
      </c>
      <c r="F92" s="17" t="n">
        <f aca="false">E92*(1+g_oth_nand)</f>
        <v>6.42631438677333</v>
      </c>
      <c r="G92" s="17" t="n">
        <f aca="false">F92*(1+g_oth_nand)</f>
        <v>7.58305097639253</v>
      </c>
    </row>
    <row r="93" customFormat="false" ht="15" hidden="false" customHeight="false" outlineLevel="0" collapsed="false">
      <c r="A93" s="8" t="s">
        <v>459</v>
      </c>
      <c r="B93" s="13" t="s">
        <v>96</v>
      </c>
      <c r="C93" s="17" t="n">
        <f aca="false">C87+C91+C92</f>
        <v>38.54871114585</v>
      </c>
      <c r="D93" s="17" t="n">
        <f aca="false">D87+D91+D92</f>
        <v>56.8698522719522</v>
      </c>
      <c r="E93" s="17" t="n">
        <f aca="false">E87+E91+E92</f>
        <v>76.5067600564697</v>
      </c>
      <c r="F93" s="17" t="n">
        <f aca="false">F87+F91+F92</f>
        <v>85.7422214666976</v>
      </c>
      <c r="G93" s="17" t="n">
        <f aca="false">G87+G91+G92</f>
        <v>89.5056058630234</v>
      </c>
    </row>
    <row r="94" customFormat="false" ht="15" hidden="false" customHeight="false" outlineLevel="0" collapsed="false">
      <c r="A94" s="22" t="s">
        <v>460</v>
      </c>
      <c r="B94" s="13" t="s">
        <v>96</v>
      </c>
      <c r="C94" s="23" t="n">
        <f aca="false">C93-C73</f>
        <v>0</v>
      </c>
    </row>
    <row r="95" customFormat="false" ht="15" hidden="false" customHeight="false" outlineLevel="0" collapsed="false">
      <c r="A95" s="22" t="s">
        <v>461</v>
      </c>
      <c r="B95" s="13" t="s">
        <v>96</v>
      </c>
      <c r="C95" s="17" t="n">
        <f aca="false">C93-C41-C42</f>
        <v>0</v>
      </c>
      <c r="D95" s="17" t="n">
        <f aca="false">D93-D41-D42</f>
        <v>4.16985227195219</v>
      </c>
      <c r="E95" s="17" t="n">
        <f aca="false">E93-E41-E42</f>
        <v>8.85266005646966</v>
      </c>
      <c r="F95" s="17" t="n">
        <f aca="false">F93-F41-F42</f>
        <v>8.03112096669764</v>
      </c>
      <c r="G95" s="17" t="n">
        <f aca="false">G93-G41-G42</f>
        <v>5.57761732302336</v>
      </c>
      <c r="H95" s="9" t="s">
        <v>462</v>
      </c>
    </row>
    <row r="97" customFormat="false" ht="15" hidden="false" customHeight="false" outlineLevel="0" collapsed="false">
      <c r="A97" s="10" t="s">
        <v>463</v>
      </c>
    </row>
    <row r="98" customFormat="false" ht="15" hidden="false" customHeight="false" outlineLevel="0" collapsed="false">
      <c r="A98" s="22" t="s">
        <v>464</v>
      </c>
      <c r="B98" s="13" t="s">
        <v>96</v>
      </c>
      <c r="C98" s="17" t="n">
        <f aca="false">cap_ts_25</f>
        <v>40.9</v>
      </c>
      <c r="D98" s="17" t="n">
        <f aca="false">cap_ts_26</f>
        <v>62</v>
      </c>
      <c r="E98" s="17" t="n">
        <f aca="false">cap_ts_27</f>
        <v>77</v>
      </c>
      <c r="F98" s="17" t="n">
        <f aca="false">cap_ts_28</f>
        <v>90</v>
      </c>
      <c r="G98" s="17" t="n">
        <f aca="false">cap_ts_29</f>
        <v>95</v>
      </c>
    </row>
    <row r="99" customFormat="false" ht="15" hidden="false" customHeight="false" outlineLevel="0" collapsed="false">
      <c r="A99" s="22" t="s">
        <v>465</v>
      </c>
      <c r="B99" s="13" t="s">
        <v>96</v>
      </c>
      <c r="C99" s="17" t="n">
        <f aca="false">C98*sh_fd</f>
        <v>26.176</v>
      </c>
      <c r="D99" s="17" t="n">
        <f aca="false">D98*sh_fd</f>
        <v>39.68</v>
      </c>
      <c r="E99" s="17" t="n">
        <f aca="false">E98*sh_fd</f>
        <v>49.28</v>
      </c>
      <c r="F99" s="17" t="n">
        <f aca="false">F98*sh_fd</f>
        <v>57.6</v>
      </c>
      <c r="G99" s="17" t="n">
        <f aca="false">G98*sh_fd</f>
        <v>60.8</v>
      </c>
      <c r="H99" s="13" t="s">
        <v>466</v>
      </c>
    </row>
    <row r="100" customFormat="false" ht="15" hidden="false" customHeight="false" outlineLevel="0" collapsed="false">
      <c r="A100" s="21" t="s">
        <v>467</v>
      </c>
      <c r="B100" s="13" t="s">
        <v>96</v>
      </c>
      <c r="C100" s="17" t="n">
        <f aca="false">C43-C99</f>
        <v>39.4253456686291</v>
      </c>
      <c r="H100" s="13" t="s">
        <v>468</v>
      </c>
    </row>
    <row r="101" customFormat="false" ht="15" hidden="false" customHeight="false" outlineLevel="0" collapsed="false">
      <c r="A101" s="22" t="s">
        <v>469</v>
      </c>
      <c r="B101" s="13" t="s">
        <v>96</v>
      </c>
      <c r="C101" s="17" t="n">
        <f aca="false">MAX(C100,0)</f>
        <v>39.4253456686291</v>
      </c>
      <c r="D101" s="17" t="n">
        <f aca="false">C101*(1+g_oth_fd)</f>
        <v>42.5793733221194</v>
      </c>
      <c r="E101" s="17" t="n">
        <f aca="false">D101*(1+g_oth_fd)</f>
        <v>45.985723187889</v>
      </c>
      <c r="F101" s="17" t="n">
        <f aca="false">E101*(1+g_oth_fd)</f>
        <v>49.6645810429201</v>
      </c>
      <c r="G101" s="17" t="n">
        <f aca="false">F101*(1+g_oth_fd)</f>
        <v>53.6377475263537</v>
      </c>
    </row>
    <row r="102" customFormat="false" ht="15" hidden="false" customHeight="false" outlineLevel="0" collapsed="false">
      <c r="A102" s="8" t="s">
        <v>470</v>
      </c>
      <c r="B102" s="13" t="s">
        <v>96</v>
      </c>
      <c r="C102" s="17" t="n">
        <f aca="false">C99+C101</f>
        <v>65.6013456686291</v>
      </c>
      <c r="D102" s="17" t="n">
        <f aca="false">D99+D101</f>
        <v>82.2593733221194</v>
      </c>
      <c r="E102" s="17" t="n">
        <f aca="false">E99+E101</f>
        <v>95.265723187889</v>
      </c>
      <c r="F102" s="17" t="n">
        <f aca="false">F99+F101</f>
        <v>107.26458104292</v>
      </c>
      <c r="G102" s="17" t="n">
        <f aca="false">G99+G101</f>
        <v>114.437747526354</v>
      </c>
    </row>
    <row r="103" customFormat="false" ht="15" hidden="false" customHeight="false" outlineLevel="0" collapsed="false">
      <c r="A103" s="22" t="s">
        <v>471</v>
      </c>
      <c r="B103" s="13" t="s">
        <v>96</v>
      </c>
      <c r="C103" s="17" t="n">
        <f aca="false">C102-C43</f>
        <v>0</v>
      </c>
      <c r="D103" s="17" t="n">
        <f aca="false">D102-D43</f>
        <v>4.25937332211942</v>
      </c>
      <c r="E103" s="17" t="n">
        <f aca="false">E102-E43</f>
        <v>3.14772318788897</v>
      </c>
      <c r="F103" s="17" t="n">
        <f aca="false">F102-F43</f>
        <v>2.61853304292008</v>
      </c>
      <c r="G103" s="17" t="n">
        <f aca="false">G102-G43</f>
        <v>1.42001568635369</v>
      </c>
    </row>
    <row r="105" customFormat="false" ht="15" hidden="false" customHeight="false" outlineLevel="0" collapsed="false">
      <c r="A105" s="10" t="s">
        <v>472</v>
      </c>
    </row>
    <row r="106" customFormat="false" ht="15" hidden="false" customHeight="false" outlineLevel="0" collapsed="false">
      <c r="A106" s="22" t="s">
        <v>473</v>
      </c>
      <c r="B106" s="13" t="s">
        <v>96</v>
      </c>
      <c r="C106" s="17" t="n">
        <f aca="false">C47</f>
        <v>12.7467750295502</v>
      </c>
      <c r="D106" s="17" t="n">
        <f aca="false">D50*(D93+D102)</f>
        <v>17.0278249760553</v>
      </c>
      <c r="E106" s="17" t="n">
        <f aca="false">E50*(E93+E102)</f>
        <v>21.0229861332022</v>
      </c>
      <c r="F106" s="17" t="n">
        <f aca="false">F50*(F93+F102)</f>
        <v>23.6218237993404</v>
      </c>
      <c r="G106" s="17" t="n">
        <f aca="false">G50*(G93+G102)</f>
        <v>24.9603324658488</v>
      </c>
      <c r="H106" s="13" t="s">
        <v>474</v>
      </c>
    </row>
    <row r="108" customFormat="false" ht="15" hidden="false" customHeight="false" outlineLevel="0" collapsed="false">
      <c r="A108" s="10" t="s">
        <v>475</v>
      </c>
    </row>
    <row r="109" customFormat="false" ht="15" hidden="false" customHeight="false" outlineLevel="0" collapsed="false">
      <c r="A109" s="8" t="s">
        <v>476</v>
      </c>
      <c r="B109" s="13" t="s">
        <v>157</v>
      </c>
      <c r="C109" s="18" t="n">
        <f aca="false">(C73-C64)/C70</f>
        <v>0.497788997608801</v>
      </c>
      <c r="H109" s="9" t="s">
        <v>477</v>
      </c>
    </row>
    <row r="110" customFormat="false" ht="15" hidden="false" customHeight="false" outlineLevel="0" collapsed="false">
      <c r="A110" s="22" t="s">
        <v>478</v>
      </c>
      <c r="B110" s="13" t="s">
        <v>157</v>
      </c>
      <c r="C110" s="18" t="n">
        <f aca="false">C78</f>
        <v>0.455453003642102</v>
      </c>
    </row>
    <row r="111" customFormat="false" ht="15" hidden="false" customHeight="false" outlineLevel="0" collapsed="false">
      <c r="A111" s="22" t="s">
        <v>479</v>
      </c>
      <c r="B111" s="13" t="s">
        <v>157</v>
      </c>
      <c r="C111" s="18" t="n">
        <f aca="false">C81</f>
        <v>0.64</v>
      </c>
    </row>
    <row r="112" customFormat="false" ht="15" hidden="false" customHeight="false" outlineLevel="0" collapsed="false">
      <c r="A112" s="22" t="s">
        <v>480</v>
      </c>
      <c r="C112" s="20" t="n">
        <f aca="false">IF(C78&lt;sh_oth_lo,1,0)</f>
        <v>1</v>
      </c>
      <c r="H112" s="9" t="s">
        <v>481</v>
      </c>
    </row>
    <row r="114" customFormat="false" ht="15" hidden="false" customHeight="false" outlineLevel="0" collapsed="false">
      <c r="A114" s="10" t="s">
        <v>482</v>
      </c>
    </row>
    <row r="115" customFormat="false" ht="15" hidden="false" customHeight="false" outlineLevel="0" collapsed="false">
      <c r="A115" s="9" t="s">
        <v>483</v>
      </c>
    </row>
    <row r="116" customFormat="false" ht="15" hidden="false" customHeight="false" outlineLevel="0" collapsed="false">
      <c r="A116" s="22" t="s">
        <v>484</v>
      </c>
      <c r="B116" s="13" t="s">
        <v>96</v>
      </c>
      <c r="C116" s="17" t="n">
        <f aca="false">C45</f>
        <v>11.6793893129771</v>
      </c>
      <c r="D116" s="17" t="n">
        <f aca="false">D45</f>
        <v>15.3</v>
      </c>
      <c r="E116" s="17" t="n">
        <f aca="false">E45</f>
        <v>17.8392824967822</v>
      </c>
      <c r="F116" s="17" t="n">
        <f aca="false">F45</f>
        <v>20.8</v>
      </c>
      <c r="G116" s="17" t="n">
        <f aca="false">G45</f>
        <v>22.464</v>
      </c>
    </row>
    <row r="117" customFormat="false" ht="15" hidden="false" customHeight="false" outlineLevel="0" collapsed="false">
      <c r="A117" s="22" t="s">
        <v>485</v>
      </c>
      <c r="B117" s="13" t="s">
        <v>96</v>
      </c>
      <c r="C117" s="17" t="n">
        <f aca="false">C46</f>
        <v>6.11313868613139</v>
      </c>
      <c r="D117" s="17" t="n">
        <f aca="false">D46</f>
        <v>6.7</v>
      </c>
      <c r="E117" s="17" t="n">
        <f aca="false">E46</f>
        <v>7.59078388573934</v>
      </c>
      <c r="F117" s="17" t="n">
        <f aca="false">F46</f>
        <v>8.6</v>
      </c>
      <c r="G117" s="17" t="n">
        <f aca="false">G46</f>
        <v>9.288</v>
      </c>
    </row>
    <row r="119" customFormat="false" ht="15" hidden="false" customHeight="false" outlineLevel="0" collapsed="false">
      <c r="A119" s="10" t="s">
        <v>486</v>
      </c>
    </row>
    <row r="120" customFormat="false" ht="15" hidden="false" customHeight="false" outlineLevel="0" collapsed="false">
      <c r="A120" s="22" t="s">
        <v>487</v>
      </c>
      <c r="B120" s="13" t="s">
        <v>96</v>
      </c>
      <c r="C120" s="17" t="n">
        <f aca="false">C99+adv_other*C101</f>
        <v>36.0323364171573</v>
      </c>
      <c r="D120" s="17" t="n">
        <f aca="false">D99+adv_other*D101</f>
        <v>50.3248433305299</v>
      </c>
      <c r="E120" s="17" t="n">
        <f aca="false">E99+adv_other*E101</f>
        <v>60.7764307969723</v>
      </c>
      <c r="F120" s="17" t="n">
        <f aca="false">F99+adv_other*F101</f>
        <v>70.01614526073</v>
      </c>
      <c r="G120" s="17" t="n">
        <f aca="false">G99+adv_other*G101</f>
        <v>74.2094368815884</v>
      </c>
    </row>
    <row r="121" customFormat="false" ht="15" hidden="false" customHeight="false" outlineLevel="0" collapsed="false">
      <c r="A121" s="22" t="s">
        <v>488</v>
      </c>
      <c r="B121" s="13" t="s">
        <v>96</v>
      </c>
      <c r="C121" s="17" t="n">
        <f aca="false">C102-C120</f>
        <v>29.5690092514718</v>
      </c>
      <c r="D121" s="17" t="n">
        <f aca="false">D102-D120</f>
        <v>31.9345299915896</v>
      </c>
      <c r="E121" s="17" t="n">
        <f aca="false">E102-E120</f>
        <v>34.4892923909167</v>
      </c>
      <c r="F121" s="17" t="n">
        <f aca="false">F102-F120</f>
        <v>37.2484357821901</v>
      </c>
      <c r="G121" s="17" t="n">
        <f aca="false">G102-G120</f>
        <v>40.2283106447653</v>
      </c>
    </row>
    <row r="122" customFormat="false" ht="15" hidden="false" customHeight="false" outlineLevel="0" collapsed="false">
      <c r="A122" s="21" t="s">
        <v>489</v>
      </c>
      <c r="B122" s="13" t="s">
        <v>96</v>
      </c>
      <c r="C122" s="17" t="n">
        <f aca="false">C89+C91</f>
        <v>26.3761091658243</v>
      </c>
      <c r="D122" s="17" t="n">
        <f aca="false">D89+D91</f>
        <v>39.3659468014757</v>
      </c>
      <c r="E122" s="17" t="n">
        <f aca="false">E89+E91</f>
        <v>53.2587328153375</v>
      </c>
      <c r="F122" s="17" t="n">
        <f aca="false">F89+F91</f>
        <v>59.5608998372386</v>
      </c>
      <c r="G122" s="17" t="n">
        <f aca="false">G89+G91</f>
        <v>61.8312930912183</v>
      </c>
    </row>
    <row r="123" customFormat="false" ht="15" hidden="false" customHeight="false" outlineLevel="0" collapsed="false">
      <c r="A123" s="21" t="s">
        <v>490</v>
      </c>
      <c r="B123" s="13" t="s">
        <v>96</v>
      </c>
      <c r="C123" s="17" t="n">
        <f aca="false">C90+C92</f>
        <v>12.1726019800256</v>
      </c>
      <c r="D123" s="17" t="n">
        <f aca="false">D90+D92</f>
        <v>17.5039054704765</v>
      </c>
      <c r="E123" s="17" t="n">
        <f aca="false">E90+E92</f>
        <v>23.2480272411321</v>
      </c>
      <c r="F123" s="17" t="n">
        <f aca="false">F90+F92</f>
        <v>26.181321629459</v>
      </c>
      <c r="G123" s="17" t="n">
        <f aca="false">G90+G92</f>
        <v>27.674312771805</v>
      </c>
    </row>
    <row r="124" customFormat="false" ht="15" hidden="false" customHeight="false" outlineLevel="0" collapsed="false">
      <c r="A124" s="22" t="s">
        <v>491</v>
      </c>
      <c r="B124" s="13" t="s">
        <v>96</v>
      </c>
      <c r="C124" s="17" t="n">
        <f aca="false">C106</f>
        <v>12.7467750295502</v>
      </c>
      <c r="D124" s="17" t="n">
        <f aca="false">D106</f>
        <v>17.0278249760553</v>
      </c>
      <c r="E124" s="17" t="n">
        <f aca="false">E106</f>
        <v>21.0229861332022</v>
      </c>
      <c r="F124" s="17" t="n">
        <f aca="false">F106</f>
        <v>23.6218237993404</v>
      </c>
      <c r="G124" s="17" t="n">
        <f aca="false">G106</f>
        <v>24.9603324658488</v>
      </c>
    </row>
    <row r="125" customFormat="false" ht="15" hidden="false" customHeight="false" outlineLevel="0" collapsed="false">
      <c r="A125" s="22" t="s">
        <v>492</v>
      </c>
      <c r="B125" s="13" t="s">
        <v>96</v>
      </c>
      <c r="C125" s="17" t="n">
        <f aca="false">C117*pkg_adv</f>
        <v>3.05656934306569</v>
      </c>
      <c r="D125" s="17" t="n">
        <f aca="false">D117*pkg_adv</f>
        <v>3.35</v>
      </c>
      <c r="E125" s="17" t="n">
        <f aca="false">E117*pkg_adv</f>
        <v>3.79539194286967</v>
      </c>
      <c r="F125" s="17" t="n">
        <f aca="false">F117*pkg_adv</f>
        <v>4.3</v>
      </c>
      <c r="G125" s="17" t="n">
        <f aca="false">G117*pkg_adv</f>
        <v>4.644</v>
      </c>
    </row>
    <row r="126" customFormat="false" ht="15" hidden="false" customHeight="false" outlineLevel="0" collapsed="false">
      <c r="A126" s="22" t="s">
        <v>493</v>
      </c>
      <c r="B126" s="13" t="s">
        <v>96</v>
      </c>
      <c r="C126" s="17" t="n">
        <f aca="false">C116+C117-C125</f>
        <v>14.7359586560428</v>
      </c>
      <c r="D126" s="17" t="n">
        <f aca="false">D116+D117-D125</f>
        <v>18.65</v>
      </c>
      <c r="E126" s="17" t="n">
        <f aca="false">E116+E117-E125</f>
        <v>21.6346744396519</v>
      </c>
      <c r="F126" s="17" t="n">
        <f aca="false">F116+F117-F125</f>
        <v>25.1</v>
      </c>
      <c r="G126" s="17" t="n">
        <f aca="false">G116+G117-G125</f>
        <v>27.108</v>
      </c>
    </row>
    <row r="127" customFormat="false" ht="15" hidden="false" customHeight="false" outlineLevel="0" collapsed="false">
      <c r="A127" s="22" t="s">
        <v>494</v>
      </c>
      <c r="B127" s="13" t="s">
        <v>96</v>
      </c>
      <c r="C127" s="17" t="n">
        <f aca="false">SUM(C120:C124)</f>
        <v>116.896831844029</v>
      </c>
      <c r="D127" s="17" t="n">
        <f aca="false">SUM(D120:D124)</f>
        <v>156.157050570127</v>
      </c>
      <c r="E127" s="17" t="n">
        <f aca="false">SUM(E120:E124)</f>
        <v>192.795469377561</v>
      </c>
      <c r="F127" s="17" t="n">
        <f aca="false">SUM(F120:F124)</f>
        <v>216.628626308958</v>
      </c>
      <c r="G127" s="17" t="n">
        <f aca="false">SUM(G120:G124)</f>
        <v>228.903685855226</v>
      </c>
    </row>
    <row r="128" customFormat="false" ht="15" hidden="false" customHeight="false" outlineLevel="0" collapsed="false">
      <c r="A128" s="22" t="s">
        <v>495</v>
      </c>
      <c r="B128" s="13" t="s">
        <v>96</v>
      </c>
      <c r="C128" s="17" t="n">
        <f aca="false">C125+C126</f>
        <v>17.7925279991085</v>
      </c>
      <c r="D128" s="17" t="n">
        <f aca="false">D125+D126</f>
        <v>22</v>
      </c>
      <c r="E128" s="17" t="n">
        <f aca="false">E125+E126</f>
        <v>25.4300663825215</v>
      </c>
      <c r="F128" s="17" t="n">
        <f aca="false">F125+F126</f>
        <v>29.4</v>
      </c>
      <c r="G128" s="17" t="n">
        <f aca="false">G125+G126</f>
        <v>31.752</v>
      </c>
    </row>
    <row r="129" customFormat="false" ht="15" hidden="false" customHeight="false" outlineLevel="0" collapsed="false">
      <c r="A129" s="8" t="s">
        <v>496</v>
      </c>
      <c r="B129" s="13" t="s">
        <v>96</v>
      </c>
      <c r="C129" s="17" t="n">
        <f aca="false">C127+C128</f>
        <v>134.689359843138</v>
      </c>
      <c r="D129" s="17" t="n">
        <f aca="false">D127+D128</f>
        <v>178.157050570127</v>
      </c>
      <c r="E129" s="17" t="n">
        <f aca="false">E127+E128</f>
        <v>218.225535760082</v>
      </c>
      <c r="F129" s="17" t="n">
        <f aca="false">F127+F128</f>
        <v>246.028626308958</v>
      </c>
      <c r="G129" s="17" t="n">
        <f aca="false">G127+G128</f>
        <v>260.655685855226</v>
      </c>
    </row>
    <row r="130" customFormat="false" ht="15" hidden="false" customHeight="false" outlineLevel="0" collapsed="false">
      <c r="A130" s="22" t="s">
        <v>389</v>
      </c>
      <c r="B130" s="13" t="s">
        <v>157</v>
      </c>
      <c r="D130" s="18" t="n">
        <f aca="false">D129/C129-1</f>
        <v>0.322725497972614</v>
      </c>
      <c r="E130" s="18" t="n">
        <f aca="false">E129/D129-1</f>
        <v>0.224905413856655</v>
      </c>
      <c r="F130" s="18" t="n">
        <f aca="false">F129/E129-1</f>
        <v>0.127405303197159</v>
      </c>
      <c r="G130" s="18" t="n">
        <f aca="false">G129/F129-1</f>
        <v>0.0594526733157439</v>
      </c>
      <c r="H130" s="13" t="s">
        <v>497</v>
      </c>
    </row>
    <row r="131" customFormat="false" ht="15" hidden="false" customHeight="false" outlineLevel="0" collapsed="false">
      <c r="A131" s="22" t="s">
        <v>498</v>
      </c>
      <c r="B131" s="13" t="s">
        <v>157</v>
      </c>
      <c r="D131" s="18" t="n">
        <f aca="false">D127/C127-1</f>
        <v>0.335853573674957</v>
      </c>
      <c r="E131" s="18" t="n">
        <f aca="false">E127/D127-1</f>
        <v>0.234625453501252</v>
      </c>
      <c r="F131" s="18" t="n">
        <f aca="false">F127/E127-1</f>
        <v>0.123618864117204</v>
      </c>
      <c r="G131" s="18" t="n">
        <f aca="false">G127/F127-1</f>
        <v>0.0566640695434264</v>
      </c>
    </row>
    <row r="132" customFormat="false" ht="15" hidden="false" customHeight="false" outlineLevel="0" collapsed="false">
      <c r="A132" s="10" t="s">
        <v>499</v>
      </c>
      <c r="B132" s="13" t="s">
        <v>96</v>
      </c>
      <c r="C132" s="17" t="n">
        <f aca="false">C120+C122+C125</f>
        <v>65.4650149260473</v>
      </c>
      <c r="D132" s="17" t="n">
        <f aca="false">D120+D122+D125</f>
        <v>93.0407901320055</v>
      </c>
      <c r="E132" s="17" t="n">
        <f aca="false">E120+E122+E125</f>
        <v>117.830555555179</v>
      </c>
      <c r="F132" s="17" t="n">
        <f aca="false">F120+F122+F125</f>
        <v>133.877045097969</v>
      </c>
      <c r="G132" s="17" t="n">
        <f aca="false">G120+G122+G125</f>
        <v>140.684729972807</v>
      </c>
    </row>
    <row r="133" customFormat="false" ht="15" hidden="false" customHeight="false" outlineLevel="0" collapsed="false">
      <c r="A133" s="21" t="s">
        <v>500</v>
      </c>
      <c r="B133" s="13" t="s">
        <v>157</v>
      </c>
      <c r="C133" s="18" t="n">
        <f aca="false">C132/C129</f>
        <v>0.48604444331972</v>
      </c>
      <c r="D133" s="18" t="n">
        <f aca="false">D132/D129</f>
        <v>0.522240292114526</v>
      </c>
      <c r="E133" s="18" t="n">
        <f aca="false">E132/E129</f>
        <v>0.539948522269743</v>
      </c>
      <c r="F133" s="18" t="n">
        <f aca="false">F132/F129</f>
        <v>0.544152309048169</v>
      </c>
      <c r="G133" s="18" t="n">
        <f aca="false">G132/G129</f>
        <v>0.539733977070987</v>
      </c>
    </row>
    <row r="134" customFormat="false" ht="15" hidden="false" customHeight="false" outlineLevel="0" collapsed="false">
      <c r="A134" s="21" t="s">
        <v>501</v>
      </c>
      <c r="B134" s="13" t="s">
        <v>157</v>
      </c>
      <c r="D134" s="19" t="n">
        <f aca="false">IF(ABS(D129-C129)&lt;0.05,"n/a",(D132-C132)/(D129-C129))</f>
        <v>0.634397060086663</v>
      </c>
      <c r="E134" s="19" t="n">
        <f aca="false">IF(ABS(E129-C129)&lt;0.05,"n/a",(E132-C132)/(E129-C129))</f>
        <v>0.626860639170224</v>
      </c>
      <c r="F134" s="19" t="n">
        <f aca="false">IF(ABS(F129-C129)&lt;0.05,"n/a",(F132-C132)/(F129-C129))</f>
        <v>0.614446568075091</v>
      </c>
      <c r="G134" s="19" t="n">
        <f aca="false">IF(ABS(G129-C129)&lt;0.05,"n/a",(G132-C132)/(G129-C129))</f>
        <v>0.597141453816325</v>
      </c>
      <c r="H134" s="9" t="s">
        <v>502</v>
      </c>
    </row>
    <row r="135" customFormat="false" ht="15" hidden="false" customHeight="false" outlineLevel="0" collapsed="false">
      <c r="A135" s="21" t="s">
        <v>503</v>
      </c>
      <c r="B135" s="13" t="s">
        <v>157</v>
      </c>
      <c r="D135" s="19" t="n">
        <f aca="false">IF(ABS(D129-C129)&lt;0.05,"n/a",(D132-C132)/(D129-C129))</f>
        <v>0.634397060086663</v>
      </c>
      <c r="E135" s="19" t="n">
        <f aca="false">IF(ABS(E129-D129)&lt;0.05,"n/a",(E132-D132)/(E129-D129))</f>
        <v>0.61868486681369</v>
      </c>
      <c r="F135" s="19" t="n">
        <f aca="false">IF(ABS(F129-E129)&lt;0.05,"n/a",(F132-E132)/(F129-E129))</f>
        <v>0.577147692073321</v>
      </c>
      <c r="G135" s="19" t="n">
        <f aca="false">IF(ABS(G129-F129)&lt;0.05,"n/a",(G132-F132)/(G129-F129))</f>
        <v>0.465417184725631</v>
      </c>
      <c r="H135" s="9" t="s">
        <v>504</v>
      </c>
    </row>
    <row r="136" customFormat="false" ht="15" hidden="false" customHeight="false" outlineLevel="0" collapsed="false">
      <c r="A136" s="22" t="s">
        <v>505</v>
      </c>
      <c r="B136" s="9" t="s">
        <v>506</v>
      </c>
      <c r="C136" s="20" t="n">
        <f aca="false">IF(ROUND(G129,9)=ROUND(MAX(C129:G129),9),2029,IF(ROUND(F129,9)=ROUND(MAX(C129:G129),9),2028,IF(ROUND(E129,9)=ROUND(MAX(C129:G129),9),2027,IF(ROUND(D129,9)=ROUND(MAX(C129:G129),9),2026,2025))))</f>
        <v>2029</v>
      </c>
      <c r="H136" s="9" t="s">
        <v>507</v>
      </c>
    </row>
    <row r="138" customFormat="false" ht="15" hidden="false" customHeight="false" outlineLevel="0" collapsed="false">
      <c r="A138" s="10" t="s">
        <v>508</v>
      </c>
    </row>
    <row r="139" customFormat="false" ht="15" hidden="false" customHeight="false" outlineLevel="0" collapsed="false">
      <c r="A139" s="22" t="s">
        <v>487</v>
      </c>
      <c r="B139" s="13" t="s">
        <v>96</v>
      </c>
      <c r="C139" s="17" t="n">
        <f aca="false">C120</f>
        <v>36.0323364171573</v>
      </c>
      <c r="D139" s="17" t="n">
        <f aca="false">D120</f>
        <v>50.3248433305299</v>
      </c>
      <c r="E139" s="17" t="n">
        <f aca="false">E120</f>
        <v>60.7764307969723</v>
      </c>
      <c r="F139" s="17" t="n">
        <f aca="false">E139*ck_B_28</f>
        <v>60.7764307969723</v>
      </c>
      <c r="G139" s="17" t="n">
        <f aca="false">F139*ck_B_29</f>
        <v>57.7376092571236</v>
      </c>
    </row>
    <row r="140" customFormat="false" ht="15" hidden="false" customHeight="false" outlineLevel="0" collapsed="false">
      <c r="A140" s="22" t="s">
        <v>488</v>
      </c>
      <c r="B140" s="13" t="s">
        <v>96</v>
      </c>
      <c r="C140" s="17" t="n">
        <f aca="false">C121</f>
        <v>29.5690092514718</v>
      </c>
      <c r="D140" s="17" t="n">
        <f aca="false">D121</f>
        <v>31.9345299915896</v>
      </c>
      <c r="E140" s="17" t="n">
        <f aca="false">E121</f>
        <v>34.4892923909167</v>
      </c>
      <c r="F140" s="17" t="n">
        <f aca="false">E140*ck_B_28</f>
        <v>34.4892923909167</v>
      </c>
      <c r="G140" s="17" t="n">
        <f aca="false">F140*ck_B_29</f>
        <v>32.7648277713709</v>
      </c>
    </row>
    <row r="141" customFormat="false" ht="15" hidden="false" customHeight="false" outlineLevel="0" collapsed="false">
      <c r="A141" s="21" t="s">
        <v>489</v>
      </c>
      <c r="B141" s="13" t="s">
        <v>96</v>
      </c>
      <c r="C141" s="17" t="n">
        <f aca="false">C122</f>
        <v>26.3761091658243</v>
      </c>
      <c r="D141" s="17" t="n">
        <f aca="false">D122</f>
        <v>39.3659468014757</v>
      </c>
      <c r="E141" s="17" t="n">
        <f aca="false">E122</f>
        <v>53.2587328153375</v>
      </c>
      <c r="F141" s="17" t="n">
        <f aca="false">E141*ck_B_28</f>
        <v>53.2587328153375</v>
      </c>
      <c r="G141" s="17" t="n">
        <f aca="false">F141*ck_B_29</f>
        <v>50.5957961745707</v>
      </c>
    </row>
    <row r="142" customFormat="false" ht="15" hidden="false" customHeight="false" outlineLevel="0" collapsed="false">
      <c r="A142" s="21" t="s">
        <v>490</v>
      </c>
      <c r="B142" s="13" t="s">
        <v>96</v>
      </c>
      <c r="C142" s="17" t="n">
        <f aca="false">C123</f>
        <v>12.1726019800256</v>
      </c>
      <c r="D142" s="17" t="n">
        <f aca="false">D123</f>
        <v>17.5039054704765</v>
      </c>
      <c r="E142" s="17" t="n">
        <f aca="false">E123</f>
        <v>23.2480272411321</v>
      </c>
      <c r="F142" s="17" t="n">
        <f aca="false">E142*ck_B_28</f>
        <v>23.2480272411321</v>
      </c>
      <c r="G142" s="17" t="n">
        <f aca="false">F142*ck_B_29</f>
        <v>22.0856258790755</v>
      </c>
    </row>
    <row r="143" customFormat="false" ht="15" hidden="false" customHeight="false" outlineLevel="0" collapsed="false">
      <c r="A143" s="22" t="s">
        <v>491</v>
      </c>
      <c r="B143" s="13" t="s">
        <v>96</v>
      </c>
      <c r="C143" s="17" t="n">
        <f aca="false">C124</f>
        <v>12.7467750295502</v>
      </c>
      <c r="D143" s="17" t="n">
        <f aca="false">D124</f>
        <v>17.0278249760553</v>
      </c>
      <c r="E143" s="17" t="n">
        <f aca="false">E124</f>
        <v>21.0229861332022</v>
      </c>
      <c r="F143" s="17" t="n">
        <f aca="false">E143*ck_B_28</f>
        <v>21.0229861332022</v>
      </c>
      <c r="G143" s="17" t="n">
        <f aca="false">F143*ck_B_29</f>
        <v>19.9718368265421</v>
      </c>
    </row>
    <row r="144" customFormat="false" ht="15" hidden="false" customHeight="false" outlineLevel="0" collapsed="false">
      <c r="A144" s="22" t="s">
        <v>492</v>
      </c>
      <c r="B144" s="13" t="s">
        <v>96</v>
      </c>
      <c r="C144" s="17" t="n">
        <f aca="false">C125</f>
        <v>3.05656934306569</v>
      </c>
      <c r="D144" s="17" t="n">
        <f aca="false">D125</f>
        <v>3.35</v>
      </c>
      <c r="E144" s="17" t="n">
        <f aca="false">E125</f>
        <v>3.79539194286967</v>
      </c>
      <c r="F144" s="17" t="n">
        <f aca="false">E144*ck_B_28</f>
        <v>3.79539194286967</v>
      </c>
      <c r="G144" s="17" t="n">
        <f aca="false">F144*ck_B_29</f>
        <v>3.60562234572619</v>
      </c>
    </row>
    <row r="145" customFormat="false" ht="15" hidden="false" customHeight="false" outlineLevel="0" collapsed="false">
      <c r="A145" s="22" t="s">
        <v>493</v>
      </c>
      <c r="B145" s="13" t="s">
        <v>96</v>
      </c>
      <c r="C145" s="17" t="n">
        <f aca="false">C126</f>
        <v>14.7359586560428</v>
      </c>
      <c r="D145" s="17" t="n">
        <f aca="false">D126</f>
        <v>18.65</v>
      </c>
      <c r="E145" s="17" t="n">
        <f aca="false">E126</f>
        <v>21.6346744396519</v>
      </c>
      <c r="F145" s="17" t="n">
        <f aca="false">E145*ck_B_28</f>
        <v>21.6346744396519</v>
      </c>
      <c r="G145" s="17" t="n">
        <f aca="false">F145*ck_B_29</f>
        <v>20.5529407176693</v>
      </c>
    </row>
    <row r="146" customFormat="false" ht="15" hidden="false" customHeight="false" outlineLevel="0" collapsed="false">
      <c r="A146" s="22" t="s">
        <v>494</v>
      </c>
      <c r="B146" s="13" t="s">
        <v>96</v>
      </c>
      <c r="C146" s="17" t="n">
        <f aca="false">SUM(C139:C143)</f>
        <v>116.896831844029</v>
      </c>
      <c r="D146" s="17" t="n">
        <f aca="false">SUM(D139:D143)</f>
        <v>156.157050570127</v>
      </c>
      <c r="E146" s="17" t="n">
        <f aca="false">SUM(E139:E143)</f>
        <v>192.795469377561</v>
      </c>
      <c r="F146" s="17" t="n">
        <f aca="false">SUM(F139:F143)</f>
        <v>192.795469377561</v>
      </c>
      <c r="G146" s="17" t="n">
        <f aca="false">SUM(G139:G143)</f>
        <v>183.155695908683</v>
      </c>
    </row>
    <row r="147" customFormat="false" ht="15" hidden="false" customHeight="false" outlineLevel="0" collapsed="false">
      <c r="A147" s="22" t="s">
        <v>495</v>
      </c>
      <c r="B147" s="13" t="s">
        <v>96</v>
      </c>
      <c r="C147" s="17" t="n">
        <f aca="false">C144+C145</f>
        <v>17.7925279991085</v>
      </c>
      <c r="D147" s="17" t="n">
        <f aca="false">D144+D145</f>
        <v>22</v>
      </c>
      <c r="E147" s="17" t="n">
        <f aca="false">E144+E145</f>
        <v>25.4300663825215</v>
      </c>
      <c r="F147" s="17" t="n">
        <f aca="false">F144+F145</f>
        <v>25.4300663825215</v>
      </c>
      <c r="G147" s="17" t="n">
        <f aca="false">G144+G145</f>
        <v>24.1585630633955</v>
      </c>
    </row>
    <row r="148" customFormat="false" ht="15" hidden="false" customHeight="false" outlineLevel="0" collapsed="false">
      <c r="A148" s="8" t="s">
        <v>509</v>
      </c>
      <c r="B148" s="13" t="s">
        <v>96</v>
      </c>
      <c r="C148" s="17" t="n">
        <f aca="false">C146+C147</f>
        <v>134.689359843138</v>
      </c>
      <c r="D148" s="17" t="n">
        <f aca="false">D146+D147</f>
        <v>178.157050570127</v>
      </c>
      <c r="E148" s="17" t="n">
        <f aca="false">E146+E147</f>
        <v>218.225535760082</v>
      </c>
      <c r="F148" s="17" t="n">
        <f aca="false">F146+F147</f>
        <v>218.225535760082</v>
      </c>
      <c r="G148" s="17" t="n">
        <f aca="false">G146+G147</f>
        <v>207.314258972078</v>
      </c>
    </row>
    <row r="149" customFormat="false" ht="15" hidden="false" customHeight="false" outlineLevel="0" collapsed="false">
      <c r="A149" s="22" t="s">
        <v>389</v>
      </c>
      <c r="B149" s="13" t="s">
        <v>157</v>
      </c>
      <c r="D149" s="18" t="n">
        <f aca="false">D148/C148-1</f>
        <v>0.322725497972614</v>
      </c>
      <c r="E149" s="18" t="n">
        <f aca="false">E148/D148-1</f>
        <v>0.224905413856655</v>
      </c>
      <c r="F149" s="18" t="n">
        <f aca="false">F148/E148-1</f>
        <v>0</v>
      </c>
      <c r="G149" s="18" t="n">
        <f aca="false">G148/F148-1</f>
        <v>-0.05</v>
      </c>
      <c r="H149" s="13" t="s">
        <v>497</v>
      </c>
    </row>
    <row r="150" customFormat="false" ht="15" hidden="false" customHeight="false" outlineLevel="0" collapsed="false">
      <c r="A150" s="22" t="s">
        <v>498</v>
      </c>
      <c r="B150" s="13" t="s">
        <v>157</v>
      </c>
      <c r="D150" s="18" t="n">
        <f aca="false">D146/C146-1</f>
        <v>0.335853573674957</v>
      </c>
      <c r="E150" s="18" t="n">
        <f aca="false">E146/D146-1</f>
        <v>0.234625453501252</v>
      </c>
      <c r="F150" s="18" t="n">
        <f aca="false">F146/E146-1</f>
        <v>0</v>
      </c>
      <c r="G150" s="18" t="n">
        <f aca="false">G146/F146-1</f>
        <v>-0.05</v>
      </c>
    </row>
    <row r="151" customFormat="false" ht="15" hidden="false" customHeight="false" outlineLevel="0" collapsed="false">
      <c r="A151" s="10" t="s">
        <v>499</v>
      </c>
      <c r="B151" s="13" t="s">
        <v>96</v>
      </c>
      <c r="C151" s="17" t="n">
        <f aca="false">C139+C141+C144</f>
        <v>65.4650149260473</v>
      </c>
      <c r="D151" s="17" t="n">
        <f aca="false">D139+D141+D144</f>
        <v>93.0407901320055</v>
      </c>
      <c r="E151" s="17" t="n">
        <f aca="false">E139+E141+E144</f>
        <v>117.830555555179</v>
      </c>
      <c r="F151" s="17" t="n">
        <f aca="false">F139+F141+F144</f>
        <v>117.830555555179</v>
      </c>
      <c r="G151" s="17" t="n">
        <f aca="false">G139+G141+G144</f>
        <v>111.93902777742</v>
      </c>
    </row>
    <row r="152" customFormat="false" ht="15" hidden="false" customHeight="false" outlineLevel="0" collapsed="false">
      <c r="A152" s="21" t="s">
        <v>500</v>
      </c>
      <c r="B152" s="13" t="s">
        <v>157</v>
      </c>
      <c r="C152" s="18" t="n">
        <f aca="false">C151/C148</f>
        <v>0.48604444331972</v>
      </c>
      <c r="D152" s="18" t="n">
        <f aca="false">D151/D148</f>
        <v>0.522240292114526</v>
      </c>
      <c r="E152" s="18" t="n">
        <f aca="false">E151/E148</f>
        <v>0.539948522269743</v>
      </c>
      <c r="F152" s="18" t="n">
        <f aca="false">F151/F148</f>
        <v>0.539948522269743</v>
      </c>
      <c r="G152" s="18" t="n">
        <f aca="false">G151/G148</f>
        <v>0.539948522269743</v>
      </c>
    </row>
    <row r="153" customFormat="false" ht="15" hidden="false" customHeight="false" outlineLevel="0" collapsed="false">
      <c r="A153" s="21" t="s">
        <v>501</v>
      </c>
      <c r="B153" s="13" t="s">
        <v>157</v>
      </c>
      <c r="D153" s="19" t="n">
        <f aca="false">IF(ABS(D148-C148)&lt;0.05,"n/a",(D151-C151)/(D148-C148))</f>
        <v>0.634397060086663</v>
      </c>
      <c r="E153" s="19" t="n">
        <f aca="false">IF(ABS(E148-C148)&lt;0.05,"n/a",(E151-C151)/(E148-C148))</f>
        <v>0.626860639170224</v>
      </c>
      <c r="F153" s="19" t="n">
        <f aca="false">IF(ABS(F148-C148)&lt;0.05,"n/a",(F151-C151)/(F148-C148))</f>
        <v>0.626860639170224</v>
      </c>
      <c r="G153" s="19" t="n">
        <f aca="false">IF(ABS(G148-C148)&lt;0.05,"n/a",(G151-C151)/(G148-C148))</f>
        <v>0.639918449578316</v>
      </c>
      <c r="H153" s="9" t="s">
        <v>502</v>
      </c>
    </row>
    <row r="154" customFormat="false" ht="15" hidden="false" customHeight="false" outlineLevel="0" collapsed="false">
      <c r="A154" s="21" t="s">
        <v>503</v>
      </c>
      <c r="B154" s="13" t="s">
        <v>157</v>
      </c>
      <c r="D154" s="19" t="n">
        <f aca="false">IF(ABS(D148-C148)&lt;0.05,"n/a",(D151-C151)/(D148-C148))</f>
        <v>0.634397060086663</v>
      </c>
      <c r="E154" s="19" t="n">
        <f aca="false">IF(ABS(E148-D148)&lt;0.05,"n/a",(E151-D151)/(E148-D148))</f>
        <v>0.61868486681369</v>
      </c>
      <c r="F154" s="19" t="str">
        <f aca="false">IF(ABS(F148-E148)&lt;0.05,"n/a",(F151-E151)/(F148-E148))</f>
        <v>n/a</v>
      </c>
      <c r="G154" s="19" t="n">
        <f aca="false">IF(ABS(G148-F148)&lt;0.05,"n/a",(G151-F151)/(G148-F148))</f>
        <v>0.539948522269743</v>
      </c>
      <c r="H154" s="9" t="s">
        <v>504</v>
      </c>
    </row>
    <row r="155" customFormat="false" ht="15" hidden="false" customHeight="false" outlineLevel="0" collapsed="false">
      <c r="A155" s="22" t="s">
        <v>505</v>
      </c>
      <c r="B155" s="9" t="s">
        <v>506</v>
      </c>
      <c r="C155" s="20" t="n">
        <f aca="false">IF(ROUND(G148,9)=ROUND(MAX(C148:G148),9),2029,IF(ROUND(F148,9)=ROUND(MAX(C148:G148),9),2028,IF(ROUND(E148,9)=ROUND(MAX(C148:G148),9),2027,IF(ROUND(D148,9)=ROUND(MAX(C148:G148),9),2026,2025))))</f>
        <v>2028</v>
      </c>
      <c r="H155" s="9" t="s">
        <v>507</v>
      </c>
    </row>
    <row r="157" customFormat="false" ht="15" hidden="false" customHeight="false" outlineLevel="0" collapsed="false">
      <c r="A157" s="10" t="s">
        <v>510</v>
      </c>
    </row>
    <row r="158" customFormat="false" ht="15" hidden="false" customHeight="false" outlineLevel="0" collapsed="false">
      <c r="A158" s="22" t="s">
        <v>487</v>
      </c>
      <c r="B158" s="13" t="s">
        <v>96</v>
      </c>
      <c r="C158" s="17" t="n">
        <f aca="false">C120</f>
        <v>36.0323364171573</v>
      </c>
      <c r="D158" s="17" t="n">
        <f aca="false">D120</f>
        <v>50.3248433305299</v>
      </c>
      <c r="E158" s="17" t="n">
        <f aca="false">E120</f>
        <v>60.7764307969723</v>
      </c>
      <c r="F158" s="17" t="n">
        <f aca="false">E158*ck_C_28</f>
        <v>48.6211446375778</v>
      </c>
      <c r="G158" s="17" t="n">
        <f aca="false">F158*ck_C_29</f>
        <v>48.6211446375778</v>
      </c>
    </row>
    <row r="159" customFormat="false" ht="15" hidden="false" customHeight="false" outlineLevel="0" collapsed="false">
      <c r="A159" s="22" t="s">
        <v>488</v>
      </c>
      <c r="B159" s="13" t="s">
        <v>96</v>
      </c>
      <c r="C159" s="17" t="n">
        <f aca="false">C121</f>
        <v>29.5690092514718</v>
      </c>
      <c r="D159" s="17" t="n">
        <f aca="false">D121</f>
        <v>31.9345299915896</v>
      </c>
      <c r="E159" s="17" t="n">
        <f aca="false">E121</f>
        <v>34.4892923909167</v>
      </c>
      <c r="F159" s="17" t="n">
        <f aca="false">E159*ck_C_28</f>
        <v>27.5914339127334</v>
      </c>
      <c r="G159" s="17" t="n">
        <f aca="false">F159*ck_C_29</f>
        <v>27.5914339127334</v>
      </c>
    </row>
    <row r="160" customFormat="false" ht="15" hidden="false" customHeight="false" outlineLevel="0" collapsed="false">
      <c r="A160" s="21" t="s">
        <v>489</v>
      </c>
      <c r="B160" s="13" t="s">
        <v>96</v>
      </c>
      <c r="C160" s="17" t="n">
        <f aca="false">C122</f>
        <v>26.3761091658243</v>
      </c>
      <c r="D160" s="17" t="n">
        <f aca="false">D122</f>
        <v>39.3659468014757</v>
      </c>
      <c r="E160" s="17" t="n">
        <f aca="false">E122</f>
        <v>53.2587328153375</v>
      </c>
      <c r="F160" s="17" t="n">
        <f aca="false">E160*ck_C_28</f>
        <v>42.60698625227</v>
      </c>
      <c r="G160" s="17" t="n">
        <f aca="false">F160*ck_C_29</f>
        <v>42.60698625227</v>
      </c>
    </row>
    <row r="161" customFormat="false" ht="15" hidden="false" customHeight="false" outlineLevel="0" collapsed="false">
      <c r="A161" s="21" t="s">
        <v>490</v>
      </c>
      <c r="B161" s="13" t="s">
        <v>96</v>
      </c>
      <c r="C161" s="17" t="n">
        <f aca="false">C123</f>
        <v>12.1726019800256</v>
      </c>
      <c r="D161" s="17" t="n">
        <f aca="false">D123</f>
        <v>17.5039054704765</v>
      </c>
      <c r="E161" s="17" t="n">
        <f aca="false">E123</f>
        <v>23.2480272411321</v>
      </c>
      <c r="F161" s="17" t="n">
        <f aca="false">E161*ck_C_28</f>
        <v>18.5984217929057</v>
      </c>
      <c r="G161" s="17" t="n">
        <f aca="false">F161*ck_C_29</f>
        <v>18.5984217929057</v>
      </c>
    </row>
    <row r="162" customFormat="false" ht="15" hidden="false" customHeight="false" outlineLevel="0" collapsed="false">
      <c r="A162" s="22" t="s">
        <v>491</v>
      </c>
      <c r="B162" s="13" t="s">
        <v>96</v>
      </c>
      <c r="C162" s="17" t="n">
        <f aca="false">C124</f>
        <v>12.7467750295502</v>
      </c>
      <c r="D162" s="17" t="n">
        <f aca="false">D124</f>
        <v>17.0278249760553</v>
      </c>
      <c r="E162" s="17" t="n">
        <f aca="false">E124</f>
        <v>21.0229861332022</v>
      </c>
      <c r="F162" s="17" t="n">
        <f aca="false">E162*ck_C_28</f>
        <v>16.8183889065618</v>
      </c>
      <c r="G162" s="17" t="n">
        <f aca="false">F162*ck_C_29</f>
        <v>16.8183889065618</v>
      </c>
    </row>
    <row r="163" customFormat="false" ht="15" hidden="false" customHeight="false" outlineLevel="0" collapsed="false">
      <c r="A163" s="22" t="s">
        <v>492</v>
      </c>
      <c r="B163" s="13" t="s">
        <v>96</v>
      </c>
      <c r="C163" s="17" t="n">
        <f aca="false">C125</f>
        <v>3.05656934306569</v>
      </c>
      <c r="D163" s="17" t="n">
        <f aca="false">D125</f>
        <v>3.35</v>
      </c>
      <c r="E163" s="17" t="n">
        <f aca="false">E125</f>
        <v>3.79539194286967</v>
      </c>
      <c r="F163" s="17" t="n">
        <f aca="false">E163*ck_C_28</f>
        <v>3.03631355429574</v>
      </c>
      <c r="G163" s="17" t="n">
        <f aca="false">F163*ck_C_29</f>
        <v>3.03631355429574</v>
      </c>
    </row>
    <row r="164" customFormat="false" ht="15" hidden="false" customHeight="false" outlineLevel="0" collapsed="false">
      <c r="A164" s="22" t="s">
        <v>493</v>
      </c>
      <c r="B164" s="13" t="s">
        <v>96</v>
      </c>
      <c r="C164" s="17" t="n">
        <f aca="false">C126</f>
        <v>14.7359586560428</v>
      </c>
      <c r="D164" s="17" t="n">
        <f aca="false">D126</f>
        <v>18.65</v>
      </c>
      <c r="E164" s="17" t="n">
        <f aca="false">E126</f>
        <v>21.6346744396519</v>
      </c>
      <c r="F164" s="17" t="n">
        <f aca="false">E164*ck_C_28</f>
        <v>17.3077395517215</v>
      </c>
      <c r="G164" s="17" t="n">
        <f aca="false">F164*ck_C_29</f>
        <v>17.3077395517215</v>
      </c>
    </row>
    <row r="165" customFormat="false" ht="15" hidden="false" customHeight="false" outlineLevel="0" collapsed="false">
      <c r="A165" s="22" t="s">
        <v>494</v>
      </c>
      <c r="B165" s="13" t="s">
        <v>96</v>
      </c>
      <c r="C165" s="17" t="n">
        <f aca="false">SUM(C158:C162)</f>
        <v>116.896831844029</v>
      </c>
      <c r="D165" s="17" t="n">
        <f aca="false">SUM(D158:D162)</f>
        <v>156.157050570127</v>
      </c>
      <c r="E165" s="17" t="n">
        <f aca="false">SUM(E158:E162)</f>
        <v>192.795469377561</v>
      </c>
      <c r="F165" s="17" t="n">
        <f aca="false">SUM(F158:F162)</f>
        <v>154.236375502049</v>
      </c>
      <c r="G165" s="17" t="n">
        <f aca="false">SUM(G158:G162)</f>
        <v>154.236375502049</v>
      </c>
    </row>
    <row r="166" customFormat="false" ht="15" hidden="false" customHeight="false" outlineLevel="0" collapsed="false">
      <c r="A166" s="22" t="s">
        <v>495</v>
      </c>
      <c r="B166" s="13" t="s">
        <v>96</v>
      </c>
      <c r="C166" s="17" t="n">
        <f aca="false">C163+C164</f>
        <v>17.7925279991085</v>
      </c>
      <c r="D166" s="17" t="n">
        <f aca="false">D163+D164</f>
        <v>22</v>
      </c>
      <c r="E166" s="17" t="n">
        <f aca="false">E163+E164</f>
        <v>25.4300663825215</v>
      </c>
      <c r="F166" s="17" t="n">
        <f aca="false">F163+F164</f>
        <v>20.3440531060172</v>
      </c>
      <c r="G166" s="17" t="n">
        <f aca="false">G163+G164</f>
        <v>20.3440531060172</v>
      </c>
    </row>
    <row r="167" customFormat="false" ht="15" hidden="false" customHeight="false" outlineLevel="0" collapsed="false">
      <c r="A167" s="8" t="s">
        <v>511</v>
      </c>
      <c r="B167" s="13" t="s">
        <v>96</v>
      </c>
      <c r="C167" s="17" t="n">
        <f aca="false">C165+C166</f>
        <v>134.689359843138</v>
      </c>
      <c r="D167" s="17" t="n">
        <f aca="false">D165+D166</f>
        <v>178.157050570127</v>
      </c>
      <c r="E167" s="17" t="n">
        <f aca="false">E165+E166</f>
        <v>218.225535760082</v>
      </c>
      <c r="F167" s="17" t="n">
        <f aca="false">F165+F166</f>
        <v>174.580428608066</v>
      </c>
      <c r="G167" s="17" t="n">
        <f aca="false">G165+G166</f>
        <v>174.580428608066</v>
      </c>
    </row>
    <row r="168" customFormat="false" ht="15" hidden="false" customHeight="false" outlineLevel="0" collapsed="false">
      <c r="A168" s="22" t="s">
        <v>389</v>
      </c>
      <c r="B168" s="13" t="s">
        <v>157</v>
      </c>
      <c r="D168" s="18" t="n">
        <f aca="false">D167/C167-1</f>
        <v>0.322725497972614</v>
      </c>
      <c r="E168" s="18" t="n">
        <f aca="false">E167/D167-1</f>
        <v>0.224905413856655</v>
      </c>
      <c r="F168" s="18" t="n">
        <f aca="false">F167/E167-1</f>
        <v>-0.2</v>
      </c>
      <c r="G168" s="18" t="n">
        <f aca="false">G167/F167-1</f>
        <v>0</v>
      </c>
      <c r="H168" s="13" t="s">
        <v>497</v>
      </c>
    </row>
    <row r="169" customFormat="false" ht="15" hidden="false" customHeight="false" outlineLevel="0" collapsed="false">
      <c r="A169" s="22" t="s">
        <v>498</v>
      </c>
      <c r="B169" s="13" t="s">
        <v>157</v>
      </c>
      <c r="D169" s="18" t="n">
        <f aca="false">D165/C165-1</f>
        <v>0.335853573674957</v>
      </c>
      <c r="E169" s="18" t="n">
        <f aca="false">E165/D165-1</f>
        <v>0.234625453501252</v>
      </c>
      <c r="F169" s="18" t="n">
        <f aca="false">F165/E165-1</f>
        <v>-0.2</v>
      </c>
      <c r="G169" s="18" t="n">
        <f aca="false">G165/F165-1</f>
        <v>0</v>
      </c>
    </row>
    <row r="170" customFormat="false" ht="15" hidden="false" customHeight="false" outlineLevel="0" collapsed="false">
      <c r="A170" s="10" t="s">
        <v>499</v>
      </c>
      <c r="B170" s="13" t="s">
        <v>96</v>
      </c>
      <c r="C170" s="17" t="n">
        <f aca="false">C158+C160+C163</f>
        <v>65.4650149260473</v>
      </c>
      <c r="D170" s="17" t="n">
        <f aca="false">D158+D160+D163</f>
        <v>93.0407901320055</v>
      </c>
      <c r="E170" s="17" t="n">
        <f aca="false">E158+E160+E163</f>
        <v>117.830555555179</v>
      </c>
      <c r="F170" s="17" t="n">
        <f aca="false">F158+F160+F163</f>
        <v>94.2644444441436</v>
      </c>
      <c r="G170" s="17" t="n">
        <f aca="false">G158+G160+G163</f>
        <v>94.2644444441436</v>
      </c>
    </row>
    <row r="171" customFormat="false" ht="15" hidden="false" customHeight="false" outlineLevel="0" collapsed="false">
      <c r="A171" s="21" t="s">
        <v>500</v>
      </c>
      <c r="B171" s="13" t="s">
        <v>157</v>
      </c>
      <c r="C171" s="18" t="n">
        <f aca="false">C170/C167</f>
        <v>0.48604444331972</v>
      </c>
      <c r="D171" s="18" t="n">
        <f aca="false">D170/D167</f>
        <v>0.522240292114526</v>
      </c>
      <c r="E171" s="18" t="n">
        <f aca="false">E170/E167</f>
        <v>0.539948522269743</v>
      </c>
      <c r="F171" s="18" t="n">
        <f aca="false">F170/F167</f>
        <v>0.539948522269743</v>
      </c>
      <c r="G171" s="18" t="n">
        <f aca="false">G170/G167</f>
        <v>0.539948522269743</v>
      </c>
    </row>
    <row r="172" customFormat="false" ht="15" hidden="false" customHeight="false" outlineLevel="0" collapsed="false">
      <c r="A172" s="21" t="s">
        <v>501</v>
      </c>
      <c r="B172" s="13" t="s">
        <v>157</v>
      </c>
      <c r="D172" s="19" t="n">
        <f aca="false">IF(ABS(D167-C167)&lt;0.05,"n/a",(D170-C170)/(D167-C167))</f>
        <v>0.634397060086663</v>
      </c>
      <c r="E172" s="19" t="n">
        <f aca="false">IF(ABS(E167-C167)&lt;0.05,"n/a",(E170-C170)/(E167-C167))</f>
        <v>0.626860639170224</v>
      </c>
      <c r="F172" s="19" t="n">
        <f aca="false">IF(ABS(F167-C167)&lt;0.05,"n/a",(F170-C170)/(F167-C167))</f>
        <v>0.721951815525595</v>
      </c>
      <c r="G172" s="19" t="n">
        <f aca="false">IF(ABS(G167-C167)&lt;0.05,"n/a",(G170-C170)/(G167-C167))</f>
        <v>0.721951815525595</v>
      </c>
      <c r="H172" s="9" t="s">
        <v>502</v>
      </c>
    </row>
    <row r="173" customFormat="false" ht="15" hidden="false" customHeight="false" outlineLevel="0" collapsed="false">
      <c r="A173" s="21" t="s">
        <v>503</v>
      </c>
      <c r="B173" s="13" t="s">
        <v>157</v>
      </c>
      <c r="D173" s="19" t="n">
        <f aca="false">IF(ABS(D167-C167)&lt;0.05,"n/a",(D170-C170)/(D167-C167))</f>
        <v>0.634397060086663</v>
      </c>
      <c r="E173" s="19" t="n">
        <f aca="false">IF(ABS(E167-D167)&lt;0.05,"n/a",(E170-D170)/(E167-D167))</f>
        <v>0.61868486681369</v>
      </c>
      <c r="F173" s="19" t="n">
        <f aca="false">IF(ABS(F167-E167)&lt;0.05,"n/a",(F170-E170)/(F167-E167))</f>
        <v>0.539948522269743</v>
      </c>
      <c r="G173" s="19" t="str">
        <f aca="false">IF(ABS(G167-F167)&lt;0.05,"n/a",(G170-F170)/(G167-F167))</f>
        <v>n/a</v>
      </c>
      <c r="H173" s="9" t="s">
        <v>504</v>
      </c>
    </row>
    <row r="174" customFormat="false" ht="15" hidden="false" customHeight="false" outlineLevel="0" collapsed="false">
      <c r="A174" s="22" t="s">
        <v>505</v>
      </c>
      <c r="B174" s="9" t="s">
        <v>506</v>
      </c>
      <c r="C174" s="20" t="n">
        <f aca="false">IF(ROUND(G167,9)=ROUND(MAX(C167:G167),9),2029,IF(ROUND(F167,9)=ROUND(MAX(C167:G167),9),2028,IF(ROUND(E167,9)=ROUND(MAX(C167:G167),9),2027,IF(ROUND(D167,9)=ROUND(MAX(C167:G167),9),2026,2025))))</f>
        <v>2027</v>
      </c>
      <c r="H174" s="9" t="s">
        <v>507</v>
      </c>
    </row>
    <row r="176" customFormat="false" ht="15" hidden="false" customHeight="false" outlineLevel="0" collapsed="false">
      <c r="A176" s="10" t="s">
        <v>512</v>
      </c>
    </row>
    <row r="177" customFormat="false" ht="15" hidden="false" customHeight="false" outlineLevel="0" collapsed="false">
      <c r="A177" s="21" t="s">
        <v>513</v>
      </c>
      <c r="B177" s="13" t="s">
        <v>96</v>
      </c>
      <c r="D177" s="24" t="n">
        <f aca="false">D48-s_tot_26</f>
        <v>0</v>
      </c>
      <c r="F177" s="24" t="n">
        <f aca="false">F48-s_tot_28</f>
        <v>-0.116701799999959</v>
      </c>
      <c r="H177" s="13" t="s">
        <v>514</v>
      </c>
    </row>
    <row r="178" customFormat="false" ht="15" hidden="false" customHeight="false" outlineLevel="0" collapsed="false">
      <c r="A178" s="21" t="s">
        <v>515</v>
      </c>
      <c r="B178" s="13" t="s">
        <v>96</v>
      </c>
      <c r="C178" s="23" t="n">
        <f aca="false">C129-C48</f>
        <v>0</v>
      </c>
      <c r="H178" s="9" t="s">
        <v>516</v>
      </c>
    </row>
    <row r="179" customFormat="false" ht="15" hidden="false" customHeight="false" outlineLevel="0" collapsed="false">
      <c r="A179" s="22" t="s">
        <v>517</v>
      </c>
      <c r="B179" s="13" t="s">
        <v>96</v>
      </c>
      <c r="D179" s="23" t="n">
        <f aca="false">SUM(D120:D126)-D129</f>
        <v>0</v>
      </c>
      <c r="E179" s="23" t="n">
        <f aca="false">SUM(E120:E126)-E129</f>
        <v>0</v>
      </c>
      <c r="F179" s="23" t="n">
        <f aca="false">SUM(F120:F126)-F129</f>
        <v>0</v>
      </c>
      <c r="G179" s="23" t="n">
        <f aca="false">SUM(G120:G126)-G129</f>
        <v>0</v>
      </c>
    </row>
    <row r="180" customFormat="false" ht="15" hidden="false" customHeight="false" outlineLevel="0" collapsed="false">
      <c r="A180" s="21" t="s">
        <v>518</v>
      </c>
      <c r="B180" s="13" t="s">
        <v>96</v>
      </c>
      <c r="C180" s="23" t="n">
        <f aca="false">(C148-C129)+(C167-C129)</f>
        <v>0</v>
      </c>
      <c r="D180" s="23" t="n">
        <f aca="false">(D148-D129)+(D167-D129)</f>
        <v>0</v>
      </c>
      <c r="E180" s="23" t="n">
        <f aca="false">(E148-E129)+(E167-E129)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10" min="9" style="0" width="70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0" t="s">
        <v>519</v>
      </c>
    </row>
    <row r="2" customFormat="false" ht="15" hidden="false" customHeight="false" outlineLevel="0" collapsed="false">
      <c r="A2" s="9" t="s">
        <v>520</v>
      </c>
    </row>
    <row r="4" customFormat="false" ht="15" hidden="false" customHeight="false" outlineLevel="0" collapsed="false">
      <c r="A4" s="5" t="s">
        <v>521</v>
      </c>
      <c r="B4" s="5" t="s">
        <v>522</v>
      </c>
      <c r="C4" s="5" t="s">
        <v>523</v>
      </c>
      <c r="D4" s="5" t="s">
        <v>524</v>
      </c>
      <c r="E4" s="5" t="s">
        <v>525</v>
      </c>
      <c r="F4" s="5" t="s">
        <v>526</v>
      </c>
      <c r="G4" s="5" t="s">
        <v>527</v>
      </c>
      <c r="H4" s="5" t="s">
        <v>528</v>
      </c>
      <c r="I4" s="5" t="s">
        <v>66</v>
      </c>
      <c r="J4" s="5" t="s">
        <v>67</v>
      </c>
      <c r="K4" s="5" t="s">
        <v>65</v>
      </c>
    </row>
    <row r="5" customFormat="false" ht="15" hidden="false" customHeight="false" outlineLevel="0" collapsed="false">
      <c r="A5" s="0" t="s">
        <v>529</v>
      </c>
      <c r="B5" s="25" t="n">
        <v>9590</v>
      </c>
      <c r="C5" s="25" t="n">
        <v>308</v>
      </c>
      <c r="D5" s="25" t="n">
        <v>5350</v>
      </c>
      <c r="E5" s="26" t="n">
        <f aca="false">SUM(B5:D5)</f>
        <v>15248</v>
      </c>
      <c r="F5" s="25" t="n">
        <v>15247</v>
      </c>
      <c r="G5" s="26" t="n">
        <f aca="false">E5-F5</f>
        <v>1</v>
      </c>
      <c r="H5" s="18" t="n">
        <f aca="false">(B5+C5)/E5</f>
        <v>0.649134312696747</v>
      </c>
      <c r="I5" s="13" t="s">
        <v>530</v>
      </c>
      <c r="J5" s="9" t="s">
        <v>531</v>
      </c>
      <c r="K5" s="13" t="s">
        <v>532</v>
      </c>
    </row>
    <row r="6" customFormat="false" ht="15" hidden="false" customHeight="false" outlineLevel="0" collapsed="false">
      <c r="A6" s="0" t="s">
        <v>533</v>
      </c>
      <c r="B6" s="25" t="n">
        <v>7800</v>
      </c>
      <c r="C6" s="25" t="n">
        <v>2000</v>
      </c>
      <c r="D6" s="25" t="n">
        <v>10900</v>
      </c>
      <c r="E6" s="26" t="n">
        <f aca="false">SUM(B6:D6)</f>
        <v>20700</v>
      </c>
      <c r="F6" s="25" t="n">
        <v>20657</v>
      </c>
      <c r="G6" s="26" t="n">
        <f aca="false">E6-F6</f>
        <v>43</v>
      </c>
      <c r="H6" s="18" t="n">
        <f aca="false">(B6+C6)/E6</f>
        <v>0.473429951690821</v>
      </c>
      <c r="I6" s="13" t="s">
        <v>534</v>
      </c>
      <c r="J6" s="9" t="s">
        <v>535</v>
      </c>
      <c r="K6" s="13" t="s">
        <v>532</v>
      </c>
    </row>
    <row r="7" customFormat="false" ht="15" hidden="false" customHeight="false" outlineLevel="0" collapsed="false">
      <c r="A7" s="0" t="s">
        <v>536</v>
      </c>
      <c r="B7" s="25" t="n">
        <v>18921</v>
      </c>
      <c r="C7" s="25" t="n">
        <v>4670</v>
      </c>
      <c r="D7" s="25" t="n">
        <v>21372</v>
      </c>
      <c r="E7" s="26" t="n">
        <f aca="false">SUM(B7:D7)</f>
        <v>44963</v>
      </c>
      <c r="F7" s="25" t="n">
        <v>44962</v>
      </c>
      <c r="G7" s="26" t="n">
        <f aca="false">E7-F7</f>
        <v>1</v>
      </c>
      <c r="H7" s="18" t="n">
        <f aca="false">(B7+C7)/E7</f>
        <v>0.524675844583324</v>
      </c>
      <c r="I7" s="13" t="s">
        <v>537</v>
      </c>
      <c r="J7" s="9" t="s">
        <v>538</v>
      </c>
      <c r="K7" s="13" t="s">
        <v>532</v>
      </c>
    </row>
    <row r="8" customFormat="false" ht="15" hidden="false" customHeight="false" outlineLevel="0" collapsed="false">
      <c r="A8" s="0" t="s">
        <v>539</v>
      </c>
      <c r="B8" s="25" t="n">
        <v>21013</v>
      </c>
      <c r="C8" s="25" t="n">
        <v>0</v>
      </c>
      <c r="D8" s="25" t="n">
        <v>10271</v>
      </c>
      <c r="E8" s="26" t="n">
        <f aca="false">SUM(B8:D8)</f>
        <v>31284</v>
      </c>
      <c r="F8" s="25" t="n">
        <v>31284</v>
      </c>
      <c r="G8" s="26" t="n">
        <f aca="false">E8-F8</f>
        <v>0</v>
      </c>
      <c r="H8" s="18" t="n">
        <f aca="false">(B8+C8)/E8</f>
        <v>0.671685206495333</v>
      </c>
      <c r="I8" s="13" t="s">
        <v>540</v>
      </c>
      <c r="J8" s="9" t="s">
        <v>541</v>
      </c>
      <c r="K8" s="13" t="s">
        <v>532</v>
      </c>
    </row>
    <row r="9" customFormat="false" ht="15" hidden="false" customHeight="false" outlineLevel="0" collapsed="false">
      <c r="A9" s="0" t="s">
        <v>542</v>
      </c>
      <c r="B9" s="25" t="n">
        <v>16035</v>
      </c>
      <c r="C9" s="25" t="n">
        <v>4791</v>
      </c>
      <c r="D9" s="25" t="n">
        <v>8616</v>
      </c>
      <c r="E9" s="26" t="n">
        <f aca="false">SUM(B9:D9)</f>
        <v>29442</v>
      </c>
      <c r="F9" s="25" t="n">
        <v>29442.5</v>
      </c>
      <c r="G9" s="26" t="n">
        <f aca="false">E9-F9</f>
        <v>-0.5</v>
      </c>
      <c r="H9" s="18" t="n">
        <f aca="false">(B9+C9)/E9</f>
        <v>0.707356837171388</v>
      </c>
      <c r="I9" s="13" t="s">
        <v>543</v>
      </c>
      <c r="J9" s="9" t="s">
        <v>544</v>
      </c>
      <c r="K9" s="13" t="s">
        <v>532</v>
      </c>
    </row>
    <row r="10" customFormat="false" ht="15" hidden="false" customHeight="false" outlineLevel="0" collapsed="false">
      <c r="A10" s="10" t="s">
        <v>545</v>
      </c>
      <c r="B10" s="26" t="n">
        <f aca="false">SUM(B5:B6)</f>
        <v>17390</v>
      </c>
      <c r="C10" s="26" t="n">
        <f aca="false">SUM(C5:C6)</f>
        <v>2308</v>
      </c>
      <c r="D10" s="26" t="n">
        <f aca="false">SUM(D5:D6)</f>
        <v>16250</v>
      </c>
      <c r="E10" s="26" t="n">
        <f aca="false">SUM(E5:E6)</f>
        <v>35948</v>
      </c>
      <c r="F10" s="26" t="n">
        <f aca="false">SUM(F5:F6)</f>
        <v>35904</v>
      </c>
      <c r="H10" s="18" t="n">
        <f aca="false">(B10+C10)/E10</f>
        <v>0.547958161789251</v>
      </c>
      <c r="K10" s="13" t="s">
        <v>72</v>
      </c>
    </row>
    <row r="11" customFormat="false" ht="15" hidden="false" customHeight="false" outlineLevel="0" collapsed="false">
      <c r="A11" s="10" t="s">
        <v>546</v>
      </c>
      <c r="B11" s="26" t="n">
        <f aca="false">SUM(B7:B9)</f>
        <v>55969</v>
      </c>
      <c r="C11" s="26" t="n">
        <f aca="false">SUM(C7:C9)</f>
        <v>9461</v>
      </c>
      <c r="D11" s="26" t="n">
        <f aca="false">SUM(D7:D9)</f>
        <v>40259</v>
      </c>
      <c r="E11" s="26" t="n">
        <f aca="false">SUM(E7:E9)</f>
        <v>105689</v>
      </c>
      <c r="F11" s="26" t="n">
        <f aca="false">SUM(F7:F9)</f>
        <v>105688.5</v>
      </c>
      <c r="H11" s="18" t="n">
        <f aca="false">(B11+C11)/E11</f>
        <v>0.619080509797614</v>
      </c>
      <c r="K11" s="13" t="s">
        <v>72</v>
      </c>
    </row>
    <row r="12" customFormat="false" ht="15" hidden="false" customHeight="false" outlineLevel="0" collapsed="false">
      <c r="A12" s="8" t="s">
        <v>547</v>
      </c>
      <c r="B12" s="26" t="n">
        <f aca="false">SUM(B5:B9)</f>
        <v>73359</v>
      </c>
      <c r="C12" s="26" t="n">
        <f aca="false">SUM(C5:C9)</f>
        <v>11769</v>
      </c>
      <c r="D12" s="26" t="n">
        <f aca="false">SUM(D5:D9)</f>
        <v>56509</v>
      </c>
      <c r="E12" s="26" t="n">
        <f aca="false">SUM(E5:E9)</f>
        <v>141637</v>
      </c>
      <c r="F12" s="26" t="n">
        <f aca="false">SUM(F5:F9)</f>
        <v>141592.5</v>
      </c>
      <c r="H12" s="18" t="n">
        <f aca="false">(B12+C12)/E12</f>
        <v>0.601029392037391</v>
      </c>
      <c r="K12" s="13" t="s">
        <v>72</v>
      </c>
    </row>
    <row r="13" customFormat="false" ht="15" hidden="false" customHeight="false" outlineLevel="0" collapsed="false">
      <c r="A13" s="9" t="s">
        <v>548</v>
      </c>
      <c r="H13" s="18" t="n">
        <f aca="false">MIN(H5:H9)</f>
        <v>0.473429951690821</v>
      </c>
      <c r="I13" s="18" t="n">
        <f aca="false">MAX(H5:H9)</f>
        <v>0.707356837171388</v>
      </c>
    </row>
    <row r="14" customFormat="false" ht="149.25" hidden="false" customHeight="false" outlineLevel="0" collapsed="false">
      <c r="A14" s="6" t="s">
        <v>549</v>
      </c>
    </row>
    <row r="16" customFormat="false" ht="15" hidden="false" customHeight="false" outlineLevel="0" collapsed="false">
      <c r="A16" s="5" t="s">
        <v>550</v>
      </c>
      <c r="B16" s="5" t="s">
        <v>551</v>
      </c>
      <c r="C16" s="5"/>
      <c r="D16" s="5"/>
      <c r="E16" s="5"/>
      <c r="F16" s="5"/>
      <c r="G16" s="5"/>
      <c r="H16" s="5"/>
      <c r="I16" s="5" t="s">
        <v>22</v>
      </c>
      <c r="J16" s="5" t="s">
        <v>552</v>
      </c>
      <c r="K16" s="5" t="s">
        <v>65</v>
      </c>
    </row>
    <row r="17" customFormat="false" ht="15" hidden="false" customHeight="false" outlineLevel="0" collapsed="false">
      <c r="A17" s="0" t="s">
        <v>553</v>
      </c>
      <c r="B17" s="25" t="n">
        <v>17141.4</v>
      </c>
      <c r="I17" s="13" t="s">
        <v>554</v>
      </c>
      <c r="K17" s="13" t="s">
        <v>555</v>
      </c>
    </row>
    <row r="18" customFormat="false" ht="15" hidden="false" customHeight="false" outlineLevel="0" collapsed="false">
      <c r="A18" s="0" t="s">
        <v>556</v>
      </c>
      <c r="B18" s="25" t="n">
        <v>14981</v>
      </c>
      <c r="I18" s="13" t="s">
        <v>557</v>
      </c>
      <c r="J18" s="9" t="s">
        <v>558</v>
      </c>
      <c r="K18" s="13" t="s">
        <v>555</v>
      </c>
    </row>
    <row r="19" customFormat="false" ht="15" hidden="false" customHeight="false" outlineLevel="0" collapsed="false">
      <c r="A19" s="0" t="s">
        <v>559</v>
      </c>
      <c r="B19" s="25" t="n">
        <v>9421.48</v>
      </c>
      <c r="I19" s="9" t="s">
        <v>560</v>
      </c>
      <c r="J19" s="9" t="s">
        <v>561</v>
      </c>
      <c r="K19" s="13" t="s">
        <v>555</v>
      </c>
    </row>
    <row r="20" customFormat="false" ht="15" hidden="false" customHeight="false" outlineLevel="0" collapsed="false">
      <c r="A20" s="0" t="s">
        <v>562</v>
      </c>
      <c r="B20" s="25" t="n">
        <v>17356.2</v>
      </c>
      <c r="I20" s="13" t="s">
        <v>563</v>
      </c>
      <c r="K20" s="13" t="s">
        <v>555</v>
      </c>
    </row>
    <row r="21" customFormat="false" ht="15" hidden="false" customHeight="false" outlineLevel="0" collapsed="false">
      <c r="A21" s="0" t="s">
        <v>564</v>
      </c>
      <c r="B21" s="25" t="n">
        <v>29615.47</v>
      </c>
      <c r="I21" s="13" t="s">
        <v>565</v>
      </c>
      <c r="K21" s="13" t="s">
        <v>555</v>
      </c>
    </row>
    <row r="22" customFormat="false" ht="15" hidden="false" customHeight="false" outlineLevel="0" collapsed="false">
      <c r="A22" s="0" t="s">
        <v>566</v>
      </c>
      <c r="B22" s="25" t="n">
        <v>15479.95</v>
      </c>
      <c r="I22" s="13" t="s">
        <v>567</v>
      </c>
      <c r="K22" s="13" t="s">
        <v>555</v>
      </c>
    </row>
    <row r="23" customFormat="false" ht="15" hidden="false" customHeight="false" outlineLevel="0" collapsed="false">
      <c r="A23" s="0" t="s">
        <v>568</v>
      </c>
      <c r="B23" s="25" t="n">
        <v>6959.5</v>
      </c>
      <c r="I23" s="13" t="s">
        <v>569</v>
      </c>
      <c r="K23" s="13" t="s">
        <v>555</v>
      </c>
    </row>
    <row r="24" customFormat="false" ht="15" hidden="false" customHeight="false" outlineLevel="0" collapsed="false">
      <c r="A24" s="0" t="s">
        <v>570</v>
      </c>
      <c r="B24" s="25" t="n">
        <v>366.1</v>
      </c>
      <c r="I24" s="9" t="s">
        <v>571</v>
      </c>
      <c r="J24" s="9" t="s">
        <v>572</v>
      </c>
      <c r="K24" s="13" t="s">
        <v>555</v>
      </c>
    </row>
    <row r="25" customFormat="false" ht="15" hidden="false" customHeight="false" outlineLevel="0" collapsed="false">
      <c r="A25" s="0" t="s">
        <v>573</v>
      </c>
      <c r="B25" s="25" t="n">
        <v>6059.5</v>
      </c>
      <c r="I25" s="13" t="s">
        <v>574</v>
      </c>
      <c r="J25" s="13" t="s">
        <v>575</v>
      </c>
      <c r="K25" s="13" t="s">
        <v>555</v>
      </c>
    </row>
    <row r="26" customFormat="false" ht="15" hidden="false" customHeight="false" outlineLevel="0" collapsed="false">
      <c r="A26" s="0" t="s">
        <v>576</v>
      </c>
      <c r="B26" s="25" t="n">
        <v>20944.17</v>
      </c>
      <c r="I26" s="13" t="s">
        <v>577</v>
      </c>
      <c r="J26" s="13" t="s">
        <v>578</v>
      </c>
      <c r="K26" s="13" t="s">
        <v>555</v>
      </c>
    </row>
    <row r="27" customFormat="false" ht="15" hidden="false" customHeight="false" outlineLevel="0" collapsed="false">
      <c r="A27" s="0" t="s">
        <v>579</v>
      </c>
      <c r="B27" s="25" t="n">
        <v>9290</v>
      </c>
      <c r="I27" s="13" t="s">
        <v>580</v>
      </c>
      <c r="J27" s="13" t="s">
        <v>581</v>
      </c>
      <c r="K27" s="13" t="s">
        <v>555</v>
      </c>
    </row>
    <row r="29" customFormat="false" ht="15" hidden="false" customHeight="false" outlineLevel="0" collapsed="false">
      <c r="A29" s="8" t="s">
        <v>582</v>
      </c>
    </row>
    <row r="30" customFormat="false" ht="15" hidden="false" customHeight="false" outlineLevel="0" collapsed="false">
      <c r="A30" s="5" t="s">
        <v>583</v>
      </c>
      <c r="B30" s="5" t="s">
        <v>584</v>
      </c>
      <c r="C30" s="5" t="s">
        <v>585</v>
      </c>
      <c r="D30" s="5"/>
      <c r="E30" s="5"/>
      <c r="F30" s="5"/>
      <c r="G30" s="5"/>
      <c r="H30" s="5"/>
      <c r="I30" s="5" t="s">
        <v>22</v>
      </c>
      <c r="J30" s="5" t="s">
        <v>552</v>
      </c>
      <c r="K30" s="5" t="s">
        <v>65</v>
      </c>
    </row>
    <row r="31" customFormat="false" ht="15" hidden="false" customHeight="false" outlineLevel="0" collapsed="false">
      <c r="A31" s="0" t="n">
        <v>2021</v>
      </c>
      <c r="I31" s="9" t="s">
        <v>586</v>
      </c>
      <c r="K31" s="9" t="s">
        <v>587</v>
      </c>
    </row>
    <row r="32" customFormat="false" ht="15" hidden="false" customHeight="false" outlineLevel="0" collapsed="false">
      <c r="A32" s="0" t="n">
        <v>2022</v>
      </c>
      <c r="B32" s="27" t="n">
        <v>1082672</v>
      </c>
      <c r="I32" s="13" t="s">
        <v>588</v>
      </c>
      <c r="K32" s="13" t="s">
        <v>589</v>
      </c>
    </row>
    <row r="33" customFormat="false" ht="15" hidden="false" customHeight="false" outlineLevel="0" collapsed="false">
      <c r="A33" s="0" t="n">
        <v>2023</v>
      </c>
      <c r="B33" s="27" t="n">
        <v>949817</v>
      </c>
      <c r="I33" s="9" t="s">
        <v>371</v>
      </c>
      <c r="K33" s="13" t="s">
        <v>589</v>
      </c>
    </row>
    <row r="34" customFormat="false" ht="15" hidden="false" customHeight="false" outlineLevel="0" collapsed="false">
      <c r="A34" s="0" t="n">
        <v>2024</v>
      </c>
      <c r="B34" s="27" t="n">
        <v>956007</v>
      </c>
      <c r="C34" s="27" t="n">
        <v>29755</v>
      </c>
      <c r="I34" s="9" t="s">
        <v>590</v>
      </c>
      <c r="J34" s="9" t="s">
        <v>591</v>
      </c>
      <c r="K34" s="13" t="s">
        <v>589</v>
      </c>
    </row>
    <row r="35" customFormat="false" ht="15" hidden="false" customHeight="false" outlineLevel="0" collapsed="false">
      <c r="A35" s="0" t="n">
        <v>2025</v>
      </c>
      <c r="B35" s="27" t="n">
        <v>1272410.529</v>
      </c>
      <c r="C35" s="27" t="n">
        <v>40900</v>
      </c>
      <c r="I35" s="13" t="s">
        <v>592</v>
      </c>
      <c r="J35" s="9" t="s">
        <v>593</v>
      </c>
      <c r="K35" s="13" t="s">
        <v>589</v>
      </c>
    </row>
    <row r="37" customFormat="false" ht="15" hidden="false" customHeight="false" outlineLevel="0" collapsed="false">
      <c r="A37" s="8" t="s">
        <v>594</v>
      </c>
    </row>
    <row r="38" customFormat="false" ht="15" hidden="false" customHeight="false" outlineLevel="0" collapsed="false">
      <c r="A38" s="5" t="s">
        <v>60</v>
      </c>
      <c r="B38" s="5" t="s">
        <v>62</v>
      </c>
      <c r="C38" s="5" t="s">
        <v>595</v>
      </c>
      <c r="D38" s="5" t="s">
        <v>64</v>
      </c>
      <c r="E38" s="5"/>
      <c r="F38" s="5"/>
      <c r="G38" s="5"/>
      <c r="H38" s="5"/>
      <c r="I38" s="5" t="s">
        <v>22</v>
      </c>
      <c r="J38" s="5" t="s">
        <v>552</v>
      </c>
      <c r="K38" s="5" t="s">
        <v>65</v>
      </c>
    </row>
    <row r="39" customFormat="false" ht="15" hidden="false" customHeight="false" outlineLevel="0" collapsed="false">
      <c r="A39" s="9" t="s">
        <v>596</v>
      </c>
      <c r="B39" s="14" t="n">
        <v>0.7</v>
      </c>
      <c r="D39" s="14" t="n">
        <v>0.8</v>
      </c>
      <c r="I39" s="9" t="s">
        <v>597</v>
      </c>
      <c r="J39" s="9" t="s">
        <v>598</v>
      </c>
      <c r="K39" s="13" t="s">
        <v>599</v>
      </c>
    </row>
    <row r="40" customFormat="false" ht="15" hidden="false" customHeight="false" outlineLevel="0" collapsed="false">
      <c r="A40" s="9" t="s">
        <v>600</v>
      </c>
      <c r="B40" s="14" t="n">
        <v>0.58</v>
      </c>
      <c r="C40" s="14" t="n">
        <v>0.64</v>
      </c>
      <c r="D40" s="14" t="n">
        <v>0.7</v>
      </c>
      <c r="I40" s="9" t="s">
        <v>601</v>
      </c>
      <c r="J40" s="9" t="s">
        <v>602</v>
      </c>
      <c r="K40" s="13" t="s">
        <v>603</v>
      </c>
    </row>
    <row r="41" customFormat="false" ht="15" hidden="false" customHeight="false" outlineLevel="0" collapsed="false">
      <c r="A41" s="0" t="s">
        <v>604</v>
      </c>
      <c r="B41" s="14" t="n">
        <v>0.385</v>
      </c>
      <c r="C41" s="15" t="n">
        <f aca="false">sh_sk</f>
        <v>0.455453003642102</v>
      </c>
      <c r="D41" s="14" t="n">
        <v>0.58</v>
      </c>
      <c r="I41" s="13" t="s">
        <v>605</v>
      </c>
      <c r="J41" s="13" t="s">
        <v>606</v>
      </c>
      <c r="K41" s="13" t="s">
        <v>72</v>
      </c>
    </row>
    <row r="43" customFormat="false" ht="15" hidden="false" customHeight="false" outlineLevel="0" collapsed="false">
      <c r="A43" s="8" t="s">
        <v>607</v>
      </c>
    </row>
    <row r="44" customFormat="false" ht="15" hidden="false" customHeight="false" outlineLevel="0" collapsed="false">
      <c r="A44" s="0" t="s">
        <v>608</v>
      </c>
      <c r="B44" s="17" t="n">
        <f aca="false">Mkt!C43</f>
        <v>65.6013456686291</v>
      </c>
      <c r="C44" s="13" t="s">
        <v>96</v>
      </c>
      <c r="J44" s="13" t="s">
        <v>609</v>
      </c>
    </row>
    <row r="45" customFormat="false" ht="15" hidden="false" customHeight="false" outlineLevel="0" collapsed="false">
      <c r="A45" s="9" t="s">
        <v>610</v>
      </c>
      <c r="B45" s="17" t="n">
        <f aca="false">cap_ts_25</f>
        <v>40.9</v>
      </c>
      <c r="C45" s="13" t="s">
        <v>96</v>
      </c>
      <c r="J45" s="13" t="s">
        <v>611</v>
      </c>
    </row>
    <row r="46" customFormat="false" ht="15" hidden="false" customHeight="false" outlineLevel="0" collapsed="false">
      <c r="A46" s="9" t="s">
        <v>612</v>
      </c>
      <c r="B46" s="17" t="n">
        <f aca="false">cap_smic_25+cap_intel_25</f>
        <v>25.8</v>
      </c>
      <c r="C46" s="13" t="s">
        <v>96</v>
      </c>
      <c r="J46" s="9" t="s">
        <v>613</v>
      </c>
    </row>
    <row r="47" customFormat="false" ht="15" hidden="false" customHeight="false" outlineLevel="0" collapsed="false">
      <c r="A47" s="9" t="s">
        <v>614</v>
      </c>
      <c r="B47" s="17" t="n">
        <f aca="false">B46*sh_oth</f>
        <v>16.512</v>
      </c>
      <c r="C47" s="13" t="s">
        <v>96</v>
      </c>
      <c r="J47" s="13" t="s">
        <v>615</v>
      </c>
    </row>
    <row r="48" customFormat="false" ht="15" hidden="false" customHeight="false" outlineLevel="0" collapsed="false">
      <c r="A48" s="5" t="s">
        <v>616</v>
      </c>
      <c r="B48" s="5" t="s">
        <v>617</v>
      </c>
      <c r="C48" s="5" t="s">
        <v>618</v>
      </c>
      <c r="D48" s="28" t="s">
        <v>619</v>
      </c>
      <c r="E48" s="5"/>
      <c r="F48" s="5"/>
      <c r="G48" s="5"/>
      <c r="H48" s="5"/>
      <c r="I48" s="5"/>
      <c r="J48" s="5" t="s">
        <v>385</v>
      </c>
      <c r="K48" s="5"/>
    </row>
    <row r="49" customFormat="false" ht="15" hidden="false" customHeight="false" outlineLevel="0" collapsed="false">
      <c r="A49" s="18" t="n">
        <f aca="false">sh_fd_lo</f>
        <v>0.5</v>
      </c>
      <c r="B49" s="17" t="n">
        <f aca="false">B45*A49</f>
        <v>20.45</v>
      </c>
      <c r="C49" s="17" t="n">
        <f aca="false">B44-B49-B47</f>
        <v>28.6393456686291</v>
      </c>
      <c r="D49" s="19" t="n">
        <f aca="false">C49/B44</f>
        <v>0.436566435897436</v>
      </c>
    </row>
    <row r="50" customFormat="false" ht="15" hidden="false" customHeight="false" outlineLevel="0" collapsed="false">
      <c r="A50" s="18" t="n">
        <f aca="false">sh_fd</f>
        <v>0.64</v>
      </c>
      <c r="B50" s="17" t="n">
        <f aca="false">B45*A50</f>
        <v>26.176</v>
      </c>
      <c r="C50" s="17" t="n">
        <f aca="false">B44-B50-B47</f>
        <v>22.9133456686291</v>
      </c>
      <c r="D50" s="19" t="n">
        <f aca="false">C50/B44</f>
        <v>0.349281641025641</v>
      </c>
    </row>
    <row r="51" customFormat="false" ht="15" hidden="false" customHeight="false" outlineLevel="0" collapsed="false">
      <c r="A51" s="18" t="n">
        <f aca="false">sh_fd_hi</f>
        <v>0.75</v>
      </c>
      <c r="B51" s="17" t="n">
        <f aca="false">B45*A51</f>
        <v>30.675</v>
      </c>
      <c r="C51" s="17" t="n">
        <f aca="false">B44-B51-B47</f>
        <v>18.4143456686291</v>
      </c>
      <c r="D51" s="19" t="n">
        <f aca="false">C51/B44</f>
        <v>0.280700730769231</v>
      </c>
    </row>
    <row r="52" customFormat="false" ht="15" hidden="false" customHeight="false" outlineLevel="0" collapsed="false">
      <c r="A52" s="18" t="n">
        <f aca="false">sh_sk</f>
        <v>0.455453003642102</v>
      </c>
      <c r="B52" s="17" t="n">
        <f aca="false">B45*A52</f>
        <v>18.628027848962</v>
      </c>
      <c r="C52" s="17" t="n">
        <f aca="false">B44-B52-B47</f>
        <v>30.4613178196671</v>
      </c>
      <c r="D52" s="19" t="n">
        <f aca="false">C52/B44</f>
        <v>0.464339831892105</v>
      </c>
    </row>
    <row r="53" customFormat="false" ht="15" hidden="false" customHeight="false" outlineLevel="0" collapsed="false">
      <c r="A53" s="0" t="s">
        <v>620</v>
      </c>
      <c r="B53" s="19" t="n">
        <f aca="false">(B44-B47)/B45</f>
        <v>1.20022850045548</v>
      </c>
      <c r="J53" s="9" t="s">
        <v>621</v>
      </c>
    </row>
    <row r="54" customFormat="false" ht="176.1" hidden="false" customHeight="false" outlineLevel="0" collapsed="false">
      <c r="A54" s="6" t="s">
        <v>622</v>
      </c>
    </row>
    <row r="56" customFormat="false" ht="15" hidden="false" customHeight="false" outlineLevel="0" collapsed="false">
      <c r="A56" s="8" t="s">
        <v>623</v>
      </c>
    </row>
    <row r="57" customFormat="false" ht="15" hidden="false" customHeight="false" outlineLevel="0" collapsed="false">
      <c r="A57" s="9" t="s">
        <v>624</v>
      </c>
      <c r="B57" s="18" t="n">
        <f aca="false">pk_ts_lo</f>
        <v>0.1</v>
      </c>
      <c r="C57" s="18" t="n">
        <f aca="false">pk_ts</f>
        <v>0.15</v>
      </c>
      <c r="D57" s="18" t="n">
        <f aca="false">pk_ts_hi</f>
        <v>0.2</v>
      </c>
    </row>
    <row r="58" customFormat="false" ht="15" hidden="false" customHeight="false" outlineLevel="0" collapsed="false">
      <c r="A58" s="0" t="s">
        <v>625</v>
      </c>
      <c r="B58" s="17" t="n">
        <f aca="false">Mkt!D98</f>
        <v>62</v>
      </c>
      <c r="C58" s="17" t="n">
        <f aca="false">Mkt!D98</f>
        <v>62</v>
      </c>
      <c r="D58" s="17" t="n">
        <f aca="false">Mkt!D98</f>
        <v>62</v>
      </c>
    </row>
    <row r="59" customFormat="false" ht="15" hidden="false" customHeight="false" outlineLevel="0" collapsed="false">
      <c r="A59" s="9" t="s">
        <v>626</v>
      </c>
      <c r="B59" s="17" t="n">
        <f aca="false">B58*B57*sh_fd</f>
        <v>3.968</v>
      </c>
      <c r="C59" s="17" t="n">
        <f aca="false">C58*C57*sh_fd</f>
        <v>5.952</v>
      </c>
      <c r="D59" s="17" t="n">
        <f aca="false">D58*D57*sh_fd</f>
        <v>7.936</v>
      </c>
    </row>
    <row r="60" customFormat="false" ht="15" hidden="false" customHeight="false" outlineLevel="0" collapsed="false">
      <c r="A60" s="9" t="s">
        <v>627</v>
      </c>
      <c r="B60" s="18" t="n">
        <f aca="false">B59/Mkt!D129</f>
        <v>0.0222724836727026</v>
      </c>
      <c r="C60" s="18" t="n">
        <f aca="false">C59/Mkt!D129</f>
        <v>0.0334087255090539</v>
      </c>
      <c r="D60" s="18" t="n">
        <f aca="false">D59/Mkt!D129</f>
        <v>0.0445449673454052</v>
      </c>
    </row>
    <row r="61" customFormat="false" ht="270.1" hidden="false" customHeight="false" outlineLevel="0" collapsed="false">
      <c r="A61" s="6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36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70"/>
  </cols>
  <sheetData>
    <row r="1" customFormat="false" ht="15" hidden="false" customHeight="false" outlineLevel="0" collapsed="false">
      <c r="A1" s="0" t="s">
        <v>629</v>
      </c>
    </row>
    <row r="3" customFormat="false" ht="15" hidden="false" customHeight="false" outlineLevel="0" collapsed="false">
      <c r="A3" s="5" t="s">
        <v>60</v>
      </c>
      <c r="B3" s="5" t="s">
        <v>583</v>
      </c>
      <c r="C3" s="5" t="s">
        <v>22</v>
      </c>
      <c r="D3" s="5" t="s">
        <v>630</v>
      </c>
      <c r="E3" s="5" t="s">
        <v>631</v>
      </c>
      <c r="F3" s="5" t="s">
        <v>632</v>
      </c>
      <c r="G3" s="5" t="s">
        <v>633</v>
      </c>
      <c r="H3" s="5" t="s">
        <v>634</v>
      </c>
      <c r="I3" s="5" t="s">
        <v>635</v>
      </c>
      <c r="J3" s="5" t="s">
        <v>636</v>
      </c>
      <c r="K3" s="28" t="s">
        <v>637</v>
      </c>
      <c r="L3" s="5" t="s">
        <v>638</v>
      </c>
    </row>
    <row r="4" customFormat="false" ht="15" hidden="false" customHeight="false" outlineLevel="0" collapsed="false">
      <c r="A4" s="9" t="s">
        <v>639</v>
      </c>
      <c r="B4" s="0" t="n">
        <v>2026</v>
      </c>
      <c r="C4" s="0" t="s">
        <v>640</v>
      </c>
      <c r="D4" s="17" t="n">
        <f aca="false">s_tot_26</f>
        <v>165.9</v>
      </c>
      <c r="E4" s="17" t="n">
        <f aca="false">Mkt!D129</f>
        <v>178.157050570127</v>
      </c>
      <c r="F4" s="18" t="n">
        <f aca="false">E4/D4-1</f>
        <v>0.0738821613630314</v>
      </c>
      <c r="G4" s="17" t="n">
        <f aca="false">Mkt!D148</f>
        <v>178.157050570127</v>
      </c>
      <c r="H4" s="18" t="n">
        <f aca="false">G4/D4-1</f>
        <v>0.0738821613630314</v>
      </c>
      <c r="I4" s="17" t="n">
        <f aca="false">Mkt!D167</f>
        <v>178.157050570127</v>
      </c>
      <c r="J4" s="18" t="n">
        <f aca="false">I4/D4-1</f>
        <v>0.0738821613630314</v>
      </c>
      <c r="K4" s="0" t="str">
        <f aca="false">IF(ABS(F4)&gt;rc_thr,"超過門檻","")</f>
        <v/>
      </c>
      <c r="L4" s="13" t="s">
        <v>641</v>
      </c>
    </row>
    <row r="5" customFormat="false" ht="15" hidden="false" customHeight="false" outlineLevel="0" collapsed="false">
      <c r="A5" s="9" t="s">
        <v>642</v>
      </c>
      <c r="B5" s="0" t="n">
        <v>2026</v>
      </c>
      <c r="C5" s="0" t="s">
        <v>640</v>
      </c>
      <c r="D5" s="17" t="n">
        <f aca="false">s_wfe_26</f>
        <v>143.9</v>
      </c>
      <c r="E5" s="17" t="n">
        <f aca="false">Mkt!D127</f>
        <v>156.157050570127</v>
      </c>
      <c r="F5" s="18" t="n">
        <f aca="false">E5/D5-1</f>
        <v>0.0851775578188112</v>
      </c>
      <c r="G5" s="17" t="n">
        <f aca="false">Mkt!D146</f>
        <v>156.157050570127</v>
      </c>
      <c r="H5" s="18" t="n">
        <f aca="false">G5/D5-1</f>
        <v>0.0851775578188112</v>
      </c>
      <c r="I5" s="17" t="n">
        <f aca="false">Mkt!D165</f>
        <v>156.157050570127</v>
      </c>
      <c r="J5" s="18" t="n">
        <f aca="false">I5/D5-1</f>
        <v>0.0851775578188112</v>
      </c>
      <c r="K5" s="0" t="str">
        <f aca="false">IF(ABS(F5)&gt;rc_thr,"超過門檻","")</f>
        <v/>
      </c>
    </row>
    <row r="6" customFormat="false" ht="15" hidden="false" customHeight="false" outlineLevel="0" collapsed="false">
      <c r="A6" s="9" t="s">
        <v>643</v>
      </c>
      <c r="B6" s="0" t="n">
        <v>2026</v>
      </c>
      <c r="C6" s="0" t="s">
        <v>640</v>
      </c>
      <c r="D6" s="17" t="n">
        <f aca="false">s_fd_26</f>
        <v>78</v>
      </c>
      <c r="E6" s="17" t="n">
        <f aca="false">Mkt!D120+Mkt!D121</f>
        <v>82.2593733221194</v>
      </c>
      <c r="F6" s="18" t="n">
        <f aca="false">E6/D6-1</f>
        <v>0.0546073502835822</v>
      </c>
      <c r="G6" s="17" t="n">
        <f aca="false">Mkt!D139+Mkt!D140</f>
        <v>82.2593733221194</v>
      </c>
      <c r="H6" s="18" t="n">
        <f aca="false">G6/D6-1</f>
        <v>0.0546073502835822</v>
      </c>
      <c r="I6" s="17" t="n">
        <f aca="false">Mkt!D158+Mkt!D159</f>
        <v>82.2593733221194</v>
      </c>
      <c r="J6" s="18" t="n">
        <f aca="false">I6/D6-1</f>
        <v>0.0546073502835822</v>
      </c>
      <c r="K6" s="0" t="str">
        <f aca="false">IF(ABS(F6)&gt;rc_thr,"超過門檻","")</f>
        <v/>
      </c>
      <c r="L6" s="9" t="s">
        <v>644</v>
      </c>
    </row>
    <row r="7" customFormat="false" ht="15" hidden="false" customHeight="false" outlineLevel="0" collapsed="false">
      <c r="A7" s="0" t="s">
        <v>645</v>
      </c>
      <c r="B7" s="0" t="n">
        <v>2026</v>
      </c>
      <c r="C7" s="0" t="s">
        <v>640</v>
      </c>
      <c r="D7" s="17" t="n">
        <f aca="false">s_dram_26</f>
        <v>38.8</v>
      </c>
      <c r="E7" s="17" t="n">
        <f aca="false">Mkt!D122</f>
        <v>39.3659468014757</v>
      </c>
      <c r="F7" s="18" t="n">
        <f aca="false">E7/D7-1</f>
        <v>0.014586257769992</v>
      </c>
      <c r="G7" s="17" t="n">
        <f aca="false">Mkt!D141</f>
        <v>39.3659468014757</v>
      </c>
      <c r="H7" s="18" t="n">
        <f aca="false">G7/D7-1</f>
        <v>0.014586257769992</v>
      </c>
      <c r="I7" s="17" t="n">
        <f aca="false">Mkt!D160</f>
        <v>39.3659468014757</v>
      </c>
      <c r="J7" s="18" t="n">
        <f aca="false">I7/D7-1</f>
        <v>0.014586257769992</v>
      </c>
      <c r="K7" s="0" t="str">
        <f aca="false">IF(ABS(F7)&gt;rc_thr,"超過門檻","")</f>
        <v/>
      </c>
      <c r="L7" s="9" t="s">
        <v>646</v>
      </c>
    </row>
    <row r="8" customFormat="false" ht="15" hidden="false" customHeight="false" outlineLevel="0" collapsed="false">
      <c r="A8" s="0" t="s">
        <v>490</v>
      </c>
      <c r="B8" s="0" t="n">
        <v>2026</v>
      </c>
      <c r="C8" s="0" t="s">
        <v>640</v>
      </c>
      <c r="D8" s="17" t="n">
        <f aca="false">s_nand_26</f>
        <v>13.9</v>
      </c>
      <c r="E8" s="17" t="n">
        <f aca="false">Mkt!D123</f>
        <v>17.5039054704765</v>
      </c>
      <c r="F8" s="18" t="n">
        <f aca="false">E8/D8-1</f>
        <v>0.259273774854424</v>
      </c>
      <c r="G8" s="17" t="n">
        <f aca="false">Mkt!D142</f>
        <v>17.5039054704765</v>
      </c>
      <c r="H8" s="18" t="n">
        <f aca="false">G8/D8-1</f>
        <v>0.259273774854424</v>
      </c>
      <c r="I8" s="17" t="n">
        <f aca="false">Mkt!D161</f>
        <v>17.5039054704765</v>
      </c>
      <c r="J8" s="18" t="n">
        <f aca="false">I8/D8-1</f>
        <v>0.259273774854424</v>
      </c>
      <c r="K8" s="0" t="str">
        <f aca="false">IF(ABS(F8)&gt;rc_thr,"超過門檻","")</f>
        <v>超過門檻</v>
      </c>
    </row>
    <row r="9" customFormat="false" ht="15" hidden="false" customHeight="false" outlineLevel="0" collapsed="false">
      <c r="A9" s="9" t="s">
        <v>647</v>
      </c>
      <c r="B9" s="0" t="n">
        <v>2027</v>
      </c>
      <c r="C9" s="0" t="s">
        <v>648</v>
      </c>
      <c r="D9" s="18" t="n">
        <f aca="false">g_wfe_27</f>
        <v>0.218</v>
      </c>
      <c r="E9" s="18" t="n">
        <f aca="false">Mkt!E131</f>
        <v>0.234625453501252</v>
      </c>
      <c r="F9" s="18" t="n">
        <f aca="false">E9-D9</f>
        <v>0.0166254535012517</v>
      </c>
      <c r="G9" s="18" t="n">
        <f aca="false">Mkt!E150</f>
        <v>0.234625453501252</v>
      </c>
      <c r="H9" s="18" t="n">
        <f aca="false">G9-D9</f>
        <v>0.0166254535012517</v>
      </c>
      <c r="I9" s="18" t="n">
        <f aca="false">Mkt!E169</f>
        <v>0.234625453501252</v>
      </c>
      <c r="J9" s="18" t="n">
        <f aca="false">I9-D9</f>
        <v>0.0166254535012517</v>
      </c>
      <c r="K9" s="0" t="str">
        <f aca="false">IF(ABS(F9)&gt;0.05,"超過 5 個百分點","")</f>
        <v/>
      </c>
      <c r="L9" s="9" t="s">
        <v>649</v>
      </c>
    </row>
    <row r="10" customFormat="false" ht="15" hidden="false" customHeight="false" outlineLevel="0" collapsed="false">
      <c r="A10" s="9" t="s">
        <v>642</v>
      </c>
      <c r="B10" s="0" t="n">
        <v>2027</v>
      </c>
      <c r="C10" s="0" t="s">
        <v>650</v>
      </c>
      <c r="D10" s="17" t="n">
        <f aca="false">Mkt!E44</f>
        <v>175.2702</v>
      </c>
      <c r="E10" s="17" t="n">
        <f aca="false">Mkt!E127</f>
        <v>192.795469377561</v>
      </c>
      <c r="F10" s="18" t="n">
        <f aca="false">E10/D10-1</f>
        <v>0.0999900118648855</v>
      </c>
      <c r="G10" s="17" t="n">
        <f aca="false">Mkt!E146</f>
        <v>192.795469377561</v>
      </c>
      <c r="H10" s="18" t="n">
        <f aca="false">G10/D10-1</f>
        <v>0.0999900118648855</v>
      </c>
      <c r="I10" s="17" t="n">
        <f aca="false">Mkt!E165</f>
        <v>192.795469377561</v>
      </c>
      <c r="J10" s="18" t="n">
        <f aca="false">I10/D10-1</f>
        <v>0.0999900118648855</v>
      </c>
      <c r="K10" s="0" t="str">
        <f aca="false">IF(ABS(F10)&gt;rc_thr,"超過門檻","")</f>
        <v/>
      </c>
      <c r="L10" s="13" t="s">
        <v>651</v>
      </c>
    </row>
    <row r="11" customFormat="false" ht="15" hidden="false" customHeight="false" outlineLevel="0" collapsed="false">
      <c r="A11" s="9" t="s">
        <v>642</v>
      </c>
      <c r="B11" s="0" t="n">
        <v>2028</v>
      </c>
      <c r="C11" s="0" t="s">
        <v>652</v>
      </c>
      <c r="D11" s="17" t="n">
        <f aca="false">Mkt!F44</f>
        <v>199.9832982</v>
      </c>
      <c r="E11" s="17" t="n">
        <f aca="false">Mkt!F127</f>
        <v>216.628626308958</v>
      </c>
      <c r="F11" s="18" t="n">
        <f aca="false">E11/D11-1</f>
        <v>0.0832335912987663</v>
      </c>
      <c r="G11" s="17" t="n">
        <f aca="false">Mkt!F146</f>
        <v>192.795469377561</v>
      </c>
      <c r="H11" s="18" t="n">
        <f aca="false">G11/D11-1</f>
        <v>-0.0359421456048332</v>
      </c>
      <c r="I11" s="17" t="n">
        <f aca="false">Mkt!F165</f>
        <v>154.236375502049</v>
      </c>
      <c r="J11" s="18" t="n">
        <f aca="false">I11/D11-1</f>
        <v>-0.228753716483867</v>
      </c>
      <c r="K11" s="0" t="str">
        <f aca="false">IF(ABS(F11)&gt;rc_thr,"超過門檻","")</f>
        <v/>
      </c>
      <c r="L11" s="9" t="s">
        <v>653</v>
      </c>
    </row>
    <row r="12" customFormat="false" ht="15" hidden="false" customHeight="false" outlineLevel="0" collapsed="false">
      <c r="A12" s="9" t="s">
        <v>639</v>
      </c>
      <c r="B12" s="0" t="n">
        <v>2028</v>
      </c>
      <c r="C12" s="0" t="s">
        <v>640</v>
      </c>
      <c r="D12" s="17" t="n">
        <f aca="false">s_tot_28</f>
        <v>229.5</v>
      </c>
      <c r="E12" s="17" t="n">
        <f aca="false">Mkt!F129</f>
        <v>246.028626308958</v>
      </c>
      <c r="F12" s="18" t="n">
        <f aca="false">E12/D12-1</f>
        <v>0.0720201582089681</v>
      </c>
      <c r="G12" s="17" t="n">
        <f aca="false">Mkt!F148</f>
        <v>218.225535760082</v>
      </c>
      <c r="H12" s="18" t="n">
        <f aca="false">G12/D12-1</f>
        <v>-0.0491262058384209</v>
      </c>
      <c r="I12" s="17" t="n">
        <f aca="false">Mkt!F167</f>
        <v>174.580428608066</v>
      </c>
      <c r="J12" s="18" t="n">
        <f aca="false">I12/D12-1</f>
        <v>-0.239300964670737</v>
      </c>
      <c r="K12" s="0" t="str">
        <f aca="false">IF(ABS(F12)&gt;rc_thr,"超過門檻","")</f>
        <v/>
      </c>
      <c r="L12" s="9" t="s">
        <v>654</v>
      </c>
    </row>
    <row r="13" customFormat="false" ht="15" hidden="false" customHeight="false" outlineLevel="0" collapsed="false">
      <c r="A13" s="9" t="s">
        <v>642</v>
      </c>
      <c r="B13" s="0" t="n">
        <v>2026</v>
      </c>
      <c r="C13" s="0" t="s">
        <v>655</v>
      </c>
      <c r="D13" s="17" t="n">
        <f aca="false">rc_lam26</f>
        <v>150</v>
      </c>
      <c r="E13" s="17" t="n">
        <f aca="false">Mkt!D127</f>
        <v>156.157050570127</v>
      </c>
      <c r="F13" s="18" t="n">
        <f aca="false">E13/D13-1</f>
        <v>0.0410470038008461</v>
      </c>
      <c r="G13" s="17" t="n">
        <f aca="false">Mkt!D146</f>
        <v>156.157050570127</v>
      </c>
      <c r="H13" s="18" t="n">
        <f aca="false">G13/D13-1</f>
        <v>0.0410470038008461</v>
      </c>
      <c r="I13" s="17" t="n">
        <f aca="false">Mkt!D165</f>
        <v>156.157050570127</v>
      </c>
      <c r="J13" s="18" t="n">
        <f aca="false">I13/D13-1</f>
        <v>0.0410470038008461</v>
      </c>
      <c r="K13" s="0" t="str">
        <f aca="false">IF(ABS(F13)&gt;rc_thr,"超過門檻","")</f>
        <v/>
      </c>
      <c r="L13" s="13" t="s">
        <v>656</v>
      </c>
    </row>
    <row r="14" customFormat="false" ht="15" hidden="false" customHeight="false" outlineLevel="0" collapsed="false">
      <c r="A14" s="9" t="s">
        <v>642</v>
      </c>
      <c r="B14" s="0" t="n">
        <v>2026</v>
      </c>
      <c r="C14" s="0" t="s">
        <v>657</v>
      </c>
      <c r="D14" s="17" t="n">
        <f aca="false">rc_kla26</f>
        <v>150</v>
      </c>
      <c r="E14" s="17" t="n">
        <f aca="false">Mkt!D127</f>
        <v>156.157050570127</v>
      </c>
      <c r="F14" s="18" t="n">
        <f aca="false">E14/D14-1</f>
        <v>0.0410470038008461</v>
      </c>
      <c r="G14" s="17" t="n">
        <f aca="false">Mkt!D146</f>
        <v>156.157050570127</v>
      </c>
      <c r="H14" s="18" t="n">
        <f aca="false">G14/D14-1</f>
        <v>0.0410470038008461</v>
      </c>
      <c r="I14" s="17" t="n">
        <f aca="false">Mkt!D165</f>
        <v>156.157050570127</v>
      </c>
      <c r="J14" s="18" t="n">
        <f aca="false">I14/D14-1</f>
        <v>0.0410470038008461</v>
      </c>
      <c r="K14" s="0" t="str">
        <f aca="false">IF(ABS(F14)&gt;rc_thr,"超過門檻","")</f>
        <v/>
      </c>
      <c r="L14" s="13" t="s">
        <v>658</v>
      </c>
    </row>
    <row r="15" customFormat="false" ht="15" hidden="false" customHeight="false" outlineLevel="0" collapsed="false">
      <c r="A15" s="9" t="s">
        <v>642</v>
      </c>
      <c r="B15" s="0" t="n">
        <v>2027</v>
      </c>
      <c r="C15" s="0" t="s">
        <v>659</v>
      </c>
      <c r="D15" s="17" t="n">
        <f aca="false">rc_kla27</f>
        <v>190</v>
      </c>
      <c r="E15" s="17" t="n">
        <f aca="false">Mkt!E127</f>
        <v>192.795469377561</v>
      </c>
      <c r="F15" s="18" t="n">
        <f aca="false">E15/D15-1</f>
        <v>0.0147129967240045</v>
      </c>
      <c r="G15" s="17" t="n">
        <f aca="false">Mkt!E146</f>
        <v>192.795469377561</v>
      </c>
      <c r="H15" s="18" t="n">
        <f aca="false">G15/D15-1</f>
        <v>0.0147129967240045</v>
      </c>
      <c r="I15" s="17" t="n">
        <f aca="false">Mkt!E165</f>
        <v>192.795469377561</v>
      </c>
      <c r="J15" s="18" t="n">
        <f aca="false">I15/D15-1</f>
        <v>0.0147129967240045</v>
      </c>
      <c r="K15" s="0" t="str">
        <f aca="false">IF(ABS(F15)&gt;rc_thr,"超過門檻","")</f>
        <v/>
      </c>
    </row>
    <row r="16" customFormat="false" ht="15" hidden="false" customHeight="false" outlineLevel="0" collapsed="false">
      <c r="A16" s="9" t="s">
        <v>642</v>
      </c>
      <c r="B16" s="0" t="n">
        <v>2027</v>
      </c>
      <c r="C16" s="0" t="s">
        <v>660</v>
      </c>
      <c r="D16" s="17" t="n">
        <f aca="false">rc_lam27</f>
        <v>200</v>
      </c>
      <c r="E16" s="17" t="n">
        <f aca="false">Mkt!E127</f>
        <v>192.795469377561</v>
      </c>
      <c r="F16" s="18" t="n">
        <f aca="false">E16/D16-1</f>
        <v>-0.0360226531121957</v>
      </c>
      <c r="G16" s="17" t="n">
        <f aca="false">Mkt!E146</f>
        <v>192.795469377561</v>
      </c>
      <c r="H16" s="18" t="n">
        <f aca="false">G16/D16-1</f>
        <v>-0.0360226531121957</v>
      </c>
      <c r="I16" s="17" t="n">
        <f aca="false">Mkt!E165</f>
        <v>192.795469377561</v>
      </c>
      <c r="J16" s="18" t="n">
        <f aca="false">I16/D16-1</f>
        <v>-0.0360226531121957</v>
      </c>
      <c r="K16" s="0" t="str">
        <f aca="false">IF(ABS(F16)&gt;rc_thr,"超過門檻","")</f>
        <v/>
      </c>
      <c r="L16" s="9" t="s">
        <v>661</v>
      </c>
    </row>
    <row r="17" customFormat="false" ht="15" hidden="false" customHeight="false" outlineLevel="0" collapsed="false">
      <c r="A17" s="9" t="s">
        <v>642</v>
      </c>
      <c r="B17" s="0" t="n">
        <v>2027</v>
      </c>
      <c r="C17" s="0" t="s">
        <v>662</v>
      </c>
      <c r="D17" s="17" t="n">
        <f aca="false">rc_ms27</f>
        <v>202</v>
      </c>
      <c r="E17" s="17" t="n">
        <f aca="false">Mkt!E127</f>
        <v>192.795469377561</v>
      </c>
      <c r="F17" s="18" t="n">
        <f aca="false">E17/D17-1</f>
        <v>-0.0455669832794017</v>
      </c>
      <c r="G17" s="17" t="n">
        <f aca="false">Mkt!E146</f>
        <v>192.795469377561</v>
      </c>
      <c r="H17" s="18" t="n">
        <f aca="false">G17/D17-1</f>
        <v>-0.0455669832794017</v>
      </c>
      <c r="I17" s="17" t="n">
        <f aca="false">Mkt!E165</f>
        <v>192.795469377561</v>
      </c>
      <c r="J17" s="18" t="n">
        <f aca="false">I17/D17-1</f>
        <v>-0.0455669832794017</v>
      </c>
      <c r="K17" s="0" t="str">
        <f aca="false">IF(ABS(F17)&gt;rc_thr,"超過門檻","")</f>
        <v/>
      </c>
      <c r="L17" s="13" t="s">
        <v>663</v>
      </c>
    </row>
    <row r="18" customFormat="false" ht="15" hidden="false" customHeight="false" outlineLevel="0" collapsed="false">
      <c r="A18" s="9" t="s">
        <v>642</v>
      </c>
      <c r="B18" s="0" t="n">
        <v>2028</v>
      </c>
      <c r="C18" s="0" t="s">
        <v>662</v>
      </c>
      <c r="D18" s="17" t="n">
        <f aca="false">rc_ms28</f>
        <v>227</v>
      </c>
      <c r="E18" s="17" t="n">
        <f aca="false">Mkt!F127</f>
        <v>216.628626308958</v>
      </c>
      <c r="F18" s="18" t="n">
        <f aca="false">E18/D18-1</f>
        <v>-0.0456888708856469</v>
      </c>
      <c r="G18" s="17" t="n">
        <f aca="false">Mkt!F146</f>
        <v>192.795469377561</v>
      </c>
      <c r="H18" s="18" t="n">
        <f aca="false">G18/D18-1</f>
        <v>-0.150680751640701</v>
      </c>
      <c r="I18" s="17" t="n">
        <f aca="false">Mkt!F165</f>
        <v>154.236375502049</v>
      </c>
      <c r="J18" s="18" t="n">
        <f aca="false">I18/D18-1</f>
        <v>-0.320544601312561</v>
      </c>
      <c r="K18" s="0" t="str">
        <f aca="false">IF(ABS(F18)&gt;rc_thr,"超過門檻","")</f>
        <v/>
      </c>
      <c r="L18" s="13" t="s">
        <v>664</v>
      </c>
    </row>
    <row r="19" customFormat="false" ht="15" hidden="false" customHeight="false" outlineLevel="0" collapsed="false">
      <c r="A19" s="9" t="s">
        <v>642</v>
      </c>
      <c r="B19" s="0" t="n">
        <v>2026</v>
      </c>
      <c r="C19" s="0" t="s">
        <v>665</v>
      </c>
      <c r="D19" s="17" t="n">
        <f aca="false">rc_gs26</f>
        <v>150</v>
      </c>
      <c r="E19" s="17" t="n">
        <f aca="false">Mkt!D127</f>
        <v>156.157050570127</v>
      </c>
      <c r="F19" s="18" t="n">
        <f aca="false">E19/D19-1</f>
        <v>0.0410470038008461</v>
      </c>
      <c r="G19" s="17" t="n">
        <f aca="false">Mkt!D146</f>
        <v>156.157050570127</v>
      </c>
      <c r="H19" s="18" t="n">
        <f aca="false">G19/D19-1</f>
        <v>0.0410470038008461</v>
      </c>
      <c r="I19" s="17" t="n">
        <f aca="false">Mkt!D165</f>
        <v>156.157050570127</v>
      </c>
      <c r="J19" s="18" t="n">
        <f aca="false">I19/D19-1</f>
        <v>0.0410470038008461</v>
      </c>
      <c r="K19" s="0" t="str">
        <f aca="false">IF(ABS(F19)&gt;rc_thr,"超過門檻","")</f>
        <v/>
      </c>
    </row>
    <row r="20" customFormat="false" ht="15" hidden="false" customHeight="false" outlineLevel="0" collapsed="false">
      <c r="A20" s="9" t="s">
        <v>642</v>
      </c>
      <c r="B20" s="0" t="n">
        <v>2027</v>
      </c>
      <c r="C20" s="0" t="s">
        <v>665</v>
      </c>
      <c r="D20" s="17" t="n">
        <f aca="false">rc_gs27</f>
        <v>218</v>
      </c>
      <c r="E20" s="17" t="n">
        <f aca="false">Mkt!E127</f>
        <v>192.795469377561</v>
      </c>
      <c r="F20" s="18" t="n">
        <f aca="false">E20/D20-1</f>
        <v>-0.115617112946969</v>
      </c>
      <c r="G20" s="17" t="n">
        <f aca="false">Mkt!E146</f>
        <v>192.795469377561</v>
      </c>
      <c r="H20" s="18" t="n">
        <f aca="false">G20/D20-1</f>
        <v>-0.115617112946969</v>
      </c>
      <c r="I20" s="17" t="n">
        <f aca="false">Mkt!E165</f>
        <v>192.795469377561</v>
      </c>
      <c r="J20" s="18" t="n">
        <f aca="false">I20/D20-1</f>
        <v>-0.115617112946969</v>
      </c>
      <c r="K20" s="0" t="str">
        <f aca="false">IF(ABS(F20)&gt;rc_thr,"超過門檻","")</f>
        <v/>
      </c>
    </row>
    <row r="21" customFormat="false" ht="15" hidden="false" customHeight="false" outlineLevel="0" collapsed="false">
      <c r="A21" s="9" t="s">
        <v>642</v>
      </c>
      <c r="B21" s="0" t="n">
        <v>2028</v>
      </c>
      <c r="C21" s="0" t="s">
        <v>665</v>
      </c>
      <c r="D21" s="17" t="n">
        <f aca="false">rc_gs28</f>
        <v>281</v>
      </c>
      <c r="E21" s="17" t="n">
        <f aca="false">Mkt!F127</f>
        <v>216.628626308958</v>
      </c>
      <c r="F21" s="18" t="n">
        <f aca="false">E21/D21-1</f>
        <v>-0.229079621676305</v>
      </c>
      <c r="G21" s="17" t="n">
        <f aca="false">Mkt!F146</f>
        <v>192.795469377561</v>
      </c>
      <c r="H21" s="18" t="n">
        <f aca="false">G21/D21-1</f>
        <v>-0.313895126770246</v>
      </c>
      <c r="I21" s="17" t="n">
        <f aca="false">Mkt!F165</f>
        <v>154.236375502049</v>
      </c>
      <c r="J21" s="18" t="n">
        <f aca="false">I21/D21-1</f>
        <v>-0.451116101416197</v>
      </c>
      <c r="K21" s="0" t="str">
        <f aca="false">IF(ABS(F21)&gt;rc_thr,"超過門檻","")</f>
        <v>超過門檻</v>
      </c>
    </row>
    <row r="23" customFormat="false" ht="15" hidden="false" customHeight="false" outlineLevel="0" collapsed="false">
      <c r="A23" s="8" t="s">
        <v>666</v>
      </c>
    </row>
    <row r="24" customFormat="false" ht="15" hidden="false" customHeight="false" outlineLevel="0" collapsed="false">
      <c r="A24" s="0" t="s">
        <v>667</v>
      </c>
      <c r="D24" s="23" t="n">
        <f aca="false">Mkt!D41+Mkt!D42+Mkt!D43+Mkt!D47-Mkt!D44</f>
        <v>0</v>
      </c>
    </row>
    <row r="25" customFormat="false" ht="15" hidden="false" customHeight="false" outlineLevel="0" collapsed="false">
      <c r="A25" s="9" t="s">
        <v>668</v>
      </c>
    </row>
    <row r="27" customFormat="false" ht="15" hidden="false" customHeight="false" outlineLevel="0" collapsed="false">
      <c r="A27" s="8" t="s">
        <v>669</v>
      </c>
    </row>
    <row r="28" customFormat="false" ht="15" hidden="false" customHeight="false" outlineLevel="0" collapsed="false">
      <c r="A28" s="5" t="s">
        <v>60</v>
      </c>
      <c r="B28" s="5"/>
      <c r="C28" s="5" t="s">
        <v>22</v>
      </c>
      <c r="D28" s="5" t="s">
        <v>630</v>
      </c>
      <c r="E28" s="5" t="s">
        <v>670</v>
      </c>
      <c r="F28" s="5" t="s">
        <v>671</v>
      </c>
      <c r="G28" s="5"/>
      <c r="H28" s="5"/>
      <c r="I28" s="5"/>
      <c r="J28" s="5"/>
      <c r="K28" s="5"/>
      <c r="L28" s="5" t="s">
        <v>638</v>
      </c>
    </row>
    <row r="29" customFormat="false" ht="15" hidden="false" customHeight="false" outlineLevel="0" collapsed="false">
      <c r="A29" s="9" t="s">
        <v>672</v>
      </c>
      <c r="C29" s="9" t="s">
        <v>673</v>
      </c>
      <c r="D29" s="18" t="n">
        <f aca="false">TSMC!H12</f>
        <v>0.601029392037391</v>
      </c>
      <c r="E29" s="18" t="n">
        <f aca="false">sh_fd</f>
        <v>0.64</v>
      </c>
      <c r="F29" s="18" t="n">
        <f aca="false">E29-D29</f>
        <v>0.0389706079626087</v>
      </c>
      <c r="L29" s="9" t="s">
        <v>674</v>
      </c>
    </row>
    <row r="30" customFormat="false" ht="15" hidden="false" customHeight="false" outlineLevel="0" collapsed="false">
      <c r="A30" s="9" t="s">
        <v>675</v>
      </c>
      <c r="C30" s="9" t="s">
        <v>371</v>
      </c>
      <c r="D30" s="18" t="n">
        <f aca="false">TSMC!H10</f>
        <v>0.547958161789251</v>
      </c>
      <c r="E30" s="18" t="n">
        <f aca="false">sh_fd</f>
        <v>0.64</v>
      </c>
      <c r="F30" s="18" t="n">
        <f aca="false">E30-D30</f>
        <v>0.0920418382107489</v>
      </c>
      <c r="L30" s="9" t="s">
        <v>676</v>
      </c>
    </row>
    <row r="31" customFormat="false" ht="15" hidden="false" customHeight="false" outlineLevel="0" collapsed="false">
      <c r="A31" s="9" t="s">
        <v>677</v>
      </c>
      <c r="C31" s="9" t="s">
        <v>371</v>
      </c>
      <c r="D31" s="18" t="n">
        <f aca="false">TSMC!H11</f>
        <v>0.619080509797614</v>
      </c>
      <c r="E31" s="18" t="n">
        <f aca="false">sh_fd</f>
        <v>0.64</v>
      </c>
      <c r="F31" s="18" t="n">
        <f aca="false">E31-D31</f>
        <v>0.0209194902023863</v>
      </c>
    </row>
    <row r="32" customFormat="false" ht="15" hidden="false" customHeight="false" outlineLevel="0" collapsed="false">
      <c r="A32" s="9" t="s">
        <v>678</v>
      </c>
      <c r="C32" s="9" t="s">
        <v>679</v>
      </c>
      <c r="D32" s="18" t="n">
        <f aca="false">AVERAGE(TSMC!B39,TSMC!D39)</f>
        <v>0.75</v>
      </c>
      <c r="E32" s="18" t="n">
        <f aca="false">sh_fd</f>
        <v>0.64</v>
      </c>
      <c r="F32" s="18" t="n">
        <f aca="false">E32-D32</f>
        <v>-0.11</v>
      </c>
      <c r="L32" s="9" t="s">
        <v>680</v>
      </c>
    </row>
    <row r="33" customFormat="false" ht="15" hidden="false" customHeight="false" outlineLevel="0" collapsed="false">
      <c r="A33" s="9" t="s">
        <v>681</v>
      </c>
      <c r="C33" s="0" t="s">
        <v>682</v>
      </c>
      <c r="D33" s="18" t="n">
        <f aca="false">sh_oth</f>
        <v>0.64</v>
      </c>
      <c r="E33" s="18" t="n">
        <f aca="false">sh_fd</f>
        <v>0.64</v>
      </c>
      <c r="F33" s="18" t="n">
        <f aca="false">E33-D33</f>
        <v>0</v>
      </c>
      <c r="L33" s="13" t="s">
        <v>683</v>
      </c>
    </row>
    <row r="34" customFormat="false" ht="15" hidden="false" customHeight="false" outlineLevel="0" collapsed="false">
      <c r="A34" s="0" t="s">
        <v>684</v>
      </c>
      <c r="C34" s="0" t="s">
        <v>605</v>
      </c>
      <c r="D34" s="18" t="n">
        <f aca="false">sh_sk</f>
        <v>0.455453003642102</v>
      </c>
      <c r="E34" s="18" t="n">
        <f aca="false">sh_fd</f>
        <v>0.64</v>
      </c>
      <c r="F34" s="18" t="n">
        <f aca="false">E34-D34</f>
        <v>0.184546996357898</v>
      </c>
      <c r="L34" s="9" t="s">
        <v>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0" t="s">
        <v>686</v>
      </c>
    </row>
    <row r="3" customFormat="false" ht="15" hidden="false" customHeight="false" outlineLevel="0" collapsed="false">
      <c r="A3" s="5" t="s">
        <v>687</v>
      </c>
      <c r="B3" s="28" t="s">
        <v>688</v>
      </c>
      <c r="C3" s="5" t="s">
        <v>689</v>
      </c>
      <c r="D3" s="28" t="s">
        <v>690</v>
      </c>
      <c r="E3" s="5" t="s">
        <v>689</v>
      </c>
      <c r="F3" s="28" t="s">
        <v>691</v>
      </c>
      <c r="G3" s="5" t="s">
        <v>689</v>
      </c>
      <c r="H3" s="5" t="s">
        <v>385</v>
      </c>
    </row>
    <row r="4" customFormat="false" ht="15" hidden="false" customHeight="false" outlineLevel="0" collapsed="false">
      <c r="A4" s="9" t="s">
        <v>692</v>
      </c>
      <c r="B4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C4" s="18" t="n">
        <f aca="false">B4/B$4-1</f>
        <v>0</v>
      </c>
      <c r="D4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)^3)+Mkt!F50*(((cap_sk_28*1000/fx*sh_sk+cap_mu_28*sh_mu_27+cap_ss_28*1000/fx*sh_ss)+(((Mkt!$C$57-Mkt!$C$54+ind_cxmt)*sh_oth))*(1+g_oth_dram)^3+((Mkt!$C$61*sh_oth))*(1+g_oth_nand)^3)+(cap_ts_28*(1-0)*sh_fd+MAX(Mkt!$C$43-cap_ts_25*(1-0)*sh_fd,0)*(1+g_oth_fd)^3))+Mkt!F116+Mkt!F117</f>
        <v>246.028626308958</v>
      </c>
      <c r="E4" s="18" t="n">
        <f aca="false">D4/D$4-1</f>
        <v>0</v>
      </c>
      <c r="F4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)^4)+Mkt!G50*(((cap_sk_29*1000/fx*sh_sk+cap_mu_29*sh_mu_27+cap_ss_29*1000/fx*sh_ss)+(((Mkt!$C$57-Mkt!$C$54+ind_cxmt)*sh_oth))*(1+g_oth_dram)^4+((Mkt!$C$61*sh_oth))*(1+g_oth_nand)^4)+(cap_ts_29*(1-0)*sh_fd+MAX(Mkt!$C$43-cap_ts_25*(1-0)*sh_fd,0)*(1+g_oth_fd)^4))+Mkt!G116+Mkt!G117</f>
        <v>260.655685855226</v>
      </c>
      <c r="G4" s="18" t="n">
        <f aca="false">F4/F$4-1</f>
        <v>0</v>
      </c>
      <c r="H4" s="9" t="s">
        <v>693</v>
      </c>
    </row>
    <row r="5" customFormat="false" ht="15" hidden="false" customHeight="false" outlineLevel="0" collapsed="false">
      <c r="A5" s="0" t="s">
        <v>694</v>
      </c>
      <c r="B5" s="17" t="n">
        <f aca="false">((cap_sk_27*1000/fx*sh_sk_lo+cap_mu_27*sh_mu_27+cap_ss_27*1000/fx*sh_ss_lo)+(((Mkt!$C$57-Mkt!$C$54+ind_cxmt_hi)*sh_oth))*(1+g_oth_dram)^2+((Mkt!$C$61*sh_oth))*(1+g_oth_nand)^2)+(cap_ts_27*(1-0)*sh_fd+MAX(Mkt!$C$43-cap_ts_25*(1-0)*sh_fd,0)*(1+g_oth_fd)^2)+Mkt!E50*(((cap_sk_27*1000/fx*sh_sk_lo+cap_mu_27*sh_mu_27+cap_ss_27*1000/fx*sh_ss_lo)+(((Mkt!$C$57-Mkt!$C$54+ind_cxmt_hi)*sh_oth))*(1+g_oth_dram)^2+((Mkt!$C$61*sh_oth))*(1+g_oth_nand)^2)+(cap_ts_27*(1-0)*sh_fd+MAX(Mkt!$C$43-cap_ts_25*(1-0)*sh_fd,0)*(1+g_oth_fd)^2))+Mkt!E116+Mkt!E117</f>
        <v>216.519979836175</v>
      </c>
      <c r="C5" s="18" t="n">
        <f aca="false">B5/B$4-1</f>
        <v>-0.00781556529563476</v>
      </c>
      <c r="D5" s="17" t="n">
        <f aca="false">((cap_sk_28*1000/fx*sh_sk_lo+cap_mu_28*sh_mu_27+cap_ss_28*1000/fx*sh_ss_lo)+(((Mkt!$C$57-Mkt!$C$54+ind_cxmt_hi)*sh_oth))*(1+g_oth_dram)^3+((Mkt!$C$61*sh_oth))*(1+g_oth_nand)^3)+(cap_ts_28*(1-0)*sh_fd+MAX(Mkt!$C$43-cap_ts_25*(1-0)*sh_fd,0)*(1+g_oth_fd)^3)+Mkt!F50*(((cap_sk_28*1000/fx*sh_sk_lo+cap_mu_28*sh_mu_27+cap_ss_28*1000/fx*sh_ss_lo)+(((Mkt!$C$57-Mkt!$C$54+ind_cxmt_hi)*sh_oth))*(1+g_oth_dram)^3+((Mkt!$C$61*sh_oth))*(1+g_oth_nand)^3)+(cap_ts_28*(1-0)*sh_fd+MAX(Mkt!$C$43-cap_ts_25*(1-0)*sh_fd,0)*(1+g_oth_fd)^3))+Mkt!F116+Mkt!F117</f>
        <v>244.411998461742</v>
      </c>
      <c r="E5" s="18" t="n">
        <f aca="false">D5/D$4-1</f>
        <v>-0.00657089327965477</v>
      </c>
      <c r="F5" s="17" t="n">
        <f aca="false">((cap_sk_29*1000/fx*sh_sk_lo+cap_mu_29*sh_mu_27+cap_ss_29*1000/fx*sh_ss_lo)+(((Mkt!$C$57-Mkt!$C$54+ind_cxmt_hi)*sh_oth))*(1+g_oth_dram)^4+((Mkt!$C$61*sh_oth))*(1+g_oth_nand)^4)+(cap_ts_29*(1-0)*sh_fd+MAX(Mkt!$C$43-cap_ts_25*(1-0)*sh_fd,0)*(1+g_oth_fd)^4)+Mkt!G50*(((cap_sk_29*1000/fx*sh_sk_lo+cap_mu_29*sh_mu_27+cap_ss_29*1000/fx*sh_ss_lo)+(((Mkt!$C$57-Mkt!$C$54+ind_cxmt_hi)*sh_oth))*(1+g_oth_dram)^4+((Mkt!$C$61*sh_oth))*(1+g_oth_nand)^4)+(cap_ts_29*(1-0)*sh_fd+MAX(Mkt!$C$43-cap_ts_25*(1-0)*sh_fd,0)*(1+g_oth_fd)^4))+Mkt!G116+Mkt!G117</f>
        <v>259.911027390229</v>
      </c>
      <c r="G5" s="18" t="n">
        <f aca="false">F5/F$4-1</f>
        <v>-0.00285686637739746</v>
      </c>
    </row>
    <row r="6" customFormat="false" ht="15" hidden="false" customHeight="false" outlineLevel="0" collapsed="false">
      <c r="A6" s="0" t="s">
        <v>695</v>
      </c>
      <c r="B6" s="17" t="n">
        <f aca="false">((cap_sk_27*1000/fx*sh_sk_hi+cap_mu_27*sh_mu_27+cap_ss_27*1000/fx*sh_ss_hi)+(((Mkt!$C$57-Mkt!$C$54+ind_cxmt)*sh_oth))*(1+g_oth_dram)^2+((Mkt!$C$61*sh_oth))*(1+g_oth_nand)^2)+(cap_ts_27*(1-0)*sh_fd+MAX(Mkt!$C$43-cap_ts_25*(1-0)*sh_fd,0)*(1+g_oth_fd)^2)+Mkt!E50*(((cap_sk_27*1000/fx*sh_sk_hi+cap_mu_27*sh_mu_27+cap_ss_27*1000/fx*sh_ss_hi)+(((Mkt!$C$57-Mkt!$C$54+ind_cxmt)*sh_oth))*(1+g_oth_dram)^2+((Mkt!$C$61*sh_oth))*(1+g_oth_nand)^2)+(cap_ts_27*(1-0)*sh_fd+MAX(Mkt!$C$43-cap_ts_25*(1-0)*sh_fd,0)*(1+g_oth_fd)^2))+Mkt!E116+Mkt!E117</f>
        <v>230.265206243736</v>
      </c>
      <c r="C6" s="18" t="n">
        <f aca="false">B6/B$4-1</f>
        <v>0.0551707683599882</v>
      </c>
      <c r="D6" s="17" t="n">
        <f aca="false">((cap_sk_28*1000/fx*sh_sk_hi+cap_mu_28*sh_mu_27+cap_ss_28*1000/fx*sh_ss_hi)+(((Mkt!$C$57-Mkt!$C$54+ind_cxmt)*sh_oth))*(1+g_oth_dram)^3+((Mkt!$C$61*sh_oth))*(1+g_oth_nand)^3)+(cap_ts_28*(1-0)*sh_fd+MAX(Mkt!$C$43-cap_ts_25*(1-0)*sh_fd,0)*(1+g_oth_fd)^3)+Mkt!F50*(((cap_sk_28*1000/fx*sh_sk_hi+cap_mu_28*sh_mu_27+cap_ss_28*1000/fx*sh_ss_hi)+(((Mkt!$C$57-Mkt!$C$54+ind_cxmt)*sh_oth))*(1+g_oth_dram)^3+((Mkt!$C$61*sh_oth))*(1+g_oth_nand)^3)+(cap_ts_28*(1-0)*sh_fd+MAX(Mkt!$C$43-cap_ts_25*(1-0)*sh_fd,0)*(1+g_oth_fd)^3))+Mkt!F116+Mkt!F117</f>
        <v>259.535108650392</v>
      </c>
      <c r="E6" s="18" t="n">
        <f aca="false">D6/D$4-1</f>
        <v>0.054898011439011</v>
      </c>
      <c r="F6" s="17" t="n">
        <f aca="false">((cap_sk_29*1000/fx*sh_sk_hi+cap_mu_29*sh_mu_27+cap_ss_29*1000/fx*sh_ss_hi)+(((Mkt!$C$57-Mkt!$C$54+ind_cxmt)*sh_oth))*(1+g_oth_dram)^4+((Mkt!$C$61*sh_oth))*(1+g_oth_nand)^4)+(cap_ts_29*(1-0)*sh_fd+MAX(Mkt!$C$43-cap_ts_25*(1-0)*sh_fd,0)*(1+g_oth_fd)^4)+Mkt!G50*(((cap_sk_29*1000/fx*sh_sk_hi+cap_mu_29*sh_mu_27+cap_ss_29*1000/fx*sh_ss_hi)+(((Mkt!$C$57-Mkt!$C$54+ind_cxmt)*sh_oth))*(1+g_oth_dram)^4+((Mkt!$C$61*sh_oth))*(1+g_oth_nand)^4)+(cap_ts_29*(1-0)*sh_fd+MAX(Mkt!$C$43-cap_ts_25*(1-0)*sh_fd,0)*(1+g_oth_fd)^4))+Mkt!G116+Mkt!G117</f>
        <v>274.536254442268</v>
      </c>
      <c r="G6" s="18" t="n">
        <f aca="false">F6/F$4-1</f>
        <v>0.0532525064300771</v>
      </c>
    </row>
    <row r="7" customFormat="false" ht="15" hidden="false" customHeight="false" outlineLevel="0" collapsed="false">
      <c r="A7" s="9" t="s">
        <v>696</v>
      </c>
      <c r="B7" s="17" t="n">
        <f aca="false">((cap_sk_27*1000/fx*sh_oth+cap_mu_27*sh_mu_27+cap_ss_27*1000/fx*sh_oth)+(((Mkt!$C$57-Mkt!$C$54+ind_cxmt)*sh_oth))*(1+g_oth_dram)^2+((Mkt!$C$61*sh_oth))*(1+g_oth_nand)^2)+(cap_ts_27*(1-0)*sh_fd+MAX(Mkt!$C$43-cap_ts_25*(1-0)*sh_fd,0)*(1+g_oth_fd)^2)+Mkt!E50*(((cap_sk_27*1000/fx*sh_oth+cap_mu_27*sh_mu_27+cap_ss_27*1000/fx*sh_oth)+(((Mkt!$C$57-Mkt!$C$54+ind_cxmt)*sh_oth))*(1+g_oth_dram)^2+((Mkt!$C$61*sh_oth))*(1+g_oth_nand)^2)+(cap_ts_27*(1-0)*sh_fd+MAX(Mkt!$C$43-cap_ts_25*(1-0)*sh_fd,0)*(1+g_oth_fd)^2))+Mkt!E116+Mkt!E117</f>
        <v>236.065267667485</v>
      </c>
      <c r="C7" s="18" t="n">
        <f aca="false">B7/B$4-1</f>
        <v>0.0817490576676401</v>
      </c>
      <c r="D7" s="17" t="n">
        <f aca="false">((cap_sk_28*1000/fx*sh_oth+cap_mu_28*sh_mu_27+cap_ss_28*1000/fx*sh_oth)+(((Mkt!$C$57-Mkt!$C$54+ind_cxmt)*sh_oth))*(1+g_oth_dram)^3+((Mkt!$C$61*sh_oth))*(1+g_oth_nand)^3)+(cap_ts_28*(1-0)*sh_fd+MAX(Mkt!$C$43-cap_ts_25*(1-0)*sh_fd,0)*(1+g_oth_fd)^3)+Mkt!F50*(((cap_sk_28*1000/fx*sh_oth+cap_mu_28*sh_mu_27+cap_ss_28*1000/fx*sh_oth)+(((Mkt!$C$57-Mkt!$C$54+ind_cxmt)*sh_oth))*(1+g_oth_dram)^3+((Mkt!$C$61*sh_oth))*(1+g_oth_nand)^3)+(cap_ts_28*(1-0)*sh_fd+MAX(Mkt!$C$43-cap_ts_25*(1-0)*sh_fd,0)*(1+g_oth_fd)^3))+Mkt!F116+Mkt!F117</f>
        <v>266.041800615546</v>
      </c>
      <c r="E7" s="18" t="n">
        <f aca="false">D7/D$4-1</f>
        <v>0.0813449012289131</v>
      </c>
      <c r="F7" s="17" t="n">
        <f aca="false">((cap_sk_29*1000/fx*sh_oth+cap_mu_29*sh_mu_27+cap_ss_29*1000/fx*sh_oth)+(((Mkt!$C$57-Mkt!$C$54+ind_cxmt)*sh_oth))*(1+g_oth_dram)^4+((Mkt!$C$61*sh_oth))*(1+g_oth_nand)^4)+(cap_ts_29*(1-0)*sh_fd+MAX(Mkt!$C$43-cap_ts_25*(1-0)*sh_fd,0)*(1+g_oth_fd)^4)+Mkt!G50*(((cap_sk_29*1000/fx*sh_oth+cap_mu_29*sh_mu_27+cap_ss_29*1000/fx*sh_oth)+(((Mkt!$C$57-Mkt!$C$54+ind_cxmt)*sh_oth))*(1+g_oth_dram)^4+((Mkt!$C$61*sh_oth))*(1+g_oth_nand)^4)+(cap_ts_29*(1-0)*sh_fd+MAX(Mkt!$C$43-cap_ts_25*(1-0)*sh_fd,0)*(1+g_oth_fd)^4))+Mkt!G116+Mkt!G117</f>
        <v>281.223160907914</v>
      </c>
      <c r="G7" s="18" t="n">
        <f aca="false">F7/F$4-1</f>
        <v>0.0789066809926098</v>
      </c>
    </row>
    <row r="8" customFormat="false" ht="15" hidden="false" customHeight="false" outlineLevel="0" collapsed="false">
      <c r="A8" s="9" t="s">
        <v>697</v>
      </c>
      <c r="B8" s="17" t="n">
        <f aca="false">((cap_sk_27*1000/fx*((Mkt!$C$73-((Mkt!$C$57-Mkt!$C$54+ind_cxmt_hi+Mkt!$C$61)*sh_oth)-(cap_mu_25*sh_mu_25))/(cap_sk_25*1000/fx+cap_ssds_25*ss_mem*1000/fx))+cap_mu_27*sh_mu_27+cap_ss_27*1000/fx*((Mkt!$C$73-((Mkt!$C$57-Mkt!$C$54+ind_cxmt_hi+Mkt!$C$61)*sh_oth)-(cap_mu_25*sh_mu_25))/(cap_sk_25*1000/fx+cap_ssds_25*ss_mem*1000/fx)))+(((Mkt!$C$57-Mkt!$C$54+ind_cxmt_hi)*sh_oth))*(1+g_oth_dram)^2+((Mkt!$C$61*sh_oth))*(1+g_oth_nand)^2)+(cap_ts_27*(1-0)*sh_fd+MAX(Mkt!$C$43-cap_ts_25*(1-0)*sh_fd,0)*(1+g_oth_fd)^2)+Mkt!E50*(((cap_sk_27*1000/fx*((Mkt!$C$73-((Mkt!$C$57-Mkt!$C$54+ind_cxmt_hi+Mkt!$C$61)*sh_oth)-(cap_mu_25*sh_mu_25))/(cap_sk_25*1000/fx+cap_ssds_25*ss_mem*1000/fx))+cap_mu_27*sh_mu_27+cap_ss_27*1000/fx*((Mkt!$C$73-((Mkt!$C$57-Mkt!$C$54+ind_cxmt_hi+Mkt!$C$61)*sh_oth)-(cap_mu_25*sh_mu_25))/(cap_sk_25*1000/fx+cap_ssds_25*ss_mem*1000/fx)))+(((Mkt!$C$57-Mkt!$C$54+ind_cxmt_hi)*sh_oth))*(1+g_oth_dram)^2+((Mkt!$C$61*sh_oth))*(1+g_oth_nand)^2)+(cap_ts_27*(1-0)*sh_fd+MAX(Mkt!$C$43-cap_ts_25*(1-0)*sh_fd,0)*(1+g_oth_fd)^2))+Mkt!E116+Mkt!E117</f>
        <v>216.519979836175</v>
      </c>
      <c r="C8" s="18" t="n">
        <f aca="false">B8/B$4-1</f>
        <v>-0.00781556529563476</v>
      </c>
      <c r="D8" s="17" t="n">
        <f aca="false">((cap_sk_28*1000/fx*((Mkt!$C$73-((Mkt!$C$57-Mkt!$C$54+ind_cxmt_hi+Mkt!$C$61)*sh_oth)-(cap_mu_25*sh_mu_25))/(cap_sk_25*1000/fx+cap_ssds_25*ss_mem*1000/fx))+cap_mu_28*sh_mu_27+cap_ss_28*1000/fx*((Mkt!$C$73-((Mkt!$C$57-Mkt!$C$54+ind_cxmt_hi+Mkt!$C$61)*sh_oth)-(cap_mu_25*sh_mu_25))/(cap_sk_25*1000/fx+cap_ssds_25*ss_mem*1000/fx)))+(((Mkt!$C$57-Mkt!$C$54+ind_cxmt_hi)*sh_oth))*(1+g_oth_dram)^3+((Mkt!$C$61*sh_oth))*(1+g_oth_nand)^3)+(cap_ts_28*(1-0)*sh_fd+MAX(Mkt!$C$43-cap_ts_25*(1-0)*sh_fd,0)*(1+g_oth_fd)^3)+Mkt!F50*(((cap_sk_28*1000/fx*((Mkt!$C$73-((Mkt!$C$57-Mkt!$C$54+ind_cxmt_hi+Mkt!$C$61)*sh_oth)-(cap_mu_25*sh_mu_25))/(cap_sk_25*1000/fx+cap_ssds_25*ss_mem*1000/fx))+cap_mu_28*sh_mu_27+cap_ss_28*1000/fx*((Mkt!$C$73-((Mkt!$C$57-Mkt!$C$54+ind_cxmt_hi+Mkt!$C$61)*sh_oth)-(cap_mu_25*sh_mu_25))/(cap_sk_25*1000/fx+cap_ssds_25*ss_mem*1000/fx)))+(((Mkt!$C$57-Mkt!$C$54+ind_cxmt_hi)*sh_oth))*(1+g_oth_dram)^3+((Mkt!$C$61*sh_oth))*(1+g_oth_nand)^3)+(cap_ts_28*(1-0)*sh_fd+MAX(Mkt!$C$43-cap_ts_25*(1-0)*sh_fd,0)*(1+g_oth_fd)^3))+Mkt!F116+Mkt!F117</f>
        <v>244.411998461742</v>
      </c>
      <c r="E8" s="18" t="n">
        <f aca="false">D8/D$4-1</f>
        <v>-0.00657089327965477</v>
      </c>
      <c r="F8" s="17" t="n">
        <f aca="false">((cap_sk_29*1000/fx*((Mkt!$C$73-((Mkt!$C$57-Mkt!$C$54+ind_cxmt_hi+Mkt!$C$61)*sh_oth)-(cap_mu_25*sh_mu_25))/(cap_sk_25*1000/fx+cap_ssds_25*ss_mem*1000/fx))+cap_mu_29*sh_mu_27+cap_ss_29*1000/fx*((Mkt!$C$73-((Mkt!$C$57-Mkt!$C$54+ind_cxmt_hi+Mkt!$C$61)*sh_oth)-(cap_mu_25*sh_mu_25))/(cap_sk_25*1000/fx+cap_ssds_25*ss_mem*1000/fx)))+(((Mkt!$C$57-Mkt!$C$54+ind_cxmt_hi)*sh_oth))*(1+g_oth_dram)^4+((Mkt!$C$61*sh_oth))*(1+g_oth_nand)^4)+(cap_ts_29*(1-0)*sh_fd+MAX(Mkt!$C$43-cap_ts_25*(1-0)*sh_fd,0)*(1+g_oth_fd)^4)+Mkt!G50*(((cap_sk_29*1000/fx*((Mkt!$C$73-((Mkt!$C$57-Mkt!$C$54+ind_cxmt_hi+Mkt!$C$61)*sh_oth)-(cap_mu_25*sh_mu_25))/(cap_sk_25*1000/fx+cap_ssds_25*ss_mem*1000/fx))+cap_mu_29*sh_mu_27+cap_ss_29*1000/fx*((Mkt!$C$73-((Mkt!$C$57-Mkt!$C$54+ind_cxmt_hi+Mkt!$C$61)*sh_oth)-(cap_mu_25*sh_mu_25))/(cap_sk_25*1000/fx+cap_ssds_25*ss_mem*1000/fx)))+(((Mkt!$C$57-Mkt!$C$54+ind_cxmt_hi)*sh_oth))*(1+g_oth_dram)^4+((Mkt!$C$61*sh_oth))*(1+g_oth_nand)^4)+(cap_ts_29*(1-0)*sh_fd+MAX(Mkt!$C$43-cap_ts_25*(1-0)*sh_fd,0)*(1+g_oth_fd)^4))+Mkt!G116+Mkt!G117</f>
        <v>259.911027390229</v>
      </c>
      <c r="G8" s="18" t="n">
        <f aca="false">F8/F$4-1</f>
        <v>-0.00285686637739746</v>
      </c>
    </row>
    <row r="9" customFormat="false" ht="15" hidden="false" customHeight="false" outlineLevel="0" collapsed="false">
      <c r="A9" s="9" t="s">
        <v>698</v>
      </c>
      <c r="B9" s="17" t="n">
        <f aca="false">((cap_sk_27*1000/fx*((Mkt!$C$73-((Mkt!$C$57-Mkt!$C$54+ind_cxmt+Mkt!$C$61)*sh_oth)-(cap_mu_25*sh_mu_25_lo))/(cap_sk_25*1000/fx+cap_ssds_25*ss_mem*1000/fx))+cap_mu_27*sh_mu_27_lo+cap_ss_27*1000/fx*((Mkt!$C$73-((Mkt!$C$57-Mkt!$C$54+ind_cxmt+Mkt!$C$61)*sh_oth)-(cap_mu_25*sh_mu_25_lo))/(cap_sk_25*1000/fx+cap_ssds_25*ss_mem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_lo))/(cap_sk_25*1000/fx+cap_ssds_25*ss_mem*1000/fx))+cap_mu_27*sh_mu_27_lo+cap_ss_27*1000/fx*((Mkt!$C$73-((Mkt!$C$57-Mkt!$C$54+ind_cxmt+Mkt!$C$61)*sh_oth)-(cap_mu_25*sh_mu_25_lo))/(cap_sk_25*1000/fx+cap_ssds_25*ss_mem*1000/fx)))+(((Mkt!$C$57-Mkt!$C$54+ind_cxmt)*sh_oth))*(1+g_oth_dram)^2+((Mkt!$C$61*sh_oth))*(1+g_oth_nand)^2)+(cap_ts_27*(1-0)*sh_fd+MAX(Mkt!$C$43-cap_ts_25*(1-0)*sh_fd,0)*(1+g_oth_fd)^2))+Mkt!E116+Mkt!E117</f>
        <v>215.322352222053</v>
      </c>
      <c r="C9" s="18" t="n">
        <f aca="false">B9/B$4-1</f>
        <v>-0.0133035922121461</v>
      </c>
      <c r="D9" s="17" t="n">
        <f aca="false">((cap_sk_28*1000/fx*((Mkt!$C$73-((Mkt!$C$57-Mkt!$C$54+ind_cxmt+Mkt!$C$61)*sh_oth)-(cap_mu_25*sh_mu_25_lo))/(cap_sk_25*1000/fx+cap_ssds_25*ss_mem*1000/fx))+cap_mu_28*sh_mu_27_lo+cap_ss_28*1000/fx*((Mkt!$C$73-((Mkt!$C$57-Mkt!$C$54+ind_cxmt+Mkt!$C$61)*sh_oth)-(cap_mu_25*sh_mu_25_lo))/(cap_sk_25*1000/fx+cap_ssds_25*ss_mem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_lo))/(cap_sk_25*1000/fx+cap_ssds_25*ss_mem*1000/fx))+cap_mu_28*sh_mu_27_lo+cap_ss_28*1000/fx*((Mkt!$C$73-((Mkt!$C$57-Mkt!$C$54+ind_cxmt+Mkt!$C$61)*sh_oth)-(cap_mu_25*sh_mu_25_lo))/(cap_sk_25*1000/fx+cap_ssds_25*ss_mem*1000/fx)))+(((Mkt!$C$57-Mkt!$C$54+ind_cxmt)*sh_oth))*(1+g_oth_dram)^3+((Mkt!$C$61*sh_oth))*(1+g_oth_nand)^3)+(cap_ts_28*(1-0)*sh_fd+MAX(Mkt!$C$43-cap_ts_25*(1-0)*sh_fd,0)*(1+g_oth_fd)^3))+Mkt!F116+Mkt!F117</f>
        <v>242.914909874382</v>
      </c>
      <c r="E9" s="18" t="n">
        <f aca="false">D9/D$4-1</f>
        <v>-0.0126559111485927</v>
      </c>
      <c r="F9" s="17" t="n">
        <f aca="false">((cap_sk_29*1000/fx*((Mkt!$C$73-((Mkt!$C$57-Mkt!$C$54+ind_cxmt+Mkt!$C$61)*sh_oth)-(cap_mu_25*sh_mu_25_lo))/(cap_sk_25*1000/fx+cap_ssds_25*ss_mem*1000/fx))+cap_mu_29*sh_mu_27_lo+cap_ss_29*1000/fx*((Mkt!$C$73-((Mkt!$C$57-Mkt!$C$54+ind_cxmt+Mkt!$C$61)*sh_oth)-(cap_mu_25*sh_mu_25_lo))/(cap_sk_25*1000/fx+cap_ssds_25*ss_mem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_lo))/(cap_sk_25*1000/fx+cap_ssds_25*ss_mem*1000/fx))+cap_mu_29*sh_mu_27_lo+cap_ss_29*1000/fx*((Mkt!$C$73-((Mkt!$C$57-Mkt!$C$54+ind_cxmt+Mkt!$C$61)*sh_oth)-(cap_mu_25*sh_mu_25_lo))/(cap_sk_25*1000/fx+cap_ssds_25*ss_mem*1000/fx)))+(((Mkt!$C$57-Mkt!$C$54+ind_cxmt)*sh_oth))*(1+g_oth_dram)^4+((Mkt!$C$61*sh_oth))*(1+g_oth_nand)^4)+(cap_ts_29*(1-0)*sh_fd+MAX(Mkt!$C$43-cap_ts_25*(1-0)*sh_fd,0)*(1+g_oth_fd)^4))+Mkt!G116+Mkt!G117</f>
        <v>257.595618996823</v>
      </c>
      <c r="G9" s="18" t="n">
        <f aca="false">F9/F$4-1</f>
        <v>-0.0117398814775984</v>
      </c>
    </row>
    <row r="10" customFormat="false" ht="15" hidden="false" customHeight="false" outlineLevel="0" collapsed="false">
      <c r="A10" s="9" t="s">
        <v>699</v>
      </c>
      <c r="B10" s="17" t="n">
        <f aca="false">((cap_sk_27*1000/fx*((Mkt!$C$73-((Mkt!$C$57-Mkt!$C$54+ind_cxmt+Mkt!$C$61)*sh_oth)-(cap_mu_25*sh_mu_25_hi))/(cap_sk_25*1000/fx+cap_ssds_25*ss_mem*1000/fx))+cap_mu_27*sh_mu_27_hi+cap_ss_27*1000/fx*((Mkt!$C$73-((Mkt!$C$57-Mkt!$C$54+ind_cxmt+Mkt!$C$61)*sh_oth)-(cap_mu_25*sh_mu_25_hi))/(cap_sk_25*1000/fx+cap_ssds_25*ss_mem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_hi))/(cap_sk_25*1000/fx+cap_ssds_25*ss_mem*1000/fx))+cap_mu_27*sh_mu_27_hi+cap_ss_27*1000/fx*((Mkt!$C$73-((Mkt!$C$57-Mkt!$C$54+ind_cxmt+Mkt!$C$61)*sh_oth)-(cap_mu_25*sh_mu_25_hi))/(cap_sk_25*1000/fx+cap_ssds_25*ss_mem*1000/fx)))+(((Mkt!$C$57-Mkt!$C$54+ind_cxmt)*sh_oth))*(1+g_oth_dram)^2+((Mkt!$C$61*sh_oth))*(1+g_oth_nand)^2)+(cap_ts_27*(1-0)*sh_fd+MAX(Mkt!$C$43-cap_ts_25*(1-0)*sh_fd,0)*(1+g_oth_fd)^2))+Mkt!E116+Mkt!E117</f>
        <v>221.128719298112</v>
      </c>
      <c r="C10" s="18" t="n">
        <f aca="false">B10/B$4-1</f>
        <v>0.0133035922121463</v>
      </c>
      <c r="D10" s="17" t="n">
        <f aca="false">((cap_sk_28*1000/fx*((Mkt!$C$73-((Mkt!$C$57-Mkt!$C$54+ind_cxmt+Mkt!$C$61)*sh_oth)-(cap_mu_25*sh_mu_25_hi))/(cap_sk_25*1000/fx+cap_ssds_25*ss_mem*1000/fx))+cap_mu_28*sh_mu_27_hi+cap_ss_28*1000/fx*((Mkt!$C$73-((Mkt!$C$57-Mkt!$C$54+ind_cxmt+Mkt!$C$61)*sh_oth)-(cap_mu_25*sh_mu_25_hi))/(cap_sk_25*1000/fx+cap_ssds_25*ss_mem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_hi))/(cap_sk_25*1000/fx+cap_ssds_25*ss_mem*1000/fx))+cap_mu_28*sh_mu_27_hi+cap_ss_28*1000/fx*((Mkt!$C$73-((Mkt!$C$57-Mkt!$C$54+ind_cxmt+Mkt!$C$61)*sh_oth)-(cap_mu_25*sh_mu_25_hi))/(cap_sk_25*1000/fx+cap_ssds_25*ss_mem*1000/fx)))+(((Mkt!$C$57-Mkt!$C$54+ind_cxmt)*sh_oth))*(1+g_oth_dram)^3+((Mkt!$C$61*sh_oth))*(1+g_oth_nand)^3)+(cap_ts_28*(1-0)*sh_fd+MAX(Mkt!$C$43-cap_ts_25*(1-0)*sh_fd,0)*(1+g_oth_fd)^3))+Mkt!F116+Mkt!F117</f>
        <v>249.142342743535</v>
      </c>
      <c r="E10" s="18" t="n">
        <f aca="false">D10/D$4-1</f>
        <v>0.0126559111485924</v>
      </c>
      <c r="F10" s="17" t="n">
        <f aca="false">((cap_sk_29*1000/fx*((Mkt!$C$73-((Mkt!$C$57-Mkt!$C$54+ind_cxmt+Mkt!$C$61)*sh_oth)-(cap_mu_25*sh_mu_25_hi))/(cap_sk_25*1000/fx+cap_ssds_25*ss_mem*1000/fx))+cap_mu_29*sh_mu_27_hi+cap_ss_29*1000/fx*((Mkt!$C$73-((Mkt!$C$57-Mkt!$C$54+ind_cxmt+Mkt!$C$61)*sh_oth)-(cap_mu_25*sh_mu_25_hi))/(cap_sk_25*1000/fx+cap_ssds_25*ss_mem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_hi))/(cap_sk_25*1000/fx+cap_ssds_25*ss_mem*1000/fx))+cap_mu_29*sh_mu_27_hi+cap_ss_29*1000/fx*((Mkt!$C$73-((Mkt!$C$57-Mkt!$C$54+ind_cxmt+Mkt!$C$61)*sh_oth)-(cap_mu_25*sh_mu_25_hi))/(cap_sk_25*1000/fx+cap_ssds_25*ss_mem*1000/fx)))+(((Mkt!$C$57-Mkt!$C$54+ind_cxmt)*sh_oth))*(1+g_oth_dram)^4+((Mkt!$C$61*sh_oth))*(1+g_oth_nand)^4)+(cap_ts_29*(1-0)*sh_fd+MAX(Mkt!$C$43-cap_ts_25*(1-0)*sh_fd,0)*(1+g_oth_fd)^4))+Mkt!G116+Mkt!G117</f>
        <v>263.715752713628</v>
      </c>
      <c r="G10" s="18" t="n">
        <f aca="false">F10/F$4-1</f>
        <v>0.0117398814775982</v>
      </c>
    </row>
    <row r="11" customFormat="false" ht="15" hidden="false" customHeight="false" outlineLevel="0" collapsed="false">
      <c r="A11" s="9" t="s">
        <v>700</v>
      </c>
      <c r="B11" s="17" t="n">
        <f aca="false">((cap_sk_27*1000/fx*((Mkt!$C$73-((Mkt!$C$57-Mkt!$C$54+ind_cxmt+Mkt!$C$61)*sh_oth_lo)-(cap_mu_25*sh_mu_25))/(cap_sk_25*1000/fx+cap_ssds_25*ss_mem*1000/fx))+cap_mu_27*sh_mu_27+cap_ss_27*1000/fx*((Mkt!$C$73-((Mkt!$C$57-Mkt!$C$54+ind_cxmt+Mkt!$C$61)*sh_oth_lo)-(cap_mu_25*sh_mu_25))/(cap_sk_25*1000/fx+cap_ssds_25*ss_mem*1000/fx)))+(((Mkt!$C$57-Mkt!$C$54+ind_cxmt)*sh_oth_lo))*(1+g_oth_dram)^2+((Mkt!$C$61*sh_oth_lo))*(1+g_oth_nand)^2)+(cap_ts_27*(1-0)*sh_fd+MAX(Mkt!$C$43-cap_ts_25*(1-0)*sh_fd,0)*(1+g_oth_fd)^2)+Mkt!E50*(((cap_sk_27*1000/fx*((Mkt!$C$73-((Mkt!$C$57-Mkt!$C$54+ind_cxmt+Mkt!$C$61)*sh_oth_lo)-(cap_mu_25*sh_mu_25))/(cap_sk_25*1000/fx+cap_ssds_25*ss_mem*1000/fx))+cap_mu_27*sh_mu_27+cap_ss_27*1000/fx*((Mkt!$C$73-((Mkt!$C$57-Mkt!$C$54+ind_cxmt+Mkt!$C$61)*sh_oth_lo)-(cap_mu_25*sh_mu_25))/(cap_sk_25*1000/fx+cap_ssds_25*ss_mem*1000/fx)))+(((Mkt!$C$57-Mkt!$C$54+ind_cxmt)*sh_oth_lo))*(1+g_oth_dram)^2+((Mkt!$C$61*sh_oth_lo))*(1+g_oth_nand)^2)+(cap_ts_27*(1-0)*sh_fd+MAX(Mkt!$C$43-cap_ts_25*(1-0)*sh_fd,0)*(1+g_oth_fd)^2))+Mkt!E116+Mkt!E117</f>
        <v>218.647020998082</v>
      </c>
      <c r="C11" s="18" t="n">
        <f aca="false">B11/B$4-1</f>
        <v>0.00193142033782578</v>
      </c>
      <c r="D11" s="17" t="n">
        <f aca="false">((cap_sk_28*1000/fx*((Mkt!$C$73-((Mkt!$C$57-Mkt!$C$54+ind_cxmt+Mkt!$C$61)*sh_oth_lo)-(cap_mu_25*sh_mu_25))/(cap_sk_25*1000/fx+cap_ssds_25*ss_mem*1000/fx))+cap_mu_28*sh_mu_27+cap_ss_28*1000/fx*((Mkt!$C$73-((Mkt!$C$57-Mkt!$C$54+ind_cxmt+Mkt!$C$61)*sh_oth_lo)-(cap_mu_25*sh_mu_25))/(cap_sk_25*1000/fx+cap_ssds_25*ss_mem*1000/fx)))+(((Mkt!$C$57-Mkt!$C$54+ind_cxmt)*sh_oth_lo))*(1+g_oth_dram)^3+((Mkt!$C$61*sh_oth_lo))*(1+g_oth_nand)^3)+(cap_ts_28*(1-0)*sh_fd+MAX(Mkt!$C$43-cap_ts_25*(1-0)*sh_fd,0)*(1+g_oth_fd)^3)+Mkt!F50*(((cap_sk_28*1000/fx*((Mkt!$C$73-((Mkt!$C$57-Mkt!$C$54+ind_cxmt+Mkt!$C$61)*sh_oth_lo)-(cap_mu_25*sh_mu_25))/(cap_sk_25*1000/fx+cap_ssds_25*ss_mem*1000/fx))+cap_mu_28*sh_mu_27+cap_ss_28*1000/fx*((Mkt!$C$73-((Mkt!$C$57-Mkt!$C$54+ind_cxmt+Mkt!$C$61)*sh_oth_lo)-(cap_mu_25*sh_mu_25))/(cap_sk_25*1000/fx+cap_ssds_25*ss_mem*1000/fx)))+(((Mkt!$C$57-Mkt!$C$54+ind_cxmt)*sh_oth_lo))*(1+g_oth_dram)^3+((Mkt!$C$61*sh_oth_lo))*(1+g_oth_nand)^3)+(cap_ts_28*(1-0)*sh_fd+MAX(Mkt!$C$43-cap_ts_25*(1-0)*sh_fd,0)*(1+g_oth_fd)^3))+Mkt!F116+Mkt!F117</f>
        <v>246.428135210068</v>
      </c>
      <c r="E11" s="18" t="n">
        <f aca="false">D11/D$4-1</f>
        <v>0.0016238309626937</v>
      </c>
      <c r="F11" s="17" t="n">
        <f aca="false">((cap_sk_29*1000/fx*((Mkt!$C$73-((Mkt!$C$57-Mkt!$C$54+ind_cxmt+Mkt!$C$61)*sh_oth_lo)-(cap_mu_25*sh_mu_25))/(cap_sk_25*1000/fx+cap_ssds_25*ss_mem*1000/fx))+cap_mu_29*sh_mu_27+cap_ss_29*1000/fx*((Mkt!$C$73-((Mkt!$C$57-Mkt!$C$54+ind_cxmt+Mkt!$C$61)*sh_oth_lo)-(cap_mu_25*sh_mu_25))/(cap_sk_25*1000/fx+cap_ssds_25*ss_mem*1000/fx)))+(((Mkt!$C$57-Mkt!$C$54+ind_cxmt)*sh_oth_lo))*(1+g_oth_dram)^4+((Mkt!$C$61*sh_oth_lo))*(1+g_oth_nand)^4)+(cap_ts_29*(1-0)*sh_fd+MAX(Mkt!$C$43-cap_ts_25*(1-0)*sh_fd,0)*(1+g_oth_fd)^4)+Mkt!G50*(((cap_sk_29*1000/fx*((Mkt!$C$73-((Mkt!$C$57-Mkt!$C$54+ind_cxmt+Mkt!$C$61)*sh_oth_lo)-(cap_mu_25*sh_mu_25))/(cap_sk_25*1000/fx+cap_ssds_25*ss_mem*1000/fx))+cap_mu_29*sh_mu_27+cap_ss_29*1000/fx*((Mkt!$C$73-((Mkt!$C$57-Mkt!$C$54+ind_cxmt+Mkt!$C$61)*sh_oth_lo)-(cap_mu_25*sh_mu_25))/(cap_sk_25*1000/fx+cap_ssds_25*ss_mem*1000/fx)))+(((Mkt!$C$57-Mkt!$C$54+ind_cxmt)*sh_oth_lo))*(1+g_oth_dram)^4+((Mkt!$C$61*sh_oth_lo))*(1+g_oth_nand)^4)+(cap_ts_29*(1-0)*sh_fd+MAX(Mkt!$C$43-cap_ts_25*(1-0)*sh_fd,0)*(1+g_oth_fd)^4))+Mkt!G116+Mkt!G117</f>
        <v>260.839709460637</v>
      </c>
      <c r="G11" s="18" t="n">
        <f aca="false">F11/F$4-1</f>
        <v>0.000706002651764459</v>
      </c>
    </row>
    <row r="12" customFormat="false" ht="15" hidden="false" customHeight="false" outlineLevel="0" collapsed="false">
      <c r="A12" s="9" t="s">
        <v>701</v>
      </c>
      <c r="B12" s="17" t="n">
        <f aca="false">((cap_sk_27*1000/fx*((Mkt!$C$73-((Mkt!$C$57-Mkt!$C$54+ind_cxmt+Mkt!$C$61)*sh_oth_hi)-(cap_mu_25*sh_mu_25))/(cap_sk_25*1000/fx+cap_ssds_25*ss_mem*1000/fx))+cap_mu_27*sh_mu_27+cap_ss_27*1000/fx*((Mkt!$C$73-((Mkt!$C$57-Mkt!$C$54+ind_cxmt+Mkt!$C$61)*sh_oth_hi)-(cap_mu_25*sh_mu_25))/(cap_sk_25*1000/fx+cap_ssds_25*ss_mem*1000/fx)))+(((Mkt!$C$57-Mkt!$C$54+ind_cxmt)*sh_oth_hi))*(1+g_oth_dram)^2+((Mkt!$C$61*sh_oth_hi))*(1+g_oth_nand)^2)+(cap_ts_27*(1-0)*sh_fd+MAX(Mkt!$C$43-cap_ts_25*(1-0)*sh_fd,0)*(1+g_oth_fd)^2)+Mkt!E50*(((cap_sk_27*1000/fx*((Mkt!$C$73-((Mkt!$C$57-Mkt!$C$54+ind_cxmt+Mkt!$C$61)*sh_oth_hi)-(cap_mu_25*sh_mu_25))/(cap_sk_25*1000/fx+cap_ssds_25*ss_mem*1000/fx))+cap_mu_27*sh_mu_27+cap_ss_27*1000/fx*((Mkt!$C$73-((Mkt!$C$57-Mkt!$C$54+ind_cxmt+Mkt!$C$61)*sh_oth_hi)-(cap_mu_25*sh_mu_25))/(cap_sk_25*1000/fx+cap_ssds_25*ss_mem*1000/fx)))+(((Mkt!$C$57-Mkt!$C$54+ind_cxmt)*sh_oth_hi))*(1+g_oth_dram)^2+((Mkt!$C$61*sh_oth_hi))*(1+g_oth_nand)^2)+(cap_ts_27*(1-0)*sh_fd+MAX(Mkt!$C$43-cap_ts_25*(1-0)*sh_fd,0)*(1+g_oth_fd)^2))+Mkt!E116+Mkt!E117</f>
        <v>217.804050522082</v>
      </c>
      <c r="C12" s="18" t="n">
        <f aca="false">B12/B$4-1</f>
        <v>-0.0019314203378259</v>
      </c>
      <c r="D12" s="17" t="n">
        <f aca="false">((cap_sk_28*1000/fx*((Mkt!$C$73-((Mkt!$C$57-Mkt!$C$54+ind_cxmt+Mkt!$C$61)*sh_oth_hi)-(cap_mu_25*sh_mu_25))/(cap_sk_25*1000/fx+cap_ssds_25*ss_mem*1000/fx))+cap_mu_28*sh_mu_27+cap_ss_28*1000/fx*((Mkt!$C$73-((Mkt!$C$57-Mkt!$C$54+ind_cxmt+Mkt!$C$61)*sh_oth_hi)-(cap_mu_25*sh_mu_25))/(cap_sk_25*1000/fx+cap_ssds_25*ss_mem*1000/fx)))+(((Mkt!$C$57-Mkt!$C$54+ind_cxmt)*sh_oth_hi))*(1+g_oth_dram)^3+((Mkt!$C$61*sh_oth_hi))*(1+g_oth_nand)^3)+(cap_ts_28*(1-0)*sh_fd+MAX(Mkt!$C$43-cap_ts_25*(1-0)*sh_fd,0)*(1+g_oth_fd)^3)+Mkt!F50*(((cap_sk_28*1000/fx*((Mkt!$C$73-((Mkt!$C$57-Mkt!$C$54+ind_cxmt+Mkt!$C$61)*sh_oth_hi)-(cap_mu_25*sh_mu_25))/(cap_sk_25*1000/fx+cap_ssds_25*ss_mem*1000/fx))+cap_mu_28*sh_mu_27+cap_ss_28*1000/fx*((Mkt!$C$73-((Mkt!$C$57-Mkt!$C$54+ind_cxmt+Mkt!$C$61)*sh_oth_hi)-(cap_mu_25*sh_mu_25))/(cap_sk_25*1000/fx+cap_ssds_25*ss_mem*1000/fx)))+(((Mkt!$C$57-Mkt!$C$54+ind_cxmt)*sh_oth_hi))*(1+g_oth_dram)^3+((Mkt!$C$61*sh_oth_hi))*(1+g_oth_nand)^3)+(cap_ts_28*(1-0)*sh_fd+MAX(Mkt!$C$43-cap_ts_25*(1-0)*sh_fd,0)*(1+g_oth_fd)^3))+Mkt!F116+Mkt!F117</f>
        <v>245.629117407849</v>
      </c>
      <c r="E12" s="18" t="n">
        <f aca="false">D12/D$4-1</f>
        <v>-0.00162383096269403</v>
      </c>
      <c r="F12" s="17" t="n">
        <f aca="false">((cap_sk_29*1000/fx*((Mkt!$C$73-((Mkt!$C$57-Mkt!$C$54+ind_cxmt+Mkt!$C$61)*sh_oth_hi)-(cap_mu_25*sh_mu_25))/(cap_sk_25*1000/fx+cap_ssds_25*ss_mem*1000/fx))+cap_mu_29*sh_mu_27+cap_ss_29*1000/fx*((Mkt!$C$73-((Mkt!$C$57-Mkt!$C$54+ind_cxmt+Mkt!$C$61)*sh_oth_hi)-(cap_mu_25*sh_mu_25))/(cap_sk_25*1000/fx+cap_ssds_25*ss_mem*1000/fx)))+(((Mkt!$C$57-Mkt!$C$54+ind_cxmt)*sh_oth_hi))*(1+g_oth_dram)^4+((Mkt!$C$61*sh_oth_hi))*(1+g_oth_nand)^4)+(cap_ts_29*(1-0)*sh_fd+MAX(Mkt!$C$43-cap_ts_25*(1-0)*sh_fd,0)*(1+g_oth_fd)^4)+Mkt!G50*(((cap_sk_29*1000/fx*((Mkt!$C$73-((Mkt!$C$57-Mkt!$C$54+ind_cxmt+Mkt!$C$61)*sh_oth_hi)-(cap_mu_25*sh_mu_25))/(cap_sk_25*1000/fx+cap_ssds_25*ss_mem*1000/fx))+cap_mu_29*sh_mu_27+cap_ss_29*1000/fx*((Mkt!$C$73-((Mkt!$C$57-Mkt!$C$54+ind_cxmt+Mkt!$C$61)*sh_oth_hi)-(cap_mu_25*sh_mu_25))/(cap_sk_25*1000/fx+cap_ssds_25*ss_mem*1000/fx)))+(((Mkt!$C$57-Mkt!$C$54+ind_cxmt)*sh_oth_hi))*(1+g_oth_dram)^4+((Mkt!$C$61*sh_oth_hi))*(1+g_oth_nand)^4)+(cap_ts_29*(1-0)*sh_fd+MAX(Mkt!$C$43-cap_ts_25*(1-0)*sh_fd,0)*(1+g_oth_fd)^4))+Mkt!G116+Mkt!G117</f>
        <v>260.471662249815</v>
      </c>
      <c r="G12" s="18" t="n">
        <f aca="false">F12/F$4-1</f>
        <v>-0.000706002651764348</v>
      </c>
    </row>
    <row r="13" customFormat="false" ht="15" hidden="false" customHeight="false" outlineLevel="0" collapsed="false">
      <c r="A13" s="9" t="s">
        <v>702</v>
      </c>
      <c r="B13" s="17" t="n">
        <f aca="false">((cap_sk_27*1000/fx*sh_sk+cap_mu_27*sh_mu_27+cap_ss_27*1000/fx*sh_ss)+(((Mkt!$C$57-Mkt!$C$54+ind_cxmt)*sh_oth))*(1+g_oth_dram)^2+((Mkt!$C$61*sh_oth))*(1+g_oth_nand)^2)+(cap_ts_27*(1-0)*sh_fd_lo+MAX(Mkt!$C$43-cap_ts_25*(1-0)*sh_fd_lo,0)*(1+g_oth_fd)^2)+Mkt!E50*(((cap_sk_27*1000/fx*sh_sk+cap_mu_27*sh_mu_27+cap_ss_27*1000/fx*sh_ss)+(((Mkt!$C$57-Mkt!$C$54+ind_cxmt)*sh_oth))*(1+g_oth_dram)^2+((Mkt!$C$61*sh_oth))*(1+g_oth_nand)^2)+(cap_ts_27*(1-0)*sh_fd_lo+MAX(Mkt!$C$43-cap_ts_25*(1-0)*sh_fd_lo,0)*(1+g_oth_fd)^2))+Mkt!E116+Mkt!E117</f>
        <v>213.622402998734</v>
      </c>
      <c r="C13" s="18" t="n">
        <f aca="false">B13/B$4-1</f>
        <v>-0.0210934652780916</v>
      </c>
      <c r="D13" s="17" t="n">
        <f aca="false">((cap_sk_28*1000/fx*sh_sk+cap_mu_28*sh_mu_27+cap_ss_28*1000/fx*sh_ss)+(((Mkt!$C$57-Mkt!$C$54+ind_cxmt)*sh_oth))*(1+g_oth_dram)^3+((Mkt!$C$61*sh_oth))*(1+g_oth_nand)^3)+(cap_ts_28*(1-0)*sh_fd_lo+MAX(Mkt!$C$43-cap_ts_25*(1-0)*sh_fd_lo,0)*(1+g_oth_fd)^3)+Mkt!F50*(((cap_sk_28*1000/fx*sh_sk+cap_mu_28*sh_mu_27+cap_ss_28*1000/fx*sh_ss)+(((Mkt!$C$57-Mkt!$C$54+ind_cxmt)*sh_oth))*(1+g_oth_dram)^3+((Mkt!$C$61*sh_oth))*(1+g_oth_nand)^3)+(cap_ts_28*(1-0)*sh_fd_lo+MAX(Mkt!$C$43-cap_ts_25*(1-0)*sh_fd_lo,0)*(1+g_oth_fd)^3))+Mkt!F116+Mkt!F117</f>
        <v>239.982443645764</v>
      </c>
      <c r="E13" s="18" t="n">
        <f aca="false">D13/D$4-1</f>
        <v>-0.0245751185701509</v>
      </c>
      <c r="F13" s="17" t="n">
        <f aca="false">((cap_sk_29*1000/fx*sh_sk+cap_mu_29*sh_mu_27+cap_ss_29*1000/fx*sh_ss)+(((Mkt!$C$57-Mkt!$C$54+ind_cxmt)*sh_oth))*(1+g_oth_dram)^4+((Mkt!$C$61*sh_oth))*(1+g_oth_nand)^4)+(cap_ts_29*(1-0)*sh_fd_lo+MAX(Mkt!$C$43-cap_ts_25*(1-0)*sh_fd_lo,0)*(1+g_oth_fd)^4)+Mkt!G50*(((cap_sk_29*1000/fx*sh_sk+cap_mu_29*sh_mu_27+cap_ss_29*1000/fx*sh_ss)+(((Mkt!$C$57-Mkt!$C$54+ind_cxmt)*sh_oth))*(1+g_oth_dram)^4+((Mkt!$C$61*sh_oth))*(1+g_oth_nand)^4)+(cap_ts_29*(1-0)*sh_fd_lo+MAX(Mkt!$C$43-cap_ts_25*(1-0)*sh_fd_lo,0)*(1+g_oth_fd)^4))+Mkt!G116+Mkt!G117</f>
        <v>254.471504254132</v>
      </c>
      <c r="G13" s="18" t="n">
        <f aca="false">F13/F$4-1</f>
        <v>-0.0237254813022912</v>
      </c>
    </row>
    <row r="14" customFormat="false" ht="15" hidden="false" customHeight="false" outlineLevel="0" collapsed="false">
      <c r="A14" s="9" t="s">
        <v>703</v>
      </c>
      <c r="B14" s="17" t="n">
        <f aca="false">((cap_sk_27*1000/fx*sh_sk+cap_mu_27*sh_mu_27+cap_ss_27*1000/fx*sh_ss)+(((Mkt!$C$57-Mkt!$C$54+ind_cxmt)*sh_oth))*(1+g_oth_dram)^2+((Mkt!$C$61*sh_oth))*(1+g_oth_nand)^2)+(cap_ts_27*(1-0)*sh_fd_hi+MAX(Mkt!$C$43-cap_ts_25*(1-0)*sh_fd_hi,0)*(1+g_oth_fd)^2)+Mkt!E50*(((cap_sk_27*1000/fx*sh_sk+cap_mu_27*sh_mu_27+cap_ss_27*1000/fx*sh_ss)+(((Mkt!$C$57-Mkt!$C$54+ind_cxmt)*sh_oth))*(1+g_oth_dram)^2+((Mkt!$C$61*sh_oth))*(1+g_oth_nand)^2)+(cap_ts_27*(1-0)*sh_fd_hi+MAX(Mkt!$C$43-cap_ts_25*(1-0)*sh_fd_hi,0)*(1+g_oth_fd)^2))+Mkt!E116+Mkt!E117</f>
        <v>221.842282929713</v>
      </c>
      <c r="C14" s="18" t="n">
        <f aca="false">B14/B$4-1</f>
        <v>0.0165734370042148</v>
      </c>
      <c r="D14" s="17" t="n">
        <f aca="false">((cap_sk_28*1000/fx*sh_sk+cap_mu_28*sh_mu_27+cap_ss_28*1000/fx*sh_ss)+(((Mkt!$C$57-Mkt!$C$54+ind_cxmt)*sh_oth))*(1+g_oth_dram)^3+((Mkt!$C$61*sh_oth))*(1+g_oth_nand)^3)+(cap_ts_28*(1-0)*sh_fd_hi+MAX(Mkt!$C$43-cap_ts_25*(1-0)*sh_fd_hi,0)*(1+g_oth_fd)^3)+Mkt!F50*(((cap_sk_28*1000/fx*sh_sk+cap_mu_28*sh_mu_27+cap_ss_28*1000/fx*sh_ss)+(((Mkt!$C$57-Mkt!$C$54+ind_cxmt)*sh_oth))*(1+g_oth_dram)^3+((Mkt!$C$61*sh_oth))*(1+g_oth_nand)^3)+(cap_ts_28*(1-0)*sh_fd_hi+MAX(Mkt!$C$43-cap_ts_25*(1-0)*sh_fd_hi,0)*(1+g_oth_fd)^3))+Mkt!F116+Mkt!F117</f>
        <v>250.779198401468</v>
      </c>
      <c r="E14" s="18" t="n">
        <f aca="false">D14/D$4-1</f>
        <v>0.01930902173369</v>
      </c>
      <c r="F14" s="17" t="n">
        <f aca="false">((cap_sk_29*1000/fx*sh_sk+cap_mu_29*sh_mu_27+cap_ss_29*1000/fx*sh_ss)+(((Mkt!$C$57-Mkt!$C$54+ind_cxmt)*sh_oth))*(1+g_oth_dram)^4+((Mkt!$C$61*sh_oth))*(1+g_oth_nand)^4)+(cap_ts_29*(1-0)*sh_fd_hi+MAX(Mkt!$C$43-cap_ts_25*(1-0)*sh_fd_hi,0)*(1+g_oth_fd)^4)+Mkt!G50*(((cap_sk_29*1000/fx*sh_sk+cap_mu_29*sh_mu_27+cap_ss_29*1000/fx*sh_ss)+(((Mkt!$C$57-Mkt!$C$54+ind_cxmt)*sh_oth))*(1+g_oth_dram)^4+((Mkt!$C$61*sh_oth))*(1+g_oth_nand)^4)+(cap_ts_29*(1-0)*sh_fd_hi+MAX(Mkt!$C$43-cap_ts_25*(1-0)*sh_fd_hi,0)*(1+g_oth_fd)^4))+Mkt!G116+Mkt!G117</f>
        <v>265.514685684657</v>
      </c>
      <c r="G14" s="18" t="n">
        <f aca="false">F14/F$4-1</f>
        <v>0.0186414495946574</v>
      </c>
    </row>
    <row r="15" customFormat="false" ht="15" hidden="false" customHeight="false" outlineLevel="0" collapsed="false">
      <c r="A15" s="9" t="s">
        <v>704</v>
      </c>
      <c r="B15" s="17" t="n">
        <f aca="false">((cap_sk_27*1000/fx*sh_sk+cap_mu_27*sh_mu_27+cap_ss_27*1000/fx*sh_ss)+(((Mkt!$C$57-Mkt!$C$54+ind_cxmt)*sh_oth))*(1+g_oth_dram)^2+((Mkt!$C$61*sh_oth))*(1+g_oth_nand)^2)+(cap_ts_27*(1-0)*sh_sk+MAX(Mkt!$C$43-cap_ts_25*(1-0)*sh_sk,0)*(1+g_oth_fd)^2)+Mkt!E50*(((cap_sk_27*1000/fx*sh_sk+cap_mu_27*sh_mu_27+cap_ss_27*1000/fx*sh_ss)+(((Mkt!$C$57-Mkt!$C$54+ind_cxmt)*sh_oth))*(1+g_oth_dram)^2+((Mkt!$C$61*sh_oth))*(1+g_oth_nand)^2)+(cap_ts_27*(1-0)*sh_sk+MAX(Mkt!$C$43-cap_ts_25*(1-0)*sh_sk,0)*(1+g_oth_fd)^2))+Mkt!E116+Mkt!E117</f>
        <v>212.157719153343</v>
      </c>
      <c r="C15" s="18" t="n">
        <f aca="false">B15/B$4-1</f>
        <v>-0.0278052547132245</v>
      </c>
      <c r="D15" s="17" t="n">
        <f aca="false">((cap_sk_28*1000/fx*sh_sk+cap_mu_28*sh_mu_27+cap_ss_28*1000/fx*sh_ss)+(((Mkt!$C$57-Mkt!$C$54+ind_cxmt)*sh_oth))*(1+g_oth_dram)^3+((Mkt!$C$61*sh_oth))*(1+g_oth_nand)^3)+(cap_ts_28*(1-0)*sh_sk+MAX(Mkt!$C$43-cap_ts_25*(1-0)*sh_sk,0)*(1+g_oth_fd)^3)+Mkt!F50*(((cap_sk_28*1000/fx*sh_sk+cap_mu_28*sh_mu_27+cap_ss_28*1000/fx*sh_ss)+(((Mkt!$C$57-Mkt!$C$54+ind_cxmt)*sh_oth))*(1+g_oth_dram)^3+((Mkt!$C$61*sh_oth))*(1+g_oth_nand)^3)+(cap_ts_28*(1-0)*sh_sk+MAX(Mkt!$C$43-cap_ts_25*(1-0)*sh_sk,0)*(1+g_oth_fd)^3))+Mkt!F116+Mkt!F117</f>
        <v>238.058591666646</v>
      </c>
      <c r="E15" s="18" t="n">
        <f aca="false">D15/D$4-1</f>
        <v>-0.0323947451232897</v>
      </c>
      <c r="F15" s="17" t="n">
        <f aca="false">((cap_sk_29*1000/fx*sh_sk+cap_mu_29*sh_mu_27+cap_ss_29*1000/fx*sh_ss)+(((Mkt!$C$57-Mkt!$C$54+ind_cxmt)*sh_oth))*(1+g_oth_dram)^4+((Mkt!$C$61*sh_oth))*(1+g_oth_nand)^4)+(cap_ts_29*(1-0)*sh_sk+MAX(Mkt!$C$43-cap_ts_25*(1-0)*sh_sk,0)*(1+g_oth_fd)^4)+Mkt!G50*(((cap_sk_29*1000/fx*sh_sk+cap_mu_29*sh_mu_27+cap_ss_29*1000/fx*sh_ss)+(((Mkt!$C$57-Mkt!$C$54+ind_cxmt)*sh_oth))*(1+g_oth_dram)^4+((Mkt!$C$61*sh_oth))*(1+g_oth_nand)^4)+(cap_ts_29*(1-0)*sh_sk+MAX(Mkt!$C$43-cap_ts_25*(1-0)*sh_sk,0)*(1+g_oth_fd)^4))+Mkt!G116+Mkt!G117</f>
        <v>252.503742002271</v>
      </c>
      <c r="G15" s="18" t="n">
        <f aca="false">F15/F$4-1</f>
        <v>-0.0312747593677379</v>
      </c>
    </row>
    <row r="16" customFormat="false" ht="15" hidden="false" customHeight="false" outlineLevel="0" collapsed="false">
      <c r="A16" s="9" t="s">
        <v>705</v>
      </c>
      <c r="B16" s="17" t="n">
        <f aca="false">((cap_sk_27*1000/fx*sh_sk+cap_mu_27*sh_mu_27+cap_ss_27*1000/fx*sh_ss)+(((Mkt!$C$57-Mkt!$C$54+ind_cxmt)*sh_oth))*(1+g_oth_dram)^2+((Mkt!$C$61*sh_oth))*(1+g_oth_nand)^2)+(cap_ts_27*(1-pk_ts_lo)*sh_fd+MAX(Mkt!$C$43-cap_ts_25*(1-pk_ts_lo)*sh_fd,0)*(1+g_oth_fd)^2)+Mkt!E50*(((cap_sk_27*1000/fx*sh_sk+cap_mu_27*sh_mu_27+cap_ss_27*1000/fx*sh_ss)+(((Mkt!$C$57-Mkt!$C$54+ind_cxmt)*sh_oth))*(1+g_oth_dram)^2+((Mkt!$C$61*sh_oth))*(1+g_oth_nand)^2)+(cap_ts_27*(1-pk_ts_lo)*sh_fd+MAX(Mkt!$C$43-cap_ts_25*(1-pk_ts_lo)*sh_fd,0)*(1+g_oth_fd)^2))+Mkt!E116+Mkt!E117</f>
        <v>216.121246497752</v>
      </c>
      <c r="C16" s="18" t="n">
        <f aca="false">B16/B$4-1</f>
        <v>-0.00964272698427049</v>
      </c>
      <c r="D16" s="17" t="n">
        <f aca="false">((cap_sk_28*1000/fx*sh_sk+cap_mu_28*sh_mu_27+cap_ss_28*1000/fx*sh_ss)+(((Mkt!$C$57-Mkt!$C$54+ind_cxmt)*sh_oth))*(1+g_oth_dram)^3+((Mkt!$C$61*sh_oth))*(1+g_oth_nand)^3)+(cap_ts_28*(1-pk_ts_lo)*sh_fd+MAX(Mkt!$C$43-cap_ts_25*(1-pk_ts_lo)*sh_fd,0)*(1+g_oth_fd)^3)+Mkt!F50*(((cap_sk_28*1000/fx*sh_sk+cap_mu_28*sh_mu_27+cap_ss_28*1000/fx*sh_ss)+(((Mkt!$C$57-Mkt!$C$54+ind_cxmt)*sh_oth))*(1+g_oth_dram)^3+((Mkt!$C$61*sh_oth))*(1+g_oth_nand)^3)+(cap_ts_28*(1-pk_ts_lo)*sh_fd+MAX(Mkt!$C$43-cap_ts_25*(1-pk_ts_lo)*sh_fd,0)*(1+g_oth_fd)^3))+Mkt!F116+Mkt!F117</f>
        <v>243.264657091498</v>
      </c>
      <c r="E16" s="18" t="n">
        <f aca="false">D16/D$4-1</f>
        <v>-0.0112343399177832</v>
      </c>
      <c r="F16" s="17" t="n">
        <f aca="false">((cap_sk_29*1000/fx*sh_sk+cap_mu_29*sh_mu_27+cap_ss_29*1000/fx*sh_ss)+(((Mkt!$C$57-Mkt!$C$54+ind_cxmt)*sh_oth))*(1+g_oth_dram)^4+((Mkt!$C$61*sh_oth))*(1+g_oth_nand)^4)+(cap_ts_29*(1-pk_ts_lo)*sh_fd+MAX(Mkt!$C$43-cap_ts_25*(1-pk_ts_lo)*sh_fd,0)*(1+g_oth_fd)^4)+Mkt!G50*(((cap_sk_29*1000/fx*sh_sk+cap_mu_29*sh_mu_27+cap_ss_29*1000/fx*sh_ss)+(((Mkt!$C$57-Mkt!$C$54+ind_cxmt)*sh_oth))*(1+g_oth_dram)^4+((Mkt!$C$61*sh_oth))*(1+g_oth_nand)^4)+(cap_ts_29*(1-pk_ts_lo)*sh_fd+MAX(Mkt!$C$43-cap_ts_25*(1-pk_ts_lo)*sh_fd,0)*(1+g_oth_fd)^4))+Mkt!G116+Mkt!G117</f>
        <v>257.828631409011</v>
      </c>
      <c r="G16" s="18" t="n">
        <f aca="false">F16/F$4-1</f>
        <v>-0.0108459343096189</v>
      </c>
    </row>
    <row r="17" customFormat="false" ht="15" hidden="false" customHeight="false" outlineLevel="0" collapsed="false">
      <c r="A17" s="9" t="s">
        <v>706</v>
      </c>
      <c r="B17" s="17" t="n">
        <f aca="false">((cap_sk_27*1000/fx*sh_sk+cap_mu_27*sh_mu_27+cap_ss_27*1000/fx*sh_ss)+(((Mkt!$C$57-Mkt!$C$54+ind_cxmt)*sh_oth))*(1+g_oth_dram)^2+((Mkt!$C$61*sh_oth))*(1+g_oth_nand)^2)+(cap_ts_27*(1-pk_ts_hi)*sh_fd+MAX(Mkt!$C$43-cap_ts_25*(1-pk_ts_hi)*sh_fd,0)*(1+g_oth_fd)^2)+Mkt!E50*(((cap_sk_27*1000/fx*sh_sk+cap_mu_27*sh_mu_27+cap_ss_27*1000/fx*sh_ss)+(((Mkt!$C$57-Mkt!$C$54+ind_cxmt)*sh_oth))*(1+g_oth_dram)^2+((Mkt!$C$61*sh_oth))*(1+g_oth_nand)^2)+(cap_ts_27*(1-pk_ts_hi)*sh_fd+MAX(Mkt!$C$43-cap_ts_25*(1-pk_ts_hi)*sh_fd,0)*(1+g_oth_fd)^2))+Mkt!E116+Mkt!E117</f>
        <v>214.016957235421</v>
      </c>
      <c r="C17" s="18" t="n">
        <f aca="false">B17/B$4-1</f>
        <v>-0.0192854539685408</v>
      </c>
      <c r="D17" s="17" t="n">
        <f aca="false">((cap_sk_28*1000/fx*sh_sk+cap_mu_28*sh_mu_27+cap_ss_28*1000/fx*sh_ss)+(((Mkt!$C$57-Mkt!$C$54+ind_cxmt)*sh_oth))*(1+g_oth_dram)^3+((Mkt!$C$61*sh_oth))*(1+g_oth_nand)^3)+(cap_ts_28*(1-pk_ts_hi)*sh_fd+MAX(Mkt!$C$43-cap_ts_25*(1-pk_ts_hi)*sh_fd,0)*(1+g_oth_fd)^3)+Mkt!F50*(((cap_sk_28*1000/fx*sh_sk+cap_mu_28*sh_mu_27+cap_ss_28*1000/fx*sh_ss)+(((Mkt!$C$57-Mkt!$C$54+ind_cxmt)*sh_oth))*(1+g_oth_dram)^3+((Mkt!$C$61*sh_oth))*(1+g_oth_nand)^3)+(cap_ts_28*(1-pk_ts_hi)*sh_fd+MAX(Mkt!$C$43-cap_ts_25*(1-pk_ts_hi)*sh_fd,0)*(1+g_oth_fd)^3))+Mkt!F116+Mkt!F117</f>
        <v>240.500687874038</v>
      </c>
      <c r="E17" s="18" t="n">
        <f aca="false">D17/D$4-1</f>
        <v>-0.0224686798355666</v>
      </c>
      <c r="F17" s="17" t="n">
        <f aca="false">((cap_sk_29*1000/fx*sh_sk+cap_mu_29*sh_mu_27+cap_ss_29*1000/fx*sh_ss)+(((Mkt!$C$57-Mkt!$C$54+ind_cxmt)*sh_oth))*(1+g_oth_dram)^4+((Mkt!$C$61*sh_oth))*(1+g_oth_nand)^4)+(cap_ts_29*(1-pk_ts_hi)*sh_fd+MAX(Mkt!$C$43-cap_ts_25*(1-pk_ts_hi)*sh_fd,0)*(1+g_oth_fd)^4)+Mkt!G50*(((cap_sk_29*1000/fx*sh_sk+cap_mu_29*sh_mu_27+cap_ss_29*1000/fx*sh_ss)+(((Mkt!$C$57-Mkt!$C$54+ind_cxmt)*sh_oth))*(1+g_oth_dram)^4+((Mkt!$C$61*sh_oth))*(1+g_oth_nand)^4)+(cap_ts_29*(1-pk_ts_hi)*sh_fd+MAX(Mkt!$C$43-cap_ts_25*(1-pk_ts_hi)*sh_fd,0)*(1+g_oth_fd)^4))+Mkt!G116+Mkt!G117</f>
        <v>255.001576962797</v>
      </c>
      <c r="G17" s="18" t="n">
        <f aca="false">F17/F$4-1</f>
        <v>-0.0216918686192376</v>
      </c>
    </row>
    <row r="18" customFormat="false" ht="15" hidden="false" customHeight="false" outlineLevel="0" collapsed="false">
      <c r="A18" s="9" t="s">
        <v>707</v>
      </c>
      <c r="B18" s="17" t="n">
        <f aca="false">((cap_sk_27*1000/fx_lo*((Mkt!$C$73-((Mkt!$C$57-Mkt!$C$54+ind_cxmt+Mkt!$C$61)*sh_oth)-(cap_mu_25*sh_mu_25))/(cap_sk_25*1000/fx_lo+cap_ssds_25*ss_mem*1000/fx_lo))+cap_mu_27*sh_mu_27+cap_ss_27*1000/fx_lo*((Mkt!$C$73-((Mkt!$C$57-Mkt!$C$54+ind_cxmt+Mkt!$C$61)*sh_oth)-(cap_mu_25*sh_mu_25))/(cap_sk_25*1000/fx_lo+cap_ssds_25*ss_mem*1000/fx_lo)))+(((Mkt!$C$57-Mkt!$C$54+ind_cxmt)*sh_oth))*(1+g_oth_dram)^2+((Mkt!$C$61*sh_oth))*(1+g_oth_nand)^2)+(cap_ts_27*(1-0)*sh_fd+MAX(Mkt!$C$43-cap_ts_25*(1-0)*sh_fd,0)*(1+g_oth_fd)^2)+Mkt!E50*(((cap_sk_27*1000/fx_lo*((Mkt!$C$73-((Mkt!$C$57-Mkt!$C$54+ind_cxmt+Mkt!$C$61)*sh_oth)-(cap_mu_25*sh_mu_25))/(cap_sk_25*1000/fx_lo+cap_ssds_25*ss_mem*1000/fx_lo))+cap_mu_27*sh_mu_27+cap_ss_27*1000/fx_lo*((Mkt!$C$73-((Mkt!$C$57-Mkt!$C$54+ind_cxmt+Mkt!$C$61)*sh_oth)-(cap_mu_25*sh_mu_25))/(cap_sk_25*1000/fx_lo+cap_ssds_25*ss_mem*1000/fx_lo)))+(((Mkt!$C$57-Mkt!$C$54+ind_cxmt)*sh_oth))*(1+g_oth_dram)^2+((Mkt!$C$61*sh_oth))*(1+g_oth_nand)^2)+(cap_ts_27*(1-0)*sh_fd+MAX(Mkt!$C$43-cap_ts_25*(1-0)*sh_fd,0)*(1+g_oth_fd)^2))+Mkt!E116+Mkt!E117</f>
        <v>218.225535760082</v>
      </c>
      <c r="C18" s="18" t="n">
        <f aca="false">B18/B$4-1</f>
        <v>0</v>
      </c>
      <c r="D18" s="17" t="n">
        <f aca="false">((cap_sk_28*1000/fx_lo*((Mkt!$C$73-((Mkt!$C$57-Mkt!$C$54+ind_cxmt+Mkt!$C$61)*sh_oth)-(cap_mu_25*sh_mu_25))/(cap_sk_25*1000/fx_lo+cap_ssds_25*ss_mem*1000/fx_lo))+cap_mu_28*sh_mu_27+cap_ss_28*1000/fx_lo*((Mkt!$C$73-((Mkt!$C$57-Mkt!$C$54+ind_cxmt+Mkt!$C$61)*sh_oth)-(cap_mu_25*sh_mu_25))/(cap_sk_25*1000/fx_lo+cap_ssds_25*ss_mem*1000/fx_lo)))+(((Mkt!$C$57-Mkt!$C$54+ind_cxmt)*sh_oth))*(1+g_oth_dram)^3+((Mkt!$C$61*sh_oth))*(1+g_oth_nand)^3)+(cap_ts_28*(1-0)*sh_fd+MAX(Mkt!$C$43-cap_ts_25*(1-0)*sh_fd,0)*(1+g_oth_fd)^3)+Mkt!F50*(((cap_sk_28*1000/fx_lo*((Mkt!$C$73-((Mkt!$C$57-Mkt!$C$54+ind_cxmt+Mkt!$C$61)*sh_oth)-(cap_mu_25*sh_mu_25))/(cap_sk_25*1000/fx_lo+cap_ssds_25*ss_mem*1000/fx_lo))+cap_mu_28*sh_mu_27+cap_ss_28*1000/fx_lo*((Mkt!$C$73-((Mkt!$C$57-Mkt!$C$54+ind_cxmt+Mkt!$C$61)*sh_oth)-(cap_mu_25*sh_mu_25))/(cap_sk_25*1000/fx_lo+cap_ssds_25*ss_mem*1000/fx_lo)))+(((Mkt!$C$57-Mkt!$C$54+ind_cxmt)*sh_oth))*(1+g_oth_dram)^3+((Mkt!$C$61*sh_oth))*(1+g_oth_nand)^3)+(cap_ts_28*(1-0)*sh_fd+MAX(Mkt!$C$43-cap_ts_25*(1-0)*sh_fd,0)*(1+g_oth_fd)^3))+Mkt!F116+Mkt!F117</f>
        <v>246.028626308958</v>
      </c>
      <c r="E18" s="18" t="n">
        <f aca="false">D18/D$4-1</f>
        <v>0</v>
      </c>
      <c r="F18" s="17" t="n">
        <f aca="false">((cap_sk_29*1000/fx_lo*((Mkt!$C$73-((Mkt!$C$57-Mkt!$C$54+ind_cxmt+Mkt!$C$61)*sh_oth)-(cap_mu_25*sh_mu_25))/(cap_sk_25*1000/fx_lo+cap_ssds_25*ss_mem*1000/fx_lo))+cap_mu_29*sh_mu_27+cap_ss_29*1000/fx_lo*((Mkt!$C$73-((Mkt!$C$57-Mkt!$C$54+ind_cxmt+Mkt!$C$61)*sh_oth)-(cap_mu_25*sh_mu_25))/(cap_sk_25*1000/fx_lo+cap_ssds_25*ss_mem*1000/fx_lo)))+(((Mkt!$C$57-Mkt!$C$54+ind_cxmt)*sh_oth))*(1+g_oth_dram)^4+((Mkt!$C$61*sh_oth))*(1+g_oth_nand)^4)+(cap_ts_29*(1-0)*sh_fd+MAX(Mkt!$C$43-cap_ts_25*(1-0)*sh_fd,0)*(1+g_oth_fd)^4)+Mkt!G50*(((cap_sk_29*1000/fx_lo*((Mkt!$C$73-((Mkt!$C$57-Mkt!$C$54+ind_cxmt+Mkt!$C$61)*sh_oth)-(cap_mu_25*sh_mu_25))/(cap_sk_25*1000/fx_lo+cap_ssds_25*ss_mem*1000/fx_lo))+cap_mu_29*sh_mu_27+cap_ss_29*1000/fx_lo*((Mkt!$C$73-((Mkt!$C$57-Mkt!$C$54+ind_cxmt+Mkt!$C$61)*sh_oth)-(cap_mu_25*sh_mu_25))/(cap_sk_25*1000/fx_lo+cap_ssds_25*ss_mem*1000/fx_lo)))+(((Mkt!$C$57-Mkt!$C$54+ind_cxmt)*sh_oth))*(1+g_oth_dram)^4+((Mkt!$C$61*sh_oth))*(1+g_oth_nand)^4)+(cap_ts_29*(1-0)*sh_fd+MAX(Mkt!$C$43-cap_ts_25*(1-0)*sh_fd,0)*(1+g_oth_fd)^4))+Mkt!G116+Mkt!G117</f>
        <v>260.655685855226</v>
      </c>
      <c r="G18" s="18" t="n">
        <f aca="false">F18/F$4-1</f>
        <v>0</v>
      </c>
      <c r="H18" s="9" t="s">
        <v>708</v>
      </c>
    </row>
    <row r="19" customFormat="false" ht="15" hidden="false" customHeight="false" outlineLevel="0" collapsed="false">
      <c r="A19" s="9" t="s">
        <v>709</v>
      </c>
      <c r="B19" s="17" t="n">
        <f aca="false">((cap_sk_27*1000/fx_hi*((Mkt!$C$73-((Mkt!$C$57-Mkt!$C$54+ind_cxmt+Mkt!$C$61)*sh_oth)-(cap_mu_25*sh_mu_25))/(cap_sk_25*1000/fx_hi+cap_ssds_25*ss_mem*1000/fx_hi))+cap_mu_27*sh_mu_27+cap_ss_27*1000/fx_hi*((Mkt!$C$73-((Mkt!$C$57-Mkt!$C$54+ind_cxmt+Mkt!$C$61)*sh_oth)-(cap_mu_25*sh_mu_25))/(cap_sk_25*1000/fx_hi+cap_ssds_25*ss_mem*1000/fx_hi)))+(((Mkt!$C$57-Mkt!$C$54+ind_cxmt)*sh_oth))*(1+g_oth_dram)^2+((Mkt!$C$61*sh_oth))*(1+g_oth_nand)^2)+(cap_ts_27*(1-0)*sh_fd+MAX(Mkt!$C$43-cap_ts_25*(1-0)*sh_fd,0)*(1+g_oth_fd)^2)+Mkt!E50*(((cap_sk_27*1000/fx_hi*((Mkt!$C$73-((Mkt!$C$57-Mkt!$C$54+ind_cxmt+Mkt!$C$61)*sh_oth)-(cap_mu_25*sh_mu_25))/(cap_sk_25*1000/fx_hi+cap_ssds_25*ss_mem*1000/fx_hi))+cap_mu_27*sh_mu_27+cap_ss_27*1000/fx_hi*((Mkt!$C$73-((Mkt!$C$57-Mkt!$C$54+ind_cxmt+Mkt!$C$61)*sh_oth)-(cap_mu_25*sh_mu_25))/(cap_sk_25*1000/fx_hi+cap_ssds_25*ss_mem*1000/fx_hi)))+(((Mkt!$C$57-Mkt!$C$54+ind_cxmt)*sh_oth))*(1+g_oth_dram)^2+((Mkt!$C$61*sh_oth))*(1+g_oth_nand)^2)+(cap_ts_27*(1-0)*sh_fd+MAX(Mkt!$C$43-cap_ts_25*(1-0)*sh_fd,0)*(1+g_oth_fd)^2))+Mkt!E116+Mkt!E117</f>
        <v>218.225535760082</v>
      </c>
      <c r="C19" s="18" t="n">
        <f aca="false">B19/B$4-1</f>
        <v>0</v>
      </c>
      <c r="D19" s="17" t="n">
        <f aca="false">((cap_sk_28*1000/fx_hi*((Mkt!$C$73-((Mkt!$C$57-Mkt!$C$54+ind_cxmt+Mkt!$C$61)*sh_oth)-(cap_mu_25*sh_mu_25))/(cap_sk_25*1000/fx_hi+cap_ssds_25*ss_mem*1000/fx_hi))+cap_mu_28*sh_mu_27+cap_ss_28*1000/fx_hi*((Mkt!$C$73-((Mkt!$C$57-Mkt!$C$54+ind_cxmt+Mkt!$C$61)*sh_oth)-(cap_mu_25*sh_mu_25))/(cap_sk_25*1000/fx_hi+cap_ssds_25*ss_mem*1000/fx_hi)))+(((Mkt!$C$57-Mkt!$C$54+ind_cxmt)*sh_oth))*(1+g_oth_dram)^3+((Mkt!$C$61*sh_oth))*(1+g_oth_nand)^3)+(cap_ts_28*(1-0)*sh_fd+MAX(Mkt!$C$43-cap_ts_25*(1-0)*sh_fd,0)*(1+g_oth_fd)^3)+Mkt!F50*(((cap_sk_28*1000/fx_hi*((Mkt!$C$73-((Mkt!$C$57-Mkt!$C$54+ind_cxmt+Mkt!$C$61)*sh_oth)-(cap_mu_25*sh_mu_25))/(cap_sk_25*1000/fx_hi+cap_ssds_25*ss_mem*1000/fx_hi))+cap_mu_28*sh_mu_27+cap_ss_28*1000/fx_hi*((Mkt!$C$73-((Mkt!$C$57-Mkt!$C$54+ind_cxmt+Mkt!$C$61)*sh_oth)-(cap_mu_25*sh_mu_25))/(cap_sk_25*1000/fx_hi+cap_ssds_25*ss_mem*1000/fx_hi)))+(((Mkt!$C$57-Mkt!$C$54+ind_cxmt)*sh_oth))*(1+g_oth_dram)^3+((Mkt!$C$61*sh_oth))*(1+g_oth_nand)^3)+(cap_ts_28*(1-0)*sh_fd+MAX(Mkt!$C$43-cap_ts_25*(1-0)*sh_fd,0)*(1+g_oth_fd)^3))+Mkt!F116+Mkt!F117</f>
        <v>246.028626308958</v>
      </c>
      <c r="E19" s="18" t="n">
        <f aca="false">D19/D$4-1</f>
        <v>0</v>
      </c>
      <c r="F19" s="17" t="n">
        <f aca="false">((cap_sk_29*1000/fx_hi*((Mkt!$C$73-((Mkt!$C$57-Mkt!$C$54+ind_cxmt+Mkt!$C$61)*sh_oth)-(cap_mu_25*sh_mu_25))/(cap_sk_25*1000/fx_hi+cap_ssds_25*ss_mem*1000/fx_hi))+cap_mu_29*sh_mu_27+cap_ss_29*1000/fx_hi*((Mkt!$C$73-((Mkt!$C$57-Mkt!$C$54+ind_cxmt+Mkt!$C$61)*sh_oth)-(cap_mu_25*sh_mu_25))/(cap_sk_25*1000/fx_hi+cap_ssds_25*ss_mem*1000/fx_hi)))+(((Mkt!$C$57-Mkt!$C$54+ind_cxmt)*sh_oth))*(1+g_oth_dram)^4+((Mkt!$C$61*sh_oth))*(1+g_oth_nand)^4)+(cap_ts_29*(1-0)*sh_fd+MAX(Mkt!$C$43-cap_ts_25*(1-0)*sh_fd,0)*(1+g_oth_fd)^4)+Mkt!G50*(((cap_sk_29*1000/fx_hi*((Mkt!$C$73-((Mkt!$C$57-Mkt!$C$54+ind_cxmt+Mkt!$C$61)*sh_oth)-(cap_mu_25*sh_mu_25))/(cap_sk_25*1000/fx_hi+cap_ssds_25*ss_mem*1000/fx_hi))+cap_mu_29*sh_mu_27+cap_ss_29*1000/fx_hi*((Mkt!$C$73-((Mkt!$C$57-Mkt!$C$54+ind_cxmt+Mkt!$C$61)*sh_oth)-(cap_mu_25*sh_mu_25))/(cap_sk_25*1000/fx_hi+cap_ssds_25*ss_mem*1000/fx_hi)))+(((Mkt!$C$57-Mkt!$C$54+ind_cxmt)*sh_oth))*(1+g_oth_dram)^4+((Mkt!$C$61*sh_oth))*(1+g_oth_nand)^4)+(cap_ts_29*(1-0)*sh_fd+MAX(Mkt!$C$43-cap_ts_25*(1-0)*sh_fd,0)*(1+g_oth_fd)^4))+Mkt!G116+Mkt!G117</f>
        <v>260.655685855226</v>
      </c>
      <c r="G19" s="18" t="n">
        <f aca="false">F19/F$4-1</f>
        <v>0</v>
      </c>
    </row>
    <row r="20" customFormat="false" ht="15" hidden="false" customHeight="false" outlineLevel="0" collapsed="false">
      <c r="A20" s="0" t="s">
        <v>710</v>
      </c>
      <c r="B20" s="17" t="n">
        <f aca="false">((cap_sk_27*1000/fx*((Mkt!$C$73-((Mkt!$C$57-Mkt!$C$54+ind_cxmt+Mkt!$C$61)*sh_oth)-(cap_mu_25*sh_mu_25))/(cap_sk_25_lo*1000/fx+cap_ssds_25*ss_mem*1000/fx))+cap_mu_27*sh_mu_27+cap_ss_27*1000/fx*((Mkt!$C$73-((Mkt!$C$57-Mkt!$C$54+ind_cxmt+Mkt!$C$61)*sh_oth)-(cap_mu_25*sh_mu_25))/(cap_sk_25_lo*1000/fx+cap_ssds_25*ss_mem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25))/(cap_sk_25_lo*1000/fx+cap_ssds_25*ss_mem*1000/fx))+cap_mu_27*sh_mu_27+cap_ss_27*1000/fx*((Mkt!$C$73-((Mkt!$C$57-Mkt!$C$54+ind_cxmt+Mkt!$C$61)*sh_oth)-(cap_mu_25*sh_mu_25))/(cap_sk_25_lo*1000/fx+cap_ssds_25*ss_mem*1000/fx)))+(((Mkt!$C$57-Mkt!$C$54+ind_cxmt)*sh_oth))*(1+g_oth_dram)^2+((Mkt!$C$61*sh_oth))*(1+g_oth_nand)^2)+(cap_ts_27*(1-0)*sh_fd+MAX(Mkt!$C$43-cap_ts_25*(1-0)*sh_fd,0)*(1+g_oth_fd)^2))+Mkt!E116+Mkt!E117</f>
        <v>219.747904292594</v>
      </c>
      <c r="C20" s="18" t="n">
        <f aca="false">B20/B$4-1</f>
        <v>0.00697612461900343</v>
      </c>
      <c r="D20" s="17" t="n">
        <f aca="false">((cap_sk_28*1000/fx*((Mkt!$C$73-((Mkt!$C$57-Mkt!$C$54+ind_cxmt+Mkt!$C$61)*sh_oth)-(cap_mu_25*sh_mu_25))/(cap_sk_25_lo*1000/fx+cap_ssds_25*ss_mem*1000/fx))+cap_mu_28*sh_mu_27+cap_ss_28*1000/fx*((Mkt!$C$73-((Mkt!$C$57-Mkt!$C$54+ind_cxmt+Mkt!$C$61)*sh_oth)-(cap_mu_25*sh_mu_25))/(cap_sk_25_lo*1000/fx+cap_ssds_25*ss_mem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25))/(cap_sk_25_lo*1000/fx+cap_ssds_25*ss_mem*1000/fx))+cap_mu_28*sh_mu_27+cap_ss_28*1000/fx*((Mkt!$C$73-((Mkt!$C$57-Mkt!$C$54+ind_cxmt+Mkt!$C$61)*sh_oth)-(cap_mu_25*sh_mu_25))/(cap_sk_25_lo*1000/fx+cap_ssds_25*ss_mem*1000/fx)))+(((Mkt!$C$57-Mkt!$C$54+ind_cxmt)*sh_oth))*(1+g_oth_dram)^3+((Mkt!$C$61*sh_oth))*(1+g_oth_nand)^3)+(cap_ts_28*(1-0)*sh_fd+MAX(Mkt!$C$43-cap_ts_25*(1-0)*sh_fd,0)*(1+g_oth_fd)^3))+Mkt!F116+Mkt!F117</f>
        <v>247.736467377319</v>
      </c>
      <c r="E20" s="18" t="n">
        <f aca="false">D20/D$4-1</f>
        <v>0.00694163558925087</v>
      </c>
      <c r="F20" s="17" t="n">
        <f aca="false">((cap_sk_29*1000/fx*((Mkt!$C$73-((Mkt!$C$57-Mkt!$C$54+ind_cxmt+Mkt!$C$61)*sh_oth)-(cap_mu_25*sh_mu_25))/(cap_sk_25_lo*1000/fx+cap_ssds_25*ss_mem*1000/fx))+cap_mu_29*sh_mu_27+cap_ss_29*1000/fx*((Mkt!$C$73-((Mkt!$C$57-Mkt!$C$54+ind_cxmt+Mkt!$C$61)*sh_oth)-(cap_mu_25*sh_mu_25))/(cap_sk_25_lo*1000/fx+cap_ssds_25*ss_mem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25))/(cap_sk_25_lo*1000/fx+cap_ssds_25*ss_mem*1000/fx))+cap_mu_29*sh_mu_27+cap_ss_29*1000/fx*((Mkt!$C$73-((Mkt!$C$57-Mkt!$C$54+ind_cxmt+Mkt!$C$61)*sh_oth)-(cap_mu_25*sh_mu_25))/(cap_sk_25_lo*1000/fx+cap_ssds_25*ss_mem*1000/fx)))+(((Mkt!$C$57-Mkt!$C$54+ind_cxmt)*sh_oth))*(1+g_oth_dram)^4+((Mkt!$C$61*sh_oth))*(1+g_oth_nand)^4)+(cap_ts_29*(1-0)*sh_fd+MAX(Mkt!$C$43-cap_ts_25*(1-0)*sh_fd,0)*(1+g_oth_fd)^4))+Mkt!G116+Mkt!G117</f>
        <v>262.410828644139</v>
      </c>
      <c r="G20" s="18" t="n">
        <f aca="false">F20/F$4-1</f>
        <v>0.00673356801388914</v>
      </c>
    </row>
    <row r="21" customFormat="false" ht="15" hidden="false" customHeight="false" outlineLevel="0" collapsed="false">
      <c r="A21" s="9" t="s">
        <v>711</v>
      </c>
      <c r="B21" s="17" t="n">
        <f aca="false">((cap_sk_27*1000/fx*((Mkt!$C$73-((Mkt!$C$57-Mkt!$C$54+ind_cxmt+Mkt!$C$61)*sh_oth)-(cap_mu_25*sh_mu_25))/(cap_sk_25*1000/fx+cap_ssds_25*ss_mem_lo*1000/fx))+cap_mu_27*sh_mu_27+cap_ss_27*1000/fx*((Mkt!$C$73-((Mkt!$C$57-Mkt!$C$54+ind_cxmt+Mkt!$C$61)*sh_oth)-(cap_mu_25*sh_mu_25))/(cap_sk_25*1000/fx+cap_ssds_25*ss_mem_lo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25))/(cap_sk_25*1000/fx+cap_ssds_25*ss_mem_lo*1000/fx))+cap_mu_27*sh_mu_27+cap_ss_27*1000/fx*((Mkt!$C$73-((Mkt!$C$57-Mkt!$C$54+ind_cxmt+Mkt!$C$61)*sh_oth)-(cap_mu_25*sh_mu_25))/(cap_sk_25*1000/fx+cap_ssds_25*ss_mem_lo*1000/fx)))+(((Mkt!$C$57-Mkt!$C$54+ind_cxmt)*sh_oth))*(1+g_oth_dram)^2+((Mkt!$C$61*sh_oth))*(1+g_oth_nand)^2)+(cap_ts_27*(1-0)*sh_fd+MAX(Mkt!$C$43-cap_ts_25*(1-0)*sh_fd,0)*(1+g_oth_fd)^2))+Mkt!E116+Mkt!E117</f>
        <v>221.649703623252</v>
      </c>
      <c r="C21" s="18" t="n">
        <f aca="false">B21/B$4-1</f>
        <v>0.0156909586737575</v>
      </c>
      <c r="D21" s="17" t="n">
        <f aca="false">((cap_sk_28*1000/fx*((Mkt!$C$73-((Mkt!$C$57-Mkt!$C$54+ind_cxmt+Mkt!$C$61)*sh_oth)-(cap_mu_25*sh_mu_25))/(cap_sk_25*1000/fx+cap_ssds_25*ss_mem_lo*1000/fx))+cap_mu_28*sh_mu_27+cap_ss_28*1000/fx*((Mkt!$C$73-((Mkt!$C$57-Mkt!$C$54+ind_cxmt+Mkt!$C$61)*sh_oth)-(cap_mu_25*sh_mu_25))/(cap_sk_25*1000/fx+cap_ssds_25*ss_mem_lo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25))/(cap_sk_25*1000/fx+cap_ssds_25*ss_mem_lo*1000/fx))+cap_mu_28*sh_mu_27+cap_ss_28*1000/fx*((Mkt!$C$73-((Mkt!$C$57-Mkt!$C$54+ind_cxmt+Mkt!$C$61)*sh_oth)-(cap_mu_25*sh_mu_25))/(cap_sk_25*1000/fx+cap_ssds_25*ss_mem_lo*1000/fx)))+(((Mkt!$C$57-Mkt!$C$54+ind_cxmt)*sh_oth))*(1+g_oth_dram)^3+((Mkt!$C$61*sh_oth))*(1+g_oth_nand)^3)+(cap_ts_28*(1-0)*sh_fd+MAX(Mkt!$C$43-cap_ts_25*(1-0)*sh_fd,0)*(1+g_oth_fd)^3))+Mkt!F116+Mkt!F117</f>
        <v>249.869965890536</v>
      </c>
      <c r="E21" s="18" t="n">
        <f aca="false">D21/D$4-1</f>
        <v>0.0156133846666835</v>
      </c>
      <c r="F21" s="17" t="n">
        <f aca="false">((cap_sk_29*1000/fx*((Mkt!$C$73-((Mkt!$C$57-Mkt!$C$54+ind_cxmt+Mkt!$C$61)*sh_oth)-(cap_mu_25*sh_mu_25))/(cap_sk_25*1000/fx+cap_ssds_25*ss_mem_lo*1000/fx))+cap_mu_29*sh_mu_27+cap_ss_29*1000/fx*((Mkt!$C$73-((Mkt!$C$57-Mkt!$C$54+ind_cxmt+Mkt!$C$61)*sh_oth)-(cap_mu_25*sh_mu_25))/(cap_sk_25*1000/fx+cap_ssds_25*ss_mem_lo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25))/(cap_sk_25*1000/fx+cap_ssds_25*ss_mem_lo*1000/fx))+cap_mu_29*sh_mu_27+cap_ss_29*1000/fx*((Mkt!$C$73-((Mkt!$C$57-Mkt!$C$54+ind_cxmt+Mkt!$C$61)*sh_oth)-(cap_mu_25*sh_mu_25))/(cap_sk_25*1000/fx+cap_ssds_25*ss_mem_lo*1000/fx)))+(((Mkt!$C$57-Mkt!$C$54+ind_cxmt)*sh_oth))*(1+g_oth_dram)^4+((Mkt!$C$61*sh_oth))*(1+g_oth_nand)^4)+(cap_ts_29*(1-0)*sh_fd+MAX(Mkt!$C$43-cap_ts_25*(1-0)*sh_fd,0)*(1+g_oth_fd)^4))+Mkt!G116+Mkt!G117</f>
        <v>264.603418224048</v>
      </c>
      <c r="G21" s="18" t="n">
        <f aca="false">F21/F$4-1</f>
        <v>0.0151453913459421</v>
      </c>
    </row>
    <row r="22" customFormat="false" ht="15" hidden="false" customHeight="false" outlineLevel="0" collapsed="false">
      <c r="A22" s="9" t="s">
        <v>712</v>
      </c>
      <c r="B22" s="17" t="n">
        <f aca="false">((cap_sk_27*1000/fx*((Mkt!$C$73-((Mkt!$C$57-Mkt!$C$54+ind_cxmt+Mkt!$C$61)*sh_oth)-(cap_mu_25*sh_mu_25))/(cap_sk_25*1000/fx+cap_ssds_25*ss_mem_hi*1000/fx))+cap_mu_27*sh_mu_27+cap_ss_27*1000/fx*((Mkt!$C$73-((Mkt!$C$57-Mkt!$C$54+ind_cxmt+Mkt!$C$61)*sh_oth)-(cap_mu_25*sh_mu_25))/(cap_sk_25*1000/fx+cap_ssds_25*ss_mem_hi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25))/(cap_sk_25*1000/fx+cap_ssds_25*ss_mem_hi*1000/fx))+cap_mu_27*sh_mu_27+cap_ss_27*1000/fx*((Mkt!$C$73-((Mkt!$C$57-Mkt!$C$54+ind_cxmt+Mkt!$C$61)*sh_oth)-(cap_mu_25*sh_mu_25))/(cap_sk_25*1000/fx+cap_ssds_25*ss_mem_hi*1000/fx)))+(((Mkt!$C$57-Mkt!$C$54+ind_cxmt)*sh_oth))*(1+g_oth_dram)^2+((Mkt!$C$61*sh_oth))*(1+g_oth_nand)^2)+(cap_ts_27*(1-0)*sh_fd+MAX(Mkt!$C$43-cap_ts_25*(1-0)*sh_fd,0)*(1+g_oth_fd)^2))+Mkt!E116+Mkt!E117</f>
        <v>213.925377043637</v>
      </c>
      <c r="C22" s="18" t="n">
        <f aca="false">B22/B$4-1</f>
        <v>-0.019705112426314</v>
      </c>
      <c r="D22" s="17" t="n">
        <f aca="false">((cap_sk_28*1000/fx*((Mkt!$C$73-((Mkt!$C$57-Mkt!$C$54+ind_cxmt+Mkt!$C$61)*sh_oth)-(cap_mu_25*sh_mu_25))/(cap_sk_25*1000/fx+cap_ssds_25*ss_mem_hi*1000/fx))+cap_mu_28*sh_mu_27+cap_ss_28*1000/fx*((Mkt!$C$73-((Mkt!$C$57-Mkt!$C$54+ind_cxmt+Mkt!$C$61)*sh_oth)-(cap_mu_25*sh_mu_25))/(cap_sk_25*1000/fx+cap_ssds_25*ss_mem_hi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25))/(cap_sk_25*1000/fx+cap_ssds_25*ss_mem_hi*1000/fx))+cap_mu_28*sh_mu_27+cap_ss_28*1000/fx*((Mkt!$C$73-((Mkt!$C$57-Mkt!$C$54+ind_cxmt+Mkt!$C$61)*sh_oth)-(cap_mu_25*sh_mu_25))/(cap_sk_25*1000/fx+cap_ssds_25*ss_mem_hi*1000/fx)))+(((Mkt!$C$57-Mkt!$C$54+ind_cxmt)*sh_oth))*(1+g_oth_dram)^3+((Mkt!$C$61*sh_oth))*(1+g_oth_nand)^3)+(cap_ts_28*(1-0)*sh_fd+MAX(Mkt!$C$43-cap_ts_25*(1-0)*sh_fd,0)*(1+g_oth_fd)^3))+Mkt!F116+Mkt!F117</f>
        <v>241.204572540387</v>
      </c>
      <c r="E22" s="18" t="n">
        <f aca="false">D22/D$4-1</f>
        <v>-0.0196076929784312</v>
      </c>
      <c r="F22" s="17" t="n">
        <f aca="false">((cap_sk_29*1000/fx*((Mkt!$C$73-((Mkt!$C$57-Mkt!$C$54+ind_cxmt+Mkt!$C$61)*sh_oth)-(cap_mu_25*sh_mu_25))/(cap_sk_25*1000/fx+cap_ssds_25*ss_mem_hi*1000/fx))+cap_mu_29*sh_mu_27+cap_ss_29*1000/fx*((Mkt!$C$73-((Mkt!$C$57-Mkt!$C$54+ind_cxmt+Mkt!$C$61)*sh_oth)-(cap_mu_25*sh_mu_25))/(cap_sk_25*1000/fx+cap_ssds_25*ss_mem_hi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25))/(cap_sk_25*1000/fx+cap_ssds_25*ss_mem_hi*1000/fx))+cap_mu_29*sh_mu_27+cap_ss_29*1000/fx*((Mkt!$C$73-((Mkt!$C$57-Mkt!$C$54+ind_cxmt+Mkt!$C$61)*sh_oth)-(cap_mu_25*sh_mu_25))/(cap_sk_25*1000/fx+cap_ssds_25*ss_mem_hi*1000/fx)))+(((Mkt!$C$57-Mkt!$C$54+ind_cxmt)*sh_oth))*(1+g_oth_dram)^4+((Mkt!$C$61*sh_oth))*(1+g_oth_nand)^4)+(cap_ts_29*(1-0)*sh_fd+MAX(Mkt!$C$43-cap_ts_25*(1-0)*sh_fd,0)*(1+g_oth_fd)^4))+Mkt!G116+Mkt!G117</f>
        <v>255.698021267992</v>
      </c>
      <c r="G22" s="18" t="n">
        <f aca="false">F22/F$4-1</f>
        <v>-0.0190199748414001</v>
      </c>
    </row>
    <row r="23" customFormat="false" ht="15" hidden="false" customHeight="false" outlineLevel="0" collapsed="false">
      <c r="A23" s="9" t="s">
        <v>713</v>
      </c>
      <c r="B23" s="17" t="n">
        <f aca="false">((cap_sk_27*1000/fx*sh_sk+cap_mu_27*sh_mu_27+cap_ss_27*1000/fx*sh_ss)+(((Mkt!$C$57-Mkt!$C$54+ind_cxmt)*sh_oth))*(1+g_oth_dram)^2+((Mkt!$C$61*sh_oth))*(1+g_oth_nand)^2)+(cap_ts_27*(1-0)*sh_fd+MAX(Mkt!$C$43-cap_ts_25_lo*(1-0)*sh_fd,0)*(1+g_oth_fd)^2)+Mkt!E50*(((cap_sk_27*1000/fx*sh_sk+cap_mu_27*sh_mu_27+cap_ss_27*1000/fx*sh_ss)+(((Mkt!$C$57-Mkt!$C$54+ind_cxmt)*sh_oth))*(1+g_oth_dram)^2+((Mkt!$C$61*sh_oth))*(1+g_oth_nand)^2)+(cap_ts_27*(1-0)*sh_fd+MAX(Mkt!$C$43-cap_ts_25_lo*(1-0)*sh_fd,0)*(1+g_oth_fd)^2))+Mkt!E116+Mkt!E117</f>
        <v>218.97960847063</v>
      </c>
      <c r="C23" s="18" t="n">
        <f aca="false">B23/B$4-1</f>
        <v>0.00345547420892567</v>
      </c>
      <c r="D23" s="17" t="n">
        <f aca="false">((cap_sk_28*1000/fx*sh_sk+cap_mu_28*sh_mu_27+cap_ss_28*1000/fx*sh_ss)+(((Mkt!$C$57-Mkt!$C$54+ind_cxmt)*sh_oth))*(1+g_oth_dram)^3+((Mkt!$C$61*sh_oth))*(1+g_oth_nand)^3)+(cap_ts_28*(1-0)*sh_fd+MAX(Mkt!$C$43-cap_ts_25_lo*(1-0)*sh_fd,0)*(1+g_oth_fd)^3)+Mkt!F50*(((cap_sk_28*1000/fx*sh_sk+cap_mu_28*sh_mu_27+cap_ss_28*1000/fx*sh_ss)+(((Mkt!$C$57-Mkt!$C$54+ind_cxmt)*sh_oth))*(1+g_oth_dram)^3+((Mkt!$C$61*sh_oth))*(1+g_oth_nand)^3)+(cap_ts_28*(1-0)*sh_fd+MAX(Mkt!$C$43-cap_ts_25_lo*(1-0)*sh_fd,0)*(1+g_oth_fd)^3))+Mkt!F116+Mkt!F117</f>
        <v>246.84302483635</v>
      </c>
      <c r="E23" s="18" t="n">
        <f aca="false">D23/D$4-1</f>
        <v>0.00331017792364152</v>
      </c>
      <c r="F23" s="17" t="n">
        <f aca="false">((cap_sk_29*1000/fx*sh_sk+cap_mu_29*sh_mu_27+cap_ss_29*1000/fx*sh_ss)+(((Mkt!$C$57-Mkt!$C$54+ind_cxmt)*sh_oth))*(1+g_oth_dram)^4+((Mkt!$C$61*sh_oth))*(1+g_oth_nand)^4)+(cap_ts_29*(1-0)*sh_fd+MAX(Mkt!$C$43-cap_ts_25_lo*(1-0)*sh_fd,0)*(1+g_oth_fd)^4)+Mkt!G50*(((cap_sk_29*1000/fx*sh_sk+cap_mu_29*sh_mu_27+cap_ss_29*1000/fx*sh_ss)+(((Mkt!$C$57-Mkt!$C$54+ind_cxmt)*sh_oth))*(1+g_oth_dram)^4+((Mkt!$C$61*sh_oth))*(1+g_oth_nand)^4)+(cap_ts_29*(1-0)*sh_fd+MAX(Mkt!$C$43-cap_ts_25_lo*(1-0)*sh_fd,0)*(1+g_oth_fd)^4))+Mkt!G116+Mkt!G117</f>
        <v>261.535236264809</v>
      </c>
      <c r="G23" s="18" t="n">
        <f aca="false">F23/F$4-1</f>
        <v>0.00337437645642491</v>
      </c>
    </row>
    <row r="24" customFormat="false" ht="15" hidden="false" customHeight="false" outlineLevel="0" collapsed="false">
      <c r="A24" s="9" t="s">
        <v>714</v>
      </c>
      <c r="B24" s="17" t="n">
        <f aca="false">((cap_sk_27*1000/fx*sh_sk+cap_mu_27*sh_mu_27+cap_ss_27*1000/fx*sh_ss)+(((Mkt!$C$57-Mkt!$C$54+ind_cxmt)*sh_oth))*(1+g_oth_dram)^2+((Mkt!$C$61*sh_oth))*(1+g_oth_nand)^2)+(cap_ts_27*(1-0)*sh_fd+MAX(Mkt!$C$43-cap_ts_25_hi*(1-0)*sh_fd,0)*(1+g_oth_fd)^2)+Mkt!E50*(((cap_sk_27*1000/fx*sh_sk+cap_mu_27*sh_mu_27+cap_ss_27*1000/fx*sh_ss)+(((Mkt!$C$57-Mkt!$C$54+ind_cxmt)*sh_oth))*(1+g_oth_dram)^2+((Mkt!$C$61*sh_oth))*(1+g_oth_nand)^2)+(cap_ts_27*(1-0)*sh_fd+MAX(Mkt!$C$43-cap_ts_25_hi*(1-0)*sh_fd,0)*(1+g_oth_fd)^2))+Mkt!E116+Mkt!E117</f>
        <v>217.303891336079</v>
      </c>
      <c r="C24" s="18" t="n">
        <f aca="false">B24/B$4-1</f>
        <v>-0.00422335736646451</v>
      </c>
      <c r="D24" s="17" t="n">
        <f aca="false">((cap_sk_28*1000/fx*sh_sk+cap_mu_28*sh_mu_27+cap_ss_28*1000/fx*sh_ss)+(((Mkt!$C$57-Mkt!$C$54+ind_cxmt)*sh_oth))*(1+g_oth_dram)^3+((Mkt!$C$61*sh_oth))*(1+g_oth_nand)^3)+(cap_ts_28*(1-0)*sh_fd+MAX(Mkt!$C$43-cap_ts_25_hi*(1-0)*sh_fd,0)*(1+g_oth_fd)^3)+Mkt!F50*(((cap_sk_28*1000/fx*sh_sk+cap_mu_28*sh_mu_27+cap_ss_28*1000/fx*sh_ss)+(((Mkt!$C$57-Mkt!$C$54+ind_cxmt)*sh_oth))*(1+g_oth_dram)^3+((Mkt!$C$61*sh_oth))*(1+g_oth_nand)^3)+(cap_ts_28*(1-0)*sh_fd+MAX(Mkt!$C$43-cap_ts_25_hi*(1-0)*sh_fd,0)*(1+g_oth_fd)^3))+Mkt!F116+Mkt!F117</f>
        <v>245.033250331035</v>
      </c>
      <c r="E24" s="18" t="n">
        <f aca="false">D24/D$4-1</f>
        <v>-0.00404577301778419</v>
      </c>
      <c r="F24" s="17" t="n">
        <f aca="false">((cap_sk_29*1000/fx*sh_sk+cap_mu_29*sh_mu_27+cap_ss_29*1000/fx*sh_ss)+(((Mkt!$C$57-Mkt!$C$54+ind_cxmt)*sh_oth))*(1+g_oth_dram)^4+((Mkt!$C$61*sh_oth))*(1+g_oth_nand)^4)+(cap_ts_29*(1-0)*sh_fd+MAX(Mkt!$C$43-cap_ts_25_hi*(1-0)*sh_fd,0)*(1+g_oth_fd)^4)+Mkt!G50*(((cap_sk_29*1000/fx*sh_sk+cap_mu_29*sh_mu_27+cap_ss_29*1000/fx*sh_ss)+(((Mkt!$C$57-Mkt!$C$54+ind_cxmt)*sh_oth))*(1+g_oth_dram)^4+((Mkt!$C$61*sh_oth))*(1+g_oth_nand)^4)+(cap_ts_29*(1-0)*sh_fd+MAX(Mkt!$C$43-cap_ts_25_hi*(1-0)*sh_fd,0)*(1+g_oth_fd)^4))+Mkt!G116+Mkt!G117</f>
        <v>259.580679799069</v>
      </c>
      <c r="G24" s="18" t="n">
        <f aca="false">F24/F$4-1</f>
        <v>-0.00412423789118566</v>
      </c>
    </row>
    <row r="25" customFormat="false" ht="15" hidden="false" customHeight="false" outlineLevel="0" collapsed="false">
      <c r="A25" s="9" t="s">
        <v>715</v>
      </c>
      <c r="B25" s="17" t="n">
        <f aca="false">((cap_sk_27*1000/fx*sh_sk+cap_mu_27*sh_mu_27+cap_ss_27*1000/fx*sh_ss)+(((Mkt!$C$57-Mkt!$C$54+ind_cxmt)*sh_oth))*(1+g_oth_dram_lo)^2+((Mkt!$C$61*sh_oth))*(1+g_oth_nand)^2)+(cap_ts_27*(1-0)*sh_fd+MAX(Mkt!$C$43-cap_ts_25*(1-0)*sh_fd,0)*(1+g_oth_fd)^2)+Mkt!E50*(((cap_sk_27*1000/fx*sh_sk+cap_mu_27*sh_mu_27+cap_ss_27*1000/fx*sh_ss)+(((Mkt!$C$57-Mkt!$C$54+ind_cxmt)*sh_oth))*(1+g_oth_dram_lo)^2+((Mkt!$C$61*sh_oth))*(1+g_oth_nand)^2)+(cap_ts_27*(1-0)*sh_fd+MAX(Mkt!$C$43-cap_ts_25*(1-0)*sh_fd,0)*(1+g_oth_fd)^2))+Mkt!E116+Mkt!E117</f>
        <v>217.264840208644</v>
      </c>
      <c r="C25" s="18" t="n">
        <f aca="false">B25/B$4-1</f>
        <v>-0.00440230584423695</v>
      </c>
      <c r="D25" s="17" t="n">
        <f aca="false">((cap_sk_28*1000/fx*sh_sk+cap_mu_28*sh_mu_27+cap_ss_28*1000/fx*sh_ss)+(((Mkt!$C$57-Mkt!$C$54+ind_cxmt)*sh_oth))*(1+g_oth_dram_lo)^3+((Mkt!$C$61*sh_oth))*(1+g_oth_nand)^3)+(cap_ts_28*(1-0)*sh_fd+MAX(Mkt!$C$43-cap_ts_25*(1-0)*sh_fd,0)*(1+g_oth_fd)^3)+Mkt!F50*(((cap_sk_28*1000/fx*sh_sk+cap_mu_28*sh_mu_27+cap_ss_28*1000/fx*sh_ss)+(((Mkt!$C$57-Mkt!$C$54+ind_cxmt)*sh_oth))*(1+g_oth_dram_lo)^3+((Mkt!$C$61*sh_oth))*(1+g_oth_nand)^3)+(cap_ts_28*(1-0)*sh_fd+MAX(Mkt!$C$43-cap_ts_25*(1-0)*sh_fd,0)*(1+g_oth_fd)^3))+Mkt!F116+Mkt!F117</f>
        <v>244.385162743682</v>
      </c>
      <c r="E25" s="18" t="n">
        <f aca="false">D25/D$4-1</f>
        <v>-0.00667996887164102</v>
      </c>
      <c r="F25" s="17" t="n">
        <f aca="false">((cap_sk_29*1000/fx*sh_sk+cap_mu_29*sh_mu_27+cap_ss_29*1000/fx*sh_ss)+(((Mkt!$C$57-Mkt!$C$54+ind_cxmt)*sh_oth))*(1+g_oth_dram_lo)^4+((Mkt!$C$61*sh_oth))*(1+g_oth_nand)^4)+(cap_ts_29*(1-0)*sh_fd+MAX(Mkt!$C$43-cap_ts_25*(1-0)*sh_fd,0)*(1+g_oth_fd)^4)+Mkt!G50*(((cap_sk_29*1000/fx*sh_sk+cap_mu_29*sh_mu_27+cap_ss_29*1000/fx*sh_ss)+(((Mkt!$C$57-Mkt!$C$54+ind_cxmt)*sh_oth))*(1+g_oth_dram_lo)^4+((Mkt!$C$61*sh_oth))*(1+g_oth_nand)^4)+(cap_ts_29*(1-0)*sh_fd+MAX(Mkt!$C$43-cap_ts_25*(1-0)*sh_fd,0)*(1+g_oth_fd)^4))+Mkt!G116+Mkt!G117</f>
        <v>258.155571752163</v>
      </c>
      <c r="G25" s="18" t="n">
        <f aca="false">F25/F$4-1</f>
        <v>-0.00959163463041379</v>
      </c>
    </row>
    <row r="26" customFormat="false" ht="15" hidden="false" customHeight="false" outlineLevel="0" collapsed="false">
      <c r="A26" s="9" t="s">
        <v>716</v>
      </c>
      <c r="B26" s="17" t="n">
        <f aca="false">((cap_sk_27*1000/fx*sh_sk+cap_mu_27*sh_mu_27+cap_ss_27*1000/fx*sh_ss)+(((Mkt!$C$57-Mkt!$C$54+ind_cxmt)*sh_oth))*(1+g_oth_dram_hi)^2+((Mkt!$C$61*sh_oth))*(1+g_oth_nand)^2)+(cap_ts_27*(1-0)*sh_fd+MAX(Mkt!$C$43-cap_ts_25*(1-0)*sh_fd,0)*(1+g_oth_fd)^2)+Mkt!E50*(((cap_sk_27*1000/fx*sh_sk+cap_mu_27*sh_mu_27+cap_ss_27*1000/fx*sh_ss)+(((Mkt!$C$57-Mkt!$C$54+ind_cxmt)*sh_oth))*(1+g_oth_dram_hi)^2+((Mkt!$C$61*sh_oth))*(1+g_oth_nand)^2)+(cap_ts_27*(1-0)*sh_fd+MAX(Mkt!$C$43-cap_ts_25*(1-0)*sh_fd,0)*(1+g_oth_fd)^2))+Mkt!E116+Mkt!E117</f>
        <v>224.375251362382</v>
      </c>
      <c r="C26" s="18" t="n">
        <f aca="false">B26/B$4-1</f>
        <v>0.028180549910807</v>
      </c>
      <c r="D26" s="17" t="n">
        <f aca="false">((cap_sk_28*1000/fx*sh_sk+cap_mu_28*sh_mu_27+cap_ss_28*1000/fx*sh_ss)+(((Mkt!$C$57-Mkt!$C$54+ind_cxmt)*sh_oth))*(1+g_oth_dram_hi)^3+((Mkt!$C$61*sh_oth))*(1+g_oth_nand)^3)+(cap_ts_28*(1-0)*sh_fd+MAX(Mkt!$C$43-cap_ts_25*(1-0)*sh_fd,0)*(1+g_oth_fd)^3)+Mkt!F50*(((cap_sk_28*1000/fx*sh_sk+cap_mu_28*sh_mu_27+cap_ss_28*1000/fx*sh_ss)+(((Mkt!$C$57-Mkt!$C$54+ind_cxmt)*sh_oth))*(1+g_oth_dram_hi)^3+((Mkt!$C$61*sh_oth))*(1+g_oth_nand)^3)+(cap_ts_28*(1-0)*sh_fd+MAX(Mkt!$C$43-cap_ts_25*(1-0)*sh_fd,0)*(1+g_oth_fd)^3))+Mkt!F116+Mkt!F117</f>
        <v>258.948338180782</v>
      </c>
      <c r="E26" s="18" t="n">
        <f aca="false">D26/D$4-1</f>
        <v>0.0525130431594563</v>
      </c>
      <c r="F26" s="17" t="n">
        <f aca="false">((cap_sk_29*1000/fx*sh_sk+cap_mu_29*sh_mu_27+cap_ss_29*1000/fx*sh_ss)+(((Mkt!$C$57-Mkt!$C$54+ind_cxmt)*sh_oth))*(1+g_oth_dram_hi)^4+((Mkt!$C$61*sh_oth))*(1+g_oth_nand)^4)+(cap_ts_29*(1-0)*sh_fd+MAX(Mkt!$C$43-cap_ts_25*(1-0)*sh_fd,0)*(1+g_oth_fd)^4)+Mkt!G50*(((cap_sk_29*1000/fx*sh_sk+cap_mu_29*sh_mu_27+cap_ss_29*1000/fx*sh_ss)+(((Mkt!$C$57-Mkt!$C$54+ind_cxmt)*sh_oth))*(1+g_oth_dram_hi)^4+((Mkt!$C$61*sh_oth))*(1+g_oth_nand)^4)+(cap_ts_29*(1-0)*sh_fd+MAX(Mkt!$C$43-cap_ts_25*(1-0)*sh_fd,0)*(1+g_oth_fd)^4))+Mkt!G116+Mkt!G117</f>
        <v>284.961821801755</v>
      </c>
      <c r="G26" s="18" t="n">
        <f aca="false">F26/F$4-1</f>
        <v>0.0932499740674344</v>
      </c>
    </row>
    <row r="27" customFormat="false" ht="15" hidden="false" customHeight="false" outlineLevel="0" collapsed="false">
      <c r="A27" s="9" t="s">
        <v>717</v>
      </c>
      <c r="B27" s="17" t="n">
        <f aca="false">((cap_sk_27*1000/fx*sh_sk+cap_mu_27*sh_mu_27+cap_ss_27*1000/fx*sh_ss)+(((Mkt!$C$57-Mkt!$C$54+ind_cxmt)*sh_oth))*(1+g_oth_dram)^2+((Mkt!$C$61*sh_oth))*(1+g_oth_nand_lo)^2)+(cap_ts_27*(1-0)*sh_fd+MAX(Mkt!$C$43-cap_ts_25*(1-0)*sh_fd,0)*(1+g_oth_fd)^2)+Mkt!E50*(((cap_sk_27*1000/fx*sh_sk+cap_mu_27*sh_mu_27+cap_ss_27*1000/fx*sh_ss)+(((Mkt!$C$57-Mkt!$C$54+ind_cxmt)*sh_oth))*(1+g_oth_dram)^2+((Mkt!$C$61*sh_oth))*(1+g_oth_nand_lo)^2)+(cap_ts_27*(1-0)*sh_fd+MAX(Mkt!$C$43-cap_ts_25*(1-0)*sh_fd,0)*(1+g_oth_fd)^2))+Mkt!E116+Mkt!E117</f>
        <v>216.502920957619</v>
      </c>
      <c r="C27" s="18" t="n">
        <f aca="false">B27/B$4-1</f>
        <v>-0.00789373615907896</v>
      </c>
      <c r="D27" s="17" t="n">
        <f aca="false">((cap_sk_28*1000/fx*sh_sk+cap_mu_28*sh_mu_27+cap_ss_28*1000/fx*sh_ss)+(((Mkt!$C$57-Mkt!$C$54+ind_cxmt)*sh_oth))*(1+g_oth_dram)^3+((Mkt!$C$61*sh_oth))*(1+g_oth_nand_lo)^3)+(cap_ts_28*(1-0)*sh_fd+MAX(Mkt!$C$43-cap_ts_25*(1-0)*sh_fd,0)*(1+g_oth_fd)^3)+Mkt!F50*(((cap_sk_28*1000/fx*sh_sk+cap_mu_28*sh_mu_27+cap_ss_28*1000/fx*sh_ss)+(((Mkt!$C$57-Mkt!$C$54+ind_cxmt)*sh_oth))*(1+g_oth_dram)^3+((Mkt!$C$61*sh_oth))*(1+g_oth_nand_lo)^3)+(cap_ts_28*(1-0)*sh_fd+MAX(Mkt!$C$43-cap_ts_25*(1-0)*sh_fd,0)*(1+g_oth_fd)^3))+Mkt!F116+Mkt!F117</f>
        <v>243.205750565692</v>
      </c>
      <c r="E27" s="18" t="n">
        <f aca="false">D27/D$4-1</f>
        <v>-0.0114737694780354</v>
      </c>
      <c r="F27" s="17" t="n">
        <f aca="false">((cap_sk_29*1000/fx*sh_sk+cap_mu_29*sh_mu_27+cap_ss_29*1000/fx*sh_ss)+(((Mkt!$C$57-Mkt!$C$54+ind_cxmt)*sh_oth))*(1+g_oth_dram)^4+((Mkt!$C$61*sh_oth))*(1+g_oth_nand_lo)^4)+(cap_ts_29*(1-0)*sh_fd+MAX(Mkt!$C$43-cap_ts_25*(1-0)*sh_fd,0)*(1+g_oth_fd)^4)+Mkt!G50*(((cap_sk_29*1000/fx*sh_sk+cap_mu_29*sh_mu_27+cap_ss_29*1000/fx*sh_ss)+(((Mkt!$C$57-Mkt!$C$54+ind_cxmt)*sh_oth))*(1+g_oth_dram)^4+((Mkt!$C$61*sh_oth))*(1+g_oth_nand_lo)^4)+(cap_ts_29*(1-0)*sh_fd+MAX(Mkt!$C$43-cap_ts_25*(1-0)*sh_fd,0)*(1+g_oth_fd)^4))+Mkt!G116+Mkt!G117</f>
        <v>256.534502201812</v>
      </c>
      <c r="G27" s="18" t="n">
        <f aca="false">F27/F$4-1</f>
        <v>-0.0158108335135387</v>
      </c>
    </row>
    <row r="28" customFormat="false" ht="15" hidden="false" customHeight="false" outlineLevel="0" collapsed="false">
      <c r="A28" s="9" t="s">
        <v>718</v>
      </c>
      <c r="B28" s="17" t="n">
        <f aca="false">((cap_sk_27*1000/fx*sh_sk+cap_mu_27*sh_mu_27+cap_ss_27*1000/fx*sh_ss)+(((Mkt!$C$57-Mkt!$C$54+ind_cxmt)*sh_oth))*(1+g_oth_dram)^2+((Mkt!$C$61*sh_oth))*(1+g_oth_nand_hi)^2)+(cap_ts_27*(1-0)*sh_fd+MAX(Mkt!$C$43-cap_ts_25*(1-0)*sh_fd,0)*(1+g_oth_fd)^2)+Mkt!E50*(((cap_sk_27*1000/fx*sh_sk+cap_mu_27*sh_mu_27+cap_ss_27*1000/fx*sh_ss)+(((Mkt!$C$57-Mkt!$C$54+ind_cxmt)*sh_oth))*(1+g_oth_dram)^2+((Mkt!$C$61*sh_oth))*(1+g_oth_nand_hi)^2)+(cap_ts_27*(1-0)*sh_fd+MAX(Mkt!$C$43-cap_ts_25*(1-0)*sh_fd,0)*(1+g_oth_fd)^2))+Mkt!E116+Mkt!E117</f>
        <v>223.351236686068</v>
      </c>
      <c r="C28" s="18" t="n">
        <f aca="false">B28/B$4-1</f>
        <v>0.0234880895497975</v>
      </c>
      <c r="D28" s="17" t="n">
        <f aca="false">((cap_sk_28*1000/fx*sh_sk+cap_mu_28*sh_mu_27+cap_ss_28*1000/fx*sh_ss)+(((Mkt!$C$57-Mkt!$C$54+ind_cxmt)*sh_oth))*(1+g_oth_dram)^3+((Mkt!$C$61*sh_oth))*(1+g_oth_nand_hi)^3)+(cap_ts_28*(1-0)*sh_fd+MAX(Mkt!$C$43-cap_ts_25*(1-0)*sh_fd,0)*(1+g_oth_fd)^3)+Mkt!F50*(((cap_sk_28*1000/fx*sh_sk+cap_mu_28*sh_mu_27+cap_ss_28*1000/fx*sh_ss)+(((Mkt!$C$57-Mkt!$C$54+ind_cxmt)*sh_oth))*(1+g_oth_dram)^3+((Mkt!$C$61*sh_oth))*(1+g_oth_nand_hi)^3)+(cap_ts_28*(1-0)*sh_fd+MAX(Mkt!$C$43-cap_ts_25*(1-0)*sh_fd,0)*(1+g_oth_fd)^3))+Mkt!F116+Mkt!F117</f>
        <v>256.797023319075</v>
      </c>
      <c r="E28" s="18" t="n">
        <f aca="false">D28/D$4-1</f>
        <v>0.0437688783279802</v>
      </c>
      <c r="F28" s="17" t="n">
        <f aca="false">((cap_sk_29*1000/fx*sh_sk+cap_mu_29*sh_mu_27+cap_ss_29*1000/fx*sh_ss)+(((Mkt!$C$57-Mkt!$C$54+ind_cxmt)*sh_oth))*(1+g_oth_dram)^4+((Mkt!$C$61*sh_oth))*(1+g_oth_nand_hi)^4)+(cap_ts_29*(1-0)*sh_fd+MAX(Mkt!$C$43-cap_ts_25*(1-0)*sh_fd,0)*(1+g_oth_fd)^4)+Mkt!G50*(((cap_sk_29*1000/fx*sh_sk+cap_mu_29*sh_mu_27+cap_ss_29*1000/fx*sh_ss)+(((Mkt!$C$57-Mkt!$C$54+ind_cxmt)*sh_oth))*(1+g_oth_dram)^4+((Mkt!$C$61*sh_oth))*(1+g_oth_nand_hi)^4)+(cap_ts_29*(1-0)*sh_fd+MAX(Mkt!$C$43-cap_ts_25*(1-0)*sh_fd,0)*(1+g_oth_fd)^4))+Mkt!G116+Mkt!G117</f>
        <v>280.91450619509</v>
      </c>
      <c r="G28" s="18" t="n">
        <f aca="false">F28/F$4-1</f>
        <v>0.0777225337455971</v>
      </c>
    </row>
    <row r="29" customFormat="false" ht="15" hidden="false" customHeight="false" outlineLevel="0" collapsed="false">
      <c r="A29" s="9" t="s">
        <v>719</v>
      </c>
      <c r="B29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_lo)^2)+Mkt!E50*(((cap_sk_27*1000/fx*sh_sk+cap_mu_27*sh_mu_27+cap_ss_27*1000/fx*sh_ss)+(((Mkt!$C$57-Mkt!$C$54+ind_cxmt)*sh_oth))*(1+g_oth_dram)^2+((Mkt!$C$61*sh_oth))*(1+g_oth_nand)^2)+(cap_ts_27*(1-0)*sh_fd+MAX(Mkt!$C$43-cap_ts_25*(1-0)*sh_fd,0)*(1+g_oth_fd_lo)^2))+Mkt!E116+Mkt!E117</f>
        <v>210.862243111397</v>
      </c>
      <c r="C29" s="18" t="n">
        <f aca="false">B29/B$4-1</f>
        <v>-0.0337416637472762</v>
      </c>
      <c r="D29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_lo)^3)+Mkt!F50*(((cap_sk_28*1000/fx*sh_sk+cap_mu_28*sh_mu_27+cap_ss_28*1000/fx*sh_ss)+(((Mkt!$C$57-Mkt!$C$54+ind_cxmt)*sh_oth))*(1+g_oth_dram)^3+((Mkt!$C$61*sh_oth))*(1+g_oth_nand)^3)+(cap_ts_28*(1-0)*sh_fd+MAX(Mkt!$C$43-cap_ts_25*(1-0)*sh_fd,0)*(1+g_oth_fd_lo)^3))+Mkt!F116+Mkt!F117</f>
        <v>234.53622570574</v>
      </c>
      <c r="E29" s="18" t="n">
        <f aca="false">D29/D$4-1</f>
        <v>-0.0467116399243164</v>
      </c>
      <c r="F29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_lo)^4)+Mkt!G50*(((cap_sk_29*1000/fx*sh_sk+cap_mu_29*sh_mu_27+cap_ss_29*1000/fx*sh_ss)+(((Mkt!$C$57-Mkt!$C$54+ind_cxmt)*sh_oth))*(1+g_oth_dram)^4+((Mkt!$C$61*sh_oth))*(1+g_oth_nand)^4)+(cap_ts_29*(1-0)*sh_fd+MAX(Mkt!$C$43-cap_ts_25*(1-0)*sh_fd,0)*(1+g_oth_fd_lo)^4))+Mkt!G116+Mkt!G117</f>
        <v>244.703848661113</v>
      </c>
      <c r="G29" s="18" t="n">
        <f aca="false">F29/F$4-1</f>
        <v>-0.0611988844278392</v>
      </c>
    </row>
    <row r="30" customFormat="false" ht="15" hidden="false" customHeight="false" outlineLevel="0" collapsed="false">
      <c r="A30" s="9" t="s">
        <v>720</v>
      </c>
      <c r="B30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_hi)^2)+Mkt!E50*(((cap_sk_27*1000/fx*sh_sk+cap_mu_27*sh_mu_27+cap_ss_27*1000/fx*sh_ss)+(((Mkt!$C$57-Mkt!$C$54+ind_cxmt)*sh_oth))*(1+g_oth_dram)^2+((Mkt!$C$61*sh_oth))*(1+g_oth_nand)^2)+(cap_ts_27*(1-0)*sh_fd+MAX(Mkt!$C$43-cap_ts_25*(1-0)*sh_fd,0)*(1+g_oth_fd_hi)^2))+Mkt!E116+Mkt!E117</f>
        <v>230.332488095903</v>
      </c>
      <c r="C30" s="18" t="n">
        <f aca="false">B30/B$4-1</f>
        <v>0.05547908173831</v>
      </c>
      <c r="D30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_hi)^3)+Mkt!F50*(((cap_sk_28*1000/fx*sh_sk+cap_mu_28*sh_mu_27+cap_ss_28*1000/fx*sh_ss)+(((Mkt!$C$57-Mkt!$C$54+ind_cxmt)*sh_oth))*(1+g_oth_dram)^3+((Mkt!$C$61*sh_oth))*(1+g_oth_nand)^3)+(cap_ts_28*(1-0)*sh_fd+MAX(Mkt!$C$43-cap_ts_25*(1-0)*sh_fd,0)*(1+g_oth_fd_hi)^3))+Mkt!F116+Mkt!F117</f>
        <v>266.750631043741</v>
      </c>
      <c r="E30" s="18" t="n">
        <f aca="false">D30/D$4-1</f>
        <v>0.0842259904697442</v>
      </c>
      <c r="F30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_hi)^4)+Mkt!G50*(((cap_sk_29*1000/fx*sh_sk+cap_mu_29*sh_mu_27+cap_ss_29*1000/fx*sh_ss)+(((Mkt!$C$57-Mkt!$C$54+ind_cxmt)*sh_oth))*(1+g_oth_dram)^4+((Mkt!$C$61*sh_oth))*(1+g_oth_nand)^4)+(cap_ts_29*(1-0)*sh_fd+MAX(Mkt!$C$43-cap_ts_25*(1-0)*sh_fd,0)*(1+g_oth_fd_hi)^4))+Mkt!G116+Mkt!G117</f>
        <v>292.211246423307</v>
      </c>
      <c r="G30" s="18" t="n">
        <f aca="false">F30/F$4-1</f>
        <v>0.121062237581911</v>
      </c>
    </row>
    <row r="31" customFormat="false" ht="15" hidden="false" customHeight="false" outlineLevel="0" collapsed="false">
      <c r="A31" s="9" t="s">
        <v>721</v>
      </c>
      <c r="B31" s="23" t="n">
        <f aca="false">B4-Mkt!E129</f>
        <v>0</v>
      </c>
      <c r="D31" s="23" t="n">
        <f aca="false">D4-Mkt!F129</f>
        <v>0</v>
      </c>
      <c r="F31" s="23" t="n">
        <f aca="false">F4-Mkt!G129</f>
        <v>0</v>
      </c>
    </row>
    <row r="33" customFormat="false" ht="15" hidden="false" customHeight="false" outlineLevel="0" collapsed="false">
      <c r="A33" s="5" t="s">
        <v>722</v>
      </c>
      <c r="B33" s="28" t="s">
        <v>723</v>
      </c>
      <c r="C33" s="5" t="s">
        <v>724</v>
      </c>
      <c r="D33" s="28" t="s">
        <v>725</v>
      </c>
      <c r="E33" s="5" t="s">
        <v>726</v>
      </c>
      <c r="F33" s="5"/>
      <c r="G33" s="5"/>
      <c r="H33" s="5" t="s">
        <v>385</v>
      </c>
    </row>
    <row r="34" customFormat="false" ht="15" hidden="false" customHeight="false" outlineLevel="0" collapsed="false">
      <c r="A34" s="0" t="s">
        <v>727</v>
      </c>
      <c r="B34" s="17" t="n">
        <f aca="false">Mkt!E148*ck_B_28_lo</f>
        <v>207.314258972078</v>
      </c>
      <c r="C34" s="18" t="n">
        <f aca="false">B34/Mkt!E148-1</f>
        <v>-0.05</v>
      </c>
      <c r="D34" s="17" t="n">
        <f aca="false">B34*ck_B_29_lo</f>
        <v>186.58283307487</v>
      </c>
      <c r="E34" s="18" t="n">
        <f aca="false">D34/B34-1</f>
        <v>-0.1</v>
      </c>
    </row>
    <row r="35" customFormat="false" ht="15" hidden="false" customHeight="false" outlineLevel="0" collapsed="false">
      <c r="A35" s="0" t="s">
        <v>728</v>
      </c>
      <c r="B35" s="17" t="n">
        <f aca="false">Mkt!E148*ck_B_28</f>
        <v>218.225535760082</v>
      </c>
      <c r="C35" s="18" t="n">
        <f aca="false">B35/Mkt!E148-1</f>
        <v>0</v>
      </c>
      <c r="D35" s="17" t="n">
        <f aca="false">B35*ck_B_29</f>
        <v>207.314258972078</v>
      </c>
      <c r="E35" s="18" t="n">
        <f aca="false">D35/B35-1</f>
        <v>-0.05</v>
      </c>
    </row>
    <row r="36" customFormat="false" ht="15" hidden="false" customHeight="false" outlineLevel="0" collapsed="false">
      <c r="A36" s="0" t="s">
        <v>729</v>
      </c>
      <c r="B36" s="17" t="n">
        <f aca="false">Mkt!E148*ck_B_28_hi</f>
        <v>229.136812548087</v>
      </c>
      <c r="C36" s="18" t="n">
        <f aca="false">B36/Mkt!E148-1</f>
        <v>0.05</v>
      </c>
      <c r="D36" s="17" t="n">
        <f aca="false">B36*ck_B_29_hi</f>
        <v>240.593653175491</v>
      </c>
      <c r="E36" s="18" t="n">
        <f aca="false">D36/B36-1</f>
        <v>0.05</v>
      </c>
    </row>
    <row r="37" customFormat="false" ht="15" hidden="false" customHeight="false" outlineLevel="0" collapsed="false">
      <c r="A37" s="0" t="s">
        <v>730</v>
      </c>
      <c r="B37" s="17" t="n">
        <f aca="false">Mkt!E167*ck_C_28_lo</f>
        <v>163.669151820062</v>
      </c>
      <c r="C37" s="18" t="n">
        <f aca="false">B37/Mkt!E167-1</f>
        <v>-0.25</v>
      </c>
      <c r="D37" s="17" t="n">
        <f aca="false">B37*ck_C_29_lo</f>
        <v>147.302236638056</v>
      </c>
      <c r="E37" s="18" t="n">
        <f aca="false">D37/B37-1</f>
        <v>-0.1</v>
      </c>
    </row>
    <row r="38" customFormat="false" ht="15" hidden="false" customHeight="false" outlineLevel="0" collapsed="false">
      <c r="A38" s="0" t="s">
        <v>731</v>
      </c>
      <c r="B38" s="17" t="n">
        <f aca="false">Mkt!E167*ck_C_28</f>
        <v>174.580428608066</v>
      </c>
      <c r="C38" s="18" t="n">
        <f aca="false">B38/Mkt!E167-1</f>
        <v>-0.2</v>
      </c>
      <c r="D38" s="17" t="n">
        <f aca="false">B38*ck_C_29</f>
        <v>174.580428608066</v>
      </c>
      <c r="E38" s="18" t="n">
        <f aca="false">D38/B38-1</f>
        <v>0</v>
      </c>
    </row>
    <row r="39" customFormat="false" ht="15" hidden="false" customHeight="false" outlineLevel="0" collapsed="false">
      <c r="A39" s="0" t="s">
        <v>732</v>
      </c>
      <c r="B39" s="17" t="n">
        <f aca="false">Mkt!E167*ck_C_28_hi</f>
        <v>185.49170539607</v>
      </c>
      <c r="C39" s="18" t="n">
        <f aca="false">B39/Mkt!E167-1</f>
        <v>-0.15</v>
      </c>
      <c r="D39" s="17" t="n">
        <f aca="false">B39*ck_C_29_hi</f>
        <v>204.040875935677</v>
      </c>
      <c r="E39" s="18" t="n">
        <f aca="false">D39/B39-1</f>
        <v>0.1</v>
      </c>
    </row>
    <row r="40" customFormat="false" ht="15" hidden="false" customHeight="false" outlineLevel="0" collapsed="false">
      <c r="A40" s="9" t="s">
        <v>733</v>
      </c>
    </row>
    <row r="42" customFormat="false" ht="15" hidden="false" customHeight="false" outlineLevel="0" collapsed="false">
      <c r="A42" s="8" t="s">
        <v>734</v>
      </c>
    </row>
    <row r="43" customFormat="false" ht="15" hidden="false" customHeight="false" outlineLevel="0" collapsed="false">
      <c r="A43" s="5" t="s">
        <v>735</v>
      </c>
      <c r="B43" s="28" t="s">
        <v>736</v>
      </c>
      <c r="C43" s="28" t="s">
        <v>737</v>
      </c>
      <c r="D43" s="28" t="s">
        <v>738</v>
      </c>
      <c r="E43" s="28" t="s">
        <v>739</v>
      </c>
      <c r="F43" s="28" t="s">
        <v>740</v>
      </c>
      <c r="G43" s="5" t="s">
        <v>741</v>
      </c>
      <c r="H43" s="5" t="s">
        <v>385</v>
      </c>
    </row>
    <row r="44" customFormat="false" ht="15" hidden="false" customHeight="false" outlineLevel="0" collapsed="false">
      <c r="A44" s="9" t="s">
        <v>742</v>
      </c>
      <c r="B44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44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44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44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)^3)+Mkt!F50*(((cap_sk_28*1000/fx*sh_sk+cap_mu_28*sh_mu_27+cap_ss_28*1000/fx*sh_ss)+(((Mkt!$C$57-Mkt!$C$54+ind_cxmt)*sh_oth))*(1+g_oth_dram)^3+((Mkt!$C$61*sh_oth))*(1+g_oth_nand)^3)+(cap_ts_28*(1-0)*sh_fd+MAX(Mkt!$C$43-cap_ts_25*(1-0)*sh_fd,0)*(1+g_oth_fd)^3))+Mkt!F116+Mkt!F117</f>
        <v>246.028626308958</v>
      </c>
      <c r="F44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)^4)+Mkt!G50*(((cap_sk_29*1000/fx*sh_sk+cap_mu_29*sh_mu_27+cap_ss_29*1000/fx*sh_ss)+(((Mkt!$C$57-Mkt!$C$54+ind_cxmt)*sh_oth))*(1+g_oth_dram)^4+((Mkt!$C$61*sh_oth))*(1+g_oth_nand)^4)+(cap_ts_29*(1-0)*sh_fd+MAX(Mkt!$C$43-cap_ts_25*(1-0)*sh_fd,0)*(1+g_oth_fd)^4))+Mkt!G116+Mkt!G117</f>
        <v>260.655685855226</v>
      </c>
      <c r="G44" s="20" t="n">
        <f aca="false">IF(ROUND(F44,9)=ROUND(MAX(B44:F44),9),2029,IF(ROUND(E44,9)=ROUND(MAX(B44:F44),9),2028,IF(ROUND(D44,9)=ROUND(MAX(B44:F44),9),2027,IF(ROUND(C44,9)=ROUND(MAX(B44:F44),9),2026,2025))))</f>
        <v>2029</v>
      </c>
    </row>
    <row r="45" customFormat="false" ht="15" hidden="false" customHeight="false" outlineLevel="0" collapsed="false">
      <c r="A45" s="9" t="s">
        <v>743</v>
      </c>
      <c r="B45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45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45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45" s="17" t="n">
        <f aca="false">D45*ck_B_28</f>
        <v>218.225535760082</v>
      </c>
      <c r="F45" s="17" t="n">
        <f aca="false">E45*ck_B_29</f>
        <v>207.314258972078</v>
      </c>
      <c r="G45" s="20" t="n">
        <f aca="false">IF(ROUND(F45,9)=ROUND(MAX(B45:F45),9),2029,IF(ROUND(E45,9)=ROUND(MAX(B45:F45),9),2028,IF(ROUND(D45,9)=ROUND(MAX(B45:F45),9),2027,IF(ROUND(C45,9)=ROUND(MAX(B45:F45),9),2026,2025))))</f>
        <v>2028</v>
      </c>
    </row>
    <row r="46" customFormat="false" ht="15" hidden="false" customHeight="false" outlineLevel="0" collapsed="false">
      <c r="A46" s="9" t="s">
        <v>744</v>
      </c>
      <c r="B46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46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46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46" s="17" t="n">
        <f aca="false">D46*ck_C_28</f>
        <v>174.580428608066</v>
      </c>
      <c r="F46" s="17" t="n">
        <f aca="false">E46*ck_C_29</f>
        <v>174.580428608066</v>
      </c>
      <c r="G46" s="20" t="n">
        <f aca="false">IF(ROUND(F46,9)=ROUND(MAX(B46:F46),9),2029,IF(ROUND(E46,9)=ROUND(MAX(B46:F46),9),2028,IF(ROUND(D46,9)=ROUND(MAX(B46:F46),9),2027,IF(ROUND(C46,9)=ROUND(MAX(B46:F46),9),2026,2025))))</f>
        <v>2027</v>
      </c>
    </row>
    <row r="47" customFormat="false" ht="15" hidden="false" customHeight="false" outlineLevel="0" collapsed="false">
      <c r="A47" s="9" t="s">
        <v>745</v>
      </c>
      <c r="B47" s="17" t="n">
        <f aca="false">((cap_sk_25*1000/fx*sh_oth+cap_mu_25*sh_mu_25+cap_ssds_25*ss_mem*1000/fx*sh_oth)+(((Mkt!$C$57-Mkt!$C$54+ind_cxmt)*sh_oth))*(1+g_oth_dram)^0+((Mkt!$C$61*sh_oth))*(1+g_oth_nand)^0)+(cap_ts_25*(1-0)*sh_fd+MAX(Mkt!$C$43-cap_ts_25*(1-0)*sh_fd,0)*(1+g_oth_fd)^0)+Mkt!C50*(((cap_sk_25*1000/fx*sh_oth+cap_mu_25*sh_mu_25+cap_ssds_25*ss_mem*1000/fx*sh_oth)+(((Mkt!$C$57-Mkt!$C$54+ind_cxmt)*sh_oth))*(1+g_oth_dram)^0+((Mkt!$C$61*sh_oth))*(1+g_oth_nand)^0)+(cap_ts_25*(1-0)*sh_fd+MAX(Mkt!$C$43-cap_ts_25*(1-0)*sh_fd,0)*(1+g_oth_fd)^0))+Mkt!C116+Mkt!C117</f>
        <v>144.29116158316</v>
      </c>
      <c r="C47" s="17" t="n">
        <f aca="false">((cap_sk_26*1000/fx*sh_oth+cap_mu_26*sh_mu_26+cap_ss_26*1000/fx*sh_oth)+(((Mkt!$C$57-Mkt!$C$54+ind_cxmt)*sh_oth))*(1+g_oth_dram)^1+((Mkt!$C$61*sh_oth))*(1+g_oth_nand)^1)+(cap_ts_26*(1-0)*sh_fd+MAX(Mkt!$C$43-cap_ts_25*(1-0)*sh_fd,0)*(1+g_oth_fd)^1)+Mkt!D50*(((cap_sk_26*1000/fx*sh_oth+cap_mu_26*sh_mu_26+cap_ss_26*1000/fx*sh_oth)+(((Mkt!$C$57-Mkt!$C$54+ind_cxmt)*sh_oth))*(1+g_oth_dram)^1+((Mkt!$C$61*sh_oth))*(1+g_oth_nand)^1)+(cap_ts_26*(1-0)*sh_fd+MAX(Mkt!$C$43-cap_ts_25*(1-0)*sh_fd,0)*(1+g_oth_fd)^1))+Mkt!D116+Mkt!D117</f>
        <v>192.918954650496</v>
      </c>
      <c r="D47" s="17" t="n">
        <f aca="false">((cap_sk_27*1000/fx*sh_oth+cap_mu_27*sh_mu_27+cap_ss_27*1000/fx*sh_oth)+(((Mkt!$C$57-Mkt!$C$54+ind_cxmt)*sh_oth))*(1+g_oth_dram)^2+((Mkt!$C$61*sh_oth))*(1+g_oth_nand)^2)+(cap_ts_27*(1-0)*sh_fd+MAX(Mkt!$C$43-cap_ts_25*(1-0)*sh_fd,0)*(1+g_oth_fd)^2)+Mkt!E50*(((cap_sk_27*1000/fx*sh_oth+cap_mu_27*sh_mu_27+cap_ss_27*1000/fx*sh_oth)+(((Mkt!$C$57-Mkt!$C$54+ind_cxmt)*sh_oth))*(1+g_oth_dram)^2+((Mkt!$C$61*sh_oth))*(1+g_oth_nand)^2)+(cap_ts_27*(1-0)*sh_fd+MAX(Mkt!$C$43-cap_ts_25*(1-0)*sh_fd,0)*(1+g_oth_fd)^2))+Mkt!E116+Mkt!E117</f>
        <v>236.065267667485</v>
      </c>
      <c r="E47" s="17" t="n">
        <f aca="false">((cap_sk_28*1000/fx*sh_oth+cap_mu_28*sh_mu_27+cap_ss_28*1000/fx*sh_oth)+(((Mkt!$C$57-Mkt!$C$54+ind_cxmt)*sh_oth))*(1+g_oth_dram)^3+((Mkt!$C$61*sh_oth))*(1+g_oth_nand)^3)+(cap_ts_28*(1-0)*sh_fd+MAX(Mkt!$C$43-cap_ts_25*(1-0)*sh_fd,0)*(1+g_oth_fd)^3)+Mkt!F50*(((cap_sk_28*1000/fx*sh_oth+cap_mu_28*sh_mu_27+cap_ss_28*1000/fx*sh_oth)+(((Mkt!$C$57-Mkt!$C$54+ind_cxmt)*sh_oth))*(1+g_oth_dram)^3+((Mkt!$C$61*sh_oth))*(1+g_oth_nand)^3)+(cap_ts_28*(1-0)*sh_fd+MAX(Mkt!$C$43-cap_ts_25*(1-0)*sh_fd,0)*(1+g_oth_fd)^3))+Mkt!F116+Mkt!F117</f>
        <v>266.041800615546</v>
      </c>
      <c r="F47" s="17" t="n">
        <f aca="false">((cap_sk_29*1000/fx*sh_oth+cap_mu_29*sh_mu_27+cap_ss_29*1000/fx*sh_oth)+(((Mkt!$C$57-Mkt!$C$54+ind_cxmt)*sh_oth))*(1+g_oth_dram)^4+((Mkt!$C$61*sh_oth))*(1+g_oth_nand)^4)+(cap_ts_29*(1-0)*sh_fd+MAX(Mkt!$C$43-cap_ts_25*(1-0)*sh_fd,0)*(1+g_oth_fd)^4)+Mkt!G50*(((cap_sk_29*1000/fx*sh_oth+cap_mu_29*sh_mu_27+cap_ss_29*1000/fx*sh_oth)+(((Mkt!$C$57-Mkt!$C$54+ind_cxmt)*sh_oth))*(1+g_oth_dram)^4+((Mkt!$C$61*sh_oth))*(1+g_oth_nand)^4)+(cap_ts_29*(1-0)*sh_fd+MAX(Mkt!$C$43-cap_ts_25*(1-0)*sh_fd,0)*(1+g_oth_fd)^4))+Mkt!G116+Mkt!G117</f>
        <v>281.223160907914</v>
      </c>
      <c r="G47" s="20" t="n">
        <f aca="false">IF(ROUND(F47,9)=ROUND(MAX(B47:F47),9),2029,IF(ROUND(E47,9)=ROUND(MAX(B47:F47),9),2028,IF(ROUND(D47,9)=ROUND(MAX(B47:F47),9),2027,IF(ROUND(C47,9)=ROUND(MAX(B47:F47),9),2026,2025))))</f>
        <v>2029</v>
      </c>
    </row>
    <row r="48" customFormat="false" ht="15" hidden="false" customHeight="false" outlineLevel="0" collapsed="false">
      <c r="A48" s="9" t="s">
        <v>746</v>
      </c>
      <c r="B48" s="17" t="n">
        <f aca="false">((cap_sk_25*1000/fx*sh_oth+cap_mu_25*sh_mu_25+cap_ssds_25*ss_mem*1000/fx*sh_oth)+(((Mkt!$C$57-Mkt!$C$54+ind_cxmt)*sh_oth))*(1+g_oth_dram)^0+((Mkt!$C$61*sh_oth))*(1+g_oth_nand)^0)+(cap_ts_25*(1-0)*sh_fd+MAX(Mkt!$C$43-cap_ts_25*(1-0)*sh_fd,0)*(1+g_oth_fd)^0)+Mkt!C50*(((cap_sk_25*1000/fx*sh_oth+cap_mu_25*sh_mu_25+cap_ssds_25*ss_mem*1000/fx*sh_oth)+(((Mkt!$C$57-Mkt!$C$54+ind_cxmt)*sh_oth))*(1+g_oth_dram)^0+((Mkt!$C$61*sh_oth))*(1+g_oth_nand)^0)+(cap_ts_25*(1-0)*sh_fd+MAX(Mkt!$C$43-cap_ts_25*(1-0)*sh_fd,0)*(1+g_oth_fd)^0))+Mkt!C116+Mkt!C117</f>
        <v>144.29116158316</v>
      </c>
      <c r="C48" s="17" t="n">
        <f aca="false">((cap_sk_26*1000/fx*sh_oth+cap_mu_26*sh_mu_26+cap_ss_26*1000/fx*sh_oth)+(((Mkt!$C$57-Mkt!$C$54+ind_cxmt)*sh_oth))*(1+g_oth_dram)^1+((Mkt!$C$61*sh_oth))*(1+g_oth_nand)^1)+(cap_ts_26*(1-0)*sh_fd+MAX(Mkt!$C$43-cap_ts_25*(1-0)*sh_fd,0)*(1+g_oth_fd)^1)+Mkt!D50*(((cap_sk_26*1000/fx*sh_oth+cap_mu_26*sh_mu_26+cap_ss_26*1000/fx*sh_oth)+(((Mkt!$C$57-Mkt!$C$54+ind_cxmt)*sh_oth))*(1+g_oth_dram)^1+((Mkt!$C$61*sh_oth))*(1+g_oth_nand)^1)+(cap_ts_26*(1-0)*sh_fd+MAX(Mkt!$C$43-cap_ts_25*(1-0)*sh_fd,0)*(1+g_oth_fd)^1))+Mkt!D116+Mkt!D117</f>
        <v>192.918954650496</v>
      </c>
      <c r="D48" s="17" t="n">
        <f aca="false">((cap_sk_27*1000/fx*sh_oth+cap_mu_27*sh_mu_27+cap_ss_27*1000/fx*sh_oth)+(((Mkt!$C$57-Mkt!$C$54+ind_cxmt)*sh_oth))*(1+g_oth_dram)^2+((Mkt!$C$61*sh_oth))*(1+g_oth_nand)^2)+(cap_ts_27*(1-0)*sh_fd+MAX(Mkt!$C$43-cap_ts_25*(1-0)*sh_fd,0)*(1+g_oth_fd)^2)+Mkt!E50*(((cap_sk_27*1000/fx*sh_oth+cap_mu_27*sh_mu_27+cap_ss_27*1000/fx*sh_oth)+(((Mkt!$C$57-Mkt!$C$54+ind_cxmt)*sh_oth))*(1+g_oth_dram)^2+((Mkt!$C$61*sh_oth))*(1+g_oth_nand)^2)+(cap_ts_27*(1-0)*sh_fd+MAX(Mkt!$C$43-cap_ts_25*(1-0)*sh_fd,0)*(1+g_oth_fd)^2))+Mkt!E116+Mkt!E117</f>
        <v>236.065267667485</v>
      </c>
      <c r="E48" s="17" t="n">
        <f aca="false">D48*ck_B_28</f>
        <v>236.065267667485</v>
      </c>
      <c r="F48" s="17" t="n">
        <f aca="false">E48*ck_B_29</f>
        <v>224.262004284111</v>
      </c>
      <c r="G48" s="20" t="n">
        <f aca="false">IF(ROUND(F48,9)=ROUND(MAX(B48:F48),9),2029,IF(ROUND(E48,9)=ROUND(MAX(B48:F48),9),2028,IF(ROUND(D48,9)=ROUND(MAX(B48:F48),9),2027,IF(ROUND(C48,9)=ROUND(MAX(B48:F48),9),2026,2025))))</f>
        <v>2028</v>
      </c>
    </row>
    <row r="49" customFormat="false" ht="15" hidden="false" customHeight="false" outlineLevel="0" collapsed="false">
      <c r="A49" s="9" t="s">
        <v>747</v>
      </c>
      <c r="B49" s="17" t="n">
        <f aca="false">((cap_sk_25*1000/fx*sh_oth+cap_mu_25*sh_mu_25+cap_ssds_25*ss_mem*1000/fx*sh_oth)+(((Mkt!$C$57-Mkt!$C$54+ind_cxmt)*sh_oth))*(1+g_oth_dram)^0+((Mkt!$C$61*sh_oth))*(1+g_oth_nand)^0)+(cap_ts_25*(1-0)*sh_fd+MAX(Mkt!$C$43-cap_ts_25*(1-0)*sh_fd,0)*(1+g_oth_fd)^0)+Mkt!C50*(((cap_sk_25*1000/fx*sh_oth+cap_mu_25*sh_mu_25+cap_ssds_25*ss_mem*1000/fx*sh_oth)+(((Mkt!$C$57-Mkt!$C$54+ind_cxmt)*sh_oth))*(1+g_oth_dram)^0+((Mkt!$C$61*sh_oth))*(1+g_oth_nand)^0)+(cap_ts_25*(1-0)*sh_fd+MAX(Mkt!$C$43-cap_ts_25*(1-0)*sh_fd,0)*(1+g_oth_fd)^0))+Mkt!C116+Mkt!C117</f>
        <v>144.29116158316</v>
      </c>
      <c r="C49" s="17" t="n">
        <f aca="false">((cap_sk_26*1000/fx*sh_oth+cap_mu_26*sh_mu_26+cap_ss_26*1000/fx*sh_oth)+(((Mkt!$C$57-Mkt!$C$54+ind_cxmt)*sh_oth))*(1+g_oth_dram)^1+((Mkt!$C$61*sh_oth))*(1+g_oth_nand)^1)+(cap_ts_26*(1-0)*sh_fd+MAX(Mkt!$C$43-cap_ts_25*(1-0)*sh_fd,0)*(1+g_oth_fd)^1)+Mkt!D50*(((cap_sk_26*1000/fx*sh_oth+cap_mu_26*sh_mu_26+cap_ss_26*1000/fx*sh_oth)+(((Mkt!$C$57-Mkt!$C$54+ind_cxmt)*sh_oth))*(1+g_oth_dram)^1+((Mkt!$C$61*sh_oth))*(1+g_oth_nand)^1)+(cap_ts_26*(1-0)*sh_fd+MAX(Mkt!$C$43-cap_ts_25*(1-0)*sh_fd,0)*(1+g_oth_fd)^1))+Mkt!D116+Mkt!D117</f>
        <v>192.918954650496</v>
      </c>
      <c r="D49" s="17" t="n">
        <f aca="false">((cap_sk_27*1000/fx*sh_oth+cap_mu_27*sh_mu_27+cap_ss_27*1000/fx*sh_oth)+(((Mkt!$C$57-Mkt!$C$54+ind_cxmt)*sh_oth))*(1+g_oth_dram)^2+((Mkt!$C$61*sh_oth))*(1+g_oth_nand)^2)+(cap_ts_27*(1-0)*sh_fd+MAX(Mkt!$C$43-cap_ts_25*(1-0)*sh_fd,0)*(1+g_oth_fd)^2)+Mkt!E50*(((cap_sk_27*1000/fx*sh_oth+cap_mu_27*sh_mu_27+cap_ss_27*1000/fx*sh_oth)+(((Mkt!$C$57-Mkt!$C$54+ind_cxmt)*sh_oth))*(1+g_oth_dram)^2+((Mkt!$C$61*sh_oth))*(1+g_oth_nand)^2)+(cap_ts_27*(1-0)*sh_fd+MAX(Mkt!$C$43-cap_ts_25*(1-0)*sh_fd,0)*(1+g_oth_fd)^2))+Mkt!E116+Mkt!E117</f>
        <v>236.065267667485</v>
      </c>
      <c r="E49" s="17" t="n">
        <f aca="false">D49*ck_C_28</f>
        <v>188.852214133988</v>
      </c>
      <c r="F49" s="17" t="n">
        <f aca="false">E49*ck_C_29</f>
        <v>188.852214133988</v>
      </c>
      <c r="G49" s="20" t="n">
        <f aca="false">IF(ROUND(F49,9)=ROUND(MAX(B49:F49),9),2029,IF(ROUND(E49,9)=ROUND(MAX(B49:F49),9),2028,IF(ROUND(D49,9)=ROUND(MAX(B49:F49),9),2027,IF(ROUND(C49,9)=ROUND(MAX(B49:F49),9),2026,2025))))</f>
        <v>2027</v>
      </c>
    </row>
    <row r="50" customFormat="false" ht="15" hidden="false" customHeight="false" outlineLevel="0" collapsed="false">
      <c r="A50" s="9" t="s">
        <v>748</v>
      </c>
      <c r="B50" s="18" t="n">
        <f aca="false">B47/B44-1</f>
        <v>0.0712884948833761</v>
      </c>
      <c r="C50" s="18" t="n">
        <f aca="false">C47/C44-1</f>
        <v>0.0828589384092797</v>
      </c>
      <c r="D50" s="18" t="n">
        <f aca="false">D47/D44-1</f>
        <v>0.0817490576676401</v>
      </c>
      <c r="E50" s="18" t="n">
        <f aca="false">E47/E44-1</f>
        <v>0.0813449012289131</v>
      </c>
      <c r="F50" s="18" t="n">
        <f aca="false">F47/F44-1</f>
        <v>0.0789066809926098</v>
      </c>
    </row>
    <row r="51" customFormat="false" ht="15" hidden="false" customHeight="false" outlineLevel="0" collapsed="false">
      <c r="A51" s="9" t="s">
        <v>749</v>
      </c>
      <c r="B51" s="18" t="n">
        <f aca="false">B48/B45-1</f>
        <v>0.0712884948833761</v>
      </c>
      <c r="C51" s="18" t="n">
        <f aca="false">C48/C45-1</f>
        <v>0.0828589384092797</v>
      </c>
      <c r="D51" s="18" t="n">
        <f aca="false">D48/D45-1</f>
        <v>0.0817490576676401</v>
      </c>
      <c r="E51" s="18" t="n">
        <f aca="false">E48/E45-1</f>
        <v>0.0817490576676401</v>
      </c>
      <c r="F51" s="18" t="n">
        <f aca="false">F48/F45-1</f>
        <v>0.0817490576676401</v>
      </c>
    </row>
    <row r="52" customFormat="false" ht="15" hidden="false" customHeight="false" outlineLevel="0" collapsed="false">
      <c r="A52" s="9" t="s">
        <v>750</v>
      </c>
      <c r="B52" s="18" t="n">
        <f aca="false">B49/B46-1</f>
        <v>0.0712884948833761</v>
      </c>
      <c r="C52" s="18" t="n">
        <f aca="false">C49/C46-1</f>
        <v>0.0828589384092797</v>
      </c>
      <c r="D52" s="18" t="n">
        <f aca="false">D49/D46-1</f>
        <v>0.0817490576676401</v>
      </c>
      <c r="E52" s="18" t="n">
        <f aca="false">E49/E46-1</f>
        <v>0.0817490576676399</v>
      </c>
      <c r="F52" s="18" t="n">
        <f aca="false">F49/F46-1</f>
        <v>0.0817490576676399</v>
      </c>
    </row>
    <row r="55" customFormat="false" ht="15" hidden="false" customHeight="false" outlineLevel="0" collapsed="false">
      <c r="A55" s="8" t="s">
        <v>751</v>
      </c>
    </row>
    <row r="56" customFormat="false" ht="15" hidden="false" customHeight="false" outlineLevel="0" collapsed="false">
      <c r="A56" s="5" t="s">
        <v>752</v>
      </c>
      <c r="B56" s="28" t="s">
        <v>736</v>
      </c>
      <c r="C56" s="28" t="s">
        <v>737</v>
      </c>
      <c r="D56" s="28" t="s">
        <v>738</v>
      </c>
      <c r="E56" s="28" t="s">
        <v>739</v>
      </c>
      <c r="F56" s="28" t="s">
        <v>740</v>
      </c>
      <c r="G56" s="5" t="s">
        <v>741</v>
      </c>
      <c r="H56" s="5" t="s">
        <v>385</v>
      </c>
    </row>
    <row r="57" customFormat="false" ht="15" hidden="false" customHeight="false" outlineLevel="0" collapsed="false">
      <c r="A57" s="9" t="s">
        <v>753</v>
      </c>
      <c r="B57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57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57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57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)^3)+Mkt!F50*(((cap_sk_28*1000/fx*sh_sk+cap_mu_28*sh_mu_27+cap_ss_28*1000/fx*sh_ss)+(((Mkt!$C$57-Mkt!$C$54+ind_cxmt)*sh_oth))*(1+g_oth_dram)^3+((Mkt!$C$61*sh_oth))*(1+g_oth_nand)^3)+(cap_ts_28*(1-0)*sh_fd+MAX(Mkt!$C$43-cap_ts_25*(1-0)*sh_fd,0)*(1+g_oth_fd)^3))+Mkt!F116+Mkt!F117</f>
        <v>246.028626308958</v>
      </c>
      <c r="F57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)^4)+Mkt!G50*(((cap_sk_29*1000/fx*sh_sk+cap_mu_29*sh_mu_27+cap_ss_29*1000/fx*sh_ss)+(((Mkt!$C$57-Mkt!$C$54+ind_cxmt)*sh_oth))*(1+g_oth_dram)^4+((Mkt!$C$61*sh_oth))*(1+g_oth_nand)^4)+(cap_ts_29*(1-0)*sh_fd+MAX(Mkt!$C$43-cap_ts_25*(1-0)*sh_fd,0)*(1+g_oth_fd)^4))+Mkt!G116+Mkt!G117</f>
        <v>260.655685855226</v>
      </c>
      <c r="G57" s="20" t="n">
        <f aca="false">IF(ROUND(F57,9)=ROUND(MAX(B57:F57),9),2029,IF(ROUND(E57,9)=ROUND(MAX(B57:F57),9),2028,IF(ROUND(D57,9)=ROUND(MAX(B57:F57),9),2027,IF(ROUND(C57,9)=ROUND(MAX(B57:F57),9),2026,2025))))</f>
        <v>2029</v>
      </c>
    </row>
    <row r="58" customFormat="false" ht="15" hidden="false" customHeight="false" outlineLevel="0" collapsed="false">
      <c r="A58" s="9" t="s">
        <v>754</v>
      </c>
      <c r="B58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58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58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58" s="17" t="n">
        <f aca="false">D58*ck_B_28</f>
        <v>218.225535760082</v>
      </c>
      <c r="F58" s="17" t="n">
        <f aca="false">E58*ck_B_29</f>
        <v>207.314258972078</v>
      </c>
      <c r="G58" s="20" t="n">
        <f aca="false">IF(ROUND(F58,9)=ROUND(MAX(B58:F58),9),2029,IF(ROUND(E58,9)=ROUND(MAX(B58:F58),9),2028,IF(ROUND(D58,9)=ROUND(MAX(B58:F58),9),2027,IF(ROUND(C58,9)=ROUND(MAX(B58:F58),9),2026,2025))))</f>
        <v>2028</v>
      </c>
    </row>
    <row r="59" customFormat="false" ht="15" hidden="false" customHeight="false" outlineLevel="0" collapsed="false">
      <c r="A59" s="9" t="s">
        <v>755</v>
      </c>
      <c r="B59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59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59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59" s="17" t="n">
        <f aca="false">D59*ck_C_28</f>
        <v>174.580428608066</v>
      </c>
      <c r="F59" s="17" t="n">
        <f aca="false">E59*ck_C_29</f>
        <v>174.580428608066</v>
      </c>
      <c r="G59" s="20" t="n">
        <f aca="false">IF(ROUND(F59,9)=ROUND(MAX(B59:F59),9),2029,IF(ROUND(E59,9)=ROUND(MAX(B59:F59),9),2028,IF(ROUND(D59,9)=ROUND(MAX(B59:F59),9),2027,IF(ROUND(C59,9)=ROUND(MAX(B59:F59),9),2026,2025))))</f>
        <v>2027</v>
      </c>
    </row>
    <row r="60" customFormat="false" ht="15" hidden="false" customHeight="false" outlineLevel="0" collapsed="false">
      <c r="A60" s="9" t="s">
        <v>756</v>
      </c>
      <c r="B60" s="17" t="n">
        <f aca="false">((cap_sk_25*1000/fx*sh_sk+cap_mu_25*sh_mu_25+cap_ssds_25*ss_mem*1000/fx*sh_ss)+(((Mkt!$C$57-Mkt!$C$54+ind_cxmt)*sh_oth))*(1+g_oth_dram)^0+((Mkt!$C$61*sh_oth))*(1+g_oth_nand)^0)+(cap_ts_25*(1-0)*sh_fd_lo+MAX(Mkt!$C$43-cap_ts_25*(1-0)*sh_fd_lo,0)*(1+g_oth_fd)^0)+Mkt!C50*(((cap_sk_25*1000/fx*sh_sk+cap_mu_25*sh_mu_25+cap_ssds_25*ss_mem*1000/fx*sh_ss)+(((Mkt!$C$57-Mkt!$C$54+ind_cxmt)*sh_oth))*(1+g_oth_dram)^0+((Mkt!$C$61*sh_oth))*(1+g_oth_nand)^0)+(cap_ts_25*(1-0)*sh_fd_lo+MAX(Mkt!$C$43-cap_ts_25*(1-0)*sh_fd_lo,0)*(1+g_oth_fd)^0))+Mkt!C116+Mkt!C117</f>
        <v>134.689359843138</v>
      </c>
      <c r="C60" s="17" t="n">
        <f aca="false">((cap_sk_26*1000/fx*sh_sk+cap_mu_26*sh_mu_26+cap_ss_26*1000/fx*sh_ss)+(((Mkt!$C$57-Mkt!$C$54+ind_cxmt)*sh_oth))*(1+g_oth_dram)^1+((Mkt!$C$61*sh_oth))*(1+g_oth_nand)^1)+(cap_ts_26*(1-0)*sh_fd_lo+MAX(Mkt!$C$43-cap_ts_25*(1-0)*sh_fd_lo,0)*(1+g_oth_fd)^1)+Mkt!D50*(((cap_sk_26*1000/fx*sh_sk+cap_mu_26*sh_mu_26+cap_ss_26*1000/fx*sh_ss)+(((Mkt!$C$57-Mkt!$C$54+ind_cxmt)*sh_oth))*(1+g_oth_dram)^1+((Mkt!$C$61*sh_oth))*(1+g_oth_nand)^1)+(cap_ts_26*(1-0)*sh_fd_lo+MAX(Mkt!$C$43-cap_ts_25*(1-0)*sh_fd_lo,0)*(1+g_oth_fd)^1))+Mkt!D116+Mkt!D117</f>
        <v>175.355658526185</v>
      </c>
      <c r="D60" s="17" t="n">
        <f aca="false">((cap_sk_27*1000/fx*sh_sk+cap_mu_27*sh_mu_27+cap_ss_27*1000/fx*sh_ss)+(((Mkt!$C$57-Mkt!$C$54+ind_cxmt)*sh_oth))*(1+g_oth_dram)^2+((Mkt!$C$61*sh_oth))*(1+g_oth_nand)^2)+(cap_ts_27*(1-0)*sh_fd_lo+MAX(Mkt!$C$43-cap_ts_25*(1-0)*sh_fd_lo,0)*(1+g_oth_fd)^2)+Mkt!E50*(((cap_sk_27*1000/fx*sh_sk+cap_mu_27*sh_mu_27+cap_ss_27*1000/fx*sh_ss)+(((Mkt!$C$57-Mkt!$C$54+ind_cxmt)*sh_oth))*(1+g_oth_dram)^2+((Mkt!$C$61*sh_oth))*(1+g_oth_nand)^2)+(cap_ts_27*(1-0)*sh_fd_lo+MAX(Mkt!$C$43-cap_ts_25*(1-0)*sh_fd_lo,0)*(1+g_oth_fd)^2))+Mkt!E116+Mkt!E117</f>
        <v>213.622402998734</v>
      </c>
      <c r="E60" s="17" t="n">
        <f aca="false">((cap_sk_28*1000/fx*sh_sk+cap_mu_28*sh_mu_27+cap_ss_28*1000/fx*sh_ss)+(((Mkt!$C$57-Mkt!$C$54+ind_cxmt)*sh_oth))*(1+g_oth_dram)^3+((Mkt!$C$61*sh_oth))*(1+g_oth_nand)^3)+(cap_ts_28*(1-0)*sh_fd_lo+MAX(Mkt!$C$43-cap_ts_25*(1-0)*sh_fd_lo,0)*(1+g_oth_fd)^3)+Mkt!F50*(((cap_sk_28*1000/fx*sh_sk+cap_mu_28*sh_mu_27+cap_ss_28*1000/fx*sh_ss)+(((Mkt!$C$57-Mkt!$C$54+ind_cxmt)*sh_oth))*(1+g_oth_dram)^3+((Mkt!$C$61*sh_oth))*(1+g_oth_nand)^3)+(cap_ts_28*(1-0)*sh_fd_lo+MAX(Mkt!$C$43-cap_ts_25*(1-0)*sh_fd_lo,0)*(1+g_oth_fd)^3))+Mkt!F116+Mkt!F117</f>
        <v>239.982443645764</v>
      </c>
      <c r="F60" s="17" t="n">
        <f aca="false">((cap_sk_29*1000/fx*sh_sk+cap_mu_29*sh_mu_27+cap_ss_29*1000/fx*sh_ss)+(((Mkt!$C$57-Mkt!$C$54+ind_cxmt)*sh_oth))*(1+g_oth_dram)^4+((Mkt!$C$61*sh_oth))*(1+g_oth_nand)^4)+(cap_ts_29*(1-0)*sh_fd_lo+MAX(Mkt!$C$43-cap_ts_25*(1-0)*sh_fd_lo,0)*(1+g_oth_fd)^4)+Mkt!G50*(((cap_sk_29*1000/fx*sh_sk+cap_mu_29*sh_mu_27+cap_ss_29*1000/fx*sh_ss)+(((Mkt!$C$57-Mkt!$C$54+ind_cxmt)*sh_oth))*(1+g_oth_dram)^4+((Mkt!$C$61*sh_oth))*(1+g_oth_nand)^4)+(cap_ts_29*(1-0)*sh_fd_lo+MAX(Mkt!$C$43-cap_ts_25*(1-0)*sh_fd_lo,0)*(1+g_oth_fd)^4))+Mkt!G116+Mkt!G117</f>
        <v>254.471504254132</v>
      </c>
      <c r="G60" s="20" t="n">
        <f aca="false">IF(ROUND(F60,9)=ROUND(MAX(B60:F60),9),2029,IF(ROUND(E60,9)=ROUND(MAX(B60:F60),9),2028,IF(ROUND(D60,9)=ROUND(MAX(B60:F60),9),2027,IF(ROUND(C60,9)=ROUND(MAX(B60:F60),9),2026,2025))))</f>
        <v>2029</v>
      </c>
    </row>
    <row r="61" customFormat="false" ht="15" hidden="false" customHeight="false" outlineLevel="0" collapsed="false">
      <c r="A61" s="9" t="s">
        <v>757</v>
      </c>
      <c r="B61" s="17" t="n">
        <f aca="false">((cap_sk_25*1000/fx*sh_sk+cap_mu_25*sh_mu_25+cap_ssds_25*ss_mem*1000/fx*sh_ss)+(((Mkt!$C$57-Mkt!$C$54+ind_cxmt)*sh_oth))*(1+g_oth_dram)^0+((Mkt!$C$61*sh_oth))*(1+g_oth_nand)^0)+(cap_ts_25*(1-0)*sh_fd_lo+MAX(Mkt!$C$43-cap_ts_25*(1-0)*sh_fd_lo,0)*(1+g_oth_fd)^0)+Mkt!C50*(((cap_sk_25*1000/fx*sh_sk+cap_mu_25*sh_mu_25+cap_ssds_25*ss_mem*1000/fx*sh_ss)+(((Mkt!$C$57-Mkt!$C$54+ind_cxmt)*sh_oth))*(1+g_oth_dram)^0+((Mkt!$C$61*sh_oth))*(1+g_oth_nand)^0)+(cap_ts_25*(1-0)*sh_fd_lo+MAX(Mkt!$C$43-cap_ts_25*(1-0)*sh_fd_lo,0)*(1+g_oth_fd)^0))+Mkt!C116+Mkt!C117</f>
        <v>134.689359843138</v>
      </c>
      <c r="C61" s="17" t="n">
        <f aca="false">((cap_sk_26*1000/fx*sh_sk+cap_mu_26*sh_mu_26+cap_ss_26*1000/fx*sh_ss)+(((Mkt!$C$57-Mkt!$C$54+ind_cxmt)*sh_oth))*(1+g_oth_dram)^1+((Mkt!$C$61*sh_oth))*(1+g_oth_nand)^1)+(cap_ts_26*(1-0)*sh_fd_lo+MAX(Mkt!$C$43-cap_ts_25*(1-0)*sh_fd_lo,0)*(1+g_oth_fd)^1)+Mkt!D50*(((cap_sk_26*1000/fx*sh_sk+cap_mu_26*sh_mu_26+cap_ss_26*1000/fx*sh_ss)+(((Mkt!$C$57-Mkt!$C$54+ind_cxmt)*sh_oth))*(1+g_oth_dram)^1+((Mkt!$C$61*sh_oth))*(1+g_oth_nand)^1)+(cap_ts_26*(1-0)*sh_fd_lo+MAX(Mkt!$C$43-cap_ts_25*(1-0)*sh_fd_lo,0)*(1+g_oth_fd)^1))+Mkt!D116+Mkt!D117</f>
        <v>175.355658526185</v>
      </c>
      <c r="D61" s="17" t="n">
        <f aca="false">((cap_sk_27*1000/fx*sh_sk+cap_mu_27*sh_mu_27+cap_ss_27*1000/fx*sh_ss)+(((Mkt!$C$57-Mkt!$C$54+ind_cxmt)*sh_oth))*(1+g_oth_dram)^2+((Mkt!$C$61*sh_oth))*(1+g_oth_nand)^2)+(cap_ts_27*(1-0)*sh_fd_lo+MAX(Mkt!$C$43-cap_ts_25*(1-0)*sh_fd_lo,0)*(1+g_oth_fd)^2)+Mkt!E50*(((cap_sk_27*1000/fx*sh_sk+cap_mu_27*sh_mu_27+cap_ss_27*1000/fx*sh_ss)+(((Mkt!$C$57-Mkt!$C$54+ind_cxmt)*sh_oth))*(1+g_oth_dram)^2+((Mkt!$C$61*sh_oth))*(1+g_oth_nand)^2)+(cap_ts_27*(1-0)*sh_fd_lo+MAX(Mkt!$C$43-cap_ts_25*(1-0)*sh_fd_lo,0)*(1+g_oth_fd)^2))+Mkt!E116+Mkt!E117</f>
        <v>213.622402998734</v>
      </c>
      <c r="E61" s="17" t="n">
        <f aca="false">D61*ck_B_28</f>
        <v>213.622402998734</v>
      </c>
      <c r="F61" s="17" t="n">
        <f aca="false">E61*ck_B_29</f>
        <v>202.941282848797</v>
      </c>
      <c r="G61" s="20" t="n">
        <f aca="false">IF(ROUND(F61,9)=ROUND(MAX(B61:F61),9),2029,IF(ROUND(E61,9)=ROUND(MAX(B61:F61),9),2028,IF(ROUND(D61,9)=ROUND(MAX(B61:F61),9),2027,IF(ROUND(C61,9)=ROUND(MAX(B61:F61),9),2026,2025))))</f>
        <v>2028</v>
      </c>
    </row>
    <row r="62" customFormat="false" ht="15" hidden="false" customHeight="false" outlineLevel="0" collapsed="false">
      <c r="A62" s="9" t="s">
        <v>758</v>
      </c>
      <c r="B62" s="17" t="n">
        <f aca="false">((cap_sk_25*1000/fx*sh_sk+cap_mu_25*sh_mu_25+cap_ssds_25*ss_mem*1000/fx*sh_ss)+(((Mkt!$C$57-Mkt!$C$54+ind_cxmt)*sh_oth))*(1+g_oth_dram)^0+((Mkt!$C$61*sh_oth))*(1+g_oth_nand)^0)+(cap_ts_25*(1-0)*sh_fd_lo+MAX(Mkt!$C$43-cap_ts_25*(1-0)*sh_fd_lo,0)*(1+g_oth_fd)^0)+Mkt!C50*(((cap_sk_25*1000/fx*sh_sk+cap_mu_25*sh_mu_25+cap_ssds_25*ss_mem*1000/fx*sh_ss)+(((Mkt!$C$57-Mkt!$C$54+ind_cxmt)*sh_oth))*(1+g_oth_dram)^0+((Mkt!$C$61*sh_oth))*(1+g_oth_nand)^0)+(cap_ts_25*(1-0)*sh_fd_lo+MAX(Mkt!$C$43-cap_ts_25*(1-0)*sh_fd_lo,0)*(1+g_oth_fd)^0))+Mkt!C116+Mkt!C117</f>
        <v>134.689359843138</v>
      </c>
      <c r="C62" s="17" t="n">
        <f aca="false">((cap_sk_26*1000/fx*sh_sk+cap_mu_26*sh_mu_26+cap_ss_26*1000/fx*sh_ss)+(((Mkt!$C$57-Mkt!$C$54+ind_cxmt)*sh_oth))*(1+g_oth_dram)^1+((Mkt!$C$61*sh_oth))*(1+g_oth_nand)^1)+(cap_ts_26*(1-0)*sh_fd_lo+MAX(Mkt!$C$43-cap_ts_25*(1-0)*sh_fd_lo,0)*(1+g_oth_fd)^1)+Mkt!D50*(((cap_sk_26*1000/fx*sh_sk+cap_mu_26*sh_mu_26+cap_ss_26*1000/fx*sh_ss)+(((Mkt!$C$57-Mkt!$C$54+ind_cxmt)*sh_oth))*(1+g_oth_dram)^1+((Mkt!$C$61*sh_oth))*(1+g_oth_nand)^1)+(cap_ts_26*(1-0)*sh_fd_lo+MAX(Mkt!$C$43-cap_ts_25*(1-0)*sh_fd_lo,0)*(1+g_oth_fd)^1))+Mkt!D116+Mkt!D117</f>
        <v>175.355658526185</v>
      </c>
      <c r="D62" s="17" t="n">
        <f aca="false">((cap_sk_27*1000/fx*sh_sk+cap_mu_27*sh_mu_27+cap_ss_27*1000/fx*sh_ss)+(((Mkt!$C$57-Mkt!$C$54+ind_cxmt)*sh_oth))*(1+g_oth_dram)^2+((Mkt!$C$61*sh_oth))*(1+g_oth_nand)^2)+(cap_ts_27*(1-0)*sh_fd_lo+MAX(Mkt!$C$43-cap_ts_25*(1-0)*sh_fd_lo,0)*(1+g_oth_fd)^2)+Mkt!E50*(((cap_sk_27*1000/fx*sh_sk+cap_mu_27*sh_mu_27+cap_ss_27*1000/fx*sh_ss)+(((Mkt!$C$57-Mkt!$C$54+ind_cxmt)*sh_oth))*(1+g_oth_dram)^2+((Mkt!$C$61*sh_oth))*(1+g_oth_nand)^2)+(cap_ts_27*(1-0)*sh_fd_lo+MAX(Mkt!$C$43-cap_ts_25*(1-0)*sh_fd_lo,0)*(1+g_oth_fd)^2))+Mkt!E116+Mkt!E117</f>
        <v>213.622402998734</v>
      </c>
      <c r="E62" s="17" t="n">
        <f aca="false">D62*ck_C_28</f>
        <v>170.897922398987</v>
      </c>
      <c r="F62" s="17" t="n">
        <f aca="false">E62*ck_C_29</f>
        <v>170.897922398987</v>
      </c>
      <c r="G62" s="20" t="n">
        <f aca="false">IF(ROUND(F62,9)=ROUND(MAX(B62:F62),9),2029,IF(ROUND(E62,9)=ROUND(MAX(B62:F62),9),2028,IF(ROUND(D62,9)=ROUND(MAX(B62:F62),9),2027,IF(ROUND(C62,9)=ROUND(MAX(B62:F62),9),2026,2025))))</f>
        <v>2027</v>
      </c>
    </row>
    <row r="63" customFormat="false" ht="15" hidden="false" customHeight="false" outlineLevel="0" collapsed="false">
      <c r="A63" s="9" t="s">
        <v>759</v>
      </c>
      <c r="B63" s="17" t="n">
        <f aca="false">((cap_sk_25*1000/fx*sh_sk+cap_mu_25*sh_mu_25+cap_ssds_25*ss_mem*1000/fx*sh_ss)+(((Mkt!$C$57-Mkt!$C$54+ind_cxmt)*sh_oth))*(1+g_oth_dram)^0+((Mkt!$C$61*sh_oth))*(1+g_oth_nand)^0)+(cap_ts_25*(1-0)*sh_fd_hi+MAX(Mkt!$C$43-cap_ts_25*(1-0)*sh_fd_hi,0)*(1+g_oth_fd)^0)+Mkt!C50*(((cap_sk_25*1000/fx*sh_sk+cap_mu_25*sh_mu_25+cap_ssds_25*ss_mem*1000/fx*sh_ss)+(((Mkt!$C$57-Mkt!$C$54+ind_cxmt)*sh_oth))*(1+g_oth_dram)^0+((Mkt!$C$61*sh_oth))*(1+g_oth_nand)^0)+(cap_ts_25*(1-0)*sh_fd_hi+MAX(Mkt!$C$43-cap_ts_25*(1-0)*sh_fd_hi,0)*(1+g_oth_fd)^0))+Mkt!C116+Mkt!C117</f>
        <v>134.689359843138</v>
      </c>
      <c r="C63" s="17" t="n">
        <f aca="false">((cap_sk_26*1000/fx*sh_sk+cap_mu_26*sh_mu_26+cap_ss_26*1000/fx*sh_ss)+(((Mkt!$C$57-Mkt!$C$54+ind_cxmt)*sh_oth))*(1+g_oth_dram)^1+((Mkt!$C$61*sh_oth))*(1+g_oth_nand)^1)+(cap_ts_26*(1-0)*sh_fd_hi+MAX(Mkt!$C$43-cap_ts_25*(1-0)*sh_fd_hi,0)*(1+g_oth_fd)^1)+Mkt!D50*(((cap_sk_26*1000/fx*sh_sk+cap_mu_26*sh_mu_26+cap_ss_26*1000/fx*sh_ss)+(((Mkt!$C$57-Mkt!$C$54+ind_cxmt)*sh_oth))*(1+g_oth_dram)^1+((Mkt!$C$61*sh_oth))*(1+g_oth_nand)^1)+(cap_ts_26*(1-0)*sh_fd_hi+MAX(Mkt!$C$43-cap_ts_25*(1-0)*sh_fd_hi,0)*(1+g_oth_fd)^1))+Mkt!D116+Mkt!D117</f>
        <v>180.358144318938</v>
      </c>
      <c r="D63" s="17" t="n">
        <f aca="false">((cap_sk_27*1000/fx*sh_sk+cap_mu_27*sh_mu_27+cap_ss_27*1000/fx*sh_ss)+(((Mkt!$C$57-Mkt!$C$54+ind_cxmt)*sh_oth))*(1+g_oth_dram)^2+((Mkt!$C$61*sh_oth))*(1+g_oth_nand)^2)+(cap_ts_27*(1-0)*sh_fd_hi+MAX(Mkt!$C$43-cap_ts_25*(1-0)*sh_fd_hi,0)*(1+g_oth_fd)^2)+Mkt!E50*(((cap_sk_27*1000/fx*sh_sk+cap_mu_27*sh_mu_27+cap_ss_27*1000/fx*sh_ss)+(((Mkt!$C$57-Mkt!$C$54+ind_cxmt)*sh_oth))*(1+g_oth_dram)^2+((Mkt!$C$61*sh_oth))*(1+g_oth_nand)^2)+(cap_ts_27*(1-0)*sh_fd_hi+MAX(Mkt!$C$43-cap_ts_25*(1-0)*sh_fd_hi,0)*(1+g_oth_fd)^2))+Mkt!E116+Mkt!E117</f>
        <v>221.842282929713</v>
      </c>
      <c r="E63" s="17" t="n">
        <f aca="false">((cap_sk_28*1000/fx*sh_sk+cap_mu_28*sh_mu_27+cap_ss_28*1000/fx*sh_ss)+(((Mkt!$C$57-Mkt!$C$54+ind_cxmt)*sh_oth))*(1+g_oth_dram)^3+((Mkt!$C$61*sh_oth))*(1+g_oth_nand)^3)+(cap_ts_28*(1-0)*sh_fd_hi+MAX(Mkt!$C$43-cap_ts_25*(1-0)*sh_fd_hi,0)*(1+g_oth_fd)^3)+Mkt!F50*(((cap_sk_28*1000/fx*sh_sk+cap_mu_28*sh_mu_27+cap_ss_28*1000/fx*sh_ss)+(((Mkt!$C$57-Mkt!$C$54+ind_cxmt)*sh_oth))*(1+g_oth_dram)^3+((Mkt!$C$61*sh_oth))*(1+g_oth_nand)^3)+(cap_ts_28*(1-0)*sh_fd_hi+MAX(Mkt!$C$43-cap_ts_25*(1-0)*sh_fd_hi,0)*(1+g_oth_fd)^3))+Mkt!F116+Mkt!F117</f>
        <v>250.779198401468</v>
      </c>
      <c r="F63" s="17" t="n">
        <f aca="false">((cap_sk_29*1000/fx*sh_sk+cap_mu_29*sh_mu_27+cap_ss_29*1000/fx*sh_ss)+(((Mkt!$C$57-Mkt!$C$54+ind_cxmt)*sh_oth))*(1+g_oth_dram)^4+((Mkt!$C$61*sh_oth))*(1+g_oth_nand)^4)+(cap_ts_29*(1-0)*sh_fd_hi+MAX(Mkt!$C$43-cap_ts_25*(1-0)*sh_fd_hi,0)*(1+g_oth_fd)^4)+Mkt!G50*(((cap_sk_29*1000/fx*sh_sk+cap_mu_29*sh_mu_27+cap_ss_29*1000/fx*sh_ss)+(((Mkt!$C$57-Mkt!$C$54+ind_cxmt)*sh_oth))*(1+g_oth_dram)^4+((Mkt!$C$61*sh_oth))*(1+g_oth_nand)^4)+(cap_ts_29*(1-0)*sh_fd_hi+MAX(Mkt!$C$43-cap_ts_25*(1-0)*sh_fd_hi,0)*(1+g_oth_fd)^4))+Mkt!G116+Mkt!G117</f>
        <v>265.514685684657</v>
      </c>
      <c r="G63" s="20" t="n">
        <f aca="false">IF(ROUND(F63,9)=ROUND(MAX(B63:F63),9),2029,IF(ROUND(E63,9)=ROUND(MAX(B63:F63),9),2028,IF(ROUND(D63,9)=ROUND(MAX(B63:F63),9),2027,IF(ROUND(C63,9)=ROUND(MAX(B63:F63),9),2026,2025))))</f>
        <v>2029</v>
      </c>
    </row>
    <row r="64" customFormat="false" ht="15" hidden="false" customHeight="false" outlineLevel="0" collapsed="false">
      <c r="A64" s="9" t="s">
        <v>760</v>
      </c>
      <c r="B64" s="17" t="n">
        <f aca="false">((cap_sk_25*1000/fx*sh_sk+cap_mu_25*sh_mu_25+cap_ssds_25*ss_mem*1000/fx*sh_ss)+(((Mkt!$C$57-Mkt!$C$54+ind_cxmt)*sh_oth))*(1+g_oth_dram)^0+((Mkt!$C$61*sh_oth))*(1+g_oth_nand)^0)+(cap_ts_25*(1-0)*sh_fd_hi+MAX(Mkt!$C$43-cap_ts_25*(1-0)*sh_fd_hi,0)*(1+g_oth_fd)^0)+Mkt!C50*(((cap_sk_25*1000/fx*sh_sk+cap_mu_25*sh_mu_25+cap_ssds_25*ss_mem*1000/fx*sh_ss)+(((Mkt!$C$57-Mkt!$C$54+ind_cxmt)*sh_oth))*(1+g_oth_dram)^0+((Mkt!$C$61*sh_oth))*(1+g_oth_nand)^0)+(cap_ts_25*(1-0)*sh_fd_hi+MAX(Mkt!$C$43-cap_ts_25*(1-0)*sh_fd_hi,0)*(1+g_oth_fd)^0))+Mkt!C116+Mkt!C117</f>
        <v>134.689359843138</v>
      </c>
      <c r="C64" s="17" t="n">
        <f aca="false">((cap_sk_26*1000/fx*sh_sk+cap_mu_26*sh_mu_26+cap_ss_26*1000/fx*sh_ss)+(((Mkt!$C$57-Mkt!$C$54+ind_cxmt)*sh_oth))*(1+g_oth_dram)^1+((Mkt!$C$61*sh_oth))*(1+g_oth_nand)^1)+(cap_ts_26*(1-0)*sh_fd_hi+MAX(Mkt!$C$43-cap_ts_25*(1-0)*sh_fd_hi,0)*(1+g_oth_fd)^1)+Mkt!D50*(((cap_sk_26*1000/fx*sh_sk+cap_mu_26*sh_mu_26+cap_ss_26*1000/fx*sh_ss)+(((Mkt!$C$57-Mkt!$C$54+ind_cxmt)*sh_oth))*(1+g_oth_dram)^1+((Mkt!$C$61*sh_oth))*(1+g_oth_nand)^1)+(cap_ts_26*(1-0)*sh_fd_hi+MAX(Mkt!$C$43-cap_ts_25*(1-0)*sh_fd_hi,0)*(1+g_oth_fd)^1))+Mkt!D116+Mkt!D117</f>
        <v>180.358144318938</v>
      </c>
      <c r="D64" s="17" t="n">
        <f aca="false">((cap_sk_27*1000/fx*sh_sk+cap_mu_27*sh_mu_27+cap_ss_27*1000/fx*sh_ss)+(((Mkt!$C$57-Mkt!$C$54+ind_cxmt)*sh_oth))*(1+g_oth_dram)^2+((Mkt!$C$61*sh_oth))*(1+g_oth_nand)^2)+(cap_ts_27*(1-0)*sh_fd_hi+MAX(Mkt!$C$43-cap_ts_25*(1-0)*sh_fd_hi,0)*(1+g_oth_fd)^2)+Mkt!E50*(((cap_sk_27*1000/fx*sh_sk+cap_mu_27*sh_mu_27+cap_ss_27*1000/fx*sh_ss)+(((Mkt!$C$57-Mkt!$C$54+ind_cxmt)*sh_oth))*(1+g_oth_dram)^2+((Mkt!$C$61*sh_oth))*(1+g_oth_nand)^2)+(cap_ts_27*(1-0)*sh_fd_hi+MAX(Mkt!$C$43-cap_ts_25*(1-0)*sh_fd_hi,0)*(1+g_oth_fd)^2))+Mkt!E116+Mkt!E117</f>
        <v>221.842282929713</v>
      </c>
      <c r="E64" s="17" t="n">
        <f aca="false">D64*ck_B_28</f>
        <v>221.842282929713</v>
      </c>
      <c r="F64" s="17" t="n">
        <f aca="false">E64*ck_B_29</f>
        <v>210.750168783227</v>
      </c>
      <c r="G64" s="20" t="n">
        <f aca="false">IF(ROUND(F64,9)=ROUND(MAX(B64:F64),9),2029,IF(ROUND(E64,9)=ROUND(MAX(B64:F64),9),2028,IF(ROUND(D64,9)=ROUND(MAX(B64:F64),9),2027,IF(ROUND(C64,9)=ROUND(MAX(B64:F64),9),2026,2025))))</f>
        <v>2028</v>
      </c>
    </row>
    <row r="65" customFormat="false" ht="15" hidden="false" customHeight="false" outlineLevel="0" collapsed="false">
      <c r="A65" s="9" t="s">
        <v>761</v>
      </c>
      <c r="B65" s="17" t="n">
        <f aca="false">((cap_sk_25*1000/fx*sh_sk+cap_mu_25*sh_mu_25+cap_ssds_25*ss_mem*1000/fx*sh_ss)+(((Mkt!$C$57-Mkt!$C$54+ind_cxmt)*sh_oth))*(1+g_oth_dram)^0+((Mkt!$C$61*sh_oth))*(1+g_oth_nand)^0)+(cap_ts_25*(1-0)*sh_fd_hi+MAX(Mkt!$C$43-cap_ts_25*(1-0)*sh_fd_hi,0)*(1+g_oth_fd)^0)+Mkt!C50*(((cap_sk_25*1000/fx*sh_sk+cap_mu_25*sh_mu_25+cap_ssds_25*ss_mem*1000/fx*sh_ss)+(((Mkt!$C$57-Mkt!$C$54+ind_cxmt)*sh_oth))*(1+g_oth_dram)^0+((Mkt!$C$61*sh_oth))*(1+g_oth_nand)^0)+(cap_ts_25*(1-0)*sh_fd_hi+MAX(Mkt!$C$43-cap_ts_25*(1-0)*sh_fd_hi,0)*(1+g_oth_fd)^0))+Mkt!C116+Mkt!C117</f>
        <v>134.689359843138</v>
      </c>
      <c r="C65" s="17" t="n">
        <f aca="false">((cap_sk_26*1000/fx*sh_sk+cap_mu_26*sh_mu_26+cap_ss_26*1000/fx*sh_ss)+(((Mkt!$C$57-Mkt!$C$54+ind_cxmt)*sh_oth))*(1+g_oth_dram)^1+((Mkt!$C$61*sh_oth))*(1+g_oth_nand)^1)+(cap_ts_26*(1-0)*sh_fd_hi+MAX(Mkt!$C$43-cap_ts_25*(1-0)*sh_fd_hi,0)*(1+g_oth_fd)^1)+Mkt!D50*(((cap_sk_26*1000/fx*sh_sk+cap_mu_26*sh_mu_26+cap_ss_26*1000/fx*sh_ss)+(((Mkt!$C$57-Mkt!$C$54+ind_cxmt)*sh_oth))*(1+g_oth_dram)^1+((Mkt!$C$61*sh_oth))*(1+g_oth_nand)^1)+(cap_ts_26*(1-0)*sh_fd_hi+MAX(Mkt!$C$43-cap_ts_25*(1-0)*sh_fd_hi,0)*(1+g_oth_fd)^1))+Mkt!D116+Mkt!D117</f>
        <v>180.358144318938</v>
      </c>
      <c r="D65" s="17" t="n">
        <f aca="false">((cap_sk_27*1000/fx*sh_sk+cap_mu_27*sh_mu_27+cap_ss_27*1000/fx*sh_ss)+(((Mkt!$C$57-Mkt!$C$54+ind_cxmt)*sh_oth))*(1+g_oth_dram)^2+((Mkt!$C$61*sh_oth))*(1+g_oth_nand)^2)+(cap_ts_27*(1-0)*sh_fd_hi+MAX(Mkt!$C$43-cap_ts_25*(1-0)*sh_fd_hi,0)*(1+g_oth_fd)^2)+Mkt!E50*(((cap_sk_27*1000/fx*sh_sk+cap_mu_27*sh_mu_27+cap_ss_27*1000/fx*sh_ss)+(((Mkt!$C$57-Mkt!$C$54+ind_cxmt)*sh_oth))*(1+g_oth_dram)^2+((Mkt!$C$61*sh_oth))*(1+g_oth_nand)^2)+(cap_ts_27*(1-0)*sh_fd_hi+MAX(Mkt!$C$43-cap_ts_25*(1-0)*sh_fd_hi,0)*(1+g_oth_fd)^2))+Mkt!E116+Mkt!E117</f>
        <v>221.842282929713</v>
      </c>
      <c r="E65" s="17" t="n">
        <f aca="false">D65*ck_C_28</f>
        <v>177.473826343771</v>
      </c>
      <c r="F65" s="17" t="n">
        <f aca="false">E65*ck_C_29</f>
        <v>177.473826343771</v>
      </c>
      <c r="G65" s="20" t="n">
        <f aca="false">IF(ROUND(F65,9)=ROUND(MAX(B65:F65),9),2029,IF(ROUND(E65,9)=ROUND(MAX(B65:F65),9),2028,IF(ROUND(D65,9)=ROUND(MAX(B65:F65),9),2027,IF(ROUND(C65,9)=ROUND(MAX(B65:F65),9),2026,2025))))</f>
        <v>2027</v>
      </c>
    </row>
    <row r="66" customFormat="false" ht="15" hidden="false" customHeight="false" outlineLevel="0" collapsed="false">
      <c r="A66" s="9" t="s">
        <v>762</v>
      </c>
      <c r="B66" s="17" t="n">
        <f aca="false">((cap_sk_25*1000/fx*sh_sk+cap_mu_25*sh_mu_25+cap_ssds_25*ss_mem*1000/fx*sh_ss)+(((Mkt!$C$57-Mkt!$C$54+ind_cxmt)*sh_oth))*(1+g_oth_dram)^0+((Mkt!$C$61*sh_oth))*(1+g_oth_nand)^0)+(cap_ts_25*(1-0)*sh_sk+MAX(Mkt!$C$43-cap_ts_25*(1-0)*sh_sk,0)*(1+g_oth_fd)^0)+Mkt!C50*(((cap_sk_25*1000/fx*sh_sk+cap_mu_25*sh_mu_25+cap_ssds_25*ss_mem*1000/fx*sh_ss)+(((Mkt!$C$57-Mkt!$C$54+ind_cxmt)*sh_oth))*(1+g_oth_dram)^0+((Mkt!$C$61*sh_oth))*(1+g_oth_nand)^0)+(cap_ts_25*(1-0)*sh_sk+MAX(Mkt!$C$43-cap_ts_25*(1-0)*sh_sk,0)*(1+g_oth_fd)^0))+Mkt!C116+Mkt!C117</f>
        <v>134.689359843138</v>
      </c>
      <c r="C66" s="17" t="n">
        <f aca="false">((cap_sk_26*1000/fx*sh_sk+cap_mu_26*sh_mu_26+cap_ss_26*1000/fx*sh_ss)+(((Mkt!$C$57-Mkt!$C$54+ind_cxmt)*sh_oth))*(1+g_oth_dram)^1+((Mkt!$C$61*sh_oth))*(1+g_oth_nand)^1)+(cap_ts_26*(1-0)*sh_sk+MAX(Mkt!$C$43-cap_ts_25*(1-0)*sh_sk,0)*(1+g_oth_fd)^1)+Mkt!D50*(((cap_sk_26*1000/fx*sh_sk+cap_mu_26*sh_mu_26+cap_ss_26*1000/fx*sh_ss)+(((Mkt!$C$57-Mkt!$C$54+ind_cxmt)*sh_oth))*(1+g_oth_dram)^1+((Mkt!$C$61*sh_oth))*(1+g_oth_nand)^1)+(cap_ts_26*(1-0)*sh_sk+MAX(Mkt!$C$43-cap_ts_25*(1-0)*sh_sk,0)*(1+g_oth_fd)^1))+Mkt!D116+Mkt!D117</f>
        <v>174.464275660624</v>
      </c>
      <c r="D66" s="17" t="n">
        <f aca="false">((cap_sk_27*1000/fx*sh_sk+cap_mu_27*sh_mu_27+cap_ss_27*1000/fx*sh_ss)+(((Mkt!$C$57-Mkt!$C$54+ind_cxmt)*sh_oth))*(1+g_oth_dram)^2+((Mkt!$C$61*sh_oth))*(1+g_oth_nand)^2)+(cap_ts_27*(1-0)*sh_sk+MAX(Mkt!$C$43-cap_ts_25*(1-0)*sh_sk,0)*(1+g_oth_fd)^2)+Mkt!E50*(((cap_sk_27*1000/fx*sh_sk+cap_mu_27*sh_mu_27+cap_ss_27*1000/fx*sh_ss)+(((Mkt!$C$57-Mkt!$C$54+ind_cxmt)*sh_oth))*(1+g_oth_dram)^2+((Mkt!$C$61*sh_oth))*(1+g_oth_nand)^2)+(cap_ts_27*(1-0)*sh_sk+MAX(Mkt!$C$43-cap_ts_25*(1-0)*sh_sk,0)*(1+g_oth_fd)^2))+Mkt!E116+Mkt!E117</f>
        <v>212.157719153343</v>
      </c>
      <c r="E66" s="17" t="n">
        <f aca="false">((cap_sk_28*1000/fx*sh_sk+cap_mu_28*sh_mu_27+cap_ss_28*1000/fx*sh_ss)+(((Mkt!$C$57-Mkt!$C$54+ind_cxmt)*sh_oth))*(1+g_oth_dram)^3+((Mkt!$C$61*sh_oth))*(1+g_oth_nand)^3)+(cap_ts_28*(1-0)*sh_sk+MAX(Mkt!$C$43-cap_ts_25*(1-0)*sh_sk,0)*(1+g_oth_fd)^3)+Mkt!F50*(((cap_sk_28*1000/fx*sh_sk+cap_mu_28*sh_mu_27+cap_ss_28*1000/fx*sh_ss)+(((Mkt!$C$57-Mkt!$C$54+ind_cxmt)*sh_oth))*(1+g_oth_dram)^3+((Mkt!$C$61*sh_oth))*(1+g_oth_nand)^3)+(cap_ts_28*(1-0)*sh_sk+MAX(Mkt!$C$43-cap_ts_25*(1-0)*sh_sk,0)*(1+g_oth_fd)^3))+Mkt!F116+Mkt!F117</f>
        <v>238.058591666646</v>
      </c>
      <c r="F66" s="17" t="n">
        <f aca="false">((cap_sk_29*1000/fx*sh_sk+cap_mu_29*sh_mu_27+cap_ss_29*1000/fx*sh_ss)+(((Mkt!$C$57-Mkt!$C$54+ind_cxmt)*sh_oth))*(1+g_oth_dram)^4+((Mkt!$C$61*sh_oth))*(1+g_oth_nand)^4)+(cap_ts_29*(1-0)*sh_sk+MAX(Mkt!$C$43-cap_ts_25*(1-0)*sh_sk,0)*(1+g_oth_fd)^4)+Mkt!G50*(((cap_sk_29*1000/fx*sh_sk+cap_mu_29*sh_mu_27+cap_ss_29*1000/fx*sh_ss)+(((Mkt!$C$57-Mkt!$C$54+ind_cxmt)*sh_oth))*(1+g_oth_dram)^4+((Mkt!$C$61*sh_oth))*(1+g_oth_nand)^4)+(cap_ts_29*(1-0)*sh_sk+MAX(Mkt!$C$43-cap_ts_25*(1-0)*sh_sk,0)*(1+g_oth_fd)^4))+Mkt!G116+Mkt!G117</f>
        <v>252.503742002271</v>
      </c>
      <c r="G66" s="20" t="n">
        <f aca="false">IF(ROUND(F66,9)=ROUND(MAX(B66:F66),9),2029,IF(ROUND(E66,9)=ROUND(MAX(B66:F66),9),2028,IF(ROUND(D66,9)=ROUND(MAX(B66:F66),9),2027,IF(ROUND(C66,9)=ROUND(MAX(B66:F66),9),2026,2025))))</f>
        <v>2029</v>
      </c>
    </row>
    <row r="67" customFormat="false" ht="15" hidden="false" customHeight="false" outlineLevel="0" collapsed="false">
      <c r="A67" s="9" t="s">
        <v>763</v>
      </c>
      <c r="B67" s="17" t="n">
        <f aca="false">((cap_sk_25*1000/fx*sh_sk+cap_mu_25*sh_mu_25+cap_ssds_25*ss_mem*1000/fx*sh_ss)+(((Mkt!$C$57-Mkt!$C$54+ind_cxmt)*sh_oth))*(1+g_oth_dram)^0+((Mkt!$C$61*sh_oth))*(1+g_oth_nand)^0)+(cap_ts_25*(1-0)*sh_sk+MAX(Mkt!$C$43-cap_ts_25*(1-0)*sh_sk,0)*(1+g_oth_fd)^0)+Mkt!C50*(((cap_sk_25*1000/fx*sh_sk+cap_mu_25*sh_mu_25+cap_ssds_25*ss_mem*1000/fx*sh_ss)+(((Mkt!$C$57-Mkt!$C$54+ind_cxmt)*sh_oth))*(1+g_oth_dram)^0+((Mkt!$C$61*sh_oth))*(1+g_oth_nand)^0)+(cap_ts_25*(1-0)*sh_sk+MAX(Mkt!$C$43-cap_ts_25*(1-0)*sh_sk,0)*(1+g_oth_fd)^0))+Mkt!C116+Mkt!C117</f>
        <v>134.689359843138</v>
      </c>
      <c r="C67" s="17" t="n">
        <f aca="false">((cap_sk_26*1000/fx*sh_sk+cap_mu_26*sh_mu_26+cap_ss_26*1000/fx*sh_ss)+(((Mkt!$C$57-Mkt!$C$54+ind_cxmt)*sh_oth))*(1+g_oth_dram)^1+((Mkt!$C$61*sh_oth))*(1+g_oth_nand)^1)+(cap_ts_26*(1-0)*sh_sk+MAX(Mkt!$C$43-cap_ts_25*(1-0)*sh_sk,0)*(1+g_oth_fd)^1)+Mkt!D50*(((cap_sk_26*1000/fx*sh_sk+cap_mu_26*sh_mu_26+cap_ss_26*1000/fx*sh_ss)+(((Mkt!$C$57-Mkt!$C$54+ind_cxmt)*sh_oth))*(1+g_oth_dram)^1+((Mkt!$C$61*sh_oth))*(1+g_oth_nand)^1)+(cap_ts_26*(1-0)*sh_sk+MAX(Mkt!$C$43-cap_ts_25*(1-0)*sh_sk,0)*(1+g_oth_fd)^1))+Mkt!D116+Mkt!D117</f>
        <v>174.464275660624</v>
      </c>
      <c r="D67" s="17" t="n">
        <f aca="false">((cap_sk_27*1000/fx*sh_sk+cap_mu_27*sh_mu_27+cap_ss_27*1000/fx*sh_ss)+(((Mkt!$C$57-Mkt!$C$54+ind_cxmt)*sh_oth))*(1+g_oth_dram)^2+((Mkt!$C$61*sh_oth))*(1+g_oth_nand)^2)+(cap_ts_27*(1-0)*sh_sk+MAX(Mkt!$C$43-cap_ts_25*(1-0)*sh_sk,0)*(1+g_oth_fd)^2)+Mkt!E50*(((cap_sk_27*1000/fx*sh_sk+cap_mu_27*sh_mu_27+cap_ss_27*1000/fx*sh_ss)+(((Mkt!$C$57-Mkt!$C$54+ind_cxmt)*sh_oth))*(1+g_oth_dram)^2+((Mkt!$C$61*sh_oth))*(1+g_oth_nand)^2)+(cap_ts_27*(1-0)*sh_sk+MAX(Mkt!$C$43-cap_ts_25*(1-0)*sh_sk,0)*(1+g_oth_fd)^2))+Mkt!E116+Mkt!E117</f>
        <v>212.157719153343</v>
      </c>
      <c r="E67" s="17" t="n">
        <f aca="false">D67*ck_B_28</f>
        <v>212.157719153343</v>
      </c>
      <c r="F67" s="17" t="n">
        <f aca="false">E67*ck_B_29</f>
        <v>201.549833195676</v>
      </c>
      <c r="G67" s="20" t="n">
        <f aca="false">IF(ROUND(F67,9)=ROUND(MAX(B67:F67),9),2029,IF(ROUND(E67,9)=ROUND(MAX(B67:F67),9),2028,IF(ROUND(D67,9)=ROUND(MAX(B67:F67),9),2027,IF(ROUND(C67,9)=ROUND(MAX(B67:F67),9),2026,2025))))</f>
        <v>2028</v>
      </c>
    </row>
    <row r="68" customFormat="false" ht="15" hidden="false" customHeight="false" outlineLevel="0" collapsed="false">
      <c r="A68" s="9" t="s">
        <v>764</v>
      </c>
      <c r="B68" s="17" t="n">
        <f aca="false">((cap_sk_25*1000/fx*sh_sk+cap_mu_25*sh_mu_25+cap_ssds_25*ss_mem*1000/fx*sh_ss)+(((Mkt!$C$57-Mkt!$C$54+ind_cxmt)*sh_oth))*(1+g_oth_dram)^0+((Mkt!$C$61*sh_oth))*(1+g_oth_nand)^0)+(cap_ts_25*(1-0)*sh_sk+MAX(Mkt!$C$43-cap_ts_25*(1-0)*sh_sk,0)*(1+g_oth_fd)^0)+Mkt!C50*(((cap_sk_25*1000/fx*sh_sk+cap_mu_25*sh_mu_25+cap_ssds_25*ss_mem*1000/fx*sh_ss)+(((Mkt!$C$57-Mkt!$C$54+ind_cxmt)*sh_oth))*(1+g_oth_dram)^0+((Mkt!$C$61*sh_oth))*(1+g_oth_nand)^0)+(cap_ts_25*(1-0)*sh_sk+MAX(Mkt!$C$43-cap_ts_25*(1-0)*sh_sk,0)*(1+g_oth_fd)^0))+Mkt!C116+Mkt!C117</f>
        <v>134.689359843138</v>
      </c>
      <c r="C68" s="17" t="n">
        <f aca="false">((cap_sk_26*1000/fx*sh_sk+cap_mu_26*sh_mu_26+cap_ss_26*1000/fx*sh_ss)+(((Mkt!$C$57-Mkt!$C$54+ind_cxmt)*sh_oth))*(1+g_oth_dram)^1+((Mkt!$C$61*sh_oth))*(1+g_oth_nand)^1)+(cap_ts_26*(1-0)*sh_sk+MAX(Mkt!$C$43-cap_ts_25*(1-0)*sh_sk,0)*(1+g_oth_fd)^1)+Mkt!D50*(((cap_sk_26*1000/fx*sh_sk+cap_mu_26*sh_mu_26+cap_ss_26*1000/fx*sh_ss)+(((Mkt!$C$57-Mkt!$C$54+ind_cxmt)*sh_oth))*(1+g_oth_dram)^1+((Mkt!$C$61*sh_oth))*(1+g_oth_nand)^1)+(cap_ts_26*(1-0)*sh_sk+MAX(Mkt!$C$43-cap_ts_25*(1-0)*sh_sk,0)*(1+g_oth_fd)^1))+Mkt!D116+Mkt!D117</f>
        <v>174.464275660624</v>
      </c>
      <c r="D68" s="17" t="n">
        <f aca="false">((cap_sk_27*1000/fx*sh_sk+cap_mu_27*sh_mu_27+cap_ss_27*1000/fx*sh_ss)+(((Mkt!$C$57-Mkt!$C$54+ind_cxmt)*sh_oth))*(1+g_oth_dram)^2+((Mkt!$C$61*sh_oth))*(1+g_oth_nand)^2)+(cap_ts_27*(1-0)*sh_sk+MAX(Mkt!$C$43-cap_ts_25*(1-0)*sh_sk,0)*(1+g_oth_fd)^2)+Mkt!E50*(((cap_sk_27*1000/fx*sh_sk+cap_mu_27*sh_mu_27+cap_ss_27*1000/fx*sh_ss)+(((Mkt!$C$57-Mkt!$C$54+ind_cxmt)*sh_oth))*(1+g_oth_dram)^2+((Mkt!$C$61*sh_oth))*(1+g_oth_nand)^2)+(cap_ts_27*(1-0)*sh_sk+MAX(Mkt!$C$43-cap_ts_25*(1-0)*sh_sk,0)*(1+g_oth_fd)^2))+Mkt!E116+Mkt!E117</f>
        <v>212.157719153343</v>
      </c>
      <c r="E68" s="17" t="n">
        <f aca="false">D68*ck_C_28</f>
        <v>169.726175322675</v>
      </c>
      <c r="F68" s="17" t="n">
        <f aca="false">E68*ck_C_29</f>
        <v>169.726175322675</v>
      </c>
      <c r="G68" s="20" t="n">
        <f aca="false">IF(ROUND(F68,9)=ROUND(MAX(B68:F68),9),2029,IF(ROUND(E68,9)=ROUND(MAX(B68:F68),9),2028,IF(ROUND(D68,9)=ROUND(MAX(B68:F68),9),2027,IF(ROUND(C68,9)=ROUND(MAX(B68:F68),9),2026,2025))))</f>
        <v>2027</v>
      </c>
    </row>
    <row r="69" customFormat="false" ht="15" hidden="false" customHeight="false" outlineLevel="0" collapsed="false">
      <c r="A69" s="9" t="s">
        <v>765</v>
      </c>
      <c r="B69" s="17" t="n">
        <f aca="false">((cap_sk_25*1000/fx*sh_sk+cap_mu_25*sh_mu_25+cap_ssds_25*ss_mem*1000/fx*sh_ss)+(((Mkt!$C$57-Mkt!$C$54+ind_cxmt)*sh_oth))*(1+g_oth_dram)^0+((Mkt!$C$61*sh_oth))*(1+g_oth_nand)^0)+(cap_ts_25*(1-pk_ts)*sh_fd+MAX(Mkt!$C$43-cap_ts_25*(1-pk_ts)*sh_fd,0)*(1+g_oth_fd)^0)+Mkt!C50*(((cap_sk_25*1000/fx*sh_sk+cap_mu_25*sh_mu_25+cap_ssds_25*ss_mem*1000/fx*sh_ss)+(((Mkt!$C$57-Mkt!$C$54+ind_cxmt)*sh_oth))*(1+g_oth_dram)^0+((Mkt!$C$61*sh_oth))*(1+g_oth_nand)^0)+(cap_ts_25*(1-pk_ts)*sh_fd+MAX(Mkt!$C$43-cap_ts_25*(1-pk_ts)*sh_fd,0)*(1+g_oth_fd)^0))+Mkt!C116+Mkt!C117</f>
        <v>134.689359843138</v>
      </c>
      <c r="C69" s="17" t="n">
        <f aca="false">((cap_sk_26*1000/fx*sh_sk+cap_mu_26*sh_mu_26+cap_ss_26*1000/fx*sh_ss)+(((Mkt!$C$57-Mkt!$C$54+ind_cxmt)*sh_oth))*(1+g_oth_dram)^1+((Mkt!$C$61*sh_oth))*(1+g_oth_nand)^1)+(cap_ts_26*(1-pk_ts)*sh_fd+MAX(Mkt!$C$43-cap_ts_25*(1-pk_ts)*sh_fd,0)*(1+g_oth_fd)^1)+Mkt!D50*(((cap_sk_26*1000/fx*sh_sk+cap_mu_26*sh_mu_26+cap_ss_26*1000/fx*sh_ss)+(((Mkt!$C$57-Mkt!$C$54+ind_cxmt)*sh_oth))*(1+g_oth_dram)^1+((Mkt!$C$61*sh_oth))*(1+g_oth_nand)^1)+(cap_ts_26*(1-pk_ts)*sh_fd+MAX(Mkt!$C$43-cap_ts_25*(1-pk_ts)*sh_fd,0)*(1+g_oth_fd)^1))+Mkt!D116+Mkt!D117</f>
        <v>176.23609602571</v>
      </c>
      <c r="D69" s="17" t="n">
        <f aca="false">((cap_sk_27*1000/fx*sh_sk+cap_mu_27*sh_mu_27+cap_ss_27*1000/fx*sh_ss)+(((Mkt!$C$57-Mkt!$C$54+ind_cxmt)*sh_oth))*(1+g_oth_dram)^2+((Mkt!$C$61*sh_oth))*(1+g_oth_nand)^2)+(cap_ts_27*(1-pk_ts)*sh_fd+MAX(Mkt!$C$43-cap_ts_25*(1-pk_ts)*sh_fd,0)*(1+g_oth_fd)^2)+Mkt!E50*(((cap_sk_27*1000/fx*sh_sk+cap_mu_27*sh_mu_27+cap_ss_27*1000/fx*sh_ss)+(((Mkt!$C$57-Mkt!$C$54+ind_cxmt)*sh_oth))*(1+g_oth_dram)^2+((Mkt!$C$61*sh_oth))*(1+g_oth_nand)^2)+(cap_ts_27*(1-pk_ts)*sh_fd+MAX(Mkt!$C$43-cap_ts_25*(1-pk_ts)*sh_fd,0)*(1+g_oth_fd)^2))+Mkt!E116+Mkt!E117</f>
        <v>215.069101866587</v>
      </c>
      <c r="E69" s="17" t="n">
        <f aca="false">((cap_sk_28*1000/fx*sh_sk+cap_mu_28*sh_mu_27+cap_ss_28*1000/fx*sh_ss)+(((Mkt!$C$57-Mkt!$C$54+ind_cxmt)*sh_oth))*(1+g_oth_dram)^3+((Mkt!$C$61*sh_oth))*(1+g_oth_nand)^3)+(cap_ts_28*(1-pk_ts)*sh_fd+MAX(Mkt!$C$43-cap_ts_25*(1-pk_ts)*sh_fd,0)*(1+g_oth_fd)^3)+Mkt!F50*(((cap_sk_28*1000/fx*sh_sk+cap_mu_28*sh_mu_27+cap_ss_28*1000/fx*sh_ss)+(((Mkt!$C$57-Mkt!$C$54+ind_cxmt)*sh_oth))*(1+g_oth_dram)^3+((Mkt!$C$61*sh_oth))*(1+g_oth_nand)^3)+(cap_ts_28*(1-pk_ts)*sh_fd+MAX(Mkt!$C$43-cap_ts_25*(1-pk_ts)*sh_fd,0)*(1+g_oth_fd)^3))+Mkt!F116+Mkt!F117</f>
        <v>241.882672482768</v>
      </c>
      <c r="F69" s="17" t="n">
        <f aca="false">((cap_sk_29*1000/fx*sh_sk+cap_mu_29*sh_mu_27+cap_ss_29*1000/fx*sh_ss)+(((Mkt!$C$57-Mkt!$C$54+ind_cxmt)*sh_oth))*(1+g_oth_dram)^4+((Mkt!$C$61*sh_oth))*(1+g_oth_nand)^4)+(cap_ts_29*(1-pk_ts)*sh_fd+MAX(Mkt!$C$43-cap_ts_25*(1-pk_ts)*sh_fd,0)*(1+g_oth_fd)^4)+Mkt!G50*(((cap_sk_29*1000/fx*sh_sk+cap_mu_29*sh_mu_27+cap_ss_29*1000/fx*sh_ss)+(((Mkt!$C$57-Mkt!$C$54+ind_cxmt)*sh_oth))*(1+g_oth_dram)^4+((Mkt!$C$61*sh_oth))*(1+g_oth_nand)^4)+(cap_ts_29*(1-pk_ts)*sh_fd+MAX(Mkt!$C$43-cap_ts_25*(1-pk_ts)*sh_fd,0)*(1+g_oth_fd)^4))+Mkt!G116+Mkt!G117</f>
        <v>256.415104185904</v>
      </c>
      <c r="G69" s="20" t="n">
        <f aca="false">IF(ROUND(F69,9)=ROUND(MAX(B69:F69),9),2029,IF(ROUND(E69,9)=ROUND(MAX(B69:F69),9),2028,IF(ROUND(D69,9)=ROUND(MAX(B69:F69),9),2027,IF(ROUND(C69,9)=ROUND(MAX(B69:F69),9),2026,2025))))</f>
        <v>2029</v>
      </c>
    </row>
    <row r="70" customFormat="false" ht="15" hidden="false" customHeight="false" outlineLevel="0" collapsed="false">
      <c r="A70" s="9" t="s">
        <v>766</v>
      </c>
      <c r="B70" s="17" t="n">
        <f aca="false">((cap_sk_25*1000/fx*sh_sk+cap_mu_25*sh_mu_25+cap_ssds_25*ss_mem*1000/fx*sh_ss)+(((Mkt!$C$57-Mkt!$C$54+ind_cxmt)*sh_oth))*(1+g_oth_dram)^0+((Mkt!$C$61*sh_oth))*(1+g_oth_nand)^0)+(cap_ts_25*(1-pk_ts)*sh_fd+MAX(Mkt!$C$43-cap_ts_25*(1-pk_ts)*sh_fd,0)*(1+g_oth_fd)^0)+Mkt!C50*(((cap_sk_25*1000/fx*sh_sk+cap_mu_25*sh_mu_25+cap_ssds_25*ss_mem*1000/fx*sh_ss)+(((Mkt!$C$57-Mkt!$C$54+ind_cxmt)*sh_oth))*(1+g_oth_dram)^0+((Mkt!$C$61*sh_oth))*(1+g_oth_nand)^0)+(cap_ts_25*(1-pk_ts)*sh_fd+MAX(Mkt!$C$43-cap_ts_25*(1-pk_ts)*sh_fd,0)*(1+g_oth_fd)^0))+Mkt!C116+Mkt!C117</f>
        <v>134.689359843138</v>
      </c>
      <c r="C70" s="17" t="n">
        <f aca="false">((cap_sk_26*1000/fx*sh_sk+cap_mu_26*sh_mu_26+cap_ss_26*1000/fx*sh_ss)+(((Mkt!$C$57-Mkt!$C$54+ind_cxmt)*sh_oth))*(1+g_oth_dram)^1+((Mkt!$C$61*sh_oth))*(1+g_oth_nand)^1)+(cap_ts_26*(1-pk_ts)*sh_fd+MAX(Mkt!$C$43-cap_ts_25*(1-pk_ts)*sh_fd,0)*(1+g_oth_fd)^1)+Mkt!D50*(((cap_sk_26*1000/fx*sh_sk+cap_mu_26*sh_mu_26+cap_ss_26*1000/fx*sh_ss)+(((Mkt!$C$57-Mkt!$C$54+ind_cxmt)*sh_oth))*(1+g_oth_dram)^1+((Mkt!$C$61*sh_oth))*(1+g_oth_nand)^1)+(cap_ts_26*(1-pk_ts)*sh_fd+MAX(Mkt!$C$43-cap_ts_25*(1-pk_ts)*sh_fd,0)*(1+g_oth_fd)^1))+Mkt!D116+Mkt!D117</f>
        <v>176.23609602571</v>
      </c>
      <c r="D70" s="17" t="n">
        <f aca="false">((cap_sk_27*1000/fx*sh_sk+cap_mu_27*sh_mu_27+cap_ss_27*1000/fx*sh_ss)+(((Mkt!$C$57-Mkt!$C$54+ind_cxmt)*sh_oth))*(1+g_oth_dram)^2+((Mkt!$C$61*sh_oth))*(1+g_oth_nand)^2)+(cap_ts_27*(1-pk_ts)*sh_fd+MAX(Mkt!$C$43-cap_ts_25*(1-pk_ts)*sh_fd,0)*(1+g_oth_fd)^2)+Mkt!E50*(((cap_sk_27*1000/fx*sh_sk+cap_mu_27*sh_mu_27+cap_ss_27*1000/fx*sh_ss)+(((Mkt!$C$57-Mkt!$C$54+ind_cxmt)*sh_oth))*(1+g_oth_dram)^2+((Mkt!$C$61*sh_oth))*(1+g_oth_nand)^2)+(cap_ts_27*(1-pk_ts)*sh_fd+MAX(Mkt!$C$43-cap_ts_25*(1-pk_ts)*sh_fd,0)*(1+g_oth_fd)^2))+Mkt!E116+Mkt!E117</f>
        <v>215.069101866587</v>
      </c>
      <c r="E70" s="17" t="n">
        <f aca="false">D70*ck_B_28</f>
        <v>215.069101866587</v>
      </c>
      <c r="F70" s="17" t="n">
        <f aca="false">E70*ck_B_29</f>
        <v>204.315646773257</v>
      </c>
      <c r="G70" s="20" t="n">
        <f aca="false">IF(ROUND(F70,9)=ROUND(MAX(B70:F70),9),2029,IF(ROUND(E70,9)=ROUND(MAX(B70:F70),9),2028,IF(ROUND(D70,9)=ROUND(MAX(B70:F70),9),2027,IF(ROUND(C70,9)=ROUND(MAX(B70:F70),9),2026,2025))))</f>
        <v>2028</v>
      </c>
    </row>
    <row r="71" customFormat="false" ht="15" hidden="false" customHeight="false" outlineLevel="0" collapsed="false">
      <c r="A71" s="9" t="s">
        <v>767</v>
      </c>
      <c r="B71" s="17" t="n">
        <f aca="false">((cap_sk_25*1000/fx*sh_sk+cap_mu_25*sh_mu_25+cap_ssds_25*ss_mem*1000/fx*sh_ss)+(((Mkt!$C$57-Mkt!$C$54+ind_cxmt)*sh_oth))*(1+g_oth_dram)^0+((Mkt!$C$61*sh_oth))*(1+g_oth_nand)^0)+(cap_ts_25*(1-pk_ts)*sh_fd+MAX(Mkt!$C$43-cap_ts_25*(1-pk_ts)*sh_fd,0)*(1+g_oth_fd)^0)+Mkt!C50*(((cap_sk_25*1000/fx*sh_sk+cap_mu_25*sh_mu_25+cap_ssds_25*ss_mem*1000/fx*sh_ss)+(((Mkt!$C$57-Mkt!$C$54+ind_cxmt)*sh_oth))*(1+g_oth_dram)^0+((Mkt!$C$61*sh_oth))*(1+g_oth_nand)^0)+(cap_ts_25*(1-pk_ts)*sh_fd+MAX(Mkt!$C$43-cap_ts_25*(1-pk_ts)*sh_fd,0)*(1+g_oth_fd)^0))+Mkt!C116+Mkt!C117</f>
        <v>134.689359843138</v>
      </c>
      <c r="C71" s="17" t="n">
        <f aca="false">((cap_sk_26*1000/fx*sh_sk+cap_mu_26*sh_mu_26+cap_ss_26*1000/fx*sh_ss)+(((Mkt!$C$57-Mkt!$C$54+ind_cxmt)*sh_oth))*(1+g_oth_dram)^1+((Mkt!$C$61*sh_oth))*(1+g_oth_nand)^1)+(cap_ts_26*(1-pk_ts)*sh_fd+MAX(Mkt!$C$43-cap_ts_25*(1-pk_ts)*sh_fd,0)*(1+g_oth_fd)^1)+Mkt!D50*(((cap_sk_26*1000/fx*sh_sk+cap_mu_26*sh_mu_26+cap_ss_26*1000/fx*sh_ss)+(((Mkt!$C$57-Mkt!$C$54+ind_cxmt)*sh_oth))*(1+g_oth_dram)^1+((Mkt!$C$61*sh_oth))*(1+g_oth_nand)^1)+(cap_ts_26*(1-pk_ts)*sh_fd+MAX(Mkt!$C$43-cap_ts_25*(1-pk_ts)*sh_fd,0)*(1+g_oth_fd)^1))+Mkt!D116+Mkt!D117</f>
        <v>176.23609602571</v>
      </c>
      <c r="D71" s="17" t="n">
        <f aca="false">((cap_sk_27*1000/fx*sh_sk+cap_mu_27*sh_mu_27+cap_ss_27*1000/fx*sh_ss)+(((Mkt!$C$57-Mkt!$C$54+ind_cxmt)*sh_oth))*(1+g_oth_dram)^2+((Mkt!$C$61*sh_oth))*(1+g_oth_nand)^2)+(cap_ts_27*(1-pk_ts)*sh_fd+MAX(Mkt!$C$43-cap_ts_25*(1-pk_ts)*sh_fd,0)*(1+g_oth_fd)^2)+Mkt!E50*(((cap_sk_27*1000/fx*sh_sk+cap_mu_27*sh_mu_27+cap_ss_27*1000/fx*sh_ss)+(((Mkt!$C$57-Mkt!$C$54+ind_cxmt)*sh_oth))*(1+g_oth_dram)^2+((Mkt!$C$61*sh_oth))*(1+g_oth_nand)^2)+(cap_ts_27*(1-pk_ts)*sh_fd+MAX(Mkt!$C$43-cap_ts_25*(1-pk_ts)*sh_fd,0)*(1+g_oth_fd)^2))+Mkt!E116+Mkt!E117</f>
        <v>215.069101866587</v>
      </c>
      <c r="E71" s="17" t="n">
        <f aca="false">D71*ck_C_28</f>
        <v>172.055281493269</v>
      </c>
      <c r="F71" s="17" t="n">
        <f aca="false">E71*ck_C_29</f>
        <v>172.055281493269</v>
      </c>
      <c r="G71" s="20" t="n">
        <f aca="false">IF(ROUND(F71,9)=ROUND(MAX(B71:F71),9),2029,IF(ROUND(E71,9)=ROUND(MAX(B71:F71),9),2028,IF(ROUND(D71,9)=ROUND(MAX(B71:F71),9),2027,IF(ROUND(C71,9)=ROUND(MAX(B71:F71),9),2026,2025))))</f>
        <v>2027</v>
      </c>
    </row>
    <row r="72" customFormat="false" ht="15" hidden="false" customHeight="false" outlineLevel="0" collapsed="false">
      <c r="A72" s="9" t="s">
        <v>768</v>
      </c>
      <c r="B72" s="17" t="n">
        <f aca="false">((cap_sk_25*1000/fx*sh_sk+cap_mu_25*sh_mu_25+cap_ssds_25*ss_mem*1000/fx*sh_ss)+(((Mkt!$C$57-Mkt!$C$54+ind_cxmt)*sh_oth))*(1+g_oth_dram)^0+((Mkt!$C$61*sh_oth))*(1+g_oth_nand)^0)+(cap_ts_25*(1-pk_ts_hi)*sh_fd+MAX(Mkt!$C$43-cap_ts_25*(1-pk_ts_hi)*sh_fd,0)*(1+g_oth_fd)^0)+Mkt!C50*(((cap_sk_25*1000/fx*sh_sk+cap_mu_25*sh_mu_25+cap_ssds_25*ss_mem*1000/fx*sh_ss)+(((Mkt!$C$57-Mkt!$C$54+ind_cxmt)*sh_oth))*(1+g_oth_dram)^0+((Mkt!$C$61*sh_oth))*(1+g_oth_nand)^0)+(cap_ts_25*(1-pk_ts_hi)*sh_fd+MAX(Mkt!$C$43-cap_ts_25*(1-pk_ts_hi)*sh_fd,0)*(1+g_oth_fd)^0))+Mkt!C116+Mkt!C117</f>
        <v>134.689359843138</v>
      </c>
      <c r="C72" s="17" t="n">
        <f aca="false">((cap_sk_26*1000/fx*sh_sk+cap_mu_26*sh_mu_26+cap_ss_26*1000/fx*sh_ss)+(((Mkt!$C$57-Mkt!$C$54+ind_cxmt)*sh_oth))*(1+g_oth_dram)^1+((Mkt!$C$61*sh_oth))*(1+g_oth_nand)^1)+(cap_ts_26*(1-pk_ts_hi)*sh_fd+MAX(Mkt!$C$43-cap_ts_25*(1-pk_ts_hi)*sh_fd,0)*(1+g_oth_fd)^1)+Mkt!D50*(((cap_sk_26*1000/fx*sh_sk+cap_mu_26*sh_mu_26+cap_ss_26*1000/fx*sh_ss)+(((Mkt!$C$57-Mkt!$C$54+ind_cxmt)*sh_oth))*(1+g_oth_dram)^1+((Mkt!$C$61*sh_oth))*(1+g_oth_nand)^1)+(cap_ts_26*(1-pk_ts_hi)*sh_fd+MAX(Mkt!$C$43-cap_ts_25*(1-pk_ts_hi)*sh_fd,0)*(1+g_oth_fd)^1))+Mkt!D116+Mkt!D117</f>
        <v>175.595777844237</v>
      </c>
      <c r="D72" s="17" t="n">
        <f aca="false">((cap_sk_27*1000/fx*sh_sk+cap_mu_27*sh_mu_27+cap_ss_27*1000/fx*sh_ss)+(((Mkt!$C$57-Mkt!$C$54+ind_cxmt)*sh_oth))*(1+g_oth_dram)^2+((Mkt!$C$61*sh_oth))*(1+g_oth_nand)^2)+(cap_ts_27*(1-pk_ts_hi)*sh_fd+MAX(Mkt!$C$43-cap_ts_25*(1-pk_ts_hi)*sh_fd,0)*(1+g_oth_fd)^2)+Mkt!E50*(((cap_sk_27*1000/fx*sh_sk+cap_mu_27*sh_mu_27+cap_ss_27*1000/fx*sh_ss)+(((Mkt!$C$57-Mkt!$C$54+ind_cxmt)*sh_oth))*(1+g_oth_dram)^2+((Mkt!$C$61*sh_oth))*(1+g_oth_nand)^2)+(cap_ts_27*(1-pk_ts_hi)*sh_fd+MAX(Mkt!$C$43-cap_ts_25*(1-pk_ts_hi)*sh_fd,0)*(1+g_oth_fd)^2))+Mkt!E116+Mkt!E117</f>
        <v>214.016957235421</v>
      </c>
      <c r="E72" s="17" t="n">
        <f aca="false">((cap_sk_28*1000/fx*sh_sk+cap_mu_28*sh_mu_27+cap_ss_28*1000/fx*sh_ss)+(((Mkt!$C$57-Mkt!$C$54+ind_cxmt)*sh_oth))*(1+g_oth_dram)^3+((Mkt!$C$61*sh_oth))*(1+g_oth_nand)^3)+(cap_ts_28*(1-pk_ts_hi)*sh_fd+MAX(Mkt!$C$43-cap_ts_25*(1-pk_ts_hi)*sh_fd,0)*(1+g_oth_fd)^3)+Mkt!F50*(((cap_sk_28*1000/fx*sh_sk+cap_mu_28*sh_mu_27+cap_ss_28*1000/fx*sh_ss)+(((Mkt!$C$57-Mkt!$C$54+ind_cxmt)*sh_oth))*(1+g_oth_dram)^3+((Mkt!$C$61*sh_oth))*(1+g_oth_nand)^3)+(cap_ts_28*(1-pk_ts_hi)*sh_fd+MAX(Mkt!$C$43-cap_ts_25*(1-pk_ts_hi)*sh_fd,0)*(1+g_oth_fd)^3))+Mkt!F116+Mkt!F117</f>
        <v>240.500687874038</v>
      </c>
      <c r="F72" s="17" t="n">
        <f aca="false">((cap_sk_29*1000/fx*sh_sk+cap_mu_29*sh_mu_27+cap_ss_29*1000/fx*sh_ss)+(((Mkt!$C$57-Mkt!$C$54+ind_cxmt)*sh_oth))*(1+g_oth_dram)^4+((Mkt!$C$61*sh_oth))*(1+g_oth_nand)^4)+(cap_ts_29*(1-pk_ts_hi)*sh_fd+MAX(Mkt!$C$43-cap_ts_25*(1-pk_ts_hi)*sh_fd,0)*(1+g_oth_fd)^4)+Mkt!G50*(((cap_sk_29*1000/fx*sh_sk+cap_mu_29*sh_mu_27+cap_ss_29*1000/fx*sh_ss)+(((Mkt!$C$57-Mkt!$C$54+ind_cxmt)*sh_oth))*(1+g_oth_dram)^4+((Mkt!$C$61*sh_oth))*(1+g_oth_nand)^4)+(cap_ts_29*(1-pk_ts_hi)*sh_fd+MAX(Mkt!$C$43-cap_ts_25*(1-pk_ts_hi)*sh_fd,0)*(1+g_oth_fd)^4))+Mkt!G116+Mkt!G117</f>
        <v>255.001576962797</v>
      </c>
      <c r="G72" s="20" t="n">
        <f aca="false">IF(ROUND(F72,9)=ROUND(MAX(B72:F72),9),2029,IF(ROUND(E72,9)=ROUND(MAX(B72:F72),9),2028,IF(ROUND(D72,9)=ROUND(MAX(B72:F72),9),2027,IF(ROUND(C72,9)=ROUND(MAX(B72:F72),9),2026,2025))))</f>
        <v>2029</v>
      </c>
    </row>
    <row r="73" customFormat="false" ht="15" hidden="false" customHeight="false" outlineLevel="0" collapsed="false">
      <c r="A73" s="9" t="s">
        <v>769</v>
      </c>
      <c r="B73" s="17" t="n">
        <f aca="false">((cap_sk_25*1000/fx*sh_sk+cap_mu_25*sh_mu_25+cap_ssds_25*ss_mem*1000/fx*sh_ss)+(((Mkt!$C$57-Mkt!$C$54+ind_cxmt)*sh_oth))*(1+g_oth_dram)^0+((Mkt!$C$61*sh_oth))*(1+g_oth_nand)^0)+(cap_ts_25*(1-pk_ts_hi)*sh_fd+MAX(Mkt!$C$43-cap_ts_25*(1-pk_ts_hi)*sh_fd,0)*(1+g_oth_fd)^0)+Mkt!C50*(((cap_sk_25*1000/fx*sh_sk+cap_mu_25*sh_mu_25+cap_ssds_25*ss_mem*1000/fx*sh_ss)+(((Mkt!$C$57-Mkt!$C$54+ind_cxmt)*sh_oth))*(1+g_oth_dram)^0+((Mkt!$C$61*sh_oth))*(1+g_oth_nand)^0)+(cap_ts_25*(1-pk_ts_hi)*sh_fd+MAX(Mkt!$C$43-cap_ts_25*(1-pk_ts_hi)*sh_fd,0)*(1+g_oth_fd)^0))+Mkt!C116+Mkt!C117</f>
        <v>134.689359843138</v>
      </c>
      <c r="C73" s="17" t="n">
        <f aca="false">((cap_sk_26*1000/fx*sh_sk+cap_mu_26*sh_mu_26+cap_ss_26*1000/fx*sh_ss)+(((Mkt!$C$57-Mkt!$C$54+ind_cxmt)*sh_oth))*(1+g_oth_dram)^1+((Mkt!$C$61*sh_oth))*(1+g_oth_nand)^1)+(cap_ts_26*(1-pk_ts_hi)*sh_fd+MAX(Mkt!$C$43-cap_ts_25*(1-pk_ts_hi)*sh_fd,0)*(1+g_oth_fd)^1)+Mkt!D50*(((cap_sk_26*1000/fx*sh_sk+cap_mu_26*sh_mu_26+cap_ss_26*1000/fx*sh_ss)+(((Mkt!$C$57-Mkt!$C$54+ind_cxmt)*sh_oth))*(1+g_oth_dram)^1+((Mkt!$C$61*sh_oth))*(1+g_oth_nand)^1)+(cap_ts_26*(1-pk_ts_hi)*sh_fd+MAX(Mkt!$C$43-cap_ts_25*(1-pk_ts_hi)*sh_fd,0)*(1+g_oth_fd)^1))+Mkt!D116+Mkt!D117</f>
        <v>175.595777844237</v>
      </c>
      <c r="D73" s="17" t="n">
        <f aca="false">((cap_sk_27*1000/fx*sh_sk+cap_mu_27*sh_mu_27+cap_ss_27*1000/fx*sh_ss)+(((Mkt!$C$57-Mkt!$C$54+ind_cxmt)*sh_oth))*(1+g_oth_dram)^2+((Mkt!$C$61*sh_oth))*(1+g_oth_nand)^2)+(cap_ts_27*(1-pk_ts_hi)*sh_fd+MAX(Mkt!$C$43-cap_ts_25*(1-pk_ts_hi)*sh_fd,0)*(1+g_oth_fd)^2)+Mkt!E50*(((cap_sk_27*1000/fx*sh_sk+cap_mu_27*sh_mu_27+cap_ss_27*1000/fx*sh_ss)+(((Mkt!$C$57-Mkt!$C$54+ind_cxmt)*sh_oth))*(1+g_oth_dram)^2+((Mkt!$C$61*sh_oth))*(1+g_oth_nand)^2)+(cap_ts_27*(1-pk_ts_hi)*sh_fd+MAX(Mkt!$C$43-cap_ts_25*(1-pk_ts_hi)*sh_fd,0)*(1+g_oth_fd)^2))+Mkt!E116+Mkt!E117</f>
        <v>214.016957235421</v>
      </c>
      <c r="E73" s="17" t="n">
        <f aca="false">D73*ck_B_28</f>
        <v>214.016957235421</v>
      </c>
      <c r="F73" s="17" t="n">
        <f aca="false">E73*ck_B_29</f>
        <v>203.31610937365</v>
      </c>
      <c r="G73" s="20" t="n">
        <f aca="false">IF(ROUND(F73,9)=ROUND(MAX(B73:F73),9),2029,IF(ROUND(E73,9)=ROUND(MAX(B73:F73),9),2028,IF(ROUND(D73,9)=ROUND(MAX(B73:F73),9),2027,IF(ROUND(C73,9)=ROUND(MAX(B73:F73),9),2026,2025))))</f>
        <v>2028</v>
      </c>
    </row>
    <row r="74" customFormat="false" ht="15" hidden="false" customHeight="false" outlineLevel="0" collapsed="false">
      <c r="A74" s="9" t="s">
        <v>770</v>
      </c>
      <c r="B74" s="17" t="n">
        <f aca="false">((cap_sk_25*1000/fx*sh_sk+cap_mu_25*sh_mu_25+cap_ssds_25*ss_mem*1000/fx*sh_ss)+(((Mkt!$C$57-Mkt!$C$54+ind_cxmt)*sh_oth))*(1+g_oth_dram)^0+((Mkt!$C$61*sh_oth))*(1+g_oth_nand)^0)+(cap_ts_25*(1-pk_ts_hi)*sh_fd+MAX(Mkt!$C$43-cap_ts_25*(1-pk_ts_hi)*sh_fd,0)*(1+g_oth_fd)^0)+Mkt!C50*(((cap_sk_25*1000/fx*sh_sk+cap_mu_25*sh_mu_25+cap_ssds_25*ss_mem*1000/fx*sh_ss)+(((Mkt!$C$57-Mkt!$C$54+ind_cxmt)*sh_oth))*(1+g_oth_dram)^0+((Mkt!$C$61*sh_oth))*(1+g_oth_nand)^0)+(cap_ts_25*(1-pk_ts_hi)*sh_fd+MAX(Mkt!$C$43-cap_ts_25*(1-pk_ts_hi)*sh_fd,0)*(1+g_oth_fd)^0))+Mkt!C116+Mkt!C117</f>
        <v>134.689359843138</v>
      </c>
      <c r="C74" s="17" t="n">
        <f aca="false">((cap_sk_26*1000/fx*sh_sk+cap_mu_26*sh_mu_26+cap_ss_26*1000/fx*sh_ss)+(((Mkt!$C$57-Mkt!$C$54+ind_cxmt)*sh_oth))*(1+g_oth_dram)^1+((Mkt!$C$61*sh_oth))*(1+g_oth_nand)^1)+(cap_ts_26*(1-pk_ts_hi)*sh_fd+MAX(Mkt!$C$43-cap_ts_25*(1-pk_ts_hi)*sh_fd,0)*(1+g_oth_fd)^1)+Mkt!D50*(((cap_sk_26*1000/fx*sh_sk+cap_mu_26*sh_mu_26+cap_ss_26*1000/fx*sh_ss)+(((Mkt!$C$57-Mkt!$C$54+ind_cxmt)*sh_oth))*(1+g_oth_dram)^1+((Mkt!$C$61*sh_oth))*(1+g_oth_nand)^1)+(cap_ts_26*(1-pk_ts_hi)*sh_fd+MAX(Mkt!$C$43-cap_ts_25*(1-pk_ts_hi)*sh_fd,0)*(1+g_oth_fd)^1))+Mkt!D116+Mkt!D117</f>
        <v>175.595777844237</v>
      </c>
      <c r="D74" s="17" t="n">
        <f aca="false">((cap_sk_27*1000/fx*sh_sk+cap_mu_27*sh_mu_27+cap_ss_27*1000/fx*sh_ss)+(((Mkt!$C$57-Mkt!$C$54+ind_cxmt)*sh_oth))*(1+g_oth_dram)^2+((Mkt!$C$61*sh_oth))*(1+g_oth_nand)^2)+(cap_ts_27*(1-pk_ts_hi)*sh_fd+MAX(Mkt!$C$43-cap_ts_25*(1-pk_ts_hi)*sh_fd,0)*(1+g_oth_fd)^2)+Mkt!E50*(((cap_sk_27*1000/fx*sh_sk+cap_mu_27*sh_mu_27+cap_ss_27*1000/fx*sh_ss)+(((Mkt!$C$57-Mkt!$C$54+ind_cxmt)*sh_oth))*(1+g_oth_dram)^2+((Mkt!$C$61*sh_oth))*(1+g_oth_nand)^2)+(cap_ts_27*(1-pk_ts_hi)*sh_fd+MAX(Mkt!$C$43-cap_ts_25*(1-pk_ts_hi)*sh_fd,0)*(1+g_oth_fd)^2))+Mkt!E116+Mkt!E117</f>
        <v>214.016957235421</v>
      </c>
      <c r="E74" s="17" t="n">
        <f aca="false">D74*ck_C_28</f>
        <v>171.213565788337</v>
      </c>
      <c r="F74" s="17" t="n">
        <f aca="false">E74*ck_C_29</f>
        <v>171.213565788337</v>
      </c>
      <c r="G74" s="20" t="n">
        <f aca="false">IF(ROUND(F74,9)=ROUND(MAX(B74:F74),9),2029,IF(ROUND(E74,9)=ROUND(MAX(B74:F74),9),2028,IF(ROUND(D74,9)=ROUND(MAX(B74:F74),9),2027,IF(ROUND(C74,9)=ROUND(MAX(B74:F74),9),2026,2025))))</f>
        <v>2027</v>
      </c>
    </row>
    <row r="75" customFormat="false" ht="15" hidden="false" customHeight="false" outlineLevel="0" collapsed="false">
      <c r="A75" s="9" t="s">
        <v>771</v>
      </c>
      <c r="B75" s="18" t="n">
        <f aca="false">B60/B57-1</f>
        <v>0</v>
      </c>
      <c r="C75" s="18" t="n">
        <f aca="false">C60/C57-1</f>
        <v>-0.0157242839111716</v>
      </c>
      <c r="D75" s="18" t="n">
        <f aca="false">D60/D57-1</f>
        <v>-0.0210934652780916</v>
      </c>
      <c r="E75" s="18" t="n">
        <f aca="false">E60/E57-1</f>
        <v>-0.0245751185701509</v>
      </c>
      <c r="F75" s="18" t="n">
        <f aca="false">F60/F57-1</f>
        <v>-0.0237254813022912</v>
      </c>
    </row>
    <row r="76" customFormat="false" ht="15" hidden="false" customHeight="false" outlineLevel="0" collapsed="false">
      <c r="A76" s="9" t="s">
        <v>772</v>
      </c>
      <c r="B76" s="18" t="n">
        <f aca="false">B61/B58-1</f>
        <v>0</v>
      </c>
      <c r="C76" s="18" t="n">
        <f aca="false">C61/C58-1</f>
        <v>-0.0157242839111716</v>
      </c>
      <c r="D76" s="18" t="n">
        <f aca="false">D61/D58-1</f>
        <v>-0.0210934652780916</v>
      </c>
      <c r="E76" s="18" t="n">
        <f aca="false">E61/E58-1</f>
        <v>-0.0210934652780916</v>
      </c>
      <c r="F76" s="18" t="n">
        <f aca="false">F61/F58-1</f>
        <v>-0.0210934652780916</v>
      </c>
    </row>
    <row r="77" customFormat="false" ht="15" hidden="false" customHeight="false" outlineLevel="0" collapsed="false">
      <c r="A77" s="9" t="s">
        <v>773</v>
      </c>
      <c r="B77" s="18" t="n">
        <f aca="false">B62/B59-1</f>
        <v>0</v>
      </c>
      <c r="C77" s="18" t="n">
        <f aca="false">C62/C59-1</f>
        <v>-0.0157242839111716</v>
      </c>
      <c r="D77" s="18" t="n">
        <f aca="false">D62/D59-1</f>
        <v>-0.0210934652780916</v>
      </c>
      <c r="E77" s="18" t="n">
        <f aca="false">E62/E59-1</f>
        <v>-0.0210934652780915</v>
      </c>
      <c r="F77" s="18" t="n">
        <f aca="false">F62/F59-1</f>
        <v>-0.0210934652780915</v>
      </c>
    </row>
    <row r="78" customFormat="false" ht="15" hidden="false" customHeight="false" outlineLevel="0" collapsed="false">
      <c r="A78" s="9" t="s">
        <v>774</v>
      </c>
      <c r="B78" s="18" t="n">
        <f aca="false">B63/B57-1</f>
        <v>0</v>
      </c>
      <c r="C78" s="18" t="n">
        <f aca="false">C63/C57-1</f>
        <v>0.0123547945016347</v>
      </c>
      <c r="D78" s="18" t="n">
        <f aca="false">D63/D57-1</f>
        <v>0.0165734370042148</v>
      </c>
      <c r="E78" s="18" t="n">
        <f aca="false">E63/E57-1</f>
        <v>0.01930902173369</v>
      </c>
      <c r="F78" s="18" t="n">
        <f aca="false">F63/F57-1</f>
        <v>0.0186414495946574</v>
      </c>
    </row>
    <row r="79" customFormat="false" ht="15" hidden="false" customHeight="false" outlineLevel="0" collapsed="false">
      <c r="A79" s="9" t="s">
        <v>775</v>
      </c>
      <c r="B79" s="18" t="n">
        <f aca="false">B64/B58-1</f>
        <v>0</v>
      </c>
      <c r="C79" s="18" t="n">
        <f aca="false">C64/C58-1</f>
        <v>0.0123547945016347</v>
      </c>
      <c r="D79" s="18" t="n">
        <f aca="false">D64/D58-1</f>
        <v>0.0165734370042148</v>
      </c>
      <c r="E79" s="18" t="n">
        <f aca="false">E64/E58-1</f>
        <v>0.0165734370042148</v>
      </c>
      <c r="F79" s="18" t="n">
        <f aca="false">F64/F58-1</f>
        <v>0.0165734370042148</v>
      </c>
    </row>
    <row r="80" customFormat="false" ht="15" hidden="false" customHeight="false" outlineLevel="0" collapsed="false">
      <c r="A80" s="9" t="s">
        <v>776</v>
      </c>
      <c r="B80" s="18" t="n">
        <f aca="false">B65/B59-1</f>
        <v>0</v>
      </c>
      <c r="C80" s="18" t="n">
        <f aca="false">C65/C59-1</f>
        <v>0.0123547945016347</v>
      </c>
      <c r="D80" s="18" t="n">
        <f aca="false">D65/D59-1</f>
        <v>0.0165734370042148</v>
      </c>
      <c r="E80" s="18" t="n">
        <f aca="false">E65/E59-1</f>
        <v>0.0165734370042148</v>
      </c>
      <c r="F80" s="18" t="n">
        <f aca="false">F65/F59-1</f>
        <v>0.0165734370042148</v>
      </c>
    </row>
    <row r="81" customFormat="false" ht="15" hidden="false" customHeight="false" outlineLevel="0" collapsed="false">
      <c r="A81" s="9" t="s">
        <v>777</v>
      </c>
      <c r="B81" s="18" t="n">
        <f aca="false">B66/B57-1</f>
        <v>0</v>
      </c>
      <c r="C81" s="18" t="n">
        <f aca="false">C66/C57-1</f>
        <v>-0.0207276383263254</v>
      </c>
      <c r="D81" s="18" t="n">
        <f aca="false">D66/D57-1</f>
        <v>-0.0278052547132245</v>
      </c>
      <c r="E81" s="18" t="n">
        <f aca="false">E66/E57-1</f>
        <v>-0.0323947451232897</v>
      </c>
      <c r="F81" s="18" t="n">
        <f aca="false">F66/F57-1</f>
        <v>-0.0312747593677379</v>
      </c>
    </row>
    <row r="82" customFormat="false" ht="15" hidden="false" customHeight="false" outlineLevel="0" collapsed="false">
      <c r="A82" s="9" t="s">
        <v>778</v>
      </c>
      <c r="B82" s="18" t="n">
        <f aca="false">B67/B58-1</f>
        <v>0</v>
      </c>
      <c r="C82" s="18" t="n">
        <f aca="false">C67/C58-1</f>
        <v>-0.0207276383263254</v>
      </c>
      <c r="D82" s="18" t="n">
        <f aca="false">D67/D58-1</f>
        <v>-0.0278052547132245</v>
      </c>
      <c r="E82" s="18" t="n">
        <f aca="false">E67/E58-1</f>
        <v>-0.0278052547132245</v>
      </c>
      <c r="F82" s="18" t="n">
        <f aca="false">F67/F58-1</f>
        <v>-0.0278052547132245</v>
      </c>
    </row>
    <row r="83" customFormat="false" ht="15" hidden="false" customHeight="false" outlineLevel="0" collapsed="false">
      <c r="A83" s="9" t="s">
        <v>779</v>
      </c>
      <c r="B83" s="18" t="n">
        <f aca="false">B68/B59-1</f>
        <v>0</v>
      </c>
      <c r="C83" s="18" t="n">
        <f aca="false">C68/C59-1</f>
        <v>-0.0207276383263254</v>
      </c>
      <c r="D83" s="18" t="n">
        <f aca="false">D68/D59-1</f>
        <v>-0.0278052547132245</v>
      </c>
      <c r="E83" s="18" t="n">
        <f aca="false">E68/E59-1</f>
        <v>-0.0278052547132246</v>
      </c>
      <c r="F83" s="18" t="n">
        <f aca="false">F68/F59-1</f>
        <v>-0.0278052547132246</v>
      </c>
    </row>
    <row r="84" customFormat="false" ht="15" hidden="false" customHeight="false" outlineLevel="0" collapsed="false">
      <c r="A84" s="9" t="s">
        <v>780</v>
      </c>
      <c r="B84" s="18" t="n">
        <f aca="false">B69/B57-1</f>
        <v>0</v>
      </c>
      <c r="C84" s="18" t="n">
        <f aca="false">C69/C57-1</f>
        <v>-0.0107823661105179</v>
      </c>
      <c r="D84" s="18" t="n">
        <f aca="false">D69/D57-1</f>
        <v>-0.0144640904764056</v>
      </c>
      <c r="E84" s="18" t="n">
        <f aca="false">E69/E57-1</f>
        <v>-0.0168515098766748</v>
      </c>
      <c r="F84" s="18" t="n">
        <f aca="false">F69/F57-1</f>
        <v>-0.0162689014644282</v>
      </c>
    </row>
    <row r="85" customFormat="false" ht="15" hidden="false" customHeight="false" outlineLevel="0" collapsed="false">
      <c r="A85" s="9" t="s">
        <v>781</v>
      </c>
      <c r="B85" s="18" t="n">
        <f aca="false">B70/B58-1</f>
        <v>0</v>
      </c>
      <c r="C85" s="18" t="n">
        <f aca="false">C70/C58-1</f>
        <v>-0.0107823661105179</v>
      </c>
      <c r="D85" s="18" t="n">
        <f aca="false">D70/D58-1</f>
        <v>-0.0144640904764056</v>
      </c>
      <c r="E85" s="18" t="n">
        <f aca="false">E70/E58-1</f>
        <v>-0.0144640904764056</v>
      </c>
      <c r="F85" s="18" t="n">
        <f aca="false">F70/F58-1</f>
        <v>-0.0144640904764056</v>
      </c>
    </row>
    <row r="86" customFormat="false" ht="15" hidden="false" customHeight="false" outlineLevel="0" collapsed="false">
      <c r="A86" s="9" t="s">
        <v>782</v>
      </c>
      <c r="B86" s="18" t="n">
        <f aca="false">B71/B59-1</f>
        <v>0</v>
      </c>
      <c r="C86" s="18" t="n">
        <f aca="false">C71/C59-1</f>
        <v>-0.0107823661105179</v>
      </c>
      <c r="D86" s="18" t="n">
        <f aca="false">D71/D59-1</f>
        <v>-0.0144640904764056</v>
      </c>
      <c r="E86" s="18" t="n">
        <f aca="false">E71/E59-1</f>
        <v>-0.0144640904764056</v>
      </c>
      <c r="F86" s="18" t="n">
        <f aca="false">F71/F59-1</f>
        <v>-0.0144640904764056</v>
      </c>
    </row>
    <row r="87" customFormat="false" ht="15" hidden="false" customHeight="false" outlineLevel="0" collapsed="false">
      <c r="A87" s="9" t="s">
        <v>783</v>
      </c>
      <c r="B87" s="18" t="n">
        <f aca="false">B72/B57-1</f>
        <v>0</v>
      </c>
      <c r="C87" s="18" t="n">
        <f aca="false">C72/C57-1</f>
        <v>-0.0143764881473567</v>
      </c>
      <c r="D87" s="18" t="n">
        <f aca="false">D72/D57-1</f>
        <v>-0.0192854539685408</v>
      </c>
      <c r="E87" s="18" t="n">
        <f aca="false">E72/E57-1</f>
        <v>-0.0224686798355666</v>
      </c>
      <c r="F87" s="18" t="n">
        <f aca="false">F72/F57-1</f>
        <v>-0.0216918686192376</v>
      </c>
    </row>
    <row r="88" customFormat="false" ht="15" hidden="false" customHeight="false" outlineLevel="0" collapsed="false">
      <c r="A88" s="9" t="s">
        <v>784</v>
      </c>
      <c r="B88" s="18" t="n">
        <f aca="false">B73/B58-1</f>
        <v>0</v>
      </c>
      <c r="C88" s="18" t="n">
        <f aca="false">C73/C58-1</f>
        <v>-0.0143764881473567</v>
      </c>
      <c r="D88" s="18" t="n">
        <f aca="false">D73/D58-1</f>
        <v>-0.0192854539685408</v>
      </c>
      <c r="E88" s="18" t="n">
        <f aca="false">E73/E58-1</f>
        <v>-0.0192854539685408</v>
      </c>
      <c r="F88" s="18" t="n">
        <f aca="false">F73/F58-1</f>
        <v>-0.0192854539685409</v>
      </c>
    </row>
    <row r="89" customFormat="false" ht="15" hidden="false" customHeight="false" outlineLevel="0" collapsed="false">
      <c r="A89" s="9" t="s">
        <v>785</v>
      </c>
      <c r="B89" s="18" t="n">
        <f aca="false">B74/B59-1</f>
        <v>0</v>
      </c>
      <c r="C89" s="18" t="n">
        <f aca="false">C74/C59-1</f>
        <v>-0.0143764881473567</v>
      </c>
      <c r="D89" s="18" t="n">
        <f aca="false">D74/D59-1</f>
        <v>-0.0192854539685408</v>
      </c>
      <c r="E89" s="18" t="n">
        <f aca="false">E74/E59-1</f>
        <v>-0.0192854539685409</v>
      </c>
      <c r="F89" s="18" t="n">
        <f aca="false">F74/F59-1</f>
        <v>-0.0192854539685409</v>
      </c>
    </row>
    <row r="90" customFormat="false" ht="15" hidden="false" customHeight="false" outlineLevel="0" collapsed="false">
      <c r="A90" s="9" t="s">
        <v>786</v>
      </c>
    </row>
    <row r="92" customFormat="false" ht="15" hidden="false" customHeight="false" outlineLevel="0" collapsed="false">
      <c r="A92" s="9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0"/>
    <col collapsed="false" customWidth="true" hidden="false" outlineLevel="0" max="3" min="3" style="0" width="48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8" t="s">
        <v>22</v>
      </c>
    </row>
    <row r="2" customFormat="false" ht="15" hidden="false" customHeight="false" outlineLevel="0" collapsed="false">
      <c r="A2" s="5" t="s">
        <v>22</v>
      </c>
      <c r="B2" s="5" t="s">
        <v>788</v>
      </c>
      <c r="C2" s="5" t="s">
        <v>789</v>
      </c>
      <c r="D2" s="5" t="s">
        <v>23</v>
      </c>
    </row>
    <row r="3" customFormat="false" ht="15" hidden="false" customHeight="false" outlineLevel="0" collapsed="false">
      <c r="A3" s="0" t="s">
        <v>790</v>
      </c>
      <c r="B3" s="0" t="s">
        <v>791</v>
      </c>
      <c r="C3" s="0" t="s">
        <v>792</v>
      </c>
      <c r="D3" s="9" t="s">
        <v>793</v>
      </c>
    </row>
    <row r="4" customFormat="false" ht="15" hidden="false" customHeight="false" outlineLevel="0" collapsed="false">
      <c r="A4" s="0" t="s">
        <v>794</v>
      </c>
      <c r="B4" s="0" t="s">
        <v>795</v>
      </c>
      <c r="C4" s="9" t="s">
        <v>796</v>
      </c>
      <c r="D4" s="9" t="s">
        <v>797</v>
      </c>
    </row>
    <row r="5" customFormat="false" ht="15" hidden="false" customHeight="false" outlineLevel="0" collapsed="false">
      <c r="A5" s="0" t="s">
        <v>798</v>
      </c>
      <c r="B5" s="0" t="s">
        <v>799</v>
      </c>
      <c r="C5" s="9" t="s">
        <v>371</v>
      </c>
      <c r="D5" s="9" t="s">
        <v>797</v>
      </c>
    </row>
    <row r="6" customFormat="false" ht="15" hidden="false" customHeight="false" outlineLevel="0" collapsed="false">
      <c r="A6" s="0" t="s">
        <v>800</v>
      </c>
      <c r="B6" s="0" t="s">
        <v>801</v>
      </c>
      <c r="C6" s="0" t="s">
        <v>802</v>
      </c>
      <c r="D6" s="9" t="s">
        <v>797</v>
      </c>
    </row>
    <row r="7" customFormat="false" ht="15" hidden="false" customHeight="false" outlineLevel="0" collapsed="false">
      <c r="A7" s="0" t="s">
        <v>803</v>
      </c>
      <c r="B7" s="0" t="s">
        <v>804</v>
      </c>
      <c r="C7" s="9" t="s">
        <v>805</v>
      </c>
      <c r="D7" s="9" t="s">
        <v>806</v>
      </c>
    </row>
    <row r="8" customFormat="false" ht="15" hidden="false" customHeight="false" outlineLevel="0" collapsed="false">
      <c r="A8" s="0" t="s">
        <v>807</v>
      </c>
      <c r="B8" s="0" t="s">
        <v>808</v>
      </c>
      <c r="C8" s="9" t="s">
        <v>809</v>
      </c>
      <c r="D8" s="9" t="s">
        <v>810</v>
      </c>
    </row>
    <row r="9" customFormat="false" ht="15" hidden="false" customHeight="false" outlineLevel="0" collapsed="false">
      <c r="A9" s="0" t="s">
        <v>811</v>
      </c>
      <c r="B9" s="0" t="s">
        <v>812</v>
      </c>
      <c r="C9" s="0" t="s">
        <v>813</v>
      </c>
      <c r="D9" s="9" t="s">
        <v>814</v>
      </c>
    </row>
    <row r="10" customFormat="false" ht="15" hidden="false" customHeight="false" outlineLevel="0" collapsed="false">
      <c r="A10" s="0" t="s">
        <v>815</v>
      </c>
      <c r="B10" s="0" t="s">
        <v>816</v>
      </c>
      <c r="C10" s="9" t="s">
        <v>817</v>
      </c>
      <c r="D10" s="9" t="s">
        <v>818</v>
      </c>
    </row>
    <row r="11" customFormat="false" ht="15" hidden="false" customHeight="false" outlineLevel="0" collapsed="false">
      <c r="A11" s="9" t="s">
        <v>819</v>
      </c>
      <c r="B11" s="0" t="s">
        <v>820</v>
      </c>
      <c r="C11" s="0" t="s">
        <v>821</v>
      </c>
      <c r="D11" s="9" t="s">
        <v>822</v>
      </c>
    </row>
    <row r="12" customFormat="false" ht="15" hidden="false" customHeight="false" outlineLevel="0" collapsed="false">
      <c r="A12" s="9" t="s">
        <v>823</v>
      </c>
      <c r="B12" s="0" t="s">
        <v>824</v>
      </c>
      <c r="C12" s="0" t="s">
        <v>825</v>
      </c>
      <c r="D12" s="9" t="s">
        <v>826</v>
      </c>
    </row>
    <row r="13" customFormat="false" ht="15" hidden="false" customHeight="false" outlineLevel="0" collapsed="false">
      <c r="A13" s="0" t="s">
        <v>827</v>
      </c>
      <c r="B13" s="0" t="s">
        <v>828</v>
      </c>
      <c r="C13" s="9" t="s">
        <v>829</v>
      </c>
      <c r="D13" s="9" t="s">
        <v>797</v>
      </c>
    </row>
    <row r="14" customFormat="false" ht="15" hidden="false" customHeight="false" outlineLevel="0" collapsed="false">
      <c r="A14" s="0" t="s">
        <v>830</v>
      </c>
      <c r="B14" s="0" t="s">
        <v>831</v>
      </c>
      <c r="C14" s="0" t="s">
        <v>832</v>
      </c>
      <c r="D14" s="9" t="s">
        <v>818</v>
      </c>
    </row>
    <row r="15" customFormat="false" ht="15" hidden="false" customHeight="false" outlineLevel="0" collapsed="false">
      <c r="A15" s="0" t="s">
        <v>833</v>
      </c>
      <c r="B15" s="0" t="s">
        <v>834</v>
      </c>
      <c r="C15" s="9" t="s">
        <v>835</v>
      </c>
      <c r="D15" s="9" t="s">
        <v>797</v>
      </c>
    </row>
    <row r="16" customFormat="false" ht="15" hidden="false" customHeight="false" outlineLevel="0" collapsed="false">
      <c r="A16" s="0" t="s">
        <v>836</v>
      </c>
      <c r="B16" s="0" t="s">
        <v>837</v>
      </c>
      <c r="C16" s="9" t="s">
        <v>838</v>
      </c>
      <c r="D16" s="9" t="s">
        <v>797</v>
      </c>
    </row>
    <row r="17" customFormat="false" ht="15" hidden="false" customHeight="false" outlineLevel="0" collapsed="false">
      <c r="A17" s="0" t="s">
        <v>839</v>
      </c>
      <c r="B17" s="0" t="s">
        <v>840</v>
      </c>
      <c r="C17" s="9" t="s">
        <v>838</v>
      </c>
      <c r="D17" s="9" t="s">
        <v>818</v>
      </c>
    </row>
    <row r="18" customFormat="false" ht="15" hidden="false" customHeight="false" outlineLevel="0" collapsed="false">
      <c r="A18" s="0" t="s">
        <v>841</v>
      </c>
      <c r="B18" s="0" t="s">
        <v>842</v>
      </c>
      <c r="C18" s="0" t="s">
        <v>843</v>
      </c>
      <c r="D18" s="9" t="s">
        <v>844</v>
      </c>
    </row>
    <row r="19" customFormat="false" ht="15" hidden="false" customHeight="false" outlineLevel="0" collapsed="false">
      <c r="A19" s="0" t="s">
        <v>845</v>
      </c>
      <c r="B19" s="0" t="s">
        <v>846</v>
      </c>
      <c r="C19" s="0" t="s">
        <v>847</v>
      </c>
      <c r="D19" s="9" t="s">
        <v>797</v>
      </c>
    </row>
    <row r="20" customFormat="false" ht="15" hidden="false" customHeight="false" outlineLevel="0" collapsed="false">
      <c r="A20" s="0" t="s">
        <v>848</v>
      </c>
      <c r="B20" s="0" t="s">
        <v>849</v>
      </c>
      <c r="C20" s="0" t="s">
        <v>850</v>
      </c>
      <c r="D20" s="9" t="s">
        <v>797</v>
      </c>
    </row>
    <row r="21" customFormat="false" ht="15" hidden="false" customHeight="false" outlineLevel="0" collapsed="false">
      <c r="A21" s="0" t="s">
        <v>851</v>
      </c>
      <c r="B21" s="0" t="s">
        <v>852</v>
      </c>
      <c r="C21" s="0" t="s">
        <v>853</v>
      </c>
      <c r="D21" s="9" t="s">
        <v>854</v>
      </c>
    </row>
    <row r="22" customFormat="false" ht="15" hidden="false" customHeight="false" outlineLevel="0" collapsed="false">
      <c r="A22" s="0" t="s">
        <v>855</v>
      </c>
      <c r="B22" s="0" t="s">
        <v>856</v>
      </c>
      <c r="C22" s="9" t="s">
        <v>857</v>
      </c>
      <c r="D22" s="9" t="s">
        <v>858</v>
      </c>
    </row>
    <row r="23" customFormat="false" ht="15" hidden="false" customHeight="false" outlineLevel="0" collapsed="false">
      <c r="A23" s="0" t="s">
        <v>859</v>
      </c>
      <c r="B23" s="0" t="s">
        <v>860</v>
      </c>
      <c r="C23" s="0" t="s">
        <v>861</v>
      </c>
      <c r="D23" s="9" t="s">
        <v>797</v>
      </c>
    </row>
    <row r="24" customFormat="false" ht="15" hidden="false" customHeight="false" outlineLevel="0" collapsed="false">
      <c r="A24" s="0" t="s">
        <v>862</v>
      </c>
      <c r="B24" s="0" t="s">
        <v>374</v>
      </c>
      <c r="C24" s="0" t="s">
        <v>863</v>
      </c>
      <c r="D24" s="9" t="s">
        <v>854</v>
      </c>
    </row>
    <row r="25" customFormat="false" ht="15" hidden="false" customHeight="false" outlineLevel="0" collapsed="false">
      <c r="A25" s="0" t="s">
        <v>864</v>
      </c>
      <c r="B25" s="0" t="s">
        <v>865</v>
      </c>
      <c r="C25" s="9" t="s">
        <v>866</v>
      </c>
      <c r="D25" s="9" t="s">
        <v>867</v>
      </c>
    </row>
    <row r="26" customFormat="false" ht="15" hidden="false" customHeight="false" outlineLevel="0" collapsed="false">
      <c r="A26" s="0" t="s">
        <v>868</v>
      </c>
      <c r="B26" s="0" t="s">
        <v>869</v>
      </c>
      <c r="C26" s="9" t="s">
        <v>817</v>
      </c>
      <c r="D26" s="9" t="s">
        <v>818</v>
      </c>
    </row>
    <row r="27" customFormat="false" ht="15" hidden="false" customHeight="false" outlineLevel="0" collapsed="false">
      <c r="A27" s="0" t="s">
        <v>870</v>
      </c>
      <c r="B27" s="0" t="s">
        <v>871</v>
      </c>
      <c r="C27" s="0" t="s">
        <v>872</v>
      </c>
      <c r="D27" s="9" t="s">
        <v>844</v>
      </c>
    </row>
    <row r="28" customFormat="false" ht="15" hidden="false" customHeight="false" outlineLevel="0" collapsed="false">
      <c r="A28" s="0" t="s">
        <v>873</v>
      </c>
      <c r="B28" s="0" t="s">
        <v>874</v>
      </c>
      <c r="C28" s="9" t="s">
        <v>875</v>
      </c>
      <c r="D28" s="9" t="s">
        <v>876</v>
      </c>
    </row>
    <row r="29" customFormat="false" ht="15" hidden="false" customHeight="false" outlineLevel="0" collapsed="false">
      <c r="A29" s="0" t="s">
        <v>877</v>
      </c>
      <c r="B29" s="0" t="s">
        <v>878</v>
      </c>
      <c r="C29" s="9" t="s">
        <v>879</v>
      </c>
      <c r="D29" s="9" t="s">
        <v>797</v>
      </c>
    </row>
    <row r="30" customFormat="false" ht="15" hidden="false" customHeight="false" outlineLevel="0" collapsed="false">
      <c r="A30" s="0" t="s">
        <v>880</v>
      </c>
      <c r="B30" s="0" t="s">
        <v>881</v>
      </c>
      <c r="C30" s="9" t="s">
        <v>882</v>
      </c>
      <c r="D30" s="9" t="s">
        <v>797</v>
      </c>
    </row>
    <row r="31" customFormat="false" ht="15" hidden="false" customHeight="false" outlineLevel="0" collapsed="false">
      <c r="A31" s="0" t="s">
        <v>883</v>
      </c>
      <c r="B31" s="0" t="s">
        <v>884</v>
      </c>
      <c r="C31" s="9" t="s">
        <v>885</v>
      </c>
      <c r="D31" s="9" t="s">
        <v>797</v>
      </c>
    </row>
    <row r="32" customFormat="false" ht="14.9" hidden="false" customHeight="false" outlineLevel="0" collapsed="false">
      <c r="A32" s="9" t="s">
        <v>886</v>
      </c>
      <c r="B32" s="9" t="s">
        <v>887</v>
      </c>
      <c r="C32" s="9" t="s">
        <v>888</v>
      </c>
      <c r="D32" s="9" t="s">
        <v>889</v>
      </c>
    </row>
    <row r="33" customFormat="false" ht="15" hidden="false" customHeight="false" outlineLevel="0" collapsed="false">
      <c r="A33" s="9" t="s">
        <v>890</v>
      </c>
      <c r="B33" s="0" t="s">
        <v>891</v>
      </c>
      <c r="C33" s="9" t="s">
        <v>892</v>
      </c>
      <c r="D33" s="9" t="s">
        <v>893</v>
      </c>
    </row>
    <row r="34" customFormat="false" ht="15" hidden="false" customHeight="false" outlineLevel="0" collapsed="false">
      <c r="A34" s="9" t="s">
        <v>894</v>
      </c>
      <c r="B34" s="0" t="s">
        <v>895</v>
      </c>
      <c r="C34" s="9" t="s">
        <v>896</v>
      </c>
      <c r="D34" s="9" t="s">
        <v>897</v>
      </c>
    </row>
    <row r="35" customFormat="false" ht="15" hidden="false" customHeight="false" outlineLevel="0" collapsed="false">
      <c r="A35" s="0" t="s">
        <v>898</v>
      </c>
      <c r="B35" s="0" t="s">
        <v>899</v>
      </c>
      <c r="C35" s="9" t="s">
        <v>900</v>
      </c>
      <c r="D35" s="9" t="s">
        <v>901</v>
      </c>
    </row>
    <row r="36" customFormat="false" ht="15" hidden="false" customHeight="false" outlineLevel="0" collapsed="false">
      <c r="A36" s="0" t="s">
        <v>902</v>
      </c>
      <c r="B36" s="0" t="s">
        <v>903</v>
      </c>
      <c r="C36" s="0" t="s">
        <v>904</v>
      </c>
      <c r="D36" s="9" t="s">
        <v>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2026-10-23T05:55:58Z</dcterms:created>
  <dc:creator>openpyxl</dc:creator>
  <dc:description/>
  <dc:language>en-US</dc:language>
  <cp:lastModifiedBy/>
  <dcterms:modified xsi:type="dcterms:W3CDTF">2026-10-23T05:55:58Z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