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Mkt" sheetId="3" state="visible" r:id="rId5"/>
    <sheet name="Recon" sheetId="4" state="visible" r:id="rId6"/>
    <sheet name="Sens" sheetId="5" state="visible" r:id="rId7"/>
    <sheet name="Sources" sheetId="6" state="visible" r:id="rId8"/>
  </sheets>
  <definedNames>
    <definedName function="false" hidden="false" name="adv_other" vbProcedure="false">In!$E$60</definedName>
    <definedName function="false" hidden="false" name="adv_other_hi" vbProcedure="false">In!$F$60</definedName>
    <definedName function="false" hidden="false" name="adv_other_lo" vbProcedure="false">In!$D$60</definedName>
    <definedName function="false" hidden="false" name="cap_mu_26" vbProcedure="false">In!$E$10</definedName>
    <definedName function="false" hidden="false" name="cap_mu_27" vbProcedure="false">In!$E$11</definedName>
    <definedName function="false" hidden="false" name="cap_mu_28" vbProcedure="false">In!$E$12</definedName>
    <definedName function="false" hidden="false" name="cap_mu_29" vbProcedure="false">In!$E$13</definedName>
    <definedName function="false" hidden="false" name="cap_sk_26" vbProcedure="false">In!$E$6</definedName>
    <definedName function="false" hidden="false" name="cap_sk_27" vbProcedure="false">In!$E$7</definedName>
    <definedName function="false" hidden="false" name="cap_sk_28" vbProcedure="false">In!$E$8</definedName>
    <definedName function="false" hidden="false" name="cap_sk_29" vbProcedure="false">In!$E$9</definedName>
    <definedName function="false" hidden="false" name="cap_ss_26" vbProcedure="false">In!$E$14</definedName>
    <definedName function="false" hidden="false" name="cap_ss_27" vbProcedure="false">In!$E$15</definedName>
    <definedName function="false" hidden="false" name="cap_ss_28" vbProcedure="false">In!$E$16</definedName>
    <definedName function="false" hidden="false" name="cap_ss_29" vbProcedure="false">In!$E$17</definedName>
    <definedName function="false" hidden="false" name="cap_ts_26" vbProcedure="false">In!$E$18</definedName>
    <definedName function="false" hidden="false" name="cap_ts_27" vbProcedure="false">In!$E$19</definedName>
    <definedName function="false" hidden="false" name="cap_ts_28" vbProcedure="false">In!$E$20</definedName>
    <definedName function="false" hidden="false" name="cap_ts_29" vbProcedure="false">In!$E$21</definedName>
    <definedName function="false" hidden="false" name="ck_B_28" vbProcedure="false">In!$E$55</definedName>
    <definedName function="false" hidden="false" name="ck_B_28_hi" vbProcedure="false">In!$F$55</definedName>
    <definedName function="false" hidden="false" name="ck_B_28_lo" vbProcedure="false">In!$D$55</definedName>
    <definedName function="false" hidden="false" name="ck_B_29" vbProcedure="false">In!$E$57</definedName>
    <definedName function="false" hidden="false" name="ck_B_29_hi" vbProcedure="false">In!$F$57</definedName>
    <definedName function="false" hidden="false" name="ck_B_29_lo" vbProcedure="false">In!$D$57</definedName>
    <definedName function="false" hidden="false" name="ck_C_28" vbProcedure="false">In!$E$56</definedName>
    <definedName function="false" hidden="false" name="ck_C_28_hi" vbProcedure="false">In!$F$56</definedName>
    <definedName function="false" hidden="false" name="ck_C_28_lo" vbProcedure="false">In!$D$56</definedName>
    <definedName function="false" hidden="false" name="ck_C_29" vbProcedure="false">In!$E$58</definedName>
    <definedName function="false" hidden="false" name="ck_C_29_hi" vbProcedure="false">In!$F$58</definedName>
    <definedName function="false" hidden="false" name="ck_C_29_lo" vbProcedure="false">In!$D$58</definedName>
    <definedName function="false" hidden="false" name="fl_fd" vbProcedure="false">In!$E$26</definedName>
    <definedName function="false" hidden="false" name="fl_fd_hi" vbProcedure="false">In!$F$26</definedName>
    <definedName function="false" hidden="false" name="fl_fd_lo" vbProcedure="false">In!$D$26</definedName>
    <definedName function="false" hidden="false" name="fl_mem" vbProcedure="false">In!$E$25</definedName>
    <definedName function="false" hidden="false" name="fl_mem_hi" vbProcedure="false">In!$F$25</definedName>
    <definedName function="false" hidden="false" name="fl_mem_lo" vbProcedure="false">In!$D$25</definedName>
    <definedName function="false" hidden="false" name="fx" vbProcedure="false">In!$E$5</definedName>
    <definedName function="false" hidden="false" name="fx_hi" vbProcedure="false">In!$F$5</definedName>
    <definedName function="false" hidden="false" name="fx_lo" vbProcedure="false">In!$D$5</definedName>
    <definedName function="false" hidden="false" name="g29" vbProcedure="false">In!$E$53</definedName>
    <definedName function="false" hidden="false" name="g29_hi" vbProcedure="false">In!$F$53</definedName>
    <definedName function="false" hidden="false" name="g29_lo" vbProcedure="false">In!$D$53</definedName>
    <definedName function="false" hidden="false" name="g_dram_26" vbProcedure="false">In!$E$29</definedName>
    <definedName function="false" hidden="false" name="g_dram_27" vbProcedure="false">In!$E$30</definedName>
    <definedName function="false" hidden="false" name="g_dram_28" vbProcedure="false">In!$E$31</definedName>
    <definedName function="false" hidden="false" name="g_fd_26" vbProcedure="false">In!$E$37</definedName>
    <definedName function="false" hidden="false" name="g_fd_27" vbProcedure="false">In!$E$38</definedName>
    <definedName function="false" hidden="false" name="g_fd_28" vbProcedure="false">In!$E$39</definedName>
    <definedName function="false" hidden="false" name="g_nand_26" vbProcedure="false">In!$E$33</definedName>
    <definedName function="false" hidden="false" name="g_nand_27" vbProcedure="false">In!$E$34</definedName>
    <definedName function="false" hidden="false" name="g_nand_28" vbProcedure="false">In!$E$35</definedName>
    <definedName function="false" hidden="false" name="g_pkg_26" vbProcedure="false">In!$E$48</definedName>
    <definedName function="false" hidden="false" name="g_test_26" vbProcedure="false">In!$E$45</definedName>
    <definedName function="false" hidden="false" name="g_tot_26" vbProcedure="false">In!$E$51</definedName>
    <definedName function="false" hidden="false" name="g_wfe_26" vbProcedure="false">In!$E$41</definedName>
    <definedName function="false" hidden="false" name="g_wfe_27" vbProcedure="false">In!$E$42</definedName>
    <definedName function="false" hidden="false" name="g_wfe_28" vbProcedure="false">In!$E$43</definedName>
    <definedName function="false" hidden="false" name="pkg_adv" vbProcedure="false">In!$E$61</definedName>
    <definedName function="false" hidden="false" name="pkg_adv_hi" vbProcedure="false">In!$F$61</definedName>
    <definedName function="false" hidden="false" name="pkg_adv_lo" vbProcedure="false">In!$D$61</definedName>
    <definedName function="false" hidden="false" name="rc_gs26" vbProcedure="false">In!$E$69</definedName>
    <definedName function="false" hidden="false" name="rc_gs27" vbProcedure="false">In!$E$70</definedName>
    <definedName function="false" hidden="false" name="rc_gs28" vbProcedure="false">In!$E$71</definedName>
    <definedName function="false" hidden="false" name="rc_kla26" vbProcedure="false">In!$E$65</definedName>
    <definedName function="false" hidden="false" name="rc_kla27" vbProcedure="false">In!$E$66</definedName>
    <definedName function="false" hidden="false" name="rc_lam26" vbProcedure="false">In!$E$63</definedName>
    <definedName function="false" hidden="false" name="rc_lam27" vbProcedure="false">In!$E$64</definedName>
    <definedName function="false" hidden="false" name="rc_ms27" vbProcedure="false">In!$E$67</definedName>
    <definedName function="false" hidden="false" name="rc_ms28" vbProcedure="false">In!$E$68</definedName>
    <definedName function="false" hidden="false" name="rc_thr" vbProcedure="false">In!$E$72</definedName>
    <definedName function="false" hidden="false" name="sh_fd" vbProcedure="false">In!$E$24</definedName>
    <definedName function="false" hidden="false" name="sh_fd_hi" vbProcedure="false">In!$F$24</definedName>
    <definedName function="false" hidden="false" name="sh_fd_lo" vbProcedure="false">In!$D$24</definedName>
    <definedName function="false" hidden="false" name="sh_mem" vbProcedure="false">In!$E$23</definedName>
    <definedName function="false" hidden="false" name="sh_mem_hi" vbProcedure="false">In!$F$23</definedName>
    <definedName function="false" hidden="false" name="sh_mem_lo" vbProcedure="false">In!$D$23</definedName>
    <definedName function="false" hidden="false" name="s_dram_26" vbProcedure="false">In!$E$28</definedName>
    <definedName function="false" hidden="false" name="s_fd_26" vbProcedure="false">In!$E$36</definedName>
    <definedName function="false" hidden="false" name="s_nand_26" vbProcedure="false">In!$E$32</definedName>
    <definedName function="false" hidden="false" name="s_pkg_26" vbProcedure="false">In!$E$47</definedName>
    <definedName function="false" hidden="false" name="s_pkg_28" vbProcedure="false">In!$E$49</definedName>
    <definedName function="false" hidden="false" name="s_test_26" vbProcedure="false">In!$E$44</definedName>
    <definedName function="false" hidden="false" name="s_test_28" vbProcedure="false">In!$E$46</definedName>
    <definedName function="false" hidden="false" name="s_tot_26" vbProcedure="false">In!$E$50</definedName>
    <definedName function="false" hidden="false" name="s_tot_28" vbProcedure="false">In!$E$52</definedName>
    <definedName function="false" hidden="false" name="s_wfe_26" vbProcedure="false">In!$E$40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<sst xmlns="http://schemas.openxmlformats.org/spreadsheetml/2006/main" count="880" uniqueCount="507">
  <si>
    <r>
      <rPr>
        <b val="true"/>
        <sz val="11"/>
        <rFont val="WenQuanYi Zen Hei"/>
        <family val="2"/>
      </rPr>
      <t xml:space="preserve">半導體設備市場模型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WenQuanYi Zen Hei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WenQuanYi Zen Hei"/>
        <family val="2"/>
      </rPr>
      <t xml:space="preserve">：設備與材料——設備部分）　</t>
    </r>
    <r>
      <rPr>
        <b val="true"/>
        <sz val="11"/>
        <rFont val="Cambria"/>
        <family val="0"/>
        <charset val="1"/>
      </rPr>
      <t xml:space="preserve">2026-10-22</t>
    </r>
  </si>
  <si>
    <r>
      <rPr>
        <sz val="11"/>
        <rFont val="WenQuanYi Zen Hei"/>
        <family val="2"/>
      </rPr>
      <t xml:space="preserve">模型命題：設備需求＝為滿足記憶體、代工擴產所需的資本支出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設備占比；本模型回答核心問題 </t>
    </r>
    <r>
      <rPr>
        <sz val="11"/>
        <rFont val="Cambria"/>
        <family val="0"/>
        <charset val="1"/>
      </rPr>
      <t xml:space="preserve">1——</t>
    </r>
    <r>
      <rPr>
        <sz val="11"/>
        <rFont val="WenQuanYi Zen Hei"/>
        <family val="2"/>
      </rPr>
      <t xml:space="preserve">設備循環在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還是 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見頂——並列出核心問題 </t>
    </r>
    <r>
      <rPr>
        <sz val="11"/>
        <rFont val="Cambria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3 </t>
    </r>
    <r>
      <rPr>
        <sz val="11"/>
        <rFont val="WenQuanYi Zen Hei"/>
        <family val="2"/>
      </rPr>
      <t xml:space="preserve">的瓶頸表。公司份額與毛利留給公司層，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不做。</t>
    </r>
  </si>
  <si>
    <t xml:space="preserve">驅動因子 → 推導量</t>
  </si>
  <si>
    <r>
      <rPr>
        <sz val="11"/>
        <rFont val="Cambria"/>
        <family val="0"/>
        <charset val="1"/>
      </rPr>
      <t xml:space="preserve">In</t>
    </r>
    <r>
      <rPr>
        <sz val="11"/>
        <rFont val="WenQuanYi Zen Hei"/>
        <family val="2"/>
      </rPr>
      <t xml:space="preserve">：公司資本支出（讀自 </t>
    </r>
    <r>
      <rPr>
        <sz val="11"/>
        <rFont val="Cambria"/>
        <family val="0"/>
        <charset val="1"/>
      </rPr>
      <t xml:space="preserve">skhynix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micron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samsung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tsmc dist</t>
    </r>
    <r>
      <rPr>
        <sz val="11"/>
        <rFont val="WenQuanYi Zen Hei"/>
        <family val="2"/>
      </rPr>
      <t xml:space="preserve">，不修改它們）、設備占資本支出比例（兩個來源給低／高）、</t>
    </r>
    <r>
      <rPr>
        <sz val="11"/>
        <rFont val="Cambria"/>
        <family val="0"/>
        <charset val="1"/>
      </rPr>
      <t xml:space="preserve">SEMI 2026-07 </t>
    </r>
    <r>
      <rPr>
        <sz val="11"/>
        <rFont val="WenQuanYi Zen Hei"/>
        <family val="2"/>
      </rPr>
      <t xml:space="preserve">分項、情境係數（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）、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分類假設</t>
    </r>
  </si>
  <si>
    <r>
      <rPr>
        <sz val="11"/>
        <rFont val="Cambria"/>
        <family val="0"/>
        <charset val="1"/>
      </rPr>
      <t xml:space="preserve">Mkt</t>
    </r>
    <r>
      <rPr>
        <sz val="11"/>
        <rFont val="WenQuanYi Zen Hei"/>
        <family val="2"/>
      </rPr>
      <t xml:space="preserve">：記憶體＝三家資本支出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 ＋ 其他廠（</t>
    </r>
    <r>
      <rPr>
        <sz val="11"/>
        <rFont val="Cambria"/>
        <family val="0"/>
        <charset val="1"/>
      </rPr>
      <t xml:space="preserve">SEMI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 − </t>
    </r>
    <r>
      <rPr>
        <sz val="11"/>
        <rFont val="WenQuanYi Zen Hei"/>
        <family val="2"/>
      </rPr>
      <t xml:space="preserve">三家，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）；代工邏輯＝台積電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占比 ＋ 其他（</t>
    </r>
    <r>
      <rPr>
        <sz val="11"/>
        <rFont val="Cambria"/>
        <family val="0"/>
        <charset val="1"/>
      </rPr>
      <t xml:space="preserve">SEMI − </t>
    </r>
    <r>
      <rPr>
        <sz val="11"/>
        <rFont val="WenQuanYi Zen Hei"/>
        <family val="2"/>
      </rPr>
      <t xml:space="preserve">台積電，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）；測試與封裝＝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；三情境 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增量占比；見頂年度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</si>
  <si>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：對 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Lam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KLA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Morgan Stanley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Goldman Sachs </t>
    </r>
    <r>
      <rPr>
        <sz val="11"/>
        <rFont val="WenQuanYi Zen Hei"/>
        <family val="2"/>
      </rPr>
      <t xml:space="preserve">的差距；不為對上而調參。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：占比、匯率、下限、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外推、情境係數</t>
    </r>
  </si>
  <si>
    <r>
      <rPr>
        <b val="true"/>
        <sz val="11"/>
        <rFont val="WenQuanYi Zen Hei"/>
        <family val="2"/>
      </rPr>
      <t xml:space="preserve">結果摘要（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建置時；見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WenQuanYi Zen Hei"/>
        <family val="2"/>
      </rPr>
      <t xml:space="preserve">摘要區）</t>
    </r>
  </si>
  <si>
    <r>
      <rPr>
        <sz val="11"/>
        <rFont val="WenQuanYi Zen Hei"/>
        <family val="2"/>
      </rPr>
      <t xml:space="preserve">設備總額（</t>
    </r>
    <r>
      <rPr>
        <sz val="11"/>
        <rFont val="Cambria"/>
        <family val="0"/>
        <charset val="1"/>
      </rPr>
      <t xml:space="preserve">$B</t>
    </r>
    <r>
      <rPr>
        <sz val="11"/>
        <rFont val="WenQuanYi Zen Hei"/>
        <family val="2"/>
      </rPr>
      <t xml:space="preserve">）：</t>
    </r>
    <r>
      <rPr>
        <sz val="11"/>
        <rFont val="Cambria"/>
        <family val="0"/>
        <charset val="1"/>
      </rPr>
      <t xml:space="preserve">A 2026–2029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176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252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266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仍增，未在區間內見頂）；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176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212</t>
    </r>
    <r>
      <rPr>
        <sz val="11"/>
        <rFont val="WenQuanYi Zen Hei"/>
        <family val="2"/>
      </rPr>
      <t xml:space="preserve">（見頂 </t>
    </r>
    <r>
      <rPr>
        <sz val="11"/>
        <rFont val="Cambria"/>
        <family val="0"/>
        <charset val="1"/>
      </rPr>
      <t xml:space="preserve">2028</t>
    </r>
    <r>
      <rPr>
        <sz val="11"/>
        <rFont val="WenQuanYi Zen Hei"/>
        <family val="2"/>
      </rPr>
      <t xml:space="preserve">，與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同水準）；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176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179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179</t>
    </r>
    <r>
      <rPr>
        <sz val="11"/>
        <rFont val="WenQuanYi Zen Hei"/>
        <family val="2"/>
      </rPr>
      <t xml:space="preserve">（見頂 </t>
    </r>
    <r>
      <rPr>
        <sz val="11"/>
        <rFont val="Cambria"/>
        <family val="0"/>
        <charset val="1"/>
      </rPr>
      <t xml:space="preserve">2027</t>
    </r>
    <r>
      <rPr>
        <sz val="11"/>
        <rFont val="WenQuanYi Zen Hei"/>
        <family val="2"/>
      </rPr>
      <t xml:space="preserve">）。</t>
    </r>
    <r>
      <rPr>
        <sz val="11"/>
        <rFont val="Cambria"/>
        <family val="0"/>
        <charset val="1"/>
      </rPr>
      <t xml:space="preserve">2025 SEMI </t>
    </r>
    <r>
      <rPr>
        <sz val="11"/>
        <rFont val="WenQuanYi Zen Hei"/>
        <family val="2"/>
      </rPr>
      <t xml:space="preserve">實績 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</si>
  <si>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相關增量（先進邏輯＋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＋先進封裝）占總增量（相對 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累計）：</t>
    </r>
    <r>
      <rPr>
        <sz val="11"/>
        <rFont val="Cambria"/>
        <family val="0"/>
        <charset val="1"/>
      </rPr>
      <t xml:space="preserve">A 2027 65%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2028 63%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2029 60%</t>
    </r>
    <r>
      <rPr>
        <sz val="11"/>
        <rFont val="WenQuanYi Zen Hei"/>
        <family val="2"/>
      </rPr>
      <t xml:space="preserve">。結論取決於情境係數（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），不是預測。</t>
    </r>
  </si>
  <si>
    <t xml:space="preserve">限制</t>
  </si>
  <si>
    <r>
      <rPr>
        <sz val="11"/>
        <rFont val="Cambria"/>
        <family val="0"/>
        <charset val="1"/>
      </rPr>
      <t xml:space="preserve">(1) </t>
    </r>
    <r>
      <rPr>
        <sz val="11"/>
        <rFont val="WenQuanYi Zen Hei"/>
        <family val="2"/>
      </rPr>
      <t xml:space="preserve">三家記憶體資本支出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業界設備占比（</t>
    </r>
    <r>
      <rPr>
        <sz val="11"/>
        <rFont val="Cambria"/>
        <family val="0"/>
        <charset val="1"/>
      </rPr>
      <t xml:space="preserve">58–70%</t>
    </r>
    <r>
      <rPr>
        <sz val="11"/>
        <rFont val="WenQuanYi Zen Hei"/>
        <family val="2"/>
      </rPr>
      <t xml:space="preserve">）超過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的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設備總額，「其他記憶體廠」殘差為負、採下限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，記憶體總額＝三家由下而上（下限）。</t>
    </r>
    <r>
      <rPr>
        <sz val="11"/>
        <rFont val="Cambria"/>
        <family val="0"/>
        <charset val="1"/>
      </rPr>
      <t xml:space="preserve">(2) 2025 </t>
    </r>
    <r>
      <rPr>
        <sz val="11"/>
        <rFont val="WenQuanYi Zen Hei"/>
        <family val="2"/>
      </rPr>
      <t xml:space="preserve">為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實績（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海力士、三星記憶體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資本支出未找到），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年增率含口徑轉換。</t>
    </r>
  </si>
  <si>
    <r>
      <rPr>
        <sz val="11"/>
        <rFont val="Cambria"/>
        <family val="0"/>
        <charset val="1"/>
      </rPr>
      <t xml:space="preserve">(3) </t>
    </r>
    <r>
      <rPr>
        <sz val="11"/>
        <rFont val="WenQuanYi Zen Hei"/>
        <family val="2"/>
      </rPr>
      <t xml:space="preserve">測試與封裝以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為輸入：缺少每顆加速器的測試時間與每條產線鍵合機台數資料。</t>
    </r>
    <r>
      <rPr>
        <sz val="11"/>
        <rFont val="Cambria"/>
        <family val="0"/>
        <charset val="1"/>
      </rPr>
      <t xml:space="preserve">(4) </t>
    </r>
    <r>
      <rPr>
        <sz val="11"/>
        <rFont val="WenQuanYi Zen Hei"/>
        <family val="2"/>
      </rPr>
      <t xml:space="preserve">情境係數為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，是「若 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則…」的情境。</t>
    </r>
    <r>
      <rPr>
        <sz val="11"/>
        <rFont val="Cambria"/>
        <family val="0"/>
        <charset val="1"/>
      </rPr>
      <t xml:space="preserve">(5) Morgan Stanley 2027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2028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202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227</t>
    </r>
    <r>
      <rPr>
        <sz val="11"/>
        <rFont val="WenQuanYi Zen Hei"/>
        <family val="2"/>
      </rPr>
      <t xml:space="preserve">）為使用者提供，搜尋只查到較早版本。</t>
    </r>
    <r>
      <rPr>
        <sz val="11"/>
        <rFont val="Cambria"/>
        <family val="0"/>
        <charset val="1"/>
      </rPr>
      <t xml:space="preserve">(6) </t>
    </r>
    <r>
      <rPr>
        <sz val="11"/>
        <rFont val="WenQuanYi Zen Hei"/>
        <family val="2"/>
      </rPr>
      <t xml:space="preserve">台積電資本支出含先進封裝，與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後段可能重疊。</t>
    </r>
  </si>
  <si>
    <r>
      <rPr>
        <b val="true"/>
        <sz val="11"/>
        <rFont val="WenQuanYi Zen Hei"/>
        <family val="2"/>
      </rPr>
      <t xml:space="preserve">瓶頸表（核心問題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只做表，不入模）</t>
    </r>
  </si>
  <si>
    <t xml:space="preserve">瓶頸</t>
  </si>
  <si>
    <r>
      <rPr>
        <b val="true"/>
        <sz val="11"/>
        <rFont val="WenQuanYi Zen Hei"/>
        <family val="2"/>
      </rPr>
      <t xml:space="preserve">現況（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能找到的證據）</t>
    </r>
  </si>
  <si>
    <t xml:space="preserve">來源</t>
  </si>
  <si>
    <t xml:space="preserve">證據強度</t>
  </si>
  <si>
    <t xml:space="preserve">對本模型的含意</t>
  </si>
  <si>
    <t xml:space="preserve">無塵室空間</t>
  </si>
  <si>
    <r>
      <rPr>
        <sz val="11"/>
        <color theme="1"/>
        <rFont val="WenQuanYi Zen Hei"/>
        <family val="2"/>
      </rPr>
      <t xml:space="preserve">美光稱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資本支出增量一半以上、且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多數資本支出為建築，用於提前取得無塵室空間；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稱客戶受廠房就緒度與廠房外殼限制，壓住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WenQuanYi Zen Hei"/>
        <family val="2"/>
      </rPr>
      <t xml:space="preserve">出貨；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證券稱記憶體供給成長受無塵室限制至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海力士首座無塵室提前到 </t>
    </r>
    <r>
      <rPr>
        <sz val="11"/>
        <color theme="1"/>
        <rFont val="Calibri"/>
        <family val="2"/>
        <charset val="1"/>
      </rPr>
      <t xml:space="preserve">2027-02</t>
    </r>
  </si>
  <si>
    <r>
      <rPr>
        <sz val="11"/>
        <color theme="1"/>
        <rFont val="Calibri"/>
        <family val="2"/>
        <charset val="1"/>
      </rPr>
      <t xml:space="preserve">Micron FQ3 FY26 </t>
    </r>
    <r>
      <rPr>
        <sz val="11"/>
        <color theme="1"/>
        <rFont val="WenQuanYi Zen Hei"/>
        <family val="2"/>
      </rPr>
      <t xml:space="preserve">準備稿；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KLA FQ2 2026 </t>
    </r>
    <r>
      <rPr>
        <sz val="11"/>
        <color theme="1"/>
        <rFont val="WenQuanYi Zen Hei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WenQuanYi Zen Hei"/>
        <family val="2"/>
      </rPr>
      <t xml:space="preserve">（三星 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WenQuanYi Zen Hei"/>
        <family val="2"/>
      </rPr>
      <t xml:space="preserve">）</t>
    </r>
  </si>
  <si>
    <t xml:space="preserve">強（美光一手）／中／弱</t>
  </si>
  <si>
    <r>
      <rPr>
        <sz val="11"/>
        <color theme="1"/>
        <rFont val="WenQuanYi Zen Hei"/>
        <family val="2"/>
      </rPr>
      <t xml:space="preserve">解釋為何三家資本支出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業界設備占比超過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記憶體總額（隱含設備占比 </t>
    </r>
    <r>
      <rPr>
        <sz val="11"/>
        <color theme="1"/>
        <rFont val="Calibri"/>
        <family val="2"/>
        <charset val="1"/>
      </rPr>
      <t xml:space="preserve">48–53%</t>
    </r>
    <r>
      <rPr>
        <sz val="11"/>
        <color theme="1"/>
        <rFont val="WenQuanYi Zen Hei"/>
        <family val="2"/>
      </rPr>
      <t xml:space="preserve">）；設備落地可能落後資本支出一至兩季。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未建模</t>
    </r>
  </si>
  <si>
    <t xml:space="preserve">長交期零組件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</si>
  <si>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：設備零組件（閥件管路、陶瓷、</t>
    </r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WenQuanYi Zen Hei"/>
        <family val="2"/>
      </rPr>
      <t xml:space="preserve">電源、氣體箱）交期據報倍增、最長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個月；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：日本關鍵零件最長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個月，沉積設備零組件由約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個月增至約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個月</t>
    </r>
  </si>
  <si>
    <r>
      <rPr>
        <sz val="11"/>
        <color theme="1"/>
        <rFont val="Calibri"/>
        <family val="2"/>
        <charset val="1"/>
      </rPr>
      <t xml:space="preserve">TrendForce 2026-09-18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Finance</t>
    </r>
  </si>
  <si>
    <r>
      <rPr>
        <sz val="11"/>
        <color theme="1"/>
        <rFont val="WenQuanYi Zen Hei"/>
        <family val="2"/>
      </rPr>
      <t xml:space="preserve">中（皆為「據報」）／弱；應用材料、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WenQuanYi Zen Hei"/>
        <family val="2"/>
      </rPr>
      <t xml:space="preserve">的一手說法：未找到</t>
    </r>
  </si>
  <si>
    <r>
      <rPr>
        <sz val="11"/>
        <color theme="1"/>
        <rFont val="WenQuanYi Zen Hei"/>
        <family val="2"/>
      </rPr>
      <t xml:space="preserve">限制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設備出貨上限，不改變需求面；若上限生效，情境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可能偏高</t>
    </r>
  </si>
  <si>
    <t xml:space="preserve">EUV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</si>
  <si>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NA </t>
    </r>
    <r>
      <rPr>
        <sz val="11"/>
        <color theme="1"/>
        <rFont val="WenQuanYi Zen Hei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WenQuanYi Zen Hei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再增約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需求超過供給（二手摘要）；各來源對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台數不一致（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WenQuanYi Zen Hei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</si>
  <si>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ASML 2026 Q2 6-K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TechPowerUp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</t>
    </r>
    <r>
      <rPr>
        <sz val="11"/>
        <color theme="1"/>
        <rFont val="WenQuanYi Zen Hei"/>
        <family val="2"/>
      </rPr>
      <t xml:space="preserve">類二手整理</t>
    </r>
  </si>
  <si>
    <r>
      <rPr>
        <sz val="11"/>
        <color theme="1"/>
        <rFont val="WenQuanYi Zen Hei"/>
        <family val="2"/>
      </rPr>
      <t xml:space="preserve">強（產能，一手）／弱（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台數與供不應求，二手）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</si>
  <si>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台數限制先進邏輯與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未建模</t>
    </r>
  </si>
  <si>
    <t xml:space="preserve">量測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</si>
  <si>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WenQuanYi Zen Hei"/>
        <family val="2"/>
      </rPr>
      <t xml:space="preserve">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WenQuanYi Zen Hei"/>
        <family val="2"/>
      </rPr>
      <t xml:space="preserve">個月僅見於社群貼文轉述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法說；「量測產能是瓶頸」本身的證據：未找到（搜尋 </t>
    </r>
    <r>
      <rPr>
        <sz val="11"/>
        <color theme="1"/>
        <rFont val="Calibri"/>
        <family val="2"/>
        <charset val="1"/>
      </rPr>
      <t xml:space="preserve">Onto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皆無交期或積壓一手數字）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</si>
  <si>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TheValueist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Futurum</t>
    </r>
  </si>
  <si>
    <t xml:space="preserve">弱；瓶頸證據：未找到</t>
  </si>
  <si>
    <r>
      <rPr>
        <sz val="11"/>
        <color theme="1"/>
        <rFont val="WenQuanYi Zen Hei"/>
        <family val="2"/>
      </rPr>
      <t xml:space="preserve">不影響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數字；列為待查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</si>
  <si>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鍵合機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</si>
  <si>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WenQuanYi Zen Hei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前三季）；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約用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WenQuanYi Zen Hei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WenQuanYi Zen Hei"/>
        <family val="2"/>
      </rPr>
      <t xml:space="preserve">鍵合機、約半數來自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WenQuanYi Zen Hei"/>
        <family val="2"/>
      </rPr>
      <t xml:space="preserve">；預期約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WenQuanYi Zen Hei"/>
        <family val="2"/>
      </rPr>
      <t xml:space="preserve">台訂單（</t>
    </r>
    <r>
      <rPr>
        <sz val="11"/>
        <color theme="1"/>
        <rFont val="Calibri"/>
        <family val="2"/>
        <charset val="1"/>
      </rPr>
      <t xml:space="preserve">M15X 1b DRAM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Hanmi 6 </t>
    </r>
    <r>
      <rPr>
        <sz val="11"/>
        <color theme="1"/>
        <rFont val="WenQuanYi Zen Hei"/>
        <family val="2"/>
      </rPr>
      <t xml:space="preserve">月接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WenQuanYi Zen Hei"/>
        <family val="2"/>
      </rPr>
      <t xml:space="preserve">台。供給短缺或交期：未找到</t>
    </r>
  </si>
  <si>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 2026-06</t>
    </r>
  </si>
  <si>
    <t xml:space="preserve">中（供應商集中度）；短缺：未找到</t>
  </si>
  <si>
    <r>
      <rPr>
        <sz val="11"/>
        <color theme="1"/>
        <rFont val="WenQuanYi Zen Hei"/>
        <family val="2"/>
      </rPr>
      <t xml:space="preserve">鍵合機屬後段／封裝，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金額為輸入，未建模</t>
    </r>
  </si>
  <si>
    <t xml:space="preserve">對帳差距說明</t>
  </si>
  <si>
    <r>
      <rPr>
        <sz val="11"/>
        <color theme="1"/>
        <rFont val="WenQuanYi Zen Hei"/>
        <family val="2"/>
      </rPr>
      <t xml:space="preserve">對帳差距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WenQuanYi Zen Hei"/>
        <family val="2"/>
      </rPr>
      <t xml:space="preserve">的項目與可能原因（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建置時數值；未為對上而調參）：</t>
    </r>
  </si>
  <si>
    <r>
      <rPr>
        <sz val="11"/>
        <color theme="1"/>
        <rFont val="Calibri"/>
        <family val="2"/>
        <charset val="1"/>
      </rPr>
      <t xml:space="preserve">(a) 2026 DRAM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+19.8%</t>
    </r>
    <r>
      <rPr>
        <sz val="11"/>
        <color theme="1"/>
        <rFont val="WenQuanYi Zen Hei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46.5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16.7 vs SEMI 38.8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13.9</t>
    </r>
    <r>
      <rPr>
        <sz val="11"/>
        <color theme="1"/>
        <rFont val="WenQuanYi Zen Hei"/>
        <family val="2"/>
      </rPr>
      <t xml:space="preserve">）：三家資本支出 </t>
    </r>
    <r>
      <rPr>
        <sz val="11"/>
        <color theme="1"/>
        <rFont val="Calibri"/>
        <family val="2"/>
        <charset val="1"/>
      </rPr>
      <t xml:space="preserve">98.6B × 64%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63.1B</t>
    </r>
    <r>
      <rPr>
        <sz val="11"/>
        <color theme="1"/>
        <rFont val="WenQuanYi Zen Hei"/>
        <family val="2"/>
      </rPr>
      <t xml:space="preserve">，已超過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52.7B</t>
    </r>
    <r>
      <rPr>
        <sz val="11"/>
        <color theme="1"/>
        <rFont val="WenQuanYi Zen Hei"/>
        <family val="2"/>
      </rPr>
      <t xml:space="preserve">，殘差 −</t>
    </r>
    <r>
      <rPr>
        <sz val="11"/>
        <color theme="1"/>
        <rFont val="Calibri"/>
        <family val="2"/>
        <charset val="1"/>
      </rPr>
      <t xml:space="preserve">10.4B </t>
    </r>
    <r>
      <rPr>
        <sz val="11"/>
        <color theme="1"/>
        <rFont val="WenQuanYi Zen Hei"/>
        <family val="2"/>
      </rPr>
      <t xml:space="preserve">採下限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。可能原因：美光明言資本支出多數為建築，三家資本支出含大量非設備支出（隱含設備占比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WenQuanYi Zen Hei"/>
        <family val="2"/>
      </rPr>
      <t xml:space="preserve">，低於業界區間 </t>
    </r>
    <r>
      <rPr>
        <sz val="11"/>
        <color theme="1"/>
        <rFont val="Calibri"/>
        <family val="2"/>
        <charset val="1"/>
      </rPr>
      <t xml:space="preserve">58–70%</t>
    </r>
    <r>
      <rPr>
        <sz val="11"/>
        <color theme="1"/>
        <rFont val="WenQuanYi Zen Hei"/>
        <family val="2"/>
      </rPr>
      <t xml:space="preserve">）；三星記憶體資本支出 </t>
    </r>
    <r>
      <rPr>
        <sz val="11"/>
        <color theme="1"/>
        <rFont val="Calibri"/>
        <family val="2"/>
        <charset val="1"/>
      </rPr>
      <t xml:space="preserve">52.5 </t>
    </r>
    <r>
      <rPr>
        <sz val="11"/>
        <color theme="1"/>
        <rFont val="WenQuanYi Zen Hei"/>
        <family val="2"/>
      </rPr>
      <t xml:space="preserve">兆韓元為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（全公司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）；資本支出為現金支出、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為設備商出貨營收，時點不同；美光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非日曆年；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月預測，可能偏低。</t>
    </r>
  </si>
  <si>
    <r>
      <rPr>
        <sz val="11"/>
        <color theme="1"/>
        <rFont val="Calibri"/>
        <family val="2"/>
        <charset val="1"/>
      </rPr>
      <t xml:space="preserve">(b) Goldman Sachs 2028 −20.8%</t>
    </r>
    <r>
      <rPr>
        <sz val="11"/>
        <color theme="1"/>
        <rFont val="WenQuanYi Zen Hei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 222.5 vs 281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GS 2028 </t>
    </r>
    <r>
      <rPr>
        <sz val="11"/>
        <color theme="1"/>
        <rFont val="WenQuanYi Zen Hei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+29%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218→281</t>
    </r>
    <r>
      <rPr>
        <sz val="11"/>
        <color theme="1"/>
        <rFont val="WenQuanYi Zen Hei"/>
        <family val="2"/>
      </rPr>
      <t xml:space="preserve">），高於 </t>
    </r>
    <r>
      <rPr>
        <sz val="11"/>
        <color theme="1"/>
        <rFont val="Calibri"/>
        <family val="2"/>
        <charset val="1"/>
      </rPr>
      <t xml:space="preserve">SEMI +14.1%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較早版本 </t>
    </r>
    <r>
      <rPr>
        <sz val="11"/>
        <color theme="1"/>
        <rFont val="Calibri"/>
        <family val="2"/>
        <charset val="1"/>
      </rPr>
      <t xml:space="preserve">+12%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191→215</t>
    </r>
    <r>
      <rPr>
        <sz val="11"/>
        <color theme="1"/>
        <rFont val="WenQuanYi Zen Hei"/>
        <family val="2"/>
      </rPr>
      <t xml:space="preserve">）與本模型 </t>
    </r>
    <r>
      <rPr>
        <sz val="11"/>
        <color theme="1"/>
        <rFont val="Calibri"/>
        <family val="2"/>
        <charset val="1"/>
      </rPr>
      <t xml:space="preserve">A +12.4%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WenQuanYi Zen Hei"/>
        <family val="2"/>
      </rPr>
      <t xml:space="preserve">為最高的一組，可能納入不同口徑（先進封裝、廠務設備）或更激進的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／先進代工假設。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情境偏離 </t>
    </r>
    <r>
      <rPr>
        <sz val="11"/>
        <color theme="1"/>
        <rFont val="Calibri"/>
        <family val="2"/>
        <charset val="1"/>
      </rPr>
      <t xml:space="preserve">GS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 2028 </t>
    </r>
    <r>
      <rPr>
        <sz val="11"/>
        <color theme="1"/>
        <rFont val="WenQuanYi Zen Hei"/>
        <family val="2"/>
      </rPr>
      <t xml:space="preserve">為設計結果（情境係數為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</si>
  <si>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WenQuanYi Zen Hei"/>
        <family val="2"/>
      </rPr>
      <t xml:space="preserve">未超過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WenQuanYi Zen Hei"/>
        <family val="2"/>
      </rPr>
      <t xml:space="preserve">但值得注意：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197.9 </t>
    </r>
    <r>
      <rPr>
        <sz val="11"/>
        <color theme="1"/>
        <rFont val="WenQuanYi Zen Hei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推得的 </t>
    </r>
    <r>
      <rPr>
        <sz val="11"/>
        <color theme="1"/>
        <rFont val="Calibri"/>
        <family val="2"/>
        <charset val="1"/>
      </rPr>
      <t xml:space="preserve">175.3 </t>
    </r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12.9%</t>
    </r>
    <r>
      <rPr>
        <sz val="11"/>
        <color theme="1"/>
        <rFont val="WenQuanYi Zen Hei"/>
        <family val="2"/>
      </rPr>
      <t xml:space="preserve">，卻落在 </t>
    </r>
    <r>
      <rPr>
        <sz val="11"/>
        <color theme="1"/>
        <rFont val="Calibri"/>
        <family val="2"/>
        <charset val="1"/>
      </rPr>
      <t xml:space="preserve">KLA 190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Lam &gt;200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Morgan Stanley 202 </t>
    </r>
    <r>
      <rPr>
        <sz val="11"/>
        <color theme="1"/>
        <rFont val="WenQuanYi Zen Hei"/>
        <family val="2"/>
      </rPr>
      <t xml:space="preserve">的 −</t>
    </r>
    <r>
      <rPr>
        <sz val="11"/>
        <color theme="1"/>
        <rFont val="Calibri"/>
        <family val="2"/>
        <charset val="1"/>
      </rPr>
      <t xml:space="preserve">2% </t>
    </r>
    <r>
      <rPr>
        <sz val="11"/>
        <color theme="1"/>
        <rFont val="WenQuanYi Zen Hei"/>
        <family val="2"/>
      </rPr>
      <t xml:space="preserve">到 </t>
    </r>
    <r>
      <rPr>
        <sz val="11"/>
        <color theme="1"/>
        <rFont val="Calibri"/>
        <family val="2"/>
        <charset val="1"/>
      </rPr>
      <t xml:space="preserve">+4%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GS 218 </t>
    </r>
    <r>
      <rPr>
        <sz val="11"/>
        <color theme="1"/>
        <rFont val="WenQuanYi Zen Hei"/>
        <family val="2"/>
      </rPr>
      <t xml:space="preserve">的 −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WenQuanYi Zen Hei"/>
        <family val="2"/>
      </rPr>
      <t xml:space="preserve">；表示 </t>
    </r>
    <r>
      <rPr>
        <sz val="11"/>
        <color theme="1"/>
        <rFont val="Calibri"/>
        <family val="2"/>
        <charset val="1"/>
      </rPr>
      <t xml:space="preserve">SEMI 7 </t>
    </r>
    <r>
      <rPr>
        <sz val="11"/>
        <color theme="1"/>
        <rFont val="WenQuanYi Zen Hei"/>
        <family val="2"/>
      </rPr>
      <t xml:space="preserve">月預測可能已落後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WenQuanYi Zen Hei"/>
        <family val="2"/>
      </rPr>
      <t xml:space="preserve">之後的上修。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前段年增模型 </t>
    </r>
    <r>
      <rPr>
        <sz val="11"/>
        <color theme="1"/>
        <rFont val="Calibri"/>
        <family val="2"/>
        <charset val="1"/>
      </rPr>
      <t xml:space="preserve">+28.3% vs SEMI +21.8%</t>
    </r>
    <r>
      <rPr>
        <sz val="11"/>
        <color theme="1"/>
        <rFont val="WenQuanYi Zen Hei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6.5 </t>
    </r>
    <r>
      <rPr>
        <sz val="11"/>
        <color theme="1"/>
        <rFont val="WenQuanYi Zen Hei"/>
        <family val="2"/>
      </rPr>
      <t xml:space="preserve">個百分點），主因是記憶體資本支出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43%</t>
    </r>
    <r>
      <rPr>
        <sz val="11"/>
        <color theme="1"/>
        <rFont val="WenQuanYi Zen Hei"/>
        <family val="2"/>
      </rPr>
      <t xml:space="preserve">（美光 </t>
    </r>
    <r>
      <rPr>
        <sz val="11"/>
        <color theme="1"/>
        <rFont val="Calibri"/>
        <family val="2"/>
        <charset val="1"/>
      </rPr>
      <t xml:space="preserve">FY26 27.4→FY27 55</t>
    </r>
    <r>
      <rPr>
        <sz val="11"/>
        <color theme="1"/>
        <rFont val="WenQuanYi Zen Hei"/>
        <family val="2"/>
      </rPr>
      <t xml:space="preserve">，含建築）。</t>
    </r>
  </si>
  <si>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WenQuanYi Zen Hei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路徑在殘差為正的線上（代工邏輯）等於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，這是「其他廠＝</t>
    </r>
    <r>
      <rPr>
        <sz val="11"/>
        <color theme="1"/>
        <rFont val="Calibri"/>
        <family val="2"/>
        <charset val="1"/>
      </rPr>
      <t xml:space="preserve">SEMI − </t>
    </r>
    <r>
      <rPr>
        <sz val="11"/>
        <color theme="1"/>
        <rFont val="WenQuanYi Zen Hei"/>
        <family val="2"/>
      </rPr>
      <t xml:space="preserve">已知廠」的結構結果，不是獨立驗證；獨立檢驗只來自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Goldman Sachs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</si>
  <si>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未使用。本檔不含任何個人投資部位或個人先驗。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</si>
  <si>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輸入（藍字＝本模型輸入；綠字＝讀自其他模型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WenQuanYi Zen Hei"/>
        <family val="2"/>
      </rPr>
      <t xml:space="preserve">成品，不在此修改；基準欄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）。金額：十億美元（公司資本支出另標幣別）</t>
    </r>
  </si>
  <si>
    <r>
      <rPr>
        <sz val="11"/>
        <color theme="1"/>
        <rFont val="WenQuanYi Zen Hei"/>
        <family val="2"/>
      </rPr>
      <t xml:space="preserve">每個數字附兩個來源（來源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、來源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）；找不到第二來源者寫「未找到」。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給低／高區間。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</si>
  <si>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</si>
  <si>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</si>
  <si>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</si>
  <si>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</si>
  <si>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</si>
  <si>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</si>
  <si>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</si>
  <si>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</si>
  <si>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／備註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</si>
  <si>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公司資本支出（讀自 </t>
    </r>
    <r>
      <rPr>
        <b val="true"/>
        <sz val="11"/>
        <rFont val="Cambria"/>
        <family val="0"/>
        <charset val="1"/>
      </rPr>
      <t xml:space="preserve">dist </t>
    </r>
    <r>
      <rPr>
        <b val="true"/>
        <sz val="11"/>
        <rFont val="WenQuanYi Zen Hei"/>
        <family val="2"/>
      </rPr>
      <t xml:space="preserve">成品；三情境相同。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WenQuanYi Zen Hei"/>
        <family val="2"/>
      </rPr>
      <t xml:space="preserve">海力士、三星記憶體的公司數字未找到，其他模型亦未含 →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實績為基準，不做由下而上）</t>
    </r>
  </si>
  <si>
    <t xml:space="preserve">fx</t>
  </si>
  <si>
    <t xml:space="preserve">美元兌韓元</t>
  </si>
  <si>
    <t xml:space="preserve">KRW/USD</t>
  </si>
  <si>
    <t xml:space="preserve">Derived</t>
  </si>
  <si>
    <r>
      <rPr>
        <sz val="11"/>
        <color theme="1"/>
        <rFont val="WenQuanYi Zen Hei"/>
        <family val="2"/>
      </rPr>
      <t xml:space="preserve">讀自 </t>
    </r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In!fx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WenQuanYi Zen Hei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</si>
  <si>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三星模型 </t>
    </r>
    <r>
      <rPr>
        <sz val="11"/>
        <color theme="1"/>
        <rFont val="Calibri"/>
        <family val="2"/>
        <charset val="1"/>
      </rPr>
      <t xml:space="preserve">In!fx </t>
    </r>
    <r>
      <rPr>
        <sz val="11"/>
        <color theme="1"/>
        <rFont val="WenQuanYi Zen Hei"/>
        <family val="2"/>
      </rPr>
      <t xml:space="preserve">同值（「同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海力士」）；獨立匯率來源：本模型未另查</t>
    </r>
  </si>
  <si>
    <t xml:space="preserve">cap_sk_26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</si>
  <si>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</si>
  <si>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兆韓元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</si>
  <si>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</si>
  <si>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</si>
  <si>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</si>
  <si>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</si>
  <si>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</si>
  <si>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</si>
  <si>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</si>
  <si>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</si>
  <si>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</si>
  <si>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</si>
  <si>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</si>
  <si>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</si>
  <si>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</si>
  <si>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</si>
  <si>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</si>
  <si>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WenQuanYi Zen Hei"/>
        <family val="2"/>
      </rPr>
      <t xml:space="preserve">期｜第二來源：未找到</t>
    </r>
  </si>
  <si>
    <t xml:space="preserve">cap_mu_26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</si>
  <si>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</si>
  <si>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</si>
  <si>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</si>
  <si>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</si>
  <si>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WenQuanYi Zen Hei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WenQuanYi Zen Hei"/>
        <family val="2"/>
      </rPr>
      <t xml:space="preserve">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</si>
  <si>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cap_mu_27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</si>
  <si>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</si>
  <si>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</si>
  <si>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WenQuanYi Zen Hei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WenQuanYi Zen Hei"/>
        <family val="2"/>
      </rPr>
      <t xml:space="preserve">、下半年更高（書面說明）｜美光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</si>
  <si>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cap_mu_28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</si>
  <si>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</si>
  <si>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</si>
  <si>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WenQuanYi Zen Hei"/>
        <family val="2"/>
      </rPr>
      <t xml:space="preserve">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</si>
  <si>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cap_mu_29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</si>
  <si>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</si>
  <si>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</si>
  <si>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cap_ss_26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</si>
  <si>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</si>
  <si>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</si>
  <si>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</si>
  <si>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WenQuanYi Zen Hei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</si>
  <si>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cap_ss_27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</si>
  <si>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</si>
  <si>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</si>
  <si>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WenQuanYi Zen Hei"/>
        <family val="2"/>
      </rPr>
      <t xml:space="preserve">兆，多年）；全公司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</si>
  <si>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cap_ss_28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</si>
  <si>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</si>
  <si>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</si>
  <si>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WenQuanYi Zen Hei"/>
        <family val="2"/>
      </rPr>
      <t xml:space="preserve">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</si>
  <si>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cap_ss_29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</si>
  <si>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</si>
  <si>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</si>
  <si>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cap_ts_26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</si>
  <si>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</si>
  <si>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PL!B15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</si>
  <si>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WenQuanYi Zen Hei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</si>
  <si>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cap_ts_27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</si>
  <si>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</si>
  <si>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PL!C15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</si>
  <si>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</si>
  <si>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cap_ts_28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</si>
  <si>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</si>
  <si>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PL!D15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</si>
  <si>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JPMorgan</t>
    </r>
  </si>
  <si>
    <t xml:space="preserve">cap_ts_29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</si>
  <si>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</si>
  <si>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PL!E15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</si>
  <si>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</si>
  <si>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設備占資本支出比例（兩個來源給低／高；基準＝兩者中點，機械取值，未對照任何預測調整）</t>
    </r>
  </si>
  <si>
    <t xml:space="preserve">sh_mem</t>
  </si>
  <si>
    <t xml:space="preserve">記憶體：設備占資本支出比例</t>
  </si>
  <si>
    <t xml:space="preserve">%</t>
  </si>
  <si>
    <t xml:space="preserve">Analogy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</si>
  <si>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WenQuanYi Zen Hei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WenQuanYi Zen Hei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WenQuanYi Zen Hei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</si>
  <si>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。業界合計值，未找到記憶體／代工分項。方向性證據：美光稱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資本支出多數為建築（無塵室），故記憶體實際比例可能低於業界值——見 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WenQuanYi Zen Hei"/>
        <family val="2"/>
      </rPr>
      <t xml:space="preserve">「隱含設備占比」</t>
    </r>
  </si>
  <si>
    <t xml:space="preserve">sh_fd</t>
  </si>
  <si>
    <t xml:space="preserve">代工與邏輯：設備占資本支出比例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</si>
  <si>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。業界合計值，未找到記憶體／代工分項。台積電資本支出含先進封裝、光罩等（公司稱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WenQuanYi Zen Hei"/>
        <family val="2"/>
      </rPr>
      <t xml:space="preserve">），未另扣</t>
    </r>
  </si>
  <si>
    <t xml:space="preserve">fl_mem</t>
  </si>
  <si>
    <t xml:space="preserve">其他記憶體廠設備支出下限（殘差為負時採用）</t>
  </si>
  <si>
    <r>
      <rPr>
        <sz val="11"/>
        <color theme="1"/>
        <rFont val="WenQuanYi Zen Hei"/>
        <family val="2"/>
      </rPr>
      <t xml:space="preserve">無：長鑫、鎧俠、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WenQuanYi Zen Hei"/>
        <family val="2"/>
      </rPr>
      <t xml:space="preserve">、南亞等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設備支出公開估計未找到</t>
    </r>
  </si>
  <si>
    <r>
      <rPr>
        <sz val="11"/>
        <color theme="1"/>
        <rFont val="WenQuanYi Zen Hei"/>
        <family val="2"/>
      </rPr>
      <t xml:space="preserve">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＝殘差為負時視為其他廠為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（總額為下限）；高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無依據，只用於敏感度</t>
    </r>
  </si>
  <si>
    <t xml:space="preserve">fl_fd</t>
  </si>
  <si>
    <t xml:space="preserve">其他代工邏輯設備支出下限</t>
  </si>
  <si>
    <t xml:space="preserve">同上（台積電以外代工邏輯）</t>
  </si>
  <si>
    <t xml:space="preserve">殘差為正，未啟用</t>
  </si>
  <si>
    <r>
      <rPr>
        <b val="true"/>
        <sz val="11"/>
        <rFont val="Cambria"/>
        <family val="0"/>
        <charset val="1"/>
      </rPr>
      <t xml:space="preserve">C. SEMI 2026-07 </t>
    </r>
    <r>
      <rPr>
        <b val="true"/>
        <sz val="11"/>
        <rFont val="WenQuanYi Zen Hei"/>
        <family val="2"/>
      </rPr>
      <t xml:space="preserve">年中預測（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）。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金額為新聞稿值；</t>
    </r>
    <r>
      <rPr>
        <b val="true"/>
        <sz val="11"/>
        <rFont val="Cambria"/>
        <family val="0"/>
        <charset val="1"/>
      </rPr>
      <t xml:space="preserve">2027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以年增率連乘；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測試、封裝為新聞稿金額</t>
    </r>
  </si>
  <si>
    <t xml:space="preserve">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</si>
  <si>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</si>
  <si>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WenQuanYi Zen Hei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</si>
  <si>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</t>
    </r>
  </si>
  <si>
    <t xml:space="preserve">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</si>
  <si>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</si>
  <si>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</si>
  <si>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</si>
  <si>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WenQuanYi Zen Hei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WenQuanYi Zen Hei"/>
        <family val="2"/>
      </rPr>
      <t xml:space="preserve">為使用者提供並經搜尋確認；其餘分項年增來自新聞稿摘要）</t>
    </r>
  </si>
  <si>
    <t xml:space="preserve">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</si>
  <si>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</si>
  <si>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WenQuanYi Zen Hei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WenQuanYi Zen Hei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WenQuanYi Zen Hei"/>
        <family val="2"/>
      </rPr>
      <t xml:space="preserve">（捨入）</t>
    </r>
  </si>
  <si>
    <t xml:space="preserve">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</si>
  <si>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</si>
  <si>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</si>
  <si>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</si>
  <si>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</si>
  <si>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</si>
  <si>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</si>
  <si>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</si>
  <si>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</si>
  <si>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</si>
  <si>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</si>
  <si>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</si>
  <si>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</si>
  <si>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</si>
  <si>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</si>
  <si>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</si>
  <si>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</si>
  <si>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</si>
  <si>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</si>
  <si>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</si>
  <si>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</si>
  <si>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</si>
  <si>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</si>
  <si>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</si>
  <si>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</si>
  <si>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</si>
  <si>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</si>
  <si>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</si>
  <si>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</si>
  <si>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</si>
  <si>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</si>
  <si>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</si>
  <si>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</si>
  <si>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</si>
  <si>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</si>
  <si>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</si>
  <si>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</si>
  <si>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</si>
  <si>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</si>
  <si>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（對帳用）</t>
    </r>
  </si>
  <si>
    <t xml:space="preserve">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</si>
  <si>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年增（對帳用）</t>
    </r>
  </si>
  <si>
    <t xml:space="preserve">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</si>
  <si>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（對帳用）</t>
    </r>
  </si>
  <si>
    <t xml:space="preserve">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</si>
  <si>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各分項年增（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預測）</t>
    </r>
  </si>
  <si>
    <r>
      <rPr>
        <sz val="11"/>
        <color theme="1"/>
        <rFont val="WenQuanYi Zen Hei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WenQuanYi Zen Hei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WenQuanYi Zen Hei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</si>
  <si>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WenQuanYi Zen Hei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由情境係數覆寫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</si>
  <si>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資本支出情境係數（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WenQuanYi Zen Hei"/>
        <family val="2"/>
      </rPr>
      <t xml:space="preserve">；設備總額相對前一年的倍數；情境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沿用上表由下而上路徑，不用係數）</t>
    </r>
  </si>
  <si>
    <t xml:space="preserve">ck_B_28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</si>
  <si>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WenQuanYi Zen Hei"/>
        <family val="2"/>
      </rPr>
      <t xml:space="preserve">係數（持平）</t>
    </r>
  </si>
  <si>
    <t xml:space="preserve">x</t>
  </si>
  <si>
    <r>
      <rPr>
        <sz val="11"/>
        <color theme="1"/>
        <rFont val="WenQuanYi Zen Hei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見頂）</t>
    </r>
  </si>
  <si>
    <r>
      <rPr>
        <sz val="11"/>
        <color theme="1"/>
        <rFont val="WenQuanYi Zen Hei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WenQuanYi Zen Hei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設備訂單轉為持平。無實證，非預測</t>
    </r>
  </si>
  <si>
    <t xml:space="preserve">ck_C_28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</si>
  <si>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WenQuanYi Zen Hei"/>
        <family val="2"/>
      </rPr>
      <t xml:space="preserve">係數（下滑約兩成）</t>
    </r>
  </si>
  <si>
    <r>
      <rPr>
        <sz val="11"/>
        <color theme="1"/>
        <rFont val="WenQuanYi Zen Hei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下滑約兩成</t>
    </r>
  </si>
  <si>
    <r>
      <rPr>
        <sz val="11"/>
        <color theme="1"/>
        <rFont val="WenQuanYi Zen Hei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WenQuanYi Zen Hei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為壓力情境。無實證</t>
    </r>
  </si>
  <si>
    <t xml:space="preserve">ck_B_29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</si>
  <si>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WenQuanYi Zen Hei"/>
        <family val="2"/>
      </rPr>
      <t xml:space="preserve">係數</t>
    </r>
  </si>
  <si>
    <t xml:space="preserve">平台後的溫和消化</t>
  </si>
  <si>
    <t xml:space="preserve">無實證</t>
  </si>
  <si>
    <t xml:space="preserve">ck_C_29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</si>
  <si>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WenQuanYi Zen Hei"/>
        <family val="2"/>
      </rPr>
      <t xml:space="preserve">係數</t>
    </r>
  </si>
  <si>
    <t xml:space="preserve">谷底持平</t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</si>
  <si>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WenQuanYi Zen Hei"/>
        <family val="2"/>
      </rPr>
      <t xml:space="preserve">相關分類（用於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增量占比；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的分類假設，非公開資料）</t>
    </r>
  </si>
  <si>
    <t xml:space="preserve">adv_other</t>
  </si>
  <si>
    <t xml:space="preserve">台積電以外代工邏輯中屬先進邏輯的比例</t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</si>
  <si>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WenQuanYi Zen Hei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WenQuanYi Zen Hei"/>
        <family val="2"/>
      </rPr>
      <t xml:space="preserve">相對成熟製程擴產（中芯、華虹等）的占比未找到</t>
    </r>
  </si>
  <si>
    <t xml:space="preserve">未找到第二來源</t>
  </si>
  <si>
    <t xml:space="preserve">pkg_adv</t>
  </si>
  <si>
    <t xml:space="preserve">組裝與封裝設備中屬先進封裝的比例</t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</si>
  <si>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WenQuanYi Zen Hei"/>
        <family val="2"/>
      </rPr>
      <t xml:space="preserve">，但整體先進封裝設備金額未找到</t>
    </r>
  </si>
  <si>
    <r>
      <rPr>
        <sz val="11"/>
        <color theme="1"/>
        <rFont val="WenQuanYi Zen Hei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限制）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</si>
  <si>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WenQuanYi Zen Hei"/>
        <family val="2"/>
      </rPr>
      <t xml:space="preserve">對帳來源值（本模型不得為對上這些數字而調整；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前段口徑各家不同，見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WenQuanYi Zen Hei"/>
        <family val="2"/>
      </rPr>
      <t xml:space="preserve">）</t>
    </r>
  </si>
  <si>
    <t xml:space="preserve">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</si>
  <si>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</si>
  <si>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使用者提供；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WenQuanYi Zen Hei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WenQuanYi Zen Hei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</si>
  <si>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WenQuanYi Zen Hei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WenQuanYi Zen Hei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WenQuanYi Zen Hei"/>
        <family val="2"/>
      </rPr>
      <t xml:space="preserve">為下限</t>
    </r>
  </si>
  <si>
    <t xml:space="preserve">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</si>
  <si>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WenQuanYi Zen Hei"/>
        <family val="2"/>
      </rPr>
      <t xml:space="preserve">，下限；額外對照）</t>
    </r>
  </si>
  <si>
    <r>
      <rPr>
        <sz val="11"/>
        <color theme="1"/>
        <rFont val="WenQuanYi Zen Hei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</si>
  <si>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使用者未列；額外列示</t>
  </si>
  <si>
    <t xml:space="preserve">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</si>
  <si>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；含先進封裝）</t>
    </r>
  </si>
  <si>
    <r>
      <rPr>
        <sz val="11"/>
        <color theme="1"/>
        <rFont val="WenQuanYi Zen Hei"/>
        <family val="2"/>
      </rPr>
      <t xml:space="preserve">使用者提供；</t>
    </r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WenQuanYi Zen Hei"/>
        <family val="2"/>
      </rPr>
      <t xml:space="preserve">法說（摘要：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</si>
  <si>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WenQuanYi Zen Hei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WenQuanYi Zen Hei"/>
        <family val="2"/>
      </rPr>
      <t xml:space="preserve">，口徑含先進封裝</t>
    </r>
  </si>
  <si>
    <t xml:space="preserve">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</si>
  <si>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WenQuanYi Zen Hei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</si>
  <si>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使用者提供；同上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法說摘要</t>
    </r>
  </si>
  <si>
    <t xml:space="preserve">同上社群摘要；一手逐字稿未找到</t>
  </si>
  <si>
    <t xml:space="preserve">rc_ms27</t>
  </si>
  <si>
    <t xml:space="preserve">Morgan Stanley 2027 WFE</t>
  </si>
  <si>
    <t xml:space="preserve">使用者提供；未能獨立查到</t>
  </si>
  <si>
    <r>
      <rPr>
        <sz val="11"/>
        <color theme="1"/>
        <rFont val="WenQuanYi Zen Hei"/>
        <family val="2"/>
      </rPr>
      <t xml:space="preserve">搜尋僅查到較早版本 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WenQuanYi Zen Hei"/>
        <family val="2"/>
      </rPr>
      <t xml:space="preserve">）</t>
    </r>
  </si>
  <si>
    <t xml:space="preserve">rc_ms28</t>
  </si>
  <si>
    <t xml:space="preserve">Morgan Stanley 2028 WFE</t>
  </si>
  <si>
    <t xml:space="preserve">同上</t>
  </si>
  <si>
    <t xml:space="preserve">rc_gs26</t>
  </si>
  <si>
    <t xml:space="preserve">Goldman Sachs 2026 WFE</t>
  </si>
  <si>
    <t xml:space="preserve">https://www.gate.com/news/detail/goldman-sachs-significantly-raises-wfe-forecasts-through-2028-can-the-ai-23706576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</si>
  <si>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WenQuanYi Zen Hei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）</t>
    </r>
  </si>
  <si>
    <t xml:space="preserve">rc_gs27</t>
  </si>
  <si>
    <t xml:space="preserve">Goldman Sachs 2027 WFE</t>
  </si>
  <si>
    <t xml:space="preserve">rc_gs28</t>
  </si>
  <si>
    <t xml:space="preserve">Goldman Sachs 2028 WFE</t>
  </si>
  <si>
    <t xml:space="preserve">rc_thr</t>
  </si>
  <si>
    <r>
      <rPr>
        <sz val="11"/>
        <color theme="1"/>
        <rFont val="WenQuanYi Zen Hei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須說明原因）</t>
    </r>
  </si>
  <si>
    <r>
      <rPr>
        <sz val="11"/>
        <color theme="1"/>
        <rFont val="WenQuanYi Zen Hei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</si>
  <si>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t xml:space="preserve">—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</si>
  <si>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WenQuanYi Zen Hei"/>
        <family val="2"/>
      </rPr>
      <t xml:space="preserve">半導體設備市場（十億美元）：由下而上（公司資本支出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差額（其他廠）＋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後段；三情境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</si>
  <si>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實績（由年增率回推），非由下而上；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年增率含口徑轉換，不可與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以後直接比較。</t>
    </r>
  </si>
  <si>
    <t xml:space="preserve">說明</t>
  </si>
  <si>
    <r>
      <rPr>
        <b val="true"/>
        <sz val="11"/>
        <rFont val="WenQuanYi Zen Hei"/>
        <family val="2"/>
      </rPr>
      <t xml:space="preserve">摘要（各情境設備總額、年增、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增量占比、見頂年度）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</si>
  <si>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</si>
  <si>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設備總額</t>
  </si>
  <si>
    <t xml:space="preserve">  年增</t>
  </si>
  <si>
    <t xml:space="preserve">  其中晶圓前段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</si>
  <si>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相關設備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</si>
  <si>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增量占總增量（相對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累計）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</si>
  <si>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增量占總增量（當年）</t>
    </r>
  </si>
  <si>
    <t xml:space="preserve">  見頂年度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</si>
  <si>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</si>
  <si>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</si>
  <si>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1. SEMI </t>
    </r>
    <r>
      <rPr>
        <b val="true"/>
        <sz val="11"/>
        <rFont val="WenQuanYi Zen Hei"/>
        <family val="2"/>
      </rPr>
      <t xml:space="preserve">分項金額（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路徑的天花板與「其他廠」推導基礎）</t>
    </r>
  </si>
  <si>
    <r>
      <rPr>
        <sz val="11"/>
        <rFont val="Cambria"/>
        <family val="0"/>
        <charset val="1"/>
      </rPr>
      <t xml:space="preserve">SEMI DRAM </t>
    </r>
    <r>
      <rPr>
        <sz val="11"/>
        <rFont val="WenQuanYi Zen Hei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</si>
  <si>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年增連乘；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</si>
  <si>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NAND </t>
    </r>
    <r>
      <rPr>
        <sz val="11"/>
        <rFont val="WenQuanYi Zen Hei"/>
        <family val="2"/>
      </rPr>
      <t xml:space="preserve">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</si>
  <si>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代工與邏輯設備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</si>
  <si>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</si>
  <si>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</si>
  <si>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，未找到年中預測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值）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</si>
  <si>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組裝與封裝設備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</si>
  <si>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其他前段（</t>
    </r>
    <r>
      <rPr>
        <sz val="11"/>
        <rFont val="Cambria"/>
        <family val="0"/>
        <charset val="1"/>
      </rPr>
      <t xml:space="preserve">WFE − </t>
    </r>
    <r>
      <rPr>
        <sz val="11"/>
        <rFont val="WenQuanYi Zen Hei"/>
        <family val="2"/>
      </rPr>
      <t xml:space="preserve">代工邏輯 − </t>
    </r>
    <r>
      <rPr>
        <sz val="11"/>
        <rFont val="Cambria"/>
        <family val="0"/>
        <charset val="1"/>
      </rPr>
      <t xml:space="preserve">DRAM − NAND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</si>
  <si>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：類比、功率、光罩、廠務設備等；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不由下而上，沿用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差額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</si>
  <si>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WenQuanYi Zen Hei"/>
        <family val="2"/>
      </rPr>
      <t xml:space="preserve">＋測試＋封裝）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</si>
  <si>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165.9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WenQuanYi Zen Hei"/>
        <family val="2"/>
      </rPr>
      <t xml:space="preserve">（捨入差見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</si>
  <si>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DRAM ÷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</si>
  <si>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用來把記憶體設備拆成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WenQuanYi Zen Hei"/>
        <family val="2"/>
      </rPr>
      <t xml:space="preserve">；假設各廠組合同 </t>
    </r>
    <r>
      <rPr>
        <sz val="11"/>
        <color theme="1"/>
        <rFont val="Calibri"/>
        <family val="2"/>
        <charset val="1"/>
      </rPr>
      <t xml:space="preserve">SEMI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</si>
  <si>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WenQuanYi Zen Hei"/>
        <family val="2"/>
      </rPr>
      <t xml:space="preserve">記憶體晶圓前段設備（三家由下而上 ＋ 其他廠 ＝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差額，標 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</si>
  <si>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海力士資本支出（美元）</t>
    </r>
  </si>
  <si>
    <r>
      <rPr>
        <sz val="11"/>
        <color theme="1"/>
        <rFont val="WenQuanYi Zen Hei"/>
        <family val="2"/>
      </rPr>
      <t xml:space="preserve">兆韓元 </t>
    </r>
    <r>
      <rPr>
        <sz val="11"/>
        <color theme="1"/>
        <rFont val="Calibri"/>
        <family val="2"/>
        <charset val="1"/>
      </rPr>
      <t xml:space="preserve">× 1000 ÷ KRW/USD </t>
    </r>
    <r>
      <rPr>
        <sz val="11"/>
        <color theme="1"/>
        <rFont val="WenQuanYi Zen Hei"/>
        <family val="2"/>
      </rPr>
      <t xml:space="preserve">＝ 十億美元</t>
    </r>
  </si>
  <si>
    <r>
      <rPr>
        <sz val="11"/>
        <rFont val="WenQuanYi Zen Hei"/>
        <family val="2"/>
      </rPr>
      <t xml:space="preserve">美光資本支出（淨；</t>
    </r>
    <r>
      <rPr>
        <sz val="11"/>
        <rFont val="Cambria"/>
        <family val="0"/>
        <charset val="1"/>
      </rPr>
      <t xml:space="preserve">FY≈</t>
    </r>
    <r>
      <rPr>
        <sz val="11"/>
        <rFont val="WenQuanYi Zen Hei"/>
        <family val="2"/>
      </rPr>
      <t xml:space="preserve">日曆年）</t>
    </r>
  </si>
  <si>
    <t xml:space="preserve">三星記憶體資本支出（美元）</t>
  </si>
  <si>
    <t xml:space="preserve">三家資本支出合計</t>
  </si>
  <si>
    <r>
      <rPr>
        <sz val="11"/>
        <rFont val="WenQuanYi Zen Hei"/>
        <family val="2"/>
      </rPr>
      <t xml:space="preserve">三家設備＝資本支出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</t>
    </r>
  </si>
  <si>
    <r>
      <rPr>
        <sz val="11"/>
        <rFont val="WenQuanYi Zen Hei"/>
        <family val="2"/>
      </rPr>
      <t xml:space="preserve">其他記憶體廠（殘差）＝</t>
    </r>
    <r>
      <rPr>
        <sz val="11"/>
        <rFont val="Cambria"/>
        <family val="0"/>
        <charset val="1"/>
      </rPr>
      <t xml:space="preserve">SEMI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 − </t>
    </r>
    <r>
      <rPr>
        <sz val="11"/>
        <rFont val="WenQuanYi Zen Hei"/>
        <family val="2"/>
      </rPr>
      <t xml:space="preserve">三家設備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</si>
  <si>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；為負＝三家由下而上已超過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記憶體總額</t>
    </r>
  </si>
  <si>
    <r>
      <rPr>
        <sz val="11"/>
        <rFont val="WenQuanYi Zen Hei"/>
        <family val="2"/>
      </rPr>
      <t xml:space="preserve">其他記憶體廠（採用＝</t>
    </r>
    <r>
      <rPr>
        <sz val="11"/>
        <rFont val="Cambria"/>
        <family val="0"/>
        <charset val="1"/>
      </rPr>
      <t xml:space="preserve">MAX(</t>
    </r>
    <r>
      <rPr>
        <sz val="11"/>
        <rFont val="WenQuanYi Zen Hei"/>
        <family val="2"/>
      </rPr>
      <t xml:space="preserve">殘差</t>
    </r>
    <r>
      <rPr>
        <sz val="11"/>
        <rFont val="Cambria"/>
        <family val="0"/>
        <charset val="1"/>
      </rPr>
      <t xml:space="preserve">, </t>
    </r>
    <r>
      <rPr>
        <sz val="11"/>
        <rFont val="WenQuanYi Zen Hei"/>
        <family val="2"/>
      </rPr>
      <t xml:space="preserve">下限</t>
    </r>
    <r>
      <rPr>
        <sz val="11"/>
        <rFont val="Cambria"/>
        <family val="0"/>
        <charset val="1"/>
      </rPr>
      <t xml:space="preserve">)</t>
    </r>
    <r>
      <rPr>
        <sz val="11"/>
        <rFont val="WenQuanYi Zen Hei"/>
        <family val="2"/>
      </rPr>
      <t xml:space="preserve">）</t>
    </r>
  </si>
  <si>
    <t xml:space="preserve">記憶體設備合計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</si>
  <si>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</t>
    </r>
  </si>
  <si>
    <r>
      <rPr>
        <sz val="11"/>
        <rFont val="WenQuanYi Zen Hei"/>
        <family val="2"/>
      </rPr>
      <t xml:space="preserve">旗標：殘差為負（</t>
    </r>
    <r>
      <rPr>
        <sz val="11"/>
        <rFont val="Cambria"/>
        <family val="0"/>
        <charset val="1"/>
      </rPr>
      <t xml:space="preserve">1</t>
    </r>
    <r>
      <rPr>
        <sz val="11"/>
        <rFont val="WenQuanYi Zen Hei"/>
        <family val="2"/>
      </rPr>
      <t xml:space="preserve">＝是）</t>
    </r>
  </si>
  <si>
    <r>
      <rPr>
        <sz val="11"/>
        <rFont val="WenQuanYi Zen Hei"/>
        <family val="2"/>
      </rPr>
      <t xml:space="preserve">隱含設備占比（殘差剛好為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）＝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記憶體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三家資本支出</t>
    </r>
  </si>
  <si>
    <r>
      <rPr>
        <sz val="11"/>
        <color theme="1"/>
        <rFont val="WenQuanYi Zen Hei"/>
        <family val="2"/>
      </rPr>
      <t xml:space="preserve">診斷值，非輸入。低於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58–70% </t>
    </r>
    <r>
      <rPr>
        <sz val="11"/>
        <color theme="1"/>
        <rFont val="WenQuanYi Zen Hei"/>
        <family val="2"/>
      </rPr>
      <t xml:space="preserve">區間＝三家資本支出內含大量非設備支出（建築、無塵室）或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低估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</si>
  <si>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WenQuanYi Zen Hei"/>
        <family val="2"/>
      </rPr>
      <t xml:space="preserve">代工與邏輯晶圓前段設備（台積電由下而上 ＋ 其他 ＝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差額，標 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WenQuanYi Zen Hei"/>
        <family val="2"/>
      </rPr>
      <t xml:space="preserve">）</t>
    </r>
  </si>
  <si>
    <t xml:space="preserve">台積電資本支出</t>
  </si>
  <si>
    <r>
      <rPr>
        <sz val="11"/>
        <rFont val="WenQuanYi Zen Hei"/>
        <family val="2"/>
      </rPr>
      <t xml:space="preserve">台積電設備＝資本支出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</t>
    </r>
  </si>
  <si>
    <r>
      <rPr>
        <sz val="11"/>
        <rFont val="WenQuanYi Zen Hei"/>
        <family val="2"/>
      </rPr>
      <t xml:space="preserve">其他代工與邏輯（殘差）＝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代工邏輯 − 台積電設備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</si>
  <si>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：三星晶圓代工、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、中芯等</t>
    </r>
  </si>
  <si>
    <t xml:space="preserve">其他代工與邏輯（採用）</t>
  </si>
  <si>
    <t xml:space="preserve">代工與邏輯設備合計</t>
  </si>
  <si>
    <r>
      <rPr>
        <sz val="11"/>
        <rFont val="WenQuanYi Zen Hei"/>
        <family val="2"/>
      </rPr>
      <t xml:space="preserve">隱含設備占比（殘差剛好為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</si>
  <si>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此為台積電占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代工邏輯的倒數；</t>
    </r>
    <r>
      <rPr>
        <sz val="11"/>
        <color theme="1"/>
        <rFont val="Calibri"/>
        <family val="2"/>
        <charset val="1"/>
      </rPr>
      <t xml:space="preserve">&gt;100% </t>
    </r>
    <r>
      <rPr>
        <sz val="11"/>
        <color theme="1"/>
        <rFont val="WenQuanYi Zen Hei"/>
        <family val="2"/>
      </rPr>
      <t xml:space="preserve">表示台積電只占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的一部分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</si>
  <si>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測試與封裝設備（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金額為輸入，不做由下而上）</t>
    </r>
  </si>
  <si>
    <r>
      <rPr>
        <sz val="11"/>
        <color theme="1"/>
        <rFont val="WenQuanYi Zen Hei"/>
        <family val="2"/>
      </rPr>
      <t xml:space="preserve">為何不由下而上：需要「每顆加速器的測試時間（最終測試、燒機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WenQuanYi Zen Hei"/>
        <family val="2"/>
      </rPr>
      <t xml:space="preserve">、系統級測試 </t>
    </r>
    <r>
      <rPr>
        <sz val="11"/>
        <color theme="1"/>
        <rFont val="Calibri"/>
        <family val="2"/>
        <charset val="1"/>
      </rPr>
      <t xml:space="preserve">SLT </t>
    </r>
    <r>
      <rPr>
        <sz val="11"/>
        <color theme="1"/>
        <rFont val="WenQuanYi Zen Hei"/>
        <family val="2"/>
      </rPr>
      <t xml:space="preserve">的小時數）」與「每條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堆疊產線的鍵合機台數」，兩者公開資料皆未找到（</t>
    </r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WenQuanYi Zen Hei"/>
        <family val="2"/>
      </rPr>
      <t xml:space="preserve">等僅有訂單，無台數與產能對照）；以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為輸入、並標明為單一來源。</t>
    </r>
  </si>
  <si>
    <t xml:space="preserve">測試設備</t>
  </si>
  <si>
    <t xml:space="preserve">組裝與封裝設備</t>
  </si>
  <si>
    <r>
      <rPr>
        <b val="true"/>
        <sz val="11"/>
        <rFont val="Cambria"/>
        <family val="0"/>
        <charset val="1"/>
      </rPr>
      <t xml:space="preserve">5A.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：由下而上路徑（資本支出沿用記憶體與台積電模型；其他廠沿 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沿 </t>
    </r>
    <r>
      <rPr>
        <b val="true"/>
        <sz val="11"/>
        <rFont val="Cambria"/>
        <family val="0"/>
        <charset val="1"/>
      </rPr>
      <t xml:space="preserve">g29</t>
    </r>
    <r>
      <rPr>
        <b val="true"/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</si>
  <si>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先進邏輯（台積電設備＋其他代工中屬先進者）〔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</si>
  <si>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其他代工與邏輯</t>
  </si>
  <si>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（含 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）〔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</si>
  <si>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NAND</t>
  </si>
  <si>
    <r>
      <rPr>
        <sz val="11"/>
        <rFont val="WenQuanYi Zen Hei"/>
        <family val="2"/>
      </rPr>
      <t xml:space="preserve">其他前段（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差額）</t>
    </r>
  </si>
  <si>
    <r>
      <rPr>
        <sz val="11"/>
        <rFont val="WenQuanYi Zen Hei"/>
        <family val="2"/>
      </rPr>
      <t xml:space="preserve">先進封裝〔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</si>
  <si>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測試與其他封裝</t>
  </si>
  <si>
    <t xml:space="preserve">晶圓前段設備</t>
  </si>
  <si>
    <t xml:space="preserve">後段設備（測試＋封裝）</t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</si>
  <si>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</si>
  <si>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年增含口徑轉換（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＝由下而上）</t>
    </r>
  </si>
  <si>
    <t xml:space="preserve">  前段年增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</si>
  <si>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相關設備（先進邏輯＋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＋先進封裝）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</si>
  <si>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相關占總額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</si>
  <si>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相關增量占總增量（相對 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累計）</t>
    </r>
  </si>
  <si>
    <r>
      <rPr>
        <sz val="11"/>
        <color theme="1"/>
        <rFont val="WenQuanYi Zen Hei"/>
        <family val="2"/>
      </rPr>
      <t xml:space="preserve">分子分母同為負（下滑）＝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相關占下滑額的比例；總增量接近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時比值失真（可超過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</si>
  <si>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相關增量占總增量（當年）</t>
    </r>
  </si>
  <si>
    <r>
      <rPr>
        <sz val="11"/>
        <color theme="1"/>
        <rFont val="WenQuanYi Zen Hei"/>
        <family val="2"/>
      </rPr>
      <t xml:space="preserve">增量為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（持平）時不適用</t>
    </r>
  </si>
  <si>
    <t xml:space="preserve">見頂年度（設備總額最高水準；同值取較晚者）</t>
  </si>
  <si>
    <t xml:space="preserve">年</t>
  </si>
  <si>
    <r>
      <rPr>
        <sz val="11"/>
        <color theme="1"/>
        <rFont val="WenQuanYi Zen Hei"/>
        <family val="2"/>
      </rPr>
      <t xml:space="preserve">若為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＝區間末尾，未見頂（</t>
    </r>
    <r>
      <rPr>
        <sz val="11"/>
        <color theme="1"/>
        <rFont val="Calibri"/>
        <family val="2"/>
        <charset val="1"/>
      </rPr>
      <t xml:space="preserve">'≥2029'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</si>
  <si>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5B.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ck_B_28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ck_B_29 </t>
    </r>
    <r>
      <rPr>
        <b val="true"/>
        <sz val="11"/>
        <rFont val="WenQuanYi Zen Hei"/>
        <family val="2"/>
      </rPr>
      <t xml:space="preserve">套用於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路徑的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水準）</t>
    </r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</si>
  <si>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</si>
  <si>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5C.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下滑約兩成（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ck_C_28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ck_C_29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</si>
  <si>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</si>
  <si>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WenQuanYi Zen Hei"/>
        <family val="2"/>
      </rPr>
      <t xml:space="preserve">核對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</si>
  <si>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設備合計 − 公布值（</t>
    </r>
    <r>
      <rPr>
        <sz val="11"/>
        <rFont val="Cambria"/>
        <family val="0"/>
        <charset val="1"/>
      </rPr>
      <t xml:space="preserve">2026</t>
    </r>
    <r>
      <rPr>
        <sz val="11"/>
        <rFont val="WenQuanYi Zen Hei"/>
        <family val="2"/>
      </rPr>
      <t xml:space="preserve">；捨入差）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</si>
  <si>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分項捨入</t>
    </r>
  </si>
  <si>
    <r>
      <rPr>
        <sz val="11"/>
        <rFont val="WenQuanYi Zen Hei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分項合計 − 總額（應為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</si>
  <si>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在 </t>
    </r>
    <r>
      <rPr>
        <sz val="11"/>
        <rFont val="Cambria"/>
        <family val="0"/>
        <charset val="1"/>
      </rPr>
      <t xml:space="preserve">2025–2027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相同（差額合計，應為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</si>
  <si>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本模型與外部來源對帳。不為對上來源而調整參數；差距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WenQuanYi Zen Hei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WenQuanYi Zen Hei"/>
        <family val="2"/>
      </rPr>
      <t xml:space="preserve">。模型欄＝晶圓前段設備（除非另註）；來源口徑各異（</t>
    </r>
    <r>
      <rPr>
        <sz val="11"/>
        <color theme="1"/>
        <rFont val="Calibri"/>
        <family val="2"/>
        <charset val="1"/>
      </rPr>
      <t xml:space="preserve">SEMI WFE</t>
    </r>
    <r>
      <rPr>
        <sz val="11"/>
        <color theme="1"/>
        <rFont val="WenQuanYi Zen Hei"/>
        <family val="2"/>
      </rPr>
      <t xml:space="preserve">、分析師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含先進封裝）</t>
    </r>
  </si>
  <si>
    <t xml:space="preserve">年度</t>
  </si>
  <si>
    <t xml:space="preserve">來源值</t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</si>
  <si>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</si>
  <si>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</si>
  <si>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</si>
  <si>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</si>
  <si>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</si>
  <si>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</si>
  <si>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&gt; </t>
    </r>
    <r>
      <rPr>
        <b val="true"/>
        <sz val="11"/>
        <rFont val="WenQuanYi Zen Hei"/>
        <family val="2"/>
      </rPr>
      <t xml:space="preserve">門檻</t>
    </r>
  </si>
  <si>
    <t xml:space="preserve">口徑備註</t>
  </si>
  <si>
    <t xml:space="preserve">設備合計</t>
  </si>
  <si>
    <t xml:space="preserve">SEMI 2026-07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</si>
  <si>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165.9</t>
    </r>
  </si>
  <si>
    <t xml:space="preserve">晶圓前段</t>
  </si>
  <si>
    <t xml:space="preserve">代工與邏輯</t>
  </si>
  <si>
    <t xml:space="preserve">模型＝代工邏輯設備合計（台積電由下而上＋其他殘差）</t>
  </si>
  <si>
    <t xml:space="preserve">DRAM</t>
  </si>
  <si>
    <r>
      <rPr>
        <sz val="11"/>
        <color theme="1"/>
        <rFont val="WenQuanYi Zen Hei"/>
        <family val="2"/>
      </rPr>
      <t xml:space="preserve">模型記憶體設備 </t>
    </r>
    <r>
      <rPr>
        <sz val="11"/>
        <color theme="1"/>
        <rFont val="Calibri"/>
        <family val="2"/>
        <charset val="1"/>
      </rPr>
      <t xml:space="preserve">× SEMI DRAM </t>
    </r>
    <r>
      <rPr>
        <sz val="11"/>
        <color theme="1"/>
        <rFont val="WenQuanYi Zen Hei"/>
        <family val="2"/>
      </rPr>
      <t xml:space="preserve">占比</t>
    </r>
  </si>
  <si>
    <t xml:space="preserve">晶圓前段年增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</si>
  <si>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WenQuanYi Zen Hei"/>
        <family val="2"/>
      </rPr>
      <t xml:space="preserve">）</t>
    </r>
  </si>
  <si>
    <t xml:space="preserve">年增率之差以百分點計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</si>
  <si>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值連乘年增）</t>
    </r>
  </si>
  <si>
    <r>
      <rPr>
        <sz val="11"/>
        <color theme="1"/>
        <rFont val="Calibri"/>
        <family val="2"/>
        <charset val="1"/>
      </rPr>
      <t xml:space="preserve">SEMI 2027 </t>
    </r>
    <r>
      <rPr>
        <sz val="11"/>
        <color theme="1"/>
        <rFont val="WenQuanYi Zen Hei"/>
        <family val="2"/>
      </rPr>
      <t xml:space="preserve">絕對金額為推得（</t>
    </r>
    <r>
      <rPr>
        <sz val="11"/>
        <color theme="1"/>
        <rFont val="Calibri"/>
        <family val="2"/>
        <charset val="1"/>
      </rPr>
      <t xml:space="preserve">143.9×1.218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</si>
  <si>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（連乘）</t>
    </r>
  </si>
  <si>
    <r>
      <rPr>
        <sz val="11"/>
        <color theme="1"/>
        <rFont val="WenQuanYi Zen Hei"/>
        <family val="2"/>
      </rPr>
      <t xml:space="preserve">新聞稿稱「達 </t>
    </r>
    <r>
      <rPr>
        <sz val="11"/>
        <color theme="1"/>
        <rFont val="Calibri"/>
        <family val="2"/>
        <charset val="1"/>
      </rPr>
      <t xml:space="preserve">200B</t>
    </r>
    <r>
      <rPr>
        <sz val="11"/>
        <color theme="1"/>
        <rFont val="WenQuanYi Zen Hei"/>
        <family val="2"/>
      </rPr>
      <t xml:space="preserve">」</t>
    </r>
  </si>
  <si>
    <r>
      <rPr>
        <sz val="11"/>
        <color theme="1"/>
        <rFont val="WenQuanYi Zen Hei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WenQuanYi Zen Hei"/>
        <family val="2"/>
      </rPr>
      <t xml:space="preserve">；分項加總 </t>
    </r>
    <r>
      <rPr>
        <sz val="11"/>
        <color theme="1"/>
        <rFont val="Calibri"/>
        <family val="2"/>
        <charset val="1"/>
      </rPr>
      <t xml:space="preserve">229.4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</si>
  <si>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</si>
  <si>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WenQuanYi Zen Hei"/>
        <family val="2"/>
      </rPr>
      <t xml:space="preserve">法說另稱 </t>
    </r>
    <r>
      <rPr>
        <sz val="11"/>
        <color theme="1"/>
        <rFont val="Calibri"/>
        <family val="2"/>
        <charset val="1"/>
      </rPr>
      <t xml:space="preserve">mid-150</t>
    </r>
  </si>
  <si>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</si>
  <si>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口徑含先進封裝，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120 vs SEMI 116.9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</si>
  <si>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</si>
  <si>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WenQuanYi Zen Hei"/>
        <family val="2"/>
      </rPr>
      <t xml:space="preserve">；額外對照）</t>
    </r>
  </si>
  <si>
    <t xml:space="preserve">取下限</t>
  </si>
  <si>
    <t xml:space="preserve">Morgan Stanley</t>
  </si>
  <si>
    <r>
      <rPr>
        <sz val="11"/>
        <color theme="1"/>
        <rFont val="WenQuanYi Zen Hei"/>
        <family val="2"/>
      </rPr>
      <t xml:space="preserve">使用者提供，未能獨立查到；較早版本 </t>
    </r>
    <r>
      <rPr>
        <sz val="11"/>
        <color theme="1"/>
        <rFont val="Calibri"/>
        <family val="2"/>
        <charset val="1"/>
      </rPr>
      <t xml:space="preserve">191</t>
    </r>
  </si>
  <si>
    <r>
      <rPr>
        <sz val="11"/>
        <color theme="1"/>
        <rFont val="WenQuanYi Zen Hei"/>
        <family val="2"/>
      </rPr>
      <t xml:space="preserve">使用者提供，未能獨立查到；較早版本 </t>
    </r>
    <r>
      <rPr>
        <sz val="11"/>
        <color theme="1"/>
        <rFont val="Calibri"/>
        <family val="2"/>
        <charset val="1"/>
      </rPr>
      <t xml:space="preserve">215</t>
    </r>
  </si>
  <si>
    <t xml:space="preserve">Goldman Sachs</t>
  </si>
  <si>
    <r>
      <rPr>
        <b val="true"/>
        <sz val="11"/>
        <rFont val="WenQuanYi Zen Hei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WenQuanYi Zen Hei"/>
        <family val="2"/>
      </rPr>
      <t xml:space="preserve">分項加總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</si>
  <si>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WenQuanYi Zen Hei"/>
        <family val="2"/>
      </rPr>
      <t xml:space="preserve">＋代工邏輯＋其他前段 −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</si>
  <si>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WenQuanYi Zen Hei"/>
        <family val="2"/>
      </rPr>
      <t xml:space="preserve">注意：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路徑中「其他廠」＝</t>
    </r>
    <r>
      <rPr>
        <sz val="11"/>
        <color theme="1"/>
        <rFont val="Calibri"/>
        <family val="2"/>
        <charset val="1"/>
      </rPr>
      <t xml:space="preserve">SEMI − </t>
    </r>
    <r>
      <rPr>
        <sz val="11"/>
        <color theme="1"/>
        <rFont val="WenQuanYi Zen Hei"/>
        <family val="2"/>
      </rPr>
      <t xml:space="preserve">三家／台積電，殘差為正時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的各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分項≡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的獨立差距只出現在殘差為負（採下限）之處。獨立檢驗來自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</si>
  <si>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一次動一個輸入（低／高取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的區間）；輸出：情境 </t>
    </r>
    <r>
      <rPr>
        <sz val="11"/>
        <color theme="1"/>
        <rFont val="Calibri"/>
        <family val="2"/>
        <charset val="1"/>
      </rPr>
      <t xml:space="preserve">A 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設備總額（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</si>
  <si>
    <t xml:space="preserve">輸入</t>
  </si>
  <si>
    <t xml:space="preserve">2027 A</t>
  </si>
  <si>
    <t xml:space="preserve">相對基準</t>
  </si>
  <si>
    <t xml:space="preserve">2028 A</t>
  </si>
  <si>
    <t xml:space="preserve">2029 A</t>
  </si>
  <si>
    <r>
      <rPr>
        <sz val="11"/>
        <color theme="1"/>
        <rFont val="WenQuanYi Zen Hei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（公式重算；與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差額見下）</t>
    </r>
  </si>
  <si>
    <t xml:space="preserve">記憶體設備占比 低</t>
  </si>
  <si>
    <r>
      <rPr>
        <sz val="11"/>
        <color theme="1"/>
        <rFont val="WenQuanYi Zen Hei"/>
        <family val="2"/>
      </rPr>
      <t xml:space="preserve">記憶體殘差為負（採下限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）：總額＝三家資本支出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占比，故對占比敏感</t>
    </r>
  </si>
  <si>
    <t xml:space="preserve">記憶體設備占比 高</t>
  </si>
  <si>
    <t xml:space="preserve">代工設備占比 低</t>
  </si>
  <si>
    <r>
      <rPr>
        <sz val="11"/>
        <color theme="1"/>
        <rFont val="WenQuanYi Zen Hei"/>
        <family val="2"/>
      </rPr>
      <t xml:space="preserve">代工邏輯殘差為正：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路徑的代工邏輯總額＝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，占比只改台積電與其他廠的分配，總額不變</t>
    </r>
  </si>
  <si>
    <t xml:space="preserve">代工設備占比 高</t>
  </si>
  <si>
    <r>
      <rPr>
        <sz val="11"/>
        <color theme="1"/>
        <rFont val="WenQuanYi Zen Hei"/>
        <family val="2"/>
      </rPr>
      <t xml:space="preserve">匯率 低（</t>
    </r>
    <r>
      <rPr>
        <sz val="11"/>
        <color theme="1"/>
        <rFont val="Calibri"/>
        <family val="2"/>
        <charset val="1"/>
      </rPr>
      <t xml:space="preserve">1,350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</si>
  <si>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匯率 高（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</si>
  <si>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其他記憶體廠下限 高（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</si>
  <si>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SEMI </t>
    </r>
    <r>
      <rPr>
        <sz val="11"/>
        <color theme="1"/>
        <rFont val="WenQuanYi Zen Hei"/>
        <family val="2"/>
      </rPr>
      <t xml:space="preserve">外推年增 低（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</si>
  <si>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SEMI </t>
    </r>
    <r>
      <rPr>
        <sz val="11"/>
        <color theme="1"/>
        <rFont val="WenQuanYi Zen Hei"/>
        <family val="2"/>
      </rPr>
      <t xml:space="preserve">外推年增 高（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</si>
  <si>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核對：基準 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總額（應為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</si>
  <si>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情境係數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</si>
  <si>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設備總額</t>
    </r>
  </si>
  <si>
    <r>
      <rPr>
        <b val="true"/>
        <sz val="11"/>
        <rFont val="WenQuanYi Zen Hei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</si>
  <si>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設備總額</t>
    </r>
  </si>
  <si>
    <r>
      <rPr>
        <b val="true"/>
        <sz val="11"/>
        <rFont val="WenQuanYi Zen Hei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</si>
  <si>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</si>
  <si>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</si>
  <si>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高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</si>
  <si>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</si>
  <si>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</si>
  <si>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高</t>
    </r>
  </si>
  <si>
    <r>
      <rPr>
        <sz val="11"/>
        <color theme="1"/>
        <rFont val="WenQuanYi Zen Hei"/>
        <family val="2"/>
      </rPr>
      <t xml:space="preserve">說明：係數為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，區間無實證；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的見頂年度對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係數敏感（≥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WenQuanYi Zen Hei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不下滑，見頂年度移到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）。</t>
    </r>
  </si>
  <si>
    <t xml:space="preserve">網址／位置</t>
  </si>
  <si>
    <t xml:space="preserve">用途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</si>
  <si>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年中設備預測新聞稿 </t>
    </r>
    <r>
      <rPr>
        <sz val="11"/>
        <color theme="1"/>
        <rFont val="Calibri"/>
        <family val="2"/>
        <charset val="1"/>
      </rPr>
      <t xml:space="preserve">2026-07-14</t>
    </r>
  </si>
  <si>
    <t xml:space="preserve">https://www.semi.org/en/semi-press-release/global-semiconductor-equipment-sales-forecast-to-reach-a-record-229-billion-dollars-in-2028-semi-reports</t>
  </si>
  <si>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WenQuanYi Zen Hei"/>
        <family val="2"/>
      </rPr>
      <t xml:space="preserve">設備金額、年增</t>
    </r>
  </si>
  <si>
    <t xml:space="preserve">中（一手但協會有立場；分項年增取自搜尋摘要，未能直接開啟全文）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</si>
  <si>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新聞稿轉載（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）</t>
    </r>
  </si>
  <si>
    <t xml:space="preserve">https://www.prnewswire.co.uk/news-releases/global-semiconductor-equipment-sales-forecast-to-reach-a-record-229-billion-in-2028-semi-reports-302824214.html</t>
  </si>
  <si>
    <t xml:space="preserve">同上第二來源（非獨立）</t>
  </si>
  <si>
    <t xml:space="preserve">中</t>
  </si>
  <si>
    <r>
      <rPr>
        <sz val="11"/>
        <color theme="1"/>
        <rFont val="Calibri"/>
        <family val="2"/>
        <charset val="1"/>
      </rPr>
      <t xml:space="preserve">Semiconductor Digest </t>
    </r>
    <r>
      <rPr>
        <sz val="11"/>
        <color theme="1"/>
        <rFont val="WenQuanYi Zen Hei"/>
        <family val="2"/>
      </rPr>
      <t xml:space="preserve">轉載</t>
    </r>
  </si>
  <si>
    <t xml:space="preserve">https://www.semiconductor-digest.com/global-semiconductor-equipment-sales-forecast-to-reach-a-record-229-billion-in-2028-semi-reports/</t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</si>
  <si>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CapEx Up for Foundry, Memory</t>
    </r>
  </si>
  <si>
    <t xml:space="preserve">https://www.semiconductorintelligence.com/capex-up-for-foundry-memory/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</si>
  <si>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WenQuanYi Zen Hei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40.9B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</si>
  <si>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產業深度</t>
    </r>
  </si>
  <si>
    <t xml:space="preserve">https://reboundcapital.substack.com/p/industry-deep-dive-semiconductor</t>
  </si>
  <si>
    <r>
      <rPr>
        <sz val="11"/>
        <color theme="1"/>
        <rFont val="WenQuanYi Zen Hei"/>
        <family val="2"/>
      </rPr>
      <t xml:space="preserve">資本支出→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轉換率約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</si>
  <si>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WenQuanYi Zen Hei"/>
        <family val="2"/>
      </rPr>
      <t xml:space="preserve">弱（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</si>
  <si>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海力士、美光、三星、台積電模型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WenQuanYi Zen Hei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</si>
  <si>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dist/*.xlsx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頁「資本支出」列）</t>
    </r>
  </si>
  <si>
    <t xml:space="preserve">公司資本支出</t>
  </si>
  <si>
    <r>
      <rPr>
        <sz val="11"/>
        <color theme="1"/>
        <rFont val="WenQuanYi Zen Hei"/>
        <family val="2"/>
      </rPr>
      <t xml:space="preserve">各模型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頁標記</t>
    </r>
  </si>
  <si>
    <r>
      <rPr>
        <sz val="11"/>
        <color theme="1"/>
        <rFont val="Calibri"/>
        <family val="2"/>
        <charset val="1"/>
      </rPr>
      <t xml:space="preserve">Micron FQ3 2026 </t>
    </r>
    <r>
      <rPr>
        <sz val="11"/>
        <color theme="1"/>
        <rFont val="WenQuanYi Zen Hei"/>
        <family val="2"/>
      </rPr>
      <t xml:space="preserve">準備稿</t>
    </r>
  </si>
  <si>
    <t xml:space="preserve">https://s25.q4cdn.com/621799436/files/doc_financials/2026/q3/Q3-FY26-Prepared-Remarks.pdf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</si>
  <si>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資本支出增量多數為建築（無塵室）</t>
    </r>
  </si>
  <si>
    <t xml:space="preserve">強（公司一手）</t>
  </si>
  <si>
    <r>
      <rPr>
        <sz val="11"/>
        <color theme="1"/>
        <rFont val="Calibri"/>
        <family val="2"/>
        <charset val="1"/>
      </rPr>
      <t xml:space="preserve">Lam Research 2026-10-21 </t>
    </r>
    <r>
      <rPr>
        <sz val="11"/>
        <color theme="1"/>
        <rFont val="WenQuanYi Zen Hei"/>
        <family val="2"/>
      </rPr>
      <t xml:space="preserve">法說稿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</si>
  <si>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</si>
  <si>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2026 mid-150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&gt;200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</si>
  <si>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WenQuanYi Zen Hei"/>
        <family val="2"/>
      </rPr>
      <t xml:space="preserve">提高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WenQuanYi Zen Hei"/>
        <family val="2"/>
      </rPr>
      <t xml:space="preserve">預期（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）</t>
    </r>
  </si>
  <si>
    <t xml:space="preserve">https://finance.yahoo.com/technology/ai/articles/lam-research-lifts-2026-wfe-180229282.html</t>
  </si>
  <si>
    <t xml:space="preserve">2026 low-150</t>
  </si>
  <si>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）</t>
    </r>
  </si>
  <si>
    <t xml:space="preserve">https://finance.biggo.com/news/US_KLAC_2026-07-28</t>
  </si>
  <si>
    <r>
      <rPr>
        <sz val="11"/>
        <color theme="1"/>
        <rFont val="Calibri"/>
        <family val="2"/>
        <charset val="1"/>
      </rPr>
      <t xml:space="preserve">2026 low-150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190</t>
    </r>
  </si>
  <si>
    <t xml:space="preserve">弱～中（轉述）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</si>
  <si>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）</t>
    </r>
  </si>
  <si>
    <t xml:space="preserve">https://x.com/TheValueist/status/2082235400190640364</t>
  </si>
  <si>
    <r>
      <rPr>
        <sz val="11"/>
        <color theme="1"/>
        <rFont val="WenQuanYi Zen Hei"/>
        <family val="2"/>
      </rPr>
      <t xml:space="preserve">同上；交期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WenQuanYi Zen Hei"/>
        <family val="2"/>
      </rPr>
      <t xml:space="preserve">個月</t>
    </r>
  </si>
  <si>
    <t xml:space="preserve">弱（社群貼文）</t>
  </si>
  <si>
    <r>
      <rPr>
        <sz val="11"/>
        <color theme="1"/>
        <rFont val="Calibri"/>
        <family val="2"/>
        <charset val="1"/>
      </rPr>
      <t xml:space="preserve">Morgan Stanley WFE </t>
    </r>
    <r>
      <rPr>
        <sz val="11"/>
        <color theme="1"/>
        <rFont val="WenQuanYi Zen Hei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，較早版本）</t>
    </r>
  </si>
  <si>
    <t xml:space="preserve">https://www.investing.com/news/stock-market-news/semicap-stocks-morgan-stanley-raises-wfe-outlook-and-shifts-ratings-4696580</t>
  </si>
  <si>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WenQuanYi Zen Hei"/>
        <family val="2"/>
      </rPr>
      <t xml:space="preserve">（舊版）；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WenQuanYi Zen Hei"/>
        <family val="2"/>
      </rPr>
      <t xml:space="preserve">未能查到</t>
    </r>
  </si>
  <si>
    <r>
      <rPr>
        <sz val="11"/>
        <color theme="1"/>
        <rFont val="Calibri"/>
        <family val="2"/>
        <charset val="1"/>
      </rPr>
      <t xml:space="preserve">Goldman Sachs WFE </t>
    </r>
    <r>
      <rPr>
        <sz val="11"/>
        <color theme="1"/>
        <rFont val="WenQuanYi Zen Hei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</si>
  <si>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</si>
  <si>
    <r>
      <rPr>
        <sz val="11"/>
        <color theme="1"/>
        <rFont val="Calibri"/>
        <family val="2"/>
        <charset val="1"/>
      </rPr>
      <t xml:space="preserve">TrendForce 2026-09-18 </t>
    </r>
    <r>
      <rPr>
        <sz val="11"/>
        <color theme="1"/>
        <rFont val="WenQuanYi Zen Hei"/>
        <family val="2"/>
      </rPr>
      <t xml:space="preserve">設備零組件交期</t>
    </r>
  </si>
  <si>
    <t xml:space="preserve">https://www.trendforce.com/news/2026/09/18/news-chip-equipment-component-lead-times-reportedly-double-stretching-to-40-months-as-price-pressures-mount/</t>
  </si>
  <si>
    <r>
      <rPr>
        <sz val="11"/>
        <color theme="1"/>
        <rFont val="WenQuanYi Zen Hei"/>
        <family val="2"/>
      </rPr>
      <t xml:space="preserve">零組件交期加倍、最長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</t>
    </r>
  </si>
  <si>
    <r>
      <rPr>
        <sz val="11"/>
        <color theme="1"/>
        <rFont val="WenQuanYi Zen Hei"/>
        <family val="2"/>
      </rPr>
      <t xml:space="preserve">中（</t>
    </r>
    <r>
      <rPr>
        <sz val="11"/>
        <color theme="1"/>
        <rFont val="Calibri"/>
        <family val="2"/>
        <charset val="1"/>
      </rPr>
      <t xml:space="preserve">'reportedly'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</si>
  <si>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：日本關鍵零件交期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</t>
    </r>
  </si>
  <si>
    <t xml:space="preserve">https://finance.biggo.com/news/f46a8b91-046a-4708-87db-63b34e0862b2</t>
  </si>
  <si>
    <t xml:space="preserve">同上第二來源</t>
  </si>
  <si>
    <t xml:space="preserve">弱～中</t>
  </si>
  <si>
    <t xml:space="preserve">ASML 2026 Q2 6-K</t>
  </si>
  <si>
    <t xml:space="preserve">https://www.sec.gov/Archives/edgar/data/0000937966/000162828026048235/pressreleasefinancialresul.htm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</si>
  <si>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產能、訂單</t>
    </r>
  </si>
  <si>
    <r>
      <rPr>
        <sz val="11"/>
        <color theme="1"/>
        <rFont val="Calibri"/>
        <family val="2"/>
        <charset val="1"/>
      </rPr>
      <t xml:space="preserve">ASML Q3 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需求超過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WenQuanYi Zen Hei"/>
        <family val="2"/>
      </rPr>
      <t xml:space="preserve">）</t>
    </r>
  </si>
  <si>
    <t xml:space="preserve">https://pomegra.io/news/asml-q3-2026-euv-demand-outruns-2027-capacity</t>
  </si>
  <si>
    <t xml:space="preserve">第二來源</t>
  </si>
  <si>
    <t xml:space="preserve">弱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</si>
  <si>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WenQuanYi Zen Hei"/>
        <family val="2"/>
      </rPr>
      <t xml:space="preserve">鍵合機訂單</t>
    </r>
  </si>
  <si>
    <t xml:space="preserve">https://www.trendforce.com/news/2025/12/12/news-sk-hynix-reportedly-places-hbm4-tc-bonder-order-with-asmpt-as-hanmi-hanwha-patent-clash-heats-up/</t>
  </si>
  <si>
    <t xml:space="preserve">鍵合機供應商集中度</t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</si>
  <si>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FQ2 2026</t>
    </r>
    <r>
      <rPr>
        <sz val="11"/>
        <color theme="1"/>
        <rFont val="WenQuanYi Zen Hei"/>
        <family val="2"/>
      </rPr>
      <t xml:space="preserve">（客戶受廠房就緒度限制）</t>
    </r>
  </si>
  <si>
    <t xml:space="preserve">https://futurumgroup.com/insights/kla-corporation-q2-fy-2026-results-beat-on-ai-led-demand/</t>
  </si>
  <si>
    <t xml:space="preserve">無塵室／廠房限制</t>
  </si>
  <si>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WenQuanYi Zen Hei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無塵室（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WenQuanYi Zen Hei"/>
        <family val="2"/>
      </rPr>
      <t xml:space="preserve">）</t>
    </r>
  </si>
  <si>
    <t xml:space="preserve">https://cleanroomtechnology.com/samsung-speeds-up-construction-of-p5-cleanroom-for</t>
  </si>
  <si>
    <t xml:space="preserve">無塵室先行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</si>
</sst>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0"/>
    <numFmt numFmtId="167" formatCode="0.0"/>
    <numFmt numFmtId="168" formatCode="0%"/>
    <numFmt numFmtId="169" formatCode="0.00"/>
    <numFmt numFmtId="170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  <font>
      <sz val="11"/>
      <color rgb="FF007A33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82.05" hidden="false" customHeight="false" outlineLevel="0" collapsed="false">
      <c r="A1" s="1" t="s">
        <v>0</v>
      </c>
    </row>
    <row r="2" customFormat="false" ht="162.6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28.35" hidden="false" customHeight="false" outlineLevel="0" collapsed="false">
      <c r="A4" s="1" t="s">
        <v>2</v>
      </c>
    </row>
    <row r="5" customFormat="false" ht="149.25" hidden="false" customHeight="false" outlineLevel="0" collapsed="false">
      <c r="A5" s="3" t="s">
        <v>3</v>
      </c>
    </row>
    <row r="6" customFormat="false" ht="176.1" hidden="false" customHeight="false" outlineLevel="0" collapsed="false">
      <c r="A6" s="3" t="s">
        <v>4</v>
      </c>
    </row>
    <row r="7" customFormat="false" ht="108.95" hidden="false" customHeight="false" outlineLevel="0" collapsed="false">
      <c r="A7" s="3" t="s">
        <v>5</v>
      </c>
    </row>
    <row r="8" customFormat="false" ht="15" hidden="false" customHeight="false" outlineLevel="0" collapsed="false">
      <c r="A8" s="2"/>
    </row>
    <row r="9" customFormat="false" ht="41.75" hidden="false" customHeight="false" outlineLevel="0" collapsed="false">
      <c r="A9" s="1" t="s">
        <v>6</v>
      </c>
    </row>
    <row r="10" customFormat="false" ht="162.65" hidden="false" customHeight="false" outlineLevel="0" collapsed="false">
      <c r="A10" s="2" t="s">
        <v>7</v>
      </c>
    </row>
    <row r="11" customFormat="false" ht="135.8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9</v>
      </c>
    </row>
    <row r="14" customFormat="false" ht="202.95" hidden="false" customHeight="false" outlineLevel="0" collapsed="false">
      <c r="A14" s="3" t="s">
        <v>10</v>
      </c>
    </row>
    <row r="15" customFormat="false" ht="229.8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2"/>
    </row>
    <row r="17" customFormat="false" ht="41.75" hidden="false" customHeight="false" outlineLevel="0" collapsed="false">
      <c r="A17" s="1" t="s">
        <v>12</v>
      </c>
    </row>
    <row r="18" customFormat="false" ht="15" hidden="false" customHeight="false" outlineLevel="0" collapsed="false">
      <c r="A18" s="4" t="s">
        <v>13</v>
      </c>
      <c r="B18" s="4" t="s">
        <v>14</v>
      </c>
      <c r="C18" s="4" t="s">
        <v>15</v>
      </c>
      <c r="D18" s="4" t="s">
        <v>16</v>
      </c>
      <c r="E18" s="4" t="s">
        <v>17</v>
      </c>
    </row>
    <row r="19" customFormat="false" ht="41.75" hidden="false" customHeight="false" outlineLevel="0" collapsed="false">
      <c r="A19" s="5" t="s">
        <v>18</v>
      </c>
      <c r="B19" s="5" t="s">
        <v>19</v>
      </c>
      <c r="C19" s="6" t="s">
        <v>20</v>
      </c>
      <c r="D19" s="5" t="s">
        <v>21</v>
      </c>
      <c r="E19" s="5" t="s">
        <v>22</v>
      </c>
    </row>
    <row r="20" customFormat="false" ht="28.35" hidden="false" customHeight="false" outlineLevel="0" collapsed="false">
      <c r="A20" s="5" t="s">
        <v>23</v>
      </c>
      <c r="B20" s="6" t="s">
        <v>24</v>
      </c>
      <c r="C20" s="6" t="s">
        <v>25</v>
      </c>
      <c r="D20" s="5" t="s">
        <v>26</v>
      </c>
      <c r="E20" s="5" t="s">
        <v>27</v>
      </c>
    </row>
    <row r="21" customFormat="false" ht="28.35" hidden="false" customHeight="false" outlineLevel="0" collapsed="false">
      <c r="A21" s="6" t="s">
        <v>28</v>
      </c>
      <c r="B21" s="6" t="s">
        <v>29</v>
      </c>
      <c r="C21" s="6" t="s">
        <v>30</v>
      </c>
      <c r="D21" s="5" t="s">
        <v>31</v>
      </c>
      <c r="E21" s="6" t="s">
        <v>32</v>
      </c>
    </row>
    <row r="22" customFormat="false" ht="41.75" hidden="false" customHeight="false" outlineLevel="0" collapsed="false">
      <c r="A22" s="5" t="s">
        <v>33</v>
      </c>
      <c r="B22" s="6" t="s">
        <v>34</v>
      </c>
      <c r="C22" s="6" t="s">
        <v>35</v>
      </c>
      <c r="D22" s="5" t="s">
        <v>36</v>
      </c>
      <c r="E22" s="5" t="s">
        <v>37</v>
      </c>
    </row>
    <row r="23" customFormat="false" ht="41.75" hidden="false" customHeight="false" outlineLevel="0" collapsed="false">
      <c r="A23" s="6" t="s">
        <v>38</v>
      </c>
      <c r="B23" s="6" t="s">
        <v>39</v>
      </c>
      <c r="C23" s="6" t="s">
        <v>40</v>
      </c>
      <c r="D23" s="5" t="s">
        <v>41</v>
      </c>
      <c r="E23" s="5" t="s">
        <v>42</v>
      </c>
    </row>
    <row r="25" customFormat="false" ht="15" hidden="false" customHeight="false" outlineLevel="0" collapsed="false">
      <c r="A25" s="7" t="s">
        <v>43</v>
      </c>
    </row>
    <row r="26" customFormat="false" ht="68.65" hidden="false" customHeight="false" outlineLevel="0" collapsed="false">
      <c r="A26" s="5" t="s">
        <v>44</v>
      </c>
    </row>
    <row r="27" customFormat="false" ht="364.15" hidden="false" customHeight="false" outlineLevel="0" collapsed="false">
      <c r="A27" s="6" t="s">
        <v>45</v>
      </c>
    </row>
    <row r="28" customFormat="false" ht="270.1" hidden="false" customHeight="false" outlineLevel="0" collapsed="false">
      <c r="A28" s="6" t="s">
        <v>46</v>
      </c>
    </row>
    <row r="29" customFormat="false" ht="283.55" hidden="false" customHeight="false" outlineLevel="0" collapsed="false">
      <c r="A29" s="6" t="s">
        <v>47</v>
      </c>
    </row>
    <row r="30" customFormat="false" ht="149.25" hidden="false" customHeight="false" outlineLevel="0" collapsed="false">
      <c r="A30" s="6" t="s">
        <v>48</v>
      </c>
    </row>
    <row r="32" customFormat="false" ht="15" hidden="false" customHeight="false" outlineLevel="0" collapsed="false">
      <c r="A32" s="8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9" min="8" style="0" width="90"/>
  </cols>
  <sheetData>
    <row r="1" customFormat="false" ht="15" hidden="false" customHeight="false" outlineLevel="0" collapsed="false">
      <c r="A1" s="0" t="s">
        <v>50</v>
      </c>
    </row>
    <row r="2" customFormat="false" ht="15" hidden="false" customHeight="false" outlineLevel="0" collapsed="false">
      <c r="A2" s="8" t="s">
        <v>51</v>
      </c>
    </row>
    <row r="3" customFormat="false" ht="15" hidden="false" customHeight="false" outlineLevel="0" collapsed="false">
      <c r="A3" s="4" t="s">
        <v>52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  <c r="I3" s="4" t="s">
        <v>60</v>
      </c>
    </row>
    <row r="4" customFormat="false" ht="15" hidden="false" customHeight="false" outlineLevel="0" collapsed="false">
      <c r="A4" s="9" t="s">
        <v>61</v>
      </c>
    </row>
    <row r="5" customFormat="false" ht="15" hidden="false" customHeight="false" outlineLevel="0" collapsed="false">
      <c r="A5" s="0" t="s">
        <v>62</v>
      </c>
      <c r="B5" s="8" t="s">
        <v>63</v>
      </c>
      <c r="C5" s="0" t="s">
        <v>64</v>
      </c>
      <c r="D5" s="10" t="n">
        <v>1350</v>
      </c>
      <c r="E5" s="11" t="n">
        <v>1420</v>
      </c>
      <c r="F5" s="10" t="n">
        <v>1500</v>
      </c>
      <c r="G5" s="12" t="s">
        <v>65</v>
      </c>
      <c r="H5" s="8" t="s">
        <v>66</v>
      </c>
      <c r="I5" s="8" t="s">
        <v>67</v>
      </c>
    </row>
    <row r="6" customFormat="false" ht="15" hidden="false" customHeight="false" outlineLevel="0" collapsed="false">
      <c r="A6" s="0" t="s">
        <v>68</v>
      </c>
      <c r="B6" s="0" t="s">
        <v>69</v>
      </c>
      <c r="C6" s="8" t="s">
        <v>70</v>
      </c>
      <c r="E6" s="11" t="n">
        <v>48.7</v>
      </c>
      <c r="G6" s="12" t="s">
        <v>71</v>
      </c>
      <c r="H6" s="12" t="s">
        <v>72</v>
      </c>
      <c r="I6" s="8" t="s">
        <v>73</v>
      </c>
    </row>
    <row r="7" customFormat="false" ht="15" hidden="false" customHeight="false" outlineLevel="0" collapsed="false">
      <c r="A7" s="0" t="s">
        <v>74</v>
      </c>
      <c r="B7" s="0" t="s">
        <v>75</v>
      </c>
      <c r="C7" s="8" t="s">
        <v>70</v>
      </c>
      <c r="E7" s="11" t="n">
        <v>62.3</v>
      </c>
      <c r="G7" s="12" t="s">
        <v>71</v>
      </c>
      <c r="H7" s="12" t="s">
        <v>76</v>
      </c>
      <c r="I7" s="8" t="s">
        <v>77</v>
      </c>
    </row>
    <row r="8" customFormat="false" ht="15" hidden="false" customHeight="false" outlineLevel="0" collapsed="false">
      <c r="A8" s="0" t="s">
        <v>78</v>
      </c>
      <c r="B8" s="0" t="s">
        <v>79</v>
      </c>
      <c r="C8" s="8" t="s">
        <v>70</v>
      </c>
      <c r="E8" s="11" t="n">
        <v>71.2</v>
      </c>
      <c r="G8" s="12" t="s">
        <v>71</v>
      </c>
      <c r="H8" s="12" t="s">
        <v>80</v>
      </c>
      <c r="I8" s="8" t="s">
        <v>81</v>
      </c>
    </row>
    <row r="9" customFormat="false" ht="15" hidden="false" customHeight="false" outlineLevel="0" collapsed="false">
      <c r="A9" s="0" t="s">
        <v>82</v>
      </c>
      <c r="B9" s="0" t="s">
        <v>83</v>
      </c>
      <c r="C9" s="8" t="s">
        <v>70</v>
      </c>
      <c r="E9" s="11" t="n">
        <v>75</v>
      </c>
      <c r="G9" s="12" t="s">
        <v>84</v>
      </c>
      <c r="H9" s="12" t="s">
        <v>85</v>
      </c>
      <c r="I9" s="8" t="s">
        <v>86</v>
      </c>
    </row>
    <row r="10" customFormat="false" ht="15" hidden="false" customHeight="false" outlineLevel="0" collapsed="false">
      <c r="A10" s="0" t="s">
        <v>87</v>
      </c>
      <c r="B10" s="8" t="s">
        <v>88</v>
      </c>
      <c r="C10" s="0" t="s">
        <v>89</v>
      </c>
      <c r="E10" s="11" t="n">
        <v>27.367</v>
      </c>
      <c r="G10" s="12" t="s">
        <v>90</v>
      </c>
      <c r="H10" s="12" t="s">
        <v>91</v>
      </c>
      <c r="I10" s="8" t="s">
        <v>92</v>
      </c>
    </row>
    <row r="11" customFormat="false" ht="15" hidden="false" customHeight="false" outlineLevel="0" collapsed="false">
      <c r="A11" s="0" t="s">
        <v>93</v>
      </c>
      <c r="B11" s="8" t="s">
        <v>94</v>
      </c>
      <c r="C11" s="0" t="s">
        <v>89</v>
      </c>
      <c r="E11" s="11" t="n">
        <v>55</v>
      </c>
      <c r="G11" s="12" t="s">
        <v>65</v>
      </c>
      <c r="H11" s="12" t="s">
        <v>95</v>
      </c>
      <c r="I11" s="8" t="s">
        <v>96</v>
      </c>
    </row>
    <row r="12" customFormat="false" ht="15" hidden="false" customHeight="false" outlineLevel="0" collapsed="false">
      <c r="A12" s="0" t="s">
        <v>97</v>
      </c>
      <c r="B12" s="8" t="s">
        <v>98</v>
      </c>
      <c r="C12" s="0" t="s">
        <v>89</v>
      </c>
      <c r="E12" s="11" t="n">
        <v>60</v>
      </c>
      <c r="G12" s="12" t="s">
        <v>84</v>
      </c>
      <c r="H12" s="12" t="s">
        <v>99</v>
      </c>
      <c r="I12" s="8" t="s">
        <v>100</v>
      </c>
    </row>
    <row r="13" customFormat="false" ht="15" hidden="false" customHeight="false" outlineLevel="0" collapsed="false">
      <c r="A13" s="0" t="s">
        <v>101</v>
      </c>
      <c r="B13" s="8" t="s">
        <v>102</v>
      </c>
      <c r="C13" s="0" t="s">
        <v>89</v>
      </c>
      <c r="E13" s="11" t="n">
        <v>60</v>
      </c>
      <c r="G13" s="12" t="s">
        <v>84</v>
      </c>
      <c r="H13" s="12" t="s">
        <v>103</v>
      </c>
      <c r="I13" s="8" t="s">
        <v>100</v>
      </c>
    </row>
    <row r="14" customFormat="false" ht="15" hidden="false" customHeight="false" outlineLevel="0" collapsed="false">
      <c r="A14" s="0" t="s">
        <v>104</v>
      </c>
      <c r="B14" s="8" t="s">
        <v>105</v>
      </c>
      <c r="C14" s="8" t="s">
        <v>70</v>
      </c>
      <c r="E14" s="11" t="n">
        <v>52.5</v>
      </c>
      <c r="G14" s="12" t="s">
        <v>106</v>
      </c>
      <c r="H14" s="12" t="s">
        <v>107</v>
      </c>
      <c r="I14" s="8" t="s">
        <v>108</v>
      </c>
    </row>
    <row r="15" customFormat="false" ht="15" hidden="false" customHeight="false" outlineLevel="0" collapsed="false">
      <c r="A15" s="0" t="s">
        <v>109</v>
      </c>
      <c r="B15" s="8" t="s">
        <v>110</v>
      </c>
      <c r="C15" s="8" t="s">
        <v>70</v>
      </c>
      <c r="E15" s="11" t="n">
        <v>60</v>
      </c>
      <c r="G15" s="12" t="s">
        <v>84</v>
      </c>
      <c r="H15" s="12" t="s">
        <v>111</v>
      </c>
      <c r="I15" s="8" t="s">
        <v>112</v>
      </c>
    </row>
    <row r="16" customFormat="false" ht="15" hidden="false" customHeight="false" outlineLevel="0" collapsed="false">
      <c r="A16" s="0" t="s">
        <v>113</v>
      </c>
      <c r="B16" s="8" t="s">
        <v>114</v>
      </c>
      <c r="C16" s="8" t="s">
        <v>70</v>
      </c>
      <c r="E16" s="11" t="n">
        <v>66</v>
      </c>
      <c r="G16" s="12" t="s">
        <v>84</v>
      </c>
      <c r="H16" s="12" t="s">
        <v>115</v>
      </c>
      <c r="I16" s="8" t="s">
        <v>116</v>
      </c>
    </row>
    <row r="17" customFormat="false" ht="15" hidden="false" customHeight="false" outlineLevel="0" collapsed="false">
      <c r="A17" s="0" t="s">
        <v>117</v>
      </c>
      <c r="B17" s="8" t="s">
        <v>118</v>
      </c>
      <c r="C17" s="8" t="s">
        <v>70</v>
      </c>
      <c r="E17" s="11" t="n">
        <v>66</v>
      </c>
      <c r="G17" s="12" t="s">
        <v>84</v>
      </c>
      <c r="H17" s="12" t="s">
        <v>119</v>
      </c>
      <c r="I17" s="8" t="s">
        <v>116</v>
      </c>
    </row>
    <row r="18" customFormat="false" ht="15" hidden="false" customHeight="false" outlineLevel="0" collapsed="false">
      <c r="A18" s="0" t="s">
        <v>120</v>
      </c>
      <c r="B18" s="8" t="s">
        <v>121</v>
      </c>
      <c r="C18" s="0" t="s">
        <v>89</v>
      </c>
      <c r="E18" s="11" t="n">
        <v>62</v>
      </c>
      <c r="G18" s="12" t="s">
        <v>71</v>
      </c>
      <c r="H18" s="12" t="s">
        <v>122</v>
      </c>
      <c r="I18" s="8" t="s">
        <v>123</v>
      </c>
    </row>
    <row r="19" customFormat="false" ht="15" hidden="false" customHeight="false" outlineLevel="0" collapsed="false">
      <c r="A19" s="0" t="s">
        <v>124</v>
      </c>
      <c r="B19" s="8" t="s">
        <v>125</v>
      </c>
      <c r="C19" s="0" t="s">
        <v>89</v>
      </c>
      <c r="E19" s="11" t="n">
        <v>77</v>
      </c>
      <c r="G19" s="12" t="s">
        <v>71</v>
      </c>
      <c r="H19" s="12" t="s">
        <v>126</v>
      </c>
      <c r="I19" s="8" t="s">
        <v>127</v>
      </c>
    </row>
    <row r="20" customFormat="false" ht="15" hidden="false" customHeight="false" outlineLevel="0" collapsed="false">
      <c r="A20" s="0" t="s">
        <v>128</v>
      </c>
      <c r="B20" s="8" t="s">
        <v>129</v>
      </c>
      <c r="C20" s="0" t="s">
        <v>89</v>
      </c>
      <c r="E20" s="11" t="n">
        <v>90</v>
      </c>
      <c r="G20" s="12" t="s">
        <v>71</v>
      </c>
      <c r="H20" s="12" t="s">
        <v>130</v>
      </c>
      <c r="I20" s="8" t="s">
        <v>131</v>
      </c>
    </row>
    <row r="21" customFormat="false" ht="15" hidden="false" customHeight="false" outlineLevel="0" collapsed="false">
      <c r="A21" s="0" t="s">
        <v>132</v>
      </c>
      <c r="B21" s="8" t="s">
        <v>133</v>
      </c>
      <c r="C21" s="0" t="s">
        <v>89</v>
      </c>
      <c r="E21" s="11" t="n">
        <v>95</v>
      </c>
      <c r="G21" s="12" t="s">
        <v>84</v>
      </c>
      <c r="H21" s="12" t="s">
        <v>134</v>
      </c>
      <c r="I21" s="8" t="s">
        <v>135</v>
      </c>
    </row>
    <row r="22" customFormat="false" ht="15" hidden="false" customHeight="false" outlineLevel="0" collapsed="false">
      <c r="A22" s="9" t="s">
        <v>136</v>
      </c>
    </row>
    <row r="23" customFormat="false" ht="15" hidden="false" customHeight="false" outlineLevel="0" collapsed="false">
      <c r="A23" s="0" t="s">
        <v>137</v>
      </c>
      <c r="B23" s="8" t="s">
        <v>138</v>
      </c>
      <c r="C23" s="0" t="s">
        <v>139</v>
      </c>
      <c r="D23" s="13" t="n">
        <v>0.58</v>
      </c>
      <c r="E23" s="13" t="n">
        <v>0.64</v>
      </c>
      <c r="F23" s="13" t="n">
        <v>0.7</v>
      </c>
      <c r="G23" s="12" t="s">
        <v>140</v>
      </c>
      <c r="H23" s="12" t="s">
        <v>141</v>
      </c>
      <c r="I23" s="12" t="s">
        <v>142</v>
      </c>
    </row>
    <row r="24" customFormat="false" ht="15" hidden="false" customHeight="false" outlineLevel="0" collapsed="false">
      <c r="A24" s="0" t="s">
        <v>143</v>
      </c>
      <c r="B24" s="8" t="s">
        <v>144</v>
      </c>
      <c r="C24" s="0" t="s">
        <v>139</v>
      </c>
      <c r="D24" s="13" t="n">
        <v>0.58</v>
      </c>
      <c r="E24" s="13" t="n">
        <v>0.64</v>
      </c>
      <c r="F24" s="13" t="n">
        <v>0.7</v>
      </c>
      <c r="G24" s="12" t="s">
        <v>140</v>
      </c>
      <c r="H24" s="12" t="s">
        <v>141</v>
      </c>
      <c r="I24" s="12" t="s">
        <v>145</v>
      </c>
    </row>
    <row r="25" customFormat="false" ht="15" hidden="false" customHeight="false" outlineLevel="0" collapsed="false">
      <c r="A25" s="0" t="s">
        <v>146</v>
      </c>
      <c r="B25" s="8" t="s">
        <v>147</v>
      </c>
      <c r="C25" s="0" t="s">
        <v>89</v>
      </c>
      <c r="D25" s="10" t="n">
        <v>0</v>
      </c>
      <c r="E25" s="10" t="n">
        <v>0</v>
      </c>
      <c r="F25" s="10" t="n">
        <v>10</v>
      </c>
      <c r="G25" s="12" t="s">
        <v>84</v>
      </c>
      <c r="H25" s="8" t="s">
        <v>148</v>
      </c>
      <c r="I25" s="8" t="s">
        <v>149</v>
      </c>
    </row>
    <row r="26" customFormat="false" ht="15" hidden="false" customHeight="false" outlineLevel="0" collapsed="false">
      <c r="A26" s="0" t="s">
        <v>150</v>
      </c>
      <c r="B26" s="8" t="s">
        <v>151</v>
      </c>
      <c r="C26" s="0" t="s">
        <v>89</v>
      </c>
      <c r="D26" s="10" t="n">
        <v>0</v>
      </c>
      <c r="E26" s="10" t="n">
        <v>0</v>
      </c>
      <c r="F26" s="10" t="n">
        <v>0</v>
      </c>
      <c r="G26" s="12" t="s">
        <v>84</v>
      </c>
      <c r="H26" s="8" t="s">
        <v>152</v>
      </c>
      <c r="I26" s="8" t="s">
        <v>153</v>
      </c>
    </row>
    <row r="27" customFormat="false" ht="15" hidden="false" customHeight="false" outlineLevel="0" collapsed="false">
      <c r="A27" s="9" t="s">
        <v>154</v>
      </c>
    </row>
    <row r="28" customFormat="false" ht="15" hidden="false" customHeight="false" outlineLevel="0" collapsed="false">
      <c r="A28" s="0" t="s">
        <v>155</v>
      </c>
      <c r="B28" s="0" t="s">
        <v>156</v>
      </c>
      <c r="C28" s="0" t="s">
        <v>89</v>
      </c>
      <c r="E28" s="10" t="n">
        <v>38.8</v>
      </c>
      <c r="G28" s="12" t="s">
        <v>71</v>
      </c>
      <c r="H28" s="12" t="s">
        <v>157</v>
      </c>
      <c r="I28" s="8" t="s">
        <v>158</v>
      </c>
    </row>
    <row r="29" customFormat="false" ht="15" hidden="false" customHeight="false" outlineLevel="0" collapsed="false">
      <c r="A29" s="0" t="s">
        <v>159</v>
      </c>
      <c r="B29" s="0" t="s">
        <v>160</v>
      </c>
      <c r="C29" s="0" t="s">
        <v>139</v>
      </c>
      <c r="E29" s="13" t="n">
        <v>0.39</v>
      </c>
      <c r="G29" s="12" t="s">
        <v>71</v>
      </c>
      <c r="H29" s="12" t="s">
        <v>157</v>
      </c>
      <c r="I29" s="8" t="s">
        <v>158</v>
      </c>
    </row>
    <row r="30" customFormat="false" ht="15" hidden="false" customHeight="false" outlineLevel="0" collapsed="false">
      <c r="A30" s="0" t="s">
        <v>161</v>
      </c>
      <c r="B30" s="0" t="s">
        <v>162</v>
      </c>
      <c r="C30" s="0" t="s">
        <v>139</v>
      </c>
      <c r="E30" s="13" t="n">
        <v>0.274</v>
      </c>
      <c r="G30" s="12" t="s">
        <v>71</v>
      </c>
      <c r="H30" s="12" t="s">
        <v>163</v>
      </c>
      <c r="I30" s="8" t="s">
        <v>158</v>
      </c>
    </row>
    <row r="31" customFormat="false" ht="15" hidden="false" customHeight="false" outlineLevel="0" collapsed="false">
      <c r="A31" s="0" t="s">
        <v>164</v>
      </c>
      <c r="B31" s="0" t="s">
        <v>165</v>
      </c>
      <c r="C31" s="0" t="s">
        <v>139</v>
      </c>
      <c r="E31" s="13" t="n">
        <v>0.15</v>
      </c>
      <c r="G31" s="12" t="s">
        <v>71</v>
      </c>
      <c r="H31" s="12" t="s">
        <v>157</v>
      </c>
      <c r="I31" s="8" t="s">
        <v>166</v>
      </c>
    </row>
    <row r="32" customFormat="false" ht="15" hidden="false" customHeight="false" outlineLevel="0" collapsed="false">
      <c r="A32" s="0" t="s">
        <v>167</v>
      </c>
      <c r="B32" s="0" t="s">
        <v>168</v>
      </c>
      <c r="C32" s="0" t="s">
        <v>89</v>
      </c>
      <c r="E32" s="10" t="n">
        <v>13.9</v>
      </c>
      <c r="G32" s="12" t="s">
        <v>71</v>
      </c>
      <c r="H32" s="12" t="s">
        <v>157</v>
      </c>
      <c r="I32" s="8" t="s">
        <v>158</v>
      </c>
    </row>
    <row r="33" customFormat="false" ht="15" hidden="false" customHeight="false" outlineLevel="0" collapsed="false">
      <c r="A33" s="0" t="s">
        <v>169</v>
      </c>
      <c r="B33" s="0" t="s">
        <v>170</v>
      </c>
      <c r="C33" s="0" t="s">
        <v>139</v>
      </c>
      <c r="E33" s="13" t="n">
        <v>0.307</v>
      </c>
      <c r="G33" s="12" t="s">
        <v>71</v>
      </c>
      <c r="H33" s="12" t="s">
        <v>157</v>
      </c>
      <c r="I33" s="8" t="s">
        <v>158</v>
      </c>
    </row>
    <row r="34" customFormat="false" ht="15" hidden="false" customHeight="false" outlineLevel="0" collapsed="false">
      <c r="A34" s="0" t="s">
        <v>171</v>
      </c>
      <c r="B34" s="0" t="s">
        <v>172</v>
      </c>
      <c r="C34" s="0" t="s">
        <v>139</v>
      </c>
      <c r="E34" s="13" t="n">
        <v>0.311</v>
      </c>
      <c r="G34" s="12" t="s">
        <v>71</v>
      </c>
      <c r="H34" s="12" t="s">
        <v>163</v>
      </c>
      <c r="I34" s="8" t="s">
        <v>158</v>
      </c>
    </row>
    <row r="35" customFormat="false" ht="15" hidden="false" customHeight="false" outlineLevel="0" collapsed="false">
      <c r="A35" s="0" t="s">
        <v>173</v>
      </c>
      <c r="B35" s="0" t="s">
        <v>174</v>
      </c>
      <c r="C35" s="0" t="s">
        <v>139</v>
      </c>
      <c r="E35" s="13" t="n">
        <v>0.145</v>
      </c>
      <c r="G35" s="12" t="s">
        <v>71</v>
      </c>
      <c r="H35" s="12" t="s">
        <v>157</v>
      </c>
      <c r="I35" s="8" t="s">
        <v>166</v>
      </c>
    </row>
    <row r="36" customFormat="false" ht="15" hidden="false" customHeight="false" outlineLevel="0" collapsed="false">
      <c r="A36" s="0" t="s">
        <v>175</v>
      </c>
      <c r="B36" s="0" t="s">
        <v>176</v>
      </c>
      <c r="C36" s="0" t="s">
        <v>89</v>
      </c>
      <c r="E36" s="10" t="n">
        <v>78</v>
      </c>
      <c r="G36" s="12" t="s">
        <v>71</v>
      </c>
      <c r="H36" s="12" t="s">
        <v>157</v>
      </c>
      <c r="I36" s="8" t="s">
        <v>158</v>
      </c>
    </row>
    <row r="37" customFormat="false" ht="15" hidden="false" customHeight="false" outlineLevel="0" collapsed="false">
      <c r="A37" s="0" t="s">
        <v>177</v>
      </c>
      <c r="B37" s="0" t="s">
        <v>178</v>
      </c>
      <c r="C37" s="0" t="s">
        <v>139</v>
      </c>
      <c r="E37" s="13" t="n">
        <v>0.189</v>
      </c>
      <c r="G37" s="12" t="s">
        <v>71</v>
      </c>
      <c r="H37" s="12" t="s">
        <v>157</v>
      </c>
      <c r="I37" s="8" t="s">
        <v>158</v>
      </c>
    </row>
    <row r="38" customFormat="false" ht="15" hidden="false" customHeight="false" outlineLevel="0" collapsed="false">
      <c r="A38" s="0" t="s">
        <v>179</v>
      </c>
      <c r="B38" s="0" t="s">
        <v>180</v>
      </c>
      <c r="C38" s="0" t="s">
        <v>139</v>
      </c>
      <c r="E38" s="13" t="n">
        <v>0.181</v>
      </c>
      <c r="G38" s="12" t="s">
        <v>71</v>
      </c>
      <c r="H38" s="12" t="s">
        <v>163</v>
      </c>
      <c r="I38" s="8" t="s">
        <v>158</v>
      </c>
    </row>
    <row r="39" customFormat="false" ht="15" hidden="false" customHeight="false" outlineLevel="0" collapsed="false">
      <c r="A39" s="0" t="s">
        <v>181</v>
      </c>
      <c r="B39" s="0" t="s">
        <v>182</v>
      </c>
      <c r="C39" s="0" t="s">
        <v>139</v>
      </c>
      <c r="E39" s="13" t="n">
        <v>0.136</v>
      </c>
      <c r="G39" s="12" t="s">
        <v>71</v>
      </c>
      <c r="H39" s="12" t="s">
        <v>157</v>
      </c>
      <c r="I39" s="8" t="s">
        <v>166</v>
      </c>
    </row>
    <row r="40" customFormat="false" ht="15" hidden="false" customHeight="false" outlineLevel="0" collapsed="false">
      <c r="A40" s="0" t="s">
        <v>183</v>
      </c>
      <c r="B40" s="0" t="s">
        <v>184</v>
      </c>
      <c r="C40" s="0" t="s">
        <v>89</v>
      </c>
      <c r="E40" s="10" t="n">
        <v>143.9</v>
      </c>
      <c r="G40" s="12" t="s">
        <v>71</v>
      </c>
      <c r="H40" s="12" t="s">
        <v>157</v>
      </c>
      <c r="I40" s="8" t="s">
        <v>158</v>
      </c>
    </row>
    <row r="41" customFormat="false" ht="15" hidden="false" customHeight="false" outlineLevel="0" collapsed="false">
      <c r="A41" s="0" t="s">
        <v>185</v>
      </c>
      <c r="B41" s="0" t="s">
        <v>186</v>
      </c>
      <c r="C41" s="0" t="s">
        <v>139</v>
      </c>
      <c r="E41" s="13" t="n">
        <v>0.231</v>
      </c>
      <c r="G41" s="12" t="s">
        <v>71</v>
      </c>
      <c r="H41" s="12" t="s">
        <v>157</v>
      </c>
      <c r="I41" s="8" t="s">
        <v>158</v>
      </c>
    </row>
    <row r="42" customFormat="false" ht="15" hidden="false" customHeight="false" outlineLevel="0" collapsed="false">
      <c r="A42" s="0" t="s">
        <v>187</v>
      </c>
      <c r="B42" s="0" t="s">
        <v>188</v>
      </c>
      <c r="C42" s="0" t="s">
        <v>139</v>
      </c>
      <c r="E42" s="13" t="n">
        <v>0.218</v>
      </c>
      <c r="G42" s="12" t="s">
        <v>71</v>
      </c>
      <c r="H42" s="12" t="s">
        <v>163</v>
      </c>
      <c r="I42" s="8" t="s">
        <v>158</v>
      </c>
    </row>
    <row r="43" customFormat="false" ht="15" hidden="false" customHeight="false" outlineLevel="0" collapsed="false">
      <c r="A43" s="0" t="s">
        <v>189</v>
      </c>
      <c r="B43" s="0" t="s">
        <v>190</v>
      </c>
      <c r="C43" s="0" t="s">
        <v>139</v>
      </c>
      <c r="E43" s="13" t="n">
        <v>0.141</v>
      </c>
      <c r="G43" s="12" t="s">
        <v>71</v>
      </c>
      <c r="H43" s="12" t="s">
        <v>157</v>
      </c>
      <c r="I43" s="8" t="s">
        <v>166</v>
      </c>
    </row>
    <row r="44" customFormat="false" ht="15" hidden="false" customHeight="false" outlineLevel="0" collapsed="false">
      <c r="A44" s="0" t="s">
        <v>191</v>
      </c>
      <c r="B44" s="0" t="s">
        <v>192</v>
      </c>
      <c r="C44" s="0" t="s">
        <v>89</v>
      </c>
      <c r="E44" s="10" t="n">
        <v>15.3</v>
      </c>
      <c r="G44" s="12" t="s">
        <v>71</v>
      </c>
      <c r="H44" s="12" t="s">
        <v>157</v>
      </c>
      <c r="I44" s="8" t="s">
        <v>158</v>
      </c>
    </row>
    <row r="45" customFormat="false" ht="15" hidden="false" customHeight="false" outlineLevel="0" collapsed="false">
      <c r="A45" s="0" t="s">
        <v>193</v>
      </c>
      <c r="B45" s="0" t="s">
        <v>194</v>
      </c>
      <c r="C45" s="0" t="s">
        <v>139</v>
      </c>
      <c r="E45" s="13" t="n">
        <v>0.31</v>
      </c>
      <c r="G45" s="12" t="s">
        <v>71</v>
      </c>
      <c r="H45" s="12" t="s">
        <v>157</v>
      </c>
      <c r="I45" s="8" t="s">
        <v>158</v>
      </c>
    </row>
    <row r="46" customFormat="false" ht="15" hidden="false" customHeight="false" outlineLevel="0" collapsed="false">
      <c r="A46" s="0" t="s">
        <v>195</v>
      </c>
      <c r="B46" s="0" t="s">
        <v>196</v>
      </c>
      <c r="C46" s="0" t="s">
        <v>89</v>
      </c>
      <c r="E46" s="10" t="n">
        <v>20.8</v>
      </c>
      <c r="G46" s="12" t="s">
        <v>71</v>
      </c>
      <c r="H46" s="12" t="s">
        <v>157</v>
      </c>
      <c r="I46" s="8" t="s">
        <v>197</v>
      </c>
    </row>
    <row r="47" customFormat="false" ht="15" hidden="false" customHeight="false" outlineLevel="0" collapsed="false">
      <c r="A47" s="0" t="s">
        <v>198</v>
      </c>
      <c r="B47" s="0" t="s">
        <v>199</v>
      </c>
      <c r="C47" s="0" t="s">
        <v>89</v>
      </c>
      <c r="E47" s="10" t="n">
        <v>6.7</v>
      </c>
      <c r="G47" s="12" t="s">
        <v>71</v>
      </c>
      <c r="H47" s="12" t="s">
        <v>157</v>
      </c>
      <c r="I47" s="8" t="s">
        <v>158</v>
      </c>
    </row>
    <row r="48" customFormat="false" ht="15" hidden="false" customHeight="false" outlineLevel="0" collapsed="false">
      <c r="A48" s="0" t="s">
        <v>200</v>
      </c>
      <c r="B48" s="0" t="s">
        <v>201</v>
      </c>
      <c r="C48" s="0" t="s">
        <v>139</v>
      </c>
      <c r="E48" s="13" t="n">
        <v>0.096</v>
      </c>
      <c r="G48" s="12" t="s">
        <v>71</v>
      </c>
      <c r="H48" s="12" t="s">
        <v>157</v>
      </c>
      <c r="I48" s="8" t="s">
        <v>158</v>
      </c>
    </row>
    <row r="49" customFormat="false" ht="15" hidden="false" customHeight="false" outlineLevel="0" collapsed="false">
      <c r="A49" s="0" t="s">
        <v>202</v>
      </c>
      <c r="B49" s="0" t="s">
        <v>203</v>
      </c>
      <c r="C49" s="0" t="s">
        <v>89</v>
      </c>
      <c r="E49" s="10" t="n">
        <v>8.6</v>
      </c>
      <c r="G49" s="12" t="s">
        <v>71</v>
      </c>
      <c r="H49" s="12" t="s">
        <v>157</v>
      </c>
      <c r="I49" s="8" t="s">
        <v>204</v>
      </c>
    </row>
    <row r="50" customFormat="false" ht="15" hidden="false" customHeight="false" outlineLevel="0" collapsed="false">
      <c r="A50" s="0" t="s">
        <v>205</v>
      </c>
      <c r="B50" s="0" t="s">
        <v>206</v>
      </c>
      <c r="C50" s="0" t="s">
        <v>89</v>
      </c>
      <c r="E50" s="10" t="n">
        <v>165.9</v>
      </c>
      <c r="G50" s="12" t="s">
        <v>71</v>
      </c>
      <c r="H50" s="12" t="s">
        <v>157</v>
      </c>
      <c r="I50" s="8" t="s">
        <v>158</v>
      </c>
    </row>
    <row r="51" customFormat="false" ht="15" hidden="false" customHeight="false" outlineLevel="0" collapsed="false">
      <c r="A51" s="0" t="s">
        <v>207</v>
      </c>
      <c r="B51" s="0" t="s">
        <v>208</v>
      </c>
      <c r="C51" s="0" t="s">
        <v>139</v>
      </c>
      <c r="E51" s="13" t="n">
        <v>0.232</v>
      </c>
      <c r="G51" s="12" t="s">
        <v>71</v>
      </c>
      <c r="H51" s="12" t="s">
        <v>157</v>
      </c>
      <c r="I51" s="8" t="s">
        <v>158</v>
      </c>
    </row>
    <row r="52" customFormat="false" ht="15" hidden="false" customHeight="false" outlineLevel="0" collapsed="false">
      <c r="A52" s="0" t="s">
        <v>209</v>
      </c>
      <c r="B52" s="0" t="s">
        <v>210</v>
      </c>
      <c r="C52" s="0" t="s">
        <v>89</v>
      </c>
      <c r="E52" s="10" t="n">
        <v>229.5</v>
      </c>
      <c r="G52" s="12" t="s">
        <v>71</v>
      </c>
      <c r="H52" s="12" t="s">
        <v>157</v>
      </c>
      <c r="I52" s="8" t="s">
        <v>158</v>
      </c>
    </row>
    <row r="53" customFormat="false" ht="15" hidden="false" customHeight="false" outlineLevel="0" collapsed="false">
      <c r="A53" s="0" t="s">
        <v>211</v>
      </c>
      <c r="B53" s="0" t="s">
        <v>212</v>
      </c>
      <c r="C53" s="0" t="s">
        <v>139</v>
      </c>
      <c r="D53" s="13" t="n">
        <v>0</v>
      </c>
      <c r="E53" s="13" t="n">
        <v>0.08</v>
      </c>
      <c r="F53" s="13" t="n">
        <v>0.12</v>
      </c>
      <c r="G53" s="12" t="s">
        <v>84</v>
      </c>
      <c r="H53" s="8" t="s">
        <v>213</v>
      </c>
      <c r="I53" s="8" t="s">
        <v>214</v>
      </c>
    </row>
    <row r="54" customFormat="false" ht="15" hidden="false" customHeight="false" outlineLevel="0" collapsed="false">
      <c r="A54" s="9" t="s">
        <v>215</v>
      </c>
    </row>
    <row r="55" customFormat="false" ht="15" hidden="false" customHeight="false" outlineLevel="0" collapsed="false">
      <c r="A55" s="0" t="s">
        <v>216</v>
      </c>
      <c r="B55" s="8" t="s">
        <v>217</v>
      </c>
      <c r="C55" s="0" t="s">
        <v>218</v>
      </c>
      <c r="D55" s="10" t="n">
        <v>0.95</v>
      </c>
      <c r="E55" s="10" t="n">
        <v>1</v>
      </c>
      <c r="F55" s="10" t="n">
        <v>1.05</v>
      </c>
      <c r="G55" s="12" t="s">
        <v>84</v>
      </c>
      <c r="H55" s="8" t="s">
        <v>219</v>
      </c>
      <c r="I55" s="8" t="s">
        <v>220</v>
      </c>
    </row>
    <row r="56" customFormat="false" ht="15" hidden="false" customHeight="false" outlineLevel="0" collapsed="false">
      <c r="A56" s="0" t="s">
        <v>221</v>
      </c>
      <c r="B56" s="8" t="s">
        <v>222</v>
      </c>
      <c r="C56" s="0" t="s">
        <v>218</v>
      </c>
      <c r="D56" s="10" t="n">
        <v>0.75</v>
      </c>
      <c r="E56" s="10" t="n">
        <v>0.8</v>
      </c>
      <c r="F56" s="10" t="n">
        <v>0.85</v>
      </c>
      <c r="G56" s="12" t="s">
        <v>84</v>
      </c>
      <c r="H56" s="8" t="s">
        <v>223</v>
      </c>
      <c r="I56" s="8" t="s">
        <v>224</v>
      </c>
    </row>
    <row r="57" customFormat="false" ht="15" hidden="false" customHeight="false" outlineLevel="0" collapsed="false">
      <c r="A57" s="0" t="s">
        <v>225</v>
      </c>
      <c r="B57" s="8" t="s">
        <v>226</v>
      </c>
      <c r="C57" s="0" t="s">
        <v>218</v>
      </c>
      <c r="D57" s="10" t="n">
        <v>0.9</v>
      </c>
      <c r="E57" s="10" t="n">
        <v>0.95</v>
      </c>
      <c r="F57" s="10" t="n">
        <v>1.05</v>
      </c>
      <c r="G57" s="12" t="s">
        <v>84</v>
      </c>
      <c r="H57" s="8" t="s">
        <v>227</v>
      </c>
      <c r="I57" s="8" t="s">
        <v>228</v>
      </c>
    </row>
    <row r="58" customFormat="false" ht="15" hidden="false" customHeight="false" outlineLevel="0" collapsed="false">
      <c r="A58" s="0" t="s">
        <v>229</v>
      </c>
      <c r="B58" s="8" t="s">
        <v>230</v>
      </c>
      <c r="C58" s="0" t="s">
        <v>218</v>
      </c>
      <c r="D58" s="10" t="n">
        <v>0.9</v>
      </c>
      <c r="E58" s="10" t="n">
        <v>1</v>
      </c>
      <c r="F58" s="10" t="n">
        <v>1.1</v>
      </c>
      <c r="G58" s="12" t="s">
        <v>84</v>
      </c>
      <c r="H58" s="8" t="s">
        <v>231</v>
      </c>
      <c r="I58" s="8" t="s">
        <v>228</v>
      </c>
    </row>
    <row r="59" customFormat="false" ht="15" hidden="false" customHeight="false" outlineLevel="0" collapsed="false">
      <c r="A59" s="9" t="s">
        <v>232</v>
      </c>
    </row>
    <row r="60" customFormat="false" ht="15" hidden="false" customHeight="false" outlineLevel="0" collapsed="false">
      <c r="A60" s="0" t="s">
        <v>233</v>
      </c>
      <c r="B60" s="8" t="s">
        <v>234</v>
      </c>
      <c r="C60" s="0" t="s">
        <v>139</v>
      </c>
      <c r="D60" s="13" t="n">
        <v>0.15</v>
      </c>
      <c r="E60" s="13" t="n">
        <v>0.25</v>
      </c>
      <c r="F60" s="13" t="n">
        <v>0.4</v>
      </c>
      <c r="G60" s="12" t="s">
        <v>84</v>
      </c>
      <c r="H60" s="8" t="s">
        <v>235</v>
      </c>
      <c r="I60" s="8" t="s">
        <v>236</v>
      </c>
    </row>
    <row r="61" customFormat="false" ht="15" hidden="false" customHeight="false" outlineLevel="0" collapsed="false">
      <c r="A61" s="0" t="s">
        <v>237</v>
      </c>
      <c r="B61" s="8" t="s">
        <v>238</v>
      </c>
      <c r="C61" s="0" t="s">
        <v>139</v>
      </c>
      <c r="D61" s="13" t="n">
        <v>0.35</v>
      </c>
      <c r="E61" s="13" t="n">
        <v>0.5</v>
      </c>
      <c r="F61" s="13" t="n">
        <v>0.65</v>
      </c>
      <c r="G61" s="12" t="s">
        <v>84</v>
      </c>
      <c r="H61" s="8" t="s">
        <v>239</v>
      </c>
      <c r="I61" s="8" t="s">
        <v>240</v>
      </c>
    </row>
    <row r="62" customFormat="false" ht="15" hidden="false" customHeight="false" outlineLevel="0" collapsed="false">
      <c r="A62" s="9" t="s">
        <v>241</v>
      </c>
    </row>
    <row r="63" customFormat="false" ht="15" hidden="false" customHeight="false" outlineLevel="0" collapsed="false">
      <c r="A63" s="0" t="s">
        <v>242</v>
      </c>
      <c r="B63" s="0" t="s">
        <v>243</v>
      </c>
      <c r="C63" s="0" t="s">
        <v>89</v>
      </c>
      <c r="E63" s="10" t="n">
        <v>150</v>
      </c>
      <c r="G63" s="12" t="s">
        <v>71</v>
      </c>
      <c r="H63" s="8" t="s">
        <v>244</v>
      </c>
      <c r="I63" s="12" t="s">
        <v>245</v>
      </c>
    </row>
    <row r="64" customFormat="false" ht="15" hidden="false" customHeight="false" outlineLevel="0" collapsed="false">
      <c r="A64" s="0" t="s">
        <v>246</v>
      </c>
      <c r="B64" s="0" t="s">
        <v>247</v>
      </c>
      <c r="C64" s="0" t="s">
        <v>89</v>
      </c>
      <c r="E64" s="10" t="n">
        <v>200</v>
      </c>
      <c r="G64" s="12" t="s">
        <v>71</v>
      </c>
      <c r="H64" s="8" t="s">
        <v>248</v>
      </c>
      <c r="I64" s="8" t="s">
        <v>249</v>
      </c>
    </row>
    <row r="65" customFormat="false" ht="15" hidden="false" customHeight="false" outlineLevel="0" collapsed="false">
      <c r="A65" s="0" t="s">
        <v>250</v>
      </c>
      <c r="B65" s="0" t="s">
        <v>251</v>
      </c>
      <c r="C65" s="0" t="s">
        <v>89</v>
      </c>
      <c r="E65" s="10" t="n">
        <v>150</v>
      </c>
      <c r="G65" s="12" t="s">
        <v>71</v>
      </c>
      <c r="H65" s="8" t="s">
        <v>252</v>
      </c>
      <c r="I65" s="8" t="s">
        <v>253</v>
      </c>
    </row>
    <row r="66" customFormat="false" ht="15" hidden="false" customHeight="false" outlineLevel="0" collapsed="false">
      <c r="A66" s="0" t="s">
        <v>254</v>
      </c>
      <c r="B66" s="0" t="s">
        <v>255</v>
      </c>
      <c r="C66" s="0" t="s">
        <v>89</v>
      </c>
      <c r="E66" s="10" t="n">
        <v>190</v>
      </c>
      <c r="G66" s="12" t="s">
        <v>71</v>
      </c>
      <c r="H66" s="8" t="s">
        <v>256</v>
      </c>
      <c r="I66" s="8" t="s">
        <v>257</v>
      </c>
    </row>
    <row r="67" customFormat="false" ht="15" hidden="false" customHeight="false" outlineLevel="0" collapsed="false">
      <c r="A67" s="0" t="s">
        <v>258</v>
      </c>
      <c r="B67" s="0" t="s">
        <v>259</v>
      </c>
      <c r="C67" s="0" t="s">
        <v>89</v>
      </c>
      <c r="E67" s="10" t="n">
        <v>202</v>
      </c>
      <c r="G67" s="12" t="s">
        <v>71</v>
      </c>
      <c r="H67" s="8" t="s">
        <v>260</v>
      </c>
      <c r="I67" s="8" t="s">
        <v>261</v>
      </c>
    </row>
    <row r="68" customFormat="false" ht="15" hidden="false" customHeight="false" outlineLevel="0" collapsed="false">
      <c r="A68" s="0" t="s">
        <v>262</v>
      </c>
      <c r="B68" s="0" t="s">
        <v>263</v>
      </c>
      <c r="C68" s="0" t="s">
        <v>89</v>
      </c>
      <c r="E68" s="10" t="n">
        <v>227</v>
      </c>
      <c r="G68" s="12" t="s">
        <v>71</v>
      </c>
      <c r="H68" s="8" t="s">
        <v>260</v>
      </c>
      <c r="I68" s="8" t="s">
        <v>264</v>
      </c>
    </row>
    <row r="69" customFormat="false" ht="15" hidden="false" customHeight="false" outlineLevel="0" collapsed="false">
      <c r="A69" s="0" t="s">
        <v>265</v>
      </c>
      <c r="B69" s="0" t="s">
        <v>266</v>
      </c>
      <c r="C69" s="0" t="s">
        <v>89</v>
      </c>
      <c r="E69" s="10" t="n">
        <v>150</v>
      </c>
      <c r="G69" s="12" t="s">
        <v>71</v>
      </c>
      <c r="H69" s="12" t="s">
        <v>267</v>
      </c>
      <c r="I69" s="12" t="s">
        <v>268</v>
      </c>
    </row>
    <row r="70" customFormat="false" ht="15" hidden="false" customHeight="false" outlineLevel="0" collapsed="false">
      <c r="A70" s="0" t="s">
        <v>269</v>
      </c>
      <c r="B70" s="0" t="s">
        <v>270</v>
      </c>
      <c r="C70" s="0" t="s">
        <v>89</v>
      </c>
      <c r="E70" s="10" t="n">
        <v>218</v>
      </c>
      <c r="G70" s="12" t="s">
        <v>71</v>
      </c>
      <c r="H70" s="12" t="s">
        <v>267</v>
      </c>
      <c r="I70" s="8" t="s">
        <v>264</v>
      </c>
    </row>
    <row r="71" customFormat="false" ht="15" hidden="false" customHeight="false" outlineLevel="0" collapsed="false">
      <c r="A71" s="0" t="s">
        <v>271</v>
      </c>
      <c r="B71" s="0" t="s">
        <v>272</v>
      </c>
      <c r="C71" s="0" t="s">
        <v>89</v>
      </c>
      <c r="E71" s="10" t="n">
        <v>281</v>
      </c>
      <c r="G71" s="12" t="s">
        <v>71</v>
      </c>
      <c r="H71" s="12" t="s">
        <v>267</v>
      </c>
      <c r="I71" s="8" t="s">
        <v>264</v>
      </c>
    </row>
    <row r="72" customFormat="false" ht="15" hidden="false" customHeight="false" outlineLevel="0" collapsed="false">
      <c r="A72" s="0" t="s">
        <v>273</v>
      </c>
      <c r="B72" s="8" t="s">
        <v>274</v>
      </c>
      <c r="C72" s="0" t="s">
        <v>139</v>
      </c>
      <c r="E72" s="13" t="n">
        <v>0.15</v>
      </c>
      <c r="G72" s="12" t="s">
        <v>90</v>
      </c>
      <c r="H72" s="8" t="s">
        <v>275</v>
      </c>
      <c r="I72" s="12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7" min="3" style="0" width="10"/>
    <col collapsed="false" customWidth="true" hidden="false" outlineLevel="0" max="8" min="8" style="0" width="80"/>
  </cols>
  <sheetData>
    <row r="1" customFormat="false" ht="15" hidden="false" customHeight="false" outlineLevel="0" collapsed="false">
      <c r="A1" s="0" t="s">
        <v>277</v>
      </c>
    </row>
    <row r="2" customFormat="false" ht="15" hidden="false" customHeight="false" outlineLevel="0" collapsed="false">
      <c r="A2" s="0" t="s">
        <v>278</v>
      </c>
    </row>
    <row r="3" customFormat="false" ht="15" hidden="false" customHeight="false" outlineLevel="0" collapsed="false">
      <c r="A3" s="4" t="s">
        <v>53</v>
      </c>
      <c r="B3" s="4" t="s">
        <v>54</v>
      </c>
      <c r="C3" s="14" t="n">
        <v>2025</v>
      </c>
      <c r="D3" s="14" t="n">
        <v>2026</v>
      </c>
      <c r="E3" s="14" t="n">
        <v>2027</v>
      </c>
      <c r="F3" s="14" t="n">
        <v>2028</v>
      </c>
      <c r="G3" s="14" t="n">
        <v>2029</v>
      </c>
      <c r="H3" s="4" t="s">
        <v>279</v>
      </c>
    </row>
    <row r="4" customFormat="false" ht="15" hidden="false" customHeight="false" outlineLevel="0" collapsed="false">
      <c r="A4" s="7" t="s">
        <v>280</v>
      </c>
    </row>
    <row r="5" customFormat="false" ht="15" hidden="false" customHeight="false" outlineLevel="0" collapsed="false">
      <c r="A5" s="7" t="s">
        <v>281</v>
      </c>
    </row>
    <row r="6" customFormat="false" ht="15" hidden="false" customHeight="false" outlineLevel="0" collapsed="false">
      <c r="A6" s="8" t="s">
        <v>282</v>
      </c>
      <c r="B6" s="0" t="s">
        <v>89</v>
      </c>
      <c r="C6" s="15" t="n">
        <f aca="false">C87</f>
        <v>134.689359843138</v>
      </c>
      <c r="D6" s="15" t="n">
        <f aca="false">D87</f>
        <v>176.326147605634</v>
      </c>
      <c r="E6" s="15" t="n">
        <f aca="false">E87</f>
        <v>223.367293143085</v>
      </c>
      <c r="F6" s="15" t="n">
        <f aca="false">F87</f>
        <v>251.90881741831</v>
      </c>
      <c r="G6" s="15" t="n">
        <f aca="false">G87</f>
        <v>265.755269290648</v>
      </c>
    </row>
    <row r="7" customFormat="false" ht="15" hidden="false" customHeight="false" outlineLevel="0" collapsed="false">
      <c r="A7" s="8" t="s">
        <v>283</v>
      </c>
      <c r="B7" s="0" t="s">
        <v>139</v>
      </c>
      <c r="D7" s="16" t="n">
        <f aca="false">D88</f>
        <v>0.309131974574586</v>
      </c>
      <c r="E7" s="16" t="n">
        <f aca="false">E88</f>
        <v>0.266784853955195</v>
      </c>
      <c r="F7" s="16" t="n">
        <f aca="false">F88</f>
        <v>0.127778440046465</v>
      </c>
      <c r="G7" s="16" t="n">
        <f aca="false">G88</f>
        <v>0.0549661262922179</v>
      </c>
    </row>
    <row r="8" customFormat="false" ht="15" hidden="false" customHeight="false" outlineLevel="0" collapsed="false">
      <c r="A8" s="8" t="s">
        <v>284</v>
      </c>
      <c r="B8" s="0" t="s">
        <v>89</v>
      </c>
      <c r="C8" s="15" t="n">
        <f aca="false">C85</f>
        <v>116.896831844029</v>
      </c>
      <c r="D8" s="15" t="n">
        <f aca="false">D85</f>
        <v>154.326147605634</v>
      </c>
      <c r="E8" s="15" t="n">
        <f aca="false">E85</f>
        <v>197.937226760563</v>
      </c>
      <c r="F8" s="15" t="n">
        <f aca="false">F85</f>
        <v>222.50881741831</v>
      </c>
      <c r="G8" s="15" t="n">
        <f aca="false">G85</f>
        <v>234.003269290648</v>
      </c>
    </row>
    <row r="9" customFormat="false" ht="15" hidden="false" customHeight="false" outlineLevel="0" collapsed="false">
      <c r="A9" s="0" t="s">
        <v>285</v>
      </c>
      <c r="B9" s="0" t="s">
        <v>89</v>
      </c>
      <c r="D9" s="15" t="n">
        <f aca="false">D90</f>
        <v>99.086176984793</v>
      </c>
      <c r="E9" s="15" t="n">
        <f aca="false">E90</f>
        <v>129.777665198692</v>
      </c>
      <c r="F9" s="15" t="n">
        <f aca="false">F90</f>
        <v>146.984870174714</v>
      </c>
      <c r="G9" s="15" t="n">
        <f aca="false">G90</f>
        <v>153.074618297771</v>
      </c>
    </row>
    <row r="10" customFormat="false" ht="15" hidden="false" customHeight="false" outlineLevel="0" collapsed="false">
      <c r="A10" s="0" t="s">
        <v>286</v>
      </c>
      <c r="B10" s="0" t="s">
        <v>139</v>
      </c>
      <c r="E10" s="17" t="n">
        <f aca="false">E92</f>
        <v>0.652439218119484</v>
      </c>
      <c r="F10" s="17" t="n">
        <f aca="false">F92</f>
        <v>0.633725870078853</v>
      </c>
      <c r="G10" s="17" t="n">
        <f aca="false">G92</f>
        <v>0.603700900732707</v>
      </c>
    </row>
    <row r="11" customFormat="false" ht="15" hidden="false" customHeight="false" outlineLevel="0" collapsed="false">
      <c r="A11" s="0" t="s">
        <v>287</v>
      </c>
      <c r="B11" s="0" t="s">
        <v>139</v>
      </c>
      <c r="E11" s="17" t="n">
        <f aca="false">E93</f>
        <v>0.652439218119484</v>
      </c>
      <c r="F11" s="17" t="n">
        <f aca="false">F93</f>
        <v>0.602883182064589</v>
      </c>
      <c r="G11" s="17" t="n">
        <f aca="false">G93</f>
        <v>0.439805675793596</v>
      </c>
    </row>
    <row r="12" customFormat="false" ht="15" hidden="false" customHeight="false" outlineLevel="0" collapsed="false">
      <c r="A12" s="8" t="s">
        <v>288</v>
      </c>
      <c r="C12" s="18" t="n">
        <f aca="false">C94</f>
        <v>2029</v>
      </c>
    </row>
    <row r="13" customFormat="false" ht="15" hidden="false" customHeight="false" outlineLevel="0" collapsed="false">
      <c r="A13" s="7" t="s">
        <v>289</v>
      </c>
    </row>
    <row r="14" customFormat="false" ht="15" hidden="false" customHeight="false" outlineLevel="0" collapsed="false">
      <c r="A14" s="8" t="s">
        <v>282</v>
      </c>
      <c r="B14" s="0" t="s">
        <v>89</v>
      </c>
      <c r="C14" s="15" t="n">
        <f aca="false">C106</f>
        <v>134.689359843138</v>
      </c>
      <c r="D14" s="15" t="n">
        <f aca="false">D106</f>
        <v>176.326147605634</v>
      </c>
      <c r="E14" s="15" t="n">
        <f aca="false">E106</f>
        <v>223.367293143085</v>
      </c>
      <c r="F14" s="15" t="n">
        <f aca="false">F106</f>
        <v>223.367293143085</v>
      </c>
      <c r="G14" s="15" t="n">
        <f aca="false">G106</f>
        <v>212.198928485931</v>
      </c>
    </row>
    <row r="15" customFormat="false" ht="15" hidden="false" customHeight="false" outlineLevel="0" collapsed="false">
      <c r="A15" s="8" t="s">
        <v>283</v>
      </c>
      <c r="B15" s="0" t="s">
        <v>139</v>
      </c>
      <c r="D15" s="16" t="n">
        <f aca="false">D107</f>
        <v>0.309131974574586</v>
      </c>
      <c r="E15" s="16" t="n">
        <f aca="false">E107</f>
        <v>0.266784853955195</v>
      </c>
      <c r="F15" s="16" t="n">
        <f aca="false">F107</f>
        <v>0</v>
      </c>
      <c r="G15" s="16" t="n">
        <f aca="false">G107</f>
        <v>-0.0500000000000002</v>
      </c>
    </row>
    <row r="16" customFormat="false" ht="15" hidden="false" customHeight="false" outlineLevel="0" collapsed="false">
      <c r="A16" s="8" t="s">
        <v>284</v>
      </c>
      <c r="B16" s="0" t="s">
        <v>89</v>
      </c>
      <c r="C16" s="15" t="n">
        <f aca="false">C104</f>
        <v>116.896831844029</v>
      </c>
      <c r="D16" s="15" t="n">
        <f aca="false">D104</f>
        <v>154.326147605634</v>
      </c>
      <c r="E16" s="15" t="n">
        <f aca="false">E104</f>
        <v>197.937226760563</v>
      </c>
      <c r="F16" s="15" t="n">
        <f aca="false">F104</f>
        <v>197.937226760563</v>
      </c>
      <c r="G16" s="15" t="n">
        <f aca="false">G104</f>
        <v>188.040365422535</v>
      </c>
    </row>
    <row r="17" customFormat="false" ht="15" hidden="false" customHeight="false" outlineLevel="0" collapsed="false">
      <c r="A17" s="0" t="s">
        <v>285</v>
      </c>
      <c r="B17" s="0" t="s">
        <v>89</v>
      </c>
      <c r="D17" s="15" t="n">
        <f aca="false">D109</f>
        <v>99.086176984793</v>
      </c>
      <c r="E17" s="15" t="n">
        <f aca="false">E109</f>
        <v>129.777665198692</v>
      </c>
      <c r="F17" s="15" t="n">
        <f aca="false">F109</f>
        <v>129.777665198692</v>
      </c>
      <c r="G17" s="15" t="n">
        <f aca="false">G109</f>
        <v>123.288781938758</v>
      </c>
    </row>
    <row r="18" customFormat="false" ht="15" hidden="false" customHeight="false" outlineLevel="0" collapsed="false">
      <c r="A18" s="0" t="s">
        <v>286</v>
      </c>
      <c r="B18" s="0" t="s">
        <v>139</v>
      </c>
      <c r="E18" s="17" t="n">
        <f aca="false">E111</f>
        <v>0.652439218119484</v>
      </c>
      <c r="F18" s="17" t="n">
        <f aca="false">F111</f>
        <v>0.652439218119484</v>
      </c>
      <c r="G18" s="17" t="n">
        <f aca="false">G111</f>
        <v>0.674678805491161</v>
      </c>
    </row>
    <row r="19" customFormat="false" ht="15" hidden="false" customHeight="false" outlineLevel="0" collapsed="false">
      <c r="A19" s="0" t="s">
        <v>287</v>
      </c>
      <c r="B19" s="0" t="s">
        <v>139</v>
      </c>
      <c r="E19" s="17" t="n">
        <f aca="false">E112</f>
        <v>0.652439218119484</v>
      </c>
      <c r="F19" s="17" t="str">
        <f aca="false">F112</f>
        <v>n/a</v>
      </c>
      <c r="G19" s="17" t="n">
        <f aca="false">G112</f>
        <v>0.581005676222968</v>
      </c>
    </row>
    <row r="20" customFormat="false" ht="15" hidden="false" customHeight="false" outlineLevel="0" collapsed="false">
      <c r="A20" s="8" t="s">
        <v>288</v>
      </c>
      <c r="C20" s="18" t="n">
        <f aca="false">C113</f>
        <v>2028</v>
      </c>
    </row>
    <row r="21" customFormat="false" ht="15" hidden="false" customHeight="false" outlineLevel="0" collapsed="false">
      <c r="A21" s="7" t="s">
        <v>290</v>
      </c>
    </row>
    <row r="22" customFormat="false" ht="15" hidden="false" customHeight="false" outlineLevel="0" collapsed="false">
      <c r="A22" s="8" t="s">
        <v>282</v>
      </c>
      <c r="B22" s="0" t="s">
        <v>89</v>
      </c>
      <c r="C22" s="15" t="n">
        <f aca="false">C125</f>
        <v>134.689359843138</v>
      </c>
      <c r="D22" s="15" t="n">
        <f aca="false">D125</f>
        <v>176.326147605634</v>
      </c>
      <c r="E22" s="15" t="n">
        <f aca="false">E125</f>
        <v>223.367293143085</v>
      </c>
      <c r="F22" s="15" t="n">
        <f aca="false">F125</f>
        <v>178.693834514468</v>
      </c>
      <c r="G22" s="15" t="n">
        <f aca="false">G125</f>
        <v>178.693834514468</v>
      </c>
    </row>
    <row r="23" customFormat="false" ht="15" hidden="false" customHeight="false" outlineLevel="0" collapsed="false">
      <c r="A23" s="8" t="s">
        <v>283</v>
      </c>
      <c r="B23" s="0" t="s">
        <v>139</v>
      </c>
      <c r="D23" s="16" t="n">
        <f aca="false">D126</f>
        <v>0.309131974574586</v>
      </c>
      <c r="E23" s="16" t="n">
        <f aca="false">E126</f>
        <v>0.266784853955195</v>
      </c>
      <c r="F23" s="16" t="n">
        <f aca="false">F126</f>
        <v>-0.2</v>
      </c>
      <c r="G23" s="16" t="n">
        <f aca="false">G126</f>
        <v>0</v>
      </c>
    </row>
    <row r="24" customFormat="false" ht="15" hidden="false" customHeight="false" outlineLevel="0" collapsed="false">
      <c r="A24" s="8" t="s">
        <v>284</v>
      </c>
      <c r="B24" s="0" t="s">
        <v>89</v>
      </c>
      <c r="C24" s="15" t="n">
        <f aca="false">C123</f>
        <v>116.896831844029</v>
      </c>
      <c r="D24" s="15" t="n">
        <f aca="false">D123</f>
        <v>154.326147605634</v>
      </c>
      <c r="E24" s="15" t="n">
        <f aca="false">E123</f>
        <v>197.937226760563</v>
      </c>
      <c r="F24" s="15" t="n">
        <f aca="false">F123</f>
        <v>158.349781408451</v>
      </c>
      <c r="G24" s="15" t="n">
        <f aca="false">G123</f>
        <v>158.349781408451</v>
      </c>
    </row>
    <row r="25" customFormat="false" ht="15" hidden="false" customHeight="false" outlineLevel="0" collapsed="false">
      <c r="A25" s="0" t="s">
        <v>285</v>
      </c>
      <c r="B25" s="0" t="s">
        <v>89</v>
      </c>
      <c r="D25" s="15" t="n">
        <f aca="false">D128</f>
        <v>99.086176984793</v>
      </c>
      <c r="E25" s="15" t="n">
        <f aca="false">E128</f>
        <v>129.777665198692</v>
      </c>
      <c r="F25" s="15" t="n">
        <f aca="false">F128</f>
        <v>103.822132158954</v>
      </c>
      <c r="G25" s="15" t="n">
        <f aca="false">G128</f>
        <v>103.822132158954</v>
      </c>
    </row>
    <row r="26" customFormat="false" ht="15" hidden="false" customHeight="false" outlineLevel="0" collapsed="false">
      <c r="A26" s="0" t="s">
        <v>286</v>
      </c>
      <c r="B26" s="0" t="s">
        <v>139</v>
      </c>
      <c r="E26" s="17" t="n">
        <f aca="false">E130</f>
        <v>0.652439218119484</v>
      </c>
      <c r="F26" s="17" t="n">
        <f aca="false">F130</f>
        <v>2.00024553774003</v>
      </c>
      <c r="G26" s="17" t="n">
        <f aca="false">G130</f>
        <v>2.00024553774003</v>
      </c>
    </row>
    <row r="27" customFormat="false" ht="15" hidden="false" customHeight="false" outlineLevel="0" collapsed="false">
      <c r="A27" s="0" t="s">
        <v>287</v>
      </c>
      <c r="B27" s="0" t="s">
        <v>139</v>
      </c>
      <c r="E27" s="17" t="n">
        <f aca="false">E131</f>
        <v>0.652439218119484</v>
      </c>
      <c r="F27" s="17" t="n">
        <f aca="false">F131</f>
        <v>0.58100567622297</v>
      </c>
      <c r="G27" s="17" t="str">
        <f aca="false">G131</f>
        <v>n/a</v>
      </c>
    </row>
    <row r="28" customFormat="false" ht="15" hidden="false" customHeight="false" outlineLevel="0" collapsed="false">
      <c r="A28" s="8" t="s">
        <v>288</v>
      </c>
      <c r="C28" s="18" t="n">
        <f aca="false">C132</f>
        <v>2027</v>
      </c>
    </row>
    <row r="40" customFormat="false" ht="15" hidden="false" customHeight="false" outlineLevel="0" collapsed="false">
      <c r="A40" s="9" t="s">
        <v>291</v>
      </c>
    </row>
    <row r="41" customFormat="false" ht="15" hidden="false" customHeight="false" outlineLevel="0" collapsed="false">
      <c r="A41" s="19" t="s">
        <v>292</v>
      </c>
      <c r="B41" s="12" t="s">
        <v>89</v>
      </c>
      <c r="C41" s="15" t="n">
        <f aca="false">D41/(1+g_dram_26)</f>
        <v>27.9136690647482</v>
      </c>
      <c r="D41" s="15" t="n">
        <f aca="false">s_dram_26</f>
        <v>38.8</v>
      </c>
      <c r="E41" s="15" t="n">
        <f aca="false">D41*(1+g_dram_27)</f>
        <v>49.4312</v>
      </c>
      <c r="F41" s="15" t="n">
        <f aca="false">E41*(1+g_dram_28)</f>
        <v>56.84588</v>
      </c>
      <c r="G41" s="15" t="n">
        <f aca="false">F41*(1+g29)</f>
        <v>61.3935504</v>
      </c>
      <c r="H41" s="12" t="s">
        <v>293</v>
      </c>
    </row>
    <row r="42" customFormat="false" ht="15" hidden="false" customHeight="false" outlineLevel="0" collapsed="false">
      <c r="A42" s="19" t="s">
        <v>294</v>
      </c>
      <c r="B42" s="12" t="s">
        <v>89</v>
      </c>
      <c r="C42" s="15" t="n">
        <f aca="false">D42/(1+g_nand_26)</f>
        <v>10.6350420811018</v>
      </c>
      <c r="D42" s="15" t="n">
        <f aca="false">s_nand_26</f>
        <v>13.9</v>
      </c>
      <c r="E42" s="15" t="n">
        <f aca="false">D42*(1+g_nand_27)</f>
        <v>18.2229</v>
      </c>
      <c r="F42" s="15" t="n">
        <f aca="false">E42*(1+g_nand_28)</f>
        <v>20.8652205</v>
      </c>
      <c r="G42" s="15" t="n">
        <f aca="false">F42*(1+g29)</f>
        <v>22.53443814</v>
      </c>
      <c r="H42" s="12" t="s">
        <v>293</v>
      </c>
    </row>
    <row r="43" customFormat="false" ht="15" hidden="false" customHeight="false" outlineLevel="0" collapsed="false">
      <c r="A43" s="19" t="s">
        <v>295</v>
      </c>
      <c r="B43" s="12" t="s">
        <v>89</v>
      </c>
      <c r="C43" s="15" t="n">
        <f aca="false">D43/(1+g_fd_26)</f>
        <v>65.6013456686291</v>
      </c>
      <c r="D43" s="15" t="n">
        <f aca="false">s_fd_26</f>
        <v>78</v>
      </c>
      <c r="E43" s="15" t="n">
        <f aca="false">D43*(1+g_fd_27)</f>
        <v>92.118</v>
      </c>
      <c r="F43" s="15" t="n">
        <f aca="false">E43*(1+g_fd_28)</f>
        <v>104.646048</v>
      </c>
      <c r="G43" s="15" t="n">
        <f aca="false">F43*(1+g29)</f>
        <v>113.01773184</v>
      </c>
      <c r="H43" s="12" t="s">
        <v>293</v>
      </c>
    </row>
    <row r="44" customFormat="false" ht="15" hidden="false" customHeight="false" outlineLevel="0" collapsed="false">
      <c r="A44" s="19" t="s">
        <v>296</v>
      </c>
      <c r="B44" s="12" t="s">
        <v>89</v>
      </c>
      <c r="C44" s="15" t="n">
        <f aca="false">D44/(1+g_wfe_26)</f>
        <v>116.896831844029</v>
      </c>
      <c r="D44" s="15" t="n">
        <f aca="false">s_wfe_26</f>
        <v>143.9</v>
      </c>
      <c r="E44" s="15" t="n">
        <f aca="false">D44*(1+g_wfe_27)</f>
        <v>175.2702</v>
      </c>
      <c r="F44" s="15" t="n">
        <f aca="false">E44*(1+g_wfe_28)</f>
        <v>199.9832982</v>
      </c>
      <c r="G44" s="15" t="n">
        <f aca="false">F44*(1+g29)</f>
        <v>215.981962056</v>
      </c>
      <c r="H44" s="12" t="s">
        <v>293</v>
      </c>
    </row>
    <row r="45" customFormat="false" ht="15" hidden="false" customHeight="false" outlineLevel="0" collapsed="false">
      <c r="A45" s="19" t="s">
        <v>297</v>
      </c>
      <c r="B45" s="12" t="s">
        <v>89</v>
      </c>
      <c r="C45" s="15" t="n">
        <f aca="false">D45/(1+g_test_26)</f>
        <v>11.6793893129771</v>
      </c>
      <c r="D45" s="15" t="n">
        <f aca="false">s_test_26</f>
        <v>15.3</v>
      </c>
      <c r="E45" s="15" t="n">
        <f aca="false">SQRT(D45*F45)</f>
        <v>17.8392824967822</v>
      </c>
      <c r="F45" s="15" t="n">
        <f aca="false">s_test_28</f>
        <v>20.8</v>
      </c>
      <c r="G45" s="15" t="n">
        <f aca="false">F45*(1+g29)</f>
        <v>22.464</v>
      </c>
      <c r="H45" s="12" t="s">
        <v>298</v>
      </c>
    </row>
    <row r="46" customFormat="false" ht="15" hidden="false" customHeight="false" outlineLevel="0" collapsed="false">
      <c r="A46" s="19" t="s">
        <v>299</v>
      </c>
      <c r="B46" s="12" t="s">
        <v>89</v>
      </c>
      <c r="C46" s="15" t="n">
        <f aca="false">D46/(1+g_pkg_26)</f>
        <v>6.11313868613139</v>
      </c>
      <c r="D46" s="15" t="n">
        <f aca="false">s_pkg_26</f>
        <v>6.7</v>
      </c>
      <c r="E46" s="15" t="n">
        <f aca="false">SQRT(D46*F46)</f>
        <v>7.59078388573934</v>
      </c>
      <c r="F46" s="15" t="n">
        <f aca="false">s_pkg_28</f>
        <v>8.6</v>
      </c>
      <c r="G46" s="15" t="n">
        <f aca="false">F46*(1+g29)</f>
        <v>9.288</v>
      </c>
      <c r="H46" s="12" t="s">
        <v>298</v>
      </c>
    </row>
    <row r="47" customFormat="false" ht="15" hidden="false" customHeight="false" outlineLevel="0" collapsed="false">
      <c r="A47" s="19" t="s">
        <v>300</v>
      </c>
      <c r="B47" s="12" t="s">
        <v>89</v>
      </c>
      <c r="C47" s="15" t="n">
        <f aca="false">C44-C43-C41-C42</f>
        <v>12.7467750295502</v>
      </c>
      <c r="D47" s="15" t="n">
        <f aca="false">D44-D43-D41-D42</f>
        <v>13.2</v>
      </c>
      <c r="E47" s="15" t="n">
        <f aca="false">E44-E43-E41-E42</f>
        <v>15.4981</v>
      </c>
      <c r="F47" s="15" t="n">
        <f aca="false">F44-F43-F41-F42</f>
        <v>17.6261497</v>
      </c>
      <c r="G47" s="15" t="n">
        <f aca="false">G44-G43-G41-G42</f>
        <v>19.036241676</v>
      </c>
      <c r="H47" s="12" t="s">
        <v>301</v>
      </c>
    </row>
    <row r="48" customFormat="false" ht="15" hidden="false" customHeight="false" outlineLevel="0" collapsed="false">
      <c r="A48" s="9" t="s">
        <v>302</v>
      </c>
      <c r="B48" s="12" t="s">
        <v>89</v>
      </c>
      <c r="C48" s="15" t="n">
        <f aca="false">C44+C45+C46</f>
        <v>134.689359843138</v>
      </c>
      <c r="D48" s="15" t="n">
        <f aca="false">D44+D45+D46</f>
        <v>165.9</v>
      </c>
      <c r="E48" s="15" t="n">
        <f aca="false">E44+E45+E46</f>
        <v>200.700266382522</v>
      </c>
      <c r="F48" s="15" t="n">
        <f aca="false">F44+F45+F46</f>
        <v>229.3832982</v>
      </c>
      <c r="G48" s="15" t="n">
        <f aca="false">G44+G45+G46</f>
        <v>247.733962056</v>
      </c>
      <c r="H48" s="12" t="s">
        <v>303</v>
      </c>
    </row>
    <row r="49" customFormat="false" ht="15" hidden="false" customHeight="false" outlineLevel="0" collapsed="false">
      <c r="A49" s="19" t="s">
        <v>304</v>
      </c>
      <c r="B49" s="12" t="s">
        <v>139</v>
      </c>
      <c r="C49" s="16" t="n">
        <f aca="false">C41/(C41+C42)</f>
        <v>0.724114198244817</v>
      </c>
      <c r="D49" s="16" t="n">
        <f aca="false">D41/(D41+D42)</f>
        <v>0.736242884250474</v>
      </c>
      <c r="E49" s="16" t="n">
        <f aca="false">E41/(E41+E42)</f>
        <v>0.730646036234315</v>
      </c>
      <c r="F49" s="16" t="n">
        <f aca="false">F41/(F41+F42)</f>
        <v>0.731502702113966</v>
      </c>
      <c r="G49" s="16" t="n">
        <f aca="false">G41/(G41+G42)</f>
        <v>0.731502702113966</v>
      </c>
      <c r="H49" s="8" t="s">
        <v>305</v>
      </c>
    </row>
    <row r="51" customFormat="false" ht="15" hidden="false" customHeight="false" outlineLevel="0" collapsed="false">
      <c r="A51" s="9" t="s">
        <v>306</v>
      </c>
    </row>
    <row r="52" customFormat="false" ht="15" hidden="false" customHeight="false" outlineLevel="0" collapsed="false">
      <c r="A52" s="19" t="s">
        <v>307</v>
      </c>
      <c r="B52" s="12" t="s">
        <v>89</v>
      </c>
      <c r="D52" s="15" t="n">
        <f aca="false">cap_sk_26*1000/fx</f>
        <v>34.2957746478873</v>
      </c>
      <c r="E52" s="15" t="n">
        <f aca="false">cap_sk_27*1000/fx</f>
        <v>43.8732394366197</v>
      </c>
      <c r="F52" s="15" t="n">
        <f aca="false">cap_sk_28*1000/fx</f>
        <v>50.1408450704225</v>
      </c>
      <c r="G52" s="15" t="n">
        <f aca="false">cap_sk_29*1000/fx</f>
        <v>52.8169014084507</v>
      </c>
      <c r="H52" s="8" t="s">
        <v>308</v>
      </c>
    </row>
    <row r="53" customFormat="false" ht="15" hidden="false" customHeight="false" outlineLevel="0" collapsed="false">
      <c r="A53" s="20" t="s">
        <v>309</v>
      </c>
      <c r="B53" s="12" t="s">
        <v>89</v>
      </c>
      <c r="D53" s="15" t="n">
        <f aca="false">cap_mu_26</f>
        <v>27.367</v>
      </c>
      <c r="E53" s="15" t="n">
        <f aca="false">cap_mu_27</f>
        <v>55</v>
      </c>
      <c r="F53" s="15" t="n">
        <f aca="false">cap_mu_28</f>
        <v>60</v>
      </c>
      <c r="G53" s="15" t="n">
        <f aca="false">cap_mu_29</f>
        <v>60</v>
      </c>
    </row>
    <row r="54" customFormat="false" ht="15" hidden="false" customHeight="false" outlineLevel="0" collapsed="false">
      <c r="A54" s="20" t="s">
        <v>310</v>
      </c>
      <c r="B54" s="12" t="s">
        <v>89</v>
      </c>
      <c r="D54" s="15" t="n">
        <f aca="false">cap_ss_26*1000/fx</f>
        <v>36.9718309859155</v>
      </c>
      <c r="E54" s="15" t="n">
        <f aca="false">cap_ss_27*1000/fx</f>
        <v>42.2535211267606</v>
      </c>
      <c r="F54" s="15" t="n">
        <f aca="false">cap_ss_28*1000/fx</f>
        <v>46.4788732394366</v>
      </c>
      <c r="G54" s="15" t="n">
        <f aca="false">cap_ss_29*1000/fx</f>
        <v>46.4788732394366</v>
      </c>
    </row>
    <row r="55" customFormat="false" ht="15" hidden="false" customHeight="false" outlineLevel="0" collapsed="false">
      <c r="A55" s="7" t="s">
        <v>311</v>
      </c>
      <c r="B55" s="12" t="s">
        <v>89</v>
      </c>
      <c r="D55" s="15" t="n">
        <f aca="false">D52+D53+D54</f>
        <v>98.6346056338028</v>
      </c>
      <c r="E55" s="15" t="n">
        <f aca="false">E52+E53+E54</f>
        <v>141.12676056338</v>
      </c>
      <c r="F55" s="15" t="n">
        <f aca="false">F52+F53+F54</f>
        <v>156.619718309859</v>
      </c>
      <c r="G55" s="15" t="n">
        <f aca="false">G52+G53+G54</f>
        <v>159.295774647887</v>
      </c>
    </row>
    <row r="56" customFormat="false" ht="15" hidden="false" customHeight="false" outlineLevel="0" collapsed="false">
      <c r="A56" s="20" t="s">
        <v>312</v>
      </c>
      <c r="B56" s="12" t="s">
        <v>89</v>
      </c>
      <c r="D56" s="15" t="n">
        <f aca="false">D55*sh_mem</f>
        <v>63.1261476056338</v>
      </c>
      <c r="E56" s="15" t="n">
        <f aca="false">E55*sh_mem</f>
        <v>90.3211267605634</v>
      </c>
      <c r="F56" s="15" t="n">
        <f aca="false">F55*sh_mem</f>
        <v>100.23661971831</v>
      </c>
      <c r="G56" s="15" t="n">
        <f aca="false">G55*sh_mem</f>
        <v>101.949295774648</v>
      </c>
    </row>
    <row r="57" customFormat="false" ht="15" hidden="false" customHeight="false" outlineLevel="0" collapsed="false">
      <c r="A57" s="20" t="s">
        <v>313</v>
      </c>
      <c r="B57" s="12" t="s">
        <v>89</v>
      </c>
      <c r="D57" s="15" t="n">
        <f aca="false">D41+D42-D56</f>
        <v>-10.4261476056338</v>
      </c>
      <c r="E57" s="15" t="n">
        <f aca="false">E41+E42-E56</f>
        <v>-22.6670267605634</v>
      </c>
      <c r="F57" s="15" t="n">
        <f aca="false">F41+F42-F56</f>
        <v>-22.5255192183099</v>
      </c>
      <c r="G57" s="15" t="n">
        <f aca="false">G41+G42-G56</f>
        <v>-18.0213072346479</v>
      </c>
      <c r="H57" s="12" t="s">
        <v>314</v>
      </c>
    </row>
    <row r="58" customFormat="false" ht="15" hidden="false" customHeight="false" outlineLevel="0" collapsed="false">
      <c r="A58" s="20" t="s">
        <v>315</v>
      </c>
      <c r="B58" s="12" t="s">
        <v>89</v>
      </c>
      <c r="D58" s="15" t="n">
        <f aca="false">MAX(D57,fl_mem)</f>
        <v>0</v>
      </c>
      <c r="E58" s="15" t="n">
        <f aca="false">MAX(E57,fl_mem)</f>
        <v>0</v>
      </c>
      <c r="F58" s="15" t="n">
        <f aca="false">MAX(F57,fl_mem)</f>
        <v>0</v>
      </c>
      <c r="G58" s="15" t="n">
        <f aca="false">MAX(G57,fl_mem)</f>
        <v>0</v>
      </c>
    </row>
    <row r="59" customFormat="false" ht="15" hidden="false" customHeight="false" outlineLevel="0" collapsed="false">
      <c r="A59" s="7" t="s">
        <v>316</v>
      </c>
      <c r="B59" s="12" t="s">
        <v>89</v>
      </c>
      <c r="C59" s="15" t="n">
        <f aca="false">C41+C42</f>
        <v>38.54871114585</v>
      </c>
      <c r="D59" s="15" t="n">
        <f aca="false">D56+D58</f>
        <v>63.1261476056338</v>
      </c>
      <c r="E59" s="15" t="n">
        <f aca="false">E56+E58</f>
        <v>90.3211267605634</v>
      </c>
      <c r="F59" s="15" t="n">
        <f aca="false">F56+F58</f>
        <v>100.23661971831</v>
      </c>
      <c r="G59" s="15" t="n">
        <f aca="false">G56+G58</f>
        <v>101.949295774648</v>
      </c>
      <c r="H59" s="12" t="s">
        <v>317</v>
      </c>
    </row>
    <row r="60" customFormat="false" ht="15" hidden="false" customHeight="false" outlineLevel="0" collapsed="false">
      <c r="A60" s="20" t="s">
        <v>318</v>
      </c>
      <c r="D60" s="18" t="n">
        <f aca="false">IF(D57&lt;0,1,0)</f>
        <v>1</v>
      </c>
      <c r="E60" s="18" t="n">
        <f aca="false">IF(E57&lt;0,1,0)</f>
        <v>1</v>
      </c>
      <c r="F60" s="18" t="n">
        <f aca="false">IF(F57&lt;0,1,0)</f>
        <v>1</v>
      </c>
      <c r="G60" s="18" t="n">
        <f aca="false">IF(G57&lt;0,1,0)</f>
        <v>1</v>
      </c>
    </row>
    <row r="61" customFormat="false" ht="15" hidden="false" customHeight="false" outlineLevel="0" collapsed="false">
      <c r="A61" s="20" t="s">
        <v>319</v>
      </c>
      <c r="B61" s="12" t="s">
        <v>139</v>
      </c>
      <c r="D61" s="16" t="n">
        <f aca="false">(D41+D42)/D55</f>
        <v>0.534295237065756</v>
      </c>
      <c r="E61" s="16" t="n">
        <f aca="false">(E41+E42)/E55</f>
        <v>0.479385339321357</v>
      </c>
      <c r="F61" s="16" t="n">
        <f aca="false">(F41+F42)/F55</f>
        <v>0.496176990602518</v>
      </c>
      <c r="G61" s="16" t="n">
        <f aca="false">(G41+G42)/G55</f>
        <v>0.526868893575597</v>
      </c>
      <c r="H61" s="8" t="s">
        <v>320</v>
      </c>
    </row>
    <row r="63" customFormat="false" ht="15" hidden="false" customHeight="false" outlineLevel="0" collapsed="false">
      <c r="A63" s="9" t="s">
        <v>321</v>
      </c>
    </row>
    <row r="64" customFormat="false" ht="15" hidden="false" customHeight="false" outlineLevel="0" collapsed="false">
      <c r="A64" s="20" t="s">
        <v>322</v>
      </c>
      <c r="B64" s="12" t="s">
        <v>89</v>
      </c>
      <c r="D64" s="15" t="n">
        <f aca="false">cap_ts_26</f>
        <v>62</v>
      </c>
      <c r="E64" s="15" t="n">
        <f aca="false">cap_ts_27</f>
        <v>77</v>
      </c>
      <c r="F64" s="15" t="n">
        <f aca="false">cap_ts_28</f>
        <v>90</v>
      </c>
      <c r="G64" s="15" t="n">
        <f aca="false">cap_ts_29</f>
        <v>95</v>
      </c>
    </row>
    <row r="65" customFormat="false" ht="15" hidden="false" customHeight="false" outlineLevel="0" collapsed="false">
      <c r="A65" s="20" t="s">
        <v>323</v>
      </c>
      <c r="B65" s="12" t="s">
        <v>89</v>
      </c>
      <c r="D65" s="15" t="n">
        <f aca="false">D64*sh_fd</f>
        <v>39.68</v>
      </c>
      <c r="E65" s="15" t="n">
        <f aca="false">E64*sh_fd</f>
        <v>49.28</v>
      </c>
      <c r="F65" s="15" t="n">
        <f aca="false">F64*sh_fd</f>
        <v>57.6</v>
      </c>
      <c r="G65" s="15" t="n">
        <f aca="false">G64*sh_fd</f>
        <v>60.8</v>
      </c>
    </row>
    <row r="66" customFormat="false" ht="15" hidden="false" customHeight="false" outlineLevel="0" collapsed="false">
      <c r="A66" s="20" t="s">
        <v>324</v>
      </c>
      <c r="B66" s="12" t="s">
        <v>89</v>
      </c>
      <c r="D66" s="15" t="n">
        <f aca="false">D43-D65</f>
        <v>38.32</v>
      </c>
      <c r="E66" s="15" t="n">
        <f aca="false">E43-E65</f>
        <v>42.838</v>
      </c>
      <c r="F66" s="15" t="n">
        <f aca="false">F43-F65</f>
        <v>47.046048</v>
      </c>
      <c r="G66" s="15" t="n">
        <f aca="false">G43-G65</f>
        <v>52.21773184</v>
      </c>
      <c r="H66" s="12" t="s">
        <v>325</v>
      </c>
    </row>
    <row r="67" customFormat="false" ht="15" hidden="false" customHeight="false" outlineLevel="0" collapsed="false">
      <c r="A67" s="20" t="s">
        <v>326</v>
      </c>
      <c r="B67" s="12" t="s">
        <v>89</v>
      </c>
      <c r="D67" s="15" t="n">
        <f aca="false">MAX(D66,fl_fd)</f>
        <v>38.32</v>
      </c>
      <c r="E67" s="15" t="n">
        <f aca="false">MAX(E66,fl_fd)</f>
        <v>42.838</v>
      </c>
      <c r="F67" s="15" t="n">
        <f aca="false">MAX(F66,fl_fd)</f>
        <v>47.046048</v>
      </c>
      <c r="G67" s="15" t="n">
        <f aca="false">MAX(G66,fl_fd)</f>
        <v>52.21773184</v>
      </c>
    </row>
    <row r="68" customFormat="false" ht="15" hidden="false" customHeight="false" outlineLevel="0" collapsed="false">
      <c r="A68" s="7" t="s">
        <v>327</v>
      </c>
      <c r="B68" s="12" t="s">
        <v>89</v>
      </c>
      <c r="C68" s="15" t="n">
        <f aca="false">C43</f>
        <v>65.6013456686291</v>
      </c>
      <c r="D68" s="15" t="n">
        <f aca="false">D65+D67</f>
        <v>78</v>
      </c>
      <c r="E68" s="15" t="n">
        <f aca="false">E65+E67</f>
        <v>92.118</v>
      </c>
      <c r="F68" s="15" t="n">
        <f aca="false">F65+F67</f>
        <v>104.646048</v>
      </c>
      <c r="G68" s="15" t="n">
        <f aca="false">G65+G67</f>
        <v>113.01773184</v>
      </c>
    </row>
    <row r="69" customFormat="false" ht="15" hidden="false" customHeight="false" outlineLevel="0" collapsed="false">
      <c r="A69" s="20" t="s">
        <v>318</v>
      </c>
      <c r="D69" s="18" t="n">
        <f aca="false">IF(D66&lt;0,1,0)</f>
        <v>0</v>
      </c>
      <c r="E69" s="18" t="n">
        <f aca="false">IF(E66&lt;0,1,0)</f>
        <v>0</v>
      </c>
      <c r="F69" s="18" t="n">
        <f aca="false">IF(F66&lt;0,1,0)</f>
        <v>0</v>
      </c>
      <c r="G69" s="18" t="n">
        <f aca="false">IF(G66&lt;0,1,0)</f>
        <v>0</v>
      </c>
    </row>
    <row r="70" customFormat="false" ht="15" hidden="false" customHeight="false" outlineLevel="0" collapsed="false">
      <c r="A70" s="20" t="s">
        <v>328</v>
      </c>
      <c r="B70" s="12" t="s">
        <v>139</v>
      </c>
      <c r="D70" s="16" t="n">
        <f aca="false">D43/D64</f>
        <v>1.25806451612903</v>
      </c>
      <c r="E70" s="16" t="n">
        <f aca="false">E43/E64</f>
        <v>1.19633766233766</v>
      </c>
      <c r="F70" s="16" t="n">
        <f aca="false">F43/F64</f>
        <v>1.16273386666667</v>
      </c>
      <c r="G70" s="16" t="n">
        <f aca="false">G43/G64</f>
        <v>1.1896603351579</v>
      </c>
      <c r="H70" s="8" t="s">
        <v>329</v>
      </c>
    </row>
    <row r="72" customFormat="false" ht="15" hidden="false" customHeight="false" outlineLevel="0" collapsed="false">
      <c r="A72" s="9" t="s">
        <v>330</v>
      </c>
    </row>
    <row r="73" customFormat="false" ht="15" hidden="false" customHeight="false" outlineLevel="0" collapsed="false">
      <c r="A73" s="8" t="s">
        <v>331</v>
      </c>
    </row>
    <row r="74" customFormat="false" ht="15" hidden="false" customHeight="false" outlineLevel="0" collapsed="false">
      <c r="A74" s="20" t="s">
        <v>332</v>
      </c>
      <c r="B74" s="12" t="s">
        <v>89</v>
      </c>
      <c r="C74" s="15" t="n">
        <f aca="false">C45</f>
        <v>11.6793893129771</v>
      </c>
      <c r="D74" s="15" t="n">
        <f aca="false">D45</f>
        <v>15.3</v>
      </c>
      <c r="E74" s="15" t="n">
        <f aca="false">E45</f>
        <v>17.8392824967822</v>
      </c>
      <c r="F74" s="15" t="n">
        <f aca="false">F45</f>
        <v>20.8</v>
      </c>
      <c r="G74" s="15" t="n">
        <f aca="false">G45</f>
        <v>22.464</v>
      </c>
    </row>
    <row r="75" customFormat="false" ht="15" hidden="false" customHeight="false" outlineLevel="0" collapsed="false">
      <c r="A75" s="20" t="s">
        <v>333</v>
      </c>
      <c r="B75" s="12" t="s">
        <v>89</v>
      </c>
      <c r="C75" s="15" t="n">
        <f aca="false">C46</f>
        <v>6.11313868613139</v>
      </c>
      <c r="D75" s="15" t="n">
        <f aca="false">D46</f>
        <v>6.7</v>
      </c>
      <c r="E75" s="15" t="n">
        <f aca="false">E46</f>
        <v>7.59078388573934</v>
      </c>
      <c r="F75" s="15" t="n">
        <f aca="false">F46</f>
        <v>8.6</v>
      </c>
      <c r="G75" s="15" t="n">
        <f aca="false">G46</f>
        <v>9.288</v>
      </c>
    </row>
    <row r="77" customFormat="false" ht="15" hidden="false" customHeight="false" outlineLevel="0" collapsed="false">
      <c r="A77" s="9" t="s">
        <v>334</v>
      </c>
    </row>
    <row r="78" customFormat="false" ht="15" hidden="false" customHeight="false" outlineLevel="0" collapsed="false">
      <c r="A78" s="20" t="s">
        <v>335</v>
      </c>
      <c r="B78" s="12" t="s">
        <v>89</v>
      </c>
      <c r="D78" s="15" t="n">
        <f aca="false">D65+adv_other*D67</f>
        <v>49.26</v>
      </c>
      <c r="E78" s="15" t="n">
        <f aca="false">E65+adv_other*E67</f>
        <v>59.9895</v>
      </c>
      <c r="F78" s="15" t="n">
        <f aca="false">F65+adv_other*F67</f>
        <v>69.361512</v>
      </c>
      <c r="G78" s="15" t="n">
        <f aca="false">G65+adv_other*G67</f>
        <v>73.85443296</v>
      </c>
    </row>
    <row r="79" customFormat="false" ht="15" hidden="false" customHeight="false" outlineLevel="0" collapsed="false">
      <c r="A79" s="20" t="s">
        <v>336</v>
      </c>
      <c r="B79" s="12" t="s">
        <v>89</v>
      </c>
      <c r="D79" s="15" t="n">
        <f aca="false">D68-D78</f>
        <v>28.74</v>
      </c>
      <c r="E79" s="15" t="n">
        <f aca="false">E68-E78</f>
        <v>32.1285</v>
      </c>
      <c r="F79" s="15" t="n">
        <f aca="false">F68-F78</f>
        <v>35.284536</v>
      </c>
      <c r="G79" s="15" t="n">
        <f aca="false">G68-G78</f>
        <v>39.16329888</v>
      </c>
    </row>
    <row r="80" customFormat="false" ht="15" hidden="false" customHeight="false" outlineLevel="0" collapsed="false">
      <c r="A80" s="19" t="s">
        <v>337</v>
      </c>
      <c r="B80" s="12" t="s">
        <v>89</v>
      </c>
      <c r="D80" s="15" t="n">
        <f aca="false">D59*D49</f>
        <v>46.476176984793</v>
      </c>
      <c r="E80" s="15" t="n">
        <f aca="false">E59*E49</f>
        <v>65.9927732558228</v>
      </c>
      <c r="F80" s="15" t="n">
        <f aca="false">F59*F49</f>
        <v>73.3233581747138</v>
      </c>
      <c r="G80" s="15" t="n">
        <f aca="false">G59*G49</f>
        <v>74.5761853377709</v>
      </c>
    </row>
    <row r="81" customFormat="false" ht="15" hidden="false" customHeight="false" outlineLevel="0" collapsed="false">
      <c r="A81" s="19" t="s">
        <v>338</v>
      </c>
      <c r="B81" s="12" t="s">
        <v>89</v>
      </c>
      <c r="D81" s="15" t="n">
        <f aca="false">D59-D80</f>
        <v>16.6499706208408</v>
      </c>
      <c r="E81" s="15" t="n">
        <f aca="false">E59-E80</f>
        <v>24.3283535047406</v>
      </c>
      <c r="F81" s="15" t="n">
        <f aca="false">F59-F80</f>
        <v>26.9132615435961</v>
      </c>
      <c r="G81" s="15" t="n">
        <f aca="false">G59-G80</f>
        <v>27.373110436877</v>
      </c>
    </row>
    <row r="82" customFormat="false" ht="15" hidden="false" customHeight="false" outlineLevel="0" collapsed="false">
      <c r="A82" s="20" t="s">
        <v>339</v>
      </c>
      <c r="B82" s="12" t="s">
        <v>89</v>
      </c>
      <c r="D82" s="15" t="n">
        <f aca="false">D47</f>
        <v>13.2</v>
      </c>
      <c r="E82" s="15" t="n">
        <f aca="false">E47</f>
        <v>15.4981</v>
      </c>
      <c r="F82" s="15" t="n">
        <f aca="false">F47</f>
        <v>17.6261497</v>
      </c>
      <c r="G82" s="15" t="n">
        <f aca="false">G47</f>
        <v>19.036241676</v>
      </c>
    </row>
    <row r="83" customFormat="false" ht="15" hidden="false" customHeight="false" outlineLevel="0" collapsed="false">
      <c r="A83" s="20" t="s">
        <v>340</v>
      </c>
      <c r="B83" s="12" t="s">
        <v>89</v>
      </c>
      <c r="D83" s="15" t="n">
        <f aca="false">D75*pkg_adv</f>
        <v>3.35</v>
      </c>
      <c r="E83" s="15" t="n">
        <f aca="false">E75*pkg_adv</f>
        <v>3.79539194286967</v>
      </c>
      <c r="F83" s="15" t="n">
        <f aca="false">F75*pkg_adv</f>
        <v>4.3</v>
      </c>
      <c r="G83" s="15" t="n">
        <f aca="false">G75*pkg_adv</f>
        <v>4.644</v>
      </c>
    </row>
    <row r="84" customFormat="false" ht="15" hidden="false" customHeight="false" outlineLevel="0" collapsed="false">
      <c r="A84" s="20" t="s">
        <v>341</v>
      </c>
      <c r="B84" s="12" t="s">
        <v>89</v>
      </c>
      <c r="D84" s="15" t="n">
        <f aca="false">D74+D75-D83</f>
        <v>18.65</v>
      </c>
      <c r="E84" s="15" t="n">
        <f aca="false">E74+E75-E83</f>
        <v>21.6346744396519</v>
      </c>
      <c r="F84" s="15" t="n">
        <f aca="false">F74+F75-F83</f>
        <v>25.1</v>
      </c>
      <c r="G84" s="15" t="n">
        <f aca="false">G74+G75-G83</f>
        <v>27.108</v>
      </c>
    </row>
    <row r="85" customFormat="false" ht="15" hidden="false" customHeight="false" outlineLevel="0" collapsed="false">
      <c r="A85" s="20" t="s">
        <v>342</v>
      </c>
      <c r="B85" s="12" t="s">
        <v>89</v>
      </c>
      <c r="C85" s="15" t="n">
        <f aca="false">C44</f>
        <v>116.896831844029</v>
      </c>
      <c r="D85" s="15" t="n">
        <f aca="false">SUM(D78:D82)</f>
        <v>154.326147605634</v>
      </c>
      <c r="E85" s="15" t="n">
        <f aca="false">SUM(E78:E82)</f>
        <v>197.937226760563</v>
      </c>
      <c r="F85" s="15" t="n">
        <f aca="false">SUM(F78:F82)</f>
        <v>222.50881741831</v>
      </c>
      <c r="G85" s="15" t="n">
        <f aca="false">SUM(G78:G82)</f>
        <v>234.003269290648</v>
      </c>
      <c r="H85" s="12" t="s">
        <v>317</v>
      </c>
    </row>
    <row r="86" customFormat="false" ht="15" hidden="false" customHeight="false" outlineLevel="0" collapsed="false">
      <c r="A86" s="20" t="s">
        <v>343</v>
      </c>
      <c r="B86" s="12" t="s">
        <v>89</v>
      </c>
      <c r="C86" s="15" t="n">
        <f aca="false">C74+C75</f>
        <v>17.7925279991085</v>
      </c>
      <c r="D86" s="15" t="n">
        <f aca="false">D83+D84</f>
        <v>22</v>
      </c>
      <c r="E86" s="15" t="n">
        <f aca="false">E83+E84</f>
        <v>25.4300663825215</v>
      </c>
      <c r="F86" s="15" t="n">
        <f aca="false">F83+F84</f>
        <v>29.4</v>
      </c>
      <c r="G86" s="15" t="n">
        <f aca="false">G83+G84</f>
        <v>31.752</v>
      </c>
    </row>
    <row r="87" customFormat="false" ht="15" hidden="false" customHeight="false" outlineLevel="0" collapsed="false">
      <c r="A87" s="7" t="s">
        <v>344</v>
      </c>
      <c r="B87" s="12" t="s">
        <v>89</v>
      </c>
      <c r="C87" s="15" t="n">
        <f aca="false">C85+C86</f>
        <v>134.689359843138</v>
      </c>
      <c r="D87" s="15" t="n">
        <f aca="false">D85+D86</f>
        <v>176.326147605634</v>
      </c>
      <c r="E87" s="15" t="n">
        <f aca="false">E85+E86</f>
        <v>223.367293143085</v>
      </c>
      <c r="F87" s="15" t="n">
        <f aca="false">F85+F86</f>
        <v>251.90881741831</v>
      </c>
      <c r="G87" s="15" t="n">
        <f aca="false">G85+G86</f>
        <v>265.755269290648</v>
      </c>
    </row>
    <row r="88" customFormat="false" ht="15" hidden="false" customHeight="false" outlineLevel="0" collapsed="false">
      <c r="A88" s="20" t="s">
        <v>283</v>
      </c>
      <c r="B88" s="12" t="s">
        <v>139</v>
      </c>
      <c r="D88" s="16" t="n">
        <f aca="false">D87/C87-1</f>
        <v>0.309131974574586</v>
      </c>
      <c r="E88" s="16" t="n">
        <f aca="false">E87/D87-1</f>
        <v>0.266784853955195</v>
      </c>
      <c r="F88" s="16" t="n">
        <f aca="false">F87/E87-1</f>
        <v>0.127778440046465</v>
      </c>
      <c r="G88" s="16" t="n">
        <f aca="false">G87/F87-1</f>
        <v>0.0549661262922179</v>
      </c>
      <c r="H88" s="12" t="s">
        <v>345</v>
      </c>
    </row>
    <row r="89" customFormat="false" ht="15" hidden="false" customHeight="false" outlineLevel="0" collapsed="false">
      <c r="A89" s="20" t="s">
        <v>346</v>
      </c>
      <c r="B89" s="12" t="s">
        <v>139</v>
      </c>
      <c r="D89" s="16" t="n">
        <f aca="false">D85/C85-1</f>
        <v>0.320191019475575</v>
      </c>
      <c r="E89" s="16" t="n">
        <f aca="false">E85/D85-1</f>
        <v>0.282590344096282</v>
      </c>
      <c r="F89" s="16" t="n">
        <f aca="false">F85/E85-1</f>
        <v>0.12413829909555</v>
      </c>
      <c r="G89" s="16" t="n">
        <f aca="false">G85/F85-1</f>
        <v>0.0516584106899856</v>
      </c>
    </row>
    <row r="90" customFormat="false" ht="15" hidden="false" customHeight="false" outlineLevel="0" collapsed="false">
      <c r="A90" s="9" t="s">
        <v>347</v>
      </c>
      <c r="B90" s="12" t="s">
        <v>89</v>
      </c>
      <c r="D90" s="15" t="n">
        <f aca="false">D78+D80+D83</f>
        <v>99.086176984793</v>
      </c>
      <c r="E90" s="15" t="n">
        <f aca="false">E78+E80+E83</f>
        <v>129.777665198692</v>
      </c>
      <c r="F90" s="15" t="n">
        <f aca="false">F78+F80+F83</f>
        <v>146.984870174714</v>
      </c>
      <c r="G90" s="15" t="n">
        <f aca="false">G78+G80+G83</f>
        <v>153.074618297771</v>
      </c>
    </row>
    <row r="91" customFormat="false" ht="15" hidden="false" customHeight="false" outlineLevel="0" collapsed="false">
      <c r="A91" s="19" t="s">
        <v>348</v>
      </c>
      <c r="B91" s="12" t="s">
        <v>139</v>
      </c>
      <c r="D91" s="16" t="n">
        <f aca="false">D90/D87</f>
        <v>0.561948289180606</v>
      </c>
      <c r="E91" s="16" t="n">
        <f aca="false">E90/E87</f>
        <v>0.58100567622297</v>
      </c>
      <c r="F91" s="16" t="n">
        <f aca="false">F90/F87</f>
        <v>0.583484419803521</v>
      </c>
      <c r="G91" s="16" t="n">
        <f aca="false">G90/G87</f>
        <v>0.575998431588418</v>
      </c>
    </row>
    <row r="92" customFormat="false" ht="15" hidden="false" customHeight="false" outlineLevel="0" collapsed="false">
      <c r="A92" s="19" t="s">
        <v>349</v>
      </c>
      <c r="B92" s="12" t="s">
        <v>139</v>
      </c>
      <c r="E92" s="17" t="n">
        <f aca="false">IF(ABS(E87-D87)&lt;0.05,"n/a",(E90-D90)/(E87-D87))</f>
        <v>0.652439218119484</v>
      </c>
      <c r="F92" s="17" t="n">
        <f aca="false">IF(ABS(F87-D87)&lt;0.05,"n/a",(F90-D90)/(F87-D87))</f>
        <v>0.633725870078853</v>
      </c>
      <c r="G92" s="17" t="n">
        <f aca="false">IF(ABS(G87-D87)&lt;0.05,"n/a",(G90-D90)/(G87-D87))</f>
        <v>0.603700900732707</v>
      </c>
      <c r="H92" s="8" t="s">
        <v>350</v>
      </c>
    </row>
    <row r="93" customFormat="false" ht="15" hidden="false" customHeight="false" outlineLevel="0" collapsed="false">
      <c r="A93" s="19" t="s">
        <v>351</v>
      </c>
      <c r="B93" s="12" t="s">
        <v>139</v>
      </c>
      <c r="E93" s="17" t="n">
        <f aca="false">IF(ABS(E87-D87)&lt;0.05,"n/a",(E90-D90)/(E87-D87))</f>
        <v>0.652439218119484</v>
      </c>
      <c r="F93" s="17" t="n">
        <f aca="false">IF(ABS(F87-E87)&lt;0.05,"n/a",(F90-E90)/(F87-E87))</f>
        <v>0.602883182064589</v>
      </c>
      <c r="G93" s="17" t="n">
        <f aca="false">IF(ABS(G87-F87)&lt;0.05,"n/a",(G90-F90)/(G87-F87))</f>
        <v>0.439805675793596</v>
      </c>
      <c r="H93" s="8" t="s">
        <v>352</v>
      </c>
    </row>
    <row r="94" customFormat="false" ht="15" hidden="false" customHeight="false" outlineLevel="0" collapsed="false">
      <c r="A94" s="20" t="s">
        <v>353</v>
      </c>
      <c r="B94" s="8" t="s">
        <v>354</v>
      </c>
      <c r="C94" s="18" t="n">
        <f aca="false">IF(ROUND(G87,9)=ROUND(MAX(C87:G87),9),2029,IF(ROUND(F87,9)=ROUND(MAX(C87:G87),9),2028,IF(ROUND(E87,9)=ROUND(MAX(C87:G87),9),2027,IF(ROUND(D87,9)=ROUND(MAX(C87:G87),9),2026,2025))))</f>
        <v>2029</v>
      </c>
      <c r="H94" s="8" t="s">
        <v>355</v>
      </c>
    </row>
    <row r="96" customFormat="false" ht="15" hidden="false" customHeight="false" outlineLevel="0" collapsed="false">
      <c r="A96" s="9" t="s">
        <v>356</v>
      </c>
    </row>
    <row r="97" customFormat="false" ht="15" hidden="false" customHeight="false" outlineLevel="0" collapsed="false">
      <c r="A97" s="20" t="s">
        <v>335</v>
      </c>
      <c r="B97" s="12" t="s">
        <v>89</v>
      </c>
      <c r="D97" s="15" t="n">
        <f aca="false">D78</f>
        <v>49.26</v>
      </c>
      <c r="E97" s="15" t="n">
        <f aca="false">E78</f>
        <v>59.9895</v>
      </c>
      <c r="F97" s="15" t="n">
        <f aca="false">E97*ck_B_28</f>
        <v>59.9895</v>
      </c>
      <c r="G97" s="15" t="n">
        <f aca="false">F97*ck_B_29</f>
        <v>56.990025</v>
      </c>
    </row>
    <row r="98" customFormat="false" ht="15" hidden="false" customHeight="false" outlineLevel="0" collapsed="false">
      <c r="A98" s="20" t="s">
        <v>336</v>
      </c>
      <c r="B98" s="12" t="s">
        <v>89</v>
      </c>
      <c r="D98" s="15" t="n">
        <f aca="false">D79</f>
        <v>28.74</v>
      </c>
      <c r="E98" s="15" t="n">
        <f aca="false">E79</f>
        <v>32.1285</v>
      </c>
      <c r="F98" s="15" t="n">
        <f aca="false">E98*ck_B_28</f>
        <v>32.1285</v>
      </c>
      <c r="G98" s="15" t="n">
        <f aca="false">F98*ck_B_29</f>
        <v>30.522075</v>
      </c>
    </row>
    <row r="99" customFormat="false" ht="15" hidden="false" customHeight="false" outlineLevel="0" collapsed="false">
      <c r="A99" s="19" t="s">
        <v>337</v>
      </c>
      <c r="B99" s="12" t="s">
        <v>89</v>
      </c>
      <c r="D99" s="15" t="n">
        <f aca="false">D80</f>
        <v>46.476176984793</v>
      </c>
      <c r="E99" s="15" t="n">
        <f aca="false">E80</f>
        <v>65.9927732558228</v>
      </c>
      <c r="F99" s="15" t="n">
        <f aca="false">E99*ck_B_28</f>
        <v>65.9927732558228</v>
      </c>
      <c r="G99" s="15" t="n">
        <f aca="false">F99*ck_B_29</f>
        <v>62.6931345930316</v>
      </c>
    </row>
    <row r="100" customFormat="false" ht="15" hidden="false" customHeight="false" outlineLevel="0" collapsed="false">
      <c r="A100" s="19" t="s">
        <v>338</v>
      </c>
      <c r="B100" s="12" t="s">
        <v>89</v>
      </c>
      <c r="D100" s="15" t="n">
        <f aca="false">D81</f>
        <v>16.6499706208408</v>
      </c>
      <c r="E100" s="15" t="n">
        <f aca="false">E81</f>
        <v>24.3283535047406</v>
      </c>
      <c r="F100" s="15" t="n">
        <f aca="false">E100*ck_B_28</f>
        <v>24.3283535047406</v>
      </c>
      <c r="G100" s="15" t="n">
        <f aca="false">F100*ck_B_29</f>
        <v>23.1119358295036</v>
      </c>
    </row>
    <row r="101" customFormat="false" ht="15" hidden="false" customHeight="false" outlineLevel="0" collapsed="false">
      <c r="A101" s="20" t="s">
        <v>339</v>
      </c>
      <c r="B101" s="12" t="s">
        <v>89</v>
      </c>
      <c r="D101" s="15" t="n">
        <f aca="false">D82</f>
        <v>13.2</v>
      </c>
      <c r="E101" s="15" t="n">
        <f aca="false">E82</f>
        <v>15.4981</v>
      </c>
      <c r="F101" s="15" t="n">
        <f aca="false">E101*ck_B_28</f>
        <v>15.4981</v>
      </c>
      <c r="G101" s="15" t="n">
        <f aca="false">F101*ck_B_29</f>
        <v>14.723195</v>
      </c>
    </row>
    <row r="102" customFormat="false" ht="15" hidden="false" customHeight="false" outlineLevel="0" collapsed="false">
      <c r="A102" s="20" t="s">
        <v>340</v>
      </c>
      <c r="B102" s="12" t="s">
        <v>89</v>
      </c>
      <c r="D102" s="15" t="n">
        <f aca="false">D83</f>
        <v>3.35</v>
      </c>
      <c r="E102" s="15" t="n">
        <f aca="false">E83</f>
        <v>3.79539194286967</v>
      </c>
      <c r="F102" s="15" t="n">
        <f aca="false">E102*ck_B_28</f>
        <v>3.79539194286967</v>
      </c>
      <c r="G102" s="15" t="n">
        <f aca="false">F102*ck_B_29</f>
        <v>3.60562234572619</v>
      </c>
    </row>
    <row r="103" customFormat="false" ht="15" hidden="false" customHeight="false" outlineLevel="0" collapsed="false">
      <c r="A103" s="20" t="s">
        <v>341</v>
      </c>
      <c r="B103" s="12" t="s">
        <v>89</v>
      </c>
      <c r="D103" s="15" t="n">
        <f aca="false">D84</f>
        <v>18.65</v>
      </c>
      <c r="E103" s="15" t="n">
        <f aca="false">E84</f>
        <v>21.6346744396519</v>
      </c>
      <c r="F103" s="15" t="n">
        <f aca="false">E103*ck_B_28</f>
        <v>21.6346744396519</v>
      </c>
      <c r="G103" s="15" t="n">
        <f aca="false">F103*ck_B_29</f>
        <v>20.5529407176693</v>
      </c>
    </row>
    <row r="104" customFormat="false" ht="15" hidden="false" customHeight="false" outlineLevel="0" collapsed="false">
      <c r="A104" s="20" t="s">
        <v>342</v>
      </c>
      <c r="B104" s="12" t="s">
        <v>89</v>
      </c>
      <c r="C104" s="15" t="n">
        <f aca="false">C44</f>
        <v>116.896831844029</v>
      </c>
      <c r="D104" s="15" t="n">
        <f aca="false">SUM(D97:D101)</f>
        <v>154.326147605634</v>
      </c>
      <c r="E104" s="15" t="n">
        <f aca="false">SUM(E97:E101)</f>
        <v>197.937226760563</v>
      </c>
      <c r="F104" s="15" t="n">
        <f aca="false">SUM(F97:F101)</f>
        <v>197.937226760563</v>
      </c>
      <c r="G104" s="15" t="n">
        <f aca="false">SUM(G97:G101)</f>
        <v>188.040365422535</v>
      </c>
      <c r="H104" s="12" t="s">
        <v>317</v>
      </c>
    </row>
    <row r="105" customFormat="false" ht="15" hidden="false" customHeight="false" outlineLevel="0" collapsed="false">
      <c r="A105" s="20" t="s">
        <v>343</v>
      </c>
      <c r="B105" s="12" t="s">
        <v>89</v>
      </c>
      <c r="C105" s="15" t="n">
        <f aca="false">C74+C75</f>
        <v>17.7925279991085</v>
      </c>
      <c r="D105" s="15" t="n">
        <f aca="false">D102+D103</f>
        <v>22</v>
      </c>
      <c r="E105" s="15" t="n">
        <f aca="false">E102+E103</f>
        <v>25.4300663825215</v>
      </c>
      <c r="F105" s="15" t="n">
        <f aca="false">F102+F103</f>
        <v>25.4300663825215</v>
      </c>
      <c r="G105" s="15" t="n">
        <f aca="false">G102+G103</f>
        <v>24.1585630633955</v>
      </c>
    </row>
    <row r="106" customFormat="false" ht="15" hidden="false" customHeight="false" outlineLevel="0" collapsed="false">
      <c r="A106" s="7" t="s">
        <v>357</v>
      </c>
      <c r="B106" s="12" t="s">
        <v>89</v>
      </c>
      <c r="C106" s="15" t="n">
        <f aca="false">C104+C105</f>
        <v>134.689359843138</v>
      </c>
      <c r="D106" s="15" t="n">
        <f aca="false">D104+D105</f>
        <v>176.326147605634</v>
      </c>
      <c r="E106" s="15" t="n">
        <f aca="false">E104+E105</f>
        <v>223.367293143085</v>
      </c>
      <c r="F106" s="15" t="n">
        <f aca="false">F104+F105</f>
        <v>223.367293143085</v>
      </c>
      <c r="G106" s="15" t="n">
        <f aca="false">G104+G105</f>
        <v>212.198928485931</v>
      </c>
    </row>
    <row r="107" customFormat="false" ht="15" hidden="false" customHeight="false" outlineLevel="0" collapsed="false">
      <c r="A107" s="20" t="s">
        <v>283</v>
      </c>
      <c r="B107" s="12" t="s">
        <v>139</v>
      </c>
      <c r="D107" s="16" t="n">
        <f aca="false">D106/C106-1</f>
        <v>0.309131974574586</v>
      </c>
      <c r="E107" s="16" t="n">
        <f aca="false">E106/D106-1</f>
        <v>0.266784853955195</v>
      </c>
      <c r="F107" s="16" t="n">
        <f aca="false">F106/E106-1</f>
        <v>0</v>
      </c>
      <c r="G107" s="16" t="n">
        <f aca="false">G106/F106-1</f>
        <v>-0.0500000000000002</v>
      </c>
      <c r="H107" s="12" t="s">
        <v>345</v>
      </c>
    </row>
    <row r="108" customFormat="false" ht="15" hidden="false" customHeight="false" outlineLevel="0" collapsed="false">
      <c r="A108" s="20" t="s">
        <v>346</v>
      </c>
      <c r="B108" s="12" t="s">
        <v>139</v>
      </c>
      <c r="D108" s="16" t="n">
        <f aca="false">D104/C104-1</f>
        <v>0.320191019475575</v>
      </c>
      <c r="E108" s="16" t="n">
        <f aca="false">E104/D104-1</f>
        <v>0.282590344096282</v>
      </c>
      <c r="F108" s="16" t="n">
        <f aca="false">F104/E104-1</f>
        <v>0</v>
      </c>
      <c r="G108" s="16" t="n">
        <f aca="false">G104/F104-1</f>
        <v>-0.0500000000000002</v>
      </c>
    </row>
    <row r="109" customFormat="false" ht="15" hidden="false" customHeight="false" outlineLevel="0" collapsed="false">
      <c r="A109" s="9" t="s">
        <v>347</v>
      </c>
      <c r="B109" s="12" t="s">
        <v>89</v>
      </c>
      <c r="D109" s="15" t="n">
        <f aca="false">D97+D99+D102</f>
        <v>99.086176984793</v>
      </c>
      <c r="E109" s="15" t="n">
        <f aca="false">E97+E99+E102</f>
        <v>129.777665198692</v>
      </c>
      <c r="F109" s="15" t="n">
        <f aca="false">F97+F99+F102</f>
        <v>129.777665198692</v>
      </c>
      <c r="G109" s="15" t="n">
        <f aca="false">G97+G99+G102</f>
        <v>123.288781938758</v>
      </c>
    </row>
    <row r="110" customFormat="false" ht="15" hidden="false" customHeight="false" outlineLevel="0" collapsed="false">
      <c r="A110" s="19" t="s">
        <v>348</v>
      </c>
      <c r="B110" s="12" t="s">
        <v>139</v>
      </c>
      <c r="D110" s="16" t="n">
        <f aca="false">D109/D106</f>
        <v>0.561948289180606</v>
      </c>
      <c r="E110" s="16" t="n">
        <f aca="false">E109/E106</f>
        <v>0.58100567622297</v>
      </c>
      <c r="F110" s="16" t="n">
        <f aca="false">F109/F106</f>
        <v>0.58100567622297</v>
      </c>
      <c r="G110" s="16" t="n">
        <f aca="false">G109/G106</f>
        <v>0.58100567622297</v>
      </c>
    </row>
    <row r="111" customFormat="false" ht="15" hidden="false" customHeight="false" outlineLevel="0" collapsed="false">
      <c r="A111" s="19" t="s">
        <v>349</v>
      </c>
      <c r="B111" s="12" t="s">
        <v>139</v>
      </c>
      <c r="E111" s="17" t="n">
        <f aca="false">IF(ABS(E106-D106)&lt;0.05,"n/a",(E109-D109)/(E106-D106))</f>
        <v>0.652439218119484</v>
      </c>
      <c r="F111" s="17" t="n">
        <f aca="false">IF(ABS(F106-D106)&lt;0.05,"n/a",(F109-D109)/(F106-D106))</f>
        <v>0.652439218119484</v>
      </c>
      <c r="G111" s="17" t="n">
        <f aca="false">IF(ABS(G106-D106)&lt;0.05,"n/a",(G109-D109)/(G106-D106))</f>
        <v>0.674678805491161</v>
      </c>
      <c r="H111" s="8" t="s">
        <v>350</v>
      </c>
    </row>
    <row r="112" customFormat="false" ht="15" hidden="false" customHeight="false" outlineLevel="0" collapsed="false">
      <c r="A112" s="19" t="s">
        <v>351</v>
      </c>
      <c r="B112" s="12" t="s">
        <v>139</v>
      </c>
      <c r="E112" s="17" t="n">
        <f aca="false">IF(ABS(E106-D106)&lt;0.05,"n/a",(E109-D109)/(E106-D106))</f>
        <v>0.652439218119484</v>
      </c>
      <c r="F112" s="17" t="str">
        <f aca="false">IF(ABS(F106-E106)&lt;0.05,"n/a",(F109-E109)/(F106-E106))</f>
        <v>n/a</v>
      </c>
      <c r="G112" s="17" t="n">
        <f aca="false">IF(ABS(G106-F106)&lt;0.05,"n/a",(G109-F109)/(G106-F106))</f>
        <v>0.581005676222968</v>
      </c>
      <c r="H112" s="8" t="s">
        <v>352</v>
      </c>
    </row>
    <row r="113" customFormat="false" ht="15" hidden="false" customHeight="false" outlineLevel="0" collapsed="false">
      <c r="A113" s="20" t="s">
        <v>353</v>
      </c>
      <c r="B113" s="8" t="s">
        <v>354</v>
      </c>
      <c r="C113" s="18" t="n">
        <f aca="false">IF(ROUND(G106,9)=ROUND(MAX(C106:G106),9),2029,IF(ROUND(F106,9)=ROUND(MAX(C106:G106),9),2028,IF(ROUND(E106,9)=ROUND(MAX(C106:G106),9),2027,IF(ROUND(D106,9)=ROUND(MAX(C106:G106),9),2026,2025))))</f>
        <v>2028</v>
      </c>
      <c r="H113" s="8" t="s">
        <v>355</v>
      </c>
    </row>
    <row r="115" customFormat="false" ht="15" hidden="false" customHeight="false" outlineLevel="0" collapsed="false">
      <c r="A115" s="9" t="s">
        <v>358</v>
      </c>
    </row>
    <row r="116" customFormat="false" ht="15" hidden="false" customHeight="false" outlineLevel="0" collapsed="false">
      <c r="A116" s="20" t="s">
        <v>335</v>
      </c>
      <c r="B116" s="12" t="s">
        <v>89</v>
      </c>
      <c r="D116" s="15" t="n">
        <f aca="false">D78</f>
        <v>49.26</v>
      </c>
      <c r="E116" s="15" t="n">
        <f aca="false">E78</f>
        <v>59.9895</v>
      </c>
      <c r="F116" s="15" t="n">
        <f aca="false">E116*ck_C_28</f>
        <v>47.9916</v>
      </c>
      <c r="G116" s="15" t="n">
        <f aca="false">F116*ck_C_29</f>
        <v>47.9916</v>
      </c>
    </row>
    <row r="117" customFormat="false" ht="15" hidden="false" customHeight="false" outlineLevel="0" collapsed="false">
      <c r="A117" s="20" t="s">
        <v>336</v>
      </c>
      <c r="B117" s="12" t="s">
        <v>89</v>
      </c>
      <c r="D117" s="15" t="n">
        <f aca="false">D79</f>
        <v>28.74</v>
      </c>
      <c r="E117" s="15" t="n">
        <f aca="false">E79</f>
        <v>32.1285</v>
      </c>
      <c r="F117" s="15" t="n">
        <f aca="false">E117*ck_C_28</f>
        <v>25.7028</v>
      </c>
      <c r="G117" s="15" t="n">
        <f aca="false">F117*ck_C_29</f>
        <v>25.7028</v>
      </c>
    </row>
    <row r="118" customFormat="false" ht="15" hidden="false" customHeight="false" outlineLevel="0" collapsed="false">
      <c r="A118" s="19" t="s">
        <v>337</v>
      </c>
      <c r="B118" s="12" t="s">
        <v>89</v>
      </c>
      <c r="D118" s="15" t="n">
        <f aca="false">D80</f>
        <v>46.476176984793</v>
      </c>
      <c r="E118" s="15" t="n">
        <f aca="false">E80</f>
        <v>65.9927732558228</v>
      </c>
      <c r="F118" s="15" t="n">
        <f aca="false">E118*ck_C_28</f>
        <v>52.7942186046582</v>
      </c>
      <c r="G118" s="15" t="n">
        <f aca="false">F118*ck_C_29</f>
        <v>52.7942186046582</v>
      </c>
    </row>
    <row r="119" customFormat="false" ht="15" hidden="false" customHeight="false" outlineLevel="0" collapsed="false">
      <c r="A119" s="19" t="s">
        <v>338</v>
      </c>
      <c r="B119" s="12" t="s">
        <v>89</v>
      </c>
      <c r="D119" s="15" t="n">
        <f aca="false">D81</f>
        <v>16.6499706208408</v>
      </c>
      <c r="E119" s="15" t="n">
        <f aca="false">E81</f>
        <v>24.3283535047406</v>
      </c>
      <c r="F119" s="15" t="n">
        <f aca="false">E119*ck_C_28</f>
        <v>19.4626828037925</v>
      </c>
      <c r="G119" s="15" t="n">
        <f aca="false">F119*ck_C_29</f>
        <v>19.4626828037925</v>
      </c>
    </row>
    <row r="120" customFormat="false" ht="15" hidden="false" customHeight="false" outlineLevel="0" collapsed="false">
      <c r="A120" s="20" t="s">
        <v>339</v>
      </c>
      <c r="B120" s="12" t="s">
        <v>89</v>
      </c>
      <c r="D120" s="15" t="n">
        <f aca="false">D82</f>
        <v>13.2</v>
      </c>
      <c r="E120" s="15" t="n">
        <f aca="false">E82</f>
        <v>15.4981</v>
      </c>
      <c r="F120" s="15" t="n">
        <f aca="false">E120*ck_C_28</f>
        <v>12.39848</v>
      </c>
      <c r="G120" s="15" t="n">
        <f aca="false">F120*ck_C_29</f>
        <v>12.39848</v>
      </c>
    </row>
    <row r="121" customFormat="false" ht="15" hidden="false" customHeight="false" outlineLevel="0" collapsed="false">
      <c r="A121" s="20" t="s">
        <v>340</v>
      </c>
      <c r="B121" s="12" t="s">
        <v>89</v>
      </c>
      <c r="D121" s="15" t="n">
        <f aca="false">D83</f>
        <v>3.35</v>
      </c>
      <c r="E121" s="15" t="n">
        <f aca="false">E83</f>
        <v>3.79539194286967</v>
      </c>
      <c r="F121" s="15" t="n">
        <f aca="false">E121*ck_C_28</f>
        <v>3.03631355429574</v>
      </c>
      <c r="G121" s="15" t="n">
        <f aca="false">F121*ck_C_29</f>
        <v>3.03631355429574</v>
      </c>
    </row>
    <row r="122" customFormat="false" ht="15" hidden="false" customHeight="false" outlineLevel="0" collapsed="false">
      <c r="A122" s="20" t="s">
        <v>341</v>
      </c>
      <c r="B122" s="12" t="s">
        <v>89</v>
      </c>
      <c r="D122" s="15" t="n">
        <f aca="false">D84</f>
        <v>18.65</v>
      </c>
      <c r="E122" s="15" t="n">
        <f aca="false">E84</f>
        <v>21.6346744396519</v>
      </c>
      <c r="F122" s="15" t="n">
        <f aca="false">E122*ck_C_28</f>
        <v>17.3077395517215</v>
      </c>
      <c r="G122" s="15" t="n">
        <f aca="false">F122*ck_C_29</f>
        <v>17.3077395517215</v>
      </c>
    </row>
    <row r="123" customFormat="false" ht="15" hidden="false" customHeight="false" outlineLevel="0" collapsed="false">
      <c r="A123" s="20" t="s">
        <v>342</v>
      </c>
      <c r="B123" s="12" t="s">
        <v>89</v>
      </c>
      <c r="C123" s="15" t="n">
        <f aca="false">C44</f>
        <v>116.896831844029</v>
      </c>
      <c r="D123" s="15" t="n">
        <f aca="false">SUM(D116:D120)</f>
        <v>154.326147605634</v>
      </c>
      <c r="E123" s="15" t="n">
        <f aca="false">SUM(E116:E120)</f>
        <v>197.937226760563</v>
      </c>
      <c r="F123" s="15" t="n">
        <f aca="false">SUM(F116:F120)</f>
        <v>158.349781408451</v>
      </c>
      <c r="G123" s="15" t="n">
        <f aca="false">SUM(G116:G120)</f>
        <v>158.349781408451</v>
      </c>
      <c r="H123" s="12" t="s">
        <v>317</v>
      </c>
    </row>
    <row r="124" customFormat="false" ht="15" hidden="false" customHeight="false" outlineLevel="0" collapsed="false">
      <c r="A124" s="20" t="s">
        <v>343</v>
      </c>
      <c r="B124" s="12" t="s">
        <v>89</v>
      </c>
      <c r="C124" s="15" t="n">
        <f aca="false">C74+C75</f>
        <v>17.7925279991085</v>
      </c>
      <c r="D124" s="15" t="n">
        <f aca="false">D121+D122</f>
        <v>22</v>
      </c>
      <c r="E124" s="15" t="n">
        <f aca="false">E121+E122</f>
        <v>25.4300663825215</v>
      </c>
      <c r="F124" s="15" t="n">
        <f aca="false">F121+F122</f>
        <v>20.3440531060172</v>
      </c>
      <c r="G124" s="15" t="n">
        <f aca="false">G121+G122</f>
        <v>20.3440531060172</v>
      </c>
    </row>
    <row r="125" customFormat="false" ht="15" hidden="false" customHeight="false" outlineLevel="0" collapsed="false">
      <c r="A125" s="7" t="s">
        <v>359</v>
      </c>
      <c r="B125" s="12" t="s">
        <v>89</v>
      </c>
      <c r="C125" s="15" t="n">
        <f aca="false">C123+C124</f>
        <v>134.689359843138</v>
      </c>
      <c r="D125" s="15" t="n">
        <f aca="false">D123+D124</f>
        <v>176.326147605634</v>
      </c>
      <c r="E125" s="15" t="n">
        <f aca="false">E123+E124</f>
        <v>223.367293143085</v>
      </c>
      <c r="F125" s="15" t="n">
        <f aca="false">F123+F124</f>
        <v>178.693834514468</v>
      </c>
      <c r="G125" s="15" t="n">
        <f aca="false">G123+G124</f>
        <v>178.693834514468</v>
      </c>
    </row>
    <row r="126" customFormat="false" ht="15" hidden="false" customHeight="false" outlineLevel="0" collapsed="false">
      <c r="A126" s="20" t="s">
        <v>283</v>
      </c>
      <c r="B126" s="12" t="s">
        <v>139</v>
      </c>
      <c r="D126" s="16" t="n">
        <f aca="false">D125/C125-1</f>
        <v>0.309131974574586</v>
      </c>
      <c r="E126" s="16" t="n">
        <f aca="false">E125/D125-1</f>
        <v>0.266784853955195</v>
      </c>
      <c r="F126" s="16" t="n">
        <f aca="false">F125/E125-1</f>
        <v>-0.2</v>
      </c>
      <c r="G126" s="16" t="n">
        <f aca="false">G125/F125-1</f>
        <v>0</v>
      </c>
      <c r="H126" s="12" t="s">
        <v>345</v>
      </c>
    </row>
    <row r="127" customFormat="false" ht="15" hidden="false" customHeight="false" outlineLevel="0" collapsed="false">
      <c r="A127" s="20" t="s">
        <v>346</v>
      </c>
      <c r="B127" s="12" t="s">
        <v>139</v>
      </c>
      <c r="D127" s="16" t="n">
        <f aca="false">D123/C123-1</f>
        <v>0.320191019475575</v>
      </c>
      <c r="E127" s="16" t="n">
        <f aca="false">E123/D123-1</f>
        <v>0.282590344096282</v>
      </c>
      <c r="F127" s="16" t="n">
        <f aca="false">F123/E123-1</f>
        <v>-0.2</v>
      </c>
      <c r="G127" s="16" t="n">
        <f aca="false">G123/F123-1</f>
        <v>0</v>
      </c>
    </row>
    <row r="128" customFormat="false" ht="15" hidden="false" customHeight="false" outlineLevel="0" collapsed="false">
      <c r="A128" s="9" t="s">
        <v>347</v>
      </c>
      <c r="B128" s="12" t="s">
        <v>89</v>
      </c>
      <c r="D128" s="15" t="n">
        <f aca="false">D116+D118+D121</f>
        <v>99.086176984793</v>
      </c>
      <c r="E128" s="15" t="n">
        <f aca="false">E116+E118+E121</f>
        <v>129.777665198692</v>
      </c>
      <c r="F128" s="15" t="n">
        <f aca="false">F116+F118+F121</f>
        <v>103.822132158954</v>
      </c>
      <c r="G128" s="15" t="n">
        <f aca="false">G116+G118+G121</f>
        <v>103.822132158954</v>
      </c>
    </row>
    <row r="129" customFormat="false" ht="15" hidden="false" customHeight="false" outlineLevel="0" collapsed="false">
      <c r="A129" s="19" t="s">
        <v>348</v>
      </c>
      <c r="B129" s="12" t="s">
        <v>139</v>
      </c>
      <c r="D129" s="16" t="n">
        <f aca="false">D128/D125</f>
        <v>0.561948289180606</v>
      </c>
      <c r="E129" s="16" t="n">
        <f aca="false">E128/E125</f>
        <v>0.58100567622297</v>
      </c>
      <c r="F129" s="16" t="n">
        <f aca="false">F128/F125</f>
        <v>0.58100567622297</v>
      </c>
      <c r="G129" s="16" t="n">
        <f aca="false">G128/G125</f>
        <v>0.58100567622297</v>
      </c>
    </row>
    <row r="130" customFormat="false" ht="15" hidden="false" customHeight="false" outlineLevel="0" collapsed="false">
      <c r="A130" s="19" t="s">
        <v>349</v>
      </c>
      <c r="B130" s="12" t="s">
        <v>139</v>
      </c>
      <c r="E130" s="17" t="n">
        <f aca="false">IF(ABS(E125-D125)&lt;0.05,"n/a",(E128-D128)/(E125-D125))</f>
        <v>0.652439218119484</v>
      </c>
      <c r="F130" s="17" t="n">
        <f aca="false">IF(ABS(F125-D125)&lt;0.05,"n/a",(F128-D128)/(F125-D125))</f>
        <v>2.00024553774003</v>
      </c>
      <c r="G130" s="17" t="n">
        <f aca="false">IF(ABS(G125-D125)&lt;0.05,"n/a",(G128-D128)/(G125-D125))</f>
        <v>2.00024553774003</v>
      </c>
      <c r="H130" s="8" t="s">
        <v>350</v>
      </c>
    </row>
    <row r="131" customFormat="false" ht="15" hidden="false" customHeight="false" outlineLevel="0" collapsed="false">
      <c r="A131" s="19" t="s">
        <v>351</v>
      </c>
      <c r="B131" s="12" t="s">
        <v>139</v>
      </c>
      <c r="E131" s="17" t="n">
        <f aca="false">IF(ABS(E125-D125)&lt;0.05,"n/a",(E128-D128)/(E125-D125))</f>
        <v>0.652439218119484</v>
      </c>
      <c r="F131" s="17" t="n">
        <f aca="false">IF(ABS(F125-E125)&lt;0.05,"n/a",(F128-E128)/(F125-E125))</f>
        <v>0.58100567622297</v>
      </c>
      <c r="G131" s="17" t="str">
        <f aca="false">IF(ABS(G125-F125)&lt;0.05,"n/a",(G128-F128)/(G125-F125))</f>
        <v>n/a</v>
      </c>
      <c r="H131" s="8" t="s">
        <v>352</v>
      </c>
    </row>
    <row r="132" customFormat="false" ht="15" hidden="false" customHeight="false" outlineLevel="0" collapsed="false">
      <c r="A132" s="20" t="s">
        <v>353</v>
      </c>
      <c r="B132" s="8" t="s">
        <v>354</v>
      </c>
      <c r="C132" s="18" t="n">
        <f aca="false">IF(ROUND(G125,9)=ROUND(MAX(C125:G125),9),2029,IF(ROUND(F125,9)=ROUND(MAX(C125:G125),9),2028,IF(ROUND(E125,9)=ROUND(MAX(C125:G125),9),2027,IF(ROUND(D125,9)=ROUND(MAX(C125:G125),9),2026,2025))))</f>
        <v>2027</v>
      </c>
      <c r="H132" s="8" t="s">
        <v>355</v>
      </c>
    </row>
    <row r="134" customFormat="false" ht="15" hidden="false" customHeight="false" outlineLevel="0" collapsed="false">
      <c r="A134" s="9" t="s">
        <v>360</v>
      </c>
    </row>
    <row r="135" customFormat="false" ht="15" hidden="false" customHeight="false" outlineLevel="0" collapsed="false">
      <c r="A135" s="19" t="s">
        <v>361</v>
      </c>
      <c r="B135" s="12" t="s">
        <v>89</v>
      </c>
      <c r="D135" s="21" t="n">
        <f aca="false">D48-s_tot_26</f>
        <v>0</v>
      </c>
      <c r="F135" s="21" t="n">
        <f aca="false">F48-s_tot_28</f>
        <v>-0.116701799999959</v>
      </c>
      <c r="H135" s="12" t="s">
        <v>362</v>
      </c>
    </row>
    <row r="136" customFormat="false" ht="15" hidden="false" customHeight="false" outlineLevel="0" collapsed="false">
      <c r="A136" s="20" t="s">
        <v>363</v>
      </c>
      <c r="B136" s="12" t="s">
        <v>89</v>
      </c>
      <c r="D136" s="22" t="n">
        <f aca="false">SUM(D78:D84)-D87</f>
        <v>0</v>
      </c>
      <c r="E136" s="22" t="n">
        <f aca="false">SUM(E78:E84)-E87</f>
        <v>0</v>
      </c>
      <c r="F136" s="22" t="n">
        <f aca="false">SUM(F78:F84)-F87</f>
        <v>0</v>
      </c>
      <c r="G136" s="22" t="n">
        <f aca="false">SUM(G78:G84)-G87</f>
        <v>0</v>
      </c>
    </row>
    <row r="137" customFormat="false" ht="15" hidden="false" customHeight="false" outlineLevel="0" collapsed="false">
      <c r="A137" s="19" t="s">
        <v>364</v>
      </c>
      <c r="B137" s="12" t="s">
        <v>89</v>
      </c>
      <c r="C137" s="22" t="n">
        <f aca="false">(C106-C87)+(C125-C87)</f>
        <v>0</v>
      </c>
      <c r="D137" s="22" t="n">
        <f aca="false">(D106-D87)+(D125-D87)</f>
        <v>0</v>
      </c>
      <c r="E137" s="22" t="n">
        <f aca="false">(E106-E87)+(E125-E87)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36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0" t="s">
        <v>365</v>
      </c>
    </row>
    <row r="3" customFormat="false" ht="15" hidden="false" customHeight="false" outlineLevel="0" collapsed="false">
      <c r="A3" s="4" t="s">
        <v>53</v>
      </c>
      <c r="B3" s="4" t="s">
        <v>366</v>
      </c>
      <c r="C3" s="4" t="s">
        <v>15</v>
      </c>
      <c r="D3" s="4" t="s">
        <v>367</v>
      </c>
      <c r="E3" s="4" t="s">
        <v>368</v>
      </c>
      <c r="F3" s="4" t="s">
        <v>369</v>
      </c>
      <c r="G3" s="4" t="s">
        <v>370</v>
      </c>
      <c r="H3" s="4" t="s">
        <v>371</v>
      </c>
      <c r="I3" s="4" t="s">
        <v>372</v>
      </c>
      <c r="J3" s="4" t="s">
        <v>373</v>
      </c>
      <c r="K3" s="23" t="s">
        <v>374</v>
      </c>
      <c r="L3" s="4" t="s">
        <v>375</v>
      </c>
    </row>
    <row r="4" customFormat="false" ht="15" hidden="false" customHeight="false" outlineLevel="0" collapsed="false">
      <c r="A4" s="8" t="s">
        <v>376</v>
      </c>
      <c r="B4" s="0" t="n">
        <v>2026</v>
      </c>
      <c r="C4" s="0" t="s">
        <v>377</v>
      </c>
      <c r="D4" s="15" t="n">
        <f aca="false">s_tot_26</f>
        <v>165.9</v>
      </c>
      <c r="E4" s="15" t="n">
        <f aca="false">Mkt!D87</f>
        <v>176.326147605634</v>
      </c>
      <c r="F4" s="16" t="n">
        <f aca="false">E4/D4-1</f>
        <v>0.0628459771285945</v>
      </c>
      <c r="G4" s="15" t="n">
        <f aca="false">Mkt!D106</f>
        <v>176.326147605634</v>
      </c>
      <c r="H4" s="16" t="n">
        <f aca="false">G4/D4-1</f>
        <v>0.0628459771285945</v>
      </c>
      <c r="I4" s="15" t="n">
        <f aca="false">Mkt!D125</f>
        <v>176.326147605634</v>
      </c>
      <c r="J4" s="16" t="n">
        <f aca="false">I4/D4-1</f>
        <v>0.0628459771285945</v>
      </c>
      <c r="K4" s="0" t="str">
        <f aca="false">IF(ABS(F4)&gt;rc_thr,"超過門檻","")</f>
        <v/>
      </c>
      <c r="L4" s="12" t="s">
        <v>378</v>
      </c>
    </row>
    <row r="5" customFormat="false" ht="15" hidden="false" customHeight="false" outlineLevel="0" collapsed="false">
      <c r="A5" s="8" t="s">
        <v>379</v>
      </c>
      <c r="B5" s="0" t="n">
        <v>2026</v>
      </c>
      <c r="C5" s="0" t="s">
        <v>377</v>
      </c>
      <c r="D5" s="15" t="n">
        <f aca="false">s_wfe_26</f>
        <v>143.9</v>
      </c>
      <c r="E5" s="15" t="n">
        <f aca="false">Mkt!D85</f>
        <v>154.326147605634</v>
      </c>
      <c r="F5" s="16" t="n">
        <f aca="false">E5/D5-1</f>
        <v>0.0724541181767464</v>
      </c>
      <c r="G5" s="15" t="n">
        <f aca="false">Mkt!D104</f>
        <v>154.326147605634</v>
      </c>
      <c r="H5" s="16" t="n">
        <f aca="false">G5/D5-1</f>
        <v>0.0724541181767464</v>
      </c>
      <c r="I5" s="15" t="n">
        <f aca="false">Mkt!D123</f>
        <v>154.326147605634</v>
      </c>
      <c r="J5" s="16" t="n">
        <f aca="false">I5/D5-1</f>
        <v>0.0724541181767464</v>
      </c>
      <c r="K5" s="0" t="str">
        <f aca="false">IF(ABS(F5)&gt;rc_thr,"超過門檻","")</f>
        <v/>
      </c>
    </row>
    <row r="6" customFormat="false" ht="15" hidden="false" customHeight="false" outlineLevel="0" collapsed="false">
      <c r="A6" s="8" t="s">
        <v>380</v>
      </c>
      <c r="B6" s="0" t="n">
        <v>2026</v>
      </c>
      <c r="C6" s="0" t="s">
        <v>377</v>
      </c>
      <c r="D6" s="15" t="n">
        <f aca="false">s_fd_26</f>
        <v>78</v>
      </c>
      <c r="E6" s="15" t="n">
        <f aca="false">Mkt!D78+Mkt!D79</f>
        <v>78</v>
      </c>
      <c r="F6" s="16" t="n">
        <f aca="false">E6/D6-1</f>
        <v>0</v>
      </c>
      <c r="G6" s="15" t="n">
        <f aca="false">Mkt!D97+Mkt!D98</f>
        <v>78</v>
      </c>
      <c r="H6" s="16" t="n">
        <f aca="false">G6/D6-1</f>
        <v>0</v>
      </c>
      <c r="I6" s="15" t="n">
        <f aca="false">Mkt!D116+Mkt!D117</f>
        <v>78</v>
      </c>
      <c r="J6" s="16" t="n">
        <f aca="false">I6/D6-1</f>
        <v>0</v>
      </c>
      <c r="K6" s="0" t="str">
        <f aca="false">IF(ABS(F6)&gt;rc_thr,"超過門檻","")</f>
        <v/>
      </c>
      <c r="L6" s="8" t="s">
        <v>381</v>
      </c>
    </row>
    <row r="7" customFormat="false" ht="15" hidden="false" customHeight="false" outlineLevel="0" collapsed="false">
      <c r="A7" s="0" t="s">
        <v>382</v>
      </c>
      <c r="B7" s="0" t="n">
        <v>2026</v>
      </c>
      <c r="C7" s="0" t="s">
        <v>377</v>
      </c>
      <c r="D7" s="15" t="n">
        <f aca="false">s_dram_26</f>
        <v>38.8</v>
      </c>
      <c r="E7" s="15" t="n">
        <f aca="false">Mkt!D80</f>
        <v>46.476176984793</v>
      </c>
      <c r="F7" s="16" t="n">
        <f aca="false">E7/D7-1</f>
        <v>0.197839613010129</v>
      </c>
      <c r="G7" s="15" t="n">
        <f aca="false">Mkt!D99</f>
        <v>46.476176984793</v>
      </c>
      <c r="H7" s="16" t="n">
        <f aca="false">G7/D7-1</f>
        <v>0.197839613010129</v>
      </c>
      <c r="I7" s="15" t="n">
        <f aca="false">Mkt!D118</f>
        <v>46.476176984793</v>
      </c>
      <c r="J7" s="16" t="n">
        <f aca="false">I7/D7-1</f>
        <v>0.197839613010129</v>
      </c>
      <c r="K7" s="0" t="str">
        <f aca="false">IF(ABS(F7)&gt;rc_thr,"超過門檻","")</f>
        <v>超過門檻</v>
      </c>
      <c r="L7" s="8" t="s">
        <v>383</v>
      </c>
    </row>
    <row r="8" customFormat="false" ht="15" hidden="false" customHeight="false" outlineLevel="0" collapsed="false">
      <c r="A8" s="0" t="s">
        <v>338</v>
      </c>
      <c r="B8" s="0" t="n">
        <v>2026</v>
      </c>
      <c r="C8" s="0" t="s">
        <v>377</v>
      </c>
      <c r="D8" s="15" t="n">
        <f aca="false">s_nand_26</f>
        <v>13.9</v>
      </c>
      <c r="E8" s="15" t="n">
        <f aca="false">Mkt!D81</f>
        <v>16.6499706208408</v>
      </c>
      <c r="F8" s="16" t="n">
        <f aca="false">E8/D8-1</f>
        <v>0.197839613010129</v>
      </c>
      <c r="G8" s="15" t="n">
        <f aca="false">Mkt!D100</f>
        <v>16.6499706208408</v>
      </c>
      <c r="H8" s="16" t="n">
        <f aca="false">G8/D8-1</f>
        <v>0.197839613010129</v>
      </c>
      <c r="I8" s="15" t="n">
        <f aca="false">Mkt!D119</f>
        <v>16.6499706208408</v>
      </c>
      <c r="J8" s="16" t="n">
        <f aca="false">I8/D8-1</f>
        <v>0.197839613010129</v>
      </c>
      <c r="K8" s="0" t="str">
        <f aca="false">IF(ABS(F8)&gt;rc_thr,"超過門檻","")</f>
        <v>超過門檻</v>
      </c>
    </row>
    <row r="9" customFormat="false" ht="15" hidden="false" customHeight="false" outlineLevel="0" collapsed="false">
      <c r="A9" s="8" t="s">
        <v>384</v>
      </c>
      <c r="B9" s="0" t="n">
        <v>2027</v>
      </c>
      <c r="C9" s="0" t="s">
        <v>385</v>
      </c>
      <c r="D9" s="16" t="n">
        <f aca="false">g_wfe_27</f>
        <v>0.218</v>
      </c>
      <c r="E9" s="16" t="n">
        <f aca="false">Mkt!E89</f>
        <v>0.282590344096282</v>
      </c>
      <c r="F9" s="16" t="n">
        <f aca="false">E9-D9</f>
        <v>0.0645903440962816</v>
      </c>
      <c r="G9" s="16" t="n">
        <f aca="false">Mkt!E108</f>
        <v>0.282590344096282</v>
      </c>
      <c r="H9" s="16" t="n">
        <f aca="false">G9-D9</f>
        <v>0.0645903440962816</v>
      </c>
      <c r="I9" s="16" t="n">
        <f aca="false">Mkt!E127</f>
        <v>0.282590344096282</v>
      </c>
      <c r="J9" s="16" t="n">
        <f aca="false">I9-D9</f>
        <v>0.0645903440962816</v>
      </c>
      <c r="K9" s="0" t="str">
        <f aca="false">IF(ABS(F9)&gt;0.05,"超過 5 個百分點","")</f>
        <v>超過 5 個百分點</v>
      </c>
      <c r="L9" s="8" t="s">
        <v>386</v>
      </c>
    </row>
    <row r="10" customFormat="false" ht="15" hidden="false" customHeight="false" outlineLevel="0" collapsed="false">
      <c r="A10" s="8" t="s">
        <v>379</v>
      </c>
      <c r="B10" s="0" t="n">
        <v>2027</v>
      </c>
      <c r="C10" s="0" t="s">
        <v>387</v>
      </c>
      <c r="D10" s="15" t="n">
        <f aca="false">Mkt!E44</f>
        <v>175.2702</v>
      </c>
      <c r="E10" s="15" t="n">
        <f aca="false">Mkt!E85</f>
        <v>197.937226760563</v>
      </c>
      <c r="F10" s="16" t="n">
        <f aca="false">E10/D10-1</f>
        <v>0.129326187569612</v>
      </c>
      <c r="G10" s="15" t="n">
        <f aca="false">Mkt!E104</f>
        <v>197.937226760563</v>
      </c>
      <c r="H10" s="16" t="n">
        <f aca="false">G10/D10-1</f>
        <v>0.129326187569612</v>
      </c>
      <c r="I10" s="15" t="n">
        <f aca="false">Mkt!E123</f>
        <v>197.937226760563</v>
      </c>
      <c r="J10" s="16" t="n">
        <f aca="false">I10/D10-1</f>
        <v>0.129326187569612</v>
      </c>
      <c r="K10" s="0" t="str">
        <f aca="false">IF(ABS(F10)&gt;rc_thr,"超過門檻","")</f>
        <v/>
      </c>
      <c r="L10" s="12" t="s">
        <v>388</v>
      </c>
    </row>
    <row r="11" customFormat="false" ht="15" hidden="false" customHeight="false" outlineLevel="0" collapsed="false">
      <c r="A11" s="8" t="s">
        <v>379</v>
      </c>
      <c r="B11" s="0" t="n">
        <v>2028</v>
      </c>
      <c r="C11" s="0" t="s">
        <v>389</v>
      </c>
      <c r="D11" s="15" t="n">
        <f aca="false">Mkt!F44</f>
        <v>199.9832982</v>
      </c>
      <c r="E11" s="15" t="n">
        <f aca="false">Mkt!F85</f>
        <v>222.50881741831</v>
      </c>
      <c r="F11" s="16" t="n">
        <f aca="false">E11/D11-1</f>
        <v>0.112637002294974</v>
      </c>
      <c r="G11" s="15" t="n">
        <f aca="false">Mkt!F104</f>
        <v>197.937226760563</v>
      </c>
      <c r="H11" s="16" t="n">
        <f aca="false">G11/D11-1</f>
        <v>-0.0102312115954322</v>
      </c>
      <c r="I11" s="15" t="n">
        <f aca="false">Mkt!F123</f>
        <v>158.349781408451</v>
      </c>
      <c r="J11" s="16" t="n">
        <f aca="false">I11/D11-1</f>
        <v>-0.208184969276346</v>
      </c>
      <c r="K11" s="0" t="str">
        <f aca="false">IF(ABS(F11)&gt;rc_thr,"超過門檻","")</f>
        <v/>
      </c>
      <c r="L11" s="8" t="s">
        <v>390</v>
      </c>
    </row>
    <row r="12" customFormat="false" ht="15" hidden="false" customHeight="false" outlineLevel="0" collapsed="false">
      <c r="A12" s="8" t="s">
        <v>376</v>
      </c>
      <c r="B12" s="0" t="n">
        <v>2028</v>
      </c>
      <c r="C12" s="0" t="s">
        <v>377</v>
      </c>
      <c r="D12" s="15" t="n">
        <f aca="false">s_tot_28</f>
        <v>229.5</v>
      </c>
      <c r="E12" s="15" t="n">
        <f aca="false">Mkt!F87</f>
        <v>251.90881741831</v>
      </c>
      <c r="F12" s="16" t="n">
        <f aca="false">E12/D12-1</f>
        <v>0.0976419059621345</v>
      </c>
      <c r="G12" s="15" t="n">
        <f aca="false">Mkt!F106</f>
        <v>223.367293143085</v>
      </c>
      <c r="H12" s="16" t="n">
        <f aca="false">G12/D12-1</f>
        <v>-0.0267220342349239</v>
      </c>
      <c r="I12" s="15" t="n">
        <f aca="false">Mkt!F125</f>
        <v>178.693834514468</v>
      </c>
      <c r="J12" s="16" t="n">
        <f aca="false">I12/D12-1</f>
        <v>-0.221377627387939</v>
      </c>
      <c r="K12" s="0" t="str">
        <f aca="false">IF(ABS(F12)&gt;rc_thr,"超過門檻","")</f>
        <v/>
      </c>
      <c r="L12" s="8" t="s">
        <v>391</v>
      </c>
    </row>
    <row r="13" customFormat="false" ht="15" hidden="false" customHeight="false" outlineLevel="0" collapsed="false">
      <c r="A13" s="8" t="s">
        <v>379</v>
      </c>
      <c r="B13" s="0" t="n">
        <v>2026</v>
      </c>
      <c r="C13" s="0" t="s">
        <v>392</v>
      </c>
      <c r="D13" s="15" t="n">
        <f aca="false">rc_lam26</f>
        <v>150</v>
      </c>
      <c r="E13" s="15" t="n">
        <f aca="false">Mkt!D85</f>
        <v>154.326147605634</v>
      </c>
      <c r="F13" s="16" t="n">
        <f aca="false">E13/D13-1</f>
        <v>0.0288409840375587</v>
      </c>
      <c r="G13" s="15" t="n">
        <f aca="false">Mkt!D104</f>
        <v>154.326147605634</v>
      </c>
      <c r="H13" s="16" t="n">
        <f aca="false">G13/D13-1</f>
        <v>0.0288409840375587</v>
      </c>
      <c r="I13" s="15" t="n">
        <f aca="false">Mkt!D123</f>
        <v>154.326147605634</v>
      </c>
      <c r="J13" s="16" t="n">
        <f aca="false">I13/D13-1</f>
        <v>0.0288409840375587</v>
      </c>
      <c r="K13" s="0" t="str">
        <f aca="false">IF(ABS(F13)&gt;rc_thr,"超過門檻","")</f>
        <v/>
      </c>
      <c r="L13" s="12" t="s">
        <v>393</v>
      </c>
    </row>
    <row r="14" customFormat="false" ht="15" hidden="false" customHeight="false" outlineLevel="0" collapsed="false">
      <c r="A14" s="8" t="s">
        <v>379</v>
      </c>
      <c r="B14" s="0" t="n">
        <v>2026</v>
      </c>
      <c r="C14" s="0" t="s">
        <v>394</v>
      </c>
      <c r="D14" s="15" t="n">
        <f aca="false">rc_kla26</f>
        <v>150</v>
      </c>
      <c r="E14" s="15" t="n">
        <f aca="false">Mkt!D85</f>
        <v>154.326147605634</v>
      </c>
      <c r="F14" s="16" t="n">
        <f aca="false">E14/D14-1</f>
        <v>0.0288409840375587</v>
      </c>
      <c r="G14" s="15" t="n">
        <f aca="false">Mkt!D104</f>
        <v>154.326147605634</v>
      </c>
      <c r="H14" s="16" t="n">
        <f aca="false">G14/D14-1</f>
        <v>0.0288409840375587</v>
      </c>
      <c r="I14" s="15" t="n">
        <f aca="false">Mkt!D123</f>
        <v>154.326147605634</v>
      </c>
      <c r="J14" s="16" t="n">
        <f aca="false">I14/D14-1</f>
        <v>0.0288409840375587</v>
      </c>
      <c r="K14" s="0" t="str">
        <f aca="false">IF(ABS(F14)&gt;rc_thr,"超過門檻","")</f>
        <v/>
      </c>
      <c r="L14" s="12" t="s">
        <v>395</v>
      </c>
    </row>
    <row r="15" customFormat="false" ht="15" hidden="false" customHeight="false" outlineLevel="0" collapsed="false">
      <c r="A15" s="8" t="s">
        <v>379</v>
      </c>
      <c r="B15" s="0" t="n">
        <v>2027</v>
      </c>
      <c r="C15" s="0" t="s">
        <v>396</v>
      </c>
      <c r="D15" s="15" t="n">
        <f aca="false">rc_kla27</f>
        <v>190</v>
      </c>
      <c r="E15" s="15" t="n">
        <f aca="false">Mkt!E85</f>
        <v>197.937226760563</v>
      </c>
      <c r="F15" s="16" t="n">
        <f aca="false">E15/D15-1</f>
        <v>0.0417748776871758</v>
      </c>
      <c r="G15" s="15" t="n">
        <f aca="false">Mkt!E104</f>
        <v>197.937226760563</v>
      </c>
      <c r="H15" s="16" t="n">
        <f aca="false">G15/D15-1</f>
        <v>0.0417748776871758</v>
      </c>
      <c r="I15" s="15" t="n">
        <f aca="false">Mkt!E123</f>
        <v>197.937226760563</v>
      </c>
      <c r="J15" s="16" t="n">
        <f aca="false">I15/D15-1</f>
        <v>0.0417748776871758</v>
      </c>
      <c r="K15" s="0" t="str">
        <f aca="false">IF(ABS(F15)&gt;rc_thr,"超過門檻","")</f>
        <v/>
      </c>
    </row>
    <row r="16" customFormat="false" ht="15" hidden="false" customHeight="false" outlineLevel="0" collapsed="false">
      <c r="A16" s="8" t="s">
        <v>379</v>
      </c>
      <c r="B16" s="0" t="n">
        <v>2027</v>
      </c>
      <c r="C16" s="0" t="s">
        <v>397</v>
      </c>
      <c r="D16" s="15" t="n">
        <f aca="false">rc_lam27</f>
        <v>200</v>
      </c>
      <c r="E16" s="15" t="n">
        <f aca="false">Mkt!E85</f>
        <v>197.937226760563</v>
      </c>
      <c r="F16" s="16" t="n">
        <f aca="false">E16/D16-1</f>
        <v>-0.0103138661971829</v>
      </c>
      <c r="G16" s="15" t="n">
        <f aca="false">Mkt!E104</f>
        <v>197.937226760563</v>
      </c>
      <c r="H16" s="16" t="n">
        <f aca="false">G16/D16-1</f>
        <v>-0.0103138661971829</v>
      </c>
      <c r="I16" s="15" t="n">
        <f aca="false">Mkt!E123</f>
        <v>197.937226760563</v>
      </c>
      <c r="J16" s="16" t="n">
        <f aca="false">I16/D16-1</f>
        <v>-0.0103138661971829</v>
      </c>
      <c r="K16" s="0" t="str">
        <f aca="false">IF(ABS(F16)&gt;rc_thr,"超過門檻","")</f>
        <v/>
      </c>
      <c r="L16" s="8" t="s">
        <v>398</v>
      </c>
    </row>
    <row r="17" customFormat="false" ht="15" hidden="false" customHeight="false" outlineLevel="0" collapsed="false">
      <c r="A17" s="8" t="s">
        <v>379</v>
      </c>
      <c r="B17" s="0" t="n">
        <v>2027</v>
      </c>
      <c r="C17" s="0" t="s">
        <v>399</v>
      </c>
      <c r="D17" s="15" t="n">
        <f aca="false">rc_ms27</f>
        <v>202</v>
      </c>
      <c r="E17" s="15" t="n">
        <f aca="false">Mkt!E85</f>
        <v>197.937226760563</v>
      </c>
      <c r="F17" s="16" t="n">
        <f aca="false">E17/D17-1</f>
        <v>-0.020112738809092</v>
      </c>
      <c r="G17" s="15" t="n">
        <f aca="false">Mkt!E104</f>
        <v>197.937226760563</v>
      </c>
      <c r="H17" s="16" t="n">
        <f aca="false">G17/D17-1</f>
        <v>-0.020112738809092</v>
      </c>
      <c r="I17" s="15" t="n">
        <f aca="false">Mkt!E123</f>
        <v>197.937226760563</v>
      </c>
      <c r="J17" s="16" t="n">
        <f aca="false">I17/D17-1</f>
        <v>-0.020112738809092</v>
      </c>
      <c r="K17" s="0" t="str">
        <f aca="false">IF(ABS(F17)&gt;rc_thr,"超過門檻","")</f>
        <v/>
      </c>
      <c r="L17" s="8" t="s">
        <v>400</v>
      </c>
    </row>
    <row r="18" customFormat="false" ht="15" hidden="false" customHeight="false" outlineLevel="0" collapsed="false">
      <c r="A18" s="8" t="s">
        <v>379</v>
      </c>
      <c r="B18" s="0" t="n">
        <v>2028</v>
      </c>
      <c r="C18" s="0" t="s">
        <v>399</v>
      </c>
      <c r="D18" s="15" t="n">
        <f aca="false">rc_ms28</f>
        <v>227</v>
      </c>
      <c r="E18" s="15" t="n">
        <f aca="false">Mkt!F85</f>
        <v>222.50881741831</v>
      </c>
      <c r="F18" s="16" t="n">
        <f aca="false">E18/D18-1</f>
        <v>-0.019784945293789</v>
      </c>
      <c r="G18" s="15" t="n">
        <f aca="false">Mkt!F104</f>
        <v>197.937226760563</v>
      </c>
      <c r="H18" s="16" t="n">
        <f aca="false">G18/D18-1</f>
        <v>-0.128029838059192</v>
      </c>
      <c r="I18" s="15" t="n">
        <f aca="false">Mkt!F123</f>
        <v>158.349781408451</v>
      </c>
      <c r="J18" s="16" t="n">
        <f aca="false">I18/D18-1</f>
        <v>-0.302423870447354</v>
      </c>
      <c r="K18" s="0" t="str">
        <f aca="false">IF(ABS(F18)&gt;rc_thr,"超過門檻","")</f>
        <v/>
      </c>
      <c r="L18" s="8" t="s">
        <v>401</v>
      </c>
    </row>
    <row r="19" customFormat="false" ht="15" hidden="false" customHeight="false" outlineLevel="0" collapsed="false">
      <c r="A19" s="8" t="s">
        <v>379</v>
      </c>
      <c r="B19" s="0" t="n">
        <v>2026</v>
      </c>
      <c r="C19" s="0" t="s">
        <v>402</v>
      </c>
      <c r="D19" s="15" t="n">
        <f aca="false">rc_gs26</f>
        <v>150</v>
      </c>
      <c r="E19" s="15" t="n">
        <f aca="false">Mkt!D85</f>
        <v>154.326147605634</v>
      </c>
      <c r="F19" s="16" t="n">
        <f aca="false">E19/D19-1</f>
        <v>0.0288409840375587</v>
      </c>
      <c r="G19" s="15" t="n">
        <f aca="false">Mkt!D104</f>
        <v>154.326147605634</v>
      </c>
      <c r="H19" s="16" t="n">
        <f aca="false">G19/D19-1</f>
        <v>0.0288409840375587</v>
      </c>
      <c r="I19" s="15" t="n">
        <f aca="false">Mkt!D123</f>
        <v>154.326147605634</v>
      </c>
      <c r="J19" s="16" t="n">
        <f aca="false">I19/D19-1</f>
        <v>0.0288409840375587</v>
      </c>
      <c r="K19" s="0" t="str">
        <f aca="false">IF(ABS(F19)&gt;rc_thr,"超過門檻","")</f>
        <v/>
      </c>
    </row>
    <row r="20" customFormat="false" ht="15" hidden="false" customHeight="false" outlineLevel="0" collapsed="false">
      <c r="A20" s="8" t="s">
        <v>379</v>
      </c>
      <c r="B20" s="0" t="n">
        <v>2027</v>
      </c>
      <c r="C20" s="0" t="s">
        <v>402</v>
      </c>
      <c r="D20" s="15" t="n">
        <f aca="false">rc_gs27</f>
        <v>218</v>
      </c>
      <c r="E20" s="15" t="n">
        <f aca="false">Mkt!E85</f>
        <v>197.937226760563</v>
      </c>
      <c r="F20" s="16" t="n">
        <f aca="false">E20/D20-1</f>
        <v>-0.0920310699056723</v>
      </c>
      <c r="G20" s="15" t="n">
        <f aca="false">Mkt!E104</f>
        <v>197.937226760563</v>
      </c>
      <c r="H20" s="16" t="n">
        <f aca="false">G20/D20-1</f>
        <v>-0.0920310699056723</v>
      </c>
      <c r="I20" s="15" t="n">
        <f aca="false">Mkt!E123</f>
        <v>197.937226760563</v>
      </c>
      <c r="J20" s="16" t="n">
        <f aca="false">I20/D20-1</f>
        <v>-0.0920310699056723</v>
      </c>
      <c r="K20" s="0" t="str">
        <f aca="false">IF(ABS(F20)&gt;rc_thr,"超過門檻","")</f>
        <v/>
      </c>
    </row>
    <row r="21" customFormat="false" ht="15" hidden="false" customHeight="false" outlineLevel="0" collapsed="false">
      <c r="A21" s="8" t="s">
        <v>379</v>
      </c>
      <c r="B21" s="0" t="n">
        <v>2028</v>
      </c>
      <c r="C21" s="0" t="s">
        <v>402</v>
      </c>
      <c r="D21" s="15" t="n">
        <f aca="false">rc_gs28</f>
        <v>281</v>
      </c>
      <c r="E21" s="15" t="n">
        <f aca="false">Mkt!F85</f>
        <v>222.50881741831</v>
      </c>
      <c r="F21" s="16" t="n">
        <f aca="false">E21/D21-1</f>
        <v>-0.208153674667936</v>
      </c>
      <c r="G21" s="15" t="n">
        <f aca="false">Mkt!F104</f>
        <v>197.937226760563</v>
      </c>
      <c r="H21" s="16" t="n">
        <f aca="false">G21/D21-1</f>
        <v>-0.295597057791589</v>
      </c>
      <c r="I21" s="15" t="n">
        <f aca="false">Mkt!F123</f>
        <v>158.349781408451</v>
      </c>
      <c r="J21" s="16" t="n">
        <f aca="false">I21/D21-1</f>
        <v>-0.436477646233271</v>
      </c>
      <c r="K21" s="0" t="str">
        <f aca="false">IF(ABS(F21)&gt;rc_thr,"超過門檻","")</f>
        <v>超過門檻</v>
      </c>
    </row>
    <row r="23" customFormat="false" ht="15" hidden="false" customHeight="false" outlineLevel="0" collapsed="false">
      <c r="A23" s="7" t="s">
        <v>403</v>
      </c>
    </row>
    <row r="24" customFormat="false" ht="15" hidden="false" customHeight="false" outlineLevel="0" collapsed="false">
      <c r="A24" s="0" t="s">
        <v>404</v>
      </c>
      <c r="D24" s="22" t="n">
        <f aca="false">Mkt!D41+Mkt!D42+Mkt!D43+Mkt!D47-Mkt!D44</f>
        <v>0</v>
      </c>
    </row>
    <row r="25" customFormat="false" ht="15" hidden="false" customHeight="false" outlineLevel="0" collapsed="false">
      <c r="A25" s="8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2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0" t="s">
        <v>406</v>
      </c>
    </row>
    <row r="3" customFormat="false" ht="15" hidden="false" customHeight="false" outlineLevel="0" collapsed="false">
      <c r="A3" s="4" t="s">
        <v>407</v>
      </c>
      <c r="B3" s="23" t="s">
        <v>408</v>
      </c>
      <c r="C3" s="4" t="s">
        <v>409</v>
      </c>
      <c r="D3" s="23" t="s">
        <v>410</v>
      </c>
      <c r="E3" s="4" t="s">
        <v>409</v>
      </c>
      <c r="F3" s="23" t="s">
        <v>411</v>
      </c>
      <c r="G3" s="4" t="s">
        <v>409</v>
      </c>
      <c r="H3" s="4" t="s">
        <v>279</v>
      </c>
    </row>
    <row r="4" customFormat="false" ht="15" hidden="false" customHeight="false" outlineLevel="0" collapsed="false">
      <c r="A4" s="8" t="s">
        <v>56</v>
      </c>
      <c r="B4" s="15" t="n">
        <f aca="false">((cap_sk_27*1000/fx+cap_mu_27+cap_ss_27*1000/fx)*sh_mem+MAX(Mkt!E41+Mkt!E42-(cap_sk_27*1000/fx+cap_mu_27+cap_ss_27*1000/fx)*sh_mem,fl_mem))+((cap_ts_27*sh_fd)+MAX(Mkt!E43-(cap_ts_27*sh_fd),fl_fd))+(Mkt!E44-Mkt!E43-Mkt!E41-Mkt!E42)+Mkt!E45+Mkt!E46</f>
        <v>223.367293143085</v>
      </c>
      <c r="C4" s="16" t="n">
        <f aca="false">B4/B$4-1</f>
        <v>0</v>
      </c>
      <c r="D4" s="15" t="n">
        <f aca="false">((cap_sk_28*1000/fx+cap_mu_28+cap_ss_28*1000/fx)*sh_mem+MAX(Mkt!F41+Mkt!F42-(cap_sk_28*1000/fx+cap_mu_28+cap_ss_28*1000/fx)*sh_mem,fl_mem))+((cap_ts_28*sh_fd)+MAX(Mkt!F43-(cap_ts_28*sh_fd),fl_fd))+(Mkt!F44-Mkt!F43-Mkt!F41-Mkt!F42)+Mkt!F45+Mkt!F46</f>
        <v>251.90881741831</v>
      </c>
      <c r="E4" s="16" t="n">
        <f aca="false">D4/D$4-1</f>
        <v>0</v>
      </c>
      <c r="F4" s="15" t="n">
        <f aca="false">((cap_sk_29*1000/fx+cap_mu_29+cap_ss_29*1000/fx)*sh_mem+MAX(Mkt!F41*(1+g29)+Mkt!F42*(1+g29)-(cap_sk_29*1000/fx+cap_mu_29+cap_ss_29*1000/fx)*sh_mem,fl_mem))+((cap_ts_29*sh_fd)+MAX(Mkt!F43*(1+g29)-(cap_ts_29*sh_fd),fl_fd))+(Mkt!F44*(1+g29)-Mkt!F43*(1+g29)-Mkt!F41*(1+g29)-Mkt!F42*(1+g29))+Mkt!F45*(1+g29)+Mkt!F46*(1+g29)</f>
        <v>265.755269290648</v>
      </c>
      <c r="G4" s="16" t="n">
        <f aca="false">F4/F$4-1</f>
        <v>0</v>
      </c>
      <c r="H4" s="8" t="s">
        <v>412</v>
      </c>
    </row>
    <row r="5" customFormat="false" ht="15" hidden="false" customHeight="false" outlineLevel="0" collapsed="false">
      <c r="A5" s="8" t="s">
        <v>413</v>
      </c>
      <c r="B5" s="15" t="n">
        <f aca="false">((cap_sk_27*1000/fx+cap_mu_27+cap_ss_27*1000/fx)*sh_mem_lo+MAX(Mkt!E41+Mkt!E42-(cap_sk_27*1000/fx+cap_mu_27+cap_ss_27*1000/fx)*sh_mem_lo,fl_mem))+((cap_ts_27*sh_fd)+MAX(Mkt!E43-(cap_ts_27*sh_fd),fl_fd))+(Mkt!E44-Mkt!E43-Mkt!E41-Mkt!E42)+Mkt!E45+Mkt!E46</f>
        <v>214.899687509282</v>
      </c>
      <c r="C5" s="16" t="n">
        <f aca="false">B5/B$4-1</f>
        <v>-0.0379088877097984</v>
      </c>
      <c r="D5" s="15" t="n">
        <f aca="false">((cap_sk_28*1000/fx+cap_mu_28+cap_ss_28*1000/fx)*sh_mem_lo+MAX(Mkt!F41+Mkt!F42-(cap_sk_28*1000/fx+cap_mu_28+cap_ss_28*1000/fx)*sh_mem_lo,fl_mem))+((cap_ts_28*sh_fd)+MAX(Mkt!F43-(cap_ts_28*sh_fd),fl_fd))+(Mkt!F44-Mkt!F43-Mkt!F41-Mkt!F42)+Mkt!F45+Mkt!F46</f>
        <v>242.511634319718</v>
      </c>
      <c r="E5" s="16" t="n">
        <f aca="false">D5/D$4-1</f>
        <v>-0.0373039070045214</v>
      </c>
      <c r="F5" s="15" t="n">
        <f aca="false">((cap_sk_29*1000/fx+cap_mu_29+cap_ss_29*1000/fx)*sh_mem_lo+MAX(Mkt!F41*(1+g29)+Mkt!F42*(1+g29)-(cap_sk_29*1000/fx+cap_mu_29+cap_ss_29*1000/fx)*sh_mem_lo,fl_mem))+((cap_ts_29*sh_fd)+MAX(Mkt!F43*(1+g29)-(cap_ts_29*sh_fd),fl_fd))+(Mkt!F44*(1+g29)-Mkt!F43*(1+g29)-Mkt!F41*(1+g29)-Mkt!F42*(1+g29))+Mkt!F45*(1+g29)+Mkt!F46*(1+g29)</f>
        <v>256.197522811775</v>
      </c>
      <c r="G5" s="16" t="n">
        <f aca="false">F5/F$4-1</f>
        <v>-0.0359644664972578</v>
      </c>
      <c r="H5" s="8" t="s">
        <v>414</v>
      </c>
    </row>
    <row r="6" customFormat="false" ht="15" hidden="false" customHeight="false" outlineLevel="0" collapsed="false">
      <c r="A6" s="8" t="s">
        <v>415</v>
      </c>
      <c r="B6" s="15" t="n">
        <f aca="false">((cap_sk_27*1000/fx+cap_mu_27+cap_ss_27*1000/fx)*sh_mem_hi+MAX(Mkt!E41+Mkt!E42-(cap_sk_27*1000/fx+cap_mu_27+cap_ss_27*1000/fx)*sh_mem_hi,fl_mem))+((cap_ts_27*sh_fd)+MAX(Mkt!E43-(cap_ts_27*sh_fd),fl_fd))+(Mkt!E44-Mkt!E43-Mkt!E41-Mkt!E42)+Mkt!E45+Mkt!E46</f>
        <v>231.834898776888</v>
      </c>
      <c r="C6" s="16" t="n">
        <f aca="false">B6/B$4-1</f>
        <v>0.0379088877097984</v>
      </c>
      <c r="D6" s="15" t="n">
        <f aca="false">((cap_sk_28*1000/fx+cap_mu_28+cap_ss_28*1000/fx)*sh_mem_hi+MAX(Mkt!F41+Mkt!F42-(cap_sk_28*1000/fx+cap_mu_28+cap_ss_28*1000/fx)*sh_mem_hi,fl_mem))+((cap_ts_28*sh_fd)+MAX(Mkt!F43-(cap_ts_28*sh_fd),fl_fd))+(Mkt!F44-Mkt!F43-Mkt!F41-Mkt!F42)+Mkt!F45+Mkt!F46</f>
        <v>261.306000516901</v>
      </c>
      <c r="E6" s="16" t="n">
        <f aca="false">D6/D$4-1</f>
        <v>0.0373039070045214</v>
      </c>
      <c r="F6" s="15" t="n">
        <f aca="false">((cap_sk_29*1000/fx+cap_mu_29+cap_ss_29*1000/fx)*sh_mem_hi+MAX(Mkt!F41*(1+g29)+Mkt!F42*(1+g29)-(cap_sk_29*1000/fx+cap_mu_29+cap_ss_29*1000/fx)*sh_mem_hi,fl_mem))+((cap_ts_29*sh_fd)+MAX(Mkt!F43*(1+g29)-(cap_ts_29*sh_fd),fl_fd))+(Mkt!F44*(1+g29)-Mkt!F43*(1+g29)-Mkt!F41*(1+g29)-Mkt!F42*(1+g29))+Mkt!F45*(1+g29)+Mkt!F46*(1+g29)</f>
        <v>275.313015769521</v>
      </c>
      <c r="G6" s="16" t="n">
        <f aca="false">F6/F$4-1</f>
        <v>0.0359644664972578</v>
      </c>
    </row>
    <row r="7" customFormat="false" ht="15" hidden="false" customHeight="false" outlineLevel="0" collapsed="false">
      <c r="A7" s="8" t="s">
        <v>416</v>
      </c>
      <c r="B7" s="15" t="n">
        <f aca="false">((cap_sk_27*1000/fx+cap_mu_27+cap_ss_27*1000/fx)*sh_mem+MAX(Mkt!E41+Mkt!E42-(cap_sk_27*1000/fx+cap_mu_27+cap_ss_27*1000/fx)*sh_mem,fl_mem))+((cap_ts_27*sh_fd_lo)+MAX(Mkt!E43-(cap_ts_27*sh_fd_lo),fl_fd))+(Mkt!E44-Mkt!E43-Mkt!E41-Mkt!E42)+Mkt!E45+Mkt!E46</f>
        <v>223.367293143085</v>
      </c>
      <c r="C7" s="16" t="n">
        <f aca="false">B7/B$4-1</f>
        <v>0</v>
      </c>
      <c r="D7" s="15" t="n">
        <f aca="false">((cap_sk_28*1000/fx+cap_mu_28+cap_ss_28*1000/fx)*sh_mem+MAX(Mkt!F41+Mkt!F42-(cap_sk_28*1000/fx+cap_mu_28+cap_ss_28*1000/fx)*sh_mem,fl_mem))+((cap_ts_28*sh_fd_lo)+MAX(Mkt!F43-(cap_ts_28*sh_fd_lo),fl_fd))+(Mkt!F44-Mkt!F43-Mkt!F41-Mkt!F42)+Mkt!F45+Mkt!F46</f>
        <v>251.90881741831</v>
      </c>
      <c r="E7" s="16" t="n">
        <f aca="false">D7/D$4-1</f>
        <v>0</v>
      </c>
      <c r="F7" s="15" t="n">
        <f aca="false">((cap_sk_29*1000/fx+cap_mu_29+cap_ss_29*1000/fx)*sh_mem+MAX(Mkt!F41*(1+g29)+Mkt!F42*(1+g29)-(cap_sk_29*1000/fx+cap_mu_29+cap_ss_29*1000/fx)*sh_mem,fl_mem))+((cap_ts_29*sh_fd_lo)+MAX(Mkt!F43*(1+g29)-(cap_ts_29*sh_fd_lo),fl_fd))+(Mkt!F44*(1+g29)-Mkt!F43*(1+g29)-Mkt!F41*(1+g29)-Mkt!F42*(1+g29))+Mkt!F45*(1+g29)+Mkt!F46*(1+g29)</f>
        <v>265.755269290648</v>
      </c>
      <c r="G7" s="16" t="n">
        <f aca="false">F7/F$4-1</f>
        <v>0</v>
      </c>
      <c r="H7" s="8" t="s">
        <v>417</v>
      </c>
    </row>
    <row r="8" customFormat="false" ht="15" hidden="false" customHeight="false" outlineLevel="0" collapsed="false">
      <c r="A8" s="8" t="s">
        <v>418</v>
      </c>
      <c r="B8" s="15" t="n">
        <f aca="false">((cap_sk_27*1000/fx+cap_mu_27+cap_ss_27*1000/fx)*sh_mem+MAX(Mkt!E41+Mkt!E42-(cap_sk_27*1000/fx+cap_mu_27+cap_ss_27*1000/fx)*sh_mem,fl_mem))+((cap_ts_27*sh_fd_hi)+MAX(Mkt!E43-(cap_ts_27*sh_fd_hi),fl_fd))+(Mkt!E44-Mkt!E43-Mkt!E41-Mkt!E42)+Mkt!E45+Mkt!E46</f>
        <v>223.367293143085</v>
      </c>
      <c r="C8" s="16" t="n">
        <f aca="false">B8/B$4-1</f>
        <v>0</v>
      </c>
      <c r="D8" s="15" t="n">
        <f aca="false">((cap_sk_28*1000/fx+cap_mu_28+cap_ss_28*1000/fx)*sh_mem+MAX(Mkt!F41+Mkt!F42-(cap_sk_28*1000/fx+cap_mu_28+cap_ss_28*1000/fx)*sh_mem,fl_mem))+((cap_ts_28*sh_fd_hi)+MAX(Mkt!F43-(cap_ts_28*sh_fd_hi),fl_fd))+(Mkt!F44-Mkt!F43-Mkt!F41-Mkt!F42)+Mkt!F45+Mkt!F46</f>
        <v>251.90881741831</v>
      </c>
      <c r="E8" s="16" t="n">
        <f aca="false">D8/D$4-1</f>
        <v>0</v>
      </c>
      <c r="F8" s="15" t="n">
        <f aca="false">((cap_sk_29*1000/fx+cap_mu_29+cap_ss_29*1000/fx)*sh_mem+MAX(Mkt!F41*(1+g29)+Mkt!F42*(1+g29)-(cap_sk_29*1000/fx+cap_mu_29+cap_ss_29*1000/fx)*sh_mem,fl_mem))+((cap_ts_29*sh_fd_hi)+MAX(Mkt!F43*(1+g29)-(cap_ts_29*sh_fd_hi),fl_fd))+(Mkt!F44*(1+g29)-Mkt!F43*(1+g29)-Mkt!F41*(1+g29)-Mkt!F42*(1+g29))+Mkt!F45*(1+g29)+Mkt!F46*(1+g29)</f>
        <v>265.755269290648</v>
      </c>
      <c r="G8" s="16" t="n">
        <f aca="false">F8/F$4-1</f>
        <v>0</v>
      </c>
    </row>
    <row r="9" customFormat="false" ht="15" hidden="false" customHeight="false" outlineLevel="0" collapsed="false">
      <c r="A9" s="8" t="s">
        <v>419</v>
      </c>
      <c r="B9" s="15" t="n">
        <f aca="false">((cap_sk_27*1000/fx_lo+cap_mu_27+cap_ss_27*1000/fx_lo)*sh_mem+MAX(Mkt!E41+Mkt!E42-(cap_sk_27*1000/fx_lo+cap_mu_27+cap_ss_27*1000/fx_lo)*sh_mem,fl_mem))+((cap_ts_27*sh_fd)+MAX(Mkt!E43-(cap_ts_27*sh_fd),fl_fd))+(Mkt!E44-Mkt!E43-Mkt!E41-Mkt!E42)+Mkt!E45+Mkt!E46</f>
        <v>226.225425641781</v>
      </c>
      <c r="C9" s="16" t="n">
        <f aca="false">B9/B$4-1</f>
        <v>0.0127956625093943</v>
      </c>
      <c r="D9" s="15" t="n">
        <f aca="false">((cap_sk_28*1000/fx_lo+cap_mu_28+cap_ss_28*1000/fx_lo)*sh_mem+MAX(Mkt!F41+Mkt!F42-(cap_sk_28*1000/fx_lo+cap_mu_28+cap_ss_28*1000/fx_lo)*sh_mem,fl_mem))+((cap_ts_28*sh_fd)+MAX(Mkt!F43-(cap_ts_28*sh_fd),fl_fd))+(Mkt!F44-Mkt!F43-Mkt!F41-Mkt!F42)+Mkt!F45+Mkt!F46</f>
        <v>255.115160662963</v>
      </c>
      <c r="E9" s="16" t="n">
        <f aca="false">D9/D$4-1</f>
        <v>0.012728189816908</v>
      </c>
      <c r="F9" s="15" t="n">
        <f aca="false">((cap_sk_29*1000/fx_lo+cap_mu_29+cap_ss_29*1000/fx_lo)*sh_mem+MAX(Mkt!F41*(1+g29)+Mkt!F42*(1+g29)-(cap_sk_29*1000/fx_lo+cap_mu_29+cap_ss_29*1000/fx_lo)*sh_mem,fl_mem))+((cap_ts_29*sh_fd)+MAX(Mkt!F43*(1+g29)-(cap_ts_29*sh_fd),fl_fd))+(Mkt!F44*(1+g29)-Mkt!F43*(1+g29)-Mkt!F41*(1+g29)-Mkt!F42*(1+g29))+Mkt!F45*(1+g29)+Mkt!F46*(1+g29)</f>
        <v>269.050417960445</v>
      </c>
      <c r="G9" s="16" t="n">
        <f aca="false">F9/F$4-1</f>
        <v>0.0123991847032496</v>
      </c>
    </row>
    <row r="10" customFormat="false" ht="15" hidden="false" customHeight="false" outlineLevel="0" collapsed="false">
      <c r="A10" s="8" t="s">
        <v>420</v>
      </c>
      <c r="B10" s="15" t="n">
        <f aca="false">((cap_sk_27*1000/fx_hi+cap_mu_27+cap_ss_27*1000/fx_hi)*sh_mem+MAX(Mkt!E41+Mkt!E42-(cap_sk_27*1000/fx_hi+cap_mu_27+cap_ss_27*1000/fx_hi)*sh_mem,fl_mem))+((cap_ts_27*sh_fd)+MAX(Mkt!E43-(cap_ts_27*sh_fd),fl_fd))+(Mkt!E44-Mkt!E43-Mkt!E41-Mkt!E42)+Mkt!E45+Mkt!E46</f>
        <v>220.427499715855</v>
      </c>
      <c r="C10" s="16" t="n">
        <f aca="false">B10/B$4-1</f>
        <v>-0.0131612528668057</v>
      </c>
      <c r="D10" s="15" t="n">
        <f aca="false">((cap_sk_28*1000/fx_hi+cap_mu_28+cap_ss_28*1000/fx_hi)*sh_mem+MAX(Mkt!F41+Mkt!F42-(cap_sk_28*1000/fx_hi+cap_mu_28+cap_ss_28*1000/fx_hi)*sh_mem,fl_mem))+((cap_ts_28*sh_fd)+MAX(Mkt!F43-(cap_ts_28*sh_fd),fl_fd))+(Mkt!F44-Mkt!F43-Mkt!F41-Mkt!F42)+Mkt!F45+Mkt!F46</f>
        <v>248.610864366667</v>
      </c>
      <c r="E10" s="16" t="n">
        <f aca="false">D10/D$4-1</f>
        <v>-0.0130918523831055</v>
      </c>
      <c r="F10" s="15" t="n">
        <f aca="false">((cap_sk_29*1000/fx_hi+cap_mu_29+cap_ss_29*1000/fx_hi)*sh_mem+MAX(Mkt!F41*(1+g29)+Mkt!F42*(1+g29)-(cap_sk_29*1000/fx_hi+cap_mu_29+cap_ss_29*1000/fx_hi)*sh_mem,fl_mem))+((cap_ts_29*sh_fd)+MAX(Mkt!F43*(1+g29)-(cap_ts_29*sh_fd),fl_fd))+(Mkt!F44*(1+g29)-Mkt!F43*(1+g29)-Mkt!F41*(1+g29)-Mkt!F42*(1+g29))+Mkt!F45*(1+g29)+Mkt!F46*(1+g29)</f>
        <v>262.365973516</v>
      </c>
      <c r="G10" s="16" t="n">
        <f aca="false">F10/F$4-1</f>
        <v>-0.0127534471233425</v>
      </c>
    </row>
    <row r="11" customFormat="false" ht="15" hidden="false" customHeight="false" outlineLevel="0" collapsed="false">
      <c r="A11" s="8" t="s">
        <v>421</v>
      </c>
      <c r="B11" s="15" t="n">
        <f aca="false">((cap_sk_27*1000/fx+cap_mu_27+cap_ss_27*1000/fx)*sh_mem+MAX(Mkt!E41+Mkt!E42-(cap_sk_27*1000/fx+cap_mu_27+cap_ss_27*1000/fx)*sh_mem,fl_mem_hi))+((cap_ts_27*sh_fd)+MAX(Mkt!E43-(cap_ts_27*sh_fd),fl_fd))+(Mkt!E44-Mkt!E43-Mkt!E41-Mkt!E42)+Mkt!E45+Mkt!E46</f>
        <v>233.367293143085</v>
      </c>
      <c r="C11" s="16" t="n">
        <f aca="false">B11/B$4-1</f>
        <v>0.0447693118329289</v>
      </c>
      <c r="D11" s="15" t="n">
        <f aca="false">((cap_sk_28*1000/fx+cap_mu_28+cap_ss_28*1000/fx)*sh_mem+MAX(Mkt!F41+Mkt!F42-(cap_sk_28*1000/fx+cap_mu_28+cap_ss_28*1000/fx)*sh_mem,fl_mem_hi))+((cap_ts_28*sh_fd)+MAX(Mkt!F43-(cap_ts_28*sh_fd),fl_fd))+(Mkt!F44-Mkt!F43-Mkt!F41-Mkt!F42)+Mkt!F45+Mkt!F46</f>
        <v>261.90881741831</v>
      </c>
      <c r="E11" s="16" t="n">
        <f aca="false">D11/D$4-1</f>
        <v>0.0396969034370656</v>
      </c>
      <c r="F11" s="15" t="n">
        <f aca="false">((cap_sk_29*1000/fx+cap_mu_29+cap_ss_29*1000/fx)*sh_mem+MAX(Mkt!F41*(1+g29)+Mkt!F42*(1+g29)-(cap_sk_29*1000/fx+cap_mu_29+cap_ss_29*1000/fx)*sh_mem,fl_mem_hi))+((cap_ts_29*sh_fd)+MAX(Mkt!F43*(1+g29)-(cap_ts_29*sh_fd),fl_fd))+(Mkt!F44*(1+g29)-Mkt!F43*(1+g29)-Mkt!F41*(1+g29)-Mkt!F42*(1+g29))+Mkt!F45*(1+g29)+Mkt!F46*(1+g29)</f>
        <v>275.755269290648</v>
      </c>
      <c r="G11" s="16" t="n">
        <f aca="false">F11/F$4-1</f>
        <v>0.0376286047937711</v>
      </c>
    </row>
    <row r="12" customFormat="false" ht="15" hidden="false" customHeight="false" outlineLevel="0" collapsed="false">
      <c r="A12" s="0" t="s">
        <v>422</v>
      </c>
      <c r="B12" s="15" t="n">
        <f aca="false">((cap_sk_27*1000/fx+cap_mu_27+cap_ss_27*1000/fx)*sh_mem+MAX(Mkt!E41+Mkt!E42-(cap_sk_27*1000/fx+cap_mu_27+cap_ss_27*1000/fx)*sh_mem,fl_mem))+((cap_ts_27*sh_fd)+MAX(Mkt!E43-(cap_ts_27*sh_fd),fl_fd))+(Mkt!E44-Mkt!E43-Mkt!E41-Mkt!E42)+Mkt!E45+Mkt!E46</f>
        <v>223.367293143085</v>
      </c>
      <c r="C12" s="16" t="n">
        <f aca="false">B12/B$4-1</f>
        <v>0</v>
      </c>
      <c r="D12" s="15" t="n">
        <f aca="false">((cap_sk_28*1000/fx+cap_mu_28+cap_ss_28*1000/fx)*sh_mem+MAX(Mkt!F41+Mkt!F42-(cap_sk_28*1000/fx+cap_mu_28+cap_ss_28*1000/fx)*sh_mem,fl_mem))+((cap_ts_28*sh_fd)+MAX(Mkt!F43-(cap_ts_28*sh_fd),fl_fd))+(Mkt!F44-Mkt!F43-Mkt!F41-Mkt!F42)+Mkt!F45+Mkt!F46</f>
        <v>251.90881741831</v>
      </c>
      <c r="E12" s="16" t="n">
        <f aca="false">D12/D$4-1</f>
        <v>0</v>
      </c>
      <c r="F12" s="15" t="n">
        <f aca="false">((cap_sk_29*1000/fx+cap_mu_29+cap_ss_29*1000/fx)*sh_mem+MAX(Mkt!F41*(1+g29_lo)+Mkt!F42*(1+g29_lo)-(cap_sk_29*1000/fx+cap_mu_29+cap_ss_29*1000/fx)*sh_mem,fl_mem))+((cap_ts_29*sh_fd)+MAX(Mkt!F43*(1+g29_lo)-(cap_ts_29*sh_fd),fl_fd))+(Mkt!F44*(1+g29_lo)-Mkt!F43*(1+g29_lo)-Mkt!F41*(1+g29_lo)-Mkt!F42*(1+g29_lo))+Mkt!F45*(1+g29_lo)+Mkt!F46*(1+g29_lo)</f>
        <v>253.621493474648</v>
      </c>
      <c r="G12" s="16" t="n">
        <f aca="false">F12/F$4-1</f>
        <v>-0.0456577054836482</v>
      </c>
    </row>
    <row r="13" customFormat="false" ht="15" hidden="false" customHeight="false" outlineLevel="0" collapsed="false">
      <c r="A13" s="0" t="s">
        <v>423</v>
      </c>
      <c r="B13" s="15" t="n">
        <f aca="false">((cap_sk_27*1000/fx+cap_mu_27+cap_ss_27*1000/fx)*sh_mem+MAX(Mkt!E41+Mkt!E42-(cap_sk_27*1000/fx+cap_mu_27+cap_ss_27*1000/fx)*sh_mem,fl_mem))+((cap_ts_27*sh_fd)+MAX(Mkt!E43-(cap_ts_27*sh_fd),fl_fd))+(Mkt!E44-Mkt!E43-Mkt!E41-Mkt!E42)+Mkt!E45+Mkt!E46</f>
        <v>223.367293143085</v>
      </c>
      <c r="C13" s="16" t="n">
        <f aca="false">B13/B$4-1</f>
        <v>0</v>
      </c>
      <c r="D13" s="15" t="n">
        <f aca="false">((cap_sk_28*1000/fx+cap_mu_28+cap_ss_28*1000/fx)*sh_mem+MAX(Mkt!F41+Mkt!F42-(cap_sk_28*1000/fx+cap_mu_28+cap_ss_28*1000/fx)*sh_mem,fl_mem))+((cap_ts_28*sh_fd)+MAX(Mkt!F43-(cap_ts_28*sh_fd),fl_fd))+(Mkt!F44-Mkt!F43-Mkt!F41-Mkt!F42)+Mkt!F45+Mkt!F46</f>
        <v>251.90881741831</v>
      </c>
      <c r="E13" s="16" t="n">
        <f aca="false">D13/D$4-1</f>
        <v>0</v>
      </c>
      <c r="F13" s="15" t="n">
        <f aca="false">((cap_sk_29*1000/fx+cap_mu_29+cap_ss_29*1000/fx)*sh_mem+MAX(Mkt!F41*(1+g29_hi)+Mkt!F42*(1+g29_hi)-(cap_sk_29*1000/fx+cap_mu_29+cap_ss_29*1000/fx)*sh_mem,fl_mem))+((cap_ts_29*sh_fd)+MAX(Mkt!F43*(1+g29_hi)-(cap_ts_29*sh_fd),fl_fd))+(Mkt!F44*(1+g29_hi)-Mkt!F43*(1+g29_hi)-Mkt!F41*(1+g29_hi)-Mkt!F42*(1+g29_hi))+Mkt!F45*(1+g29_hi)+Mkt!F46*(1+g29_hi)</f>
        <v>271.822157198648</v>
      </c>
      <c r="G13" s="16" t="n">
        <f aca="false">F13/F$4-1</f>
        <v>0.0228288527418241</v>
      </c>
    </row>
    <row r="14" customFormat="false" ht="15" hidden="false" customHeight="false" outlineLevel="0" collapsed="false">
      <c r="A14" s="8" t="s">
        <v>424</v>
      </c>
      <c r="B14" s="22" t="n">
        <f aca="false">B4-Mkt!E87</f>
        <v>0</v>
      </c>
      <c r="D14" s="22" t="n">
        <f aca="false">D4-Mkt!F87</f>
        <v>0</v>
      </c>
      <c r="F14" s="22" t="n">
        <f aca="false">F4-Mkt!G87</f>
        <v>0</v>
      </c>
    </row>
    <row r="16" customFormat="false" ht="15" hidden="false" customHeight="false" outlineLevel="0" collapsed="false">
      <c r="A16" s="4" t="s">
        <v>425</v>
      </c>
      <c r="B16" s="23" t="s">
        <v>426</v>
      </c>
      <c r="C16" s="4" t="s">
        <v>427</v>
      </c>
      <c r="D16" s="23" t="s">
        <v>428</v>
      </c>
      <c r="E16" s="4" t="s">
        <v>429</v>
      </c>
      <c r="F16" s="4"/>
      <c r="G16" s="4"/>
      <c r="H16" s="4" t="s">
        <v>279</v>
      </c>
    </row>
    <row r="17" customFormat="false" ht="15" hidden="false" customHeight="false" outlineLevel="0" collapsed="false">
      <c r="A17" s="0" t="s">
        <v>430</v>
      </c>
      <c r="B17" s="15" t="n">
        <f aca="false">Mkt!E106*ck_B_28_lo</f>
        <v>212.198928485931</v>
      </c>
      <c r="C17" s="16" t="n">
        <f aca="false">B17/Mkt!E106-1</f>
        <v>-0.05</v>
      </c>
      <c r="D17" s="15" t="n">
        <f aca="false">B17*ck_B_29_lo</f>
        <v>190.979035637338</v>
      </c>
      <c r="E17" s="16" t="n">
        <f aca="false">D17/B17-1</f>
        <v>-0.1</v>
      </c>
    </row>
    <row r="18" customFormat="false" ht="15" hidden="false" customHeight="false" outlineLevel="0" collapsed="false">
      <c r="A18" s="0" t="s">
        <v>431</v>
      </c>
      <c r="B18" s="15" t="n">
        <f aca="false">Mkt!E106*ck_B_28</f>
        <v>223.367293143085</v>
      </c>
      <c r="C18" s="16" t="n">
        <f aca="false">B18/Mkt!E106-1</f>
        <v>0</v>
      </c>
      <c r="D18" s="15" t="n">
        <f aca="false">B18*ck_B_29</f>
        <v>212.198928485931</v>
      </c>
      <c r="E18" s="16" t="n">
        <f aca="false">D18/B18-1</f>
        <v>-0.05</v>
      </c>
    </row>
    <row r="19" customFormat="false" ht="15" hidden="false" customHeight="false" outlineLevel="0" collapsed="false">
      <c r="A19" s="0" t="s">
        <v>432</v>
      </c>
      <c r="B19" s="15" t="n">
        <f aca="false">Mkt!E106*ck_B_28_hi</f>
        <v>234.535657800239</v>
      </c>
      <c r="C19" s="16" t="n">
        <f aca="false">B19/Mkt!E106-1</f>
        <v>0.05</v>
      </c>
      <c r="D19" s="15" t="n">
        <f aca="false">B19*ck_B_29_hi</f>
        <v>246.262440690251</v>
      </c>
      <c r="E19" s="16" t="n">
        <f aca="false">D19/B19-1</f>
        <v>0.05</v>
      </c>
    </row>
    <row r="20" customFormat="false" ht="15" hidden="false" customHeight="false" outlineLevel="0" collapsed="false">
      <c r="A20" s="0" t="s">
        <v>433</v>
      </c>
      <c r="B20" s="15" t="n">
        <f aca="false">Mkt!E125*ck_C_28_lo</f>
        <v>167.525469857314</v>
      </c>
      <c r="C20" s="16" t="n">
        <f aca="false">B20/Mkt!E125-1</f>
        <v>-0.25</v>
      </c>
      <c r="D20" s="15" t="n">
        <f aca="false">B20*ck_C_29_lo</f>
        <v>150.772922871582</v>
      </c>
      <c r="E20" s="16" t="n">
        <f aca="false">D20/B20-1</f>
        <v>-0.0999999999999999</v>
      </c>
    </row>
    <row r="21" customFormat="false" ht="15" hidden="false" customHeight="false" outlineLevel="0" collapsed="false">
      <c r="A21" s="0" t="s">
        <v>434</v>
      </c>
      <c r="B21" s="15" t="n">
        <f aca="false">Mkt!E125*ck_C_28</f>
        <v>178.693834514468</v>
      </c>
      <c r="C21" s="16" t="n">
        <f aca="false">B21/Mkt!E125-1</f>
        <v>-0.2</v>
      </c>
      <c r="D21" s="15" t="n">
        <f aca="false">B21*ck_C_29</f>
        <v>178.693834514468</v>
      </c>
      <c r="E21" s="16" t="n">
        <f aca="false">D21/B21-1</f>
        <v>0</v>
      </c>
    </row>
    <row r="22" customFormat="false" ht="15" hidden="false" customHeight="false" outlineLevel="0" collapsed="false">
      <c r="A22" s="0" t="s">
        <v>435</v>
      </c>
      <c r="B22" s="15" t="n">
        <f aca="false">Mkt!E125*ck_C_28_hi</f>
        <v>189.862199171622</v>
      </c>
      <c r="C22" s="16" t="n">
        <f aca="false">B22/Mkt!E125-1</f>
        <v>-0.15</v>
      </c>
      <c r="D22" s="15" t="n">
        <f aca="false">B22*ck_C_29_hi</f>
        <v>208.848419088784</v>
      </c>
      <c r="E22" s="16" t="n">
        <f aca="false">D22/B22-1</f>
        <v>0.1</v>
      </c>
    </row>
    <row r="23" customFormat="false" ht="15" hidden="false" customHeight="false" outlineLevel="0" collapsed="false">
      <c r="A23" s="8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0"/>
    <col collapsed="false" customWidth="true" hidden="false" outlineLevel="0" max="3" min="3" style="0" width="48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7" t="s">
        <v>15</v>
      </c>
    </row>
    <row r="2" customFormat="false" ht="15" hidden="false" customHeight="false" outlineLevel="0" collapsed="false">
      <c r="A2" s="4" t="s">
        <v>15</v>
      </c>
      <c r="B2" s="4" t="s">
        <v>437</v>
      </c>
      <c r="C2" s="4" t="s">
        <v>438</v>
      </c>
      <c r="D2" s="4" t="s">
        <v>16</v>
      </c>
    </row>
    <row r="3" customFormat="false" ht="15" hidden="false" customHeight="false" outlineLevel="0" collapsed="false">
      <c r="A3" s="0" t="s">
        <v>439</v>
      </c>
      <c r="B3" s="0" t="s">
        <v>440</v>
      </c>
      <c r="C3" s="0" t="s">
        <v>441</v>
      </c>
      <c r="D3" s="8" t="s">
        <v>442</v>
      </c>
    </row>
    <row r="4" customFormat="false" ht="15" hidden="false" customHeight="false" outlineLevel="0" collapsed="false">
      <c r="A4" s="0" t="s">
        <v>443</v>
      </c>
      <c r="B4" s="0" t="s">
        <v>444</v>
      </c>
      <c r="C4" s="8" t="s">
        <v>445</v>
      </c>
      <c r="D4" s="8" t="s">
        <v>446</v>
      </c>
    </row>
    <row r="5" customFormat="false" ht="15" hidden="false" customHeight="false" outlineLevel="0" collapsed="false">
      <c r="A5" s="0" t="s">
        <v>447</v>
      </c>
      <c r="B5" s="0" t="s">
        <v>448</v>
      </c>
      <c r="C5" s="8" t="s">
        <v>264</v>
      </c>
      <c r="D5" s="8" t="s">
        <v>446</v>
      </c>
    </row>
    <row r="6" customFormat="false" ht="15" hidden="false" customHeight="false" outlineLevel="0" collapsed="false">
      <c r="A6" s="0" t="s">
        <v>449</v>
      </c>
      <c r="B6" s="0" t="s">
        <v>450</v>
      </c>
      <c r="C6" s="0" t="s">
        <v>451</v>
      </c>
      <c r="D6" s="8" t="s">
        <v>446</v>
      </c>
    </row>
    <row r="7" customFormat="false" ht="15" hidden="false" customHeight="false" outlineLevel="0" collapsed="false">
      <c r="A7" s="0" t="s">
        <v>452</v>
      </c>
      <c r="B7" s="0" t="s">
        <v>453</v>
      </c>
      <c r="C7" s="8" t="s">
        <v>454</v>
      </c>
      <c r="D7" s="8" t="s">
        <v>455</v>
      </c>
    </row>
    <row r="8" customFormat="false" ht="15" hidden="false" customHeight="false" outlineLevel="0" collapsed="false">
      <c r="A8" s="0" t="s">
        <v>456</v>
      </c>
      <c r="B8" s="0" t="s">
        <v>457</v>
      </c>
      <c r="C8" s="8" t="s">
        <v>458</v>
      </c>
      <c r="D8" s="8" t="s">
        <v>459</v>
      </c>
    </row>
    <row r="9" customFormat="false" ht="15" hidden="false" customHeight="false" outlineLevel="0" collapsed="false">
      <c r="A9" s="0" t="s">
        <v>460</v>
      </c>
      <c r="B9" s="0" t="s">
        <v>461</v>
      </c>
      <c r="C9" s="0" t="s">
        <v>462</v>
      </c>
      <c r="D9" s="8" t="s">
        <v>463</v>
      </c>
    </row>
    <row r="10" customFormat="false" ht="15" hidden="false" customHeight="false" outlineLevel="0" collapsed="false">
      <c r="A10" s="0" t="s">
        <v>464</v>
      </c>
      <c r="B10" s="0" t="s">
        <v>465</v>
      </c>
      <c r="C10" s="0" t="s">
        <v>466</v>
      </c>
      <c r="D10" s="8" t="s">
        <v>446</v>
      </c>
    </row>
    <row r="11" customFormat="false" ht="15" hidden="false" customHeight="false" outlineLevel="0" collapsed="false">
      <c r="A11" s="0" t="s">
        <v>467</v>
      </c>
      <c r="B11" s="0" t="s">
        <v>468</v>
      </c>
      <c r="C11" s="0" t="s">
        <v>469</v>
      </c>
      <c r="D11" s="8" t="s">
        <v>446</v>
      </c>
    </row>
    <row r="12" customFormat="false" ht="15" hidden="false" customHeight="false" outlineLevel="0" collapsed="false">
      <c r="A12" s="0" t="s">
        <v>470</v>
      </c>
      <c r="B12" s="0" t="s">
        <v>471</v>
      </c>
      <c r="C12" s="0" t="s">
        <v>472</v>
      </c>
      <c r="D12" s="8" t="s">
        <v>473</v>
      </c>
    </row>
    <row r="13" customFormat="false" ht="15" hidden="false" customHeight="false" outlineLevel="0" collapsed="false">
      <c r="A13" s="0" t="s">
        <v>474</v>
      </c>
      <c r="B13" s="0" t="s">
        <v>475</v>
      </c>
      <c r="C13" s="8" t="s">
        <v>476</v>
      </c>
      <c r="D13" s="8" t="s">
        <v>477</v>
      </c>
    </row>
    <row r="14" customFormat="false" ht="15" hidden="false" customHeight="false" outlineLevel="0" collapsed="false">
      <c r="A14" s="0" t="s">
        <v>478</v>
      </c>
      <c r="B14" s="0" t="s">
        <v>479</v>
      </c>
      <c r="C14" s="0" t="s">
        <v>480</v>
      </c>
      <c r="D14" s="8" t="s">
        <v>446</v>
      </c>
    </row>
    <row r="15" customFormat="false" ht="15" hidden="false" customHeight="false" outlineLevel="0" collapsed="false">
      <c r="A15" s="0" t="s">
        <v>481</v>
      </c>
      <c r="B15" s="0" t="s">
        <v>267</v>
      </c>
      <c r="C15" s="0" t="s">
        <v>482</v>
      </c>
      <c r="D15" s="8" t="s">
        <v>473</v>
      </c>
    </row>
    <row r="16" customFormat="false" ht="15" hidden="false" customHeight="false" outlineLevel="0" collapsed="false">
      <c r="A16" s="0" t="s">
        <v>483</v>
      </c>
      <c r="B16" s="0" t="s">
        <v>484</v>
      </c>
      <c r="C16" s="8" t="s">
        <v>485</v>
      </c>
      <c r="D16" s="8" t="s">
        <v>486</v>
      </c>
    </row>
    <row r="17" customFormat="false" ht="15" hidden="false" customHeight="false" outlineLevel="0" collapsed="false">
      <c r="A17" s="0" t="s">
        <v>487</v>
      </c>
      <c r="B17" s="0" t="s">
        <v>488</v>
      </c>
      <c r="C17" s="8" t="s">
        <v>489</v>
      </c>
      <c r="D17" s="8" t="s">
        <v>490</v>
      </c>
    </row>
    <row r="18" customFormat="false" ht="15" hidden="false" customHeight="false" outlineLevel="0" collapsed="false">
      <c r="A18" s="0" t="s">
        <v>491</v>
      </c>
      <c r="B18" s="0" t="s">
        <v>492</v>
      </c>
      <c r="C18" s="0" t="s">
        <v>493</v>
      </c>
      <c r="D18" s="8" t="s">
        <v>463</v>
      </c>
    </row>
    <row r="19" customFormat="false" ht="15" hidden="false" customHeight="false" outlineLevel="0" collapsed="false">
      <c r="A19" s="0" t="s">
        <v>494</v>
      </c>
      <c r="B19" s="0" t="s">
        <v>495</v>
      </c>
      <c r="C19" s="8" t="s">
        <v>496</v>
      </c>
      <c r="D19" s="8" t="s">
        <v>497</v>
      </c>
    </row>
    <row r="20" customFormat="false" ht="15" hidden="false" customHeight="false" outlineLevel="0" collapsed="false">
      <c r="A20" s="0" t="s">
        <v>498</v>
      </c>
      <c r="B20" s="0" t="s">
        <v>499</v>
      </c>
      <c r="C20" s="8" t="s">
        <v>500</v>
      </c>
      <c r="D20" s="8" t="s">
        <v>446</v>
      </c>
    </row>
    <row r="21" customFormat="false" ht="15" hidden="false" customHeight="false" outlineLevel="0" collapsed="false">
      <c r="A21" s="0" t="s">
        <v>501</v>
      </c>
      <c r="B21" s="0" t="s">
        <v>502</v>
      </c>
      <c r="C21" s="8" t="s">
        <v>503</v>
      </c>
      <c r="D21" s="8" t="s">
        <v>446</v>
      </c>
    </row>
    <row r="22" customFormat="false" ht="15" hidden="false" customHeight="false" outlineLevel="0" collapsed="false">
      <c r="A22" s="0" t="s">
        <v>504</v>
      </c>
      <c r="B22" s="0" t="s">
        <v>505</v>
      </c>
      <c r="C22" s="8" t="s">
        <v>506</v>
      </c>
      <c r="D22" s="8" t="s">
        <v>446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2026-10-22T07:41:41Z</dcterms:created>
  <dc:creator>openpyxl</dc:creator>
  <dc:description/>
  <dc:language>en-US</dc:language>
  <cp:lastModifiedBy/>
  <dcterms:modified xsi:type="dcterms:W3CDTF">2026-10-22T07:41:41Z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