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Recon" sheetId="4" state="visible" r:id="rId6"/>
    <sheet name="Sens" sheetId="5" state="visible" r:id="rId7"/>
    <sheet name="Sources" sheetId="6" state="visible" r:id="rId8"/>
  </sheets>
  <definedNames>
    <definedName function="false" hidden="false" name="adv_other" vbProcedure="false">In!$E$61</definedName>
    <definedName function="false" hidden="false" name="adv_other_hi" vbProcedure="false">In!$F$61</definedName>
    <definedName function="false" hidden="false" name="adv_other_lo" vbProcedure="false">In!$D$61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In!$E$56</definedName>
    <definedName function="false" hidden="false" name="ck_B_28_hi" vbProcedure="false">In!$F$56</definedName>
    <definedName function="false" hidden="false" name="ck_B_28_lo" vbProcedure="false">In!$D$56</definedName>
    <definedName function="false" hidden="false" name="ck_B_29" vbProcedure="false">In!$E$58</definedName>
    <definedName function="false" hidden="false" name="ck_B_29_hi" vbProcedure="false">In!$F$58</definedName>
    <definedName function="false" hidden="false" name="ck_B_29_lo" vbProcedure="false">In!$D$58</definedName>
    <definedName function="false" hidden="false" name="ck_C_28" vbProcedure="false">In!$E$57</definedName>
    <definedName function="false" hidden="false" name="ck_C_28_hi" vbProcedure="false">In!$F$57</definedName>
    <definedName function="false" hidden="false" name="ck_C_28_lo" vbProcedure="false">In!$D$57</definedName>
    <definedName function="false" hidden="false" name="ck_C_29" vbProcedure="false">In!$E$59</definedName>
    <definedName function="false" hidden="false" name="ck_C_29_hi" vbProcedure="false">In!$F$59</definedName>
    <definedName function="false" hidden="false" name="ck_C_29_lo" vbProcedure="false">In!$D$59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29" vbProcedure="false">In!$E$54</definedName>
    <definedName function="false" hidden="false" name="g29_hi" vbProcedure="false">In!$F$54</definedName>
    <definedName function="false" hidden="false" name="g29_lo" vbProcedure="false">In!$D$54</definedName>
    <definedName function="false" hidden="false" name="g_dram_26" vbProcedure="false">In!$E$30</definedName>
    <definedName function="false" hidden="false" name="g_dram_27" vbProcedure="false">In!$E$31</definedName>
    <definedName function="false" hidden="false" name="g_dram_28" vbProcedure="false">In!$E$32</definedName>
    <definedName function="false" hidden="false" name="g_fd_26" vbProcedure="false">In!$E$38</definedName>
    <definedName function="false" hidden="false" name="g_fd_27" vbProcedure="false">In!$E$39</definedName>
    <definedName function="false" hidden="false" name="g_fd_28" vbProcedure="false">In!$E$40</definedName>
    <definedName function="false" hidden="false" name="g_nand_26" vbProcedure="false">In!$E$34</definedName>
    <definedName function="false" hidden="false" name="g_nand_27" vbProcedure="false">In!$E$35</definedName>
    <definedName function="false" hidden="false" name="g_nand_28" vbProcedure="false">In!$E$36</definedName>
    <definedName function="false" hidden="false" name="g_pkg_26" vbProcedure="false">In!$E$49</definedName>
    <definedName function="false" hidden="false" name="g_test_26" vbProcedure="false">In!$E$46</definedName>
    <definedName function="false" hidden="false" name="g_tot_26" vbProcedure="false">In!$E$52</definedName>
    <definedName function="false" hidden="false" name="g_wfe_26" vbProcedure="false">In!$E$42</definedName>
    <definedName function="false" hidden="false" name="g_wfe_27" vbProcedure="false">In!$E$43</definedName>
    <definedName function="false" hidden="false" name="g_wfe_28" vbProcedure="false">In!$E$44</definedName>
    <definedName function="false" hidden="false" name="pkg_adv" vbProcedure="false">In!$E$62</definedName>
    <definedName function="false" hidden="false" name="pkg_adv_hi" vbProcedure="false">In!$F$62</definedName>
    <definedName function="false" hidden="false" name="pkg_adv_lo" vbProcedure="false">In!$D$62</definedName>
    <definedName function="false" hidden="false" name="rc_gs26" vbProcedure="false">In!$E$70</definedName>
    <definedName function="false" hidden="false" name="rc_gs27" vbProcedure="false">In!$E$71</definedName>
    <definedName function="false" hidden="false" name="rc_gs28" vbProcedure="false">In!$E$72</definedName>
    <definedName function="false" hidden="false" name="rc_kla26" vbProcedure="false">In!$E$66</definedName>
    <definedName function="false" hidden="false" name="rc_kla27" vbProcedure="false">In!$E$67</definedName>
    <definedName function="false" hidden="false" name="rc_lam26" vbProcedure="false">In!$E$64</definedName>
    <definedName function="false" hidden="false" name="rc_lam27" vbProcedure="false">In!$E$65</definedName>
    <definedName function="false" hidden="false" name="rc_ms27" vbProcedure="false">In!$E$68</definedName>
    <definedName function="false" hidden="false" name="rc_ms28" vbProcedure="false">In!$E$69</definedName>
    <definedName function="false" hidden="false" name="rc_thr" vbProcedure="false">In!$E$73</definedName>
    <definedName function="false" hidden="false" name="sh_fd" vbProcedure="false">In!$E$27</definedName>
    <definedName function="false" hidden="false" name="sh_fd_hi" vbProcedure="false">In!$F$27</definedName>
    <definedName function="false" hidden="false" name="sh_fd_lo" vbProcedure="false">In!$D$27</definedName>
    <definedName function="false" hidden="false" name="sh_mu_26" vbProcedure="false">In!$E$23</definedName>
    <definedName function="false" hidden="false" name="sh_mu_26_hi" vbProcedure="false">In!$F$23</definedName>
    <definedName function="false" hidden="false" name="sh_mu_26_lo" vbProcedure="false">In!$D$23</definedName>
    <definedName function="false" hidden="false" name="sh_mu_27" vbProcedure="false">In!$E$24</definedName>
    <definedName function="false" hidden="false" name="sh_mu_27_hi" vbProcedure="false">In!$F$24</definedName>
    <definedName function="false" hidden="false" name="sh_mu_27_lo" vbProcedure="false">In!$D$24</definedName>
    <definedName function="false" hidden="false" name="sh_sk" vbProcedure="false">In!$E$25</definedName>
    <definedName function="false" hidden="false" name="sh_sk_hi" vbProcedure="false">In!$F$25</definedName>
    <definedName function="false" hidden="false" name="sh_sk_lo" vbProcedure="false">In!$D$25</definedName>
    <definedName function="false" hidden="false" name="sh_ss" vbProcedure="false">In!$E$26</definedName>
    <definedName function="false" hidden="false" name="sh_ss_hi" vbProcedure="false">In!$F$26</definedName>
    <definedName function="false" hidden="false" name="sh_ss_lo" vbProcedure="false">In!$D$26</definedName>
    <definedName function="false" hidden="false" name="s_dram_26" vbProcedure="false">In!$E$29</definedName>
    <definedName function="false" hidden="false" name="s_fd_26" vbProcedure="false">In!$E$37</definedName>
    <definedName function="false" hidden="false" name="s_nand_26" vbProcedure="false">In!$E$33</definedName>
    <definedName function="false" hidden="false" name="s_pkg_26" vbProcedure="false">In!$E$48</definedName>
    <definedName function="false" hidden="false" name="s_pkg_28" vbProcedure="false">In!$E$50</definedName>
    <definedName function="false" hidden="false" name="s_test_26" vbProcedure="false">In!$E$45</definedName>
    <definedName function="false" hidden="false" name="s_test_28" vbProcedure="false">In!$E$47</definedName>
    <definedName function="false" hidden="false" name="s_tot_26" vbProcedure="false">In!$E$51</definedName>
    <definedName function="false" hidden="false" name="s_tot_28" vbProcedure="false">In!$E$53</definedName>
    <definedName function="false" hidden="false" name="s_wfe_26" vbProcedure="false">In!$E$41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<sst xmlns="http://schemas.openxmlformats.org/spreadsheetml/2006/main" count="894" uniqueCount="519">
  <si>
    <r>
      <rPr>
        <b val="true"/>
        <sz val="11"/>
        <rFont val="WenQuanYi Zen Hei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2026-10-22</t>
    </r>
  </si>
  <si>
    <r>
      <rPr>
        <sz val="11"/>
        <rFont val="WenQuanYi Zen Hei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WenQuanYi Zen Hei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WenQuanYi Zen Hei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</si>
  <si>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</si>
  <si>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WenQuanYi Zen Hei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WenQuanYi Zen Hei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WenQuanYi Zen Hei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</si>
  <si>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WenQuanYi Zen Hei"/>
        <family val="2"/>
      </rPr>
      <t xml:space="preserve">：記憶體＝三家資本支出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 ＋ 其他廠（</t>
    </r>
    <r>
      <rPr>
        <sz val="11"/>
        <rFont val="Cambria"/>
        <family val="0"/>
        <charset val="1"/>
      </rPr>
      <t xml:space="preserve">SEMI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− </t>
    </r>
    <r>
      <rPr>
        <sz val="11"/>
        <rFont val="WenQuanYi Zen Hei"/>
        <family val="2"/>
      </rPr>
      <t xml:space="preserve">三家，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）；代工邏輯＝台積電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占比 ＋ 其他（</t>
    </r>
    <r>
      <rPr>
        <sz val="11"/>
        <rFont val="Cambria"/>
        <family val="0"/>
        <charset val="1"/>
      </rPr>
      <t xml:space="preserve">SEMI − </t>
    </r>
    <r>
      <rPr>
        <sz val="11"/>
        <rFont val="WenQuanYi Zen Hei"/>
        <family val="2"/>
      </rPr>
      <t xml:space="preserve">台積電，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</si>
  <si>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WenQuanYi Zen Hei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：占比、匯率、下限、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外推、情境係數</t>
    </r>
  </si>
  <si>
    <r>
      <rPr>
        <b val="true"/>
        <sz val="11"/>
        <rFont val="WenQuanYi Zen Hei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WenQuanYi Zen Hei"/>
        <family val="2"/>
      </rPr>
      <t xml:space="preserve">摘要區）</t>
    </r>
  </si>
  <si>
    <r>
      <rPr>
        <sz val="11"/>
        <rFont val="WenQuanYi Zen Hei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WenQuanYi Zen Hei"/>
        <family val="2"/>
      </rPr>
      <t xml:space="preserve">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165.9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200.7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229.4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247.7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165.9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200.7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200.7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190.7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WenQuanYi Zen Hei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165.9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200.7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160.6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160.6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）。</t>
    </r>
    <r>
      <rPr>
        <sz val="11"/>
        <rFont val="Cambria"/>
        <family val="0"/>
        <charset val="1"/>
      </rPr>
      <t xml:space="preserve">2025 SEMI </t>
    </r>
    <r>
      <rPr>
        <sz val="11"/>
        <rFont val="WenQuanYi Zen Hei"/>
        <family val="2"/>
      </rPr>
      <t xml:space="preserve">實績 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。</t>
    </r>
  </si>
  <si>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路徑的總額由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決定（其他記憶體廠、其他代工邏輯為殘差）；公司資本支出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設備占比決定「三家 </t>
    </r>
    <r>
      <rPr>
        <sz val="11"/>
        <rFont val="Cambria"/>
        <family val="0"/>
        <charset val="1"/>
      </rPr>
      <t xml:space="preserve">vs </t>
    </r>
    <r>
      <rPr>
        <sz val="11"/>
        <rFont val="WenQuanYi Zen Hei"/>
        <family val="2"/>
      </rPr>
      <t xml:space="preserve">其他」的分配與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分類，不決定總額。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</si>
  <si>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累計）：</t>
    </r>
    <r>
      <rPr>
        <sz val="11"/>
        <rFont val="Cambria"/>
        <family val="0"/>
        <charset val="1"/>
      </rPr>
      <t xml:space="preserve">A 2027 63%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2028 62%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2029 59%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B 63%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63%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65%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C 2027 63%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起總增量接近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，比值失真。結論取決於情境係數（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</si>
  <si>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</si>
  <si>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其他記憶體廠殘差為負（三家資本支出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設備占比超過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），照實顯示，見 </t>
    </r>
    <r>
      <rPr>
        <sz val="11"/>
        <rFont val="Cambria"/>
        <family val="0"/>
        <charset val="1"/>
      </rPr>
      <t xml:space="preserve">Recon </t>
    </r>
    <r>
      <rPr>
        <sz val="11"/>
        <rFont val="WenQuanYi Zen Hei"/>
        <family val="2"/>
      </rPr>
      <t xml:space="preserve">說明 </t>
    </r>
    <r>
      <rPr>
        <sz val="11"/>
        <rFont val="Cambria"/>
        <family val="0"/>
        <charset val="1"/>
      </rPr>
      <t xml:space="preserve">(d)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(2) 2025 </t>
    </r>
    <r>
      <rPr>
        <sz val="11"/>
        <rFont val="WenQuanYi Zen Hei"/>
        <family val="2"/>
      </rPr>
      <t xml:space="preserve">為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實績（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海力士、三星記憶體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資本支出未找到），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年增率含口徑轉換。</t>
    </r>
  </si>
  <si>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則…」的情境。</t>
    </r>
    <r>
      <rPr>
        <sz val="11"/>
        <rFont val="Cambria"/>
        <family val="0"/>
        <charset val="1"/>
      </rPr>
      <t xml:space="preserve">(5) Morgan Stanley 202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WenQuanYi Zen Hei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WenQuanYi Zen Hei"/>
        <family val="2"/>
      </rPr>
      <t xml:space="preserve">二手轉述（連結由使用者提供，環境無法開啟，未直接核對；上修前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WenQuanYi Zen Hei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WenQuanYi Zen Hei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WenQuanYi Zen Hei"/>
        <family val="2"/>
      </rPr>
      <t xml:space="preserve">台積電資本支出含先進封裝，與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後段可能重疊。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</si>
  <si>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WenQuanYi Zen Hei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WenQuanYi Zen Hei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；公司原文是增量多數為建築，並未給設備占比）；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海力士、三星、台積電未找到公司揭露，用業界 </t>
    </r>
    <r>
      <rPr>
        <sz val="11"/>
        <rFont val="Cambria"/>
        <family val="0"/>
        <charset val="1"/>
      </rPr>
      <t xml:space="preserve">58–70%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）。</t>
    </r>
  </si>
  <si>
    <r>
      <rPr>
        <b val="true"/>
        <sz val="11"/>
        <rFont val="WenQuanYi Zen Hei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只做表，不入模）</t>
    </r>
  </si>
  <si>
    <t xml:space="preserve">瓶頸</t>
  </si>
  <si>
    <r>
      <rPr>
        <b val="true"/>
        <sz val="11"/>
        <rFont val="WenQuanYi Zen Hei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</si>
  <si>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</si>
  <si>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</si>
  <si>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</si>
  <si>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</si>
  <si>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WenQuanYi Zen Hei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WenQuanYi Zen Hei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WenQuanYi Zen Hei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</si>
  <si>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WenQuanYi Zen Hei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WenQuanYi Zen Hei"/>
        <family val="2"/>
      </rPr>
      <t xml:space="preserve">）</t>
    </r>
  </si>
  <si>
    <t xml:space="preserve">強（美光一手）／中／弱</t>
  </si>
  <si>
    <r>
      <rPr>
        <sz val="11"/>
        <color theme="1"/>
        <rFont val="WenQuanYi Zen Hei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</si>
  <si>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</si>
  <si>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WenQuanYi Zen Hei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</si>
  <si>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</si>
  <si>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WenQuanYi Zen Hei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的一手說法：未找到</t>
    </r>
  </si>
  <si>
    <r>
      <rPr>
        <sz val="11"/>
        <color theme="1"/>
        <rFont val="WenQuanYi Zen Hei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</si>
  <si>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</si>
  <si>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WenQuanYi Zen Hei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WenQuanYi Zen Hei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</si>
  <si>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WenQuanYi Zen Hei"/>
        <family val="2"/>
      </rPr>
      <t xml:space="preserve">類二手整理</t>
    </r>
  </si>
  <si>
    <r>
      <rPr>
        <sz val="11"/>
        <color theme="1"/>
        <rFont val="WenQuanYi Zen Hei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</si>
  <si>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</si>
  <si>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</si>
  <si>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</si>
  <si>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</si>
  <si>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</si>
  <si>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WenQuanYi Zen Hei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</si>
  <si>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</si>
  <si>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WenQuanYi Zen Hei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WenQuanYi Zen Hei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WenQuanYi Zen Hei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WenQuanYi Zen Hei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WenQuanYi Zen Hei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WenQuanYi Zen Hei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</si>
  <si>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</si>
  <si>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</si>
  <si>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WenQuanYi Zen Hei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</si>
  <si>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</si>
  <si>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WenQuanYi Zen Hei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建置時數值；未為對上而調參）：</t>
    </r>
  </si>
  <si>
    <r>
      <rPr>
        <sz val="11"/>
        <color theme="1"/>
        <rFont val="Calibri"/>
        <family val="2"/>
        <charset val="1"/>
      </rPr>
      <t xml:space="preserve">(a) Goldman Sachs 2027 −19.6%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2028 −28.8%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175.3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200.0 vs 218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WenQuanYi Zen Hei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WenQuanYi Zen Hei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</si>
  <si>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WenQuanYi Zen Hei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WenQuanYi Zen Hei"/>
        <family val="2"/>
      </rPr>
      <t xml:space="preserve">但方向一致：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175.3 </t>
    </r>
    <r>
      <rPr>
        <sz val="11"/>
        <color theme="1"/>
        <rFont val="WenQuanYi Zen Hei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WenQuanYi Zen Hei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7.8%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Lam &gt;200</t>
    </r>
    <r>
      <rPr>
        <sz val="11"/>
        <color theme="1"/>
        <rFont val="WenQuanYi Zen Hei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12.4%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Morgan Stanley 202</t>
    </r>
    <r>
      <rPr>
        <sz val="11"/>
        <color theme="1"/>
        <rFont val="WenQuanYi Zen Hei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13.2%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Morgan Stanley 227</t>
    </r>
    <r>
      <rPr>
        <sz val="11"/>
        <color theme="1"/>
        <rFont val="WenQuanYi Zen Hei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4.1%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含先進封裝）。全部在同一側，顯示 </t>
    </r>
    <r>
      <rPr>
        <sz val="11"/>
        <color theme="1"/>
        <rFont val="Calibri"/>
        <family val="2"/>
        <charset val="1"/>
      </rPr>
      <t xml:space="preserve">SEMI 7 </t>
    </r>
    <r>
      <rPr>
        <sz val="11"/>
        <color theme="1"/>
        <rFont val="WenQuanYi Zen Hei"/>
        <family val="2"/>
      </rPr>
      <t xml:space="preserve">月預測（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路徑的天花板）可能落後之後的上修（</t>
    </r>
    <r>
      <rPr>
        <sz val="11"/>
        <color theme="1"/>
        <rFont val="Calibri"/>
        <family val="2"/>
        <charset val="1"/>
      </rPr>
      <t xml:space="preserve">Morgan Stanley 2026-07-06 </t>
    </r>
    <r>
      <rPr>
        <sz val="11"/>
        <color theme="1"/>
        <rFont val="WenQuanYi Zen Hei"/>
        <family val="2"/>
      </rPr>
      <t xml:space="preserve">上修、</t>
    </r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WenQuanYi Zen Hei"/>
        <family val="2"/>
      </rPr>
      <t xml:space="preserve">法說）。</t>
    </r>
  </si>
  <si>
    <r>
      <rPr>
        <sz val="11"/>
        <color theme="1"/>
        <rFont val="Calibri"/>
        <family val="2"/>
        <charset val="1"/>
      </rPr>
      <t xml:space="preserve">(c) A </t>
    </r>
    <r>
      <rPr>
        <sz val="11"/>
        <color theme="1"/>
        <rFont val="WenQuanYi Zen Hei"/>
        <family val="2"/>
      </rPr>
      <t xml:space="preserve">路徑的記憶體與代工邏輯因「其他廠＝</t>
    </r>
    <r>
      <rPr>
        <sz val="11"/>
        <color theme="1"/>
        <rFont val="Calibri"/>
        <family val="2"/>
        <charset val="1"/>
      </rPr>
      <t xml:space="preserve">SEMI − </t>
    </r>
    <r>
      <rPr>
        <sz val="11"/>
        <color theme="1"/>
        <rFont val="WenQuanYi Zen Hei"/>
        <family val="2"/>
      </rPr>
      <t xml:space="preserve">已知廠」的殘差定義，合計≡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（結構結果，非獨立驗證）；獨立檢驗只來自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Goldman Sachs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</si>
  <si>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WenQuanYi Zen Hei"/>
        <family val="2"/>
      </rPr>
      <t xml:space="preserve">發現：「其他記憶體廠」殘差為負（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WenQuanYi Zen Hei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7.2</t>
    </r>
    <r>
      <rPr>
        <sz val="11"/>
        <color theme="1"/>
        <rFont val="WenQuanYi Zen Hei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12.8</t>
    </r>
    <r>
      <rPr>
        <sz val="11"/>
        <color theme="1"/>
        <rFont val="WenQuanYi Zen Hei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11.7</t>
    </r>
    <r>
      <rPr>
        <sz val="11"/>
        <color theme="1"/>
        <rFont val="WenQuanYi Zen Hei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7.2 $B</t>
    </r>
    <r>
      <rPr>
        <sz val="11"/>
        <color theme="1"/>
        <rFont val="WenQuanYi Zen Hei"/>
        <family val="2"/>
      </rPr>
      <t xml:space="preserve">）——三家資本支出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設備占比（加權 </t>
    </r>
    <r>
      <rPr>
        <sz val="11"/>
        <color theme="1"/>
        <rFont val="Calibri"/>
        <family val="2"/>
        <charset val="1"/>
      </rPr>
      <t xml:space="preserve">57–61%</t>
    </r>
    <r>
      <rPr>
        <sz val="11"/>
        <color theme="1"/>
        <rFont val="WenQuanYi Zen Hei"/>
        <family val="2"/>
      </rPr>
      <t xml:space="preserve">）已超過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總額。可能原因：資本支出含建築（美光稱增量多數為建築；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海力士龍仁、三星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的無塵室先行）、資本支出與設備認列時差、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偏低、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口徑差異。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照實顯示，不取下限、不調參。</t>
    </r>
  </si>
  <si>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</si>
  <si>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）。金額：十億美元（公司資本支出另標幣別）</t>
    </r>
  </si>
  <si>
    <r>
      <rPr>
        <sz val="11"/>
        <color theme="1"/>
        <rFont val="WenQuanYi Zen Hei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</si>
  <si>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</si>
  <si>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</si>
  <si>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</si>
  <si>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</si>
  <si>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</si>
  <si>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</si>
  <si>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</si>
  <si>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</si>
  <si>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</si>
  <si>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公司資本支出（讀自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WenQuanYi Zen Hei"/>
        <family val="2"/>
      </rPr>
      <t xml:space="preserve">成品；三情境相同。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海力士、三星記憶體的公司數字未找到，其他模型亦未含 →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實績為基準，不做由下而上）</t>
    </r>
  </si>
  <si>
    <t xml:space="preserve">fx</t>
  </si>
  <si>
    <t xml:space="preserve">美元兌韓元</t>
  </si>
  <si>
    <t xml:space="preserve">KRW/USD</t>
  </si>
  <si>
    <t xml:space="preserve">Derived</t>
  </si>
  <si>
    <r>
      <rPr>
        <sz val="11"/>
        <color theme="1"/>
        <rFont val="WenQuanYi Zen Hei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WenQuanYi Zen Hei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</si>
  <si>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WenQuanYi Zen Hei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</si>
  <si>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</si>
  <si>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</si>
  <si>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</si>
  <si>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</si>
  <si>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</si>
  <si>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</si>
  <si>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</si>
  <si>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</si>
  <si>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</si>
  <si>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</si>
  <si>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</si>
  <si>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</si>
  <si>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</si>
  <si>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</si>
  <si>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</si>
  <si>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</si>
  <si>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</si>
  <si>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</si>
  <si>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WenQuanYi Zen Hei"/>
        <family val="2"/>
      </rPr>
      <t xml:space="preserve">期｜第二來源：未找到</t>
    </r>
  </si>
  <si>
    <t xml:space="preserve">cap_mu_26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</si>
  <si>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</si>
  <si>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</si>
  <si>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</si>
  <si>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</si>
  <si>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WenQuanYi Zen Hei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</si>
  <si>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cap_mu_27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</si>
  <si>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</si>
  <si>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</si>
  <si>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</si>
  <si>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cap_mu_28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</si>
  <si>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</si>
  <si>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</si>
  <si>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</si>
  <si>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cap_mu_29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</si>
  <si>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</si>
  <si>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</si>
  <si>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</si>
  <si>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</si>
  <si>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</si>
  <si>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</si>
  <si>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WenQuanYi Zen Hei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</si>
  <si>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cap_ss_27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</si>
  <si>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</si>
  <si>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</si>
  <si>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WenQuanYi Zen Hei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</si>
  <si>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cap_ss_28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</si>
  <si>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</si>
  <si>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</si>
  <si>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</si>
  <si>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cap_ss_29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</si>
  <si>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</si>
  <si>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</si>
  <si>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</si>
  <si>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</si>
  <si>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</si>
  <si>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WenQuanYi Zen Hei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</si>
  <si>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</si>
  <si>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</si>
  <si>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</si>
  <si>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</si>
  <si>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</si>
  <si>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</si>
  <si>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</si>
  <si>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</si>
  <si>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</si>
  <si>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</si>
  <si>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</si>
  <si>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</si>
  <si>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WenQuanYi Zen Hei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WenQuanYi Zen Hei"/>
        <family val="2"/>
      </rPr>
      <t xml:space="preserve">）</t>
    </r>
  </si>
  <si>
    <t xml:space="preserve">sh_mu_26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</si>
  <si>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設備占資本支出比例</t>
    </r>
  </si>
  <si>
    <t xml:space="preserve">%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</si>
  <si>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WenQuanYi Zen Hei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WenQuanYi Zen Hei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增量多數為無塵室建築（摘要轉述，非逐字）</t>
    </r>
  </si>
  <si>
    <r>
      <rPr>
        <sz val="11"/>
        <color theme="1"/>
        <rFont val="WenQuanYi Zen Hei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WenQuanYi Zen Hei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WenQuanYi Zen Hei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</si>
  <si>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sh_mu_27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</si>
  <si>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WenQuanYi Zen Hei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</si>
  <si>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WenQuanYi Zen Hei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WenQuanYi Zen Hei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WenQuanYi Zen Hei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WenQuanYi Zen Hei"/>
        <family val="2"/>
      </rPr>
      <t xml:space="preserve">」（引自搜尋摘要）</t>
    </r>
  </si>
  <si>
    <r>
      <rPr>
        <sz val="11"/>
        <color theme="1"/>
        <rFont val="WenQuanYi Zen Hei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WenQuanYi Zen Hei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WenQuanYi Zen Hei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WenQuanYi Zen Hei"/>
        <family val="2"/>
      </rPr>
      <t xml:space="preserve">為使用者指定上限（鏈式推導在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WenQuanYi Zen Hei"/>
        <family val="2"/>
      </rPr>
      <t xml:space="preserve">時約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WenQuanYi Zen Hei"/>
        <family val="2"/>
      </rPr>
      <t xml:space="preserve">，故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WenQuanYi Zen Hei"/>
        <family val="2"/>
      </rPr>
      <t xml:space="preserve">較嚴）。引文為公司一手，比例為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</si>
  <si>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</si>
  <si>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海力士：設備占資本支出比例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</si>
  <si>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</si>
  <si>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WenQuanYi Zen Hei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WenQuanYi Zen Hei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</si>
  <si>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。業界合計值，未找到記憶體／代工分項。未找到公司揭露（定性：董事會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WenQuanYi Zen Hei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WenQuanYi Zen Hei"/>
        <family val="2"/>
      </rPr>
      <t xml:space="preserve">兆韓元完成龍仁第一晶圓廠結構工程與二至六期無塵室——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UPI</t>
    </r>
    <r>
      <rPr>
        <sz val="11"/>
        <color theme="1"/>
        <rFont val="WenQuanYi Zen Hei"/>
        <family val="2"/>
      </rPr>
      <t xml:space="preserve">；無年度建築／設備比例）</t>
    </r>
  </si>
  <si>
    <t xml:space="preserve">sh_ss</t>
  </si>
  <si>
    <t xml:space="preserve">三星（記憶體）：設備占資本支出比例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</si>
  <si>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。業界合計值，未找到記憶體／代工分項。未找到公司揭露（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無塵室先行、設備發包另行；無建築／設備比例）；電子新聞稱「晶圓廠成本中設備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WenQuanYi Zen Hei"/>
        <family val="2"/>
      </rPr>
      <t xml:space="preserve">」為業界泛稱，非三星數字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</si>
  <si>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</si>
  <si>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</si>
  <si>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。業界合計值，未找到記憶體／代工分項。未找到公司揭露；台積電資本支出含先進封裝、光罩等（公司稱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），未另扣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</si>
  <si>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WenQuanYi Zen Hei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金額為新聞稿值；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以年增率連乘；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測試、封裝為新聞稿金額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</si>
  <si>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</si>
  <si>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</si>
  <si>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</si>
  <si>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</si>
  <si>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</si>
  <si>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</si>
  <si>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</si>
  <si>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</si>
  <si>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WenQuanYi Zen Hei"/>
        <family val="2"/>
      </rPr>
      <t xml:space="preserve">為使用者提供並經搜尋確認；其餘分項年增來自新聞稿摘要）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</si>
  <si>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</si>
  <si>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</si>
  <si>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WenQuanYi Zen Hei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WenQuanYi Zen Hei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WenQuanYi Zen Hei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</si>
  <si>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</si>
  <si>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</si>
  <si>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</si>
  <si>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</si>
  <si>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</si>
  <si>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</si>
  <si>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</si>
  <si>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</si>
  <si>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</si>
  <si>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</si>
  <si>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</si>
  <si>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</si>
  <si>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</si>
  <si>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</si>
  <si>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</si>
  <si>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</si>
  <si>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</si>
  <si>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</si>
  <si>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</si>
  <si>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</si>
  <si>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</si>
  <si>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</si>
  <si>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</si>
  <si>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</si>
  <si>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</si>
  <si>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</si>
  <si>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</si>
  <si>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</si>
  <si>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</si>
  <si>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</si>
  <si>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</si>
  <si>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</si>
  <si>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</si>
  <si>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</si>
  <si>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</si>
  <si>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</si>
  <si>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</si>
  <si>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</si>
  <si>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</si>
  <si>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</si>
  <si>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</si>
  <si>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</si>
  <si>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</si>
  <si>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</si>
  <si>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</si>
  <si>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各分項年增（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預測）</t>
    </r>
  </si>
  <si>
    <r>
      <rPr>
        <sz val="11"/>
        <color theme="1"/>
        <rFont val="WenQuanYi Zen Hei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WenQuanYi Zen Hei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WenQuanYi Zen Hei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</si>
  <si>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WenQuanYi Zen Hei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</si>
  <si>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WenQuanYi Zen Hei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</si>
  <si>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</si>
  <si>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WenQuanYi Zen Hei"/>
        <family val="2"/>
      </rPr>
      <t xml:space="preserve">係數（持平）</t>
    </r>
  </si>
  <si>
    <t xml:space="preserve">x</t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</si>
  <si>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見頂）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</si>
  <si>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WenQuanYi Zen Hei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</si>
  <si>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</si>
  <si>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WenQuanYi Zen Hei"/>
        <family val="2"/>
      </rPr>
      <t xml:space="preserve">係數（下滑約兩成）</t>
    </r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</si>
  <si>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下滑約兩成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</si>
  <si>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為壓力情境。無實證</t>
    </r>
  </si>
  <si>
    <t xml:space="preserve">ck_B_29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</si>
  <si>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WenQuanYi Zen Hei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</si>
  <si>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</si>
  <si>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</si>
  <si>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</si>
  <si>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WenQuanYi Zen Hei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</si>
  <si>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</si>
  <si>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WenQuanYi Zen Hei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</si>
  <si>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</si>
  <si>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</si>
  <si>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WenQuanYi Zen Hei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WenQuanYi Zen Hei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</si>
  <si>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</si>
  <si>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</si>
  <si>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</si>
  <si>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，但整體先進封裝設備金額未找到</t>
    </r>
  </si>
  <si>
    <r>
      <rPr>
        <sz val="11"/>
        <color theme="1"/>
        <rFont val="WenQuanYi Zen Hei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</si>
  <si>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WenQuanYi Zen Hei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</si>
  <si>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</si>
  <si>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</si>
  <si>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使用者提供；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WenQuanYi Zen Hei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</si>
  <si>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WenQuanYi Zen Hei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WenQuanYi Zen Hei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WenQuanYi Zen Hei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</si>
  <si>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</si>
  <si>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，下限；額外對照）</t>
    </r>
  </si>
  <si>
    <r>
      <rPr>
        <sz val="11"/>
        <color theme="1"/>
        <rFont val="WenQuanYi Zen Hei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</si>
  <si>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</si>
  <si>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</si>
  <si>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</si>
  <si>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WenQuanYi Zen Hei"/>
        <family val="2"/>
      </rPr>
      <t xml:space="preserve">使用者提供；</t>
    </r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WenQuanYi Zen Hei"/>
        <family val="2"/>
      </rPr>
      <t xml:space="preserve">法說（摘要：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</si>
  <si>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WenQuanYi Zen Hei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WenQuanYi Zen Hei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</si>
  <si>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</si>
  <si>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</si>
  <si>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使用者提供；同上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法說摘要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</si>
  <si>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</si>
  <si>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</si>
  <si>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</si>
  <si>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WenQuanYi Zen Hei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WenQuanYi Zen Hei"/>
        <family val="2"/>
      </rPr>
      <t xml:space="preserve">；連結由使用者提供：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WenQuanYi Zen Hei"/>
        <family val="2"/>
      </rPr>
      <t xml:space="preserve">」；本環境無法開啟該頁，未直接核對）</t>
    </r>
  </si>
  <si>
    <r>
      <rPr>
        <sz val="11"/>
        <color theme="1"/>
        <rFont val="WenQuanYi Zen Hei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WenQuanYi Zen Hei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WenQuanYi Zen Hei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</si>
  <si>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</si>
  <si>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</si>
  <si>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WenQuanYi Zen Hei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WenQuanYi Zen Hei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</si>
  <si>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</si>
  <si>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</si>
  <si>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</si>
  <si>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</si>
  <si>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WenQuanYi Zen Hei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</si>
  <si>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</si>
  <si>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</si>
  <si>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</si>
  <si>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</si>
  <si>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</si>
  <si>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WenQuanYi Zen Hei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須說明原因）</t>
    </r>
  </si>
  <si>
    <r>
      <rPr>
        <sz val="11"/>
        <color theme="1"/>
        <rFont val="WenQuanYi Zen Hei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</si>
  <si>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t xml:space="preserve">—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</si>
  <si>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WenQuanYi Zen Hei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差額（其他廠）＋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</si>
  <si>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實績（由年增率回推），非由下而上；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年增率含口徑轉換，不可與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以後直接比較。</t>
    </r>
  </si>
  <si>
    <t xml:space="preserve">說明</t>
  </si>
  <si>
    <r>
      <rPr>
        <b val="true"/>
        <sz val="11"/>
        <rFont val="WenQuanYi Zen Hei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增量占比、見頂年度）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</si>
  <si>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</si>
  <si>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</si>
  <si>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</si>
  <si>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</si>
  <si>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</si>
  <si>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</si>
  <si>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</si>
  <si>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</si>
  <si>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</si>
  <si>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</si>
  <si>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WenQuanYi Zen Hei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</si>
  <si>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WenQuanYi Zen Hei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</si>
  <si>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</si>
  <si>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WenQuanYi Zen Hei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</si>
  <si>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</si>
  <si>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</si>
  <si>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</si>
  <si>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</si>
  <si>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</si>
  <si>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WenQuanYi Zen Hei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</si>
  <si>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</si>
  <si>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WenQuanYi Zen Hei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</si>
  <si>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</si>
  <si>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DRAM ÷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</si>
  <si>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用來把記憶體設備拆成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；假設各廠組合同 </t>
    </r>
    <r>
      <rPr>
        <sz val="11"/>
        <color theme="1"/>
        <rFont val="Calibri"/>
        <family val="2"/>
        <charset val="1"/>
      </rPr>
      <t xml:space="preserve">SEMI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</si>
  <si>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記憶體晶圓前段設備（三家由下而上 ＋ 其他廠 ＝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差額，標 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</si>
  <si>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海力士資本支出（美元）</t>
    </r>
  </si>
  <si>
    <r>
      <rPr>
        <sz val="11"/>
        <color theme="1"/>
        <rFont val="WenQuanYi Zen Hei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WenQuanYi Zen Hei"/>
        <family val="2"/>
      </rPr>
      <t xml:space="preserve">＝ 十億美元</t>
    </r>
  </si>
  <si>
    <r>
      <rPr>
        <sz val="11"/>
        <rFont val="WenQuanYi Zen Hei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WenQuanYi Zen Hei"/>
        <family val="2"/>
      </rPr>
      <t xml:space="preserve">日曆年）</t>
    </r>
  </si>
  <si>
    <t xml:space="preserve">三星記憶體資本支出（美元）</t>
  </si>
  <si>
    <t xml:space="preserve">三家資本支出合計</t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</si>
  <si>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</si>
  <si>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WenQuanYi Zen Hei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FY26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</si>
  <si>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</si>
  <si>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</si>
  <si>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三家加權設備占比（採用）</t>
  </si>
  <si>
    <r>
      <rPr>
        <sz val="11"/>
        <rFont val="WenQuanYi Zen Hei"/>
        <family val="2"/>
      </rPr>
      <t xml:space="preserve">其他記憶體廠（殘差）＝</t>
    </r>
    <r>
      <rPr>
        <sz val="11"/>
        <rFont val="Cambria"/>
        <family val="0"/>
        <charset val="1"/>
      </rPr>
      <t xml:space="preserve">SEMI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− </t>
    </r>
    <r>
      <rPr>
        <sz val="11"/>
        <rFont val="WenQuanYi Zen Hei"/>
        <family val="2"/>
      </rPr>
      <t xml:space="preserve">三家設備（照實顯示，含負值）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</si>
  <si>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。為負＝三家資本支出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設備占比已超過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記憶體總額；這本身是一項發現（見下列說明）</t>
    </r>
  </si>
  <si>
    <t xml:space="preserve">記憶體設備合計＝三家＋其他（殘差）</t>
  </si>
  <si>
    <r>
      <rPr>
        <sz val="11"/>
        <color theme="1"/>
        <rFont val="WenQuanYi Zen Hei"/>
        <family val="2"/>
      </rPr>
      <t xml:space="preserve">因其他廠以殘差定義，合計≡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；由下而上只決定「三家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其他」的分配，不決定總額</t>
    </r>
  </si>
  <si>
    <r>
      <rPr>
        <sz val="11"/>
        <rFont val="WenQuanYi Zen Hei"/>
        <family val="2"/>
      </rPr>
      <t xml:space="preserve">旗標：殘差為負（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＝是）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</si>
  <si>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隱含設備占比（殘差剛好為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記憶體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三家資本支出</t>
    </r>
  </si>
  <si>
    <t xml:space="preserve">診斷值，不是輸入、不用於任何情境</t>
  </si>
  <si>
    <r>
      <rPr>
        <sz val="11"/>
        <color theme="1"/>
        <rFont val="WenQuanYi Zen Hei"/>
        <family val="2"/>
      </rPr>
      <t xml:space="preserve">發現：殘差為負＝三家資本支出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設備占比已超過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總額。可能原因：資本支出含建築（美光稱增量多數為建築）與設備營收的口徑與時差、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預測偏低、其他廠（長鑫、鎧俠等）被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計入；本模型不調整任何參數去消除它。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</si>
  <si>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代工與邏輯晶圓前段設備（台積電由下而上 ＋ 其他 ＝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差額，標 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）</t>
    </r>
  </si>
  <si>
    <t xml:space="preserve">台積電資本支出</t>
  </si>
  <si>
    <r>
      <rPr>
        <sz val="11"/>
        <rFont val="WenQuanYi Zen Hei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</si>
  <si>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rFont val="WenQuanYi Zen Hei"/>
        <family val="2"/>
      </rPr>
      <t xml:space="preserve">其他代工與邏輯（殘差）＝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代工邏輯 − 台積電設備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</si>
  <si>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、中芯等；為負則照實顯示</t>
    </r>
  </si>
  <si>
    <t xml:space="preserve">其他代工與邏輯（殘差，照實顯示）</t>
  </si>
  <si>
    <t xml:space="preserve">代工與邏輯設備合計</t>
  </si>
  <si>
    <r>
      <rPr>
        <sz val="11"/>
        <rFont val="WenQuanYi Zen Hei"/>
        <family val="2"/>
      </rPr>
      <t xml:space="preserve">隱含設備占比（殘差剛好為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</si>
  <si>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此為台積電占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代工邏輯的倒數；</t>
    </r>
    <r>
      <rPr>
        <sz val="11"/>
        <color theme="1"/>
        <rFont val="Calibri"/>
        <family val="2"/>
        <charset val="1"/>
      </rPr>
      <t xml:space="preserve">&gt;100% </t>
    </r>
    <r>
      <rPr>
        <sz val="11"/>
        <color theme="1"/>
        <rFont val="WenQuanYi Zen Hei"/>
        <family val="2"/>
      </rPr>
      <t xml:space="preserve">表示台積電只占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的一部分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</si>
  <si>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金額為輸入，不做由下而上）</t>
    </r>
  </si>
  <si>
    <r>
      <rPr>
        <sz val="11"/>
        <color theme="1"/>
        <rFont val="WenQuanYi Zen Hei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WenQuanYi Zen Hei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WenQuanYi Zen Hei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</si>
  <si>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</si>
  <si>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</si>
  <si>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</si>
  <si>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</si>
  <si>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</si>
  <si>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</si>
  <si>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NAND</t>
  </si>
  <si>
    <r>
      <rPr>
        <sz val="11"/>
        <rFont val="WenQuanYi Zen Hei"/>
        <family val="2"/>
      </rPr>
      <t xml:space="preserve">其他前段（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差額）</t>
    </r>
  </si>
  <si>
    <r>
      <rPr>
        <sz val="11"/>
        <rFont val="WenQuanYi Zen Hei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</si>
  <si>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測試與其他封裝</t>
  </si>
  <si>
    <t xml:space="preserve">晶圓前段設備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</si>
  <si>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</t>
    </r>
  </si>
  <si>
    <t xml:space="preserve">後段設備（測試＋封裝）</t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</si>
  <si>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</si>
  <si>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</si>
  <si>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</si>
  <si>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</si>
  <si>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</si>
  <si>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累計）</t>
    </r>
  </si>
  <si>
    <r>
      <rPr>
        <sz val="11"/>
        <color theme="1"/>
        <rFont val="WenQuanYi Zen Hei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</si>
  <si>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相關增量占總增量（當年）</t>
    </r>
  </si>
  <si>
    <r>
      <rPr>
        <sz val="11"/>
        <color theme="1"/>
        <rFont val="WenQuanYi Zen Hei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</si>
  <si>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</si>
  <si>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</si>
  <si>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WenQuanYi Zen Hei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</si>
  <si>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WenQuanYi Zen Hei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水準）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</si>
  <si>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</si>
  <si>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</si>
  <si>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</si>
  <si>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</si>
  <si>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</si>
  <si>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分項捨入</t>
    </r>
  </si>
  <si>
    <r>
      <rPr>
        <sz val="11"/>
        <rFont val="WenQuanYi Zen Hei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</si>
  <si>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</si>
  <si>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WenQuanYi Zen Hei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WenQuanYi Zen Hei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含先進封裝）</t>
    </r>
  </si>
  <si>
    <t xml:space="preserve">年度</t>
  </si>
  <si>
    <t xml:space="preserve">來源值</t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</si>
  <si>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</si>
  <si>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</si>
  <si>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</si>
  <si>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</si>
  <si>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</si>
  <si>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</si>
  <si>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WenQuanYi Zen Hei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</si>
  <si>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</si>
  <si>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</si>
  <si>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</si>
  <si>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</si>
  <si>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</si>
  <si>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</si>
  <si>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</si>
  <si>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</si>
  <si>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WenQuanYi Zen Hei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WenQuanYi Zen Hei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</si>
  <si>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</si>
  <si>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</si>
  <si>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</si>
  <si>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</si>
  <si>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WenQuanYi Zen Hei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</si>
  <si>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（連乘）</t>
    </r>
  </si>
  <si>
    <r>
      <rPr>
        <sz val="11"/>
        <color theme="1"/>
        <rFont val="WenQuanYi Zen Hei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</si>
  <si>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</si>
  <si>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</si>
  <si>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WenQuanYi Zen Hei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</si>
  <si>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</si>
  <si>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</si>
  <si>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</si>
  <si>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</si>
  <si>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</si>
  <si>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</si>
  <si>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</si>
  <si>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</si>
  <si>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</si>
  <si>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WenQuanYi Zen Hei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WenQuanYi Zen Hei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</si>
  <si>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</si>
  <si>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WenQuanYi Zen Hei"/>
        <family val="2"/>
      </rPr>
      <t xml:space="preserve">注意：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路徑的「其他廠」＝</t>
    </r>
    <r>
      <rPr>
        <sz val="11"/>
        <color theme="1"/>
        <rFont val="Calibri"/>
        <family val="2"/>
        <charset val="1"/>
      </rPr>
      <t xml:space="preserve">SEMI − </t>
    </r>
    <r>
      <rPr>
        <sz val="11"/>
        <color theme="1"/>
        <rFont val="WenQuanYi Zen Hei"/>
        <family val="2"/>
      </rPr>
      <t xml:space="preserve">已知廠（殘差，含負值），故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的記憶體、代工邏輯、前段與合計≡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沿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WenQuanYi Zen Hei"/>
        <family val="2"/>
      </rPr>
      <t xml:space="preserve">）；對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的差距為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是結構結果，非獨立驗證。獨立檢驗只來自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Goldman Sachs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</si>
  <si>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的區間）。情境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的總額由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決定（其他廠為殘差），故占比與匯率只改變「其他記憶體廠殘差」；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總額只對 </t>
    </r>
    <r>
      <rPr>
        <sz val="11"/>
        <color theme="1"/>
        <rFont val="Calibri"/>
        <family val="2"/>
        <charset val="1"/>
      </rPr>
      <t xml:space="preserve">g29 </t>
    </r>
    <r>
      <rPr>
        <sz val="11"/>
        <color theme="1"/>
        <rFont val="WenQuanYi Zen Hei"/>
        <family val="2"/>
      </rPr>
      <t xml:space="preserve">敏感</t>
    </r>
  </si>
  <si>
    <t xml:space="preserve">輸入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</si>
  <si>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殘差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</si>
  <si>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殘差</t>
    </r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</si>
  <si>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殘差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</si>
  <si>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殘差</t>
    </r>
  </si>
  <si>
    <r>
      <rPr>
        <b val="true"/>
        <sz val="11"/>
        <rFont val="Cambria"/>
        <family val="0"/>
        <charset val="1"/>
      </rPr>
      <t xml:space="preserve">2029 A </t>
    </r>
    <r>
      <rPr>
        <b val="true"/>
        <sz val="11"/>
        <rFont val="WenQuanYi Zen Hei"/>
        <family val="2"/>
      </rPr>
      <t xml:space="preserve">總額</t>
    </r>
  </si>
  <si>
    <t xml:space="preserve">相對基準</t>
  </si>
  <si>
    <r>
      <rPr>
        <sz val="11"/>
        <color theme="1"/>
        <rFont val="WenQuanYi Zen Hei"/>
        <family val="2"/>
      </rPr>
      <t xml:space="preserve">殘差為負＝三家資本支出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記憶體總額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</si>
  <si>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海力士設備占比 低（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</si>
  <si>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海力士設備占比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）</t>
    </r>
  </si>
  <si>
    <t xml:space="preserve">三星設備占比 低</t>
  </si>
  <si>
    <t xml:space="preserve">三星設備占比 高</t>
  </si>
  <si>
    <t xml:space="preserve">美光設備占比 低</t>
  </si>
  <si>
    <t xml:space="preserve">美光設備占比 高</t>
  </si>
  <si>
    <r>
      <rPr>
        <sz val="11"/>
        <color theme="1"/>
        <rFont val="WenQuanYi Zen Hei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</si>
  <si>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</si>
  <si>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SEMI </t>
    </r>
    <r>
      <rPr>
        <sz val="11"/>
        <color theme="1"/>
        <rFont val="WenQuanYi Zen Hei"/>
        <family val="2"/>
      </rPr>
      <t xml:space="preserve">外推年增 低（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</si>
  <si>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SEMI </t>
    </r>
    <r>
      <rPr>
        <sz val="11"/>
        <color theme="1"/>
        <rFont val="WenQuanYi Zen Hei"/>
        <family val="2"/>
      </rPr>
      <t xml:space="preserve">外推年增 高（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</si>
  <si>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其他記憶體廠殘差（應為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</si>
  <si>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</si>
  <si>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</si>
  <si>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</si>
  <si>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</si>
  <si>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</si>
  <si>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</si>
  <si>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</si>
  <si>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</si>
  <si>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</si>
  <si>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</si>
  <si>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</si>
  <si>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WenQuanYi Zen Hei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WenQuanYi Zen Hei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）。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</si>
  <si>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</si>
  <si>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</si>
  <si>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</si>
  <si>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</si>
  <si>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WenQuanYi Zen Hei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</si>
  <si>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</si>
  <si>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</si>
  <si>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</si>
  <si>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</si>
  <si>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</si>
  <si>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WenQuanYi Zen Hei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</si>
  <si>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</si>
  <si>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</si>
  <si>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</si>
  <si>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</si>
  <si>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</si>
  <si>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</si>
  <si>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WenQuanYi Zen Hei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</si>
  <si>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WenQuanYi Zen Hei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</si>
  <si>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</si>
  <si>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</si>
  <si>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</si>
  <si>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WenQuanYi Zen Hei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</si>
  <si>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WenQuanYi Zen Hei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</si>
  <si>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</si>
  <si>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</si>
  <si>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</si>
  <si>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WenQuanYi Zen Hei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</si>
  <si>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</si>
  <si>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</si>
  <si>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WenQuanYi Zen Hei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</si>
  <si>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</si>
  <si>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</si>
  <si>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</si>
  <si>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</si>
  <si>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</si>
  <si>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</si>
  <si>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</si>
  <si>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</si>
  <si>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WenQuanYi Zen Hei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</si>
  <si>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</si>
  <si>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</si>
  <si>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</si>
  <si>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</si>
  <si>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</si>
  <si>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</si>
  <si>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WenQuanYi Zen Hei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</si>
  <si>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</si>
  <si>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WenQuanYi Zen Hei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</si>
  <si>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WenQuanYi Zen Hei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</si>
  <si>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</si>
  <si>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t xml:space="preserve">https://finance.biggo.com/news/f46a8b91-046a-4708-87db-63b34e0862b2</t>
  </si>
  <si>
    <t xml:space="preserve">同上第二來源</t>
  </si>
  <si>
    <t xml:space="preserve">弱～中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</si>
  <si>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</si>
  <si>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</si>
  <si>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</si>
  <si>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</si>
  <si>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</si>
  <si>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</si>
  <si>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</si>
  <si>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WenQuanYi Zen Hei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</si>
  <si>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</si>
  <si>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</si>
  <si>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WenQuanYi Zen Hei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</si>
  <si>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</si>
  <si>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</si>
  <si>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WenQuanYi Zen Hei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</si>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</sst>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0"/>
    <numFmt numFmtId="167" formatCode="0.0"/>
    <numFmt numFmtId="168" formatCode="0%"/>
    <numFmt numFmtId="169" formatCode="0.00"/>
    <numFmt numFmtId="170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82.05" hidden="false" customHeight="false" outlineLevel="0" collapsed="false">
      <c r="A1" s="1" t="s">
        <v>0</v>
      </c>
    </row>
    <row r="2" customFormat="false" ht="162.6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28.35" hidden="false" customHeight="false" outlineLevel="0" collapsed="false">
      <c r="A4" s="1" t="s">
        <v>2</v>
      </c>
    </row>
    <row r="5" customFormat="false" ht="149.25" hidden="false" customHeight="false" outlineLevel="0" collapsed="false">
      <c r="A5" s="3" t="s">
        <v>3</v>
      </c>
    </row>
    <row r="6" customFormat="false" ht="176.1" hidden="false" customHeight="false" outlineLevel="0" collapsed="false">
      <c r="A6" s="3" t="s">
        <v>4</v>
      </c>
    </row>
    <row r="7" customFormat="false" ht="108.95" hidden="false" customHeight="false" outlineLevel="0" collapsed="false">
      <c r="A7" s="3" t="s">
        <v>5</v>
      </c>
    </row>
    <row r="8" customFormat="false" ht="15" hidden="false" customHeight="false" outlineLevel="0" collapsed="false">
      <c r="A8" s="2"/>
    </row>
    <row r="9" customFormat="false" ht="41.75" hidden="false" customHeight="false" outlineLevel="0" collapsed="false">
      <c r="A9" s="1" t="s">
        <v>6</v>
      </c>
    </row>
    <row r="10" customFormat="false" ht="176.1" hidden="false" customHeight="false" outlineLevel="0" collapsed="false">
      <c r="A10" s="2" t="s">
        <v>7</v>
      </c>
    </row>
    <row r="11" customFormat="false" ht="122.35" hidden="false" customHeight="false" outlineLevel="0" collapsed="false">
      <c r="A11" s="3" t="s">
        <v>8</v>
      </c>
    </row>
    <row r="12" customFormat="false" ht="189.5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162.65" hidden="false" customHeight="false" outlineLevel="0" collapsed="false">
      <c r="A15" s="3" t="s">
        <v>11</v>
      </c>
    </row>
    <row r="16" customFormat="false" ht="270.1" hidden="false" customHeight="false" outlineLevel="0" collapsed="false">
      <c r="A16" s="3" t="s">
        <v>12</v>
      </c>
    </row>
    <row r="17" customFormat="false" ht="243.2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2"/>
    </row>
    <row r="19" customFormat="false" ht="41.75" hidden="false" customHeight="false" outlineLevel="0" collapsed="false">
      <c r="A19" s="1" t="s">
        <v>14</v>
      </c>
    </row>
    <row r="20" customFormat="false" ht="15" hidden="false" customHeight="false" outlineLevel="0" collapsed="false">
      <c r="A20" s="4" t="s">
        <v>15</v>
      </c>
      <c r="B20" s="4" t="s">
        <v>16</v>
      </c>
      <c r="C20" s="4" t="s">
        <v>17</v>
      </c>
      <c r="D20" s="4" t="s">
        <v>18</v>
      </c>
      <c r="E20" s="4" t="s">
        <v>19</v>
      </c>
    </row>
    <row r="21" customFormat="false" ht="55.2" hidden="false" customHeight="false" outlineLevel="0" collapsed="false">
      <c r="A21" s="5" t="s">
        <v>20</v>
      </c>
      <c r="B21" s="5" t="s">
        <v>21</v>
      </c>
      <c r="C21" s="6" t="s">
        <v>22</v>
      </c>
      <c r="D21" s="5" t="s">
        <v>23</v>
      </c>
      <c r="E21" s="5" t="s">
        <v>24</v>
      </c>
    </row>
    <row r="22" customFormat="false" ht="28.35" hidden="false" customHeight="false" outlineLevel="0" collapsed="false">
      <c r="A22" s="5" t="s">
        <v>25</v>
      </c>
      <c r="B22" s="6" t="s">
        <v>26</v>
      </c>
      <c r="C22" s="6" t="s">
        <v>27</v>
      </c>
      <c r="D22" s="5" t="s">
        <v>28</v>
      </c>
      <c r="E22" s="5" t="s">
        <v>29</v>
      </c>
    </row>
    <row r="23" customFormat="false" ht="28.35" hidden="false" customHeight="false" outlineLevel="0" collapsed="false">
      <c r="A23" s="6" t="s">
        <v>30</v>
      </c>
      <c r="B23" s="6" t="s">
        <v>31</v>
      </c>
      <c r="C23" s="6" t="s">
        <v>32</v>
      </c>
      <c r="D23" s="5" t="s">
        <v>33</v>
      </c>
      <c r="E23" s="6" t="s">
        <v>34</v>
      </c>
    </row>
    <row r="24" customFormat="false" ht="41.75" hidden="false" customHeight="false" outlineLevel="0" collapsed="false">
      <c r="A24" s="5" t="s">
        <v>35</v>
      </c>
      <c r="B24" s="6" t="s">
        <v>36</v>
      </c>
      <c r="C24" s="6" t="s">
        <v>37</v>
      </c>
      <c r="D24" s="5" t="s">
        <v>38</v>
      </c>
      <c r="E24" s="5" t="s">
        <v>39</v>
      </c>
    </row>
    <row r="25" customFormat="false" ht="41.75" hidden="false" customHeight="false" outlineLevel="0" collapsed="false">
      <c r="A25" s="6" t="s">
        <v>40</v>
      </c>
      <c r="B25" s="6" t="s">
        <v>41</v>
      </c>
      <c r="C25" s="6" t="s">
        <v>42</v>
      </c>
      <c r="D25" s="5" t="s">
        <v>43</v>
      </c>
      <c r="E25" s="5" t="s">
        <v>44</v>
      </c>
    </row>
    <row r="27" customFormat="false" ht="15" hidden="false" customHeight="false" outlineLevel="0" collapsed="false">
      <c r="A27" s="7" t="s">
        <v>45</v>
      </c>
    </row>
    <row r="28" customFormat="false" ht="68.65" hidden="false" customHeight="false" outlineLevel="0" collapsed="false">
      <c r="A28" s="5" t="s">
        <v>46</v>
      </c>
    </row>
    <row r="29" customFormat="false" ht="256.7" hidden="false" customHeight="false" outlineLevel="0" collapsed="false">
      <c r="A29" s="6" t="s">
        <v>47</v>
      </c>
    </row>
    <row r="30" customFormat="false" ht="297" hidden="false" customHeight="false" outlineLevel="0" collapsed="false">
      <c r="A30" s="6" t="s">
        <v>48</v>
      </c>
    </row>
    <row r="31" customFormat="false" ht="176.1" hidden="false" customHeight="false" outlineLevel="0" collapsed="false">
      <c r="A31" s="6" t="s">
        <v>49</v>
      </c>
    </row>
    <row r="32" customFormat="false" ht="283.55" hidden="false" customHeight="false" outlineLevel="0" collapsed="false">
      <c r="A32" s="6" t="s">
        <v>50</v>
      </c>
    </row>
    <row r="34" customFormat="false" ht="15" hidden="false" customHeight="false" outlineLevel="0" collapsed="false">
      <c r="A34" s="8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5" hidden="false" customHeight="false" outlineLevel="0" collapsed="false">
      <c r="A1" s="0" t="s">
        <v>52</v>
      </c>
    </row>
    <row r="2" customFormat="false" ht="15" hidden="false" customHeight="false" outlineLevel="0" collapsed="false">
      <c r="A2" s="8" t="s">
        <v>53</v>
      </c>
    </row>
    <row r="3" customFormat="false" ht="15" hidden="false" customHeight="false" outlineLevel="0" collapsed="false">
      <c r="A3" s="4" t="s">
        <v>54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  <c r="G3" s="4" t="s">
        <v>60</v>
      </c>
      <c r="H3" s="4" t="s">
        <v>61</v>
      </c>
      <c r="I3" s="4" t="s">
        <v>62</v>
      </c>
    </row>
    <row r="4" customFormat="false" ht="15" hidden="false" customHeight="false" outlineLevel="0" collapsed="false">
      <c r="A4" s="9" t="s">
        <v>63</v>
      </c>
    </row>
    <row r="5" customFormat="false" ht="15" hidden="false" customHeight="false" outlineLevel="0" collapsed="false">
      <c r="A5" s="0" t="s">
        <v>64</v>
      </c>
      <c r="B5" s="8" t="s">
        <v>65</v>
      </c>
      <c r="C5" s="0" t="s">
        <v>66</v>
      </c>
      <c r="D5" s="10" t="n">
        <v>1350</v>
      </c>
      <c r="E5" s="11" t="n">
        <v>1420</v>
      </c>
      <c r="F5" s="10" t="n">
        <v>1500</v>
      </c>
      <c r="G5" s="12" t="s">
        <v>67</v>
      </c>
      <c r="H5" s="8" t="s">
        <v>68</v>
      </c>
      <c r="I5" s="8" t="s">
        <v>69</v>
      </c>
    </row>
    <row r="6" customFormat="false" ht="15" hidden="false" customHeight="false" outlineLevel="0" collapsed="false">
      <c r="A6" s="0" t="s">
        <v>70</v>
      </c>
      <c r="B6" s="0" t="s">
        <v>71</v>
      </c>
      <c r="C6" s="8" t="s">
        <v>72</v>
      </c>
      <c r="E6" s="11" t="n">
        <v>48.7</v>
      </c>
      <c r="G6" s="12" t="s">
        <v>73</v>
      </c>
      <c r="H6" s="12" t="s">
        <v>74</v>
      </c>
      <c r="I6" s="8" t="s">
        <v>75</v>
      </c>
    </row>
    <row r="7" customFormat="false" ht="15" hidden="false" customHeight="false" outlineLevel="0" collapsed="false">
      <c r="A7" s="0" t="s">
        <v>76</v>
      </c>
      <c r="B7" s="0" t="s">
        <v>77</v>
      </c>
      <c r="C7" s="8" t="s">
        <v>72</v>
      </c>
      <c r="E7" s="11" t="n">
        <v>62.3</v>
      </c>
      <c r="G7" s="12" t="s">
        <v>73</v>
      </c>
      <c r="H7" s="12" t="s">
        <v>78</v>
      </c>
      <c r="I7" s="8" t="s">
        <v>79</v>
      </c>
    </row>
    <row r="8" customFormat="false" ht="15" hidden="false" customHeight="false" outlineLevel="0" collapsed="false">
      <c r="A8" s="0" t="s">
        <v>80</v>
      </c>
      <c r="B8" s="0" t="s">
        <v>81</v>
      </c>
      <c r="C8" s="8" t="s">
        <v>72</v>
      </c>
      <c r="E8" s="11" t="n">
        <v>71.2</v>
      </c>
      <c r="G8" s="12" t="s">
        <v>73</v>
      </c>
      <c r="H8" s="12" t="s">
        <v>82</v>
      </c>
      <c r="I8" s="8" t="s">
        <v>83</v>
      </c>
    </row>
    <row r="9" customFormat="false" ht="15" hidden="false" customHeight="false" outlineLevel="0" collapsed="false">
      <c r="A9" s="0" t="s">
        <v>84</v>
      </c>
      <c r="B9" s="0" t="s">
        <v>85</v>
      </c>
      <c r="C9" s="8" t="s">
        <v>72</v>
      </c>
      <c r="E9" s="11" t="n">
        <v>75</v>
      </c>
      <c r="G9" s="12" t="s">
        <v>86</v>
      </c>
      <c r="H9" s="12" t="s">
        <v>87</v>
      </c>
      <c r="I9" s="8" t="s">
        <v>88</v>
      </c>
    </row>
    <row r="10" customFormat="false" ht="15" hidden="false" customHeight="false" outlineLevel="0" collapsed="false">
      <c r="A10" s="0" t="s">
        <v>89</v>
      </c>
      <c r="B10" s="8" t="s">
        <v>90</v>
      </c>
      <c r="C10" s="0" t="s">
        <v>91</v>
      </c>
      <c r="E10" s="11" t="n">
        <v>27.367</v>
      </c>
      <c r="G10" s="12" t="s">
        <v>92</v>
      </c>
      <c r="H10" s="12" t="s">
        <v>93</v>
      </c>
      <c r="I10" s="8" t="s">
        <v>94</v>
      </c>
    </row>
    <row r="11" customFormat="false" ht="15" hidden="false" customHeight="false" outlineLevel="0" collapsed="false">
      <c r="A11" s="0" t="s">
        <v>95</v>
      </c>
      <c r="B11" s="8" t="s">
        <v>96</v>
      </c>
      <c r="C11" s="0" t="s">
        <v>91</v>
      </c>
      <c r="E11" s="11" t="n">
        <v>55</v>
      </c>
      <c r="G11" s="12" t="s">
        <v>67</v>
      </c>
      <c r="H11" s="12" t="s">
        <v>97</v>
      </c>
      <c r="I11" s="8" t="s">
        <v>98</v>
      </c>
    </row>
    <row r="12" customFormat="false" ht="15" hidden="false" customHeight="false" outlineLevel="0" collapsed="false">
      <c r="A12" s="0" t="s">
        <v>99</v>
      </c>
      <c r="B12" s="8" t="s">
        <v>100</v>
      </c>
      <c r="C12" s="0" t="s">
        <v>91</v>
      </c>
      <c r="E12" s="11" t="n">
        <v>60</v>
      </c>
      <c r="G12" s="12" t="s">
        <v>86</v>
      </c>
      <c r="H12" s="12" t="s">
        <v>101</v>
      </c>
      <c r="I12" s="8" t="s">
        <v>102</v>
      </c>
    </row>
    <row r="13" customFormat="false" ht="15" hidden="false" customHeight="false" outlineLevel="0" collapsed="false">
      <c r="A13" s="0" t="s">
        <v>103</v>
      </c>
      <c r="B13" s="8" t="s">
        <v>104</v>
      </c>
      <c r="C13" s="0" t="s">
        <v>91</v>
      </c>
      <c r="E13" s="11" t="n">
        <v>60</v>
      </c>
      <c r="G13" s="12" t="s">
        <v>86</v>
      </c>
      <c r="H13" s="12" t="s">
        <v>105</v>
      </c>
      <c r="I13" s="8" t="s">
        <v>102</v>
      </c>
    </row>
    <row r="14" customFormat="false" ht="15" hidden="false" customHeight="false" outlineLevel="0" collapsed="false">
      <c r="A14" s="0" t="s">
        <v>106</v>
      </c>
      <c r="B14" s="8" t="s">
        <v>107</v>
      </c>
      <c r="C14" s="8" t="s">
        <v>72</v>
      </c>
      <c r="E14" s="11" t="n">
        <v>52.5</v>
      </c>
      <c r="G14" s="12" t="s">
        <v>108</v>
      </c>
      <c r="H14" s="12" t="s">
        <v>109</v>
      </c>
      <c r="I14" s="8" t="s">
        <v>110</v>
      </c>
    </row>
    <row r="15" customFormat="false" ht="15" hidden="false" customHeight="false" outlineLevel="0" collapsed="false">
      <c r="A15" s="0" t="s">
        <v>111</v>
      </c>
      <c r="B15" s="8" t="s">
        <v>112</v>
      </c>
      <c r="C15" s="8" t="s">
        <v>72</v>
      </c>
      <c r="E15" s="11" t="n">
        <v>60</v>
      </c>
      <c r="G15" s="12" t="s">
        <v>86</v>
      </c>
      <c r="H15" s="12" t="s">
        <v>113</v>
      </c>
      <c r="I15" s="8" t="s">
        <v>114</v>
      </c>
    </row>
    <row r="16" customFormat="false" ht="15" hidden="false" customHeight="false" outlineLevel="0" collapsed="false">
      <c r="A16" s="0" t="s">
        <v>115</v>
      </c>
      <c r="B16" s="8" t="s">
        <v>116</v>
      </c>
      <c r="C16" s="8" t="s">
        <v>72</v>
      </c>
      <c r="E16" s="11" t="n">
        <v>66</v>
      </c>
      <c r="G16" s="12" t="s">
        <v>86</v>
      </c>
      <c r="H16" s="12" t="s">
        <v>117</v>
      </c>
      <c r="I16" s="8" t="s">
        <v>118</v>
      </c>
    </row>
    <row r="17" customFormat="false" ht="15" hidden="false" customHeight="false" outlineLevel="0" collapsed="false">
      <c r="A17" s="0" t="s">
        <v>119</v>
      </c>
      <c r="B17" s="8" t="s">
        <v>120</v>
      </c>
      <c r="C17" s="8" t="s">
        <v>72</v>
      </c>
      <c r="E17" s="11" t="n">
        <v>66</v>
      </c>
      <c r="G17" s="12" t="s">
        <v>86</v>
      </c>
      <c r="H17" s="12" t="s">
        <v>121</v>
      </c>
      <c r="I17" s="8" t="s">
        <v>118</v>
      </c>
    </row>
    <row r="18" customFormat="false" ht="15" hidden="false" customHeight="false" outlineLevel="0" collapsed="false">
      <c r="A18" s="0" t="s">
        <v>122</v>
      </c>
      <c r="B18" s="8" t="s">
        <v>123</v>
      </c>
      <c r="C18" s="0" t="s">
        <v>91</v>
      </c>
      <c r="E18" s="11" t="n">
        <v>62</v>
      </c>
      <c r="G18" s="12" t="s">
        <v>73</v>
      </c>
      <c r="H18" s="12" t="s">
        <v>124</v>
      </c>
      <c r="I18" s="8" t="s">
        <v>125</v>
      </c>
    </row>
    <row r="19" customFormat="false" ht="15" hidden="false" customHeight="false" outlineLevel="0" collapsed="false">
      <c r="A19" s="0" t="s">
        <v>126</v>
      </c>
      <c r="B19" s="8" t="s">
        <v>127</v>
      </c>
      <c r="C19" s="0" t="s">
        <v>91</v>
      </c>
      <c r="E19" s="11" t="n">
        <v>77</v>
      </c>
      <c r="G19" s="12" t="s">
        <v>73</v>
      </c>
      <c r="H19" s="12" t="s">
        <v>128</v>
      </c>
      <c r="I19" s="8" t="s">
        <v>129</v>
      </c>
    </row>
    <row r="20" customFormat="false" ht="15" hidden="false" customHeight="false" outlineLevel="0" collapsed="false">
      <c r="A20" s="0" t="s">
        <v>130</v>
      </c>
      <c r="B20" s="8" t="s">
        <v>131</v>
      </c>
      <c r="C20" s="0" t="s">
        <v>91</v>
      </c>
      <c r="E20" s="11" t="n">
        <v>90</v>
      </c>
      <c r="G20" s="12" t="s">
        <v>73</v>
      </c>
      <c r="H20" s="12" t="s">
        <v>132</v>
      </c>
      <c r="I20" s="8" t="s">
        <v>133</v>
      </c>
    </row>
    <row r="21" customFormat="false" ht="15" hidden="false" customHeight="false" outlineLevel="0" collapsed="false">
      <c r="A21" s="0" t="s">
        <v>134</v>
      </c>
      <c r="B21" s="8" t="s">
        <v>135</v>
      </c>
      <c r="C21" s="0" t="s">
        <v>91</v>
      </c>
      <c r="E21" s="11" t="n">
        <v>95</v>
      </c>
      <c r="G21" s="12" t="s">
        <v>86</v>
      </c>
      <c r="H21" s="12" t="s">
        <v>136</v>
      </c>
      <c r="I21" s="8" t="s">
        <v>137</v>
      </c>
    </row>
    <row r="22" customFormat="false" ht="15" hidden="false" customHeight="false" outlineLevel="0" collapsed="false">
      <c r="A22" s="9" t="s">
        <v>138</v>
      </c>
    </row>
    <row r="23" customFormat="false" ht="15" hidden="false" customHeight="false" outlineLevel="0" collapsed="false">
      <c r="A23" s="0" t="s">
        <v>139</v>
      </c>
      <c r="B23" s="8" t="s">
        <v>140</v>
      </c>
      <c r="C23" s="0" t="s">
        <v>141</v>
      </c>
      <c r="D23" s="13" t="n">
        <v>0.471</v>
      </c>
      <c r="E23" s="13" t="n">
        <v>0.521</v>
      </c>
      <c r="F23" s="13" t="n">
        <v>0.571</v>
      </c>
      <c r="G23" s="12" t="s">
        <v>67</v>
      </c>
      <c r="H23" s="12" t="s">
        <v>142</v>
      </c>
      <c r="I23" s="8" t="s">
        <v>143</v>
      </c>
    </row>
    <row r="24" customFormat="false" ht="15" hidden="false" customHeight="false" outlineLevel="0" collapsed="false">
      <c r="A24" s="0" t="s">
        <v>144</v>
      </c>
      <c r="B24" s="8" t="s">
        <v>145</v>
      </c>
      <c r="C24" s="0" t="s">
        <v>141</v>
      </c>
      <c r="D24" s="13" t="n">
        <v>0.385</v>
      </c>
      <c r="E24" s="13" t="n">
        <v>0.46</v>
      </c>
      <c r="F24" s="13" t="n">
        <v>0.5</v>
      </c>
      <c r="G24" s="12" t="s">
        <v>67</v>
      </c>
      <c r="H24" s="12" t="s">
        <v>146</v>
      </c>
      <c r="I24" s="8" t="s">
        <v>147</v>
      </c>
    </row>
    <row r="25" customFormat="false" ht="15" hidden="false" customHeight="false" outlineLevel="0" collapsed="false">
      <c r="A25" s="0" t="s">
        <v>148</v>
      </c>
      <c r="B25" s="0" t="s">
        <v>149</v>
      </c>
      <c r="C25" s="0" t="s">
        <v>141</v>
      </c>
      <c r="D25" s="13" t="n">
        <v>0.58</v>
      </c>
      <c r="E25" s="13" t="n">
        <v>0.64</v>
      </c>
      <c r="F25" s="13" t="n">
        <v>0.7</v>
      </c>
      <c r="G25" s="12" t="s">
        <v>150</v>
      </c>
      <c r="H25" s="12" t="s">
        <v>151</v>
      </c>
      <c r="I25" s="12" t="s">
        <v>152</v>
      </c>
    </row>
    <row r="26" customFormat="false" ht="15" hidden="false" customHeight="false" outlineLevel="0" collapsed="false">
      <c r="A26" s="0" t="s">
        <v>153</v>
      </c>
      <c r="B26" s="8" t="s">
        <v>154</v>
      </c>
      <c r="C26" s="0" t="s">
        <v>141</v>
      </c>
      <c r="D26" s="13" t="n">
        <v>0.58</v>
      </c>
      <c r="E26" s="13" t="n">
        <v>0.64</v>
      </c>
      <c r="F26" s="13" t="n">
        <v>0.7</v>
      </c>
      <c r="G26" s="12" t="s">
        <v>150</v>
      </c>
      <c r="H26" s="12" t="s">
        <v>151</v>
      </c>
      <c r="I26" s="12" t="s">
        <v>155</v>
      </c>
    </row>
    <row r="27" customFormat="false" ht="15" hidden="false" customHeight="false" outlineLevel="0" collapsed="false">
      <c r="A27" s="0" t="s">
        <v>156</v>
      </c>
      <c r="B27" s="8" t="s">
        <v>157</v>
      </c>
      <c r="C27" s="0" t="s">
        <v>141</v>
      </c>
      <c r="D27" s="13" t="n">
        <v>0.58</v>
      </c>
      <c r="E27" s="13" t="n">
        <v>0.64</v>
      </c>
      <c r="F27" s="13" t="n">
        <v>0.7</v>
      </c>
      <c r="G27" s="12" t="s">
        <v>150</v>
      </c>
      <c r="H27" s="12" t="s">
        <v>151</v>
      </c>
      <c r="I27" s="12" t="s">
        <v>158</v>
      </c>
    </row>
    <row r="28" customFormat="false" ht="15" hidden="false" customHeight="false" outlineLevel="0" collapsed="false">
      <c r="A28" s="9" t="s">
        <v>159</v>
      </c>
    </row>
    <row r="29" customFormat="false" ht="15" hidden="false" customHeight="false" outlineLevel="0" collapsed="false">
      <c r="A29" s="0" t="s">
        <v>160</v>
      </c>
      <c r="B29" s="0" t="s">
        <v>161</v>
      </c>
      <c r="C29" s="0" t="s">
        <v>91</v>
      </c>
      <c r="E29" s="10" t="n">
        <v>38.8</v>
      </c>
      <c r="G29" s="12" t="s">
        <v>73</v>
      </c>
      <c r="H29" s="12" t="s">
        <v>162</v>
      </c>
      <c r="I29" s="8" t="s">
        <v>163</v>
      </c>
    </row>
    <row r="30" customFormat="false" ht="15" hidden="false" customHeight="false" outlineLevel="0" collapsed="false">
      <c r="A30" s="0" t="s">
        <v>164</v>
      </c>
      <c r="B30" s="0" t="s">
        <v>165</v>
      </c>
      <c r="C30" s="0" t="s">
        <v>141</v>
      </c>
      <c r="E30" s="13" t="n">
        <v>0.39</v>
      </c>
      <c r="G30" s="12" t="s">
        <v>73</v>
      </c>
      <c r="H30" s="12" t="s">
        <v>162</v>
      </c>
      <c r="I30" s="8" t="s">
        <v>163</v>
      </c>
    </row>
    <row r="31" customFormat="false" ht="15" hidden="false" customHeight="false" outlineLevel="0" collapsed="false">
      <c r="A31" s="0" t="s">
        <v>166</v>
      </c>
      <c r="B31" s="0" t="s">
        <v>167</v>
      </c>
      <c r="C31" s="0" t="s">
        <v>141</v>
      </c>
      <c r="E31" s="13" t="n">
        <v>0.274</v>
      </c>
      <c r="G31" s="12" t="s">
        <v>73</v>
      </c>
      <c r="H31" s="12" t="s">
        <v>168</v>
      </c>
      <c r="I31" s="8" t="s">
        <v>163</v>
      </c>
    </row>
    <row r="32" customFormat="false" ht="15" hidden="false" customHeight="false" outlineLevel="0" collapsed="false">
      <c r="A32" s="0" t="s">
        <v>169</v>
      </c>
      <c r="B32" s="0" t="s">
        <v>170</v>
      </c>
      <c r="C32" s="0" t="s">
        <v>141</v>
      </c>
      <c r="E32" s="13" t="n">
        <v>0.15</v>
      </c>
      <c r="G32" s="12" t="s">
        <v>73</v>
      </c>
      <c r="H32" s="12" t="s">
        <v>162</v>
      </c>
      <c r="I32" s="8" t="s">
        <v>171</v>
      </c>
    </row>
    <row r="33" customFormat="false" ht="15" hidden="false" customHeight="false" outlineLevel="0" collapsed="false">
      <c r="A33" s="0" t="s">
        <v>172</v>
      </c>
      <c r="B33" s="0" t="s">
        <v>173</v>
      </c>
      <c r="C33" s="0" t="s">
        <v>91</v>
      </c>
      <c r="E33" s="10" t="n">
        <v>13.9</v>
      </c>
      <c r="G33" s="12" t="s">
        <v>73</v>
      </c>
      <c r="H33" s="12" t="s">
        <v>162</v>
      </c>
      <c r="I33" s="8" t="s">
        <v>163</v>
      </c>
    </row>
    <row r="34" customFormat="false" ht="15" hidden="false" customHeight="false" outlineLevel="0" collapsed="false">
      <c r="A34" s="0" t="s">
        <v>174</v>
      </c>
      <c r="B34" s="0" t="s">
        <v>175</v>
      </c>
      <c r="C34" s="0" t="s">
        <v>141</v>
      </c>
      <c r="E34" s="13" t="n">
        <v>0.307</v>
      </c>
      <c r="G34" s="12" t="s">
        <v>73</v>
      </c>
      <c r="H34" s="12" t="s">
        <v>162</v>
      </c>
      <c r="I34" s="8" t="s">
        <v>163</v>
      </c>
    </row>
    <row r="35" customFormat="false" ht="15" hidden="false" customHeight="false" outlineLevel="0" collapsed="false">
      <c r="A35" s="0" t="s">
        <v>176</v>
      </c>
      <c r="B35" s="0" t="s">
        <v>177</v>
      </c>
      <c r="C35" s="0" t="s">
        <v>141</v>
      </c>
      <c r="E35" s="13" t="n">
        <v>0.311</v>
      </c>
      <c r="G35" s="12" t="s">
        <v>73</v>
      </c>
      <c r="H35" s="12" t="s">
        <v>168</v>
      </c>
      <c r="I35" s="8" t="s">
        <v>163</v>
      </c>
    </row>
    <row r="36" customFormat="false" ht="15" hidden="false" customHeight="false" outlineLevel="0" collapsed="false">
      <c r="A36" s="0" t="s">
        <v>178</v>
      </c>
      <c r="B36" s="0" t="s">
        <v>179</v>
      </c>
      <c r="C36" s="0" t="s">
        <v>141</v>
      </c>
      <c r="E36" s="13" t="n">
        <v>0.145</v>
      </c>
      <c r="G36" s="12" t="s">
        <v>73</v>
      </c>
      <c r="H36" s="12" t="s">
        <v>162</v>
      </c>
      <c r="I36" s="8" t="s">
        <v>171</v>
      </c>
    </row>
    <row r="37" customFormat="false" ht="15" hidden="false" customHeight="false" outlineLevel="0" collapsed="false">
      <c r="A37" s="0" t="s">
        <v>180</v>
      </c>
      <c r="B37" s="0" t="s">
        <v>181</v>
      </c>
      <c r="C37" s="0" t="s">
        <v>91</v>
      </c>
      <c r="E37" s="10" t="n">
        <v>78</v>
      </c>
      <c r="G37" s="12" t="s">
        <v>73</v>
      </c>
      <c r="H37" s="12" t="s">
        <v>162</v>
      </c>
      <c r="I37" s="8" t="s">
        <v>163</v>
      </c>
    </row>
    <row r="38" customFormat="false" ht="15" hidden="false" customHeight="false" outlineLevel="0" collapsed="false">
      <c r="A38" s="0" t="s">
        <v>182</v>
      </c>
      <c r="B38" s="0" t="s">
        <v>183</v>
      </c>
      <c r="C38" s="0" t="s">
        <v>141</v>
      </c>
      <c r="E38" s="13" t="n">
        <v>0.189</v>
      </c>
      <c r="G38" s="12" t="s">
        <v>73</v>
      </c>
      <c r="H38" s="12" t="s">
        <v>162</v>
      </c>
      <c r="I38" s="8" t="s">
        <v>163</v>
      </c>
    </row>
    <row r="39" customFormat="false" ht="15" hidden="false" customHeight="false" outlineLevel="0" collapsed="false">
      <c r="A39" s="0" t="s">
        <v>184</v>
      </c>
      <c r="B39" s="0" t="s">
        <v>185</v>
      </c>
      <c r="C39" s="0" t="s">
        <v>141</v>
      </c>
      <c r="E39" s="13" t="n">
        <v>0.181</v>
      </c>
      <c r="G39" s="12" t="s">
        <v>73</v>
      </c>
      <c r="H39" s="12" t="s">
        <v>168</v>
      </c>
      <c r="I39" s="8" t="s">
        <v>163</v>
      </c>
    </row>
    <row r="40" customFormat="false" ht="15" hidden="false" customHeight="false" outlineLevel="0" collapsed="false">
      <c r="A40" s="0" t="s">
        <v>186</v>
      </c>
      <c r="B40" s="0" t="s">
        <v>187</v>
      </c>
      <c r="C40" s="0" t="s">
        <v>141</v>
      </c>
      <c r="E40" s="13" t="n">
        <v>0.136</v>
      </c>
      <c r="G40" s="12" t="s">
        <v>73</v>
      </c>
      <c r="H40" s="12" t="s">
        <v>162</v>
      </c>
      <c r="I40" s="8" t="s">
        <v>171</v>
      </c>
    </row>
    <row r="41" customFormat="false" ht="15" hidden="false" customHeight="false" outlineLevel="0" collapsed="false">
      <c r="A41" s="0" t="s">
        <v>188</v>
      </c>
      <c r="B41" s="0" t="s">
        <v>189</v>
      </c>
      <c r="C41" s="0" t="s">
        <v>91</v>
      </c>
      <c r="E41" s="10" t="n">
        <v>143.9</v>
      </c>
      <c r="G41" s="12" t="s">
        <v>73</v>
      </c>
      <c r="H41" s="12" t="s">
        <v>162</v>
      </c>
      <c r="I41" s="8" t="s">
        <v>163</v>
      </c>
    </row>
    <row r="42" customFormat="false" ht="15" hidden="false" customHeight="false" outlineLevel="0" collapsed="false">
      <c r="A42" s="0" t="s">
        <v>190</v>
      </c>
      <c r="B42" s="0" t="s">
        <v>191</v>
      </c>
      <c r="C42" s="0" t="s">
        <v>141</v>
      </c>
      <c r="E42" s="13" t="n">
        <v>0.231</v>
      </c>
      <c r="G42" s="12" t="s">
        <v>73</v>
      </c>
      <c r="H42" s="12" t="s">
        <v>162</v>
      </c>
      <c r="I42" s="8" t="s">
        <v>163</v>
      </c>
    </row>
    <row r="43" customFormat="false" ht="15" hidden="false" customHeight="false" outlineLevel="0" collapsed="false">
      <c r="A43" s="0" t="s">
        <v>192</v>
      </c>
      <c r="B43" s="0" t="s">
        <v>193</v>
      </c>
      <c r="C43" s="0" t="s">
        <v>141</v>
      </c>
      <c r="E43" s="13" t="n">
        <v>0.218</v>
      </c>
      <c r="G43" s="12" t="s">
        <v>73</v>
      </c>
      <c r="H43" s="12" t="s">
        <v>168</v>
      </c>
      <c r="I43" s="8" t="s">
        <v>163</v>
      </c>
    </row>
    <row r="44" customFormat="false" ht="15" hidden="false" customHeight="false" outlineLevel="0" collapsed="false">
      <c r="A44" s="0" t="s">
        <v>194</v>
      </c>
      <c r="B44" s="0" t="s">
        <v>195</v>
      </c>
      <c r="C44" s="0" t="s">
        <v>141</v>
      </c>
      <c r="E44" s="13" t="n">
        <v>0.141</v>
      </c>
      <c r="G44" s="12" t="s">
        <v>73</v>
      </c>
      <c r="H44" s="12" t="s">
        <v>162</v>
      </c>
      <c r="I44" s="8" t="s">
        <v>171</v>
      </c>
    </row>
    <row r="45" customFormat="false" ht="15" hidden="false" customHeight="false" outlineLevel="0" collapsed="false">
      <c r="A45" s="0" t="s">
        <v>196</v>
      </c>
      <c r="B45" s="0" t="s">
        <v>197</v>
      </c>
      <c r="C45" s="0" t="s">
        <v>91</v>
      </c>
      <c r="E45" s="10" t="n">
        <v>15.3</v>
      </c>
      <c r="G45" s="12" t="s">
        <v>73</v>
      </c>
      <c r="H45" s="12" t="s">
        <v>162</v>
      </c>
      <c r="I45" s="8" t="s">
        <v>163</v>
      </c>
    </row>
    <row r="46" customFormat="false" ht="15" hidden="false" customHeight="false" outlineLevel="0" collapsed="false">
      <c r="A46" s="0" t="s">
        <v>198</v>
      </c>
      <c r="B46" s="0" t="s">
        <v>199</v>
      </c>
      <c r="C46" s="0" t="s">
        <v>141</v>
      </c>
      <c r="E46" s="13" t="n">
        <v>0.31</v>
      </c>
      <c r="G46" s="12" t="s">
        <v>73</v>
      </c>
      <c r="H46" s="12" t="s">
        <v>162</v>
      </c>
      <c r="I46" s="8" t="s">
        <v>163</v>
      </c>
    </row>
    <row r="47" customFormat="false" ht="15" hidden="false" customHeight="false" outlineLevel="0" collapsed="false">
      <c r="A47" s="0" t="s">
        <v>200</v>
      </c>
      <c r="B47" s="0" t="s">
        <v>201</v>
      </c>
      <c r="C47" s="0" t="s">
        <v>91</v>
      </c>
      <c r="E47" s="10" t="n">
        <v>20.8</v>
      </c>
      <c r="G47" s="12" t="s">
        <v>73</v>
      </c>
      <c r="H47" s="12" t="s">
        <v>162</v>
      </c>
      <c r="I47" s="8" t="s">
        <v>202</v>
      </c>
    </row>
    <row r="48" customFormat="false" ht="15" hidden="false" customHeight="false" outlineLevel="0" collapsed="false">
      <c r="A48" s="0" t="s">
        <v>203</v>
      </c>
      <c r="B48" s="0" t="s">
        <v>204</v>
      </c>
      <c r="C48" s="0" t="s">
        <v>91</v>
      </c>
      <c r="E48" s="10" t="n">
        <v>6.7</v>
      </c>
      <c r="G48" s="12" t="s">
        <v>73</v>
      </c>
      <c r="H48" s="12" t="s">
        <v>162</v>
      </c>
      <c r="I48" s="8" t="s">
        <v>163</v>
      </c>
    </row>
    <row r="49" customFormat="false" ht="15" hidden="false" customHeight="false" outlineLevel="0" collapsed="false">
      <c r="A49" s="0" t="s">
        <v>205</v>
      </c>
      <c r="B49" s="0" t="s">
        <v>206</v>
      </c>
      <c r="C49" s="0" t="s">
        <v>141</v>
      </c>
      <c r="E49" s="13" t="n">
        <v>0.096</v>
      </c>
      <c r="G49" s="12" t="s">
        <v>73</v>
      </c>
      <c r="H49" s="12" t="s">
        <v>162</v>
      </c>
      <c r="I49" s="8" t="s">
        <v>163</v>
      </c>
    </row>
    <row r="50" customFormat="false" ht="15" hidden="false" customHeight="false" outlineLevel="0" collapsed="false">
      <c r="A50" s="0" t="s">
        <v>207</v>
      </c>
      <c r="B50" s="0" t="s">
        <v>208</v>
      </c>
      <c r="C50" s="0" t="s">
        <v>91</v>
      </c>
      <c r="E50" s="10" t="n">
        <v>8.6</v>
      </c>
      <c r="G50" s="12" t="s">
        <v>73</v>
      </c>
      <c r="H50" s="12" t="s">
        <v>162</v>
      </c>
      <c r="I50" s="8" t="s">
        <v>209</v>
      </c>
    </row>
    <row r="51" customFormat="false" ht="15" hidden="false" customHeight="false" outlineLevel="0" collapsed="false">
      <c r="A51" s="0" t="s">
        <v>210</v>
      </c>
      <c r="B51" s="0" t="s">
        <v>211</v>
      </c>
      <c r="C51" s="0" t="s">
        <v>91</v>
      </c>
      <c r="E51" s="10" t="n">
        <v>165.9</v>
      </c>
      <c r="G51" s="12" t="s">
        <v>73</v>
      </c>
      <c r="H51" s="12" t="s">
        <v>162</v>
      </c>
      <c r="I51" s="8" t="s">
        <v>163</v>
      </c>
    </row>
    <row r="52" customFormat="false" ht="15" hidden="false" customHeight="false" outlineLevel="0" collapsed="false">
      <c r="A52" s="0" t="s">
        <v>212</v>
      </c>
      <c r="B52" s="0" t="s">
        <v>213</v>
      </c>
      <c r="C52" s="0" t="s">
        <v>141</v>
      </c>
      <c r="E52" s="13" t="n">
        <v>0.232</v>
      </c>
      <c r="G52" s="12" t="s">
        <v>73</v>
      </c>
      <c r="H52" s="12" t="s">
        <v>162</v>
      </c>
      <c r="I52" s="8" t="s">
        <v>163</v>
      </c>
    </row>
    <row r="53" customFormat="false" ht="15" hidden="false" customHeight="false" outlineLevel="0" collapsed="false">
      <c r="A53" s="0" t="s">
        <v>214</v>
      </c>
      <c r="B53" s="0" t="s">
        <v>215</v>
      </c>
      <c r="C53" s="0" t="s">
        <v>91</v>
      </c>
      <c r="E53" s="10" t="n">
        <v>229.5</v>
      </c>
      <c r="G53" s="12" t="s">
        <v>73</v>
      </c>
      <c r="H53" s="12" t="s">
        <v>162</v>
      </c>
      <c r="I53" s="8" t="s">
        <v>163</v>
      </c>
    </row>
    <row r="54" customFormat="false" ht="15" hidden="false" customHeight="false" outlineLevel="0" collapsed="false">
      <c r="A54" s="0" t="s">
        <v>216</v>
      </c>
      <c r="B54" s="0" t="s">
        <v>217</v>
      </c>
      <c r="C54" s="0" t="s">
        <v>141</v>
      </c>
      <c r="D54" s="13" t="n">
        <v>0</v>
      </c>
      <c r="E54" s="13" t="n">
        <v>0.08</v>
      </c>
      <c r="F54" s="13" t="n">
        <v>0.12</v>
      </c>
      <c r="G54" s="12" t="s">
        <v>86</v>
      </c>
      <c r="H54" s="8" t="s">
        <v>218</v>
      </c>
      <c r="I54" s="8" t="s">
        <v>219</v>
      </c>
    </row>
    <row r="55" customFormat="false" ht="15" hidden="false" customHeight="false" outlineLevel="0" collapsed="false">
      <c r="A55" s="9" t="s">
        <v>220</v>
      </c>
    </row>
    <row r="56" customFormat="false" ht="15" hidden="false" customHeight="false" outlineLevel="0" collapsed="false">
      <c r="A56" s="0" t="s">
        <v>221</v>
      </c>
      <c r="B56" s="8" t="s">
        <v>222</v>
      </c>
      <c r="C56" s="0" t="s">
        <v>223</v>
      </c>
      <c r="D56" s="10" t="n">
        <v>0.95</v>
      </c>
      <c r="E56" s="10" t="n">
        <v>1</v>
      </c>
      <c r="F56" s="10" t="n">
        <v>1.05</v>
      </c>
      <c r="G56" s="12" t="s">
        <v>86</v>
      </c>
      <c r="H56" s="8" t="s">
        <v>224</v>
      </c>
      <c r="I56" s="8" t="s">
        <v>225</v>
      </c>
    </row>
    <row r="57" customFormat="false" ht="15" hidden="false" customHeight="false" outlineLevel="0" collapsed="false">
      <c r="A57" s="0" t="s">
        <v>226</v>
      </c>
      <c r="B57" s="8" t="s">
        <v>227</v>
      </c>
      <c r="C57" s="0" t="s">
        <v>223</v>
      </c>
      <c r="D57" s="10" t="n">
        <v>0.75</v>
      </c>
      <c r="E57" s="10" t="n">
        <v>0.8</v>
      </c>
      <c r="F57" s="10" t="n">
        <v>0.85</v>
      </c>
      <c r="G57" s="12" t="s">
        <v>86</v>
      </c>
      <c r="H57" s="8" t="s">
        <v>228</v>
      </c>
      <c r="I57" s="8" t="s">
        <v>229</v>
      </c>
    </row>
    <row r="58" customFormat="false" ht="15" hidden="false" customHeight="false" outlineLevel="0" collapsed="false">
      <c r="A58" s="0" t="s">
        <v>230</v>
      </c>
      <c r="B58" s="8" t="s">
        <v>231</v>
      </c>
      <c r="C58" s="0" t="s">
        <v>223</v>
      </c>
      <c r="D58" s="10" t="n">
        <v>0.9</v>
      </c>
      <c r="E58" s="10" t="n">
        <v>0.95</v>
      </c>
      <c r="F58" s="10" t="n">
        <v>1.05</v>
      </c>
      <c r="G58" s="12" t="s">
        <v>86</v>
      </c>
      <c r="H58" s="8" t="s">
        <v>232</v>
      </c>
      <c r="I58" s="8" t="s">
        <v>233</v>
      </c>
    </row>
    <row r="59" customFormat="false" ht="15" hidden="false" customHeight="false" outlineLevel="0" collapsed="false">
      <c r="A59" s="0" t="s">
        <v>234</v>
      </c>
      <c r="B59" s="8" t="s">
        <v>235</v>
      </c>
      <c r="C59" s="0" t="s">
        <v>223</v>
      </c>
      <c r="D59" s="10" t="n">
        <v>0.9</v>
      </c>
      <c r="E59" s="10" t="n">
        <v>1</v>
      </c>
      <c r="F59" s="10" t="n">
        <v>1.1</v>
      </c>
      <c r="G59" s="12" t="s">
        <v>86</v>
      </c>
      <c r="H59" s="8" t="s">
        <v>236</v>
      </c>
      <c r="I59" s="8" t="s">
        <v>233</v>
      </c>
    </row>
    <row r="60" customFormat="false" ht="15" hidden="false" customHeight="false" outlineLevel="0" collapsed="false">
      <c r="A60" s="9" t="s">
        <v>237</v>
      </c>
    </row>
    <row r="61" customFormat="false" ht="15" hidden="false" customHeight="false" outlineLevel="0" collapsed="false">
      <c r="A61" s="0" t="s">
        <v>238</v>
      </c>
      <c r="B61" s="8" t="s">
        <v>239</v>
      </c>
      <c r="C61" s="0" t="s">
        <v>141</v>
      </c>
      <c r="D61" s="13" t="n">
        <v>0.15</v>
      </c>
      <c r="E61" s="13" t="n">
        <v>0.25</v>
      </c>
      <c r="F61" s="13" t="n">
        <v>0.4</v>
      </c>
      <c r="G61" s="12" t="s">
        <v>86</v>
      </c>
      <c r="H61" s="8" t="s">
        <v>240</v>
      </c>
      <c r="I61" s="8" t="s">
        <v>241</v>
      </c>
    </row>
    <row r="62" customFormat="false" ht="15" hidden="false" customHeight="false" outlineLevel="0" collapsed="false">
      <c r="A62" s="0" t="s">
        <v>242</v>
      </c>
      <c r="B62" s="8" t="s">
        <v>243</v>
      </c>
      <c r="C62" s="0" t="s">
        <v>141</v>
      </c>
      <c r="D62" s="13" t="n">
        <v>0.35</v>
      </c>
      <c r="E62" s="13" t="n">
        <v>0.5</v>
      </c>
      <c r="F62" s="13" t="n">
        <v>0.65</v>
      </c>
      <c r="G62" s="12" t="s">
        <v>86</v>
      </c>
      <c r="H62" s="8" t="s">
        <v>244</v>
      </c>
      <c r="I62" s="8" t="s">
        <v>245</v>
      </c>
    </row>
    <row r="63" customFormat="false" ht="15" hidden="false" customHeight="false" outlineLevel="0" collapsed="false">
      <c r="A63" s="9" t="s">
        <v>246</v>
      </c>
    </row>
    <row r="64" customFormat="false" ht="15" hidden="false" customHeight="false" outlineLevel="0" collapsed="false">
      <c r="A64" s="0" t="s">
        <v>247</v>
      </c>
      <c r="B64" s="0" t="s">
        <v>248</v>
      </c>
      <c r="C64" s="0" t="s">
        <v>91</v>
      </c>
      <c r="E64" s="10" t="n">
        <v>150</v>
      </c>
      <c r="G64" s="12" t="s">
        <v>73</v>
      </c>
      <c r="H64" s="8" t="s">
        <v>249</v>
      </c>
      <c r="I64" s="12" t="s">
        <v>250</v>
      </c>
    </row>
    <row r="65" customFormat="false" ht="15" hidden="false" customHeight="false" outlineLevel="0" collapsed="false">
      <c r="A65" s="0" t="s">
        <v>251</v>
      </c>
      <c r="B65" s="0" t="s">
        <v>252</v>
      </c>
      <c r="C65" s="0" t="s">
        <v>91</v>
      </c>
      <c r="E65" s="10" t="n">
        <v>200</v>
      </c>
      <c r="G65" s="12" t="s">
        <v>73</v>
      </c>
      <c r="H65" s="8" t="s">
        <v>253</v>
      </c>
      <c r="I65" s="8" t="s">
        <v>254</v>
      </c>
    </row>
    <row r="66" customFormat="false" ht="15" hidden="false" customHeight="false" outlineLevel="0" collapsed="false">
      <c r="A66" s="0" t="s">
        <v>255</v>
      </c>
      <c r="B66" s="0" t="s">
        <v>256</v>
      </c>
      <c r="C66" s="0" t="s">
        <v>91</v>
      </c>
      <c r="E66" s="10" t="n">
        <v>150</v>
      </c>
      <c r="G66" s="12" t="s">
        <v>73</v>
      </c>
      <c r="H66" s="8" t="s">
        <v>257</v>
      </c>
      <c r="I66" s="8" t="s">
        <v>258</v>
      </c>
    </row>
    <row r="67" customFormat="false" ht="15" hidden="false" customHeight="false" outlineLevel="0" collapsed="false">
      <c r="A67" s="0" t="s">
        <v>259</v>
      </c>
      <c r="B67" s="0" t="s">
        <v>260</v>
      </c>
      <c r="C67" s="0" t="s">
        <v>91</v>
      </c>
      <c r="E67" s="10" t="n">
        <v>190</v>
      </c>
      <c r="G67" s="12" t="s">
        <v>73</v>
      </c>
      <c r="H67" s="8" t="s">
        <v>261</v>
      </c>
      <c r="I67" s="8" t="s">
        <v>262</v>
      </c>
    </row>
    <row r="68" customFormat="false" ht="15" hidden="false" customHeight="false" outlineLevel="0" collapsed="false">
      <c r="A68" s="0" t="s">
        <v>263</v>
      </c>
      <c r="B68" s="0" t="s">
        <v>264</v>
      </c>
      <c r="C68" s="0" t="s">
        <v>91</v>
      </c>
      <c r="E68" s="10" t="n">
        <v>202</v>
      </c>
      <c r="G68" s="12" t="s">
        <v>73</v>
      </c>
      <c r="H68" s="8" t="s">
        <v>265</v>
      </c>
      <c r="I68" s="8" t="s">
        <v>266</v>
      </c>
    </row>
    <row r="69" customFormat="false" ht="15" hidden="false" customHeight="false" outlineLevel="0" collapsed="false">
      <c r="A69" s="0" t="s">
        <v>267</v>
      </c>
      <c r="B69" s="0" t="s">
        <v>268</v>
      </c>
      <c r="C69" s="0" t="s">
        <v>91</v>
      </c>
      <c r="E69" s="10" t="n">
        <v>227</v>
      </c>
      <c r="G69" s="12" t="s">
        <v>73</v>
      </c>
      <c r="H69" s="8" t="s">
        <v>269</v>
      </c>
      <c r="I69" s="8" t="s">
        <v>270</v>
      </c>
    </row>
    <row r="70" customFormat="false" ht="15" hidden="false" customHeight="false" outlineLevel="0" collapsed="false">
      <c r="A70" s="0" t="s">
        <v>271</v>
      </c>
      <c r="B70" s="0" t="s">
        <v>272</v>
      </c>
      <c r="C70" s="0" t="s">
        <v>91</v>
      </c>
      <c r="E70" s="10" t="n">
        <v>150</v>
      </c>
      <c r="G70" s="12" t="s">
        <v>73</v>
      </c>
      <c r="H70" s="12" t="s">
        <v>273</v>
      </c>
      <c r="I70" s="12" t="s">
        <v>274</v>
      </c>
    </row>
    <row r="71" customFormat="false" ht="15" hidden="false" customHeight="false" outlineLevel="0" collapsed="false">
      <c r="A71" s="0" t="s">
        <v>275</v>
      </c>
      <c r="B71" s="0" t="s">
        <v>276</v>
      </c>
      <c r="C71" s="0" t="s">
        <v>91</v>
      </c>
      <c r="E71" s="10" t="n">
        <v>218</v>
      </c>
      <c r="G71" s="12" t="s">
        <v>73</v>
      </c>
      <c r="H71" s="12" t="s">
        <v>273</v>
      </c>
      <c r="I71" s="8" t="s">
        <v>270</v>
      </c>
    </row>
    <row r="72" customFormat="false" ht="15" hidden="false" customHeight="false" outlineLevel="0" collapsed="false">
      <c r="A72" s="0" t="s">
        <v>277</v>
      </c>
      <c r="B72" s="0" t="s">
        <v>278</v>
      </c>
      <c r="C72" s="0" t="s">
        <v>91</v>
      </c>
      <c r="E72" s="10" t="n">
        <v>281</v>
      </c>
      <c r="G72" s="12" t="s">
        <v>73</v>
      </c>
      <c r="H72" s="12" t="s">
        <v>273</v>
      </c>
      <c r="I72" s="8" t="s">
        <v>270</v>
      </c>
    </row>
    <row r="73" customFormat="false" ht="15" hidden="false" customHeight="false" outlineLevel="0" collapsed="false">
      <c r="A73" s="0" t="s">
        <v>279</v>
      </c>
      <c r="B73" s="8" t="s">
        <v>280</v>
      </c>
      <c r="C73" s="0" t="s">
        <v>141</v>
      </c>
      <c r="E73" s="13" t="n">
        <v>0.15</v>
      </c>
      <c r="G73" s="12" t="s">
        <v>92</v>
      </c>
      <c r="H73" s="8" t="s">
        <v>281</v>
      </c>
      <c r="I73" s="12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5" hidden="false" customHeight="false" outlineLevel="0" collapsed="false">
      <c r="A1" s="0" t="s">
        <v>283</v>
      </c>
    </row>
    <row r="2" customFormat="false" ht="15" hidden="false" customHeight="false" outlineLevel="0" collapsed="false">
      <c r="A2" s="0" t="s">
        <v>284</v>
      </c>
    </row>
    <row r="3" customFormat="false" ht="15" hidden="false" customHeight="false" outlineLevel="0" collapsed="false">
      <c r="A3" s="4" t="s">
        <v>55</v>
      </c>
      <c r="B3" s="4" t="s">
        <v>56</v>
      </c>
      <c r="C3" s="14" t="n">
        <v>2025</v>
      </c>
      <c r="D3" s="14" t="n">
        <v>2026</v>
      </c>
      <c r="E3" s="14" t="n">
        <v>2027</v>
      </c>
      <c r="F3" s="14" t="n">
        <v>2028</v>
      </c>
      <c r="G3" s="14" t="n">
        <v>2029</v>
      </c>
      <c r="H3" s="4" t="s">
        <v>285</v>
      </c>
    </row>
    <row r="4" customFormat="false" ht="15" hidden="false" customHeight="false" outlineLevel="0" collapsed="false">
      <c r="A4" s="7" t="s">
        <v>286</v>
      </c>
    </row>
    <row r="5" customFormat="false" ht="15" hidden="false" customHeight="false" outlineLevel="0" collapsed="false">
      <c r="A5" s="7" t="s">
        <v>287</v>
      </c>
    </row>
    <row r="6" customFormat="false" ht="15" hidden="false" customHeight="false" outlineLevel="0" collapsed="false">
      <c r="A6" s="8" t="s">
        <v>288</v>
      </c>
      <c r="B6" s="0" t="s">
        <v>91</v>
      </c>
      <c r="C6" s="15" t="n">
        <f aca="false">C91</f>
        <v>134.689359843138</v>
      </c>
      <c r="D6" s="15" t="n">
        <f aca="false">D91</f>
        <v>165.9</v>
      </c>
      <c r="E6" s="15" t="n">
        <f aca="false">E91</f>
        <v>200.700266382522</v>
      </c>
      <c r="F6" s="15" t="n">
        <f aca="false">F91</f>
        <v>229.3832982</v>
      </c>
      <c r="G6" s="15" t="n">
        <f aca="false">G91</f>
        <v>247.733962056</v>
      </c>
    </row>
    <row r="7" customFormat="false" ht="15" hidden="false" customHeight="false" outlineLevel="0" collapsed="false">
      <c r="A7" s="8" t="s">
        <v>289</v>
      </c>
      <c r="B7" s="0" t="s">
        <v>141</v>
      </c>
      <c r="D7" s="16" t="n">
        <f aca="false">D92</f>
        <v>0.231723130863573</v>
      </c>
      <c r="E7" s="16" t="n">
        <f aca="false">E92</f>
        <v>0.209766524306942</v>
      </c>
      <c r="F7" s="16" t="n">
        <f aca="false">F92</f>
        <v>0.142914767052728</v>
      </c>
      <c r="G7" s="16" t="n">
        <f aca="false">G92</f>
        <v>0.0800000000000001</v>
      </c>
    </row>
    <row r="8" customFormat="false" ht="15" hidden="false" customHeight="false" outlineLevel="0" collapsed="false">
      <c r="A8" s="8" t="s">
        <v>290</v>
      </c>
      <c r="B8" s="0" t="s">
        <v>91</v>
      </c>
      <c r="C8" s="15" t="n">
        <f aca="false">C89</f>
        <v>116.896831844029</v>
      </c>
      <c r="D8" s="15" t="n">
        <f aca="false">D89</f>
        <v>143.9</v>
      </c>
      <c r="E8" s="15" t="n">
        <f aca="false">E89</f>
        <v>175.2702</v>
      </c>
      <c r="F8" s="15" t="n">
        <f aca="false">F89</f>
        <v>199.9832982</v>
      </c>
      <c r="G8" s="15" t="n">
        <f aca="false">G89</f>
        <v>215.981962056</v>
      </c>
    </row>
    <row r="9" customFormat="false" ht="15" hidden="false" customHeight="false" outlineLevel="0" collapsed="false">
      <c r="A9" s="0" t="s">
        <v>291</v>
      </c>
      <c r="B9" s="0" t="s">
        <v>91</v>
      </c>
      <c r="D9" s="15" t="n">
        <f aca="false">D94</f>
        <v>91.41</v>
      </c>
      <c r="E9" s="15" t="n">
        <f aca="false">E94</f>
        <v>113.21609194287</v>
      </c>
      <c r="F9" s="15" t="n">
        <f aca="false">F94</f>
        <v>130.507392</v>
      </c>
      <c r="G9" s="15" t="n">
        <f aca="false">G94</f>
        <v>139.89198336</v>
      </c>
    </row>
    <row r="10" customFormat="false" ht="15" hidden="false" customHeight="false" outlineLevel="0" collapsed="false">
      <c r="A10" s="0" t="s">
        <v>292</v>
      </c>
      <c r="B10" s="0" t="s">
        <v>141</v>
      </c>
      <c r="E10" s="17" t="n">
        <f aca="false">E96</f>
        <v>0.626607040968565</v>
      </c>
      <c r="F10" s="17" t="n">
        <f aca="false">F96</f>
        <v>0.615868946771263</v>
      </c>
      <c r="G10" s="17" t="n">
        <f aca="false">G96</f>
        <v>0.592443310111555</v>
      </c>
    </row>
    <row r="11" customFormat="false" ht="15" hidden="false" customHeight="false" outlineLevel="0" collapsed="false">
      <c r="A11" s="0" t="s">
        <v>293</v>
      </c>
      <c r="B11" s="0" t="s">
        <v>141</v>
      </c>
      <c r="E11" s="17" t="n">
        <f aca="false">E97</f>
        <v>0.626607040968565</v>
      </c>
      <c r="F11" s="17" t="n">
        <f aca="false">F97</f>
        <v>0.602840737588752</v>
      </c>
      <c r="G11" s="17" t="n">
        <f aca="false">G97</f>
        <v>0.511403371215454</v>
      </c>
    </row>
    <row r="12" customFormat="false" ht="15" hidden="false" customHeight="false" outlineLevel="0" collapsed="false">
      <c r="A12" s="8" t="s">
        <v>294</v>
      </c>
      <c r="C12" s="18" t="n">
        <f aca="false">C98</f>
        <v>2029</v>
      </c>
    </row>
    <row r="13" customFormat="false" ht="15" hidden="false" customHeight="false" outlineLevel="0" collapsed="false">
      <c r="A13" s="7" t="s">
        <v>295</v>
      </c>
    </row>
    <row r="14" customFormat="false" ht="15" hidden="false" customHeight="false" outlineLevel="0" collapsed="false">
      <c r="A14" s="8" t="s">
        <v>288</v>
      </c>
      <c r="B14" s="0" t="s">
        <v>91</v>
      </c>
      <c r="C14" s="15" t="n">
        <f aca="false">C110</f>
        <v>134.689359843138</v>
      </c>
      <c r="D14" s="15" t="n">
        <f aca="false">D110</f>
        <v>165.9</v>
      </c>
      <c r="E14" s="15" t="n">
        <f aca="false">E110</f>
        <v>200.700266382522</v>
      </c>
      <c r="F14" s="15" t="n">
        <f aca="false">F110</f>
        <v>200.700266382522</v>
      </c>
      <c r="G14" s="15" t="n">
        <f aca="false">G110</f>
        <v>190.665253063395</v>
      </c>
    </row>
    <row r="15" customFormat="false" ht="15" hidden="false" customHeight="false" outlineLevel="0" collapsed="false">
      <c r="A15" s="8" t="s">
        <v>289</v>
      </c>
      <c r="B15" s="0" t="s">
        <v>141</v>
      </c>
      <c r="D15" s="16" t="n">
        <f aca="false">D111</f>
        <v>0.231723130863573</v>
      </c>
      <c r="E15" s="16" t="n">
        <f aca="false">E111</f>
        <v>0.209766524306942</v>
      </c>
      <c r="F15" s="16" t="n">
        <f aca="false">F111</f>
        <v>0</v>
      </c>
      <c r="G15" s="16" t="n">
        <f aca="false">G111</f>
        <v>-0.0500000000000003</v>
      </c>
    </row>
    <row r="16" customFormat="false" ht="15" hidden="false" customHeight="false" outlineLevel="0" collapsed="false">
      <c r="A16" s="8" t="s">
        <v>290</v>
      </c>
      <c r="B16" s="0" t="s">
        <v>91</v>
      </c>
      <c r="C16" s="15" t="n">
        <f aca="false">C108</f>
        <v>116.896831844029</v>
      </c>
      <c r="D16" s="15" t="n">
        <f aca="false">D108</f>
        <v>143.9</v>
      </c>
      <c r="E16" s="15" t="n">
        <f aca="false">E108</f>
        <v>175.2702</v>
      </c>
      <c r="F16" s="15" t="n">
        <f aca="false">F108</f>
        <v>175.2702</v>
      </c>
      <c r="G16" s="15" t="n">
        <f aca="false">G108</f>
        <v>166.50669</v>
      </c>
    </row>
    <row r="17" customFormat="false" ht="15" hidden="false" customHeight="false" outlineLevel="0" collapsed="false">
      <c r="A17" s="0" t="s">
        <v>291</v>
      </c>
      <c r="B17" s="0" t="s">
        <v>91</v>
      </c>
      <c r="D17" s="15" t="n">
        <f aca="false">D113</f>
        <v>91.41</v>
      </c>
      <c r="E17" s="15" t="n">
        <f aca="false">E113</f>
        <v>113.21609194287</v>
      </c>
      <c r="F17" s="15" t="n">
        <f aca="false">F113</f>
        <v>113.21609194287</v>
      </c>
      <c r="G17" s="15" t="n">
        <f aca="false">G113</f>
        <v>107.555287345726</v>
      </c>
    </row>
    <row r="18" customFormat="false" ht="15" hidden="false" customHeight="false" outlineLevel="0" collapsed="false">
      <c r="A18" s="0" t="s">
        <v>292</v>
      </c>
      <c r="B18" s="0" t="s">
        <v>141</v>
      </c>
      <c r="E18" s="17" t="n">
        <f aca="false">E115</f>
        <v>0.626607040968565</v>
      </c>
      <c r="F18" s="17" t="n">
        <f aca="false">F115</f>
        <v>0.626607040968565</v>
      </c>
      <c r="G18" s="17" t="n">
        <f aca="false">G115</f>
        <v>0.651933065428268</v>
      </c>
    </row>
    <row r="19" customFormat="false" ht="15" hidden="false" customHeight="false" outlineLevel="0" collapsed="false">
      <c r="A19" s="0" t="s">
        <v>293</v>
      </c>
      <c r="B19" s="0" t="s">
        <v>141</v>
      </c>
      <c r="E19" s="17" t="n">
        <f aca="false">E116</f>
        <v>0.626607040968565</v>
      </c>
      <c r="F19" s="17" t="str">
        <f aca="false">F116</f>
        <v>n/a</v>
      </c>
      <c r="G19" s="17" t="n">
        <f aca="false">G116</f>
        <v>0.56410533968643</v>
      </c>
    </row>
    <row r="20" customFormat="false" ht="15" hidden="false" customHeight="false" outlineLevel="0" collapsed="false">
      <c r="A20" s="8" t="s">
        <v>294</v>
      </c>
      <c r="C20" s="18" t="n">
        <f aca="false">C117</f>
        <v>2028</v>
      </c>
    </row>
    <row r="21" customFormat="false" ht="15" hidden="false" customHeight="false" outlineLevel="0" collapsed="false">
      <c r="A21" s="7" t="s">
        <v>296</v>
      </c>
    </row>
    <row r="22" customFormat="false" ht="15" hidden="false" customHeight="false" outlineLevel="0" collapsed="false">
      <c r="A22" s="8" t="s">
        <v>288</v>
      </c>
      <c r="B22" s="0" t="s">
        <v>91</v>
      </c>
      <c r="C22" s="15" t="n">
        <f aca="false">C129</f>
        <v>134.689359843138</v>
      </c>
      <c r="D22" s="15" t="n">
        <f aca="false">D129</f>
        <v>165.9</v>
      </c>
      <c r="E22" s="15" t="n">
        <f aca="false">E129</f>
        <v>200.700266382522</v>
      </c>
      <c r="F22" s="15" t="n">
        <f aca="false">F129</f>
        <v>160.560213106017</v>
      </c>
      <c r="G22" s="15" t="n">
        <f aca="false">G129</f>
        <v>160.560213106017</v>
      </c>
    </row>
    <row r="23" customFormat="false" ht="15" hidden="false" customHeight="false" outlineLevel="0" collapsed="false">
      <c r="A23" s="8" t="s">
        <v>289</v>
      </c>
      <c r="B23" s="0" t="s">
        <v>141</v>
      </c>
      <c r="D23" s="16" t="n">
        <f aca="false">D130</f>
        <v>0.231723130863573</v>
      </c>
      <c r="E23" s="16" t="n">
        <f aca="false">E130</f>
        <v>0.209766524306942</v>
      </c>
      <c r="F23" s="16" t="n">
        <f aca="false">F130</f>
        <v>-0.2</v>
      </c>
      <c r="G23" s="16" t="n">
        <f aca="false">G130</f>
        <v>0</v>
      </c>
    </row>
    <row r="24" customFormat="false" ht="15" hidden="false" customHeight="false" outlineLevel="0" collapsed="false">
      <c r="A24" s="8" t="s">
        <v>290</v>
      </c>
      <c r="B24" s="0" t="s">
        <v>91</v>
      </c>
      <c r="C24" s="15" t="n">
        <f aca="false">C127</f>
        <v>116.896831844029</v>
      </c>
      <c r="D24" s="15" t="n">
        <f aca="false">D127</f>
        <v>143.9</v>
      </c>
      <c r="E24" s="15" t="n">
        <f aca="false">E127</f>
        <v>175.2702</v>
      </c>
      <c r="F24" s="15" t="n">
        <f aca="false">F127</f>
        <v>140.21616</v>
      </c>
      <c r="G24" s="15" t="n">
        <f aca="false">G127</f>
        <v>140.21616</v>
      </c>
    </row>
    <row r="25" customFormat="false" ht="15" hidden="false" customHeight="false" outlineLevel="0" collapsed="false">
      <c r="A25" s="0" t="s">
        <v>291</v>
      </c>
      <c r="B25" s="0" t="s">
        <v>91</v>
      </c>
      <c r="D25" s="15" t="n">
        <f aca="false">D132</f>
        <v>91.41</v>
      </c>
      <c r="E25" s="15" t="n">
        <f aca="false">E132</f>
        <v>113.21609194287</v>
      </c>
      <c r="F25" s="15" t="n">
        <f aca="false">F132</f>
        <v>90.5728735542957</v>
      </c>
      <c r="G25" s="15" t="n">
        <f aca="false">G132</f>
        <v>90.5728735542957</v>
      </c>
    </row>
    <row r="26" customFormat="false" ht="15" hidden="false" customHeight="false" outlineLevel="0" collapsed="false">
      <c r="A26" s="0" t="s">
        <v>292</v>
      </c>
      <c r="B26" s="0" t="s">
        <v>141</v>
      </c>
      <c r="E26" s="17" t="n">
        <f aca="false">E134</f>
        <v>0.626607040968565</v>
      </c>
      <c r="F26" s="17" t="n">
        <f aca="false">F134</f>
        <v>0.156771508362552</v>
      </c>
      <c r="G26" s="17" t="n">
        <f aca="false">G134</f>
        <v>0.156771508362552</v>
      </c>
    </row>
    <row r="27" customFormat="false" ht="15" hidden="false" customHeight="false" outlineLevel="0" collapsed="false">
      <c r="A27" s="0" t="s">
        <v>293</v>
      </c>
      <c r="B27" s="0" t="s">
        <v>141</v>
      </c>
      <c r="E27" s="17" t="n">
        <f aca="false">E135</f>
        <v>0.626607040968565</v>
      </c>
      <c r="F27" s="17" t="n">
        <f aca="false">F135</f>
        <v>0.564105339686432</v>
      </c>
      <c r="G27" s="17" t="str">
        <f aca="false">G135</f>
        <v>n/a</v>
      </c>
    </row>
    <row r="28" customFormat="false" ht="15" hidden="false" customHeight="false" outlineLevel="0" collapsed="false">
      <c r="A28" s="8" t="s">
        <v>294</v>
      </c>
      <c r="C28" s="18" t="n">
        <f aca="false">C136</f>
        <v>2027</v>
      </c>
    </row>
    <row r="40" customFormat="false" ht="15" hidden="false" customHeight="false" outlineLevel="0" collapsed="false">
      <c r="A40" s="9" t="s">
        <v>297</v>
      </c>
    </row>
    <row r="41" customFormat="false" ht="15" hidden="false" customHeight="false" outlineLevel="0" collapsed="false">
      <c r="A41" s="19" t="s">
        <v>298</v>
      </c>
      <c r="B41" s="12" t="s">
        <v>91</v>
      </c>
      <c r="C41" s="15" t="n">
        <f aca="false">D41/(1+g_dram_26)</f>
        <v>27.9136690647482</v>
      </c>
      <c r="D41" s="15" t="n">
        <f aca="false">s_dram_26</f>
        <v>38.8</v>
      </c>
      <c r="E41" s="15" t="n">
        <f aca="false">D41*(1+g_dram_27)</f>
        <v>49.4312</v>
      </c>
      <c r="F41" s="15" t="n">
        <f aca="false">E41*(1+g_dram_28)</f>
        <v>56.84588</v>
      </c>
      <c r="G41" s="15" t="n">
        <f aca="false">F41*(1+g29)</f>
        <v>61.3935504</v>
      </c>
      <c r="H41" s="12" t="s">
        <v>299</v>
      </c>
    </row>
    <row r="42" customFormat="false" ht="15" hidden="false" customHeight="false" outlineLevel="0" collapsed="false">
      <c r="A42" s="19" t="s">
        <v>300</v>
      </c>
      <c r="B42" s="12" t="s">
        <v>91</v>
      </c>
      <c r="C42" s="15" t="n">
        <f aca="false">D42/(1+g_nand_26)</f>
        <v>10.6350420811018</v>
      </c>
      <c r="D42" s="15" t="n">
        <f aca="false">s_nand_26</f>
        <v>13.9</v>
      </c>
      <c r="E42" s="15" t="n">
        <f aca="false">D42*(1+g_nand_27)</f>
        <v>18.2229</v>
      </c>
      <c r="F42" s="15" t="n">
        <f aca="false">E42*(1+g_nand_28)</f>
        <v>20.8652205</v>
      </c>
      <c r="G42" s="15" t="n">
        <f aca="false">F42*(1+g29)</f>
        <v>22.53443814</v>
      </c>
      <c r="H42" s="12" t="s">
        <v>299</v>
      </c>
    </row>
    <row r="43" customFormat="false" ht="15" hidden="false" customHeight="false" outlineLevel="0" collapsed="false">
      <c r="A43" s="19" t="s">
        <v>301</v>
      </c>
      <c r="B43" s="12" t="s">
        <v>91</v>
      </c>
      <c r="C43" s="15" t="n">
        <f aca="false">D43/(1+g_fd_26)</f>
        <v>65.6013456686291</v>
      </c>
      <c r="D43" s="15" t="n">
        <f aca="false">s_fd_26</f>
        <v>78</v>
      </c>
      <c r="E43" s="15" t="n">
        <f aca="false">D43*(1+g_fd_27)</f>
        <v>92.118</v>
      </c>
      <c r="F43" s="15" t="n">
        <f aca="false">E43*(1+g_fd_28)</f>
        <v>104.646048</v>
      </c>
      <c r="G43" s="15" t="n">
        <f aca="false">F43*(1+g29)</f>
        <v>113.01773184</v>
      </c>
      <c r="H43" s="12" t="s">
        <v>299</v>
      </c>
    </row>
    <row r="44" customFormat="false" ht="15" hidden="false" customHeight="false" outlineLevel="0" collapsed="false">
      <c r="A44" s="19" t="s">
        <v>302</v>
      </c>
      <c r="B44" s="12" t="s">
        <v>91</v>
      </c>
      <c r="C44" s="15" t="n">
        <f aca="false">D44/(1+g_wfe_26)</f>
        <v>116.896831844029</v>
      </c>
      <c r="D44" s="15" t="n">
        <f aca="false">s_wfe_26</f>
        <v>143.9</v>
      </c>
      <c r="E44" s="15" t="n">
        <f aca="false">D44*(1+g_wfe_27)</f>
        <v>175.2702</v>
      </c>
      <c r="F44" s="15" t="n">
        <f aca="false">E44*(1+g_wfe_28)</f>
        <v>199.9832982</v>
      </c>
      <c r="G44" s="15" t="n">
        <f aca="false">F44*(1+g29)</f>
        <v>215.981962056</v>
      </c>
      <c r="H44" s="12" t="s">
        <v>299</v>
      </c>
    </row>
    <row r="45" customFormat="false" ht="15" hidden="false" customHeight="false" outlineLevel="0" collapsed="false">
      <c r="A45" s="19" t="s">
        <v>303</v>
      </c>
      <c r="B45" s="12" t="s">
        <v>91</v>
      </c>
      <c r="C45" s="15" t="n">
        <f aca="false">D45/(1+g_test_26)</f>
        <v>11.6793893129771</v>
      </c>
      <c r="D45" s="15" t="n">
        <f aca="false">s_test_26</f>
        <v>15.3</v>
      </c>
      <c r="E45" s="15" t="n">
        <f aca="false">SQRT(D45*F45)</f>
        <v>17.8392824967822</v>
      </c>
      <c r="F45" s="15" t="n">
        <f aca="false">s_test_28</f>
        <v>20.8</v>
      </c>
      <c r="G45" s="15" t="n">
        <f aca="false">F45*(1+g29)</f>
        <v>22.464</v>
      </c>
      <c r="H45" s="12" t="s">
        <v>304</v>
      </c>
    </row>
    <row r="46" customFormat="false" ht="15" hidden="false" customHeight="false" outlineLevel="0" collapsed="false">
      <c r="A46" s="19" t="s">
        <v>305</v>
      </c>
      <c r="B46" s="12" t="s">
        <v>91</v>
      </c>
      <c r="C46" s="15" t="n">
        <f aca="false">D46/(1+g_pkg_26)</f>
        <v>6.11313868613139</v>
      </c>
      <c r="D46" s="15" t="n">
        <f aca="false">s_pkg_26</f>
        <v>6.7</v>
      </c>
      <c r="E46" s="15" t="n">
        <f aca="false">SQRT(D46*F46)</f>
        <v>7.59078388573934</v>
      </c>
      <c r="F46" s="15" t="n">
        <f aca="false">s_pkg_28</f>
        <v>8.6</v>
      </c>
      <c r="G46" s="15" t="n">
        <f aca="false">F46*(1+g29)</f>
        <v>9.288</v>
      </c>
      <c r="H46" s="12" t="s">
        <v>304</v>
      </c>
    </row>
    <row r="47" customFormat="false" ht="15" hidden="false" customHeight="false" outlineLevel="0" collapsed="false">
      <c r="A47" s="19" t="s">
        <v>306</v>
      </c>
      <c r="B47" s="12" t="s">
        <v>91</v>
      </c>
      <c r="C47" s="15" t="n">
        <f aca="false">C44-C43-C41-C42</f>
        <v>12.7467750295502</v>
      </c>
      <c r="D47" s="15" t="n">
        <f aca="false">D44-D43-D41-D42</f>
        <v>13.2</v>
      </c>
      <c r="E47" s="15" t="n">
        <f aca="false">E44-E43-E41-E42</f>
        <v>15.4981</v>
      </c>
      <c r="F47" s="15" t="n">
        <f aca="false">F44-F43-F41-F42</f>
        <v>17.6261497</v>
      </c>
      <c r="G47" s="15" t="n">
        <f aca="false">G44-G43-G41-G42</f>
        <v>19.036241676</v>
      </c>
      <c r="H47" s="12" t="s">
        <v>307</v>
      </c>
    </row>
    <row r="48" customFormat="false" ht="15" hidden="false" customHeight="false" outlineLevel="0" collapsed="false">
      <c r="A48" s="9" t="s">
        <v>308</v>
      </c>
      <c r="B48" s="12" t="s">
        <v>91</v>
      </c>
      <c r="C48" s="15" t="n">
        <f aca="false">C44+C45+C46</f>
        <v>134.689359843138</v>
      </c>
      <c r="D48" s="15" t="n">
        <f aca="false">D44+D45+D46</f>
        <v>165.9</v>
      </c>
      <c r="E48" s="15" t="n">
        <f aca="false">E44+E45+E46</f>
        <v>200.700266382522</v>
      </c>
      <c r="F48" s="15" t="n">
        <f aca="false">F44+F45+F46</f>
        <v>229.3832982</v>
      </c>
      <c r="G48" s="15" t="n">
        <f aca="false">G44+G45+G46</f>
        <v>247.733962056</v>
      </c>
      <c r="H48" s="12" t="s">
        <v>309</v>
      </c>
    </row>
    <row r="49" customFormat="false" ht="15" hidden="false" customHeight="false" outlineLevel="0" collapsed="false">
      <c r="A49" s="19" t="s">
        <v>310</v>
      </c>
      <c r="B49" s="12" t="s">
        <v>141</v>
      </c>
      <c r="C49" s="16" t="n">
        <f aca="false">C41/(C41+C42)</f>
        <v>0.724114198244817</v>
      </c>
      <c r="D49" s="16" t="n">
        <f aca="false">D41/(D41+D42)</f>
        <v>0.736242884250474</v>
      </c>
      <c r="E49" s="16" t="n">
        <f aca="false">E41/(E41+E42)</f>
        <v>0.730646036234315</v>
      </c>
      <c r="F49" s="16" t="n">
        <f aca="false">F41/(F41+F42)</f>
        <v>0.731502702113966</v>
      </c>
      <c r="G49" s="16" t="n">
        <f aca="false">G41/(G41+G42)</f>
        <v>0.731502702113966</v>
      </c>
      <c r="H49" s="8" t="s">
        <v>311</v>
      </c>
    </row>
    <row r="51" customFormat="false" ht="15" hidden="false" customHeight="false" outlineLevel="0" collapsed="false">
      <c r="A51" s="9" t="s">
        <v>312</v>
      </c>
    </row>
    <row r="52" customFormat="false" ht="15" hidden="false" customHeight="false" outlineLevel="0" collapsed="false">
      <c r="A52" s="19" t="s">
        <v>313</v>
      </c>
      <c r="B52" s="12" t="s">
        <v>91</v>
      </c>
      <c r="D52" s="15" t="n">
        <f aca="false">cap_sk_26*1000/fx</f>
        <v>34.2957746478873</v>
      </c>
      <c r="E52" s="15" t="n">
        <f aca="false">cap_sk_27*1000/fx</f>
        <v>43.8732394366197</v>
      </c>
      <c r="F52" s="15" t="n">
        <f aca="false">cap_sk_28*1000/fx</f>
        <v>50.1408450704225</v>
      </c>
      <c r="G52" s="15" t="n">
        <f aca="false">cap_sk_29*1000/fx</f>
        <v>52.8169014084507</v>
      </c>
      <c r="H52" s="8" t="s">
        <v>314</v>
      </c>
    </row>
    <row r="53" customFormat="false" ht="15" hidden="false" customHeight="false" outlineLevel="0" collapsed="false">
      <c r="A53" s="20" t="s">
        <v>315</v>
      </c>
      <c r="B53" s="12" t="s">
        <v>91</v>
      </c>
      <c r="D53" s="15" t="n">
        <f aca="false">cap_mu_26</f>
        <v>27.367</v>
      </c>
      <c r="E53" s="15" t="n">
        <f aca="false">cap_mu_27</f>
        <v>55</v>
      </c>
      <c r="F53" s="15" t="n">
        <f aca="false">cap_mu_28</f>
        <v>60</v>
      </c>
      <c r="G53" s="15" t="n">
        <f aca="false">cap_mu_29</f>
        <v>60</v>
      </c>
    </row>
    <row r="54" customFormat="false" ht="15" hidden="false" customHeight="false" outlineLevel="0" collapsed="false">
      <c r="A54" s="20" t="s">
        <v>316</v>
      </c>
      <c r="B54" s="12" t="s">
        <v>91</v>
      </c>
      <c r="D54" s="15" t="n">
        <f aca="false">cap_ss_26*1000/fx</f>
        <v>36.9718309859155</v>
      </c>
      <c r="E54" s="15" t="n">
        <f aca="false">cap_ss_27*1000/fx</f>
        <v>42.2535211267606</v>
      </c>
      <c r="F54" s="15" t="n">
        <f aca="false">cap_ss_28*1000/fx</f>
        <v>46.4788732394366</v>
      </c>
      <c r="G54" s="15" t="n">
        <f aca="false">cap_ss_29*1000/fx</f>
        <v>46.4788732394366</v>
      </c>
    </row>
    <row r="55" customFormat="false" ht="15" hidden="false" customHeight="false" outlineLevel="0" collapsed="false">
      <c r="A55" s="7" t="s">
        <v>317</v>
      </c>
      <c r="B55" s="12" t="s">
        <v>91</v>
      </c>
      <c r="D55" s="15" t="n">
        <f aca="false">D52+D53+D54</f>
        <v>98.6346056338028</v>
      </c>
      <c r="E55" s="15" t="n">
        <f aca="false">E52+E53+E54</f>
        <v>141.12676056338</v>
      </c>
      <c r="F55" s="15" t="n">
        <f aca="false">F52+F53+F54</f>
        <v>156.619718309859</v>
      </c>
      <c r="G55" s="15" t="n">
        <f aca="false">G52+G53+G54</f>
        <v>159.295774647887</v>
      </c>
    </row>
    <row r="56" customFormat="false" ht="15" hidden="false" customHeight="false" outlineLevel="0" collapsed="false">
      <c r="A56" s="19" t="s">
        <v>318</v>
      </c>
      <c r="B56" s="12" t="s">
        <v>91</v>
      </c>
      <c r="D56" s="15" t="n">
        <f aca="false">D52*sh_sk</f>
        <v>21.9492957746479</v>
      </c>
      <c r="E56" s="15" t="n">
        <f aca="false">E52*sh_sk</f>
        <v>28.0788732394366</v>
      </c>
      <c r="F56" s="15" t="n">
        <f aca="false">F52*sh_sk</f>
        <v>32.0901408450704</v>
      </c>
      <c r="G56" s="15" t="n">
        <f aca="false">G52*sh_sk</f>
        <v>33.8028169014085</v>
      </c>
    </row>
    <row r="57" customFormat="false" ht="15" hidden="false" customHeight="false" outlineLevel="0" collapsed="false">
      <c r="A57" s="20" t="s">
        <v>319</v>
      </c>
      <c r="B57" s="12" t="s">
        <v>91</v>
      </c>
      <c r="D57" s="15" t="n">
        <f aca="false">D53*sh_mu_26</f>
        <v>14.258207</v>
      </c>
      <c r="E57" s="15" t="n">
        <f aca="false">E53*sh_mu_27</f>
        <v>25.3</v>
      </c>
      <c r="F57" s="15" t="n">
        <f aca="false">F53*sh_mu_27</f>
        <v>27.6</v>
      </c>
      <c r="G57" s="15" t="n">
        <f aca="false">G53*sh_mu_27</f>
        <v>27.6</v>
      </c>
    </row>
    <row r="58" customFormat="false" ht="15" hidden="false" customHeight="false" outlineLevel="0" collapsed="false">
      <c r="A58" s="20" t="s">
        <v>320</v>
      </c>
      <c r="B58" s="12" t="s">
        <v>91</v>
      </c>
      <c r="D58" s="15" t="n">
        <f aca="false">D54*sh_ss</f>
        <v>23.6619718309859</v>
      </c>
      <c r="E58" s="15" t="n">
        <f aca="false">E54*sh_ss</f>
        <v>27.0422535211268</v>
      </c>
      <c r="F58" s="15" t="n">
        <f aca="false">F54*sh_ss</f>
        <v>29.7464788732394</v>
      </c>
      <c r="G58" s="15" t="n">
        <f aca="false">G54*sh_ss</f>
        <v>29.7464788732394</v>
      </c>
    </row>
    <row r="59" customFormat="false" ht="15" hidden="false" customHeight="false" outlineLevel="0" collapsed="false">
      <c r="A59" s="7" t="s">
        <v>321</v>
      </c>
      <c r="B59" s="12" t="s">
        <v>91</v>
      </c>
      <c r="D59" s="15" t="n">
        <f aca="false">D56+D57+D58</f>
        <v>59.8694746056338</v>
      </c>
      <c r="E59" s="15" t="n">
        <f aca="false">E56+E57+E58</f>
        <v>80.4211267605634</v>
      </c>
      <c r="F59" s="15" t="n">
        <f aca="false">F56+F57+F58</f>
        <v>89.4366197183099</v>
      </c>
      <c r="G59" s="15" t="n">
        <f aca="false">G56+G57+G58</f>
        <v>91.1492957746479</v>
      </c>
    </row>
    <row r="60" customFormat="false" ht="15" hidden="false" customHeight="false" outlineLevel="0" collapsed="false">
      <c r="A60" s="20" t="s">
        <v>322</v>
      </c>
      <c r="B60" s="12" t="s">
        <v>141</v>
      </c>
      <c r="D60" s="16" t="n">
        <f aca="false">D59/D55</f>
        <v>0.606982450235661</v>
      </c>
      <c r="E60" s="16" t="n">
        <f aca="false">E59/E55</f>
        <v>0.569850299401198</v>
      </c>
      <c r="F60" s="16" t="n">
        <f aca="false">F59/F55</f>
        <v>0.571043165467626</v>
      </c>
      <c r="G60" s="16" t="n">
        <f aca="false">G59/G55</f>
        <v>0.572201591511936</v>
      </c>
    </row>
    <row r="61" customFormat="false" ht="15" hidden="false" customHeight="false" outlineLevel="0" collapsed="false">
      <c r="A61" s="20" t="s">
        <v>323</v>
      </c>
      <c r="B61" s="12" t="s">
        <v>91</v>
      </c>
      <c r="D61" s="15" t="n">
        <f aca="false">D41+D42-D59</f>
        <v>-7.1694746056338</v>
      </c>
      <c r="E61" s="15" t="n">
        <f aca="false">E41+E42-E59</f>
        <v>-12.7670267605634</v>
      </c>
      <c r="F61" s="15" t="n">
        <f aca="false">F41+F42-F59</f>
        <v>-11.7255192183099</v>
      </c>
      <c r="G61" s="15" t="n">
        <f aca="false">G41+G42-G59</f>
        <v>-7.22130723464788</v>
      </c>
      <c r="H61" s="12" t="s">
        <v>324</v>
      </c>
    </row>
    <row r="62" customFormat="false" ht="15" hidden="false" customHeight="false" outlineLevel="0" collapsed="false">
      <c r="A62" s="7" t="s">
        <v>325</v>
      </c>
      <c r="B62" s="12" t="s">
        <v>91</v>
      </c>
      <c r="C62" s="15" t="n">
        <f aca="false">C41+C42</f>
        <v>38.54871114585</v>
      </c>
      <c r="D62" s="15" t="n">
        <f aca="false">D59+D61</f>
        <v>52.7</v>
      </c>
      <c r="E62" s="15" t="n">
        <f aca="false">E59+E61</f>
        <v>67.6541</v>
      </c>
      <c r="F62" s="15" t="n">
        <f aca="false">F59+F61</f>
        <v>77.7111005</v>
      </c>
      <c r="G62" s="15" t="n">
        <f aca="false">G59+G61</f>
        <v>83.92798854</v>
      </c>
      <c r="H62" s="8" t="s">
        <v>326</v>
      </c>
    </row>
    <row r="63" customFormat="false" ht="15" hidden="false" customHeight="false" outlineLevel="0" collapsed="false">
      <c r="A63" s="20" t="s">
        <v>327</v>
      </c>
      <c r="D63" s="18" t="n">
        <f aca="false">IF(D61&lt;0,1,0)</f>
        <v>1</v>
      </c>
      <c r="E63" s="18" t="n">
        <f aca="false">IF(E61&lt;0,1,0)</f>
        <v>1</v>
      </c>
      <c r="F63" s="18" t="n">
        <f aca="false">IF(F61&lt;0,1,0)</f>
        <v>1</v>
      </c>
      <c r="G63" s="18" t="n">
        <f aca="false">IF(G61&lt;0,1,0)</f>
        <v>1</v>
      </c>
    </row>
    <row r="64" customFormat="false" ht="15" hidden="false" customHeight="false" outlineLevel="0" collapsed="false">
      <c r="A64" s="19" t="s">
        <v>328</v>
      </c>
      <c r="B64" s="12" t="s">
        <v>141</v>
      </c>
      <c r="D64" s="16" t="n">
        <f aca="false">(D41+D42)/D55</f>
        <v>0.534295237065756</v>
      </c>
      <c r="E64" s="16" t="n">
        <f aca="false">(E41+E42)/E55</f>
        <v>0.479385339321357</v>
      </c>
      <c r="F64" s="16" t="n">
        <f aca="false">(F41+F42)/F55</f>
        <v>0.496176990602518</v>
      </c>
      <c r="G64" s="16" t="n">
        <f aca="false">(G41+G42)/G55</f>
        <v>0.526868893575597</v>
      </c>
      <c r="H64" s="8" t="s">
        <v>329</v>
      </c>
    </row>
    <row r="65" customFormat="false" ht="15" hidden="false" customHeight="false" outlineLevel="0" collapsed="false">
      <c r="A65" s="8" t="s">
        <v>330</v>
      </c>
    </row>
    <row r="67" customFormat="false" ht="15" hidden="false" customHeight="false" outlineLevel="0" collapsed="false">
      <c r="A67" s="9" t="s">
        <v>331</v>
      </c>
    </row>
    <row r="68" customFormat="false" ht="15" hidden="false" customHeight="false" outlineLevel="0" collapsed="false">
      <c r="A68" s="20" t="s">
        <v>332</v>
      </c>
      <c r="B68" s="12" t="s">
        <v>91</v>
      </c>
      <c r="D68" s="15" t="n">
        <f aca="false">cap_ts_26</f>
        <v>62</v>
      </c>
      <c r="E68" s="15" t="n">
        <f aca="false">cap_ts_27</f>
        <v>77</v>
      </c>
      <c r="F68" s="15" t="n">
        <f aca="false">cap_ts_28</f>
        <v>90</v>
      </c>
      <c r="G68" s="15" t="n">
        <f aca="false">cap_ts_29</f>
        <v>95</v>
      </c>
    </row>
    <row r="69" customFormat="false" ht="15" hidden="false" customHeight="false" outlineLevel="0" collapsed="false">
      <c r="A69" s="20" t="s">
        <v>333</v>
      </c>
      <c r="B69" s="12" t="s">
        <v>91</v>
      </c>
      <c r="D69" s="15" t="n">
        <f aca="false">D68*sh_fd</f>
        <v>39.68</v>
      </c>
      <c r="E69" s="15" t="n">
        <f aca="false">E68*sh_fd</f>
        <v>49.28</v>
      </c>
      <c r="F69" s="15" t="n">
        <f aca="false">F68*sh_fd</f>
        <v>57.6</v>
      </c>
      <c r="G69" s="15" t="n">
        <f aca="false">G68*sh_fd</f>
        <v>60.8</v>
      </c>
    </row>
    <row r="70" customFormat="false" ht="15" hidden="false" customHeight="false" outlineLevel="0" collapsed="false">
      <c r="A70" s="20" t="s">
        <v>334</v>
      </c>
      <c r="B70" s="12" t="s">
        <v>91</v>
      </c>
      <c r="D70" s="15" t="n">
        <f aca="false">D43-D69</f>
        <v>38.32</v>
      </c>
      <c r="E70" s="15" t="n">
        <f aca="false">E43-E69</f>
        <v>42.838</v>
      </c>
      <c r="F70" s="15" t="n">
        <f aca="false">F43-F69</f>
        <v>47.046048</v>
      </c>
      <c r="G70" s="15" t="n">
        <f aca="false">G43-G69</f>
        <v>52.21773184</v>
      </c>
      <c r="H70" s="12" t="s">
        <v>335</v>
      </c>
    </row>
    <row r="71" customFormat="false" ht="15" hidden="false" customHeight="false" outlineLevel="0" collapsed="false">
      <c r="A71" s="20" t="s">
        <v>336</v>
      </c>
      <c r="B71" s="12" t="s">
        <v>91</v>
      </c>
      <c r="D71" s="15" t="n">
        <f aca="false">D70</f>
        <v>38.32</v>
      </c>
      <c r="E71" s="15" t="n">
        <f aca="false">E70</f>
        <v>42.838</v>
      </c>
      <c r="F71" s="15" t="n">
        <f aca="false">F70</f>
        <v>47.046048</v>
      </c>
      <c r="G71" s="15" t="n">
        <f aca="false">G70</f>
        <v>52.21773184</v>
      </c>
    </row>
    <row r="72" customFormat="false" ht="15" hidden="false" customHeight="false" outlineLevel="0" collapsed="false">
      <c r="A72" s="7" t="s">
        <v>337</v>
      </c>
      <c r="B72" s="12" t="s">
        <v>91</v>
      </c>
      <c r="C72" s="15" t="n">
        <f aca="false">C43</f>
        <v>65.6013456686291</v>
      </c>
      <c r="D72" s="15" t="n">
        <f aca="false">D69+D71</f>
        <v>78</v>
      </c>
      <c r="E72" s="15" t="n">
        <f aca="false">E69+E71</f>
        <v>92.118</v>
      </c>
      <c r="F72" s="15" t="n">
        <f aca="false">F69+F71</f>
        <v>104.646048</v>
      </c>
      <c r="G72" s="15" t="n">
        <f aca="false">G69+G71</f>
        <v>113.01773184</v>
      </c>
    </row>
    <row r="73" customFormat="false" ht="15" hidden="false" customHeight="false" outlineLevel="0" collapsed="false">
      <c r="A73" s="20" t="s">
        <v>327</v>
      </c>
      <c r="D73" s="18" t="n">
        <f aca="false">IF(D70&lt;0,1,0)</f>
        <v>0</v>
      </c>
      <c r="E73" s="18" t="n">
        <f aca="false">IF(E70&lt;0,1,0)</f>
        <v>0</v>
      </c>
      <c r="F73" s="18" t="n">
        <f aca="false">IF(F70&lt;0,1,0)</f>
        <v>0</v>
      </c>
      <c r="G73" s="18" t="n">
        <f aca="false">IF(G70&lt;0,1,0)</f>
        <v>0</v>
      </c>
    </row>
    <row r="74" customFormat="false" ht="15" hidden="false" customHeight="false" outlineLevel="0" collapsed="false">
      <c r="A74" s="20" t="s">
        <v>338</v>
      </c>
      <c r="B74" s="12" t="s">
        <v>141</v>
      </c>
      <c r="D74" s="16" t="n">
        <f aca="false">D43/D68</f>
        <v>1.25806451612903</v>
      </c>
      <c r="E74" s="16" t="n">
        <f aca="false">E43/E68</f>
        <v>1.19633766233766</v>
      </c>
      <c r="F74" s="16" t="n">
        <f aca="false">F43/F68</f>
        <v>1.16273386666667</v>
      </c>
      <c r="G74" s="16" t="n">
        <f aca="false">G43/G68</f>
        <v>1.1896603351579</v>
      </c>
      <c r="H74" s="8" t="s">
        <v>339</v>
      </c>
    </row>
    <row r="76" customFormat="false" ht="15" hidden="false" customHeight="false" outlineLevel="0" collapsed="false">
      <c r="A76" s="9" t="s">
        <v>340</v>
      </c>
    </row>
    <row r="77" customFormat="false" ht="15" hidden="false" customHeight="false" outlineLevel="0" collapsed="false">
      <c r="A77" s="8" t="s">
        <v>341</v>
      </c>
    </row>
    <row r="78" customFormat="false" ht="15" hidden="false" customHeight="false" outlineLevel="0" collapsed="false">
      <c r="A78" s="20" t="s">
        <v>342</v>
      </c>
      <c r="B78" s="12" t="s">
        <v>91</v>
      </c>
      <c r="C78" s="15" t="n">
        <f aca="false">C45</f>
        <v>11.6793893129771</v>
      </c>
      <c r="D78" s="15" t="n">
        <f aca="false">D45</f>
        <v>15.3</v>
      </c>
      <c r="E78" s="15" t="n">
        <f aca="false">E45</f>
        <v>17.8392824967822</v>
      </c>
      <c r="F78" s="15" t="n">
        <f aca="false">F45</f>
        <v>20.8</v>
      </c>
      <c r="G78" s="15" t="n">
        <f aca="false">G45</f>
        <v>22.464</v>
      </c>
    </row>
    <row r="79" customFormat="false" ht="15" hidden="false" customHeight="false" outlineLevel="0" collapsed="false">
      <c r="A79" s="20" t="s">
        <v>343</v>
      </c>
      <c r="B79" s="12" t="s">
        <v>91</v>
      </c>
      <c r="C79" s="15" t="n">
        <f aca="false">C46</f>
        <v>6.11313868613139</v>
      </c>
      <c r="D79" s="15" t="n">
        <f aca="false">D46</f>
        <v>6.7</v>
      </c>
      <c r="E79" s="15" t="n">
        <f aca="false">E46</f>
        <v>7.59078388573934</v>
      </c>
      <c r="F79" s="15" t="n">
        <f aca="false">F46</f>
        <v>8.6</v>
      </c>
      <c r="G79" s="15" t="n">
        <f aca="false">G46</f>
        <v>9.288</v>
      </c>
    </row>
    <row r="81" customFormat="false" ht="15" hidden="false" customHeight="false" outlineLevel="0" collapsed="false">
      <c r="A81" s="9" t="s">
        <v>344</v>
      </c>
    </row>
    <row r="82" customFormat="false" ht="15" hidden="false" customHeight="false" outlineLevel="0" collapsed="false">
      <c r="A82" s="20" t="s">
        <v>345</v>
      </c>
      <c r="B82" s="12" t="s">
        <v>91</v>
      </c>
      <c r="D82" s="15" t="n">
        <f aca="false">D69+adv_other*D71</f>
        <v>49.26</v>
      </c>
      <c r="E82" s="15" t="n">
        <f aca="false">E69+adv_other*E71</f>
        <v>59.9895</v>
      </c>
      <c r="F82" s="15" t="n">
        <f aca="false">F69+adv_other*F71</f>
        <v>69.361512</v>
      </c>
      <c r="G82" s="15" t="n">
        <f aca="false">G69+adv_other*G71</f>
        <v>73.85443296</v>
      </c>
    </row>
    <row r="83" customFormat="false" ht="15" hidden="false" customHeight="false" outlineLevel="0" collapsed="false">
      <c r="A83" s="20" t="s">
        <v>346</v>
      </c>
      <c r="B83" s="12" t="s">
        <v>91</v>
      </c>
      <c r="D83" s="15" t="n">
        <f aca="false">D72-D82</f>
        <v>28.74</v>
      </c>
      <c r="E83" s="15" t="n">
        <f aca="false">E72-E82</f>
        <v>32.1285</v>
      </c>
      <c r="F83" s="15" t="n">
        <f aca="false">F72-F82</f>
        <v>35.284536</v>
      </c>
      <c r="G83" s="15" t="n">
        <f aca="false">G72-G82</f>
        <v>39.16329888</v>
      </c>
    </row>
    <row r="84" customFormat="false" ht="15" hidden="false" customHeight="false" outlineLevel="0" collapsed="false">
      <c r="A84" s="19" t="s">
        <v>347</v>
      </c>
      <c r="B84" s="12" t="s">
        <v>91</v>
      </c>
      <c r="D84" s="15" t="n">
        <f aca="false">D62*D49</f>
        <v>38.8</v>
      </c>
      <c r="E84" s="15" t="n">
        <f aca="false">E62*E49</f>
        <v>49.4312</v>
      </c>
      <c r="F84" s="15" t="n">
        <f aca="false">F62*F49</f>
        <v>56.84588</v>
      </c>
      <c r="G84" s="15" t="n">
        <f aca="false">G62*G49</f>
        <v>61.3935504</v>
      </c>
    </row>
    <row r="85" customFormat="false" ht="15" hidden="false" customHeight="false" outlineLevel="0" collapsed="false">
      <c r="A85" s="19" t="s">
        <v>348</v>
      </c>
      <c r="B85" s="12" t="s">
        <v>91</v>
      </c>
      <c r="D85" s="15" t="n">
        <f aca="false">D62-D84</f>
        <v>13.9</v>
      </c>
      <c r="E85" s="15" t="n">
        <f aca="false">E62-E84</f>
        <v>18.2229</v>
      </c>
      <c r="F85" s="15" t="n">
        <f aca="false">F62-F84</f>
        <v>20.8652205</v>
      </c>
      <c r="G85" s="15" t="n">
        <f aca="false">G62-G84</f>
        <v>22.53443814</v>
      </c>
    </row>
    <row r="86" customFormat="false" ht="15" hidden="false" customHeight="false" outlineLevel="0" collapsed="false">
      <c r="A86" s="20" t="s">
        <v>349</v>
      </c>
      <c r="B86" s="12" t="s">
        <v>91</v>
      </c>
      <c r="D86" s="15" t="n">
        <f aca="false">D47</f>
        <v>13.2</v>
      </c>
      <c r="E86" s="15" t="n">
        <f aca="false">E47</f>
        <v>15.4981</v>
      </c>
      <c r="F86" s="15" t="n">
        <f aca="false">F47</f>
        <v>17.6261497</v>
      </c>
      <c r="G86" s="15" t="n">
        <f aca="false">G47</f>
        <v>19.036241676</v>
      </c>
    </row>
    <row r="87" customFormat="false" ht="15" hidden="false" customHeight="false" outlineLevel="0" collapsed="false">
      <c r="A87" s="20" t="s">
        <v>350</v>
      </c>
      <c r="B87" s="12" t="s">
        <v>91</v>
      </c>
      <c r="D87" s="15" t="n">
        <f aca="false">D79*pkg_adv</f>
        <v>3.35</v>
      </c>
      <c r="E87" s="15" t="n">
        <f aca="false">E79*pkg_adv</f>
        <v>3.79539194286967</v>
      </c>
      <c r="F87" s="15" t="n">
        <f aca="false">F79*pkg_adv</f>
        <v>4.3</v>
      </c>
      <c r="G87" s="15" t="n">
        <f aca="false">G79*pkg_adv</f>
        <v>4.644</v>
      </c>
    </row>
    <row r="88" customFormat="false" ht="15" hidden="false" customHeight="false" outlineLevel="0" collapsed="false">
      <c r="A88" s="20" t="s">
        <v>351</v>
      </c>
      <c r="B88" s="12" t="s">
        <v>91</v>
      </c>
      <c r="D88" s="15" t="n">
        <f aca="false">D78+D79-D87</f>
        <v>18.65</v>
      </c>
      <c r="E88" s="15" t="n">
        <f aca="false">E78+E79-E87</f>
        <v>21.6346744396519</v>
      </c>
      <c r="F88" s="15" t="n">
        <f aca="false">F78+F79-F87</f>
        <v>25.1</v>
      </c>
      <c r="G88" s="15" t="n">
        <f aca="false">G78+G79-G87</f>
        <v>27.108</v>
      </c>
    </row>
    <row r="89" customFormat="false" ht="15" hidden="false" customHeight="false" outlineLevel="0" collapsed="false">
      <c r="A89" s="20" t="s">
        <v>352</v>
      </c>
      <c r="B89" s="12" t="s">
        <v>91</v>
      </c>
      <c r="C89" s="15" t="n">
        <f aca="false">C44</f>
        <v>116.896831844029</v>
      </c>
      <c r="D89" s="15" t="n">
        <f aca="false">SUM(D82:D86)</f>
        <v>143.9</v>
      </c>
      <c r="E89" s="15" t="n">
        <f aca="false">SUM(E82:E86)</f>
        <v>175.2702</v>
      </c>
      <c r="F89" s="15" t="n">
        <f aca="false">SUM(F82:F86)</f>
        <v>199.9832982</v>
      </c>
      <c r="G89" s="15" t="n">
        <f aca="false">SUM(G82:G86)</f>
        <v>215.981962056</v>
      </c>
      <c r="H89" s="12" t="s">
        <v>353</v>
      </c>
    </row>
    <row r="90" customFormat="false" ht="15" hidden="false" customHeight="false" outlineLevel="0" collapsed="false">
      <c r="A90" s="20" t="s">
        <v>354</v>
      </c>
      <c r="B90" s="12" t="s">
        <v>91</v>
      </c>
      <c r="C90" s="15" t="n">
        <f aca="false">C78+C79</f>
        <v>17.7925279991085</v>
      </c>
      <c r="D90" s="15" t="n">
        <f aca="false">D87+D88</f>
        <v>22</v>
      </c>
      <c r="E90" s="15" t="n">
        <f aca="false">E87+E88</f>
        <v>25.4300663825215</v>
      </c>
      <c r="F90" s="15" t="n">
        <f aca="false">F87+F88</f>
        <v>29.4</v>
      </c>
      <c r="G90" s="15" t="n">
        <f aca="false">G87+G88</f>
        <v>31.752</v>
      </c>
    </row>
    <row r="91" customFormat="false" ht="15" hidden="false" customHeight="false" outlineLevel="0" collapsed="false">
      <c r="A91" s="7" t="s">
        <v>355</v>
      </c>
      <c r="B91" s="12" t="s">
        <v>91</v>
      </c>
      <c r="C91" s="15" t="n">
        <f aca="false">C89+C90</f>
        <v>134.689359843138</v>
      </c>
      <c r="D91" s="15" t="n">
        <f aca="false">D89+D90</f>
        <v>165.9</v>
      </c>
      <c r="E91" s="15" t="n">
        <f aca="false">E89+E90</f>
        <v>200.700266382522</v>
      </c>
      <c r="F91" s="15" t="n">
        <f aca="false">F89+F90</f>
        <v>229.3832982</v>
      </c>
      <c r="G91" s="15" t="n">
        <f aca="false">G89+G90</f>
        <v>247.733962056</v>
      </c>
    </row>
    <row r="92" customFormat="false" ht="15" hidden="false" customHeight="false" outlineLevel="0" collapsed="false">
      <c r="A92" s="20" t="s">
        <v>289</v>
      </c>
      <c r="B92" s="12" t="s">
        <v>141</v>
      </c>
      <c r="D92" s="16" t="n">
        <f aca="false">D91/C91-1</f>
        <v>0.231723130863573</v>
      </c>
      <c r="E92" s="16" t="n">
        <f aca="false">E91/D91-1</f>
        <v>0.209766524306942</v>
      </c>
      <c r="F92" s="16" t="n">
        <f aca="false">F91/E91-1</f>
        <v>0.142914767052728</v>
      </c>
      <c r="G92" s="16" t="n">
        <f aca="false">G91/F91-1</f>
        <v>0.0800000000000001</v>
      </c>
      <c r="H92" s="12" t="s">
        <v>356</v>
      </c>
    </row>
    <row r="93" customFormat="false" ht="15" hidden="false" customHeight="false" outlineLevel="0" collapsed="false">
      <c r="A93" s="20" t="s">
        <v>357</v>
      </c>
      <c r="B93" s="12" t="s">
        <v>141</v>
      </c>
      <c r="D93" s="16" t="n">
        <f aca="false">D89/C89-1</f>
        <v>0.231</v>
      </c>
      <c r="E93" s="16" t="n">
        <f aca="false">E89/D89-1</f>
        <v>0.218</v>
      </c>
      <c r="F93" s="16" t="n">
        <f aca="false">F89/E89-1</f>
        <v>0.141</v>
      </c>
      <c r="G93" s="16" t="n">
        <f aca="false">G89/F89-1</f>
        <v>0.0800000000000001</v>
      </c>
    </row>
    <row r="94" customFormat="false" ht="15" hidden="false" customHeight="false" outlineLevel="0" collapsed="false">
      <c r="A94" s="9" t="s">
        <v>358</v>
      </c>
      <c r="B94" s="12" t="s">
        <v>91</v>
      </c>
      <c r="D94" s="15" t="n">
        <f aca="false">D82+D84+D87</f>
        <v>91.41</v>
      </c>
      <c r="E94" s="15" t="n">
        <f aca="false">E82+E84+E87</f>
        <v>113.21609194287</v>
      </c>
      <c r="F94" s="15" t="n">
        <f aca="false">F82+F84+F87</f>
        <v>130.507392</v>
      </c>
      <c r="G94" s="15" t="n">
        <f aca="false">G82+G84+G87</f>
        <v>139.89198336</v>
      </c>
    </row>
    <row r="95" customFormat="false" ht="15" hidden="false" customHeight="false" outlineLevel="0" collapsed="false">
      <c r="A95" s="19" t="s">
        <v>359</v>
      </c>
      <c r="B95" s="12" t="s">
        <v>141</v>
      </c>
      <c r="D95" s="16" t="n">
        <f aca="false">D94/D91</f>
        <v>0.550994575045208</v>
      </c>
      <c r="E95" s="16" t="n">
        <f aca="false">E94/E91</f>
        <v>0.564105339686432</v>
      </c>
      <c r="F95" s="16" t="n">
        <f aca="false">F94/F91</f>
        <v>0.56894897328667</v>
      </c>
      <c r="G95" s="16" t="n">
        <f aca="false">G94/G91</f>
        <v>0.564686336096209</v>
      </c>
    </row>
    <row r="96" customFormat="false" ht="15" hidden="false" customHeight="false" outlineLevel="0" collapsed="false">
      <c r="A96" s="19" t="s">
        <v>360</v>
      </c>
      <c r="B96" s="12" t="s">
        <v>141</v>
      </c>
      <c r="E96" s="17" t="n">
        <f aca="false">IF(ABS(E91-D91)&lt;0.05,"n/a",(E94-D94)/(E91-D91))</f>
        <v>0.626607040968565</v>
      </c>
      <c r="F96" s="17" t="n">
        <f aca="false">IF(ABS(F91-D91)&lt;0.05,"n/a",(F94-D94)/(F91-D91))</f>
        <v>0.615868946771263</v>
      </c>
      <c r="G96" s="17" t="n">
        <f aca="false">IF(ABS(G91-D91)&lt;0.05,"n/a",(G94-D94)/(G91-D91))</f>
        <v>0.592443310111555</v>
      </c>
      <c r="H96" s="8" t="s">
        <v>361</v>
      </c>
    </row>
    <row r="97" customFormat="false" ht="15" hidden="false" customHeight="false" outlineLevel="0" collapsed="false">
      <c r="A97" s="19" t="s">
        <v>362</v>
      </c>
      <c r="B97" s="12" t="s">
        <v>141</v>
      </c>
      <c r="E97" s="17" t="n">
        <f aca="false">IF(ABS(E91-D91)&lt;0.05,"n/a",(E94-D94)/(E91-D91))</f>
        <v>0.626607040968565</v>
      </c>
      <c r="F97" s="17" t="n">
        <f aca="false">IF(ABS(F91-E91)&lt;0.05,"n/a",(F94-E94)/(F91-E91))</f>
        <v>0.602840737588752</v>
      </c>
      <c r="G97" s="17" t="n">
        <f aca="false">IF(ABS(G91-F91)&lt;0.05,"n/a",(G94-F94)/(G91-F91))</f>
        <v>0.511403371215454</v>
      </c>
      <c r="H97" s="8" t="s">
        <v>363</v>
      </c>
    </row>
    <row r="98" customFormat="false" ht="15" hidden="false" customHeight="false" outlineLevel="0" collapsed="false">
      <c r="A98" s="20" t="s">
        <v>364</v>
      </c>
      <c r="B98" s="8" t="s">
        <v>365</v>
      </c>
      <c r="C98" s="18" t="n">
        <f aca="false">IF(ROUND(G91,9)=ROUND(MAX(C91:G91),9),2029,IF(ROUND(F91,9)=ROUND(MAX(C91:G91),9),2028,IF(ROUND(E91,9)=ROUND(MAX(C91:G91),9),2027,IF(ROUND(D91,9)=ROUND(MAX(C91:G91),9),2026,2025))))</f>
        <v>2029</v>
      </c>
      <c r="H98" s="8" t="s">
        <v>366</v>
      </c>
    </row>
    <row r="100" customFormat="false" ht="15" hidden="false" customHeight="false" outlineLevel="0" collapsed="false">
      <c r="A100" s="9" t="s">
        <v>367</v>
      </c>
    </row>
    <row r="101" customFormat="false" ht="15" hidden="false" customHeight="false" outlineLevel="0" collapsed="false">
      <c r="A101" s="20" t="s">
        <v>345</v>
      </c>
      <c r="B101" s="12" t="s">
        <v>91</v>
      </c>
      <c r="D101" s="15" t="n">
        <f aca="false">D82</f>
        <v>49.26</v>
      </c>
      <c r="E101" s="15" t="n">
        <f aca="false">E82</f>
        <v>59.9895</v>
      </c>
      <c r="F101" s="15" t="n">
        <f aca="false">E101*ck_B_28</f>
        <v>59.9895</v>
      </c>
      <c r="G101" s="15" t="n">
        <f aca="false">F101*ck_B_29</f>
        <v>56.990025</v>
      </c>
    </row>
    <row r="102" customFormat="false" ht="15" hidden="false" customHeight="false" outlineLevel="0" collapsed="false">
      <c r="A102" s="20" t="s">
        <v>346</v>
      </c>
      <c r="B102" s="12" t="s">
        <v>91</v>
      </c>
      <c r="D102" s="15" t="n">
        <f aca="false">D83</f>
        <v>28.74</v>
      </c>
      <c r="E102" s="15" t="n">
        <f aca="false">E83</f>
        <v>32.1285</v>
      </c>
      <c r="F102" s="15" t="n">
        <f aca="false">E102*ck_B_28</f>
        <v>32.1285</v>
      </c>
      <c r="G102" s="15" t="n">
        <f aca="false">F102*ck_B_29</f>
        <v>30.522075</v>
      </c>
    </row>
    <row r="103" customFormat="false" ht="15" hidden="false" customHeight="false" outlineLevel="0" collapsed="false">
      <c r="A103" s="19" t="s">
        <v>347</v>
      </c>
      <c r="B103" s="12" t="s">
        <v>91</v>
      </c>
      <c r="D103" s="15" t="n">
        <f aca="false">D84</f>
        <v>38.8</v>
      </c>
      <c r="E103" s="15" t="n">
        <f aca="false">E84</f>
        <v>49.4312</v>
      </c>
      <c r="F103" s="15" t="n">
        <f aca="false">E103*ck_B_28</f>
        <v>49.4312</v>
      </c>
      <c r="G103" s="15" t="n">
        <f aca="false">F103*ck_B_29</f>
        <v>46.95964</v>
      </c>
    </row>
    <row r="104" customFormat="false" ht="15" hidden="false" customHeight="false" outlineLevel="0" collapsed="false">
      <c r="A104" s="19" t="s">
        <v>348</v>
      </c>
      <c r="B104" s="12" t="s">
        <v>91</v>
      </c>
      <c r="D104" s="15" t="n">
        <f aca="false">D85</f>
        <v>13.9</v>
      </c>
      <c r="E104" s="15" t="n">
        <f aca="false">E85</f>
        <v>18.2229</v>
      </c>
      <c r="F104" s="15" t="n">
        <f aca="false">E104*ck_B_28</f>
        <v>18.2229</v>
      </c>
      <c r="G104" s="15" t="n">
        <f aca="false">F104*ck_B_29</f>
        <v>17.311755</v>
      </c>
    </row>
    <row r="105" customFormat="false" ht="15" hidden="false" customHeight="false" outlineLevel="0" collapsed="false">
      <c r="A105" s="20" t="s">
        <v>349</v>
      </c>
      <c r="B105" s="12" t="s">
        <v>91</v>
      </c>
      <c r="D105" s="15" t="n">
        <f aca="false">D86</f>
        <v>13.2</v>
      </c>
      <c r="E105" s="15" t="n">
        <f aca="false">E86</f>
        <v>15.4981</v>
      </c>
      <c r="F105" s="15" t="n">
        <f aca="false">E105*ck_B_28</f>
        <v>15.4981</v>
      </c>
      <c r="G105" s="15" t="n">
        <f aca="false">F105*ck_B_29</f>
        <v>14.723195</v>
      </c>
    </row>
    <row r="106" customFormat="false" ht="15" hidden="false" customHeight="false" outlineLevel="0" collapsed="false">
      <c r="A106" s="20" t="s">
        <v>350</v>
      </c>
      <c r="B106" s="12" t="s">
        <v>91</v>
      </c>
      <c r="D106" s="15" t="n">
        <f aca="false">D87</f>
        <v>3.35</v>
      </c>
      <c r="E106" s="15" t="n">
        <f aca="false">E87</f>
        <v>3.79539194286967</v>
      </c>
      <c r="F106" s="15" t="n">
        <f aca="false">E106*ck_B_28</f>
        <v>3.79539194286967</v>
      </c>
      <c r="G106" s="15" t="n">
        <f aca="false">F106*ck_B_29</f>
        <v>3.60562234572619</v>
      </c>
    </row>
    <row r="107" customFormat="false" ht="15" hidden="false" customHeight="false" outlineLevel="0" collapsed="false">
      <c r="A107" s="20" t="s">
        <v>351</v>
      </c>
      <c r="B107" s="12" t="s">
        <v>91</v>
      </c>
      <c r="D107" s="15" t="n">
        <f aca="false">D88</f>
        <v>18.65</v>
      </c>
      <c r="E107" s="15" t="n">
        <f aca="false">E88</f>
        <v>21.6346744396519</v>
      </c>
      <c r="F107" s="15" t="n">
        <f aca="false">E107*ck_B_28</f>
        <v>21.6346744396519</v>
      </c>
      <c r="G107" s="15" t="n">
        <f aca="false">F107*ck_B_29</f>
        <v>20.5529407176693</v>
      </c>
    </row>
    <row r="108" customFormat="false" ht="15" hidden="false" customHeight="false" outlineLevel="0" collapsed="false">
      <c r="A108" s="20" t="s">
        <v>352</v>
      </c>
      <c r="B108" s="12" t="s">
        <v>91</v>
      </c>
      <c r="C108" s="15" t="n">
        <f aca="false">C44</f>
        <v>116.896831844029</v>
      </c>
      <c r="D108" s="15" t="n">
        <f aca="false">SUM(D101:D105)</f>
        <v>143.9</v>
      </c>
      <c r="E108" s="15" t="n">
        <f aca="false">SUM(E101:E105)</f>
        <v>175.2702</v>
      </c>
      <c r="F108" s="15" t="n">
        <f aca="false">SUM(F101:F105)</f>
        <v>175.2702</v>
      </c>
      <c r="G108" s="15" t="n">
        <f aca="false">SUM(G101:G105)</f>
        <v>166.50669</v>
      </c>
      <c r="H108" s="12" t="s">
        <v>353</v>
      </c>
    </row>
    <row r="109" customFormat="false" ht="15" hidden="false" customHeight="false" outlineLevel="0" collapsed="false">
      <c r="A109" s="20" t="s">
        <v>354</v>
      </c>
      <c r="B109" s="12" t="s">
        <v>91</v>
      </c>
      <c r="C109" s="15" t="n">
        <f aca="false">C78+C79</f>
        <v>17.7925279991085</v>
      </c>
      <c r="D109" s="15" t="n">
        <f aca="false">D106+D107</f>
        <v>22</v>
      </c>
      <c r="E109" s="15" t="n">
        <f aca="false">E106+E107</f>
        <v>25.4300663825215</v>
      </c>
      <c r="F109" s="15" t="n">
        <f aca="false">F106+F107</f>
        <v>25.4300663825215</v>
      </c>
      <c r="G109" s="15" t="n">
        <f aca="false">G106+G107</f>
        <v>24.1585630633955</v>
      </c>
    </row>
    <row r="110" customFormat="false" ht="15" hidden="false" customHeight="false" outlineLevel="0" collapsed="false">
      <c r="A110" s="7" t="s">
        <v>368</v>
      </c>
      <c r="B110" s="12" t="s">
        <v>91</v>
      </c>
      <c r="C110" s="15" t="n">
        <f aca="false">C108+C109</f>
        <v>134.689359843138</v>
      </c>
      <c r="D110" s="15" t="n">
        <f aca="false">D108+D109</f>
        <v>165.9</v>
      </c>
      <c r="E110" s="15" t="n">
        <f aca="false">E108+E109</f>
        <v>200.700266382522</v>
      </c>
      <c r="F110" s="15" t="n">
        <f aca="false">F108+F109</f>
        <v>200.700266382522</v>
      </c>
      <c r="G110" s="15" t="n">
        <f aca="false">G108+G109</f>
        <v>190.665253063395</v>
      </c>
    </row>
    <row r="111" customFormat="false" ht="15" hidden="false" customHeight="false" outlineLevel="0" collapsed="false">
      <c r="A111" s="20" t="s">
        <v>289</v>
      </c>
      <c r="B111" s="12" t="s">
        <v>141</v>
      </c>
      <c r="D111" s="16" t="n">
        <f aca="false">D110/C110-1</f>
        <v>0.231723130863573</v>
      </c>
      <c r="E111" s="16" t="n">
        <f aca="false">E110/D110-1</f>
        <v>0.209766524306942</v>
      </c>
      <c r="F111" s="16" t="n">
        <f aca="false">F110/E110-1</f>
        <v>0</v>
      </c>
      <c r="G111" s="16" t="n">
        <f aca="false">G110/F110-1</f>
        <v>-0.0500000000000003</v>
      </c>
      <c r="H111" s="12" t="s">
        <v>356</v>
      </c>
    </row>
    <row r="112" customFormat="false" ht="15" hidden="false" customHeight="false" outlineLevel="0" collapsed="false">
      <c r="A112" s="20" t="s">
        <v>357</v>
      </c>
      <c r="B112" s="12" t="s">
        <v>141</v>
      </c>
      <c r="D112" s="16" t="n">
        <f aca="false">D108/C108-1</f>
        <v>0.231</v>
      </c>
      <c r="E112" s="16" t="n">
        <f aca="false">E108/D108-1</f>
        <v>0.218</v>
      </c>
      <c r="F112" s="16" t="n">
        <f aca="false">F108/E108-1</f>
        <v>0</v>
      </c>
      <c r="G112" s="16" t="n">
        <f aca="false">G108/F108-1</f>
        <v>-0.0500000000000003</v>
      </c>
    </row>
    <row r="113" customFormat="false" ht="15" hidden="false" customHeight="false" outlineLevel="0" collapsed="false">
      <c r="A113" s="9" t="s">
        <v>358</v>
      </c>
      <c r="B113" s="12" t="s">
        <v>91</v>
      </c>
      <c r="D113" s="15" t="n">
        <f aca="false">D101+D103+D106</f>
        <v>91.41</v>
      </c>
      <c r="E113" s="15" t="n">
        <f aca="false">E101+E103+E106</f>
        <v>113.21609194287</v>
      </c>
      <c r="F113" s="15" t="n">
        <f aca="false">F101+F103+F106</f>
        <v>113.21609194287</v>
      </c>
      <c r="G113" s="15" t="n">
        <f aca="false">G101+G103+G106</f>
        <v>107.555287345726</v>
      </c>
    </row>
    <row r="114" customFormat="false" ht="15" hidden="false" customHeight="false" outlineLevel="0" collapsed="false">
      <c r="A114" s="19" t="s">
        <v>359</v>
      </c>
      <c r="B114" s="12" t="s">
        <v>141</v>
      </c>
      <c r="D114" s="16" t="n">
        <f aca="false">D113/D110</f>
        <v>0.550994575045208</v>
      </c>
      <c r="E114" s="16" t="n">
        <f aca="false">E113/E110</f>
        <v>0.564105339686432</v>
      </c>
      <c r="F114" s="16" t="n">
        <f aca="false">F113/F110</f>
        <v>0.564105339686432</v>
      </c>
      <c r="G114" s="16" t="n">
        <f aca="false">G113/G110</f>
        <v>0.564105339686432</v>
      </c>
    </row>
    <row r="115" customFormat="false" ht="15" hidden="false" customHeight="false" outlineLevel="0" collapsed="false">
      <c r="A115" s="19" t="s">
        <v>360</v>
      </c>
      <c r="B115" s="12" t="s">
        <v>141</v>
      </c>
      <c r="E115" s="17" t="n">
        <f aca="false">IF(ABS(E110-D110)&lt;0.05,"n/a",(E113-D113)/(E110-D110))</f>
        <v>0.626607040968565</v>
      </c>
      <c r="F115" s="17" t="n">
        <f aca="false">IF(ABS(F110-D110)&lt;0.05,"n/a",(F113-D113)/(F110-D110))</f>
        <v>0.626607040968565</v>
      </c>
      <c r="G115" s="17" t="n">
        <f aca="false">IF(ABS(G110-D110)&lt;0.05,"n/a",(G113-D113)/(G110-D110))</f>
        <v>0.651933065428268</v>
      </c>
      <c r="H115" s="8" t="s">
        <v>361</v>
      </c>
    </row>
    <row r="116" customFormat="false" ht="15" hidden="false" customHeight="false" outlineLevel="0" collapsed="false">
      <c r="A116" s="19" t="s">
        <v>362</v>
      </c>
      <c r="B116" s="12" t="s">
        <v>141</v>
      </c>
      <c r="E116" s="17" t="n">
        <f aca="false">IF(ABS(E110-D110)&lt;0.05,"n/a",(E113-D113)/(E110-D110))</f>
        <v>0.626607040968565</v>
      </c>
      <c r="F116" s="17" t="str">
        <f aca="false">IF(ABS(F110-E110)&lt;0.05,"n/a",(F113-E113)/(F110-E110))</f>
        <v>n/a</v>
      </c>
      <c r="G116" s="17" t="n">
        <f aca="false">IF(ABS(G110-F110)&lt;0.05,"n/a",(G113-F113)/(G110-F110))</f>
        <v>0.56410533968643</v>
      </c>
      <c r="H116" s="8" t="s">
        <v>363</v>
      </c>
    </row>
    <row r="117" customFormat="false" ht="15" hidden="false" customHeight="false" outlineLevel="0" collapsed="false">
      <c r="A117" s="20" t="s">
        <v>364</v>
      </c>
      <c r="B117" s="8" t="s">
        <v>365</v>
      </c>
      <c r="C117" s="18" t="n">
        <f aca="false">IF(ROUND(G110,9)=ROUND(MAX(C110:G110),9),2029,IF(ROUND(F110,9)=ROUND(MAX(C110:G110),9),2028,IF(ROUND(E110,9)=ROUND(MAX(C110:G110),9),2027,IF(ROUND(D110,9)=ROUND(MAX(C110:G110),9),2026,2025))))</f>
        <v>2028</v>
      </c>
      <c r="H117" s="8" t="s">
        <v>366</v>
      </c>
    </row>
    <row r="119" customFormat="false" ht="15" hidden="false" customHeight="false" outlineLevel="0" collapsed="false">
      <c r="A119" s="9" t="s">
        <v>369</v>
      </c>
    </row>
    <row r="120" customFormat="false" ht="15" hidden="false" customHeight="false" outlineLevel="0" collapsed="false">
      <c r="A120" s="20" t="s">
        <v>345</v>
      </c>
      <c r="B120" s="12" t="s">
        <v>91</v>
      </c>
      <c r="D120" s="15" t="n">
        <f aca="false">D82</f>
        <v>49.26</v>
      </c>
      <c r="E120" s="15" t="n">
        <f aca="false">E82</f>
        <v>59.9895</v>
      </c>
      <c r="F120" s="15" t="n">
        <f aca="false">E120*ck_C_28</f>
        <v>47.9916</v>
      </c>
      <c r="G120" s="15" t="n">
        <f aca="false">F120*ck_C_29</f>
        <v>47.9916</v>
      </c>
    </row>
    <row r="121" customFormat="false" ht="15" hidden="false" customHeight="false" outlineLevel="0" collapsed="false">
      <c r="A121" s="20" t="s">
        <v>346</v>
      </c>
      <c r="B121" s="12" t="s">
        <v>91</v>
      </c>
      <c r="D121" s="15" t="n">
        <f aca="false">D83</f>
        <v>28.74</v>
      </c>
      <c r="E121" s="15" t="n">
        <f aca="false">E83</f>
        <v>32.1285</v>
      </c>
      <c r="F121" s="15" t="n">
        <f aca="false">E121*ck_C_28</f>
        <v>25.7028</v>
      </c>
      <c r="G121" s="15" t="n">
        <f aca="false">F121*ck_C_29</f>
        <v>25.7028</v>
      </c>
    </row>
    <row r="122" customFormat="false" ht="15" hidden="false" customHeight="false" outlineLevel="0" collapsed="false">
      <c r="A122" s="19" t="s">
        <v>347</v>
      </c>
      <c r="B122" s="12" t="s">
        <v>91</v>
      </c>
      <c r="D122" s="15" t="n">
        <f aca="false">D84</f>
        <v>38.8</v>
      </c>
      <c r="E122" s="15" t="n">
        <f aca="false">E84</f>
        <v>49.4312</v>
      </c>
      <c r="F122" s="15" t="n">
        <f aca="false">E122*ck_C_28</f>
        <v>39.54496</v>
      </c>
      <c r="G122" s="15" t="n">
        <f aca="false">F122*ck_C_29</f>
        <v>39.54496</v>
      </c>
    </row>
    <row r="123" customFormat="false" ht="15" hidden="false" customHeight="false" outlineLevel="0" collapsed="false">
      <c r="A123" s="19" t="s">
        <v>348</v>
      </c>
      <c r="B123" s="12" t="s">
        <v>91</v>
      </c>
      <c r="D123" s="15" t="n">
        <f aca="false">D85</f>
        <v>13.9</v>
      </c>
      <c r="E123" s="15" t="n">
        <f aca="false">E85</f>
        <v>18.2229</v>
      </c>
      <c r="F123" s="15" t="n">
        <f aca="false">E123*ck_C_28</f>
        <v>14.57832</v>
      </c>
      <c r="G123" s="15" t="n">
        <f aca="false">F123*ck_C_29</f>
        <v>14.57832</v>
      </c>
    </row>
    <row r="124" customFormat="false" ht="15" hidden="false" customHeight="false" outlineLevel="0" collapsed="false">
      <c r="A124" s="20" t="s">
        <v>349</v>
      </c>
      <c r="B124" s="12" t="s">
        <v>91</v>
      </c>
      <c r="D124" s="15" t="n">
        <f aca="false">D86</f>
        <v>13.2</v>
      </c>
      <c r="E124" s="15" t="n">
        <f aca="false">E86</f>
        <v>15.4981</v>
      </c>
      <c r="F124" s="15" t="n">
        <f aca="false">E124*ck_C_28</f>
        <v>12.39848</v>
      </c>
      <c r="G124" s="15" t="n">
        <f aca="false">F124*ck_C_29</f>
        <v>12.39848</v>
      </c>
    </row>
    <row r="125" customFormat="false" ht="15" hidden="false" customHeight="false" outlineLevel="0" collapsed="false">
      <c r="A125" s="20" t="s">
        <v>350</v>
      </c>
      <c r="B125" s="12" t="s">
        <v>91</v>
      </c>
      <c r="D125" s="15" t="n">
        <f aca="false">D87</f>
        <v>3.35</v>
      </c>
      <c r="E125" s="15" t="n">
        <f aca="false">E87</f>
        <v>3.79539194286967</v>
      </c>
      <c r="F125" s="15" t="n">
        <f aca="false">E125*ck_C_28</f>
        <v>3.03631355429574</v>
      </c>
      <c r="G125" s="15" t="n">
        <f aca="false">F125*ck_C_29</f>
        <v>3.03631355429574</v>
      </c>
    </row>
    <row r="126" customFormat="false" ht="15" hidden="false" customHeight="false" outlineLevel="0" collapsed="false">
      <c r="A126" s="20" t="s">
        <v>351</v>
      </c>
      <c r="B126" s="12" t="s">
        <v>91</v>
      </c>
      <c r="D126" s="15" t="n">
        <f aca="false">D88</f>
        <v>18.65</v>
      </c>
      <c r="E126" s="15" t="n">
        <f aca="false">E88</f>
        <v>21.6346744396519</v>
      </c>
      <c r="F126" s="15" t="n">
        <f aca="false">E126*ck_C_28</f>
        <v>17.3077395517215</v>
      </c>
      <c r="G126" s="15" t="n">
        <f aca="false">F126*ck_C_29</f>
        <v>17.3077395517215</v>
      </c>
    </row>
    <row r="127" customFormat="false" ht="15" hidden="false" customHeight="false" outlineLevel="0" collapsed="false">
      <c r="A127" s="20" t="s">
        <v>352</v>
      </c>
      <c r="B127" s="12" t="s">
        <v>91</v>
      </c>
      <c r="C127" s="15" t="n">
        <f aca="false">C44</f>
        <v>116.896831844029</v>
      </c>
      <c r="D127" s="15" t="n">
        <f aca="false">SUM(D120:D124)</f>
        <v>143.9</v>
      </c>
      <c r="E127" s="15" t="n">
        <f aca="false">SUM(E120:E124)</f>
        <v>175.2702</v>
      </c>
      <c r="F127" s="15" t="n">
        <f aca="false">SUM(F120:F124)</f>
        <v>140.21616</v>
      </c>
      <c r="G127" s="15" t="n">
        <f aca="false">SUM(G120:G124)</f>
        <v>140.21616</v>
      </c>
      <c r="H127" s="12" t="s">
        <v>353</v>
      </c>
    </row>
    <row r="128" customFormat="false" ht="15" hidden="false" customHeight="false" outlineLevel="0" collapsed="false">
      <c r="A128" s="20" t="s">
        <v>354</v>
      </c>
      <c r="B128" s="12" t="s">
        <v>91</v>
      </c>
      <c r="C128" s="15" t="n">
        <f aca="false">C78+C79</f>
        <v>17.7925279991085</v>
      </c>
      <c r="D128" s="15" t="n">
        <f aca="false">D125+D126</f>
        <v>22</v>
      </c>
      <c r="E128" s="15" t="n">
        <f aca="false">E125+E126</f>
        <v>25.4300663825215</v>
      </c>
      <c r="F128" s="15" t="n">
        <f aca="false">F125+F126</f>
        <v>20.3440531060172</v>
      </c>
      <c r="G128" s="15" t="n">
        <f aca="false">G125+G126</f>
        <v>20.3440531060172</v>
      </c>
    </row>
    <row r="129" customFormat="false" ht="15" hidden="false" customHeight="false" outlineLevel="0" collapsed="false">
      <c r="A129" s="7" t="s">
        <v>370</v>
      </c>
      <c r="B129" s="12" t="s">
        <v>91</v>
      </c>
      <c r="C129" s="15" t="n">
        <f aca="false">C127+C128</f>
        <v>134.689359843138</v>
      </c>
      <c r="D129" s="15" t="n">
        <f aca="false">D127+D128</f>
        <v>165.9</v>
      </c>
      <c r="E129" s="15" t="n">
        <f aca="false">E127+E128</f>
        <v>200.700266382522</v>
      </c>
      <c r="F129" s="15" t="n">
        <f aca="false">F127+F128</f>
        <v>160.560213106017</v>
      </c>
      <c r="G129" s="15" t="n">
        <f aca="false">G127+G128</f>
        <v>160.560213106017</v>
      </c>
    </row>
    <row r="130" customFormat="false" ht="15" hidden="false" customHeight="false" outlineLevel="0" collapsed="false">
      <c r="A130" s="20" t="s">
        <v>289</v>
      </c>
      <c r="B130" s="12" t="s">
        <v>141</v>
      </c>
      <c r="D130" s="16" t="n">
        <f aca="false">D129/C129-1</f>
        <v>0.231723130863573</v>
      </c>
      <c r="E130" s="16" t="n">
        <f aca="false">E129/D129-1</f>
        <v>0.209766524306942</v>
      </c>
      <c r="F130" s="16" t="n">
        <f aca="false">F129/E129-1</f>
        <v>-0.2</v>
      </c>
      <c r="G130" s="16" t="n">
        <f aca="false">G129/F129-1</f>
        <v>0</v>
      </c>
      <c r="H130" s="12" t="s">
        <v>356</v>
      </c>
    </row>
    <row r="131" customFormat="false" ht="15" hidden="false" customHeight="false" outlineLevel="0" collapsed="false">
      <c r="A131" s="20" t="s">
        <v>357</v>
      </c>
      <c r="B131" s="12" t="s">
        <v>141</v>
      </c>
      <c r="D131" s="16" t="n">
        <f aca="false">D127/C127-1</f>
        <v>0.231</v>
      </c>
      <c r="E131" s="16" t="n">
        <f aca="false">E127/D127-1</f>
        <v>0.218</v>
      </c>
      <c r="F131" s="16" t="n">
        <f aca="false">F127/E127-1</f>
        <v>-0.2</v>
      </c>
      <c r="G131" s="16" t="n">
        <f aca="false">G127/F127-1</f>
        <v>0</v>
      </c>
    </row>
    <row r="132" customFormat="false" ht="15" hidden="false" customHeight="false" outlineLevel="0" collapsed="false">
      <c r="A132" s="9" t="s">
        <v>358</v>
      </c>
      <c r="B132" s="12" t="s">
        <v>91</v>
      </c>
      <c r="D132" s="15" t="n">
        <f aca="false">D120+D122+D125</f>
        <v>91.41</v>
      </c>
      <c r="E132" s="15" t="n">
        <f aca="false">E120+E122+E125</f>
        <v>113.21609194287</v>
      </c>
      <c r="F132" s="15" t="n">
        <f aca="false">F120+F122+F125</f>
        <v>90.5728735542957</v>
      </c>
      <c r="G132" s="15" t="n">
        <f aca="false">G120+G122+G125</f>
        <v>90.5728735542957</v>
      </c>
    </row>
    <row r="133" customFormat="false" ht="15" hidden="false" customHeight="false" outlineLevel="0" collapsed="false">
      <c r="A133" s="19" t="s">
        <v>359</v>
      </c>
      <c r="B133" s="12" t="s">
        <v>141</v>
      </c>
      <c r="D133" s="16" t="n">
        <f aca="false">D132/D129</f>
        <v>0.550994575045208</v>
      </c>
      <c r="E133" s="16" t="n">
        <f aca="false">E132/E129</f>
        <v>0.564105339686432</v>
      </c>
      <c r="F133" s="16" t="n">
        <f aca="false">F132/F129</f>
        <v>0.564105339686432</v>
      </c>
      <c r="G133" s="16" t="n">
        <f aca="false">G132/G129</f>
        <v>0.564105339686432</v>
      </c>
    </row>
    <row r="134" customFormat="false" ht="15" hidden="false" customHeight="false" outlineLevel="0" collapsed="false">
      <c r="A134" s="19" t="s">
        <v>360</v>
      </c>
      <c r="B134" s="12" t="s">
        <v>141</v>
      </c>
      <c r="E134" s="17" t="n">
        <f aca="false">IF(ABS(E129-D129)&lt;0.05,"n/a",(E132-D132)/(E129-D129))</f>
        <v>0.626607040968565</v>
      </c>
      <c r="F134" s="17" t="n">
        <f aca="false">IF(ABS(F129-D129)&lt;0.05,"n/a",(F132-D132)/(F129-D129))</f>
        <v>0.156771508362552</v>
      </c>
      <c r="G134" s="17" t="n">
        <f aca="false">IF(ABS(G129-D129)&lt;0.05,"n/a",(G132-D132)/(G129-D129))</f>
        <v>0.156771508362552</v>
      </c>
      <c r="H134" s="8" t="s">
        <v>361</v>
      </c>
    </row>
    <row r="135" customFormat="false" ht="15" hidden="false" customHeight="false" outlineLevel="0" collapsed="false">
      <c r="A135" s="19" t="s">
        <v>362</v>
      </c>
      <c r="B135" s="12" t="s">
        <v>141</v>
      </c>
      <c r="E135" s="17" t="n">
        <f aca="false">IF(ABS(E129-D129)&lt;0.05,"n/a",(E132-D132)/(E129-D129))</f>
        <v>0.626607040968565</v>
      </c>
      <c r="F135" s="17" t="n">
        <f aca="false">IF(ABS(F129-E129)&lt;0.05,"n/a",(F132-E132)/(F129-E129))</f>
        <v>0.564105339686432</v>
      </c>
      <c r="G135" s="17" t="str">
        <f aca="false">IF(ABS(G129-F129)&lt;0.05,"n/a",(G132-F132)/(G129-F129))</f>
        <v>n/a</v>
      </c>
      <c r="H135" s="8" t="s">
        <v>363</v>
      </c>
    </row>
    <row r="136" customFormat="false" ht="15" hidden="false" customHeight="false" outlineLevel="0" collapsed="false">
      <c r="A136" s="20" t="s">
        <v>364</v>
      </c>
      <c r="B136" s="8" t="s">
        <v>365</v>
      </c>
      <c r="C136" s="18" t="n">
        <f aca="false">IF(ROUND(G129,9)=ROUND(MAX(C129:G129),9),2029,IF(ROUND(F129,9)=ROUND(MAX(C129:G129),9),2028,IF(ROUND(E129,9)=ROUND(MAX(C129:G129),9),2027,IF(ROUND(D129,9)=ROUND(MAX(C129:G129),9),2026,2025))))</f>
        <v>2027</v>
      </c>
      <c r="H136" s="8" t="s">
        <v>366</v>
      </c>
    </row>
    <row r="138" customFormat="false" ht="15" hidden="false" customHeight="false" outlineLevel="0" collapsed="false">
      <c r="A138" s="9" t="s">
        <v>371</v>
      </c>
    </row>
    <row r="139" customFormat="false" ht="15" hidden="false" customHeight="false" outlineLevel="0" collapsed="false">
      <c r="A139" s="19" t="s">
        <v>372</v>
      </c>
      <c r="B139" s="12" t="s">
        <v>91</v>
      </c>
      <c r="D139" s="21" t="n">
        <f aca="false">D48-s_tot_26</f>
        <v>0</v>
      </c>
      <c r="F139" s="21" t="n">
        <f aca="false">F48-s_tot_28</f>
        <v>-0.116701799999959</v>
      </c>
      <c r="H139" s="12" t="s">
        <v>373</v>
      </c>
    </row>
    <row r="140" customFormat="false" ht="15" hidden="false" customHeight="false" outlineLevel="0" collapsed="false">
      <c r="A140" s="20" t="s">
        <v>374</v>
      </c>
      <c r="B140" s="12" t="s">
        <v>91</v>
      </c>
      <c r="D140" s="22" t="n">
        <f aca="false">SUM(D82:D88)-D91</f>
        <v>0</v>
      </c>
      <c r="E140" s="22" t="n">
        <f aca="false">SUM(E82:E88)-E91</f>
        <v>0</v>
      </c>
      <c r="F140" s="22" t="n">
        <f aca="false">SUM(F82:F88)-F91</f>
        <v>0</v>
      </c>
      <c r="G140" s="22" t="n">
        <f aca="false">SUM(G82:G88)-G91</f>
        <v>0</v>
      </c>
    </row>
    <row r="141" customFormat="false" ht="15" hidden="false" customHeight="false" outlineLevel="0" collapsed="false">
      <c r="A141" s="19" t="s">
        <v>375</v>
      </c>
      <c r="B141" s="12" t="s">
        <v>91</v>
      </c>
      <c r="C141" s="22" t="n">
        <f aca="false">(C110-C91)+(C129-C91)</f>
        <v>0</v>
      </c>
      <c r="D141" s="22" t="n">
        <f aca="false">(D110-D91)+(D129-D91)</f>
        <v>0</v>
      </c>
      <c r="E141" s="22" t="n">
        <f aca="false">(E110-E91)+(E129-E91)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0" t="s">
        <v>376</v>
      </c>
    </row>
    <row r="3" customFormat="false" ht="15" hidden="false" customHeight="false" outlineLevel="0" collapsed="false">
      <c r="A3" s="4" t="s">
        <v>55</v>
      </c>
      <c r="B3" s="4" t="s">
        <v>377</v>
      </c>
      <c r="C3" s="4" t="s">
        <v>17</v>
      </c>
      <c r="D3" s="4" t="s">
        <v>378</v>
      </c>
      <c r="E3" s="4" t="s">
        <v>379</v>
      </c>
      <c r="F3" s="4" t="s">
        <v>380</v>
      </c>
      <c r="G3" s="4" t="s">
        <v>381</v>
      </c>
      <c r="H3" s="4" t="s">
        <v>382</v>
      </c>
      <c r="I3" s="4" t="s">
        <v>383</v>
      </c>
      <c r="J3" s="4" t="s">
        <v>384</v>
      </c>
      <c r="K3" s="23" t="s">
        <v>385</v>
      </c>
      <c r="L3" s="4" t="s">
        <v>386</v>
      </c>
    </row>
    <row r="4" customFormat="false" ht="15" hidden="false" customHeight="false" outlineLevel="0" collapsed="false">
      <c r="A4" s="8" t="s">
        <v>387</v>
      </c>
      <c r="B4" s="0" t="n">
        <v>2026</v>
      </c>
      <c r="C4" s="0" t="s">
        <v>388</v>
      </c>
      <c r="D4" s="15" t="n">
        <f aca="false">s_tot_26</f>
        <v>165.9</v>
      </c>
      <c r="E4" s="15" t="n">
        <f aca="false">Mkt!D91</f>
        <v>165.9</v>
      </c>
      <c r="F4" s="16" t="n">
        <f aca="false">E4/D4-1</f>
        <v>0</v>
      </c>
      <c r="G4" s="15" t="n">
        <f aca="false">Mkt!D110</f>
        <v>165.9</v>
      </c>
      <c r="H4" s="16" t="n">
        <f aca="false">G4/D4-1</f>
        <v>0</v>
      </c>
      <c r="I4" s="15" t="n">
        <f aca="false">Mkt!D129</f>
        <v>165.9</v>
      </c>
      <c r="J4" s="16" t="n">
        <f aca="false">I4/D4-1</f>
        <v>0</v>
      </c>
      <c r="K4" s="0" t="str">
        <f aca="false">IF(ABS(F4)&gt;rc_thr,"超過門檻","")</f>
        <v/>
      </c>
      <c r="L4" s="12" t="s">
        <v>389</v>
      </c>
    </row>
    <row r="5" customFormat="false" ht="15" hidden="false" customHeight="false" outlineLevel="0" collapsed="false">
      <c r="A5" s="8" t="s">
        <v>390</v>
      </c>
      <c r="B5" s="0" t="n">
        <v>2026</v>
      </c>
      <c r="C5" s="0" t="s">
        <v>388</v>
      </c>
      <c r="D5" s="15" t="n">
        <f aca="false">s_wfe_26</f>
        <v>143.9</v>
      </c>
      <c r="E5" s="15" t="n">
        <f aca="false">Mkt!D89</f>
        <v>143.9</v>
      </c>
      <c r="F5" s="16" t="n">
        <f aca="false">E5/D5-1</f>
        <v>0</v>
      </c>
      <c r="G5" s="15" t="n">
        <f aca="false">Mkt!D108</f>
        <v>143.9</v>
      </c>
      <c r="H5" s="16" t="n">
        <f aca="false">G5/D5-1</f>
        <v>0</v>
      </c>
      <c r="I5" s="15" t="n">
        <f aca="false">Mkt!D127</f>
        <v>143.9</v>
      </c>
      <c r="J5" s="16" t="n">
        <f aca="false">I5/D5-1</f>
        <v>0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8" t="s">
        <v>391</v>
      </c>
      <c r="B6" s="0" t="n">
        <v>2026</v>
      </c>
      <c r="C6" s="0" t="s">
        <v>388</v>
      </c>
      <c r="D6" s="15" t="n">
        <f aca="false">s_fd_26</f>
        <v>78</v>
      </c>
      <c r="E6" s="15" t="n">
        <f aca="false">Mkt!D82+Mkt!D83</f>
        <v>78</v>
      </c>
      <c r="F6" s="16" t="n">
        <f aca="false">E6/D6-1</f>
        <v>0</v>
      </c>
      <c r="G6" s="15" t="n">
        <f aca="false">Mkt!D101+Mkt!D102</f>
        <v>78</v>
      </c>
      <c r="H6" s="16" t="n">
        <f aca="false">G6/D6-1</f>
        <v>0</v>
      </c>
      <c r="I6" s="15" t="n">
        <f aca="false">Mkt!D120+Mkt!D121</f>
        <v>78</v>
      </c>
      <c r="J6" s="16" t="n">
        <f aca="false">I6/D6-1</f>
        <v>0</v>
      </c>
      <c r="K6" s="0" t="str">
        <f aca="false">IF(ABS(F6)&gt;rc_thr,"超過門檻","")</f>
        <v/>
      </c>
      <c r="L6" s="8" t="s">
        <v>392</v>
      </c>
    </row>
    <row r="7" customFormat="false" ht="15" hidden="false" customHeight="false" outlineLevel="0" collapsed="false">
      <c r="A7" s="0" t="s">
        <v>393</v>
      </c>
      <c r="B7" s="0" t="n">
        <v>2026</v>
      </c>
      <c r="C7" s="0" t="s">
        <v>388</v>
      </c>
      <c r="D7" s="15" t="n">
        <f aca="false">s_dram_26</f>
        <v>38.8</v>
      </c>
      <c r="E7" s="15" t="n">
        <f aca="false">Mkt!D84</f>
        <v>38.8</v>
      </c>
      <c r="F7" s="16" t="n">
        <f aca="false">E7/D7-1</f>
        <v>0</v>
      </c>
      <c r="G7" s="15" t="n">
        <f aca="false">Mkt!D103</f>
        <v>38.8</v>
      </c>
      <c r="H7" s="16" t="n">
        <f aca="false">G7/D7-1</f>
        <v>0</v>
      </c>
      <c r="I7" s="15" t="n">
        <f aca="false">Mkt!D122</f>
        <v>38.8</v>
      </c>
      <c r="J7" s="16" t="n">
        <f aca="false">I7/D7-1</f>
        <v>0</v>
      </c>
      <c r="K7" s="0" t="str">
        <f aca="false">IF(ABS(F7)&gt;rc_thr,"超過門檻","")</f>
        <v/>
      </c>
      <c r="L7" s="8" t="s">
        <v>394</v>
      </c>
    </row>
    <row r="8" customFormat="false" ht="15" hidden="false" customHeight="false" outlineLevel="0" collapsed="false">
      <c r="A8" s="0" t="s">
        <v>348</v>
      </c>
      <c r="B8" s="0" t="n">
        <v>2026</v>
      </c>
      <c r="C8" s="0" t="s">
        <v>388</v>
      </c>
      <c r="D8" s="15" t="n">
        <f aca="false">s_nand_26</f>
        <v>13.9</v>
      </c>
      <c r="E8" s="15" t="n">
        <f aca="false">Mkt!D85</f>
        <v>13.9</v>
      </c>
      <c r="F8" s="16" t="n">
        <f aca="false">E8/D8-1</f>
        <v>0</v>
      </c>
      <c r="G8" s="15" t="n">
        <f aca="false">Mkt!D104</f>
        <v>13.9</v>
      </c>
      <c r="H8" s="16" t="n">
        <f aca="false">G8/D8-1</f>
        <v>0</v>
      </c>
      <c r="I8" s="15" t="n">
        <f aca="false">Mkt!D123</f>
        <v>13.9</v>
      </c>
      <c r="J8" s="16" t="n">
        <f aca="false">I8/D8-1</f>
        <v>0</v>
      </c>
      <c r="K8" s="0" t="str">
        <f aca="false">IF(ABS(F8)&gt;rc_thr,"超過門檻","")</f>
        <v/>
      </c>
    </row>
    <row r="9" customFormat="false" ht="15" hidden="false" customHeight="false" outlineLevel="0" collapsed="false">
      <c r="A9" s="8" t="s">
        <v>395</v>
      </c>
      <c r="B9" s="0" t="n">
        <v>2027</v>
      </c>
      <c r="C9" s="0" t="s">
        <v>396</v>
      </c>
      <c r="D9" s="16" t="n">
        <f aca="false">g_wfe_27</f>
        <v>0.218</v>
      </c>
      <c r="E9" s="16" t="n">
        <f aca="false">Mkt!E93</f>
        <v>0.218</v>
      </c>
      <c r="F9" s="16" t="n">
        <f aca="false">E9-D9</f>
        <v>0</v>
      </c>
      <c r="G9" s="16" t="n">
        <f aca="false">Mkt!E112</f>
        <v>0.218</v>
      </c>
      <c r="H9" s="16" t="n">
        <f aca="false">G9-D9</f>
        <v>0</v>
      </c>
      <c r="I9" s="16" t="n">
        <f aca="false">Mkt!E131</f>
        <v>0.218</v>
      </c>
      <c r="J9" s="16" t="n">
        <f aca="false">I9-D9</f>
        <v>0</v>
      </c>
      <c r="K9" s="0" t="str">
        <f aca="false">IF(ABS(F9)&gt;0.05,"超過 5 個百分點","")</f>
        <v/>
      </c>
      <c r="L9" s="8" t="s">
        <v>397</v>
      </c>
    </row>
    <row r="10" customFormat="false" ht="15" hidden="false" customHeight="false" outlineLevel="0" collapsed="false">
      <c r="A10" s="8" t="s">
        <v>390</v>
      </c>
      <c r="B10" s="0" t="n">
        <v>2027</v>
      </c>
      <c r="C10" s="0" t="s">
        <v>398</v>
      </c>
      <c r="D10" s="15" t="n">
        <f aca="false">Mkt!E44</f>
        <v>175.2702</v>
      </c>
      <c r="E10" s="15" t="n">
        <f aca="false">Mkt!E89</f>
        <v>175.2702</v>
      </c>
      <c r="F10" s="16" t="n">
        <f aca="false">E10/D10-1</f>
        <v>0</v>
      </c>
      <c r="G10" s="15" t="n">
        <f aca="false">Mkt!E108</f>
        <v>175.2702</v>
      </c>
      <c r="H10" s="16" t="n">
        <f aca="false">G10/D10-1</f>
        <v>0</v>
      </c>
      <c r="I10" s="15" t="n">
        <f aca="false">Mkt!E127</f>
        <v>175.2702</v>
      </c>
      <c r="J10" s="16" t="n">
        <f aca="false">I10/D10-1</f>
        <v>0</v>
      </c>
      <c r="K10" s="0" t="str">
        <f aca="false">IF(ABS(F10)&gt;rc_thr,"超過門檻","")</f>
        <v/>
      </c>
      <c r="L10" s="12" t="s">
        <v>399</v>
      </c>
    </row>
    <row r="11" customFormat="false" ht="15" hidden="false" customHeight="false" outlineLevel="0" collapsed="false">
      <c r="A11" s="8" t="s">
        <v>390</v>
      </c>
      <c r="B11" s="0" t="n">
        <v>2028</v>
      </c>
      <c r="C11" s="0" t="s">
        <v>400</v>
      </c>
      <c r="D11" s="15" t="n">
        <f aca="false">Mkt!F44</f>
        <v>199.9832982</v>
      </c>
      <c r="E11" s="15" t="n">
        <f aca="false">Mkt!F89</f>
        <v>199.9832982</v>
      </c>
      <c r="F11" s="16" t="n">
        <f aca="false">E11/D11-1</f>
        <v>0</v>
      </c>
      <c r="G11" s="15" t="n">
        <f aca="false">Mkt!F108</f>
        <v>175.2702</v>
      </c>
      <c r="H11" s="16" t="n">
        <f aca="false">G11/D11-1</f>
        <v>-0.123575810692375</v>
      </c>
      <c r="I11" s="15" t="n">
        <f aca="false">Mkt!F127</f>
        <v>140.21616</v>
      </c>
      <c r="J11" s="16" t="n">
        <f aca="false">I11/D11-1</f>
        <v>-0.2988606485539</v>
      </c>
      <c r="K11" s="0" t="str">
        <f aca="false">IF(ABS(F11)&gt;rc_thr,"超過門檻","")</f>
        <v/>
      </c>
      <c r="L11" s="8" t="s">
        <v>401</v>
      </c>
    </row>
    <row r="12" customFormat="false" ht="15" hidden="false" customHeight="false" outlineLevel="0" collapsed="false">
      <c r="A12" s="8" t="s">
        <v>387</v>
      </c>
      <c r="B12" s="0" t="n">
        <v>2028</v>
      </c>
      <c r="C12" s="0" t="s">
        <v>388</v>
      </c>
      <c r="D12" s="15" t="n">
        <f aca="false">s_tot_28</f>
        <v>229.5</v>
      </c>
      <c r="E12" s="15" t="n">
        <f aca="false">Mkt!F91</f>
        <v>229.3832982</v>
      </c>
      <c r="F12" s="16" t="n">
        <f aca="false">E12/D12-1</f>
        <v>-0.000508504575163382</v>
      </c>
      <c r="G12" s="15" t="n">
        <f aca="false">Mkt!F110</f>
        <v>200.700266382522</v>
      </c>
      <c r="H12" s="16" t="n">
        <f aca="false">G12/D12-1</f>
        <v>-0.125489035370276</v>
      </c>
      <c r="I12" s="15" t="n">
        <f aca="false">Mkt!F129</f>
        <v>160.560213106017</v>
      </c>
      <c r="J12" s="16" t="n">
        <f aca="false">I12/D12-1</f>
        <v>-0.300391228296221</v>
      </c>
      <c r="K12" s="0" t="str">
        <f aca="false">IF(ABS(F12)&gt;rc_thr,"超過門檻","")</f>
        <v/>
      </c>
      <c r="L12" s="8" t="s">
        <v>402</v>
      </c>
    </row>
    <row r="13" customFormat="false" ht="15" hidden="false" customHeight="false" outlineLevel="0" collapsed="false">
      <c r="A13" s="8" t="s">
        <v>390</v>
      </c>
      <c r="B13" s="0" t="n">
        <v>2026</v>
      </c>
      <c r="C13" s="0" t="s">
        <v>403</v>
      </c>
      <c r="D13" s="15" t="n">
        <f aca="false">rc_lam26</f>
        <v>150</v>
      </c>
      <c r="E13" s="15" t="n">
        <f aca="false">Mkt!D89</f>
        <v>143.9</v>
      </c>
      <c r="F13" s="16" t="n">
        <f aca="false">E13/D13-1</f>
        <v>-0.0406666666666666</v>
      </c>
      <c r="G13" s="15" t="n">
        <f aca="false">Mkt!D108</f>
        <v>143.9</v>
      </c>
      <c r="H13" s="16" t="n">
        <f aca="false">G13/D13-1</f>
        <v>-0.0406666666666666</v>
      </c>
      <c r="I13" s="15" t="n">
        <f aca="false">Mkt!D127</f>
        <v>143.9</v>
      </c>
      <c r="J13" s="16" t="n">
        <f aca="false">I13/D13-1</f>
        <v>-0.0406666666666666</v>
      </c>
      <c r="K13" s="0" t="str">
        <f aca="false">IF(ABS(F13)&gt;rc_thr,"超過門檻","")</f>
        <v/>
      </c>
      <c r="L13" s="12" t="s">
        <v>404</v>
      </c>
    </row>
    <row r="14" customFormat="false" ht="15" hidden="false" customHeight="false" outlineLevel="0" collapsed="false">
      <c r="A14" s="8" t="s">
        <v>390</v>
      </c>
      <c r="B14" s="0" t="n">
        <v>2026</v>
      </c>
      <c r="C14" s="0" t="s">
        <v>405</v>
      </c>
      <c r="D14" s="15" t="n">
        <f aca="false">rc_kla26</f>
        <v>150</v>
      </c>
      <c r="E14" s="15" t="n">
        <f aca="false">Mkt!D89</f>
        <v>143.9</v>
      </c>
      <c r="F14" s="16" t="n">
        <f aca="false">E14/D14-1</f>
        <v>-0.0406666666666666</v>
      </c>
      <c r="G14" s="15" t="n">
        <f aca="false">Mkt!D108</f>
        <v>143.9</v>
      </c>
      <c r="H14" s="16" t="n">
        <f aca="false">G14/D14-1</f>
        <v>-0.0406666666666666</v>
      </c>
      <c r="I14" s="15" t="n">
        <f aca="false">Mkt!D127</f>
        <v>143.9</v>
      </c>
      <c r="J14" s="16" t="n">
        <f aca="false">I14/D14-1</f>
        <v>-0.0406666666666666</v>
      </c>
      <c r="K14" s="0" t="str">
        <f aca="false">IF(ABS(F14)&gt;rc_thr,"超過門檻","")</f>
        <v/>
      </c>
      <c r="L14" s="12" t="s">
        <v>406</v>
      </c>
    </row>
    <row r="15" customFormat="false" ht="15" hidden="false" customHeight="false" outlineLevel="0" collapsed="false">
      <c r="A15" s="8" t="s">
        <v>390</v>
      </c>
      <c r="B15" s="0" t="n">
        <v>2027</v>
      </c>
      <c r="C15" s="0" t="s">
        <v>407</v>
      </c>
      <c r="D15" s="15" t="n">
        <f aca="false">rc_kla27</f>
        <v>190</v>
      </c>
      <c r="E15" s="15" t="n">
        <f aca="false">Mkt!E89</f>
        <v>175.2702</v>
      </c>
      <c r="F15" s="16" t="n">
        <f aca="false">E15/D15-1</f>
        <v>-0.0775252631578945</v>
      </c>
      <c r="G15" s="15" t="n">
        <f aca="false">Mkt!E108</f>
        <v>175.2702</v>
      </c>
      <c r="H15" s="16" t="n">
        <f aca="false">G15/D15-1</f>
        <v>-0.0775252631578945</v>
      </c>
      <c r="I15" s="15" t="n">
        <f aca="false">Mkt!E127</f>
        <v>175.2702</v>
      </c>
      <c r="J15" s="16" t="n">
        <f aca="false">I15/D15-1</f>
        <v>-0.0775252631578945</v>
      </c>
      <c r="K15" s="0" t="str">
        <f aca="false">IF(ABS(F15)&gt;rc_thr,"超過門檻","")</f>
        <v/>
      </c>
    </row>
    <row r="16" customFormat="false" ht="15" hidden="false" customHeight="false" outlineLevel="0" collapsed="false">
      <c r="A16" s="8" t="s">
        <v>390</v>
      </c>
      <c r="B16" s="0" t="n">
        <v>2027</v>
      </c>
      <c r="C16" s="0" t="s">
        <v>408</v>
      </c>
      <c r="D16" s="15" t="n">
        <f aca="false">rc_lam27</f>
        <v>200</v>
      </c>
      <c r="E16" s="15" t="n">
        <f aca="false">Mkt!E89</f>
        <v>175.2702</v>
      </c>
      <c r="F16" s="16" t="n">
        <f aca="false">E16/D16-1</f>
        <v>-0.123649</v>
      </c>
      <c r="G16" s="15" t="n">
        <f aca="false">Mkt!E108</f>
        <v>175.2702</v>
      </c>
      <c r="H16" s="16" t="n">
        <f aca="false">G16/D16-1</f>
        <v>-0.123649</v>
      </c>
      <c r="I16" s="15" t="n">
        <f aca="false">Mkt!E127</f>
        <v>175.2702</v>
      </c>
      <c r="J16" s="16" t="n">
        <f aca="false">I16/D16-1</f>
        <v>-0.123649</v>
      </c>
      <c r="K16" s="0" t="str">
        <f aca="false">IF(ABS(F16)&gt;rc_thr,"超過門檻","")</f>
        <v/>
      </c>
      <c r="L16" s="8" t="s">
        <v>409</v>
      </c>
    </row>
    <row r="17" customFormat="false" ht="15" hidden="false" customHeight="false" outlineLevel="0" collapsed="false">
      <c r="A17" s="8" t="s">
        <v>390</v>
      </c>
      <c r="B17" s="0" t="n">
        <v>2027</v>
      </c>
      <c r="C17" s="0" t="s">
        <v>410</v>
      </c>
      <c r="D17" s="15" t="n">
        <f aca="false">rc_ms27</f>
        <v>202</v>
      </c>
      <c r="E17" s="15" t="n">
        <f aca="false">Mkt!E89</f>
        <v>175.2702</v>
      </c>
      <c r="F17" s="16" t="n">
        <f aca="false">E17/D17-1</f>
        <v>-0.132325742574257</v>
      </c>
      <c r="G17" s="15" t="n">
        <f aca="false">Mkt!E108</f>
        <v>175.2702</v>
      </c>
      <c r="H17" s="16" t="n">
        <f aca="false">G17/D17-1</f>
        <v>-0.132325742574257</v>
      </c>
      <c r="I17" s="15" t="n">
        <f aca="false">Mkt!E127</f>
        <v>175.2702</v>
      </c>
      <c r="J17" s="16" t="n">
        <f aca="false">I17/D17-1</f>
        <v>-0.132325742574257</v>
      </c>
      <c r="K17" s="0" t="str">
        <f aca="false">IF(ABS(F17)&gt;rc_thr,"超過門檻","")</f>
        <v/>
      </c>
      <c r="L17" s="12" t="s">
        <v>411</v>
      </c>
    </row>
    <row r="18" customFormat="false" ht="15" hidden="false" customHeight="false" outlineLevel="0" collapsed="false">
      <c r="A18" s="8" t="s">
        <v>390</v>
      </c>
      <c r="B18" s="0" t="n">
        <v>2028</v>
      </c>
      <c r="C18" s="0" t="s">
        <v>410</v>
      </c>
      <c r="D18" s="15" t="n">
        <f aca="false">rc_ms28</f>
        <v>227</v>
      </c>
      <c r="E18" s="15" t="n">
        <f aca="false">Mkt!F89</f>
        <v>199.9832982</v>
      </c>
      <c r="F18" s="16" t="n">
        <f aca="false">E18/D18-1</f>
        <v>-0.119016307488987</v>
      </c>
      <c r="G18" s="15" t="n">
        <f aca="false">Mkt!F108</f>
        <v>175.2702</v>
      </c>
      <c r="H18" s="16" t="n">
        <f aca="false">G18/D18-1</f>
        <v>-0.227884581497797</v>
      </c>
      <c r="I18" s="15" t="n">
        <f aca="false">Mkt!F127</f>
        <v>140.21616</v>
      </c>
      <c r="J18" s="16" t="n">
        <f aca="false">I18/D18-1</f>
        <v>-0.382307665198238</v>
      </c>
      <c r="K18" s="0" t="str">
        <f aca="false">IF(ABS(F18)&gt;rc_thr,"超過門檻","")</f>
        <v/>
      </c>
      <c r="L18" s="12" t="s">
        <v>412</v>
      </c>
    </row>
    <row r="19" customFormat="false" ht="15" hidden="false" customHeight="false" outlineLevel="0" collapsed="false">
      <c r="A19" s="8" t="s">
        <v>390</v>
      </c>
      <c r="B19" s="0" t="n">
        <v>2026</v>
      </c>
      <c r="C19" s="0" t="s">
        <v>413</v>
      </c>
      <c r="D19" s="15" t="n">
        <f aca="false">rc_gs26</f>
        <v>150</v>
      </c>
      <c r="E19" s="15" t="n">
        <f aca="false">Mkt!D89</f>
        <v>143.9</v>
      </c>
      <c r="F19" s="16" t="n">
        <f aca="false">E19/D19-1</f>
        <v>-0.0406666666666666</v>
      </c>
      <c r="G19" s="15" t="n">
        <f aca="false">Mkt!D108</f>
        <v>143.9</v>
      </c>
      <c r="H19" s="16" t="n">
        <f aca="false">G19/D19-1</f>
        <v>-0.0406666666666666</v>
      </c>
      <c r="I19" s="15" t="n">
        <f aca="false">Mkt!D127</f>
        <v>143.9</v>
      </c>
      <c r="J19" s="16" t="n">
        <f aca="false">I19/D19-1</f>
        <v>-0.0406666666666666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8" t="s">
        <v>390</v>
      </c>
      <c r="B20" s="0" t="n">
        <v>2027</v>
      </c>
      <c r="C20" s="0" t="s">
        <v>413</v>
      </c>
      <c r="D20" s="15" t="n">
        <f aca="false">rc_gs27</f>
        <v>218</v>
      </c>
      <c r="E20" s="15" t="n">
        <f aca="false">Mkt!E89</f>
        <v>175.2702</v>
      </c>
      <c r="F20" s="16" t="n">
        <f aca="false">E20/D20-1</f>
        <v>-0.196008256880734</v>
      </c>
      <c r="G20" s="15" t="n">
        <f aca="false">Mkt!E108</f>
        <v>175.2702</v>
      </c>
      <c r="H20" s="16" t="n">
        <f aca="false">G20/D20-1</f>
        <v>-0.196008256880734</v>
      </c>
      <c r="I20" s="15" t="n">
        <f aca="false">Mkt!E127</f>
        <v>175.2702</v>
      </c>
      <c r="J20" s="16" t="n">
        <f aca="false">I20/D20-1</f>
        <v>-0.196008256880734</v>
      </c>
      <c r="K20" s="0" t="str">
        <f aca="false">IF(ABS(F20)&gt;rc_thr,"超過門檻","")</f>
        <v>超過門檻</v>
      </c>
    </row>
    <row r="21" customFormat="false" ht="15" hidden="false" customHeight="false" outlineLevel="0" collapsed="false">
      <c r="A21" s="8" t="s">
        <v>390</v>
      </c>
      <c r="B21" s="0" t="n">
        <v>2028</v>
      </c>
      <c r="C21" s="0" t="s">
        <v>413</v>
      </c>
      <c r="D21" s="15" t="n">
        <f aca="false">rc_gs28</f>
        <v>281</v>
      </c>
      <c r="E21" s="15" t="n">
        <f aca="false">Mkt!F89</f>
        <v>199.9832982</v>
      </c>
      <c r="F21" s="16" t="n">
        <f aca="false">E21/D21-1</f>
        <v>-0.288315664768683</v>
      </c>
      <c r="G21" s="15" t="n">
        <f aca="false">Mkt!F108</f>
        <v>175.2702</v>
      </c>
      <c r="H21" s="16" t="n">
        <f aca="false">G21/D21-1</f>
        <v>-0.376262633451957</v>
      </c>
      <c r="I21" s="15" t="n">
        <f aca="false">Mkt!F127</f>
        <v>140.21616</v>
      </c>
      <c r="J21" s="16" t="n">
        <f aca="false">I21/D21-1</f>
        <v>-0.501010106761566</v>
      </c>
      <c r="K21" s="0" t="str">
        <f aca="false">IF(ABS(F21)&gt;rc_thr,"超過門檻","")</f>
        <v>超過門檻</v>
      </c>
    </row>
    <row r="23" customFormat="false" ht="15" hidden="false" customHeight="false" outlineLevel="0" collapsed="false">
      <c r="A23" s="7" t="s">
        <v>414</v>
      </c>
    </row>
    <row r="24" customFormat="false" ht="15" hidden="false" customHeight="false" outlineLevel="0" collapsed="false">
      <c r="A24" s="0" t="s">
        <v>415</v>
      </c>
      <c r="D24" s="22" t="n">
        <f aca="false">Mkt!D41+Mkt!D42+Mkt!D43+Mkt!D47-Mkt!D44</f>
        <v>0</v>
      </c>
    </row>
    <row r="25" customFormat="false" ht="15" hidden="false" customHeight="false" outlineLevel="0" collapsed="false">
      <c r="A25" s="8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2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0" t="s">
        <v>417</v>
      </c>
    </row>
    <row r="3" customFormat="false" ht="15" hidden="false" customHeight="false" outlineLevel="0" collapsed="false">
      <c r="A3" s="4" t="s">
        <v>418</v>
      </c>
      <c r="B3" s="23" t="s">
        <v>419</v>
      </c>
      <c r="C3" s="23" t="s">
        <v>420</v>
      </c>
      <c r="D3" s="23" t="s">
        <v>421</v>
      </c>
      <c r="E3" s="23" t="s">
        <v>422</v>
      </c>
      <c r="F3" s="23" t="s">
        <v>423</v>
      </c>
      <c r="G3" s="4" t="s">
        <v>424</v>
      </c>
      <c r="H3" s="4" t="s">
        <v>285</v>
      </c>
    </row>
    <row r="4" customFormat="false" ht="15" hidden="false" customHeight="false" outlineLevel="0" collapsed="false">
      <c r="A4" s="8" t="s">
        <v>58</v>
      </c>
      <c r="B4" s="15" t="n">
        <f aca="false">Mkt!D41+Mkt!D42-(cap_sk_26*1000/fx*sh_sk+cap_mu_26*sh_mu_26+cap_ss_26*1000/fx*sh_ss)</f>
        <v>-7.1694746056338</v>
      </c>
      <c r="C4" s="15" t="n">
        <f aca="false">Mkt!E41+Mkt!E42-(cap_sk_27*1000/fx*sh_sk+cap_mu_27*sh_mu_27+cap_ss_27*1000/fx*sh_ss)</f>
        <v>-12.7670267605634</v>
      </c>
      <c r="D4" s="15" t="n">
        <f aca="false">Mkt!F41+Mkt!F42-(cap_sk_28*1000/fx*sh_sk+cap_mu_28*sh_mu_27+cap_ss_28*1000/fx*sh_ss)</f>
        <v>-11.7255192183099</v>
      </c>
      <c r="E4" s="15" t="n">
        <f aca="false">Mkt!F41*(1+g29)+Mkt!F42*(1+g29)-(cap_sk_29*1000/fx*sh_sk+cap_mu_29*sh_mu_27+cap_ss_29*1000/fx*sh_ss)</f>
        <v>-7.22130723464788</v>
      </c>
      <c r="F4" s="15" t="n">
        <f aca="false">Mkt!F44*(1+g29)+Mkt!F45*(1+g29)+Mkt!F46*(1+g29)</f>
        <v>247.733962056</v>
      </c>
      <c r="G4" s="16" t="n">
        <f aca="false">F4/F$4-1</f>
        <v>0</v>
      </c>
      <c r="H4" s="8" t="s">
        <v>425</v>
      </c>
    </row>
    <row r="5" customFormat="false" ht="15" hidden="false" customHeight="false" outlineLevel="0" collapsed="false">
      <c r="A5" s="0" t="s">
        <v>426</v>
      </c>
      <c r="B5" s="15" t="n">
        <f aca="false">Mkt!D41+Mkt!D42-(cap_sk_26*1000/fx*sh_sk_lo+cap_mu_26*sh_mu_26+cap_ss_26*1000/fx*sh_ss)</f>
        <v>-5.11172812676056</v>
      </c>
      <c r="C5" s="15" t="n">
        <f aca="false">Mkt!E41+Mkt!E42-(cap_sk_27*1000/fx*sh_sk_lo+cap_mu_27*sh_mu_27+cap_ss_27*1000/fx*sh_ss)</f>
        <v>-10.1346323943662</v>
      </c>
      <c r="D5" s="15" t="n">
        <f aca="false">Mkt!F41+Mkt!F42-(cap_sk_28*1000/fx*sh_sk_lo+cap_mu_28*sh_mu_27+cap_ss_28*1000/fx*sh_ss)</f>
        <v>-8.71706851408452</v>
      </c>
      <c r="E5" s="15" t="n">
        <f aca="false">Mkt!F41*(1+g29)+Mkt!F42*(1+g29)-(cap_sk_29*1000/fx*sh_sk_lo+cap_mu_29*sh_mu_27+cap_ss_29*1000/fx*sh_ss)</f>
        <v>-4.05229315014084</v>
      </c>
      <c r="F5" s="15" t="n">
        <f aca="false">Mkt!F44*(1+g29)+Mkt!F45*(1+g29)+Mkt!F46*(1+g29)</f>
        <v>247.733962056</v>
      </c>
      <c r="G5" s="16" t="n">
        <f aca="false">F5/F$4-1</f>
        <v>0</v>
      </c>
    </row>
    <row r="6" customFormat="false" ht="15" hidden="false" customHeight="false" outlineLevel="0" collapsed="false">
      <c r="A6" s="0" t="s">
        <v>427</v>
      </c>
      <c r="B6" s="15" t="n">
        <f aca="false">Mkt!D41+Mkt!D42-(cap_sk_26*1000/fx*sh_sk_hi+cap_mu_26*sh_mu_26+cap_ss_26*1000/fx*sh_ss)</f>
        <v>-9.22722108450704</v>
      </c>
      <c r="C6" s="15" t="n">
        <f aca="false">Mkt!E41+Mkt!E42-(cap_sk_27*1000/fx*sh_sk_hi+cap_mu_27*sh_mu_27+cap_ss_27*1000/fx*sh_ss)</f>
        <v>-15.3994211267606</v>
      </c>
      <c r="D6" s="15" t="n">
        <f aca="false">Mkt!F41+Mkt!F42-(cap_sk_28*1000/fx*sh_sk_hi+cap_mu_28*sh_mu_27+cap_ss_28*1000/fx*sh_ss)</f>
        <v>-14.7339699225352</v>
      </c>
      <c r="E6" s="15" t="n">
        <f aca="false">Mkt!F41*(1+g29)+Mkt!F42*(1+g29)-(cap_sk_29*1000/fx*sh_sk_hi+cap_mu_29*sh_mu_27+cap_ss_29*1000/fx*sh_ss)</f>
        <v>-10.3903213191549</v>
      </c>
      <c r="F6" s="15" t="n">
        <f aca="false">Mkt!F44*(1+g29)+Mkt!F45*(1+g29)+Mkt!F46*(1+g29)</f>
        <v>247.733962056</v>
      </c>
      <c r="G6" s="16" t="n">
        <f aca="false">F6/F$4-1</f>
        <v>0</v>
      </c>
    </row>
    <row r="7" customFormat="false" ht="15" hidden="false" customHeight="false" outlineLevel="0" collapsed="false">
      <c r="A7" s="8" t="s">
        <v>428</v>
      </c>
      <c r="B7" s="15" t="n">
        <f aca="false">Mkt!D41+Mkt!D42-(cap_sk_26*1000/fx*sh_sk+cap_mu_26*sh_mu_26+cap_ss_26*1000/fx*sh_ss_lo)</f>
        <v>-4.95116474647887</v>
      </c>
      <c r="C7" s="15" t="n">
        <f aca="false">Mkt!E41+Mkt!E42-(cap_sk_27*1000/fx*sh_sk+cap_mu_27*sh_mu_27+cap_ss_27*1000/fx*sh_ss_lo)</f>
        <v>-10.2318154929578</v>
      </c>
      <c r="D7" s="15" t="n">
        <f aca="false">Mkt!F41+Mkt!F42-(cap_sk_28*1000/fx*sh_sk+cap_mu_28*sh_mu_27+cap_ss_28*1000/fx*sh_ss_lo)</f>
        <v>-8.93678682394368</v>
      </c>
      <c r="E7" s="15" t="n">
        <f aca="false">Mkt!F41*(1+g29)+Mkt!F42*(1+g29)-(cap_sk_29*1000/fx*sh_sk+cap_mu_29*sh_mu_27+cap_ss_29*1000/fx*sh_ss_lo)</f>
        <v>-4.43257484028169</v>
      </c>
      <c r="F7" s="15" t="n">
        <f aca="false">Mkt!F44*(1+g29)+Mkt!F45*(1+g29)+Mkt!F46*(1+g29)</f>
        <v>247.733962056</v>
      </c>
      <c r="G7" s="16" t="n">
        <f aca="false">F7/F$4-1</f>
        <v>0</v>
      </c>
    </row>
    <row r="8" customFormat="false" ht="15" hidden="false" customHeight="false" outlineLevel="0" collapsed="false">
      <c r="A8" s="8" t="s">
        <v>429</v>
      </c>
      <c r="B8" s="15" t="n">
        <f aca="false">Mkt!D41+Mkt!D42-(cap_sk_26*1000/fx*sh_sk+cap_mu_26*sh_mu_26+cap_ss_26*1000/fx*sh_ss_hi)</f>
        <v>-9.38778446478873</v>
      </c>
      <c r="C8" s="15" t="n">
        <f aca="false">Mkt!E41+Mkt!E42-(cap_sk_27*1000/fx*sh_sk+cap_mu_27*sh_mu_27+cap_ss_27*1000/fx*sh_ss_hi)</f>
        <v>-15.302238028169</v>
      </c>
      <c r="D8" s="15" t="n">
        <f aca="false">Mkt!F41+Mkt!F42-(cap_sk_28*1000/fx*sh_sk+cap_mu_28*sh_mu_27+cap_ss_28*1000/fx*sh_ss_hi)</f>
        <v>-14.5142516126761</v>
      </c>
      <c r="E8" s="15" t="n">
        <f aca="false">Mkt!F41*(1+g29)+Mkt!F42*(1+g29)-(cap_sk_29*1000/fx*sh_sk+cap_mu_29*sh_mu_27+cap_ss_29*1000/fx*sh_ss_hi)</f>
        <v>-10.0100396290141</v>
      </c>
      <c r="F8" s="15" t="n">
        <f aca="false">Mkt!F44*(1+g29)+Mkt!F45*(1+g29)+Mkt!F46*(1+g29)</f>
        <v>247.733962056</v>
      </c>
      <c r="G8" s="16" t="n">
        <f aca="false">F8/F$4-1</f>
        <v>0</v>
      </c>
    </row>
    <row r="9" customFormat="false" ht="15" hidden="false" customHeight="false" outlineLevel="0" collapsed="false">
      <c r="A9" s="8" t="s">
        <v>430</v>
      </c>
      <c r="B9" s="15" t="n">
        <f aca="false">Mkt!D41+Mkt!D42-(cap_sk_26*1000/fx*sh_sk+cap_mu_26*sh_mu_26_lo+cap_ss_26*1000/fx*sh_ss)</f>
        <v>-5.80112460563381</v>
      </c>
      <c r="C9" s="15" t="n">
        <f aca="false">Mkt!E41+Mkt!E42-(cap_sk_27*1000/fx*sh_sk+cap_mu_27*sh_mu_27_lo+cap_ss_27*1000/fx*sh_ss)</f>
        <v>-8.64202676056338</v>
      </c>
      <c r="D9" s="15" t="n">
        <f aca="false">Mkt!F41+Mkt!F42-(cap_sk_28*1000/fx*sh_sk+cap_mu_28*sh_mu_27_lo+cap_ss_28*1000/fx*sh_ss)</f>
        <v>-7.22551921830987</v>
      </c>
      <c r="E9" s="15" t="n">
        <f aca="false">Mkt!F41*(1+g29)+Mkt!F42*(1+g29)-(cap_sk_29*1000/fx*sh_sk+cap_mu_29*sh_mu_27_lo+cap_ss_29*1000/fx*sh_ss)</f>
        <v>-2.72130723464788</v>
      </c>
      <c r="F9" s="15" t="n">
        <f aca="false">Mkt!F44*(1+g29)+Mkt!F45*(1+g29)+Mkt!F46*(1+g29)</f>
        <v>247.733962056</v>
      </c>
      <c r="G9" s="16" t="n">
        <f aca="false">F9/F$4-1</f>
        <v>0</v>
      </c>
    </row>
    <row r="10" customFormat="false" ht="15" hidden="false" customHeight="false" outlineLevel="0" collapsed="false">
      <c r="A10" s="8" t="s">
        <v>431</v>
      </c>
      <c r="B10" s="15" t="n">
        <f aca="false">Mkt!D41+Mkt!D42-(cap_sk_26*1000/fx*sh_sk+cap_mu_26*sh_mu_26_hi+cap_ss_26*1000/fx*sh_ss)</f>
        <v>-8.53782460563381</v>
      </c>
      <c r="C10" s="15" t="n">
        <f aca="false">Mkt!E41+Mkt!E42-(cap_sk_27*1000/fx*sh_sk+cap_mu_27*sh_mu_27_hi+cap_ss_27*1000/fx*sh_ss)</f>
        <v>-14.9670267605634</v>
      </c>
      <c r="D10" s="15" t="n">
        <f aca="false">Mkt!F41+Mkt!F42-(cap_sk_28*1000/fx*sh_sk+cap_mu_28*sh_mu_27_hi+cap_ss_28*1000/fx*sh_ss)</f>
        <v>-14.1255192183099</v>
      </c>
      <c r="E10" s="15" t="n">
        <f aca="false">Mkt!F41*(1+g29)+Mkt!F42*(1+g29)-(cap_sk_29*1000/fx*sh_sk+cap_mu_29*sh_mu_27_hi+cap_ss_29*1000/fx*sh_ss)</f>
        <v>-9.62130723464789</v>
      </c>
      <c r="F10" s="15" t="n">
        <f aca="false">Mkt!F44*(1+g29)+Mkt!F45*(1+g29)+Mkt!F46*(1+g29)</f>
        <v>247.733962056</v>
      </c>
      <c r="G10" s="16" t="n">
        <f aca="false">F10/F$4-1</f>
        <v>0</v>
      </c>
    </row>
    <row r="11" customFormat="false" ht="15" hidden="false" customHeight="false" outlineLevel="0" collapsed="false">
      <c r="A11" s="8" t="s">
        <v>432</v>
      </c>
      <c r="B11" s="15" t="n">
        <f aca="false">Mkt!D41+Mkt!D42-(cap_sk_26*1000/fx_lo*sh_sk+cap_mu_26*sh_mu_26+cap_ss_26*1000/fx_lo*sh_ss)</f>
        <v>-9.5345032962963</v>
      </c>
      <c r="C11" s="15" t="n">
        <f aca="false">Mkt!E41+Mkt!E42-(cap_sk_27*1000/fx_lo*sh_sk+cap_mu_27*sh_mu_27+cap_ss_27*1000/fx_lo*sh_ss)</f>
        <v>-15.6251592592592</v>
      </c>
      <c r="D11" s="15" t="n">
        <f aca="false">Mkt!F41+Mkt!F42-(cap_sk_28*1000/fx_lo*sh_sk+cap_mu_28*sh_mu_27+cap_ss_28*1000/fx_lo*sh_ss)</f>
        <v>-14.931862462963</v>
      </c>
      <c r="E11" s="15" t="n">
        <f aca="false">Mkt!F41*(1+g29)+Mkt!F42*(1+g29)-(cap_sk_29*1000/fx_lo*sh_sk+cap_mu_29*sh_mu_27+cap_ss_29*1000/fx_lo*sh_ss)</f>
        <v>-10.5164559044444</v>
      </c>
      <c r="F11" s="15" t="n">
        <f aca="false">Mkt!F44*(1+g29)+Mkt!F45*(1+g29)+Mkt!F46*(1+g29)</f>
        <v>247.733962056</v>
      </c>
      <c r="G11" s="16" t="n">
        <f aca="false">F11/F$4-1</f>
        <v>0</v>
      </c>
    </row>
    <row r="12" customFormat="false" ht="15" hidden="false" customHeight="false" outlineLevel="0" collapsed="false">
      <c r="A12" s="8" t="s">
        <v>433</v>
      </c>
      <c r="B12" s="15" t="n">
        <f aca="false">Mkt!D41+Mkt!D42-(cap_sk_26*1000/fx_hi*sh_sk+cap_mu_26*sh_mu_26+cap_ss_26*1000/fx_hi*sh_ss)</f>
        <v>-4.73687366666668</v>
      </c>
      <c r="C12" s="15" t="n">
        <f aca="false">Mkt!E41+Mkt!E42-(cap_sk_27*1000/fx_hi*sh_sk+cap_mu_27*sh_mu_27+cap_ss_27*1000/fx_hi*sh_ss)</f>
        <v>-9.82723333333334</v>
      </c>
      <c r="D12" s="15" t="n">
        <f aca="false">Mkt!F41+Mkt!F42-(cap_sk_28*1000/fx_hi*sh_sk+cap_mu_28*sh_mu_27+cap_ss_28*1000/fx_hi*sh_ss)</f>
        <v>-8.42756616666668</v>
      </c>
      <c r="E12" s="15" t="n">
        <f aca="false">Mkt!F41*(1+g29)+Mkt!F42*(1+g29)-(cap_sk_29*1000/fx_hi*sh_sk+cap_mu_29*sh_mu_27+cap_ss_29*1000/fx_hi*sh_ss)</f>
        <v>-3.83201146</v>
      </c>
      <c r="F12" s="15" t="n">
        <f aca="false">Mkt!F44*(1+g29)+Mkt!F45*(1+g29)+Mkt!F46*(1+g29)</f>
        <v>247.733962056</v>
      </c>
      <c r="G12" s="16" t="n">
        <f aca="false">F12/F$4-1</f>
        <v>0</v>
      </c>
    </row>
    <row r="13" customFormat="false" ht="15" hidden="false" customHeight="false" outlineLevel="0" collapsed="false">
      <c r="A13" s="0" t="s">
        <v>434</v>
      </c>
      <c r="B13" s="15" t="n">
        <f aca="false">Mkt!D41+Mkt!D42-(cap_sk_26*1000/fx*sh_sk+cap_mu_26*sh_mu_26+cap_ss_26*1000/fx*sh_ss)</f>
        <v>-7.1694746056338</v>
      </c>
      <c r="C13" s="15" t="n">
        <f aca="false">Mkt!E41+Mkt!E42-(cap_sk_27*1000/fx*sh_sk+cap_mu_27*sh_mu_27+cap_ss_27*1000/fx*sh_ss)</f>
        <v>-12.7670267605634</v>
      </c>
      <c r="D13" s="15" t="n">
        <f aca="false">Mkt!F41+Mkt!F42-(cap_sk_28*1000/fx*sh_sk+cap_mu_28*sh_mu_27+cap_ss_28*1000/fx*sh_ss)</f>
        <v>-11.7255192183099</v>
      </c>
      <c r="E13" s="15" t="n">
        <f aca="false">Mkt!F41*(1+g29_lo)+Mkt!F42*(1+g29_lo)-(cap_sk_29*1000/fx*sh_sk+cap_mu_29*sh_mu_27+cap_ss_29*1000/fx*sh_ss)</f>
        <v>-13.4381952746479</v>
      </c>
      <c r="F13" s="15" t="n">
        <f aca="false">Mkt!F44*(1+g29_lo)+Mkt!F45*(1+g29_lo)+Mkt!F46*(1+g29_lo)</f>
        <v>229.3832982</v>
      </c>
      <c r="G13" s="16" t="n">
        <f aca="false">F13/F$4-1</f>
        <v>-0.0740740740740741</v>
      </c>
    </row>
    <row r="14" customFormat="false" ht="15" hidden="false" customHeight="false" outlineLevel="0" collapsed="false">
      <c r="A14" s="0" t="s">
        <v>435</v>
      </c>
      <c r="B14" s="15" t="n">
        <f aca="false">Mkt!D41+Mkt!D42-(cap_sk_26*1000/fx*sh_sk+cap_mu_26*sh_mu_26+cap_ss_26*1000/fx*sh_ss)</f>
        <v>-7.1694746056338</v>
      </c>
      <c r="C14" s="15" t="n">
        <f aca="false">Mkt!E41+Mkt!E42-(cap_sk_27*1000/fx*sh_sk+cap_mu_27*sh_mu_27+cap_ss_27*1000/fx*sh_ss)</f>
        <v>-12.7670267605634</v>
      </c>
      <c r="D14" s="15" t="n">
        <f aca="false">Mkt!F41+Mkt!F42-(cap_sk_28*1000/fx*sh_sk+cap_mu_28*sh_mu_27+cap_ss_28*1000/fx*sh_ss)</f>
        <v>-11.7255192183099</v>
      </c>
      <c r="E14" s="15" t="n">
        <f aca="false">Mkt!F41*(1+g29_hi)+Mkt!F42*(1+g29_hi)-(cap_sk_29*1000/fx*sh_sk+cap_mu_29*sh_mu_27+cap_ss_29*1000/fx*sh_ss)</f>
        <v>-4.11286321464789</v>
      </c>
      <c r="F14" s="15" t="n">
        <f aca="false">Mkt!F44*(1+g29_hi)+Mkt!F45*(1+g29_hi)+Mkt!F46*(1+g29_hi)</f>
        <v>256.909293984</v>
      </c>
      <c r="G14" s="16" t="n">
        <f aca="false">F14/F$4-1</f>
        <v>0.037037037037037</v>
      </c>
    </row>
    <row r="15" customFormat="false" ht="15" hidden="false" customHeight="false" outlineLevel="0" collapsed="false">
      <c r="A15" s="8" t="s">
        <v>436</v>
      </c>
      <c r="B15" s="22" t="n">
        <f aca="false">B4-Mkt!D61</f>
        <v>0</v>
      </c>
      <c r="C15" s="22" t="n">
        <f aca="false">C4-Mkt!E61</f>
        <v>0</v>
      </c>
      <c r="D15" s="22" t="n">
        <f aca="false">D4-Mkt!F61</f>
        <v>0</v>
      </c>
      <c r="E15" s="22" t="n">
        <f aca="false">E4-Mkt!G61</f>
        <v>0</v>
      </c>
      <c r="F15" s="22" t="n">
        <f aca="false">F4-Mkt!G91</f>
        <v>0</v>
      </c>
    </row>
    <row r="17" customFormat="false" ht="15" hidden="false" customHeight="false" outlineLevel="0" collapsed="false">
      <c r="A17" s="4" t="s">
        <v>437</v>
      </c>
      <c r="B17" s="23" t="s">
        <v>438</v>
      </c>
      <c r="C17" s="4" t="s">
        <v>439</v>
      </c>
      <c r="D17" s="23" t="s">
        <v>440</v>
      </c>
      <c r="E17" s="4" t="s">
        <v>441</v>
      </c>
      <c r="F17" s="4"/>
      <c r="G17" s="4"/>
      <c r="H17" s="4" t="s">
        <v>285</v>
      </c>
    </row>
    <row r="18" customFormat="false" ht="15" hidden="false" customHeight="false" outlineLevel="0" collapsed="false">
      <c r="A18" s="0" t="s">
        <v>442</v>
      </c>
      <c r="B18" s="15" t="n">
        <f aca="false">Mkt!E110*ck_B_28_lo</f>
        <v>190.665253063396</v>
      </c>
      <c r="C18" s="16" t="n">
        <f aca="false">B18/Mkt!E110-1</f>
        <v>-0.05</v>
      </c>
      <c r="D18" s="15" t="n">
        <f aca="false">B18*ck_B_29_lo</f>
        <v>171.598727757056</v>
      </c>
      <c r="E18" s="16" t="n">
        <f aca="false">D18/B18-1</f>
        <v>-0.1</v>
      </c>
    </row>
    <row r="19" customFormat="false" ht="15" hidden="false" customHeight="false" outlineLevel="0" collapsed="false">
      <c r="A19" s="0" t="s">
        <v>443</v>
      </c>
      <c r="B19" s="15" t="n">
        <f aca="false">Mkt!E110*ck_B_28</f>
        <v>200.700266382522</v>
      </c>
      <c r="C19" s="16" t="n">
        <f aca="false">B19/Mkt!E110-1</f>
        <v>0</v>
      </c>
      <c r="D19" s="15" t="n">
        <f aca="false">B19*ck_B_29</f>
        <v>190.665253063396</v>
      </c>
      <c r="E19" s="16" t="n">
        <f aca="false">D19/B19-1</f>
        <v>-0.05</v>
      </c>
    </row>
    <row r="20" customFormat="false" ht="15" hidden="false" customHeight="false" outlineLevel="0" collapsed="false">
      <c r="A20" s="0" t="s">
        <v>444</v>
      </c>
      <c r="B20" s="15" t="n">
        <f aca="false">Mkt!E110*ck_B_28_hi</f>
        <v>210.735279701648</v>
      </c>
      <c r="C20" s="16" t="n">
        <f aca="false">B20/Mkt!E110-1</f>
        <v>0.05</v>
      </c>
      <c r="D20" s="15" t="n">
        <f aca="false">B20*ck_B_29_hi</f>
        <v>221.27204368673</v>
      </c>
      <c r="E20" s="16" t="n">
        <f aca="false">D20/B20-1</f>
        <v>0.05</v>
      </c>
    </row>
    <row r="21" customFormat="false" ht="15" hidden="false" customHeight="false" outlineLevel="0" collapsed="false">
      <c r="A21" s="0" t="s">
        <v>445</v>
      </c>
      <c r="B21" s="15" t="n">
        <f aca="false">Mkt!E129*ck_C_28_lo</f>
        <v>150.525199786891</v>
      </c>
      <c r="C21" s="16" t="n">
        <f aca="false">B21/Mkt!E129-1</f>
        <v>-0.25</v>
      </c>
      <c r="D21" s="15" t="n">
        <f aca="false">B21*ck_C_29_lo</f>
        <v>135.472679808202</v>
      </c>
      <c r="E21" s="16" t="n">
        <f aca="false">D21/B21-1</f>
        <v>-0.0999999999999999</v>
      </c>
    </row>
    <row r="22" customFormat="false" ht="15" hidden="false" customHeight="false" outlineLevel="0" collapsed="false">
      <c r="A22" s="0" t="s">
        <v>446</v>
      </c>
      <c r="B22" s="15" t="n">
        <f aca="false">Mkt!E129*ck_C_28</f>
        <v>160.560213106017</v>
      </c>
      <c r="C22" s="16" t="n">
        <f aca="false">B22/Mkt!E129-1</f>
        <v>-0.2</v>
      </c>
      <c r="D22" s="15" t="n">
        <f aca="false">B22*ck_C_29</f>
        <v>160.560213106017</v>
      </c>
      <c r="E22" s="16" t="n">
        <f aca="false">D22/B22-1</f>
        <v>0</v>
      </c>
    </row>
    <row r="23" customFormat="false" ht="15" hidden="false" customHeight="false" outlineLevel="0" collapsed="false">
      <c r="A23" s="0" t="s">
        <v>447</v>
      </c>
      <c r="B23" s="15" t="n">
        <f aca="false">Mkt!E129*ck_C_28_hi</f>
        <v>170.595226425143</v>
      </c>
      <c r="C23" s="16" t="n">
        <f aca="false">B23/Mkt!E129-1</f>
        <v>-0.15</v>
      </c>
      <c r="D23" s="15" t="n">
        <f aca="false">B23*ck_C_29_hi</f>
        <v>187.654749067658</v>
      </c>
      <c r="E23" s="16" t="n">
        <f aca="false">D23/B23-1</f>
        <v>0.1</v>
      </c>
    </row>
    <row r="24" customFormat="false" ht="15" hidden="false" customHeight="false" outlineLevel="0" collapsed="false">
      <c r="A24" s="8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7" t="s">
        <v>17</v>
      </c>
    </row>
    <row r="2" customFormat="false" ht="15" hidden="false" customHeight="false" outlineLevel="0" collapsed="false">
      <c r="A2" s="4" t="s">
        <v>17</v>
      </c>
      <c r="B2" s="4" t="s">
        <v>449</v>
      </c>
      <c r="C2" s="4" t="s">
        <v>450</v>
      </c>
      <c r="D2" s="4" t="s">
        <v>18</v>
      </c>
    </row>
    <row r="3" customFormat="false" ht="15" hidden="false" customHeight="false" outlineLevel="0" collapsed="false">
      <c r="A3" s="0" t="s">
        <v>451</v>
      </c>
      <c r="B3" s="0" t="s">
        <v>452</v>
      </c>
      <c r="C3" s="0" t="s">
        <v>453</v>
      </c>
      <c r="D3" s="8" t="s">
        <v>454</v>
      </c>
    </row>
    <row r="4" customFormat="false" ht="15" hidden="false" customHeight="false" outlineLevel="0" collapsed="false">
      <c r="A4" s="0" t="s">
        <v>455</v>
      </c>
      <c r="B4" s="0" t="s">
        <v>456</v>
      </c>
      <c r="C4" s="8" t="s">
        <v>457</v>
      </c>
      <c r="D4" s="8" t="s">
        <v>458</v>
      </c>
    </row>
    <row r="5" customFormat="false" ht="15" hidden="false" customHeight="false" outlineLevel="0" collapsed="false">
      <c r="A5" s="0" t="s">
        <v>459</v>
      </c>
      <c r="B5" s="0" t="s">
        <v>460</v>
      </c>
      <c r="C5" s="8" t="s">
        <v>270</v>
      </c>
      <c r="D5" s="8" t="s">
        <v>458</v>
      </c>
    </row>
    <row r="6" customFormat="false" ht="15" hidden="false" customHeight="false" outlineLevel="0" collapsed="false">
      <c r="A6" s="0" t="s">
        <v>461</v>
      </c>
      <c r="B6" s="0" t="s">
        <v>462</v>
      </c>
      <c r="C6" s="0" t="s">
        <v>463</v>
      </c>
      <c r="D6" s="8" t="s">
        <v>458</v>
      </c>
    </row>
    <row r="7" customFormat="false" ht="15" hidden="false" customHeight="false" outlineLevel="0" collapsed="false">
      <c r="A7" s="0" t="s">
        <v>464</v>
      </c>
      <c r="B7" s="0" t="s">
        <v>465</v>
      </c>
      <c r="C7" s="8" t="s">
        <v>466</v>
      </c>
      <c r="D7" s="8" t="s">
        <v>467</v>
      </c>
    </row>
    <row r="8" customFormat="false" ht="15" hidden="false" customHeight="false" outlineLevel="0" collapsed="false">
      <c r="A8" s="0" t="s">
        <v>468</v>
      </c>
      <c r="B8" s="0" t="s">
        <v>469</v>
      </c>
      <c r="C8" s="8" t="s">
        <v>470</v>
      </c>
      <c r="D8" s="8" t="s">
        <v>471</v>
      </c>
    </row>
    <row r="9" customFormat="false" ht="15" hidden="false" customHeight="false" outlineLevel="0" collapsed="false">
      <c r="A9" s="0" t="s">
        <v>472</v>
      </c>
      <c r="B9" s="0" t="s">
        <v>473</v>
      </c>
      <c r="C9" s="0" t="s">
        <v>474</v>
      </c>
      <c r="D9" s="8" t="s">
        <v>475</v>
      </c>
    </row>
    <row r="10" customFormat="false" ht="15" hidden="false" customHeight="false" outlineLevel="0" collapsed="false">
      <c r="A10" s="0" t="s">
        <v>476</v>
      </c>
      <c r="B10" s="0" t="s">
        <v>477</v>
      </c>
      <c r="C10" s="0" t="s">
        <v>478</v>
      </c>
      <c r="D10" s="8" t="s">
        <v>458</v>
      </c>
    </row>
    <row r="11" customFormat="false" ht="15" hidden="false" customHeight="false" outlineLevel="0" collapsed="false">
      <c r="A11" s="0" t="s">
        <v>479</v>
      </c>
      <c r="B11" s="0" t="s">
        <v>480</v>
      </c>
      <c r="C11" s="0" t="s">
        <v>481</v>
      </c>
      <c r="D11" s="8" t="s">
        <v>458</v>
      </c>
    </row>
    <row r="12" customFormat="false" ht="15" hidden="false" customHeight="false" outlineLevel="0" collapsed="false">
      <c r="A12" s="0" t="s">
        <v>482</v>
      </c>
      <c r="B12" s="0" t="s">
        <v>483</v>
      </c>
      <c r="C12" s="0" t="s">
        <v>484</v>
      </c>
      <c r="D12" s="8" t="s">
        <v>485</v>
      </c>
    </row>
    <row r="13" customFormat="false" ht="15" hidden="false" customHeight="false" outlineLevel="0" collapsed="false">
      <c r="A13" s="0" t="s">
        <v>486</v>
      </c>
      <c r="B13" s="0" t="s">
        <v>487</v>
      </c>
      <c r="C13" s="8" t="s">
        <v>488</v>
      </c>
      <c r="D13" s="8" t="s">
        <v>489</v>
      </c>
    </row>
    <row r="14" customFormat="false" ht="15" hidden="false" customHeight="false" outlineLevel="0" collapsed="false">
      <c r="A14" s="0" t="s">
        <v>490</v>
      </c>
      <c r="B14" s="0" t="s">
        <v>491</v>
      </c>
      <c r="C14" s="0" t="s">
        <v>492</v>
      </c>
      <c r="D14" s="8" t="s">
        <v>458</v>
      </c>
    </row>
    <row r="15" customFormat="false" ht="15" hidden="false" customHeight="false" outlineLevel="0" collapsed="false">
      <c r="A15" s="0" t="s">
        <v>493</v>
      </c>
      <c r="B15" s="0" t="s">
        <v>273</v>
      </c>
      <c r="C15" s="0" t="s">
        <v>494</v>
      </c>
      <c r="D15" s="8" t="s">
        <v>485</v>
      </c>
    </row>
    <row r="16" customFormat="false" ht="15" hidden="false" customHeight="false" outlineLevel="0" collapsed="false">
      <c r="A16" s="0" t="s">
        <v>495</v>
      </c>
      <c r="B16" s="0" t="s">
        <v>496</v>
      </c>
      <c r="C16" s="8" t="s">
        <v>497</v>
      </c>
      <c r="D16" s="8" t="s">
        <v>498</v>
      </c>
    </row>
    <row r="17" customFormat="false" ht="15" hidden="false" customHeight="false" outlineLevel="0" collapsed="false">
      <c r="A17" s="0" t="s">
        <v>499</v>
      </c>
      <c r="B17" s="0" t="s">
        <v>500</v>
      </c>
      <c r="C17" s="8" t="s">
        <v>501</v>
      </c>
      <c r="D17" s="8" t="s">
        <v>502</v>
      </c>
    </row>
    <row r="18" customFormat="false" ht="15" hidden="false" customHeight="false" outlineLevel="0" collapsed="false">
      <c r="A18" s="0" t="s">
        <v>503</v>
      </c>
      <c r="B18" s="0" t="s">
        <v>504</v>
      </c>
      <c r="C18" s="0" t="s">
        <v>505</v>
      </c>
      <c r="D18" s="8" t="s">
        <v>475</v>
      </c>
    </row>
    <row r="19" customFormat="false" ht="15" hidden="false" customHeight="false" outlineLevel="0" collapsed="false">
      <c r="A19" s="0" t="s">
        <v>506</v>
      </c>
      <c r="B19" s="0" t="s">
        <v>507</v>
      </c>
      <c r="C19" s="8" t="s">
        <v>508</v>
      </c>
      <c r="D19" s="8" t="s">
        <v>509</v>
      </c>
    </row>
    <row r="20" customFormat="false" ht="15" hidden="false" customHeight="false" outlineLevel="0" collapsed="false">
      <c r="A20" s="0" t="s">
        <v>510</v>
      </c>
      <c r="B20" s="0" t="s">
        <v>511</v>
      </c>
      <c r="C20" s="8" t="s">
        <v>512</v>
      </c>
      <c r="D20" s="8" t="s">
        <v>458</v>
      </c>
    </row>
    <row r="21" customFormat="false" ht="15" hidden="false" customHeight="false" outlineLevel="0" collapsed="false">
      <c r="A21" s="0" t="s">
        <v>513</v>
      </c>
      <c r="B21" s="0" t="s">
        <v>514</v>
      </c>
      <c r="C21" s="8" t="s">
        <v>515</v>
      </c>
      <c r="D21" s="8" t="s">
        <v>458</v>
      </c>
    </row>
    <row r="22" customFormat="false" ht="15" hidden="false" customHeight="false" outlineLevel="0" collapsed="false">
      <c r="A22" s="0" t="s">
        <v>516</v>
      </c>
      <c r="B22" s="0" t="s">
        <v>517</v>
      </c>
      <c r="C22" s="8" t="s">
        <v>518</v>
      </c>
      <c r="D22" s="8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2026-10-22T07:49:39Z</dcterms:created>
  <dc:creator>openpyxl</dc:creator>
  <dc:description/>
  <dc:language>en-US</dc:language>
  <cp:lastModifiedBy/>
  <dcterms:modified xsi:type="dcterms:W3CDTF">2026-10-22T07:49:39Z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