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Mkt" sheetId="3" state="visible" r:id="rId5"/>
    <sheet name="Recon" sheetId="4" state="visible" r:id="rId6"/>
    <sheet name="Sens" sheetId="5" state="visible" r:id="rId7"/>
    <sheet name="Sources" sheetId="6" state="visible" r:id="rId8"/>
  </sheets>
  <definedNames>
    <definedName function="false" hidden="false" name="adv_other" vbProcedure="false">In!$E$71</definedName>
    <definedName function="false" hidden="false" name="adv_other_hi" vbProcedure="false">In!$F$71</definedName>
    <definedName function="false" hidden="false" name="adv_other_lo" vbProcedure="false">In!$D$71</definedName>
    <definedName function="false" hidden="false" name="cap_mu_25" vbProcedure="false">In!$E$23</definedName>
    <definedName function="false" hidden="false" name="cap_mu_26" vbProcedure="false">In!$E$10</definedName>
    <definedName function="false" hidden="false" name="cap_mu_27" vbProcedure="false">In!$E$11</definedName>
    <definedName function="false" hidden="false" name="cap_mu_28" vbProcedure="false">In!$E$12</definedName>
    <definedName function="false" hidden="false" name="cap_mu_29" vbProcedure="false">In!$E$13</definedName>
    <definedName function="false" hidden="false" name="cap_sk_25" vbProcedure="false">In!$E$22</definedName>
    <definedName function="false" hidden="false" name="cap_sk_25_hi" vbProcedure="false">In!$F$22</definedName>
    <definedName function="false" hidden="false" name="cap_sk_25_lo" vbProcedure="false">In!$D$22</definedName>
    <definedName function="false" hidden="false" name="cap_sk_26" vbProcedure="false">In!$E$6</definedName>
    <definedName function="false" hidden="false" name="cap_sk_27" vbProcedure="false">In!$E$7</definedName>
    <definedName function="false" hidden="false" name="cap_sk_28" vbProcedure="false">In!$E$8</definedName>
    <definedName function="false" hidden="false" name="cap_sk_29" vbProcedure="false">In!$E$9</definedName>
    <definedName function="false" hidden="false" name="cap_ssds_25" vbProcedure="false">In!$E$24</definedName>
    <definedName function="false" hidden="false" name="cap_ss_26" vbProcedure="false">In!$E$14</definedName>
    <definedName function="false" hidden="false" name="cap_ss_27" vbProcedure="false">In!$E$15</definedName>
    <definedName function="false" hidden="false" name="cap_ss_28" vbProcedure="false">In!$E$16</definedName>
    <definedName function="false" hidden="false" name="cap_ss_29" vbProcedure="false">In!$E$17</definedName>
    <definedName function="false" hidden="false" name="cap_ts_25" vbProcedure="false">In!$E$26</definedName>
    <definedName function="false" hidden="false" name="cap_ts_25_hi" vbProcedure="false">In!$F$26</definedName>
    <definedName function="false" hidden="false" name="cap_ts_25_lo" vbProcedure="false">In!$D$26</definedName>
    <definedName function="false" hidden="false" name="cap_ts_26" vbProcedure="false">In!$E$18</definedName>
    <definedName function="false" hidden="false" name="cap_ts_27" vbProcedure="false">In!$E$19</definedName>
    <definedName function="false" hidden="false" name="cap_ts_28" vbProcedure="false">In!$E$20</definedName>
    <definedName function="false" hidden="false" name="cap_ts_29" vbProcedure="false">In!$E$21</definedName>
    <definedName function="false" hidden="false" name="ck_B_28" vbProcedure="false">In!$E$66</definedName>
    <definedName function="false" hidden="false" name="ck_B_28_hi" vbProcedure="false">In!$F$66</definedName>
    <definedName function="false" hidden="false" name="ck_B_28_lo" vbProcedure="false">In!$D$66</definedName>
    <definedName function="false" hidden="false" name="ck_B_29" vbProcedure="false">In!$E$68</definedName>
    <definedName function="false" hidden="false" name="ck_B_29_hi" vbProcedure="false">In!$F$68</definedName>
    <definedName function="false" hidden="false" name="ck_B_29_lo" vbProcedure="false">In!$D$68</definedName>
    <definedName function="false" hidden="false" name="ck_C_28" vbProcedure="false">In!$E$67</definedName>
    <definedName function="false" hidden="false" name="ck_C_28_hi" vbProcedure="false">In!$F$67</definedName>
    <definedName function="false" hidden="false" name="ck_C_28_lo" vbProcedure="false">In!$D$67</definedName>
    <definedName function="false" hidden="false" name="ck_C_29" vbProcedure="false">In!$E$69</definedName>
    <definedName function="false" hidden="false" name="ck_C_29_hi" vbProcedure="false">In!$F$69</definedName>
    <definedName function="false" hidden="false" name="ck_C_29_lo" vbProcedure="false">In!$D$69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29" vbProcedure="false">In!$E$64</definedName>
    <definedName function="false" hidden="false" name="g29_hi" vbProcedure="false">In!$F$64</definedName>
    <definedName function="false" hidden="false" name="g29_lo" vbProcedure="false">In!$D$64</definedName>
    <definedName function="false" hidden="false" name="g_dram_26" vbProcedure="false">In!$E$40</definedName>
    <definedName function="false" hidden="false" name="g_dram_27" vbProcedure="false">In!$E$41</definedName>
    <definedName function="false" hidden="false" name="g_dram_28" vbProcedure="false">In!$E$42</definedName>
    <definedName function="false" hidden="false" name="g_fd_26" vbProcedure="false">In!$E$48</definedName>
    <definedName function="false" hidden="false" name="g_fd_27" vbProcedure="false">In!$E$49</definedName>
    <definedName function="false" hidden="false" name="g_fd_28" vbProcedure="false">In!$E$50</definedName>
    <definedName function="false" hidden="false" name="g_nand_26" vbProcedure="false">In!$E$44</definedName>
    <definedName function="false" hidden="false" name="g_nand_27" vbProcedure="false">In!$E$45</definedName>
    <definedName function="false" hidden="false" name="g_nand_28" vbProcedure="false">In!$E$46</definedName>
    <definedName function="false" hidden="false" name="g_oth_dram" vbProcedure="false">In!$E$35</definedName>
    <definedName function="false" hidden="false" name="g_oth_dram_hi" vbProcedure="false">In!$F$35</definedName>
    <definedName function="false" hidden="false" name="g_oth_dram_lo" vbProcedure="false">In!$D$35</definedName>
    <definedName function="false" hidden="false" name="g_oth_fd" vbProcedure="false">In!$E$37</definedName>
    <definedName function="false" hidden="false" name="g_oth_fd_hi" vbProcedure="false">In!$F$37</definedName>
    <definedName function="false" hidden="false" name="g_oth_fd_lo" vbProcedure="false">In!$D$37</definedName>
    <definedName function="false" hidden="false" name="g_oth_nand" vbProcedure="false">In!$E$36</definedName>
    <definedName function="false" hidden="false" name="g_oth_nand_hi" vbProcedure="false">In!$F$36</definedName>
    <definedName function="false" hidden="false" name="g_oth_nand_lo" vbProcedure="false">In!$D$36</definedName>
    <definedName function="false" hidden="false" name="g_pkg_26" vbProcedure="false">In!$E$59</definedName>
    <definedName function="false" hidden="false" name="g_test_26" vbProcedure="false">In!$E$56</definedName>
    <definedName function="false" hidden="false" name="g_tot_26" vbProcedure="false">In!$E$62</definedName>
    <definedName function="false" hidden="false" name="g_wfe_26" vbProcedure="false">In!$E$52</definedName>
    <definedName function="false" hidden="false" name="g_wfe_27" vbProcedure="false">In!$E$53</definedName>
    <definedName function="false" hidden="false" name="g_wfe_28" vbProcedure="false">In!$E$54</definedName>
    <definedName function="false" hidden="false" name="pkg_adv" vbProcedure="false">In!$E$72</definedName>
    <definedName function="false" hidden="false" name="pkg_adv_hi" vbProcedure="false">In!$F$72</definedName>
    <definedName function="false" hidden="false" name="pkg_adv_lo" vbProcedure="false">In!$D$72</definedName>
    <definedName function="false" hidden="false" name="rc_gs26" vbProcedure="false">In!$E$80</definedName>
    <definedName function="false" hidden="false" name="rc_gs27" vbProcedure="false">In!$E$81</definedName>
    <definedName function="false" hidden="false" name="rc_gs28" vbProcedure="false">In!$E$82</definedName>
    <definedName function="false" hidden="false" name="rc_kla26" vbProcedure="false">In!$E$76</definedName>
    <definedName function="false" hidden="false" name="rc_kla27" vbProcedure="false">In!$E$77</definedName>
    <definedName function="false" hidden="false" name="rc_lam26" vbProcedure="false">In!$E$74</definedName>
    <definedName function="false" hidden="false" name="rc_lam27" vbProcedure="false">In!$E$75</definedName>
    <definedName function="false" hidden="false" name="rc_ms27" vbProcedure="false">In!$E$78</definedName>
    <definedName function="false" hidden="false" name="rc_ms28" vbProcedure="false">In!$E$79</definedName>
    <definedName function="false" hidden="false" name="rc_thr" vbProcedure="false">In!$E$83</definedName>
    <definedName function="false" hidden="false" name="sh_fd" vbProcedure="false">In!$E$33</definedName>
    <definedName function="false" hidden="false" name="sh_fd_hi" vbProcedure="false">In!$F$33</definedName>
    <definedName function="false" hidden="false" name="sh_fd_lo" vbProcedure="false">In!$D$33</definedName>
    <definedName function="false" hidden="false" name="sh_mu_25" vbProcedure="false">In!$E$28</definedName>
    <definedName function="false" hidden="false" name="sh_mu_25_hi" vbProcedure="false">In!$F$28</definedName>
    <definedName function="false" hidden="false" name="sh_mu_25_lo" vbProcedure="false">In!$D$28</definedName>
    <definedName function="false" hidden="false" name="sh_mu_26" vbProcedure="false">In!$E$29</definedName>
    <definedName function="false" hidden="false" name="sh_mu_26_hi" vbProcedure="false">In!$F$29</definedName>
    <definedName function="false" hidden="false" name="sh_mu_26_lo" vbProcedure="false">In!$D$29</definedName>
    <definedName function="false" hidden="false" name="sh_mu_27" vbProcedure="false">In!$E$30</definedName>
    <definedName function="false" hidden="false" name="sh_mu_27_hi" vbProcedure="false">In!$F$30</definedName>
    <definedName function="false" hidden="false" name="sh_mu_27_lo" vbProcedure="false">In!$D$30</definedName>
    <definedName function="false" hidden="false" name="sh_sk" vbProcedure="false">In!$E$31</definedName>
    <definedName function="false" hidden="false" name="sh_sk_hi" vbProcedure="false">In!$F$31</definedName>
    <definedName function="false" hidden="false" name="sh_sk_lo" vbProcedure="false">In!$D$31</definedName>
    <definedName function="false" hidden="false" name="sh_ss" vbProcedure="false">In!$E$32</definedName>
    <definedName function="false" hidden="false" name="sh_ss_hi" vbProcedure="false">In!$F$32</definedName>
    <definedName function="false" hidden="false" name="sh_ss_lo" vbProcedure="false">In!$D$32</definedName>
    <definedName function="false" hidden="false" name="ss_mem" vbProcedure="false">In!$E$25</definedName>
    <definedName function="false" hidden="false" name="ss_mem_hi" vbProcedure="false">In!$F$25</definedName>
    <definedName function="false" hidden="false" name="ss_mem_lo" vbProcedure="false">In!$D$25</definedName>
    <definedName function="false" hidden="false" name="s_dram_26" vbProcedure="false">In!$E$39</definedName>
    <definedName function="false" hidden="false" name="s_fd_26" vbProcedure="false">In!$E$47</definedName>
    <definedName function="false" hidden="false" name="s_nand_26" vbProcedure="false">In!$E$43</definedName>
    <definedName function="false" hidden="false" name="s_pkg_26" vbProcedure="false">In!$E$58</definedName>
    <definedName function="false" hidden="false" name="s_pkg_28" vbProcedure="false">In!$E$60</definedName>
    <definedName function="false" hidden="false" name="s_test_26" vbProcedure="false">In!$E$55</definedName>
    <definedName function="false" hidden="false" name="s_test_28" vbProcedure="false">In!$E$57</definedName>
    <definedName function="false" hidden="false" name="s_tot_26" vbProcedure="false">In!$E$61</definedName>
    <definedName function="false" hidden="false" name="s_tot_28" vbProcedure="false">In!$E$63</definedName>
    <definedName function="false" hidden="false" name="s_wfe_26" vbProcedure="false">In!$E$51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<sst xmlns="http://schemas.openxmlformats.org/spreadsheetml/2006/main" count="1021" uniqueCount="611">
  <si>
    <r>
      <rPr>
        <b val="true"/>
        <sz val="11"/>
        <rFont val="WenQuanYi Zen Hei"/>
        <family val="2"/>
      </rPr>
      <t xml:space="preserve">半導體設備市場模型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WenQuanYi Zen Hei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WenQuanYi Zen Hei"/>
        <family val="2"/>
      </rPr>
      <t xml:space="preserve">：設備與材料——設備部分）　</t>
    </r>
    <r>
      <rPr>
        <b val="true"/>
        <sz val="11"/>
        <rFont val="Cambria"/>
        <family val="0"/>
        <charset val="1"/>
      </rPr>
      <t xml:space="preserve">2026-10-22</t>
    </r>
  </si>
  <si>
    <r>
      <rPr>
        <sz val="11"/>
        <rFont val="WenQuanYi Zen Hei"/>
        <family val="2"/>
      </rPr>
      <t xml:space="preserve">模型命題：設備需求＝為滿足記憶體、代工擴產所需的資本支出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設備占比；本模型回答核心問題 </t>
    </r>
    <r>
      <rPr>
        <sz val="11"/>
        <rFont val="Cambria"/>
        <family val="0"/>
        <charset val="1"/>
      </rPr>
      <t xml:space="preserve">1——</t>
    </r>
    <r>
      <rPr>
        <sz val="11"/>
        <rFont val="WenQuanYi Zen Hei"/>
        <family val="2"/>
      </rPr>
      <t xml:space="preserve">設備循環在 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還是 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見頂——並列出核心問題 </t>
    </r>
    <r>
      <rPr>
        <sz val="11"/>
        <rFont val="Cambria"/>
        <family val="0"/>
        <charset val="1"/>
      </rPr>
      <t xml:space="preserve">2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3 </t>
    </r>
    <r>
      <rPr>
        <sz val="11"/>
        <rFont val="WenQuanYi Zen Hei"/>
        <family val="2"/>
      </rPr>
      <t xml:space="preserve">的瓶頸表。公司份額與毛利留給公司層，</t>
    </r>
    <r>
      <rPr>
        <sz val="11"/>
        <rFont val="Cambria"/>
        <family val="0"/>
        <charset val="1"/>
      </rPr>
      <t xml:space="preserve">v0.1 </t>
    </r>
    <r>
      <rPr>
        <sz val="11"/>
        <rFont val="WenQuanYi Zen Hei"/>
        <family val="2"/>
      </rPr>
      <t xml:space="preserve">不做。</t>
    </r>
  </si>
  <si>
    <t xml:space="preserve">驅動因子 → 推導量</t>
  </si>
  <si>
    <r>
      <rPr>
        <sz val="11"/>
        <rFont val="Cambria"/>
        <family val="0"/>
        <charset val="1"/>
      </rPr>
      <t xml:space="preserve">In</t>
    </r>
    <r>
      <rPr>
        <sz val="11"/>
        <rFont val="WenQuanYi Zen Hei"/>
        <family val="2"/>
      </rPr>
      <t xml:space="preserve">：公司資本支出（讀自 </t>
    </r>
    <r>
      <rPr>
        <sz val="11"/>
        <rFont val="Cambria"/>
        <family val="0"/>
        <charset val="1"/>
      </rPr>
      <t xml:space="preserve">skhynix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micron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samsung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tsmc dist</t>
    </r>
    <r>
      <rPr>
        <sz val="11"/>
        <rFont val="WenQuanYi Zen Hei"/>
        <family val="2"/>
      </rPr>
      <t xml:space="preserve">，不修改它們）、設備占資本支出比例（兩個來源給低／高）、</t>
    </r>
    <r>
      <rPr>
        <sz val="11"/>
        <rFont val="Cambria"/>
        <family val="0"/>
        <charset val="1"/>
      </rPr>
      <t xml:space="preserve">SEMI 2026-07 </t>
    </r>
    <r>
      <rPr>
        <sz val="11"/>
        <rFont val="WenQuanYi Zen Hei"/>
        <family val="2"/>
      </rPr>
      <t xml:space="preserve">分項、情境係數（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）、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分類假設</t>
    </r>
  </si>
  <si>
    <r>
      <rPr>
        <sz val="11"/>
        <rFont val="Cambria"/>
        <family val="0"/>
        <charset val="1"/>
      </rPr>
      <t xml:space="preserve">Mkt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年用「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實績 − 已知廠」求其他廠基準（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）；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起記憶體＝三家資本支出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設備占比 ＋ 其他廠（基準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成長率，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）；代工邏輯＝台積電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占比 ＋ 其他廠；測試與封裝＝</t>
    </r>
    <r>
      <rPr>
        <sz val="11"/>
        <rFont val="Cambria"/>
        <family val="0"/>
        <charset val="1"/>
      </rPr>
      <t xml:space="preserve">SEMI</t>
    </r>
    <r>
      <rPr>
        <sz val="11"/>
        <rFont val="WenQuanYi Zen Hei"/>
        <family val="2"/>
      </rPr>
      <t xml:space="preserve">；三情境 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增量占比；見頂年度</t>
    </r>
  </si>
  <si>
    <r>
      <rPr>
        <sz val="11"/>
        <rFont val="Cambria"/>
        <family val="0"/>
        <charset val="1"/>
      </rPr>
      <t xml:space="preserve">Recon</t>
    </r>
    <r>
      <rPr>
        <sz val="11"/>
        <rFont val="WenQuanYi Zen Hei"/>
        <family val="2"/>
      </rPr>
      <t xml:space="preserve">：對 </t>
    </r>
    <r>
      <rPr>
        <sz val="11"/>
        <rFont val="Cambria"/>
        <family val="0"/>
        <charset val="1"/>
      </rPr>
      <t xml:space="preserve">SEMI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Lam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KLA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Morgan Stanley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Goldman Sachs </t>
    </r>
    <r>
      <rPr>
        <sz val="11"/>
        <rFont val="WenQuanYi Zen Hei"/>
        <family val="2"/>
      </rPr>
      <t xml:space="preserve">的差距；不為對上而調參。</t>
    </r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：占比、匯率、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資本支出、其他廠成長率與基準、情境係數</t>
    </r>
  </si>
  <si>
    <r>
      <rPr>
        <b val="true"/>
        <sz val="11"/>
        <rFont val="WenQuanYi Zen Hei"/>
        <family val="2"/>
      </rPr>
      <t xml:space="preserve">結果摘要（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建置時；見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WenQuanYi Zen Hei"/>
        <family val="2"/>
      </rPr>
      <t xml:space="preserve">摘要區）</t>
    </r>
  </si>
  <si>
    <r>
      <rPr>
        <sz val="11"/>
        <rFont val="WenQuanYi Zen Hei"/>
        <family val="2"/>
      </rPr>
      <t xml:space="preserve">設備總額（</t>
    </r>
    <r>
      <rPr>
        <sz val="11"/>
        <rFont val="Cambria"/>
        <family val="0"/>
        <charset val="1"/>
      </rPr>
      <t xml:space="preserve">$B</t>
    </r>
    <r>
      <rPr>
        <sz val="11"/>
        <rFont val="WenQuanYi Zen Hei"/>
        <family val="2"/>
      </rPr>
      <t xml:space="preserve">）：</t>
    </r>
    <r>
      <rPr>
        <sz val="11"/>
        <rFont val="Cambria"/>
        <family val="0"/>
        <charset val="1"/>
      </rPr>
      <t xml:space="preserve">A 2025–2029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134.7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181.6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222.7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250.3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262.6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仍增，未在區間內見頂）；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134.7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181.6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222.7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222.7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211.6</t>
    </r>
    <r>
      <rPr>
        <sz val="11"/>
        <rFont val="WenQuanYi Zen Hei"/>
        <family val="2"/>
      </rPr>
      <t xml:space="preserve">（見頂 </t>
    </r>
    <r>
      <rPr>
        <sz val="11"/>
        <rFont val="Cambria"/>
        <family val="0"/>
        <charset val="1"/>
      </rPr>
      <t xml:space="preserve">2028</t>
    </r>
    <r>
      <rPr>
        <sz val="11"/>
        <rFont val="WenQuanYi Zen Hei"/>
        <family val="2"/>
      </rPr>
      <t xml:space="preserve">，與 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同水準）；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134.7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181.6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222.7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178.2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178.2</t>
    </r>
    <r>
      <rPr>
        <sz val="11"/>
        <rFont val="WenQuanYi Zen Hei"/>
        <family val="2"/>
      </rPr>
      <t xml:space="preserve">（見頂 </t>
    </r>
    <r>
      <rPr>
        <sz val="11"/>
        <rFont val="Cambria"/>
        <family val="0"/>
        <charset val="1"/>
      </rPr>
      <t xml:space="preserve">2027</t>
    </r>
    <r>
      <rPr>
        <sz val="11"/>
        <rFont val="WenQuanYi Zen Hei"/>
        <family val="2"/>
      </rPr>
      <t xml:space="preserve">）。</t>
    </r>
  </si>
  <si>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年以後總額由下而上：三家記憶體與台積電的資本支出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設備占比，加「其他廠＝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基準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）」；其他前段維持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年占比；測試與封裝為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輸入。</t>
    </r>
    <r>
      <rPr>
        <sz val="11"/>
        <rFont val="Cambria"/>
        <family val="0"/>
        <charset val="1"/>
      </rPr>
      <t xml:space="preserve">SEMI 2026 </t>
    </r>
    <r>
      <rPr>
        <sz val="11"/>
        <rFont val="WenQuanYi Zen Hei"/>
        <family val="2"/>
      </rPr>
      <t xml:space="preserve">以後的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WenQuanYi Zen Hei"/>
        <family val="2"/>
      </rPr>
      <t xml:space="preserve">、代工邏輯、前段預測只用於對帳。</t>
    </r>
  </si>
  <si>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相關增量（先進邏輯＋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HBM</t>
    </r>
    <r>
      <rPr>
        <sz val="11"/>
        <rFont val="WenQuanYi Zen Hei"/>
        <family val="2"/>
      </rPr>
      <t xml:space="preserve">＋先進封裝）占總增量（相對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累計）：</t>
    </r>
    <r>
      <rPr>
        <sz val="11"/>
        <rFont val="Cambria"/>
        <family val="0"/>
        <charset val="1"/>
      </rPr>
      <t xml:space="preserve">A 2026–2029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64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64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61%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B 64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64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64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65%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C 64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64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72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72%</t>
    </r>
    <r>
      <rPr>
        <sz val="11"/>
        <rFont val="WenQuanYi Zen Hei"/>
        <family val="2"/>
      </rPr>
      <t xml:space="preserve">。結論取決於情境係數（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），不是預測。</t>
    </r>
  </si>
  <si>
    <t xml:space="preserve">限制</t>
  </si>
  <si>
    <r>
      <rPr>
        <sz val="11"/>
        <rFont val="Cambria"/>
        <family val="0"/>
        <charset val="1"/>
      </rPr>
      <t xml:space="preserve">(1) 2025 </t>
    </r>
    <r>
      <rPr>
        <sz val="11"/>
        <rFont val="WenQuanYi Zen Hei"/>
        <family val="2"/>
      </rPr>
      <t xml:space="preserve">其他記憶體廠殘差近 </t>
    </r>
    <r>
      <rPr>
        <sz val="11"/>
        <rFont val="Cambria"/>
        <family val="0"/>
        <charset val="1"/>
      </rPr>
      <t xml:space="preserve">0</t>
    </r>
    <r>
      <rPr>
        <sz val="11"/>
        <rFont val="WenQuanYi Zen Hei"/>
        <family val="2"/>
      </rPr>
      <t xml:space="preserve">（＋</t>
    </r>
    <r>
      <rPr>
        <sz val="11"/>
        <rFont val="Cambria"/>
        <family val="0"/>
        <charset val="1"/>
      </rPr>
      <t xml:space="preserve">0.05 $B</t>
    </r>
    <r>
      <rPr>
        <sz val="11"/>
        <rFont val="WenQuanYi Zen Hei"/>
        <family val="2"/>
      </rPr>
      <t xml:space="preserve">）而非負值：三家資本支出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設備占比已幾乎填滿 </t>
    </r>
    <r>
      <rPr>
        <sz val="11"/>
        <rFont val="Cambria"/>
        <family val="0"/>
        <charset val="1"/>
      </rPr>
      <t xml:space="preserve">SEMI 2025 </t>
    </r>
    <r>
      <rPr>
        <sz val="11"/>
        <rFont val="WenQuanYi Zen Hei"/>
        <family val="2"/>
      </rPr>
      <t xml:space="preserve">記憶體總額；其他廠基準因此近 </t>
    </r>
    <r>
      <rPr>
        <sz val="11"/>
        <rFont val="Cambria"/>
        <family val="0"/>
        <charset val="1"/>
      </rPr>
      <t xml:space="preserve">0</t>
    </r>
    <r>
      <rPr>
        <sz val="11"/>
        <rFont val="WenQuanYi Zen Hei"/>
        <family val="2"/>
      </rPr>
      <t xml:space="preserve">，與其他廠實際存在矛盾。最可能原因：三星記憶體資本支出假設（</t>
    </r>
    <r>
      <rPr>
        <sz val="11"/>
        <rFont val="Cambria"/>
        <family val="0"/>
        <charset val="1"/>
      </rPr>
      <t xml:space="preserve">DS 47.5 </t>
    </r>
    <r>
      <rPr>
        <sz val="11"/>
        <rFont val="WenQuanYi Zen Hei"/>
        <family val="2"/>
      </rPr>
      <t xml:space="preserve">兆 </t>
    </r>
    <r>
      <rPr>
        <sz val="11"/>
        <rFont val="Cambria"/>
        <family val="0"/>
        <charset val="1"/>
      </rPr>
      <t xml:space="preserve">× 75%</t>
    </r>
    <r>
      <rPr>
        <sz val="11"/>
        <rFont val="WenQuanYi Zen Hei"/>
        <family val="2"/>
      </rPr>
      <t xml:space="preserve">）、資本支出與設備認列的時差、口徑差異。</t>
    </r>
    <r>
      <rPr>
        <sz val="11"/>
        <rFont val="Cambria"/>
        <family val="0"/>
        <charset val="1"/>
      </rPr>
      <t xml:space="preserve">Sens </t>
    </r>
    <r>
      <rPr>
        <sz val="11"/>
        <rFont val="WenQuanYi Zen Hei"/>
        <family val="2"/>
      </rPr>
      <t xml:space="preserve">列出基準 ＋</t>
    </r>
    <r>
      <rPr>
        <sz val="11"/>
        <rFont val="Cambria"/>
        <family val="0"/>
        <charset val="1"/>
      </rPr>
      <t xml:space="preserve">5</t>
    </r>
    <r>
      <rPr>
        <sz val="11"/>
        <rFont val="WenQuanYi Zen Hei"/>
        <family val="2"/>
      </rPr>
      <t xml:space="preserve">／＋</t>
    </r>
    <r>
      <rPr>
        <sz val="11"/>
        <rFont val="Cambria"/>
        <family val="0"/>
        <charset val="1"/>
      </rPr>
      <t xml:space="preserve">10</t>
    </r>
    <r>
      <rPr>
        <sz val="11"/>
        <rFont val="WenQuanYi Zen Hei"/>
        <family val="2"/>
      </rPr>
      <t xml:space="preserve">／＋</t>
    </r>
    <r>
      <rPr>
        <sz val="11"/>
        <rFont val="Cambria"/>
        <family val="0"/>
        <charset val="1"/>
      </rPr>
      <t xml:space="preserve">20 $B </t>
    </r>
    <r>
      <rPr>
        <sz val="11"/>
        <rFont val="WenQuanYi Zen Hei"/>
        <family val="2"/>
      </rPr>
      <t xml:space="preserve">的影響。</t>
    </r>
  </si>
  <si>
    <r>
      <rPr>
        <sz val="11"/>
        <rFont val="Cambria"/>
        <family val="0"/>
        <charset val="1"/>
      </rPr>
      <t xml:space="preserve">(2) </t>
    </r>
    <r>
      <rPr>
        <sz val="11"/>
        <rFont val="WenQuanYi Zen Hei"/>
        <family val="2"/>
      </rPr>
      <t xml:space="preserve">其他廠成長率為 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（依鎧俠、中芯、</t>
    </r>
    <r>
      <rPr>
        <sz val="11"/>
        <rFont val="Cambria"/>
        <family val="0"/>
        <charset val="1"/>
      </rPr>
      <t xml:space="preserve">Intel </t>
    </r>
    <r>
      <rPr>
        <sz val="11"/>
        <rFont val="WenQuanYi Zen Hei"/>
        <family val="2"/>
      </rPr>
      <t xml:space="preserve">等指引與長鑫產能成長；長鑫、長江存儲、三星晶圓代工、華虹的資本支出指引未找到）。</t>
    </r>
    <r>
      <rPr>
        <sz val="11"/>
        <rFont val="Cambria"/>
        <family val="0"/>
        <charset val="1"/>
      </rPr>
      <t xml:space="preserve">(3) </t>
    </r>
    <r>
      <rPr>
        <sz val="11"/>
        <rFont val="WenQuanYi Zen Hei"/>
        <family val="2"/>
      </rPr>
      <t xml:space="preserve">測試與封裝以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為輸入：缺少每顆加速器的測試時間與每條產線鍵合機台數資料。</t>
    </r>
    <r>
      <rPr>
        <sz val="11"/>
        <rFont val="Cambria"/>
        <family val="0"/>
        <charset val="1"/>
      </rPr>
      <t xml:space="preserve">(4) </t>
    </r>
    <r>
      <rPr>
        <sz val="11"/>
        <rFont val="WenQuanYi Zen Hei"/>
        <family val="2"/>
      </rPr>
      <t xml:space="preserve">情境係數為 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，是「若 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則…」的情境。</t>
    </r>
  </si>
  <si>
    <r>
      <rPr>
        <sz val="11"/>
        <rFont val="Cambria"/>
        <family val="0"/>
        <charset val="1"/>
      </rPr>
      <t xml:space="preserve">(5) Morgan Stanley 202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227 </t>
    </r>
    <r>
      <rPr>
        <sz val="11"/>
        <rFont val="WenQuanYi Zen Hei"/>
        <family val="2"/>
      </rPr>
      <t xml:space="preserve">為 </t>
    </r>
    <r>
      <rPr>
        <sz val="11"/>
        <rFont val="Cambria"/>
        <family val="0"/>
        <charset val="1"/>
      </rPr>
      <t xml:space="preserve">itiger </t>
    </r>
    <r>
      <rPr>
        <sz val="11"/>
        <rFont val="WenQuanYi Zen Hei"/>
        <family val="2"/>
      </rPr>
      <t xml:space="preserve">二手轉述（連結由使用者提供，環境無法開啟，未直接核對；上修前 </t>
    </r>
    <r>
      <rPr>
        <sz val="11"/>
        <rFont val="Cambria"/>
        <family val="0"/>
        <charset val="1"/>
      </rPr>
      <t xml:space="preserve">191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215 </t>
    </r>
    <r>
      <rPr>
        <sz val="11"/>
        <rFont val="WenQuanYi Zen Hei"/>
        <family val="2"/>
      </rPr>
      <t xml:space="preserve">另有 </t>
    </r>
    <r>
      <rPr>
        <sz val="11"/>
        <rFont val="Cambria"/>
        <family val="0"/>
        <charset val="1"/>
      </rPr>
      <t xml:space="preserve">Investing.com </t>
    </r>
    <r>
      <rPr>
        <sz val="11"/>
        <rFont val="WenQuanYi Zen Hei"/>
        <family val="2"/>
      </rPr>
      <t xml:space="preserve">佐證）。</t>
    </r>
    <r>
      <rPr>
        <sz val="11"/>
        <rFont val="Cambria"/>
        <family val="0"/>
        <charset val="1"/>
      </rPr>
      <t xml:space="preserve">(6) </t>
    </r>
    <r>
      <rPr>
        <sz val="11"/>
        <rFont val="WenQuanYi Zen Hei"/>
        <family val="2"/>
      </rPr>
      <t xml:space="preserve">台積電資本支出含先進封裝，與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後段可能重疊。</t>
    </r>
  </si>
  <si>
    <r>
      <rPr>
        <sz val="11"/>
        <rFont val="Cambria"/>
        <family val="0"/>
        <charset val="1"/>
      </rPr>
      <t xml:space="preserve">(7) </t>
    </r>
    <r>
      <rPr>
        <sz val="11"/>
        <rFont val="WenQuanYi Zen Hei"/>
        <family val="2"/>
      </rPr>
      <t xml:space="preserve">時差：資本支出是現金支出，設備營收是出貨認列，兩者約差一到兩季，</t>
    </r>
    <r>
      <rPr>
        <sz val="11"/>
        <rFont val="Cambria"/>
        <family val="0"/>
        <charset val="1"/>
      </rPr>
      <t xml:space="preserve">v0.1 </t>
    </r>
    <r>
      <rPr>
        <sz val="11"/>
        <rFont val="WenQuanYi Zen Hei"/>
        <family val="2"/>
      </rPr>
      <t xml:space="preserve">沒有建模（年度金額直接相乘）。</t>
    </r>
    <r>
      <rPr>
        <sz val="11"/>
        <rFont val="Cambria"/>
        <family val="0"/>
        <charset val="1"/>
      </rPr>
      <t xml:space="preserve">(8) </t>
    </r>
    <r>
      <rPr>
        <sz val="11"/>
        <rFont val="WenQuanYi Zen Hei"/>
        <family val="2"/>
      </rPr>
      <t xml:space="preserve">設備占比：美光依公司揭露推導（引文為一手，比例為 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；公司原文是「增量」多數為建築，並未給設備占比）；</t>
    </r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海力士、三星、台積電未找到公司揭露，用業界 </t>
    </r>
    <r>
      <rPr>
        <sz val="11"/>
        <rFont val="Cambria"/>
        <family val="0"/>
        <charset val="1"/>
      </rPr>
      <t xml:space="preserve">58–70%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）。</t>
    </r>
  </si>
  <si>
    <r>
      <rPr>
        <b val="true"/>
        <sz val="11"/>
        <rFont val="WenQuanYi Zen Hei"/>
        <family val="2"/>
      </rPr>
      <t xml:space="preserve">瓶頸表（核心問題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只做表，不入模）</t>
    </r>
  </si>
  <si>
    <t xml:space="preserve">瓶頸</t>
  </si>
  <si>
    <r>
      <rPr>
        <b val="true"/>
        <sz val="11"/>
        <rFont val="WenQuanYi Zen Hei"/>
        <family val="2"/>
      </rPr>
      <t xml:space="preserve">現況（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能找到的證據）</t>
    </r>
  </si>
  <si>
    <t xml:space="preserve">來源</t>
  </si>
  <si>
    <t xml:space="preserve">證據強度</t>
  </si>
  <si>
    <t xml:space="preserve">對本模型的含意</t>
  </si>
  <si>
    <t xml:space="preserve">無塵室空間</t>
  </si>
  <si>
    <r>
      <rPr>
        <sz val="11"/>
        <color theme="1"/>
        <rFont val="WenQuanYi Zen Hei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資本支出『增量』一半以上為建築（</t>
    </r>
    <r>
      <rPr>
        <sz val="11"/>
        <color theme="1"/>
        <rFont val="Calibri"/>
        <family val="2"/>
        <charset val="1"/>
      </rPr>
      <t xml:space="preserve">FQ3 </t>
    </r>
    <r>
      <rPr>
        <sz val="11"/>
        <color theme="1"/>
        <rFont val="WenQuanYi Zen Hei"/>
        <family val="2"/>
      </rPr>
      <t xml:space="preserve">稿）、『增量』多數為建築且用於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下半年後的無塵室（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WenQuanYi Zen Hei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稱客戶受廠房就緒度與廠房外殼限制，壓住 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WenQuanYi Zen Hei"/>
        <family val="2"/>
      </rPr>
      <t xml:space="preserve">出貨；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證券稱記憶體供給成長受無塵室限制至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海力士首座無塵室提前到 </t>
    </r>
    <r>
      <rPr>
        <sz val="11"/>
        <color theme="1"/>
        <rFont val="Calibri"/>
        <family val="2"/>
        <charset val="1"/>
      </rPr>
      <t xml:space="preserve">2027-02</t>
    </r>
  </si>
  <si>
    <r>
      <rPr>
        <sz val="11"/>
        <color theme="1"/>
        <rFont val="Calibri"/>
        <family val="2"/>
        <charset val="1"/>
      </rPr>
      <t xml:space="preserve">Micron FQ3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KLA FQ2 2026 </t>
    </r>
    <r>
      <rPr>
        <sz val="11"/>
        <color theme="1"/>
        <rFont val="WenQuanYi Zen Hei"/>
        <family val="2"/>
      </rPr>
      <t xml:space="preserve">摘要）；</t>
    </r>
    <r>
      <rPr>
        <sz val="11"/>
        <color theme="1"/>
        <rFont val="Calibri"/>
        <family val="2"/>
        <charset val="1"/>
      </rPr>
      <t xml:space="preserve">Cleanroom Technology</t>
    </r>
    <r>
      <rPr>
        <sz val="11"/>
        <color theme="1"/>
        <rFont val="WenQuanYi Zen Hei"/>
        <family val="2"/>
      </rPr>
      <t xml:space="preserve">（三星 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WenQuanYi Zen Hei"/>
        <family val="2"/>
      </rPr>
      <t xml:space="preserve">）</t>
    </r>
  </si>
  <si>
    <t xml:space="preserve">強（美光一手）／中／弱</t>
  </si>
  <si>
    <r>
      <rPr>
        <sz val="11"/>
        <color theme="1"/>
        <rFont val="WenQuanYi Zen Hei"/>
        <family val="2"/>
      </rPr>
      <t xml:space="preserve">解釋為何三家資本支出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設備占比可能超過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記憶體總額；設備認列落後資本支出現金支出一至兩季，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未建模</t>
    </r>
  </si>
  <si>
    <t xml:space="preserve">長交期零組件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</si>
  <si>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：設備零組件（閥件管路、陶瓷、</t>
    </r>
    <r>
      <rPr>
        <sz val="11"/>
        <color theme="1"/>
        <rFont val="Calibri"/>
        <family val="2"/>
        <charset val="1"/>
      </rPr>
      <t xml:space="preserve">RF </t>
    </r>
    <r>
      <rPr>
        <sz val="11"/>
        <color theme="1"/>
        <rFont val="WenQuanYi Zen Hei"/>
        <family val="2"/>
      </rPr>
      <t xml:space="preserve">電源、氣體箱）交期據報倍增、最長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個月；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WenQuanYi Zen Hei"/>
        <family val="2"/>
      </rPr>
      <t xml:space="preserve">：日本關鍵零件最長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個月，沉積設備零組件由約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個月增至約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個月</t>
    </r>
  </si>
  <si>
    <r>
      <rPr>
        <sz val="11"/>
        <color theme="1"/>
        <rFont val="Calibri"/>
        <family val="2"/>
        <charset val="1"/>
      </rPr>
      <t xml:space="preserve">TrendForce 2026-09-18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BigGo Finance</t>
    </r>
  </si>
  <si>
    <r>
      <rPr>
        <sz val="11"/>
        <color theme="1"/>
        <rFont val="WenQuanYi Zen Hei"/>
        <family val="2"/>
      </rPr>
      <t xml:space="preserve">中（皆為「據報」）／弱；應用材料、</t>
    </r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WenQuanYi Zen Hei"/>
        <family val="2"/>
      </rPr>
      <t xml:space="preserve">的一手說法：未找到</t>
    </r>
  </si>
  <si>
    <r>
      <rPr>
        <sz val="11"/>
        <color theme="1"/>
        <rFont val="WenQuanYi Zen Hei"/>
        <family val="2"/>
      </rPr>
      <t xml:space="preserve">限制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WenQuanYi Zen Hei"/>
        <family val="2"/>
      </rPr>
      <t xml:space="preserve">設備出貨上限，不改變需求面；若上限生效，情境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可能偏高</t>
    </r>
  </si>
  <si>
    <t xml:space="preserve">EUV</t>
  </si>
  <si>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NA </t>
    </r>
    <r>
      <rPr>
        <sz val="11"/>
        <color theme="1"/>
        <rFont val="WenQuanYi Zen Hei"/>
        <family val="2"/>
      </rPr>
      <t xml:space="preserve">產能約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WenQuanYi Zen Hei"/>
        <family val="2"/>
      </rPr>
      <t xml:space="preserve">台、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再增約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需求超過供給（二手摘要）；各來源對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台數不一致（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WenQuanYi Zen Hei"/>
        <family val="2"/>
      </rPr>
      <t xml:space="preserve">／約 </t>
    </r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</si>
  <si>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ASML 2026 Q2 6-K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Pomegra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TechPowerUp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</t>
    </r>
    <r>
      <rPr>
        <sz val="11"/>
        <color theme="1"/>
        <rFont val="WenQuanYi Zen Hei"/>
        <family val="2"/>
      </rPr>
      <t xml:space="preserve">類二手整理</t>
    </r>
  </si>
  <si>
    <r>
      <rPr>
        <sz val="11"/>
        <color theme="1"/>
        <rFont val="WenQuanYi Zen Hei"/>
        <family val="2"/>
      </rPr>
      <t xml:space="preserve">強（產能，一手）／弱（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台數與供不應求，二手）</t>
    </r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</si>
  <si>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WenQuanYi Zen Hei"/>
        <family val="2"/>
      </rPr>
      <t xml:space="preserve">台數限制先進邏輯與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WenQuanYi Zen Hei"/>
        <family val="2"/>
      </rPr>
      <t xml:space="preserve">增量；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未建模</t>
    </r>
  </si>
  <si>
    <t xml:space="preserve">量測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</si>
  <si>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先進封裝製程控制營收約 </t>
    </r>
    <r>
      <rPr>
        <sz val="11"/>
        <color theme="1"/>
        <rFont val="Calibri"/>
        <family val="2"/>
        <charset val="1"/>
      </rPr>
      <t xml:space="preserve">$1.1B</t>
    </r>
    <r>
      <rPr>
        <sz val="11"/>
        <color theme="1"/>
        <rFont val="WenQuanYi Zen Hei"/>
        <family val="2"/>
      </rPr>
      <t xml:space="preserve">；交期 </t>
    </r>
    <r>
      <rPr>
        <sz val="11"/>
        <color theme="1"/>
        <rFont val="Calibri"/>
        <family val="2"/>
        <charset val="1"/>
      </rPr>
      <t xml:space="preserve">18–24 </t>
    </r>
    <r>
      <rPr>
        <sz val="11"/>
        <color theme="1"/>
        <rFont val="WenQuanYi Zen Hei"/>
        <family val="2"/>
      </rPr>
      <t xml:space="preserve">個月僅見於社群貼文轉述 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法說；「量測產能是瓶頸」本身的證據：未找到（搜尋 </t>
    </r>
    <r>
      <rPr>
        <sz val="11"/>
        <color theme="1"/>
        <rFont val="Calibri"/>
        <family val="2"/>
        <charset val="1"/>
      </rPr>
      <t xml:space="preserve">Onto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皆無交期或積壓一手數字）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</si>
  <si>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TradingView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TheValueist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Futurum</t>
    </r>
  </si>
  <si>
    <t xml:space="preserve">弱；瓶頸證據：未找到</t>
  </si>
  <si>
    <r>
      <rPr>
        <sz val="11"/>
        <color theme="1"/>
        <rFont val="WenQuanYi Zen Hei"/>
        <family val="2"/>
      </rPr>
      <t xml:space="preserve">不影響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數字；列為待查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</si>
  <si>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鍵合機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</si>
  <si>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WenQuanYi Zen Hei"/>
        <family val="2"/>
      </rPr>
      <t xml:space="preserve">鍵合機營收 </t>
    </r>
    <r>
      <rPr>
        <sz val="11"/>
        <color theme="1"/>
        <rFont val="Calibri"/>
        <family val="2"/>
        <charset val="1"/>
      </rPr>
      <t xml:space="preserve">71.2%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前三季）；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約用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WenQuanYi Zen Hei"/>
        <family val="2"/>
      </rPr>
      <t xml:space="preserve">組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WenQuanYi Zen Hei"/>
        <family val="2"/>
      </rPr>
      <t xml:space="preserve">鍵合機、約半數來自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WenQuanYi Zen Hei"/>
        <family val="2"/>
      </rPr>
      <t xml:space="preserve">；預期約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WenQuanYi Zen Hei"/>
        <family val="2"/>
      </rPr>
      <t xml:space="preserve">台訂單（</t>
    </r>
    <r>
      <rPr>
        <sz val="11"/>
        <color theme="1"/>
        <rFont val="Calibri"/>
        <family val="2"/>
        <charset val="1"/>
      </rPr>
      <t xml:space="preserve">M15X 1b DRAM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Hanmi 6 </t>
    </r>
    <r>
      <rPr>
        <sz val="11"/>
        <color theme="1"/>
        <rFont val="WenQuanYi Zen Hei"/>
        <family val="2"/>
      </rPr>
      <t xml:space="preserve">月接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WenQuanYi Zen Hei"/>
        <family val="2"/>
      </rPr>
      <t xml:space="preserve">台。供給短缺或交期：未找到</t>
    </r>
  </si>
  <si>
    <r>
      <rPr>
        <sz val="11"/>
        <color theme="1"/>
        <rFont val="Calibri"/>
        <family val="2"/>
        <charset val="1"/>
      </rPr>
      <t xml:space="preserve">TrendForce 2025-12-12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Techtimes 2026-06</t>
    </r>
  </si>
  <si>
    <t xml:space="preserve">中（供應商集中度）；短缺：未找到</t>
  </si>
  <si>
    <r>
      <rPr>
        <sz val="11"/>
        <color theme="1"/>
        <rFont val="WenQuanYi Zen Hei"/>
        <family val="2"/>
      </rPr>
      <t xml:space="preserve">鍵合機屬後段／封裝，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金額為輸入，未建模</t>
    </r>
  </si>
  <si>
    <t xml:space="preserve">對帳差距說明</t>
  </si>
  <si>
    <r>
      <rPr>
        <sz val="11"/>
        <color theme="1"/>
        <rFont val="WenQuanYi Zen Hei"/>
        <family val="2"/>
      </rPr>
      <t xml:space="preserve">對帳差距 </t>
    </r>
    <r>
      <rPr>
        <sz val="11"/>
        <color theme="1"/>
        <rFont val="Calibri"/>
        <family val="2"/>
        <charset val="1"/>
      </rPr>
      <t xml:space="preserve">&gt; 15% </t>
    </r>
    <r>
      <rPr>
        <sz val="11"/>
        <color theme="1"/>
        <rFont val="WenQuanYi Zen Hei"/>
        <family val="2"/>
      </rPr>
      <t xml:space="preserve">的項目與可能原因（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建置時數值；未為對上而調參；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年以後總額由下而上，不由 </t>
    </r>
    <r>
      <rPr>
        <sz val="11"/>
        <color theme="1"/>
        <rFont val="Calibri"/>
        <family val="2"/>
        <charset val="1"/>
      </rPr>
      <t xml:space="preserve">SEMI 2026 </t>
    </r>
    <r>
      <rPr>
        <sz val="11"/>
        <color theme="1"/>
        <rFont val="WenQuanYi Zen Hei"/>
        <family val="2"/>
      </rPr>
      <t xml:space="preserve">以後預測決定）：</t>
    </r>
  </si>
  <si>
    <r>
      <rPr>
        <sz val="11"/>
        <color theme="1"/>
        <rFont val="Calibri"/>
        <family val="2"/>
        <charset val="1"/>
      </rPr>
      <t xml:space="preserve">(a) 2026 NAND +18.9%</t>
    </r>
    <r>
      <rPr>
        <sz val="11"/>
        <color theme="1"/>
        <rFont val="WenQuanYi Zen Hei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16.5 vs SEMI 13.9</t>
    </r>
    <r>
      <rPr>
        <sz val="11"/>
        <color theme="1"/>
        <rFont val="WenQuanYi Zen Hei"/>
        <family val="2"/>
      </rPr>
      <t xml:space="preserve">）：三家記憶體設備以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DRAM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72.4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27.6</t>
    </r>
    <r>
      <rPr>
        <sz val="11"/>
        <color theme="1"/>
        <rFont val="WenQuanYi Zen Hei"/>
        <family val="2"/>
      </rPr>
      <t xml:space="preserve">）拆分，而 </t>
    </r>
    <r>
      <rPr>
        <sz val="11"/>
        <color theme="1"/>
        <rFont val="Calibri"/>
        <family val="2"/>
        <charset val="1"/>
      </rPr>
      <t xml:space="preserve">SEMI 2026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占比降到 </t>
    </r>
    <r>
      <rPr>
        <sz val="11"/>
        <color theme="1"/>
        <rFont val="Calibri"/>
        <family val="2"/>
        <charset val="1"/>
      </rPr>
      <t xml:space="preserve">26.4%</t>
    </r>
    <r>
      <rPr>
        <sz val="11"/>
        <color theme="1"/>
        <rFont val="WenQuanYi Zen Hei"/>
        <family val="2"/>
      </rPr>
      <t xml:space="preserve">（資本支出轉向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）；其他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基準近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，故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幾乎全來自三家。</t>
    </r>
    <r>
      <rPr>
        <sz val="11"/>
        <color theme="1"/>
        <rFont val="Calibri"/>
        <family val="2"/>
        <charset val="1"/>
      </rPr>
      <t xml:space="preserve">DRAM +11.8%</t>
    </r>
    <r>
      <rPr>
        <sz val="11"/>
        <color theme="1"/>
        <rFont val="WenQuanYi Zen Hei"/>
        <family val="2"/>
      </rPr>
      <t xml:space="preserve">、記憶體合計比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7.2 $B</t>
    </r>
    <r>
      <rPr>
        <sz val="11"/>
        <color theme="1"/>
        <rFont val="WenQuanYi Zen Hei"/>
        <family val="2"/>
      </rPr>
      <t xml:space="preserve">，同一方向。</t>
    </r>
  </si>
  <si>
    <r>
      <rPr>
        <sz val="11"/>
        <color theme="1"/>
        <rFont val="Calibri"/>
        <family val="2"/>
        <charset val="1"/>
      </rPr>
      <t xml:space="preserve">(b) Goldman Sachs 2028 −21.4%</t>
    </r>
    <r>
      <rPr>
        <sz val="11"/>
        <color theme="1"/>
        <rFont val="WenQuanYi Zen Hei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 220.9 vs 281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GS 2027 </t>
    </r>
    <r>
      <rPr>
        <sz val="11"/>
        <color theme="1"/>
        <rFont val="WenQuanYi Zen Hei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+45%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150→218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2028 +29%</t>
    </r>
    <r>
      <rPr>
        <sz val="11"/>
        <color theme="1"/>
        <rFont val="WenQuanYi Zen Hei"/>
        <family val="2"/>
      </rPr>
      <t xml:space="preserve">，分別高於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+21.8%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+14.1%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GS </t>
    </r>
    <r>
      <rPr>
        <sz val="11"/>
        <color theme="1"/>
        <rFont val="WenQuanYi Zen Hei"/>
        <family val="2"/>
      </rPr>
      <t xml:space="preserve">為最高的一組，可能納入不同口徑（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口徑含先進封裝；廠務設備）、更激進的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／先進代工假設，且發布較晚（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WenQuanYi Zen Hei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</si>
  <si>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WenQuanYi Zen Hei"/>
        <family val="2"/>
      </rPr>
      <t xml:space="preserve">未超過 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WenQuanYi Zen Hei"/>
        <family val="2"/>
      </rPr>
      <t xml:space="preserve">的差距：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159.6 </t>
    </r>
    <r>
      <rPr>
        <sz val="11"/>
        <color theme="1"/>
        <rFont val="WenQuanYi Zen Hei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SEMI 143.9 </t>
    </r>
    <r>
      <rPr>
        <sz val="11"/>
        <color theme="1"/>
        <rFont val="WenQuanYi Zen Hei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10.9%</t>
    </r>
    <r>
      <rPr>
        <sz val="11"/>
        <color theme="1"/>
        <rFont val="WenQuanYi Zen Hei"/>
        <family val="2"/>
      </rPr>
      <t xml:space="preserve">、比 </t>
    </r>
    <r>
      <rPr>
        <sz val="11"/>
        <color theme="1"/>
        <rFont val="Calibri"/>
        <family val="2"/>
        <charset val="1"/>
      </rPr>
      <t xml:space="preserve">Lam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WenQuanYi Zen Hei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197.3 </t>
    </r>
    <r>
      <rPr>
        <sz val="11"/>
        <color theme="1"/>
        <rFont val="WenQuanYi Zen Hei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推得的 </t>
    </r>
    <r>
      <rPr>
        <sz val="11"/>
        <color theme="1"/>
        <rFont val="Calibri"/>
        <family val="2"/>
        <charset val="1"/>
      </rPr>
      <t xml:space="preserve">175.3 </t>
    </r>
    <r>
      <rPr>
        <sz val="11"/>
        <color theme="1"/>
        <rFont val="WenQuanYi Zen Hei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12.5%</t>
    </r>
    <r>
      <rPr>
        <sz val="11"/>
        <color theme="1"/>
        <rFont val="WenQuanYi Zen Hei"/>
        <family val="2"/>
      </rPr>
      <t xml:space="preserve">，落在 </t>
    </r>
    <r>
      <rPr>
        <sz val="11"/>
        <color theme="1"/>
        <rFont val="Calibri"/>
        <family val="2"/>
        <charset val="1"/>
      </rPr>
      <t xml:space="preserve">KLA 190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+3.8%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Lam &gt;200</t>
    </r>
    <r>
      <rPr>
        <sz val="11"/>
        <color theme="1"/>
        <rFont val="WenQuanYi Zen Hei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1.4%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Morgan Stanley 202</t>
    </r>
    <r>
      <rPr>
        <sz val="11"/>
        <color theme="1"/>
        <rFont val="WenQuanYi Zen Hei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2.3%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GS 218</t>
    </r>
    <r>
      <rPr>
        <sz val="11"/>
        <color theme="1"/>
        <rFont val="WenQuanYi Zen Hei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9.5%</t>
    </r>
    <r>
      <rPr>
        <sz val="11"/>
        <color theme="1"/>
        <rFont val="WenQuanYi Zen Hei"/>
        <family val="2"/>
      </rPr>
      <t xml:space="preserve">）之內；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220.9 </t>
    </r>
    <r>
      <rPr>
        <sz val="11"/>
        <color theme="1"/>
        <rFont val="WenQuanYi Zen Hei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Morgan Stanley 227 </t>
    </r>
    <r>
      <rPr>
        <sz val="11"/>
        <color theme="1"/>
        <rFont val="WenQuanYi Zen Hei"/>
        <family val="2"/>
      </rPr>
      <t xml:space="preserve">的 −</t>
    </r>
    <r>
      <rPr>
        <sz val="11"/>
        <color theme="1"/>
        <rFont val="Calibri"/>
        <family val="2"/>
        <charset val="1"/>
      </rPr>
      <t xml:space="preserve">2.7%</t>
    </r>
    <r>
      <rPr>
        <sz val="11"/>
        <color theme="1"/>
        <rFont val="WenQuanYi Zen Hei"/>
        <family val="2"/>
      </rPr>
      <t xml:space="preserve">。本模型高於 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WenQuanYi Zen Hei"/>
        <family val="2"/>
      </rPr>
      <t xml:space="preserve">、低於其他來源，與「</t>
    </r>
    <r>
      <rPr>
        <sz val="11"/>
        <color theme="1"/>
        <rFont val="Calibri"/>
        <family val="2"/>
        <charset val="1"/>
      </rPr>
      <t xml:space="preserve">SEMI 7 </t>
    </r>
    <r>
      <rPr>
        <sz val="11"/>
        <color theme="1"/>
        <rFont val="WenQuanYi Zen Hei"/>
        <family val="2"/>
      </rPr>
      <t xml:space="preserve">月預測落後之後的上修」一致。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的差距是情境設計的結果。</t>
    </r>
  </si>
  <si>
    <r>
      <rPr>
        <sz val="11"/>
        <color theme="1"/>
        <rFont val="Calibri"/>
        <family val="2"/>
        <charset val="1"/>
      </rPr>
      <t xml:space="preserve">(d) 2025 </t>
    </r>
    <r>
      <rPr>
        <sz val="11"/>
        <color theme="1"/>
        <rFont val="WenQuanYi Zen Hei"/>
        <family val="2"/>
      </rPr>
      <t xml:space="preserve">殘差不是負值，而是近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0.05 $B</t>
    </r>
    <r>
      <rPr>
        <sz val="11"/>
        <color theme="1"/>
        <rFont val="WenQuanYi Zen Hei"/>
        <family val="2"/>
      </rPr>
      <t xml:space="preserve">）：三家資本支出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設備占比已幾乎填滿 </t>
    </r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WenQuanYi Zen Hei"/>
        <family val="2"/>
      </rPr>
      <t xml:space="preserve">記憶體總額，其他記憶體廠（長鑫、鎧俠、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WenQuanYi Zen Hei"/>
        <family val="2"/>
      </rPr>
      <t xml:space="preserve">、南亞、華邦、長江存儲）基準因此近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，與它們確實有設備支出矛盾。最可能的原因：（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）三星記憶體資本支出假設（</t>
    </r>
    <r>
      <rPr>
        <sz val="11"/>
        <color theme="1"/>
        <rFont val="Calibri"/>
        <family val="2"/>
        <charset val="1"/>
      </rPr>
      <t xml:space="preserve">DS 47.5 </t>
    </r>
    <r>
      <rPr>
        <sz val="11"/>
        <color theme="1"/>
        <rFont val="WenQuanYi Zen Hei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75%</t>
    </r>
    <r>
      <rPr>
        <sz val="11"/>
        <color theme="1"/>
        <rFont val="WenQuanYi Zen Hei"/>
        <family val="2"/>
      </rPr>
      <t xml:space="preserve">）；（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）資本支出（現金支出）與設備營收（出貨認列）的時差；（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）口徑，如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與公司資本支出對建築、廠務的處理。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列出其他記憶體廠基準 ＋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20 $B </t>
    </r>
    <r>
      <rPr>
        <sz val="11"/>
        <color theme="1"/>
        <rFont val="WenQuanYi Zen Hei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總額的影響（＋</t>
    </r>
    <r>
      <rPr>
        <sz val="11"/>
        <color theme="1"/>
        <rFont val="Calibri"/>
        <family val="2"/>
        <charset val="1"/>
      </rPr>
      <t xml:space="preserve">3.5%</t>
    </r>
    <r>
      <rPr>
        <sz val="11"/>
        <color theme="1"/>
        <rFont val="WenQuanYi Zen Hei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7.0%</t>
    </r>
    <r>
      <rPr>
        <sz val="11"/>
        <color theme="1"/>
        <rFont val="WenQuanYi Zen Hei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14.0%</t>
    </r>
    <r>
      <rPr>
        <sz val="11"/>
        <color theme="1"/>
        <rFont val="WenQuanYi Zen Hei"/>
        <family val="2"/>
      </rPr>
      <t xml:space="preserve">）。</t>
    </r>
  </si>
  <si>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給區間。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未使用。本檔不含任何個人投資部位或個人先驗。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</si>
  <si>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輸入（藍字＝本模型輸入；綠字＝讀自其他模型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WenQuanYi Zen Hei"/>
        <family val="2"/>
      </rPr>
      <t xml:space="preserve">成品，不在此修改；基準欄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）。金額：十億美元（公司資本支出另標幣別）</t>
    </r>
  </si>
  <si>
    <r>
      <rPr>
        <sz val="11"/>
        <color theme="1"/>
        <rFont val="WenQuanYi Zen Hei"/>
        <family val="2"/>
      </rPr>
      <t xml:space="preserve">每個數字附兩個來源（來源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、來源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）；找不到第二來源者寫「未找到」。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未使用。標記：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給低／高區間。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</si>
  <si>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</si>
  <si>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</si>
  <si>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</si>
  <si>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</si>
  <si>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</si>
  <si>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</si>
  <si>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</si>
  <si>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</si>
  <si>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／備註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</si>
  <si>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公司資本支出（</t>
    </r>
    <r>
      <rPr>
        <b val="true"/>
        <sz val="11"/>
        <rFont val="Cambria"/>
        <family val="0"/>
        <charset val="1"/>
      </rPr>
      <t xml:space="preserve">2026–2029 </t>
    </r>
    <r>
      <rPr>
        <b val="true"/>
        <sz val="11"/>
        <rFont val="WenQuanYi Zen Hei"/>
        <family val="2"/>
      </rPr>
      <t xml:space="preserve">讀自 </t>
    </r>
    <r>
      <rPr>
        <b val="true"/>
        <sz val="11"/>
        <rFont val="Cambria"/>
        <family val="0"/>
        <charset val="1"/>
      </rPr>
      <t xml:space="preserve">dist </t>
    </r>
    <r>
      <rPr>
        <b val="true"/>
        <sz val="11"/>
        <rFont val="WenQuanYi Zen Hei"/>
        <family val="2"/>
      </rPr>
      <t xml:space="preserve">成品，三情境相同；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為本模型自行輸入——其他模型不含 </t>
    </r>
    <r>
      <rPr>
        <b val="true"/>
        <sz val="11"/>
        <rFont val="Cambria"/>
        <family val="0"/>
        <charset val="1"/>
      </rPr>
      <t xml:space="preserve">2025——</t>
    </r>
    <r>
      <rPr>
        <b val="true"/>
        <sz val="11"/>
        <rFont val="WenQuanYi Zen Hei"/>
        <family val="2"/>
      </rPr>
      <t xml:space="preserve">用於求「其他廠」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基準）</t>
    </r>
  </si>
  <si>
    <t xml:space="preserve">fx</t>
  </si>
  <si>
    <r>
      <rPr>
        <sz val="11"/>
        <color theme="1"/>
        <rFont val="WenQuanYi Zen Hei"/>
        <family val="2"/>
      </rPr>
      <t xml:space="preserve">美元兌韓元（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亦沿用，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</si>
  <si>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t xml:space="preserve">KRW/USD</t>
  </si>
  <si>
    <t xml:space="preserve">Derived</t>
  </si>
  <si>
    <r>
      <rPr>
        <sz val="11"/>
        <color theme="1"/>
        <rFont val="WenQuanYi Zen Hei"/>
        <family val="2"/>
      </rPr>
      <t xml:space="preserve">讀自 </t>
    </r>
    <r>
      <rPr>
        <sz val="11"/>
        <color theme="1"/>
        <rFont val="Calibri"/>
        <family val="2"/>
        <charset val="1"/>
      </rPr>
      <t xml:space="preserve">skhynix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In!fx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WenQuanYi Zen Hei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</si>
  <si>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三星模型 </t>
    </r>
    <r>
      <rPr>
        <sz val="11"/>
        <color theme="1"/>
        <rFont val="Calibri"/>
        <family val="2"/>
        <charset val="1"/>
      </rPr>
      <t xml:space="preserve">In!fx </t>
    </r>
    <r>
      <rPr>
        <sz val="11"/>
        <color theme="1"/>
        <rFont val="WenQuanYi Zen Hei"/>
        <family val="2"/>
      </rPr>
      <t xml:space="preserve">同值（「同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海力士」）；獨立匯率來源：本模型未另查</t>
    </r>
  </si>
  <si>
    <t xml:space="preserve">cap_sk_26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</si>
  <si>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</si>
  <si>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兆韓元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</si>
  <si>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</si>
  <si>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20261022_SK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Y!C21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</si>
  <si>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｜指引「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兆後段」；共識 </t>
    </r>
    <r>
      <rPr>
        <sz val="11"/>
        <color theme="1"/>
        <rFont val="Calibri"/>
        <family val="2"/>
        <charset val="1"/>
      </rPr>
      <t xml:space="preserve">48.7</t>
    </r>
    <r>
      <rPr>
        <sz val="11"/>
        <color theme="1"/>
        <rFont val="WenQuanYi Zen Hei"/>
        <family val="2"/>
      </rPr>
      <t xml:space="preserve">｜第二來源：未找到（模型只引共識）</t>
    </r>
  </si>
  <si>
    <t xml:space="preserve">cap_sk_27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</si>
  <si>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</si>
  <si>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20261022_SK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Y!D21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</si>
  <si>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62.3</t>
    </r>
    <r>
      <rPr>
        <sz val="11"/>
        <color theme="1"/>
        <rFont val="WenQuanYi Zen Hei"/>
        <family val="2"/>
      </rPr>
      <t xml:space="preserve">｜第二來源：未找到（模型只引共識）</t>
    </r>
  </si>
  <si>
    <t xml:space="preserve">cap_sk_28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</si>
  <si>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</si>
  <si>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20261022_SK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Y!E21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</si>
  <si>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71.2</t>
    </r>
    <r>
      <rPr>
        <sz val="11"/>
        <color theme="1"/>
        <rFont val="WenQuanYi Zen Hei"/>
        <family val="2"/>
      </rPr>
      <t xml:space="preserve">｜第二來源：未找到（模型只引共識）</t>
    </r>
  </si>
  <si>
    <t xml:space="preserve">cap_sk_29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</si>
  <si>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</si>
  <si>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</si>
  <si>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20261022_SK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Y!F21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</si>
  <si>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｜龍仁 </t>
    </r>
    <r>
      <rPr>
        <sz val="11"/>
        <color theme="1"/>
        <rFont val="Calibri"/>
        <family val="2"/>
        <charset val="1"/>
      </rPr>
      <t xml:space="preserve">2–6 </t>
    </r>
    <r>
      <rPr>
        <sz val="11"/>
        <color theme="1"/>
        <rFont val="WenQuanYi Zen Hei"/>
        <family val="2"/>
      </rPr>
      <t xml:space="preserve">期｜第二來源：未找到</t>
    </r>
  </si>
  <si>
    <t xml:space="preserve">cap_mu_26</t>
  </si>
  <si>
    <r>
      <rPr>
        <sz val="11"/>
        <color theme="1"/>
        <rFont val="WenQuanYi Zen Hei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WenQuanYi Zen Hei"/>
        <family val="2"/>
      </rPr>
      <t xml:space="preserve">（淨；以 </t>
    </r>
    <r>
      <rPr>
        <sz val="11"/>
        <color theme="1"/>
        <rFont val="Calibri"/>
        <family val="2"/>
        <charset val="1"/>
      </rPr>
      <t xml:space="preserve">FY≈</t>
    </r>
    <r>
      <rPr>
        <sz val="11"/>
        <color theme="1"/>
        <rFont val="WenQuanYi Zen Hei"/>
        <family val="2"/>
      </rPr>
      <t xml:space="preserve">日曆年）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</si>
  <si>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</si>
  <si>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</si>
  <si>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Y!C21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</si>
  <si>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FY26 8-K</t>
    </r>
    <r>
      <rPr>
        <sz val="11"/>
        <color theme="1"/>
        <rFont val="WenQuanYi Zen Hei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30.7</t>
    </r>
    <r>
      <rPr>
        <sz val="11"/>
        <color theme="1"/>
        <rFont val="WenQuanYi Zen Hei"/>
        <family val="2"/>
      </rPr>
      <t xml:space="preserve">）｜美光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WenQuanYi Zen Hei"/>
        <family val="2"/>
      </rPr>
      <t xml:space="preserve">月結束，以日曆年近似，未調整（誤差方向：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比日曆年早約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個月）</t>
    </r>
  </si>
  <si>
    <t xml:space="preserve">cap_mu_27</t>
  </si>
  <si>
    <r>
      <rPr>
        <sz val="11"/>
        <color theme="1"/>
        <rFont val="WenQuanYi Zen Hei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（淨；以 </t>
    </r>
    <r>
      <rPr>
        <sz val="11"/>
        <color theme="1"/>
        <rFont val="Calibri"/>
        <family val="2"/>
        <charset val="1"/>
      </rPr>
      <t xml:space="preserve">FY≈</t>
    </r>
    <r>
      <rPr>
        <sz val="11"/>
        <color theme="1"/>
        <rFont val="WenQuanYi Zen Hei"/>
        <family val="2"/>
      </rPr>
      <t xml:space="preserve">日曆年）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</si>
  <si>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Y!D21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</si>
  <si>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WenQuanYi Zen Hei"/>
        <family val="2"/>
      </rPr>
      <t xml:space="preserve">、上半年約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WenQuanYi Zen Hei"/>
        <family val="2"/>
      </rPr>
      <t xml:space="preserve">、下半年更高（書面說明）｜美光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WenQuanYi Zen Hei"/>
        <family val="2"/>
      </rPr>
      <t xml:space="preserve">月結束，以日曆年近似，未調整（誤差方向：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比日曆年早約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個月）</t>
    </r>
  </si>
  <si>
    <t xml:space="preserve">cap_mu_28</t>
  </si>
  <si>
    <r>
      <rPr>
        <sz val="11"/>
        <color theme="1"/>
        <rFont val="WenQuanYi Zen Hei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WenQuanYi Zen Hei"/>
        <family val="2"/>
      </rPr>
      <t xml:space="preserve">（淨；以 </t>
    </r>
    <r>
      <rPr>
        <sz val="11"/>
        <color theme="1"/>
        <rFont val="Calibri"/>
        <family val="2"/>
        <charset val="1"/>
      </rPr>
      <t xml:space="preserve">FY≈</t>
    </r>
    <r>
      <rPr>
        <sz val="11"/>
        <color theme="1"/>
        <rFont val="WenQuanYi Zen Hei"/>
        <family val="2"/>
      </rPr>
      <t xml:space="preserve">日曆年）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</si>
  <si>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Y!E21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</si>
  <si>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None</t>
    </r>
    <r>
      <rPr>
        <sz val="11"/>
        <color theme="1"/>
        <rFont val="WenQuanYi Zen Hei"/>
        <family val="2"/>
      </rPr>
      <t xml:space="preserve">｜美光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WenQuanYi Zen Hei"/>
        <family val="2"/>
      </rPr>
      <t xml:space="preserve">月結束，以日曆年近似，未調整（誤差方向：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比日曆年早約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個月）</t>
    </r>
  </si>
  <si>
    <t xml:space="preserve">cap_mu_29</t>
  </si>
  <si>
    <r>
      <rPr>
        <sz val="11"/>
        <color theme="1"/>
        <rFont val="WenQuanYi Zen Hei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WenQuanYi Zen Hei"/>
        <family val="2"/>
      </rPr>
      <t xml:space="preserve">（淨；以 </t>
    </r>
    <r>
      <rPr>
        <sz val="11"/>
        <color theme="1"/>
        <rFont val="Calibri"/>
        <family val="2"/>
        <charset val="1"/>
      </rPr>
      <t xml:space="preserve">FY≈</t>
    </r>
    <r>
      <rPr>
        <sz val="11"/>
        <color theme="1"/>
        <rFont val="WenQuanYi Zen Hei"/>
        <family val="2"/>
      </rPr>
      <t xml:space="preserve">日曆年）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</si>
  <si>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Y!F21</t>
    </r>
  </si>
  <si>
    <t xml:space="preserve">cap_ss_26</t>
  </si>
  <si>
    <r>
      <rPr>
        <sz val="11"/>
        <color theme="1"/>
        <rFont val="WenQuanYi Zen Hei"/>
        <family val="2"/>
      </rPr>
      <t xml:space="preserve">三星記憶體資本支出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（只取記憶體）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</si>
  <si>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</si>
  <si>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Y!C21</t>
    </r>
  </si>
  <si>
    <r>
      <rPr>
        <sz val="11"/>
        <color theme="1"/>
        <rFont val="WenQuanYi Zen Hei"/>
        <family val="2"/>
      </rPr>
      <t xml:space="preserve">口徑（三星模型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｜全公司約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WenQuanYi Zen Hei"/>
        <family val="2"/>
      </rPr>
      <t xml:space="preserve">（首爾經濟日報）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）；全公司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；第二來源：未找到</t>
    </r>
  </si>
  <si>
    <t xml:space="preserve">cap_ss_27</t>
  </si>
  <si>
    <r>
      <rPr>
        <sz val="11"/>
        <color theme="1"/>
        <rFont val="WenQuanYi Zen Hei"/>
        <family val="2"/>
      </rPr>
      <t xml:space="preserve">三星記憶體資本支出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（只取記憶體）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</si>
  <si>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Y!D21</t>
    </r>
  </si>
  <si>
    <r>
      <rPr>
        <sz val="11"/>
        <color theme="1"/>
        <rFont val="WenQuanYi Zen Hei"/>
        <family val="2"/>
      </rPr>
      <t xml:space="preserve">口徑（三星模型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WenQuanYi Zen Hei"/>
        <family val="2"/>
      </rPr>
      <t xml:space="preserve">主體工程（</t>
    </r>
    <r>
      <rPr>
        <sz val="11"/>
        <color theme="1"/>
        <rFont val="Calibri"/>
        <family val="2"/>
        <charset val="1"/>
      </rPr>
      <t xml:space="preserve">&gt;80 </t>
    </r>
    <r>
      <rPr>
        <sz val="11"/>
        <color theme="1"/>
        <rFont val="WenQuanYi Zen Hei"/>
        <family val="2"/>
      </rPr>
      <t xml:space="preserve">兆，多年）；全公司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；第二來源：未找到</t>
    </r>
  </si>
  <si>
    <t xml:space="preserve">cap_ss_28</t>
  </si>
  <si>
    <r>
      <rPr>
        <sz val="11"/>
        <color theme="1"/>
        <rFont val="WenQuanYi Zen Hei"/>
        <family val="2"/>
      </rPr>
      <t xml:space="preserve">三星記憶體資本支出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（只取記憶體）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</si>
  <si>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Y!E21</t>
    </r>
  </si>
  <si>
    <r>
      <rPr>
        <sz val="11"/>
        <color theme="1"/>
        <rFont val="WenQuanYi Zen Hei"/>
        <family val="2"/>
      </rPr>
      <t xml:space="preserve">口徑（三星模型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None</t>
    </r>
    <r>
      <rPr>
        <sz val="11"/>
        <color theme="1"/>
        <rFont val="WenQuanYi Zen Hei"/>
        <family val="2"/>
      </rPr>
      <t xml:space="preserve">；全公司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；第二來源：未找到</t>
    </r>
  </si>
  <si>
    <t xml:space="preserve">cap_ss_29</t>
  </si>
  <si>
    <r>
      <rPr>
        <sz val="11"/>
        <color theme="1"/>
        <rFont val="WenQuanYi Zen Hei"/>
        <family val="2"/>
      </rPr>
      <t xml:space="preserve">三星記憶體資本支出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（只取記憶體）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</si>
  <si>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Y!F21</t>
    </r>
  </si>
  <si>
    <t xml:space="preserve">cap_ts_26</t>
  </si>
  <si>
    <r>
      <rPr>
        <sz val="11"/>
        <color theme="1"/>
        <rFont val="WenQuanYi Zen Hei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</si>
  <si>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PL!B15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</si>
  <si>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｜公司指引 </t>
    </r>
    <r>
      <rPr>
        <sz val="11"/>
        <color theme="1"/>
        <rFont val="Calibri"/>
        <family val="2"/>
        <charset val="1"/>
      </rPr>
      <t xml:space="preserve">US$60–64B </t>
    </r>
    <r>
      <rPr>
        <sz val="11"/>
        <color theme="1"/>
        <rFont val="WenQuanYi Zen Hei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WenQuanYi Zen Hei"/>
        <family val="2"/>
      </rPr>
      <t xml:space="preserve">月上修；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月維持不變）｜媒體：民視財經、</t>
    </r>
    <r>
      <rPr>
        <sz val="11"/>
        <color theme="1"/>
        <rFont val="Calibri"/>
        <family val="2"/>
        <charset val="1"/>
      </rPr>
      <t xml:space="preserve">vestedfinance</t>
    </r>
  </si>
  <si>
    <t xml:space="preserve">cap_ts_27</t>
  </si>
  <si>
    <r>
      <rPr>
        <sz val="11"/>
        <color theme="1"/>
        <rFont val="WenQuanYi Zen Hei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</si>
  <si>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PL!C15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</si>
  <si>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；券商 </t>
    </r>
    <r>
      <rPr>
        <sz val="11"/>
        <color theme="1"/>
        <rFont val="Calibri"/>
        <family val="2"/>
        <charset val="1"/>
      </rPr>
      <t xml:space="preserve">73–81</t>
    </r>
  </si>
  <si>
    <t xml:space="preserve">cap_ts_28</t>
  </si>
  <si>
    <r>
      <rPr>
        <sz val="11"/>
        <color theme="1"/>
        <rFont val="WenQuanYi Zen Hei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</si>
  <si>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PL!D15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</si>
  <si>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JPMorgan</t>
    </r>
  </si>
  <si>
    <t xml:space="preserve">cap_ts_29</t>
  </si>
  <si>
    <r>
      <rPr>
        <sz val="11"/>
        <color theme="1"/>
        <rFont val="WenQuanYi Zen Hei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</si>
  <si>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PL!E15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</si>
  <si>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None</t>
    </r>
  </si>
  <si>
    <t xml:space="preserve">cap_sk_25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</si>
  <si>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</si>
  <si>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Qz 2026-07-29</t>
    </r>
    <r>
      <rPr>
        <sz val="11"/>
        <color theme="1"/>
        <rFont val="WenQuanYi Zen Hei"/>
        <family val="2"/>
      </rPr>
      <t xml:space="preserve">（公司在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法說稱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預算相較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30.2 </t>
    </r>
    <r>
      <rPr>
        <sz val="11"/>
        <color theme="1"/>
        <rFont val="WenQuanYi Zen Hei"/>
        <family val="2"/>
      </rPr>
      <t xml:space="preserve">兆韓元）</t>
    </r>
    <r>
      <rPr>
        <sz val="11"/>
        <color theme="1"/>
        <rFont val="Calibri"/>
        <family val="2"/>
        <charset val="1"/>
      </rPr>
      <t xml:space="preserve">https://qz.com/sk-hynix-q2-2026-earnings-record-profit-misses-estimates-072926</t>
    </r>
  </si>
  <si>
    <r>
      <rPr>
        <sz val="11"/>
        <color theme="1"/>
        <rFont val="Calibri"/>
        <family val="2"/>
        <charset val="1"/>
      </rPr>
      <t xml:space="preserve">MLQ https://mlq.ai/news/sk-hynix-posts-record-605-trillion-won-operating-profit-raises-capacity-spending/ </t>
    </r>
    <r>
      <rPr>
        <sz val="11"/>
        <color theme="1"/>
        <rFont val="WenQuanYi Zen Hei"/>
        <family val="2"/>
      </rPr>
      <t xml:space="preserve">同為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法說摘要；另有產業估計約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WenQuanYi Zen Hei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Jukan</t>
    </r>
    <r>
      <rPr>
        <sz val="11"/>
        <color theme="1"/>
        <rFont val="WenQuanYi Zen Hei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WenQuanYi Zen Hei"/>
        <family val="2"/>
      </rPr>
      <t xml:space="preserve">）。皆為搜尋摘要，未開啟原文</t>
    </r>
  </si>
  <si>
    <t xml:space="preserve">cap_mu_25</t>
  </si>
  <si>
    <r>
      <rPr>
        <sz val="11"/>
        <color theme="1"/>
        <rFont val="WenQuanYi Zen Hei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（淨）</t>
    </r>
  </si>
  <si>
    <r>
      <rPr>
        <sz val="11"/>
        <color theme="1"/>
        <rFont val="WenQuanYi Zen Hei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FY25 8-K</t>
    </r>
    <r>
      <rPr>
        <sz val="11"/>
        <color theme="1"/>
        <rFont val="WenQuanYi Zen Hei"/>
        <family val="2"/>
      </rPr>
      <t xml:space="preserve">（淨 </t>
    </r>
    <r>
      <rPr>
        <sz val="11"/>
        <color theme="1"/>
        <rFont val="Calibri"/>
        <family val="2"/>
        <charset val="1"/>
      </rPr>
      <t xml:space="preserve">13.80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https://www.sec.gov/Archives/edgar/data/723125/000072312525000024/a2025q4ex991-pressrelease.htm</t>
    </r>
  </si>
  <si>
    <r>
      <rPr>
        <sz val="11"/>
        <color theme="1"/>
        <rFont val="WenQuanYi Zen Hei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FY25 10-K</t>
    </r>
    <r>
      <rPr>
        <sz val="11"/>
        <color theme="1"/>
        <rFont val="WenQuanYi Zen Hei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15.86</t>
    </r>
    <r>
      <rPr>
        <sz val="11"/>
        <color theme="1"/>
        <rFont val="WenQuanYi Zen Hei"/>
        <family val="2"/>
      </rPr>
      <t xml:space="preserve">、政府補助 </t>
    </r>
    <r>
      <rPr>
        <sz val="11"/>
        <color theme="1"/>
        <rFont val="Calibri"/>
        <family val="2"/>
        <charset val="1"/>
      </rPr>
      <t xml:space="preserve">2.01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https://www.sec.gov/Archives/edgar/data/723125/000072312525000028/mu-20250828.htm</t>
    </r>
  </si>
  <si>
    <t xml:space="preserve">cap_ssds_25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</si>
  <si>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DS</t>
    </r>
    <r>
      <rPr>
        <sz val="11"/>
        <color theme="1"/>
        <rFont val="WenQuanYi Zen Hei"/>
        <family val="2"/>
      </rPr>
      <t xml:space="preserve">（半導體）資本支出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</si>
  <si>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CAPEX Results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DS 47.5</t>
    </r>
    <r>
      <rPr>
        <sz val="11"/>
        <color theme="1"/>
        <rFont val="WenQuanYi Zen Hei"/>
        <family val="2"/>
      </rPr>
      <t xml:space="preserve">、顯示 </t>
    </r>
    <r>
      <rPr>
        <sz val="11"/>
        <color theme="1"/>
        <rFont val="Calibri"/>
        <family val="2"/>
        <charset val="1"/>
      </rPr>
      <t xml:space="preserve">2.8</t>
    </r>
    <r>
      <rPr>
        <sz val="11"/>
        <color theme="1"/>
        <rFont val="WenQuanYi Zen Hei"/>
        <family val="2"/>
      </rPr>
      <t xml:space="preserve">、合計約 </t>
    </r>
    <r>
      <rPr>
        <sz val="11"/>
        <color theme="1"/>
        <rFont val="Calibri"/>
        <family val="2"/>
        <charset val="1"/>
      </rPr>
      <t xml:space="preserve">52.7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https://www.samsung.com/global/ir/reports-disclosures/public-disclosure-view.84547/</t>
    </r>
  </si>
  <si>
    <r>
      <rPr>
        <sz val="11"/>
        <color theme="1"/>
        <rFont val="Calibri"/>
        <family val="2"/>
        <charset val="1"/>
      </rPr>
      <t xml:space="preserve">Korea Herald </t>
    </r>
    <r>
      <rPr>
        <sz val="11"/>
        <color theme="1"/>
        <rFont val="WenQuanYi Zen Hei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52.7 </t>
    </r>
    <r>
      <rPr>
        <sz val="11"/>
        <color theme="1"/>
        <rFont val="WenQuanYi Zen Hei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https://koreaherald.com/article/10691933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DS 47.5 </t>
    </r>
    <r>
      <rPr>
        <sz val="11"/>
        <color theme="1"/>
        <rFont val="WenQuanYi Zen Hei"/>
        <family val="2"/>
      </rPr>
      <t xml:space="preserve">另見 </t>
    </r>
    <r>
      <rPr>
        <sz val="11"/>
        <color theme="1"/>
        <rFont val="Calibri"/>
        <family val="2"/>
        <charset val="1"/>
      </rPr>
      <t xml:space="preserve">tech-insider</t>
    </r>
    <r>
      <rPr>
        <sz val="11"/>
        <color theme="1"/>
        <rFont val="WenQuanYi Zen Hei"/>
        <family val="2"/>
      </rPr>
      <t xml:space="preserve">（低權威）</t>
    </r>
  </si>
  <si>
    <t xml:space="preserve">ss_mem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</si>
  <si>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WenQuanYi Zen Hei"/>
        <family val="2"/>
      </rPr>
      <t xml:space="preserve">資本支出中記憶體占比（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</t>
    </r>
  </si>
  <si>
    <t xml:space="preserve">%</t>
  </si>
  <si>
    <r>
      <rPr>
        <sz val="11"/>
        <color theme="1"/>
        <rFont val="WenQuanYi Zen Hei"/>
        <family val="2"/>
      </rPr>
      <t xml:space="preserve">沿用三星模型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WenQuanYi Zen Hei"/>
        <family val="2"/>
      </rPr>
      <t xml:space="preserve">（全公司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）；三星不揭露記憶體分項</t>
    </r>
  </si>
  <si>
    <r>
      <rPr>
        <sz val="11"/>
        <color theme="1"/>
        <rFont val="WenQuanYi Zen Hei"/>
        <family val="2"/>
      </rPr>
      <t xml:space="preserve">未找到第二來源。此假設直接影響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其他廠殘差</t>
    </r>
  </si>
  <si>
    <t xml:space="preserve">cap_ts_25</t>
  </si>
  <si>
    <r>
      <rPr>
        <sz val="11"/>
        <color theme="1"/>
        <rFont val="WenQuanYi Zen Hei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</si>
  <si>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Semiconductor Intelligence</t>
    </r>
    <r>
      <rPr>
        <sz val="11"/>
        <color theme="1"/>
        <rFont val="WenQuanYi Zen Hei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40.9B https://www.semiconductorintelligence.com/capex-up-for-foundry-memory/</t>
    </r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</si>
  <si>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WenQuanYi Zen Hei"/>
        <family val="2"/>
      </rPr>
      <t xml:space="preserve">法說：全年指引 </t>
    </r>
    <r>
      <rPr>
        <sz val="11"/>
        <color theme="1"/>
        <rFont val="Calibri"/>
        <family val="2"/>
        <charset val="1"/>
      </rPr>
      <t xml:space="preserve">40–42B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https://www.fool.com/earnings/call-transcripts/2025/10/17/tsmc-tsm-q3-2025-earnings-call-transcript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</si>
  <si>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設備占資本支出比例：按公司分開（公司有揭露建築與設備比例者用公司揭露；未找到者用業界 </t>
    </r>
    <r>
      <rPr>
        <b val="true"/>
        <sz val="11"/>
        <rFont val="Cambria"/>
        <family val="0"/>
        <charset val="1"/>
      </rPr>
      <t xml:space="preserve">58–70%</t>
    </r>
    <r>
      <rPr>
        <b val="true"/>
        <sz val="11"/>
        <rFont val="WenQuanYi Zen Hei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WenQuanYi Zen Hei"/>
        <family val="2"/>
      </rPr>
      <t xml:space="preserve">）</t>
    </r>
  </si>
  <si>
    <t xml:space="preserve">sh_mu_25</t>
  </si>
  <si>
    <r>
      <rPr>
        <sz val="11"/>
        <color theme="1"/>
        <rFont val="WenQuanYi Zen Hei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設備占資本支出比例（建築基數的起點）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</si>
  <si>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</si>
  <si>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SEMI 2025 WFE 116.9B</t>
    </r>
    <r>
      <rPr>
        <sz val="11"/>
        <color theme="1"/>
        <rFont val="WenQuanYi Zen Hei"/>
        <family val="2"/>
      </rPr>
      <t xml:space="preserve">（年中預測新聞稿）</t>
    </r>
    <r>
      <rPr>
        <sz val="11"/>
        <color theme="1"/>
        <rFont val="Calibri"/>
        <family val="2"/>
        <charset val="1"/>
      </rPr>
      <t xml:space="preserve">÷ Semiconductor Intelligence 2025 </t>
    </r>
    <r>
      <rPr>
        <sz val="11"/>
        <color theme="1"/>
        <rFont val="WenQuanYi Zen Hei"/>
        <family val="2"/>
      </rPr>
      <t xml:space="preserve">全球半導體資本支出 </t>
    </r>
    <r>
      <rPr>
        <sz val="11"/>
        <color theme="1"/>
        <rFont val="Calibri"/>
        <family val="2"/>
        <charset val="1"/>
      </rPr>
      <t xml:space="preserve">166B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https://www.semiconductorintelligence.com/capex-up-for-foundry-memory/</t>
    </r>
    <r>
      <rPr>
        <sz val="11"/>
        <color theme="1"/>
        <rFont val="WenQuanYi Zen Hei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70.4% → </t>
    </r>
    <r>
      <rPr>
        <sz val="11"/>
        <color theme="1"/>
        <rFont val="WenQuanYi Zen Hei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</si>
  <si>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WenQuanYi Zen Hei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WenQuanYi Zen Hei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。業界合計值，未找到記憶體／代工分項。美光未揭露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建築／設備比例</t>
    </r>
  </si>
  <si>
    <t xml:space="preserve">sh_mu_26</t>
  </si>
  <si>
    <r>
      <rPr>
        <sz val="11"/>
        <color theme="1"/>
        <rFont val="WenQuanYi Zen Hei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設備占資本支出比例</t>
    </r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</si>
  <si>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WenQuanYi Zen Hei"/>
        <family val="2"/>
      </rPr>
      <t xml:space="preserve">準備稿（</t>
    </r>
    <r>
      <rPr>
        <sz val="11"/>
        <color theme="1"/>
        <rFont val="Calibri"/>
        <family val="2"/>
        <charset val="1"/>
      </rPr>
      <t xml:space="preserve">https://s25.q4cdn.com/621799436/files/doc_financials/2026/q3/Q3-FY26-Prepared-Remarks.pdf</t>
    </r>
    <r>
      <rPr>
        <sz val="11"/>
        <color theme="1"/>
        <rFont val="WenQuanYi Zen Hei"/>
        <family val="2"/>
      </rPr>
      <t xml:space="preserve">）：「</t>
    </r>
    <r>
      <rPr>
        <sz val="11"/>
        <color theme="1"/>
        <rFont val="Calibri"/>
        <family val="2"/>
        <charset val="1"/>
      </rPr>
      <t xml:space="preserve">more than half the increase year over year in fiscal 2027 from construction capex as we pull in cleanroom capacity required to address long-term demand</t>
    </r>
    <r>
      <rPr>
        <sz val="11"/>
        <color theme="1"/>
        <rFont val="WenQuanYi Zen Hei"/>
        <family val="2"/>
      </rPr>
      <t xml:space="preserve">」（引自搜尋摘要，未能開啟全文）｜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WenQuanYi Zen Hei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https://s25.q4cdn.com/621799436/files/doc_financials/2026/q4/Q4-FY26-Prepared-Remarks.pdf</t>
    </r>
    <r>
      <rPr>
        <sz val="11"/>
        <color theme="1"/>
        <rFont val="WenQuanYi Zen Hei"/>
        <family val="2"/>
      </rPr>
      <t xml:space="preserve">；逐字稿 </t>
    </r>
    <r>
      <rPr>
        <sz val="11"/>
        <color theme="1"/>
        <rFont val="Calibri"/>
        <family val="2"/>
        <charset val="1"/>
      </rPr>
      <t xml:space="preserve">https://www.fool.com/earnings/call-transcripts/2026/10/01/micron-mu-q4-2026-earnings-call-transcript/</t>
    </r>
    <r>
      <rPr>
        <sz val="11"/>
        <color theme="1"/>
        <rFont val="WenQuanYi Zen Hei"/>
        <family val="2"/>
      </rPr>
      <t xml:space="preserve">）：「</t>
    </r>
    <r>
      <rPr>
        <sz val="11"/>
        <color theme="1"/>
        <rFont val="Calibri"/>
        <family val="2"/>
        <charset val="1"/>
      </rPr>
      <t xml:space="preserve">A majority of the increase is for construction capex, most of which is to help accelerate clean room space availability in late calendar 2028 and beyond</t>
    </r>
    <r>
      <rPr>
        <sz val="11"/>
        <color theme="1"/>
        <rFont val="WenQuanYi Zen Hei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a meaningfully higher growth rate in construction CapEx as compared to equipment CapEx in fiscal 2027</t>
    </r>
    <r>
      <rPr>
        <sz val="11"/>
        <color theme="1"/>
        <rFont val="WenQuanYi Zen Hei"/>
        <family val="2"/>
      </rPr>
      <t xml:space="preserve">」（引自搜尋摘要）｜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增量多數為無塵室建築（摘要轉述，非逐字）</t>
    </r>
  </si>
  <si>
    <r>
      <rPr>
        <sz val="11"/>
        <color theme="1"/>
        <rFont val="WenQuanYi Zen Hei"/>
        <family val="2"/>
      </rPr>
      <t xml:space="preserve">注意：公司原文是「資本支出『增量』多數為建築」，不是「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資本支出多數為建築」，故文稿本身不給出設備占比，只給出下限性的建築比例。推導：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淨資本支出 </t>
    </r>
    <r>
      <rPr>
        <sz val="11"/>
        <color theme="1"/>
        <rFont val="Calibri"/>
        <family val="2"/>
        <charset val="1"/>
      </rPr>
      <t xml:space="preserve">13.80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(1−64%) </t>
    </r>
    <r>
      <rPr>
        <sz val="11"/>
        <color theme="1"/>
        <rFont val="WenQuanYi Zen Hei"/>
        <family val="2"/>
      </rPr>
      <t xml:space="preserve">＝建築基數；之後每年增量中建築占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WenQuanYi Zen Hei"/>
        <family val="2"/>
      </rPr>
      <t xml:space="preserve">「多於一半」為上限情境，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區間）；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27.37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WenQuanYi Zen Hei"/>
        <family val="2"/>
      </rPr>
      <t xml:space="preserve">（美光模型）。</t>
    </r>
    <r>
      <rPr>
        <sz val="11"/>
        <color theme="1"/>
        <rFont val="Calibri"/>
        <family val="2"/>
        <charset val="1"/>
      </rPr>
      <t xml:space="preserve">FY28–FY29 </t>
    </r>
    <r>
      <rPr>
        <sz val="11"/>
        <color theme="1"/>
        <rFont val="WenQuanYi Zen Hei"/>
        <family val="2"/>
      </rPr>
      <t xml:space="preserve">無揭露，沿用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WenQuanYi Zen Hei"/>
        <family val="2"/>
      </rPr>
      <t xml:space="preserve">。 引文為公司一手（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），比例為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</si>
  <si>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t xml:space="preserve">sh_mu_27</t>
  </si>
  <si>
    <r>
      <rPr>
        <sz val="11"/>
        <color theme="1"/>
        <rFont val="WenQuanYi Zen Hei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FY27–FY29 </t>
    </r>
    <r>
      <rPr>
        <sz val="11"/>
        <color theme="1"/>
        <rFont val="WenQuanYi Zen Hei"/>
        <family val="2"/>
      </rPr>
      <t xml:space="preserve">設備占資本支出比例</t>
    </r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</si>
  <si>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WenQuanYi Zen Hei"/>
        <family val="2"/>
      </rPr>
      <t xml:space="preserve">準備稿（</t>
    </r>
    <r>
      <rPr>
        <sz val="11"/>
        <color theme="1"/>
        <rFont val="Calibri"/>
        <family val="2"/>
        <charset val="1"/>
      </rPr>
      <t xml:space="preserve">https://s25.q4cdn.com/621799436/files/doc_financials/2026/q3/Q3-FY26-Prepared-Remarks.pdf</t>
    </r>
    <r>
      <rPr>
        <sz val="11"/>
        <color theme="1"/>
        <rFont val="WenQuanYi Zen Hei"/>
        <family val="2"/>
      </rPr>
      <t xml:space="preserve">）：「</t>
    </r>
    <r>
      <rPr>
        <sz val="11"/>
        <color theme="1"/>
        <rFont val="Calibri"/>
        <family val="2"/>
        <charset val="1"/>
      </rPr>
      <t xml:space="preserve">more than half the increase year over year in fiscal 2027 from construction capex as we pull in cleanroom capacity required to address long-term demand</t>
    </r>
    <r>
      <rPr>
        <sz val="11"/>
        <color theme="1"/>
        <rFont val="WenQuanYi Zen Hei"/>
        <family val="2"/>
      </rPr>
      <t xml:space="preserve">」（引自搜尋摘要，未能開啟全文）；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WenQuanYi Zen Hei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https://s25.q4cdn.com/621799436/files/doc_financials/2026/q4/Q4-FY26-Prepared-Remarks.pdf</t>
    </r>
    <r>
      <rPr>
        <sz val="11"/>
        <color theme="1"/>
        <rFont val="WenQuanYi Zen Hei"/>
        <family val="2"/>
      </rPr>
      <t xml:space="preserve">；逐字稿 </t>
    </r>
    <r>
      <rPr>
        <sz val="11"/>
        <color theme="1"/>
        <rFont val="Calibri"/>
        <family val="2"/>
        <charset val="1"/>
      </rPr>
      <t xml:space="preserve">https://www.fool.com/earnings/call-transcripts/2026/10/01/micron-mu-q4-2026-earnings-call-transcript/</t>
    </r>
    <r>
      <rPr>
        <sz val="11"/>
        <color theme="1"/>
        <rFont val="WenQuanYi Zen Hei"/>
        <family val="2"/>
      </rPr>
      <t xml:space="preserve">）：「</t>
    </r>
    <r>
      <rPr>
        <sz val="11"/>
        <color theme="1"/>
        <rFont val="Calibri"/>
        <family val="2"/>
        <charset val="1"/>
      </rPr>
      <t xml:space="preserve">A majority of the increase is for construction capex, most of which is to help accelerate clean room space availability in late calendar 2028 and beyond</t>
    </r>
    <r>
      <rPr>
        <sz val="11"/>
        <color theme="1"/>
        <rFont val="WenQuanYi Zen Hei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a meaningfully higher growth rate in construction CapEx as compared to equipment CapEx in fiscal 2027</t>
    </r>
    <r>
      <rPr>
        <sz val="11"/>
        <color theme="1"/>
        <rFont val="WenQuanYi Zen Hei"/>
        <family val="2"/>
      </rPr>
      <t xml:space="preserve">」（引自搜尋摘要）</t>
    </r>
  </si>
  <si>
    <r>
      <rPr>
        <sz val="11"/>
        <color theme="1"/>
        <rFont val="WenQuanYi Zen Hei"/>
        <family val="2"/>
      </rPr>
      <t xml:space="preserve">注意：公司原文是「資本支出『增量』多數為建築」，不是「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資本支出多數為建築」，故文稿本身不給出設備占比，只給出下限性的建築比例。推導：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淨資本支出 </t>
    </r>
    <r>
      <rPr>
        <sz val="11"/>
        <color theme="1"/>
        <rFont val="Calibri"/>
        <family val="2"/>
        <charset val="1"/>
      </rPr>
      <t xml:space="preserve">13.80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(1−64%) </t>
    </r>
    <r>
      <rPr>
        <sz val="11"/>
        <color theme="1"/>
        <rFont val="WenQuanYi Zen Hei"/>
        <family val="2"/>
      </rPr>
      <t xml:space="preserve">＝建築基數；之後每年增量中建築占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WenQuanYi Zen Hei"/>
        <family val="2"/>
      </rPr>
      <t xml:space="preserve">「多於一半」為上限情境，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區間）；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27.37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WenQuanYi Zen Hei"/>
        <family val="2"/>
      </rPr>
      <t xml:space="preserve">（美光模型）。</t>
    </r>
    <r>
      <rPr>
        <sz val="11"/>
        <color theme="1"/>
        <rFont val="Calibri"/>
        <family val="2"/>
        <charset val="1"/>
      </rPr>
      <t xml:space="preserve">FY28–FY29 </t>
    </r>
    <r>
      <rPr>
        <sz val="11"/>
        <color theme="1"/>
        <rFont val="WenQuanYi Zen Hei"/>
        <family val="2"/>
      </rPr>
      <t xml:space="preserve">無揭露，沿用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WenQuanYi Zen Hei"/>
        <family val="2"/>
      </rPr>
      <t xml:space="preserve">。 高＝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WenQuanYi Zen Hei"/>
        <family val="2"/>
      </rPr>
      <t xml:space="preserve">（「多於一半」）時的推導上限，約 </t>
    </r>
    <r>
      <rPr>
        <sz val="11"/>
        <color theme="1"/>
        <rFont val="Calibri"/>
        <family val="2"/>
        <charset val="1"/>
      </rPr>
      <t xml:space="preserve">53%</t>
    </r>
    <r>
      <rPr>
        <sz val="11"/>
        <color theme="1"/>
        <rFont val="WenQuanYi Zen Hei"/>
        <family val="2"/>
      </rPr>
      <t xml:space="preserve">。引文為公司一手（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），比例為 </t>
    </r>
    <r>
      <rPr>
        <sz val="11"/>
        <color theme="1"/>
        <rFont val="Calibri"/>
        <family val="2"/>
        <charset val="1"/>
      </rPr>
      <t xml:space="preserve">Derived</t>
    </r>
  </si>
  <si>
    <t xml:space="preserve">sh_sk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</si>
  <si>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海力士：設備占資本支出比例</t>
    </r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</si>
  <si>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WenQuanYi Zen Hei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WenQuanYi Zen Hei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。業界合計值，未找到記憶體／代工分項。未找到公司揭露（定性：董事會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WenQuanYi Zen Hei"/>
        <family val="2"/>
      </rPr>
      <t xml:space="preserve">核准 </t>
    </r>
    <r>
      <rPr>
        <sz val="11"/>
        <color theme="1"/>
        <rFont val="Calibri"/>
        <family val="2"/>
        <charset val="1"/>
      </rPr>
      <t xml:space="preserve">21.6 </t>
    </r>
    <r>
      <rPr>
        <sz val="11"/>
        <color theme="1"/>
        <rFont val="WenQuanYi Zen Hei"/>
        <family val="2"/>
      </rPr>
      <t xml:space="preserve">兆韓元完成龍仁第一晶圓廠結構工程與二至六期無塵室——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UPI</t>
    </r>
    <r>
      <rPr>
        <sz val="11"/>
        <color theme="1"/>
        <rFont val="WenQuanYi Zen Hei"/>
        <family val="2"/>
      </rPr>
      <t xml:space="preserve">；無年度建築／設備比例）</t>
    </r>
  </si>
  <si>
    <t xml:space="preserve">sh_ss</t>
  </si>
  <si>
    <t xml:space="preserve">三星（記憶體）：設備占資本支出比例</t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</si>
  <si>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WenQuanYi Zen Hei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WenQuanYi Zen Hei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。業界合計值，未找到記憶體／代工分項。未找到公司揭露（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WenQuanYi Zen Hei"/>
        <family val="2"/>
      </rPr>
      <t xml:space="preserve">無塵室先行、設備發包另行；無建築／設備比例）；電子新聞稱「晶圓廠成本中設備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WenQuanYi Zen Hei"/>
        <family val="2"/>
      </rPr>
      <t xml:space="preserve">」為業界泛稱，非三星數字</t>
    </r>
  </si>
  <si>
    <t xml:space="preserve">sh_fd</t>
  </si>
  <si>
    <t xml:space="preserve">台積電（代工與邏輯）：設備占資本支出比例</t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</si>
  <si>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WenQuanYi Zen Hei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WenQuanYi Zen Hei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。業界合計值，未找到記憶體／代工分項。未找到公司揭露；台積電資本支出含先進封裝、光罩等（公司稱 </t>
    </r>
    <r>
      <rPr>
        <sz val="11"/>
        <color theme="1"/>
        <rFont val="Calibri"/>
        <family val="2"/>
        <charset val="1"/>
      </rPr>
      <t xml:space="preserve">10–20%</t>
    </r>
    <r>
      <rPr>
        <sz val="11"/>
        <color theme="1"/>
        <rFont val="WenQuanYi Zen Hei"/>
        <family val="2"/>
      </rPr>
      <t xml:space="preserve">），未另扣</t>
    </r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</si>
  <si>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WenQuanYi Zen Hei"/>
        <family val="2"/>
      </rPr>
      <t xml:space="preserve">其他廠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年以後成長率（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WenQuanYi Zen Hei"/>
        <family val="2"/>
      </rPr>
      <t xml:space="preserve">；每個區塊合併成一個年成長率，套用 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WenQuanYi Zen Hei"/>
        <family val="2"/>
      </rPr>
      <t xml:space="preserve">。依據公司資本支出指引；不參照 </t>
    </r>
    <r>
      <rPr>
        <b val="true"/>
        <sz val="11"/>
        <rFont val="Cambria"/>
        <family val="0"/>
        <charset val="1"/>
      </rPr>
      <t xml:space="preserve">SEMI 2026 </t>
    </r>
    <r>
      <rPr>
        <b val="true"/>
        <sz val="11"/>
        <rFont val="WenQuanYi Zen Hei"/>
        <family val="2"/>
      </rPr>
      <t xml:space="preserve">以後預測）</t>
    </r>
  </si>
  <si>
    <t xml:space="preserve">g_oth_dram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</si>
  <si>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廠（長鑫、南亞、華邦等）設備成長率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</si>
  <si>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WenQuanYi Zen Hei"/>
        <family val="2"/>
      </rPr>
      <t xml:space="preserve">年</t>
    </r>
  </si>
  <si>
    <r>
      <rPr>
        <sz val="11"/>
        <color theme="1"/>
        <rFont val="WenQuanYi Zen Hei"/>
        <family val="2"/>
      </rPr>
      <t xml:space="preserve">長鑫：未揭露資本支出；研究估計月產能 </t>
    </r>
    <r>
      <rPr>
        <sz val="11"/>
        <color theme="1"/>
        <rFont val="Calibri"/>
        <family val="2"/>
        <charset val="1"/>
      </rPr>
      <t xml:space="preserve">360k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420k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500k </t>
    </r>
    <r>
      <rPr>
        <sz val="11"/>
        <color theme="1"/>
        <rFont val="WenQuanYi Zen Hei"/>
        <family val="2"/>
      </rPr>
      <t xml:space="preserve">片（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WenQuanYi Zen Hei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https://faxiangongchang.com/en/reports/china-memory-chip-2026</t>
    </r>
    <r>
      <rPr>
        <sz val="11"/>
        <color theme="1"/>
        <rFont val="WenQuanYi Zen Hei"/>
        <family val="2"/>
      </rPr>
      <t xml:space="preserve">，弱）；南亞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資本支出上限 </t>
    </r>
    <r>
      <rPr>
        <sz val="11"/>
        <color theme="1"/>
        <rFont val="Calibri"/>
        <family val="2"/>
        <charset val="1"/>
      </rPr>
      <t xml:space="preserve">NT$69.7B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最高 </t>
    </r>
    <r>
      <rPr>
        <sz val="11"/>
        <color theme="1"/>
        <rFont val="Calibri"/>
        <family val="2"/>
        <charset val="1"/>
      </rPr>
      <t xml:space="preserve">NT$200B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https://www.digitimes.com/news/a20260713PD211/nanya-technology-capex-capacity-2027.html</t>
    </r>
    <r>
      <rPr>
        <sz val="11"/>
        <color theme="1"/>
        <rFont val="WenQuanYi Zen Hei"/>
        <family val="2"/>
      </rPr>
      <t xml:space="preserve">）；華邦 </t>
    </r>
    <r>
      <rPr>
        <sz val="11"/>
        <color theme="1"/>
        <rFont val="Calibri"/>
        <family val="2"/>
        <charset val="1"/>
      </rPr>
      <t xml:space="preserve">2026 NT$42.1B</t>
    </r>
    <r>
      <rPr>
        <sz val="11"/>
        <color theme="1"/>
        <rFont val="WenQuanYi Zen Hei"/>
        <family val="2"/>
      </rPr>
      <t xml:space="preserve">（紀錄高，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</si>
  <si>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基準取長鑫產能成長（兩年平均約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：產能成長代替資本支出）；低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WenQuanYi Zen Hei"/>
        <family val="2"/>
      </rPr>
      <t xml:space="preserve">假設資本支出增速低於產能；高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WenQuanYi Zen Hei"/>
        <family val="2"/>
      </rPr>
      <t xml:space="preserve">取南亞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與鎧俠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的高增速。長鑫的資本支出指引：未找到；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年基準（華邦、南亞）：未找到</t>
    </r>
  </si>
  <si>
    <t xml:space="preserve">g_oth_nand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</si>
  <si>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廠（鎧俠、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WenQuanYi Zen Hei"/>
        <family val="2"/>
      </rPr>
      <t xml:space="preserve">合資、長江存儲等）設備成長率</t>
    </r>
  </si>
  <si>
    <r>
      <rPr>
        <sz val="11"/>
        <color theme="1"/>
        <rFont val="WenQuanYi Zen Hei"/>
        <family val="2"/>
      </rPr>
      <t xml:space="preserve">鎧俠：</t>
    </r>
    <r>
      <rPr>
        <sz val="11"/>
        <color theme="1"/>
        <rFont val="Calibri"/>
        <family val="2"/>
        <charset val="1"/>
      </rPr>
      <t xml:space="preserve">FY25 ¥283.7B → FY26 ¥450B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WenQuanYi Zen Hei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WenQuanYi Zen Hei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WenQuanYi Zen Hei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WenQuanYi Zen Hei"/>
        <family val="2"/>
      </rPr>
      <t xml:space="preserve">（含與鎧俠合資的分攤，與鎧俠重疊，不另加，</t>
    </r>
    <r>
      <rPr>
        <sz val="11"/>
        <color theme="1"/>
        <rFont val="Calibri"/>
        <family val="2"/>
        <charset val="1"/>
      </rPr>
      <t xml:space="preserve">https://www.fool.com/investing/2026/08/29/sandisk-and-kioxia-plan-to-invest-more-than-usd31-billion-in-japanese-memory-plants-about-60-of-what-they-have-spent-there-in-25-years/</t>
    </r>
    <r>
      <rPr>
        <sz val="11"/>
        <color theme="1"/>
        <rFont val="WenQuanYi Zen Hei"/>
        <family val="2"/>
      </rPr>
      <t xml:space="preserve">）；長江存儲：三廠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底投產，金額未找到</t>
    </r>
  </si>
  <si>
    <r>
      <rPr>
        <sz val="11"/>
        <color theme="1"/>
        <rFont val="WenQuanYi Zen Hei"/>
        <family val="2"/>
      </rPr>
      <t xml:space="preserve">基準＝鎧俠 </t>
    </r>
    <r>
      <rPr>
        <sz val="11"/>
        <color theme="1"/>
        <rFont val="Calibri"/>
        <family val="2"/>
        <charset val="1"/>
      </rPr>
      <t xml:space="preserve">FY25→FY28 </t>
    </r>
    <r>
      <rPr>
        <sz val="11"/>
        <color theme="1"/>
        <rFont val="WenQuanYi Zen Hei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((470/283.7)^(1/3)−1)≈18%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，單一公司）；低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FY27–28 </t>
    </r>
    <r>
      <rPr>
        <sz val="11"/>
        <color theme="1"/>
        <rFont val="WenQuanYi Zen Hei"/>
        <family val="2"/>
      </rPr>
      <t xml:space="preserve">持平；高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單年增速。長江存儲資本支出指引：未找到</t>
    </r>
  </si>
  <si>
    <t xml:space="preserve">g_oth_fd</t>
  </si>
  <si>
    <r>
      <rPr>
        <sz val="11"/>
        <color theme="1"/>
        <rFont val="WenQuanYi Zen Hei"/>
        <family val="2"/>
      </rPr>
      <t xml:space="preserve">其他代工與邏輯（中芯、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WenQuanYi Zen Hei"/>
        <family val="2"/>
      </rPr>
      <t xml:space="preserve">、三星晶圓代工、華虹、聯電、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WenQuanYi Zen Hei"/>
        <family val="2"/>
      </rPr>
      <t xml:space="preserve">等）設備成長率</t>
    </r>
  </si>
  <si>
    <r>
      <rPr>
        <sz val="11"/>
        <color theme="1"/>
        <rFont val="WenQuanYi Zen Hei"/>
        <family val="2"/>
      </rPr>
      <t xml:space="preserve">中芯：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$8.1B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約持平（</t>
    </r>
    <r>
      <rPr>
        <sz val="11"/>
        <color theme="1"/>
        <rFont val="Calibri"/>
        <family val="2"/>
        <charset val="1"/>
      </rPr>
      <t xml:space="preserve">https://www.trendforce.com/news/2026/03/30/news-smic-2026-action-plan-points-to-above-industry-growth-capex-held-in-line-with-2025/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提高到 </t>
    </r>
    <r>
      <rPr>
        <sz val="11"/>
        <color theme="1"/>
        <rFont val="Calibri"/>
        <family val="2"/>
        <charset val="1"/>
      </rPr>
      <t xml:space="preserve">&gt;$20B</t>
    </r>
    <r>
      <rPr>
        <sz val="11"/>
        <color theme="1"/>
        <rFont val="WenQuanYi Zen Hei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$17–18B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「明顯更高」，</t>
    </r>
    <r>
      <rPr>
        <sz val="11"/>
        <color theme="1"/>
        <rFont val="Calibri"/>
        <family val="2"/>
        <charset val="1"/>
      </rPr>
      <t xml:space="preserve">https://www.gate.com/news/detail/intel-raises-2026-capex-guidance-to-over-20-billion-q2-earnings-beat-22949346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</si>
  <si>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基準＝中芯（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WenQuanYi Zen Hei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18→20</t>
    </r>
    <r>
      <rPr>
        <sz val="11"/>
        <color theme="1"/>
        <rFont val="WenQuanYi Zen Hei"/>
        <family val="2"/>
      </rPr>
      <t xml:space="preserve">）以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金額加權約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WenQuanYi Zen Hei"/>
        <family val="2"/>
      </rPr>
      <t xml:space="preserve">＝中芯持平；高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WenQuanYi Zen Hei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Intel 2027 </t>
    </r>
    <r>
      <rPr>
        <sz val="11"/>
        <color theme="1"/>
        <rFont val="WenQuanYi Zen Hei"/>
        <family val="2"/>
      </rPr>
      <t xml:space="preserve">大增。三星晶圓代工、華虹、聯電、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WenQuanYi Zen Hei"/>
        <family val="2"/>
      </rPr>
      <t xml:space="preserve">資本支出指引：未找到（三星僅有半導體合計）</t>
    </r>
  </si>
  <si>
    <r>
      <rPr>
        <b val="true"/>
        <sz val="11"/>
        <rFont val="Cambria"/>
        <family val="0"/>
        <charset val="1"/>
      </rPr>
      <t xml:space="preserve">C. SEMI 2026-07 </t>
    </r>
    <r>
      <rPr>
        <b val="true"/>
        <sz val="11"/>
        <rFont val="WenQuanYi Zen Hei"/>
        <family val="2"/>
      </rPr>
      <t xml:space="preserve">年中預測（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WenQuanYi Zen Hei"/>
        <family val="2"/>
      </rPr>
      <t xml:space="preserve">）。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為實績（由年增率回推），用於求其他廠基準；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以後的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WenQuanYi Zen Hei"/>
        <family val="2"/>
      </rPr>
      <t xml:space="preserve">分項只用於對帳，不決定本模型總額（測試與封裝除外，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WenQuanYi Zen Hei"/>
        <family val="2"/>
      </rPr>
      <t xml:space="preserve">為輸入）</t>
    </r>
  </si>
  <si>
    <t xml:space="preserve">s_dram_26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</si>
  <si>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</si>
  <si>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WenQuanYi Zen Hei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</si>
  <si>
    <r>
      <rPr>
        <sz val="11"/>
        <color theme="1"/>
        <rFont val="WenQuanYi Zen Hei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WenQuanYi Zen Hei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</t>
    </r>
  </si>
  <si>
    <t xml:space="preserve">g_dram_26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</si>
  <si>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</t>
    </r>
  </si>
  <si>
    <t xml:space="preserve">g_dram_27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</si>
  <si>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</si>
  <si>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WenQuanYi Zen Hei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+21.8% </t>
    </r>
    <r>
      <rPr>
        <sz val="11"/>
        <color theme="1"/>
        <rFont val="WenQuanYi Zen Hei"/>
        <family val="2"/>
      </rPr>
      <t xml:space="preserve">為使用者提供並經搜尋確認；其餘分項年增來自新聞稿摘要）</t>
    </r>
  </si>
  <si>
    <t xml:space="preserve">g_dram_28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</si>
  <si>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年增</t>
    </r>
  </si>
  <si>
    <r>
      <rPr>
        <sz val="11"/>
        <color theme="1"/>
        <rFont val="WenQuanYi Zen Hei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WenQuanYi Zen Hei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DRAM 2028 </t>
    </r>
    <r>
      <rPr>
        <sz val="11"/>
        <color theme="1"/>
        <rFont val="WenQuanYi Zen Hei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56.85 vs </t>
    </r>
    <r>
      <rPr>
        <sz val="11"/>
        <color theme="1"/>
        <rFont val="WenQuanYi Zen Hei"/>
        <family val="2"/>
      </rPr>
      <t xml:space="preserve">報導 </t>
    </r>
    <r>
      <rPr>
        <sz val="11"/>
        <color theme="1"/>
        <rFont val="Calibri"/>
        <family val="2"/>
        <charset val="1"/>
      </rPr>
      <t xml:space="preserve">56.9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20.87 vs 20.8</t>
    </r>
    <r>
      <rPr>
        <sz val="11"/>
        <color theme="1"/>
        <rFont val="WenQuanYi Zen Hei"/>
        <family val="2"/>
      </rPr>
      <t xml:space="preserve">（捨入）</t>
    </r>
  </si>
  <si>
    <t xml:space="preserve">s_nand_26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</si>
  <si>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</si>
  <si>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t xml:space="preserve">g_nand_26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</si>
  <si>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</t>
    </r>
  </si>
  <si>
    <t xml:space="preserve">g_nand_27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</si>
  <si>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年增</t>
    </r>
  </si>
  <si>
    <t xml:space="preserve">g_nand_28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</si>
  <si>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年增</t>
    </r>
  </si>
  <si>
    <t xml:space="preserve">s_fd_26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</si>
  <si>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</t>
    </r>
  </si>
  <si>
    <t xml:space="preserve">g_fd_26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</si>
  <si>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</t>
    </r>
  </si>
  <si>
    <t xml:space="preserve">g_fd_27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</si>
  <si>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年增</t>
    </r>
  </si>
  <si>
    <t xml:space="preserve">g_fd_28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</si>
  <si>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年增</t>
    </r>
  </si>
  <si>
    <t xml:space="preserve">s_wfe_26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</si>
  <si>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</si>
  <si>
    <t xml:space="preserve">g_wfe_26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</si>
  <si>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</t>
    </r>
  </si>
  <si>
    <t xml:space="preserve">g_wfe_27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</si>
  <si>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年增</t>
    </r>
  </si>
  <si>
    <t xml:space="preserve">g_wfe_28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</si>
  <si>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年增</t>
    </r>
  </si>
  <si>
    <t xml:space="preserve">s_test_26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</si>
  <si>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</si>
  <si>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t xml:space="preserve">g_test_26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</si>
  <si>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</t>
    </r>
  </si>
  <si>
    <t xml:space="preserve">s_test_28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</si>
  <si>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</si>
  <si>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WenQuanYi Zen Hei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WenQuanYi Zen Hei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年值未找到 →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</si>
  <si>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t xml:space="preserve">s_pkg_26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</si>
  <si>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</t>
    </r>
  </si>
  <si>
    <t xml:space="preserve">g_pkg_26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</si>
  <si>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</t>
    </r>
  </si>
  <si>
    <t xml:space="preserve">s_pkg_28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</si>
  <si>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</si>
  <si>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WenQuanYi Zen Hei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WenQuanYi Zen Hei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年值未找到 → 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</si>
  <si>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t xml:space="preserve">s_tot_26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</si>
  <si>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（對帳用）</t>
    </r>
  </si>
  <si>
    <t xml:space="preserve">g_tot_26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</si>
  <si>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年增（對帳用）</t>
    </r>
  </si>
  <si>
    <t xml:space="preserve">s_tot_28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</si>
  <si>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（對帳用）</t>
    </r>
  </si>
  <si>
    <t xml:space="preserve">g29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</si>
  <si>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測試、封裝設備年增（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預測；僅用於測試與封裝）</t>
    </r>
  </si>
  <si>
    <r>
      <rPr>
        <sz val="11"/>
        <color theme="1"/>
        <rFont val="WenQuanYi Zen Hei"/>
        <family val="2"/>
      </rPr>
      <t xml:space="preserve">無。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前段年增 </t>
    </r>
    <r>
      <rPr>
        <sz val="11"/>
        <color theme="1"/>
        <rFont val="Calibri"/>
        <family val="2"/>
        <charset val="1"/>
      </rPr>
      <t xml:space="preserve">2026 +23.1%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+21.8%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+14.1%</t>
    </r>
    <r>
      <rPr>
        <sz val="11"/>
        <color theme="1"/>
        <rFont val="WenQuanYi Zen Hei"/>
        <family val="2"/>
      </rPr>
      <t xml:space="preserve">：逐年減速約 </t>
    </r>
    <r>
      <rPr>
        <sz val="11"/>
        <color theme="1"/>
        <rFont val="Calibri"/>
        <family val="2"/>
        <charset val="1"/>
      </rPr>
      <t xml:space="preserve">2–7 </t>
    </r>
    <r>
      <rPr>
        <sz val="11"/>
        <color theme="1"/>
        <rFont val="WenQuanYi Zen Hei"/>
        <family val="2"/>
      </rPr>
      <t xml:space="preserve">個百分點，外推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</si>
  <si>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WenQuanYi Zen Hei"/>
        <family val="2"/>
      </rPr>
      <t xml:space="preserve">未找到第二來源；情境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的意思是「續增」，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由情境係數覆寫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</si>
  <si>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資本支出情境係數（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WenQuanYi Zen Hei"/>
        <family val="2"/>
      </rPr>
      <t xml:space="preserve">；設備總額相對前一年的倍數；情境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沿用上表由下而上路徑，不用係數）</t>
    </r>
  </si>
  <si>
    <t xml:space="preserve">ck_B_28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</si>
  <si>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WenQuanYi Zen Hei"/>
        <family val="2"/>
      </rPr>
      <t xml:space="preserve">係數（持平）</t>
    </r>
  </si>
  <si>
    <t xml:space="preserve">x</t>
  </si>
  <si>
    <r>
      <rPr>
        <sz val="11"/>
        <color theme="1"/>
        <rFont val="WenQuanYi Zen Hei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持平（循環在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見頂）</t>
    </r>
  </si>
  <si>
    <r>
      <rPr>
        <sz val="11"/>
        <color theme="1"/>
        <rFont val="WenQuanYi Zen Hei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價格見頂；資本支出滯後約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WenQuanYi Zen Hei"/>
        <family val="2"/>
      </rPr>
      <t xml:space="preserve">季，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設備訂單轉為持平。無實證，非預測</t>
    </r>
  </si>
  <si>
    <t xml:space="preserve">ck_C_28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</si>
  <si>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WenQuanYi Zen Hei"/>
        <family val="2"/>
      </rPr>
      <t xml:space="preserve">係數（下滑約兩成）</t>
    </r>
  </si>
  <si>
    <r>
      <rPr>
        <sz val="11"/>
        <color theme="1"/>
        <rFont val="WenQuanYi Zen Hei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下滑約兩成</t>
    </r>
  </si>
  <si>
    <r>
      <rPr>
        <sz val="11"/>
        <color theme="1"/>
        <rFont val="WenQuanYi Zen Hei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價格回到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WenQuanYi Zen Hei"/>
        <family val="2"/>
      </rPr>
      <t xml:space="preserve">歷史下行年（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WenQuanYi Zen Hei"/>
        <family val="2"/>
      </rPr>
      <t xml:space="preserve">）跌幅較淺，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為壓力情境。無實證</t>
    </r>
  </si>
  <si>
    <t xml:space="preserve">ck_B_29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</si>
  <si>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WenQuanYi Zen Hei"/>
        <family val="2"/>
      </rPr>
      <t xml:space="preserve">係數</t>
    </r>
  </si>
  <si>
    <t xml:space="preserve">平台後的溫和消化</t>
  </si>
  <si>
    <t xml:space="preserve">無實證</t>
  </si>
  <si>
    <t xml:space="preserve">ck_C_29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</si>
  <si>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WenQuanYi Zen Hei"/>
        <family val="2"/>
      </rPr>
      <t xml:space="preserve">係數</t>
    </r>
  </si>
  <si>
    <t xml:space="preserve">谷底持平</t>
  </si>
  <si>
    <r>
      <rPr>
        <b val="true"/>
        <sz val="11"/>
        <rFont val="Cambria"/>
        <family val="0"/>
        <charset val="1"/>
      </rPr>
      <t xml:space="preserve">E. AI </t>
    </r>
    <r>
      <rPr>
        <b val="true"/>
        <sz val="11"/>
        <rFont val="WenQuanYi Zen Hei"/>
        <family val="2"/>
      </rPr>
      <t xml:space="preserve">相關分類（用於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增量占比；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的分類假設，非公開資料）</t>
    </r>
  </si>
  <si>
    <t xml:space="preserve">adv_other</t>
  </si>
  <si>
    <t xml:space="preserve">台積電以外代工邏輯中屬先進邏輯的比例</t>
  </si>
  <si>
    <r>
      <rPr>
        <sz val="11"/>
        <color theme="1"/>
        <rFont val="WenQuanYi Zen Hei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Intel 18A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14A</t>
    </r>
    <r>
      <rPr>
        <sz val="11"/>
        <color theme="1"/>
        <rFont val="WenQuanYi Zen Hei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SF2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Rapidus </t>
    </r>
    <r>
      <rPr>
        <sz val="11"/>
        <color theme="1"/>
        <rFont val="WenQuanYi Zen Hei"/>
        <family val="2"/>
      </rPr>
      <t xml:space="preserve">相對成熟製程擴產（中芯、華虹等）的占比未找到</t>
    </r>
  </si>
  <si>
    <t xml:space="preserve">未找到第二來源</t>
  </si>
  <si>
    <t xml:space="preserve">pkg_adv</t>
  </si>
  <si>
    <t xml:space="preserve">組裝與封裝設備中屬先進封裝的比例</t>
  </si>
  <si>
    <r>
      <rPr>
        <sz val="11"/>
        <color theme="1"/>
        <rFont val="WenQuanYi Zen Hei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先進封裝製程控制營收約 </t>
    </r>
    <r>
      <rPr>
        <sz val="11"/>
        <color theme="1"/>
        <rFont val="Calibri"/>
        <family val="2"/>
        <charset val="1"/>
      </rPr>
      <t xml:space="preserve">$1.1B</t>
    </r>
    <r>
      <rPr>
        <sz val="11"/>
        <color theme="1"/>
        <rFont val="WenQuanYi Zen Hei"/>
        <family val="2"/>
      </rPr>
      <t xml:space="preserve">，但整體先進封裝設備金額未找到</t>
    </r>
  </si>
  <si>
    <r>
      <rPr>
        <sz val="11"/>
        <color theme="1"/>
        <rFont val="WenQuanYi Zen Hei"/>
        <family val="2"/>
      </rPr>
      <t xml:space="preserve">未找到第二來源。台積電資本支出內的先進封裝設備可能與此重疊（見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WenQuanYi Zen Hei"/>
        <family val="2"/>
      </rPr>
      <t xml:space="preserve">限制）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</si>
  <si>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WenQuanYi Zen Hei"/>
        <family val="2"/>
      </rPr>
      <t xml:space="preserve">對帳來源值（本模型不得為對上這些數字而調整；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前段口徑各家不同，見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WenQuanYi Zen Hei"/>
        <family val="2"/>
      </rPr>
      <t xml:space="preserve">）</t>
    </r>
  </si>
  <si>
    <t xml:space="preserve">rc_lam26</t>
  </si>
  <si>
    <r>
      <rPr>
        <sz val="11"/>
        <color theme="1"/>
        <rFont val="Calibri"/>
        <family val="2"/>
        <charset val="1"/>
      </rPr>
      <t xml:space="preserve">Lam Research 2026 WFE</t>
    </r>
    <r>
      <rPr>
        <sz val="11"/>
        <color theme="1"/>
        <rFont val="WenQuanYi Zen Hei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</si>
  <si>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使用者提供；</t>
    </r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WenQuanYi Zen Hei"/>
        <family val="2"/>
      </rPr>
      <t xml:space="preserve">研討會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WenQuanYi Zen Hei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low-$150B</t>
    </r>
    <r>
      <rPr>
        <sz val="11"/>
        <color theme="1"/>
        <rFont val="WenQuanYi Zen Hei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https://finance.yahoo.com/technology/ai/articles/lam-research-lifts-2026-wfe-180229282.html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</si>
  <si>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2026-10-21 </t>
    </r>
    <r>
      <rPr>
        <sz val="11"/>
        <color theme="1"/>
        <rFont val="WenQuanYi Zen Hei"/>
        <family val="2"/>
      </rPr>
      <t xml:space="preserve">法說稿另稱「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WenQuanYi Zen Hei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https://www.fool.com/earnings/call-transcripts/2026/10/21/lam-research-lrcx-q1-2027-earnings-call-transcript/</t>
    </r>
    <r>
      <rPr>
        <sz val="11"/>
        <color theme="1"/>
        <rFont val="WenQuanYi Zen Hei"/>
        <family val="2"/>
      </rPr>
      <t xml:space="preserve">）；取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WenQuanYi Zen Hei"/>
        <family val="2"/>
      </rPr>
      <t xml:space="preserve">為下限</t>
    </r>
  </si>
  <si>
    <t xml:space="preserve">rc_lam27</t>
  </si>
  <si>
    <r>
      <rPr>
        <sz val="11"/>
        <color theme="1"/>
        <rFont val="Calibri"/>
        <family val="2"/>
        <charset val="1"/>
      </rPr>
      <t xml:space="preserve">Lam Research 2027 WFE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&gt;200B</t>
    </r>
    <r>
      <rPr>
        <sz val="11"/>
        <color theme="1"/>
        <rFont val="WenQuanYi Zen Hei"/>
        <family val="2"/>
      </rPr>
      <t xml:space="preserve">，下限；額外對照）</t>
    </r>
  </si>
  <si>
    <r>
      <rPr>
        <sz val="11"/>
        <color theme="1"/>
        <rFont val="WenQuanYi Zen Hei"/>
        <family val="2"/>
      </rPr>
      <t xml:space="preserve">同上法說稿：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&gt;$200B</t>
    </r>
  </si>
  <si>
    <t xml:space="preserve">使用者未列；額外列示</t>
  </si>
  <si>
    <t xml:space="preserve">rc_kla26</t>
  </si>
  <si>
    <r>
      <rPr>
        <sz val="11"/>
        <color theme="1"/>
        <rFont val="Calibri"/>
        <family val="2"/>
        <charset val="1"/>
      </rPr>
      <t xml:space="preserve">KLA 2026 WFE</t>
    </r>
    <r>
      <rPr>
        <sz val="11"/>
        <color theme="1"/>
        <rFont val="WenQuanYi Zen Hei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WenQuanYi Zen Hei"/>
        <family val="2"/>
      </rPr>
      <t xml:space="preserve">；含先進封裝）</t>
    </r>
  </si>
  <si>
    <r>
      <rPr>
        <sz val="11"/>
        <color theme="1"/>
        <rFont val="WenQuanYi Zen Hei"/>
        <family val="2"/>
      </rPr>
      <t xml:space="preserve">使用者提供；</t>
    </r>
    <r>
      <rPr>
        <sz val="11"/>
        <color theme="1"/>
        <rFont val="Calibri"/>
        <family val="2"/>
        <charset val="1"/>
      </rPr>
      <t xml:space="preserve">KLA FQ4 2026 </t>
    </r>
    <r>
      <rPr>
        <sz val="11"/>
        <color theme="1"/>
        <rFont val="WenQuanYi Zen Hei"/>
        <family val="2"/>
      </rPr>
      <t xml:space="preserve">法說（摘要：</t>
    </r>
    <r>
      <rPr>
        <sz val="11"/>
        <color theme="1"/>
        <rFont val="Calibri"/>
        <family val="2"/>
        <charset val="1"/>
      </rPr>
      <t xml:space="preserve">https://finance.biggo.com/news/US_KLAC_2026-07-28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</si>
  <si>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社群摘要 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WenQuanYi Zen Hei"/>
        <family val="2"/>
      </rPr>
      <t xml:space="preserve">（弱）；</t>
    </r>
    <r>
      <rPr>
        <sz val="11"/>
        <color theme="1"/>
        <rFont val="Calibri"/>
        <family val="2"/>
        <charset val="1"/>
      </rPr>
      <t xml:space="preserve">KLA 2025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vs SEMI 116.9</t>
    </r>
    <r>
      <rPr>
        <sz val="11"/>
        <color theme="1"/>
        <rFont val="WenQuanYi Zen Hei"/>
        <family val="2"/>
      </rPr>
      <t xml:space="preserve">，口徑含先進封裝</t>
    </r>
  </si>
  <si>
    <t xml:space="preserve">rc_kla27</t>
  </si>
  <si>
    <r>
      <rPr>
        <sz val="11"/>
        <color theme="1"/>
        <rFont val="Calibri"/>
        <family val="2"/>
        <charset val="1"/>
      </rPr>
      <t xml:space="preserve">KLA 2027 </t>
    </r>
    <r>
      <rPr>
        <sz val="11"/>
        <color theme="1"/>
        <rFont val="WenQuanYi Zen Hei"/>
        <family val="2"/>
      </rPr>
      <t xml:space="preserve">規劃（約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</si>
  <si>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使用者提供；同上 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法說摘要</t>
    </r>
  </si>
  <si>
    <t xml:space="preserve">同上社群摘要；一手逐字稿未找到</t>
  </si>
  <si>
    <t xml:space="preserve">rc_ms27</t>
  </si>
  <si>
    <t xml:space="preserve">Morgan Stanley 2027 WFE</t>
  </si>
  <si>
    <r>
      <rPr>
        <sz val="11"/>
        <color theme="1"/>
        <rFont val="WenQuanYi Zen Hei"/>
        <family val="2"/>
      </rPr>
      <t xml:space="preserve">二手轉述（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WenQuanYi Zen Hei"/>
        <family val="2"/>
      </rPr>
      <t xml:space="preserve">；連結由使用者提供：</t>
    </r>
    <r>
      <rPr>
        <sz val="11"/>
        <color theme="1"/>
        <rFont val="Calibri"/>
        <family val="2"/>
        <charset val="1"/>
      </rPr>
      <t xml:space="preserve">https://www.itiger.com/news/2649678863——</t>
    </r>
    <r>
      <rPr>
        <sz val="11"/>
        <color theme="1"/>
        <rFont val="WenQuanYi Zen Hei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WenQuanYi Zen Hei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WenQuanYi Zen Hei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WenQuanYi Zen Hei"/>
        <family val="2"/>
      </rPr>
      <t xml:space="preserve">」；本環境無法開啟該頁，未直接核對）</t>
    </r>
  </si>
  <si>
    <r>
      <rPr>
        <sz val="11"/>
        <color theme="1"/>
        <rFont val="WenQuanYi Zen Hei"/>
        <family val="2"/>
      </rPr>
      <t xml:space="preserve">上修前版本 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WenQuanYi Zen Hei"/>
        <family val="2"/>
      </rPr>
      <t xml:space="preserve">報導一致（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https://www.investing.com/news/stock-market-news/semicap-stocks-morgan-stanley-raises-wfe-outlook-and-shifts-ratings-4696580</t>
    </r>
    <r>
      <rPr>
        <sz val="11"/>
        <color theme="1"/>
        <rFont val="WenQuanYi Zen Hei"/>
        <family val="2"/>
      </rPr>
      <t xml:space="preserve">），故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WenQuanYi Zen Hei"/>
        <family val="2"/>
      </rPr>
      <t xml:space="preserve">為其上修值</t>
    </r>
  </si>
  <si>
    <t xml:space="preserve">rc_ms28</t>
  </si>
  <si>
    <t xml:space="preserve">Morgan Stanley 2028 WFE</t>
  </si>
  <si>
    <r>
      <rPr>
        <sz val="11"/>
        <color theme="1"/>
        <rFont val="WenQuanYi Zen Hei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WenQuanYi Zen Hei"/>
        <family val="2"/>
      </rPr>
      <t xml:space="preserve">，二手轉述）</t>
    </r>
  </si>
  <si>
    <t xml:space="preserve">同上</t>
  </si>
  <si>
    <t xml:space="preserve">rc_gs26</t>
  </si>
  <si>
    <t xml:space="preserve">Goldman Sachs 2026 WFE</t>
  </si>
  <si>
    <t xml:space="preserve">https://www.gate.com/news/detail/goldman-sachs-significantly-raises-wfe-forecasts-through-2028-can-the-ai-23706576</t>
  </si>
  <si>
    <r>
      <rPr>
        <sz val="11"/>
        <color theme="1"/>
        <rFont val="Calibri"/>
        <family val="2"/>
        <charset val="1"/>
      </rPr>
      <t xml:space="preserve">https://www.kucoin.com/news/flash/goldman-sachs-upgrades-wfe-forecast-to-1-5-trillion-by-2026-dram-and-foundry-drive-growth</t>
    </r>
    <r>
      <rPr>
        <sz val="11"/>
        <color theme="1"/>
        <rFont val="WenQuanYi Zen Hei"/>
        <family val="2"/>
      </rPr>
      <t xml:space="preserve">（標題單位誤植，內文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WenQuanYi Zen Hei"/>
        <family val="2"/>
      </rPr>
      <t xml:space="preserve">）</t>
    </r>
  </si>
  <si>
    <t xml:space="preserve">rc_gs27</t>
  </si>
  <si>
    <t xml:space="preserve">Goldman Sachs 2027 WFE</t>
  </si>
  <si>
    <t xml:space="preserve">rc_gs28</t>
  </si>
  <si>
    <t xml:space="preserve">Goldman Sachs 2028 WFE</t>
  </si>
  <si>
    <t xml:space="preserve">rc_thr</t>
  </si>
  <si>
    <r>
      <rPr>
        <sz val="11"/>
        <color theme="1"/>
        <rFont val="WenQuanYi Zen Hei"/>
        <family val="2"/>
      </rPr>
      <t xml:space="preserve">差距門檻（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WenQuanYi Zen Hei"/>
        <family val="2"/>
      </rPr>
      <t xml:space="preserve">須說明原因）</t>
    </r>
  </si>
  <si>
    <r>
      <rPr>
        <sz val="11"/>
        <color theme="1"/>
        <rFont val="WenQuanYi Zen Hei"/>
        <family val="2"/>
      </rPr>
      <t xml:space="preserve">使用者指定 </t>
    </r>
    <r>
      <rPr>
        <sz val="11"/>
        <color theme="1"/>
        <rFont val="Calibri"/>
        <family val="2"/>
        <charset val="1"/>
      </rPr>
      <t xml:space="preserve">15%</t>
    </r>
  </si>
  <si>
    <t xml:space="preserve">—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</si>
  <si>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WenQuanYi Zen Hei"/>
        <family val="2"/>
      </rPr>
      <t xml:space="preserve">半導體設備市場（十億美元）：由下而上（公司資本支出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設備占比）＋ 其他廠（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成長率）＋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後段；三情境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</si>
  <si>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＝由下而上（三家＋台積電資本支出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設備占比）＋其他廠基準（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實績減已知廠）；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起其他廠＝基準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成長率（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），總額由下而上，不由 </t>
    </r>
    <r>
      <rPr>
        <sz val="11"/>
        <color theme="1"/>
        <rFont val="Calibri"/>
        <family val="2"/>
        <charset val="1"/>
      </rPr>
      <t xml:space="preserve">SEMI 2026 </t>
    </r>
    <r>
      <rPr>
        <sz val="11"/>
        <color theme="1"/>
        <rFont val="WenQuanYi Zen Hei"/>
        <family val="2"/>
      </rPr>
      <t xml:space="preserve">以後預測決定。</t>
    </r>
    <r>
      <rPr>
        <sz val="11"/>
        <color theme="1"/>
        <rFont val="Calibri"/>
        <family val="2"/>
        <charset val="1"/>
      </rPr>
      <t xml:space="preserve">SEMI 2026 </t>
    </r>
    <r>
      <rPr>
        <sz val="11"/>
        <color theme="1"/>
        <rFont val="WenQuanYi Zen Hei"/>
        <family val="2"/>
      </rPr>
      <t xml:space="preserve">以後的分項只用於對帳。</t>
    </r>
  </si>
  <si>
    <t xml:space="preserve">說明</t>
  </si>
  <si>
    <r>
      <rPr>
        <b val="true"/>
        <sz val="11"/>
        <rFont val="WenQuanYi Zen Hei"/>
        <family val="2"/>
      </rPr>
      <t xml:space="preserve">摘要（各情境設備總額、年增、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增量占比、見頂年度）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</si>
  <si>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</si>
  <si>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設備總額</t>
  </si>
  <si>
    <t xml:space="preserve">  年增</t>
  </si>
  <si>
    <t xml:space="preserve">  其中晶圓前段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</si>
  <si>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WenQuanYi Zen Hei"/>
        <family val="2"/>
      </rPr>
      <t xml:space="preserve">相關設備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</si>
  <si>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WenQuanYi Zen Hei"/>
        <family val="2"/>
      </rPr>
      <t xml:space="preserve">增量占總增量（相對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累計）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</si>
  <si>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WenQuanYi Zen Hei"/>
        <family val="2"/>
      </rPr>
      <t xml:space="preserve">增量占總增量（當年）</t>
    </r>
  </si>
  <si>
    <t xml:space="preserve">  見頂年度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</si>
  <si>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</si>
  <si>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</si>
  <si>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1. SEMI </t>
    </r>
    <r>
      <rPr>
        <b val="true"/>
        <sz val="11"/>
        <rFont val="WenQuanYi Zen Hei"/>
        <family val="2"/>
      </rPr>
      <t xml:space="preserve">分項金額（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路徑的天花板與「其他廠」推導基礎）</t>
    </r>
  </si>
  <si>
    <r>
      <rPr>
        <sz val="11"/>
        <rFont val="Cambria"/>
        <family val="0"/>
        <charset val="1"/>
      </rPr>
      <t xml:space="preserve">SEMI DRAM </t>
    </r>
    <r>
      <rPr>
        <sz val="11"/>
        <rFont val="WenQuanYi Zen Hei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</si>
  <si>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新聞稿值；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由年增回推；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年增連乘；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</si>
  <si>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SEMI NAND </t>
    </r>
    <r>
      <rPr>
        <sz val="11"/>
        <rFont val="WenQuanYi Zen Hei"/>
        <family val="2"/>
      </rPr>
      <t xml:space="preserve">設備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</si>
  <si>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代工與邏輯設備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</si>
  <si>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晶圓前段設備（</t>
    </r>
    <r>
      <rPr>
        <sz val="11"/>
        <rFont val="Cambria"/>
        <family val="0"/>
        <charset val="1"/>
      </rPr>
      <t xml:space="preserve">WFE</t>
    </r>
    <r>
      <rPr>
        <sz val="1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</si>
  <si>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測試設備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</si>
  <si>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新聞稿值；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，未找到年中預測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值）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</si>
  <si>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組裝與封裝設備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</si>
  <si>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其他前段（</t>
    </r>
    <r>
      <rPr>
        <sz val="11"/>
        <rFont val="Cambria"/>
        <family val="0"/>
        <charset val="1"/>
      </rPr>
      <t xml:space="preserve">WFE − </t>
    </r>
    <r>
      <rPr>
        <sz val="11"/>
        <rFont val="WenQuanYi Zen Hei"/>
        <family val="2"/>
      </rPr>
      <t xml:space="preserve">代工邏輯 − </t>
    </r>
    <r>
      <rPr>
        <sz val="11"/>
        <rFont val="Cambria"/>
        <family val="0"/>
        <charset val="1"/>
      </rPr>
      <t xml:space="preserve">DRAM − NAND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</si>
  <si>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：類比、功率、光罩、廠務設備等；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不由下而上，沿用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差額</t>
    </r>
  </si>
  <si>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WenQuanYi Zen Hei"/>
        <family val="2"/>
      </rPr>
      <t xml:space="preserve">設備合計（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WenQuanYi Zen Hei"/>
        <family val="2"/>
      </rPr>
      <t xml:space="preserve">＋測試＋封裝）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</si>
  <si>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應＝</t>
    </r>
    <r>
      <rPr>
        <sz val="11"/>
        <color theme="1"/>
        <rFont val="Calibri"/>
        <family val="2"/>
        <charset val="1"/>
      </rPr>
      <t xml:space="preserve">165.9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應＝</t>
    </r>
    <r>
      <rPr>
        <sz val="11"/>
        <color theme="1"/>
        <rFont val="Calibri"/>
        <family val="2"/>
        <charset val="1"/>
      </rPr>
      <t xml:space="preserve">229.5</t>
    </r>
    <r>
      <rPr>
        <sz val="11"/>
        <color theme="1"/>
        <rFont val="WenQuanYi Zen Hei"/>
        <family val="2"/>
      </rPr>
      <t xml:space="preserve">（捨入差見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</si>
  <si>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SEMI DRAM ÷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NAND</t>
    </r>
    <r>
      <rPr>
        <sz val="11"/>
        <rFont val="WenQuanYi Zen Hei"/>
        <family val="2"/>
      </rPr>
      <t xml:space="preserve">）（各年沿用，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</si>
  <si>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把各廠記憶體設備拆成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WenQuanYi Zen Hei"/>
        <family val="2"/>
      </rPr>
      <t xml:space="preserve">：假設三家組合同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市場組合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</si>
  <si>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其他前段占（記憶體＋代工邏輯）比例（</t>
    </r>
    <r>
      <rPr>
        <sz val="11"/>
        <rFont val="Cambria"/>
        <family val="0"/>
        <charset val="1"/>
      </rPr>
      <t xml:space="preserve">2025</t>
    </r>
    <r>
      <rPr>
        <sz val="11"/>
        <rFont val="WenQuanYi Zen Hei"/>
        <family val="2"/>
      </rPr>
      <t xml:space="preserve">；各年沿用，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</si>
  <si>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其他前段（類比、功率、光罩等）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年占比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</si>
  <si>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WenQuanYi Zen Hei"/>
        <family val="2"/>
      </rPr>
      <t xml:space="preserve">記憶體晶圓前段設備（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WenQuanYi Zen Hei"/>
        <family val="2"/>
      </rPr>
      <t xml:space="preserve">：三家由下而上＋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WenQuanYi Zen Hei"/>
        <family val="2"/>
      </rPr>
      <t xml:space="preserve">殘差求其他廠基準；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起：其他廠＝基準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WenQuanYi Zen Hei"/>
        <family val="2"/>
      </rPr>
      <t xml:space="preserve">成長率）</t>
    </r>
  </si>
  <si>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海力士資本支出（美元）</t>
    </r>
  </si>
  <si>
    <r>
      <rPr>
        <sz val="11"/>
        <color theme="1"/>
        <rFont val="WenQuanYi Zen Hei"/>
        <family val="2"/>
      </rPr>
      <t xml:space="preserve">兆韓元 </t>
    </r>
    <r>
      <rPr>
        <sz val="11"/>
        <color theme="1"/>
        <rFont val="Calibri"/>
        <family val="2"/>
        <charset val="1"/>
      </rPr>
      <t xml:space="preserve">× 1000 ÷ KRW/USD </t>
    </r>
    <r>
      <rPr>
        <sz val="11"/>
        <color theme="1"/>
        <rFont val="WenQuanYi Zen Hei"/>
        <family val="2"/>
      </rPr>
      <t xml:space="preserve">＝ 十億美元（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亦用同一匯率，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</si>
  <si>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美光資本支出（淨；</t>
    </r>
    <r>
      <rPr>
        <sz val="11"/>
        <rFont val="Cambria"/>
        <family val="0"/>
        <charset val="1"/>
      </rPr>
      <t xml:space="preserve">FY≈</t>
    </r>
    <r>
      <rPr>
        <sz val="11"/>
        <rFont val="WenQuanYi Zen Hei"/>
        <family val="2"/>
      </rPr>
      <t xml:space="preserve">日曆年）</t>
    </r>
  </si>
  <si>
    <t xml:space="preserve">三星記憶體資本支出（美元）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</si>
  <si>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DS 47.5 </t>
    </r>
    <r>
      <rPr>
        <sz val="11"/>
        <color theme="1"/>
        <rFont val="WenQuanYi Zen Hei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記憶體占比（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</si>
  <si>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t xml:space="preserve">三家資本支出合計</t>
  </si>
  <si>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海力士設備＝資本支出 </t>
    </r>
    <r>
      <rPr>
        <sz val="11"/>
        <rFont val="Cambria"/>
        <family val="0"/>
        <charset val="1"/>
      </rPr>
      <t xml:space="preserve">× sh_sk</t>
    </r>
  </si>
  <si>
    <r>
      <rPr>
        <sz val="11"/>
        <rFont val="WenQuanYi Zen Hei"/>
        <family val="2"/>
      </rPr>
      <t xml:space="preserve">美光設備＝資本支出 </t>
    </r>
    <r>
      <rPr>
        <sz val="11"/>
        <rFont val="Cambria"/>
        <family val="0"/>
        <charset val="1"/>
      </rPr>
      <t xml:space="preserve">× sh_mu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FY25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FY26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FY27–29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</si>
  <si>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三星記憶體設備＝資本支出 </t>
    </r>
    <r>
      <rPr>
        <sz val="11"/>
        <rFont val="Cambria"/>
        <family val="0"/>
        <charset val="1"/>
      </rPr>
      <t xml:space="preserve">× sh_ss</t>
    </r>
  </si>
  <si>
    <t xml:space="preserve">三家設備合計</t>
  </si>
  <si>
    <t xml:space="preserve">  三家加權設備占比</t>
  </si>
  <si>
    <r>
      <rPr>
        <sz val="11"/>
        <rFont val="WenQuanYi Zen Hei"/>
        <family val="2"/>
      </rPr>
      <t xml:space="preserve">  其中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× 2025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占比）</t>
    </r>
  </si>
  <si>
    <r>
      <rPr>
        <sz val="11"/>
        <rFont val="WenQuanYi Zen Hei"/>
        <family val="2"/>
      </rPr>
      <t xml:space="preserve">  其中 </t>
    </r>
    <r>
      <rPr>
        <sz val="11"/>
        <rFont val="Cambria"/>
        <family val="0"/>
        <charset val="1"/>
      </rPr>
      <t xml:space="preserve">NAND</t>
    </r>
  </si>
  <si>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殘差：其他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廠＝</t>
    </r>
    <r>
      <rPr>
        <sz val="11"/>
        <rFont val="Cambria"/>
        <family val="0"/>
        <charset val="1"/>
      </rPr>
      <t xml:space="preserve">SEMI DRAM − </t>
    </r>
    <r>
      <rPr>
        <sz val="11"/>
        <rFont val="WenQuanYi Zen Hei"/>
        <family val="2"/>
      </rPr>
      <t xml:space="preserve">三家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設備（照實顯示，含負值）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</si>
  <si>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；只在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（實績）用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求基準</t>
    </r>
  </si>
  <si>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殘差：其他 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廠＝</t>
    </r>
    <r>
      <rPr>
        <sz val="11"/>
        <rFont val="Cambria"/>
        <family val="0"/>
        <charset val="1"/>
      </rPr>
      <t xml:space="preserve">SEMI NAND − </t>
    </r>
    <r>
      <rPr>
        <sz val="11"/>
        <rFont val="WenQuanYi Zen Hei"/>
        <family val="2"/>
      </rPr>
      <t xml:space="preserve">三家 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設備（照實顯示，含負值）</t>
    </r>
  </si>
  <si>
    <r>
      <rPr>
        <b val="true"/>
        <sz val="11"/>
        <rFont val="Cambria"/>
        <family val="0"/>
        <charset val="1"/>
      </rPr>
      <t xml:space="preserve">  2025 </t>
    </r>
    <r>
      <rPr>
        <b val="true"/>
        <sz val="11"/>
        <rFont val="WenQuanYi Zen Hei"/>
        <family val="2"/>
      </rPr>
      <t xml:space="preserve">殘差合計（</t>
    </r>
    <r>
      <rPr>
        <b val="true"/>
        <sz val="11"/>
        <rFont val="Cambria"/>
        <family val="0"/>
        <charset val="1"/>
      </rPr>
      <t xml:space="preserve">DRAM</t>
    </r>
    <r>
      <rPr>
        <b val="true"/>
        <sz val="11"/>
        <rFont val="WenQuanYi Zen Hei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NAND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</si>
  <si>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為負＝三家資本支出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設備占比在實績年就已超過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記憶體總額（發現）；基準先取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</si>
  <si>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rFont val="WenQuanYi Zen Hei"/>
        <family val="2"/>
      </rPr>
      <t xml:space="preserve">其他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廠設備（基準＝</t>
    </r>
    <r>
      <rPr>
        <sz val="11"/>
        <rFont val="Cambria"/>
        <family val="0"/>
        <charset val="1"/>
      </rPr>
      <t xml:space="preserve">MAX(</t>
    </r>
    <r>
      <rPr>
        <sz val="11"/>
        <rFont val="WenQuanYi Zen Hei"/>
        <family val="2"/>
      </rPr>
      <t xml:space="preserve">殘差</t>
    </r>
    <r>
      <rPr>
        <sz val="11"/>
        <rFont val="Cambria"/>
        <family val="0"/>
        <charset val="1"/>
      </rPr>
      <t xml:space="preserve">, 0)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起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g_oth_dram)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</si>
  <si>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其他 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廠設備（基準＝</t>
    </r>
    <r>
      <rPr>
        <sz val="11"/>
        <rFont val="Cambria"/>
        <family val="0"/>
        <charset val="1"/>
      </rPr>
      <t xml:space="preserve">MAX(</t>
    </r>
    <r>
      <rPr>
        <sz val="11"/>
        <rFont val="WenQuanYi Zen Hei"/>
        <family val="2"/>
      </rPr>
      <t xml:space="preserve">殘差</t>
    </r>
    <r>
      <rPr>
        <sz val="11"/>
        <rFont val="Cambria"/>
        <family val="0"/>
        <charset val="1"/>
      </rPr>
      <t xml:space="preserve">, 0)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起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g_oth_nand)</t>
    </r>
    <r>
      <rPr>
        <sz val="11"/>
        <rFont val="WenQuanYi Zen Hei"/>
        <family val="2"/>
      </rPr>
      <t xml:space="preserve">）</t>
    </r>
  </si>
  <si>
    <t xml:space="preserve">記憶體設備合計＝三家＋其他</t>
  </si>
  <si>
    <r>
      <rPr>
        <sz val="11"/>
        <rFont val="WenQuanYi Zen Hei"/>
        <family val="2"/>
      </rPr>
      <t xml:space="preserve">旗標：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殘差為負（</t>
    </r>
    <r>
      <rPr>
        <sz val="11"/>
        <rFont val="Cambria"/>
        <family val="0"/>
        <charset val="1"/>
      </rPr>
      <t xml:space="preserve">1</t>
    </r>
    <r>
      <rPr>
        <sz val="11"/>
        <rFont val="WenQuanYi Zen Hei"/>
        <family val="2"/>
      </rPr>
      <t xml:space="preserve">＝是）</t>
    </r>
  </si>
  <si>
    <r>
      <rPr>
        <sz val="11"/>
        <rFont val="WenQuanYi Zen Hei"/>
        <family val="2"/>
      </rPr>
      <t xml:space="preserve">診斷：記憶體合計 − </t>
    </r>
    <r>
      <rPr>
        <sz val="11"/>
        <rFont val="Cambria"/>
        <family val="0"/>
        <charset val="1"/>
      </rPr>
      <t xml:space="preserve">SEMI DRAM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NAND</t>
    </r>
  </si>
  <si>
    <r>
      <rPr>
        <sz val="11"/>
        <color theme="1"/>
        <rFont val="WenQuanYi Zen Hei"/>
        <family val="2"/>
      </rPr>
      <t xml:space="preserve">診斷值（不是輸入）：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起正＝本模型高於 </t>
    </r>
    <r>
      <rPr>
        <sz val="11"/>
        <color theme="1"/>
        <rFont val="Calibri"/>
        <family val="2"/>
        <charset val="1"/>
      </rPr>
      <t xml:space="preserve">SEMI</t>
    </r>
  </si>
  <si>
    <r>
      <rPr>
        <sz val="11"/>
        <rFont val="WenQuanYi Zen Hei"/>
        <family val="2"/>
      </rPr>
      <t xml:space="preserve">診斷：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隱含設備占比（殘差剛好為 </t>
    </r>
    <r>
      <rPr>
        <sz val="11"/>
        <rFont val="Cambria"/>
        <family val="0"/>
        <charset val="1"/>
      </rPr>
      <t xml:space="preserve">0</t>
    </r>
    <r>
      <rPr>
        <sz val="11"/>
        <rFont val="WenQuanYi Zen Hei"/>
        <family val="2"/>
      </rPr>
      <t xml:space="preserve">）＝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記憶體 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三家資本支出</t>
    </r>
  </si>
  <si>
    <t xml:space="preserve">診斷值，不用於任何情境</t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</si>
  <si>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WenQuanYi Zen Hei"/>
        <family val="2"/>
      </rPr>
      <t xml:space="preserve">代工與邏輯晶圓前段設備（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WenQuanYi Zen Hei"/>
        <family val="2"/>
      </rPr>
      <t xml:space="preserve">：台積電由下而上＋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WenQuanYi Zen Hei"/>
        <family val="2"/>
      </rPr>
      <t xml:space="preserve">殘差求其他廠基準；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起：其他廠＝基準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WenQuanYi Zen Hei"/>
        <family val="2"/>
      </rPr>
      <t xml:space="preserve">成長率）</t>
    </r>
  </si>
  <si>
    <t xml:space="preserve">台積電資本支出</t>
  </si>
  <si>
    <r>
      <rPr>
        <sz val="11"/>
        <rFont val="WenQuanYi Zen Hei"/>
        <family val="2"/>
      </rPr>
      <t xml:space="preserve">台積電設備＝資本支出 </t>
    </r>
    <r>
      <rPr>
        <sz val="11"/>
        <rFont val="Cambria"/>
        <family val="0"/>
        <charset val="1"/>
      </rPr>
      <t xml:space="preserve">× sh_fd</t>
    </r>
  </si>
  <si>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殘差：其他代工邏輯＝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代工邏輯 − 台積電設備（照實顯示）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</si>
  <si>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：三星晶圓代工、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WenQuanYi Zen Hei"/>
        <family val="2"/>
      </rPr>
      <t xml:space="preserve">、中芯等</t>
    </r>
  </si>
  <si>
    <r>
      <rPr>
        <sz val="11"/>
        <rFont val="WenQuanYi Zen Hei"/>
        <family val="2"/>
      </rPr>
      <t xml:space="preserve">其他代工與邏輯設備（基準＝</t>
    </r>
    <r>
      <rPr>
        <sz val="11"/>
        <rFont val="Cambria"/>
        <family val="0"/>
        <charset val="1"/>
      </rPr>
      <t xml:space="preserve">MAX(</t>
    </r>
    <r>
      <rPr>
        <sz val="11"/>
        <rFont val="WenQuanYi Zen Hei"/>
        <family val="2"/>
      </rPr>
      <t xml:space="preserve">殘差</t>
    </r>
    <r>
      <rPr>
        <sz val="11"/>
        <rFont val="Cambria"/>
        <family val="0"/>
        <charset val="1"/>
      </rPr>
      <t xml:space="preserve">, 0)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起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g_oth_fd)</t>
    </r>
    <r>
      <rPr>
        <sz val="11"/>
        <rFont val="WenQuanYi Zen Hei"/>
        <family val="2"/>
      </rPr>
      <t xml:space="preserve">）</t>
    </r>
  </si>
  <si>
    <t xml:space="preserve">代工與邏輯設備合計</t>
  </si>
  <si>
    <r>
      <rPr>
        <sz val="11"/>
        <rFont val="WenQuanYi Zen Hei"/>
        <family val="2"/>
      </rPr>
      <t xml:space="preserve">診斷：代工邏輯合計 −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代工邏輯</t>
    </r>
  </si>
  <si>
    <r>
      <rPr>
        <b val="true"/>
        <sz val="11"/>
        <rFont val="Cambria"/>
        <family val="0"/>
        <charset val="1"/>
      </rPr>
      <t xml:space="preserve">3b. </t>
    </r>
    <r>
      <rPr>
        <b val="true"/>
        <sz val="11"/>
        <rFont val="WenQuanYi Zen Hei"/>
        <family val="2"/>
      </rPr>
      <t xml:space="preserve">其他前段（類比、功率、光罩、廠務等）：維持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年占（記憶體＋代工邏輯）的比例</t>
    </r>
  </si>
  <si>
    <t xml:space="preserve">其他前段設備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</si>
  <si>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差額；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起＝比例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本模型（記憶體＋代工邏輯）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</si>
  <si>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測試與封裝設備（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WenQuanYi Zen Hei"/>
        <family val="2"/>
      </rPr>
      <t xml:space="preserve">金額為輸入，不做由下而上）</t>
    </r>
  </si>
  <si>
    <r>
      <rPr>
        <sz val="11"/>
        <color theme="1"/>
        <rFont val="WenQuanYi Zen Hei"/>
        <family val="2"/>
      </rPr>
      <t xml:space="preserve">為何不由下而上：需要「每顆加速器的測試時間（最終測試、燒機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WenQuanYi Zen Hei"/>
        <family val="2"/>
      </rPr>
      <t xml:space="preserve">、系統級測試 </t>
    </r>
    <r>
      <rPr>
        <sz val="11"/>
        <color theme="1"/>
        <rFont val="Calibri"/>
        <family val="2"/>
        <charset val="1"/>
      </rPr>
      <t xml:space="preserve">SLT </t>
    </r>
    <r>
      <rPr>
        <sz val="11"/>
        <color theme="1"/>
        <rFont val="WenQuanYi Zen Hei"/>
        <family val="2"/>
      </rPr>
      <t xml:space="preserve">的小時數）」與「每條 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堆疊產線的鍵合機台數」，兩者公開資料皆未找到（</t>
    </r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WenQuanYi Zen Hei"/>
        <family val="2"/>
      </rPr>
      <t xml:space="preserve">等僅有訂單，無台數與產能對照）；以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為輸入、並標明為單一來源。</t>
    </r>
  </si>
  <si>
    <t xml:space="preserve">測試設備</t>
  </si>
  <si>
    <t xml:space="preserve">組裝與封裝設備</t>
  </si>
  <si>
    <r>
      <rPr>
        <b val="true"/>
        <sz val="11"/>
        <rFont val="Cambria"/>
        <family val="0"/>
        <charset val="1"/>
      </rPr>
      <t xml:space="preserve">5A. </t>
    </r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：由下而上路徑（資本支出沿用記憶體與台積電模型；其他廠沿 </t>
    </r>
    <r>
      <rPr>
        <b val="true"/>
        <sz val="11"/>
        <rFont val="Cambria"/>
        <family val="0"/>
        <charset val="1"/>
      </rPr>
      <t xml:space="preserve">SEMI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WenQuanYi Zen Hei"/>
        <family val="2"/>
      </rPr>
      <t xml:space="preserve">沿 </t>
    </r>
    <r>
      <rPr>
        <b val="true"/>
        <sz val="11"/>
        <rFont val="Cambria"/>
        <family val="0"/>
        <charset val="1"/>
      </rPr>
      <t xml:space="preserve">g29</t>
    </r>
    <r>
      <rPr>
        <b val="true"/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</si>
  <si>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先進邏輯（台積電設備＋其他代工中屬先進者）〔</t>
    </r>
    <r>
      <rPr>
        <sz val="11"/>
        <rFont val="Cambria"/>
        <family val="0"/>
        <charset val="1"/>
      </rPr>
      <t xml:space="preserve">AI</t>
    </r>
    <r>
      <rPr>
        <sz val="11"/>
        <rFont val="WenQuanYi Zen Hei"/>
        <family val="2"/>
      </rPr>
      <t xml:space="preserve">〕</t>
    </r>
  </si>
  <si>
    <t xml:space="preserve">其他代工與邏輯</t>
  </si>
  <si>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（含 </t>
    </r>
    <r>
      <rPr>
        <sz val="11"/>
        <rFont val="Cambria"/>
        <family val="0"/>
        <charset val="1"/>
      </rPr>
      <t xml:space="preserve">HBM</t>
    </r>
    <r>
      <rPr>
        <sz val="11"/>
        <rFont val="WenQuanYi Zen Hei"/>
        <family val="2"/>
      </rPr>
      <t xml:space="preserve">）〔</t>
    </r>
    <r>
      <rPr>
        <sz val="11"/>
        <rFont val="Cambria"/>
        <family val="0"/>
        <charset val="1"/>
      </rPr>
      <t xml:space="preserve">AI</t>
    </r>
    <r>
      <rPr>
        <sz val="11"/>
        <rFont val="WenQuanYi Zen Hei"/>
        <family val="2"/>
      </rPr>
      <t xml:space="preserve">〕</t>
    </r>
  </si>
  <si>
    <t xml:space="preserve">NAND</t>
  </si>
  <si>
    <t xml:space="preserve">其他前段</t>
  </si>
  <si>
    <r>
      <rPr>
        <sz val="11"/>
        <rFont val="WenQuanYi Zen Hei"/>
        <family val="2"/>
      </rPr>
      <t xml:space="preserve">先進封裝〔</t>
    </r>
    <r>
      <rPr>
        <sz val="11"/>
        <rFont val="Cambria"/>
        <family val="0"/>
        <charset val="1"/>
      </rPr>
      <t xml:space="preserve">AI</t>
    </r>
    <r>
      <rPr>
        <sz val="11"/>
        <rFont val="WenQuanYi Zen Hei"/>
        <family val="2"/>
      </rPr>
      <t xml:space="preserve">〕</t>
    </r>
  </si>
  <si>
    <t xml:space="preserve">測試與其他封裝</t>
  </si>
  <si>
    <t xml:space="preserve">晶圓前段設備</t>
  </si>
  <si>
    <t xml:space="preserve">後段設備（測試＋封裝）</t>
  </si>
  <si>
    <r>
      <rPr>
        <b val="true"/>
        <sz val="11"/>
        <rFont val="WenQuanYi Zen Hei"/>
        <family val="2"/>
      </rPr>
      <t xml:space="preserve">設備總額（情境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</si>
  <si>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年增含口徑轉換（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＝由下而上）</t>
    </r>
  </si>
  <si>
    <t xml:space="preserve">  前段年增</t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</si>
  <si>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相關設備（先進邏輯＋</t>
    </r>
    <r>
      <rPr>
        <b val="true"/>
        <sz val="11"/>
        <rFont val="Cambria"/>
        <family val="0"/>
        <charset val="1"/>
      </rPr>
      <t xml:space="preserve">DRAM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＋先進封裝）</t>
    </r>
  </si>
  <si>
    <r>
      <rPr>
        <sz val="11"/>
        <rFont val="Cambria"/>
        <family val="0"/>
        <charset val="1"/>
      </rPr>
      <t xml:space="preserve">  AI </t>
    </r>
    <r>
      <rPr>
        <sz val="11"/>
        <rFont val="WenQuanYi Zen Hei"/>
        <family val="2"/>
      </rPr>
      <t xml:space="preserve">相關占總額</t>
    </r>
  </si>
  <si>
    <r>
      <rPr>
        <sz val="11"/>
        <rFont val="Cambria"/>
        <family val="0"/>
        <charset val="1"/>
      </rPr>
      <t xml:space="preserve">  AI </t>
    </r>
    <r>
      <rPr>
        <sz val="11"/>
        <rFont val="WenQuanYi Zen Hei"/>
        <family val="2"/>
      </rPr>
      <t xml:space="preserve">相關增量占總增量（相對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累計）</t>
    </r>
  </si>
  <si>
    <r>
      <rPr>
        <sz val="11"/>
        <color theme="1"/>
        <rFont val="WenQuanYi Zen Hei"/>
        <family val="2"/>
      </rPr>
      <t xml:space="preserve">分子分母同為負（下滑）＝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相關占下滑額的比例；總增量接近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時比值失真（可超過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</si>
  <si>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  AI </t>
    </r>
    <r>
      <rPr>
        <sz val="11"/>
        <rFont val="WenQuanYi Zen Hei"/>
        <family val="2"/>
      </rPr>
      <t xml:space="preserve">相關增量占總增量（當年）</t>
    </r>
  </si>
  <si>
    <r>
      <rPr>
        <sz val="11"/>
        <color theme="1"/>
        <rFont val="WenQuanYi Zen Hei"/>
        <family val="2"/>
      </rPr>
      <t xml:space="preserve">增量為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（持平）時不適用</t>
    </r>
  </si>
  <si>
    <t xml:space="preserve">見頂年度（設備總額最高水準；同值取較晚者）</t>
  </si>
  <si>
    <t xml:space="preserve">年</t>
  </si>
  <si>
    <r>
      <rPr>
        <sz val="11"/>
        <color theme="1"/>
        <rFont val="WenQuanYi Zen Hei"/>
        <family val="2"/>
      </rPr>
      <t xml:space="preserve">若為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＝區間末尾，未見頂（</t>
    </r>
    <r>
      <rPr>
        <sz val="11"/>
        <color theme="1"/>
        <rFont val="Calibri"/>
        <family val="2"/>
        <charset val="1"/>
      </rPr>
      <t xml:space="preserve">'≥2029'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</si>
  <si>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5B. </t>
    </r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WenQuanYi Zen Hei"/>
        <family val="2"/>
      </rPr>
      <t xml:space="preserve">持平（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WenQuanYi Zen Hei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ck_B_28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ck_B_29 </t>
    </r>
    <r>
      <rPr>
        <b val="true"/>
        <sz val="11"/>
        <rFont val="WenQuanYi Zen Hei"/>
        <family val="2"/>
      </rPr>
      <t xml:space="preserve">套用於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路徑的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WenQuanYi Zen Hei"/>
        <family val="2"/>
      </rPr>
      <t xml:space="preserve">水準）</t>
    </r>
  </si>
  <si>
    <r>
      <rPr>
        <b val="true"/>
        <sz val="11"/>
        <rFont val="WenQuanYi Zen Hei"/>
        <family val="2"/>
      </rPr>
      <t xml:space="preserve">設備總額（情境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</si>
  <si>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5C. </t>
    </r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WenQuanYi Zen Hei"/>
        <family val="2"/>
      </rPr>
      <t xml:space="preserve">下滑約兩成（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WenQuanYi Zen Hei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ck_C_28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ck_C_29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</si>
  <si>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設備總額（情境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</si>
  <si>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WenQuanYi Zen Hei"/>
        <family val="2"/>
      </rPr>
      <t xml:space="preserve">核對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</si>
  <si>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設備合計 − 公布值（</t>
    </r>
    <r>
      <rPr>
        <sz val="11"/>
        <rFont val="Cambria"/>
        <family val="0"/>
        <charset val="1"/>
      </rPr>
      <t xml:space="preserve">2026</t>
    </r>
    <r>
      <rPr>
        <sz val="11"/>
        <rFont val="WenQuanYi Zen Hei"/>
        <family val="2"/>
      </rPr>
      <t xml:space="preserve">；捨入差）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</si>
  <si>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差 −</t>
    </r>
    <r>
      <rPr>
        <sz val="11"/>
        <color theme="1"/>
        <rFont val="Calibri"/>
        <family val="2"/>
        <charset val="1"/>
      </rPr>
      <t xml:space="preserve">0.1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分項捨入</t>
    </r>
  </si>
  <si>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本模型（由下而上）−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實績合計</t>
    </r>
  </si>
  <si>
    <r>
      <rPr>
        <sz val="11"/>
        <color theme="1"/>
        <rFont val="WenQuanYi Zen Hei"/>
        <family val="2"/>
      </rPr>
      <t xml:space="preserve">殘差為負時基準取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，故可 ≠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</si>
  <si>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rFont val="WenQuanYi Zen Hei"/>
        <family val="2"/>
      </rPr>
      <t xml:space="preserve">情境 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分項合計 − 總額（應為 </t>
    </r>
    <r>
      <rPr>
        <sz val="11"/>
        <rFont val="Cambria"/>
        <family val="0"/>
        <charset val="1"/>
      </rPr>
      <t xml:space="preserve">0</t>
    </r>
    <r>
      <rPr>
        <sz val="1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</si>
  <si>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在 </t>
    </r>
    <r>
      <rPr>
        <sz val="11"/>
        <rFont val="Cambria"/>
        <family val="0"/>
        <charset val="1"/>
      </rPr>
      <t xml:space="preserve">2025–2027 </t>
    </r>
    <r>
      <rPr>
        <sz val="11"/>
        <rFont val="WenQuanYi Zen Hei"/>
        <family val="2"/>
      </rPr>
      <t xml:space="preserve">與 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相同（差額合計，應為 </t>
    </r>
    <r>
      <rPr>
        <sz val="11"/>
        <rFont val="Cambria"/>
        <family val="0"/>
        <charset val="1"/>
      </rPr>
      <t xml:space="preserve">0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</si>
  <si>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WenQuanYi Zen Hei"/>
        <family val="2"/>
      </rPr>
      <t xml:space="preserve">本模型與外部來源對帳。不為對上來源而調整參數；差距 </t>
    </r>
    <r>
      <rPr>
        <sz val="11"/>
        <color theme="1"/>
        <rFont val="Calibri"/>
        <family val="2"/>
        <charset val="1"/>
      </rPr>
      <t xml:space="preserve">&gt; 15% </t>
    </r>
    <r>
      <rPr>
        <sz val="11"/>
        <color theme="1"/>
        <rFont val="WenQuanYi Zen Hei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WenQuanYi Zen Hei"/>
        <family val="2"/>
      </rPr>
      <t xml:space="preserve">。模型欄＝晶圓前段設備（除非另註）；來源口徑各異（</t>
    </r>
    <r>
      <rPr>
        <sz val="11"/>
        <color theme="1"/>
        <rFont val="Calibri"/>
        <family val="2"/>
        <charset val="1"/>
      </rPr>
      <t xml:space="preserve">SEMI WFE</t>
    </r>
    <r>
      <rPr>
        <sz val="11"/>
        <color theme="1"/>
        <rFont val="WenQuanYi Zen Hei"/>
        <family val="2"/>
      </rPr>
      <t xml:space="preserve">、分析師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含先進封裝）</t>
    </r>
  </si>
  <si>
    <t xml:space="preserve">年度</t>
  </si>
  <si>
    <t xml:space="preserve">來源值</t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</si>
  <si>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</si>
  <si>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</si>
  <si>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</si>
  <si>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</si>
  <si>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</si>
  <si>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</si>
  <si>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&gt; </t>
    </r>
    <r>
      <rPr>
        <b val="true"/>
        <sz val="11"/>
        <rFont val="WenQuanYi Zen Hei"/>
        <family val="2"/>
      </rPr>
      <t xml:space="preserve">門檻</t>
    </r>
  </si>
  <si>
    <t xml:space="preserve">口徑備註</t>
  </si>
  <si>
    <t xml:space="preserve">設備合計</t>
  </si>
  <si>
    <t xml:space="preserve">SEMI 2026-07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</si>
  <si>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公布 </t>
    </r>
    <r>
      <rPr>
        <sz val="11"/>
        <color theme="1"/>
        <rFont val="Calibri"/>
        <family val="2"/>
        <charset val="1"/>
      </rPr>
      <t xml:space="preserve">165.9</t>
    </r>
  </si>
  <si>
    <t xml:space="preserve">晶圓前段</t>
  </si>
  <si>
    <t xml:space="preserve">代工與邏輯</t>
  </si>
  <si>
    <t xml:space="preserve">模型＝代工邏輯設備合計（台積電由下而上＋其他殘差）</t>
  </si>
  <si>
    <t xml:space="preserve">DRAM</t>
  </si>
  <si>
    <r>
      <rPr>
        <sz val="11"/>
        <color theme="1"/>
        <rFont val="WenQuanYi Zen Hei"/>
        <family val="2"/>
      </rPr>
      <t xml:space="preserve">模型記憶體設備 </t>
    </r>
    <r>
      <rPr>
        <sz val="11"/>
        <color theme="1"/>
        <rFont val="Calibri"/>
        <family val="2"/>
        <charset val="1"/>
      </rPr>
      <t xml:space="preserve">× SEMI DRAM </t>
    </r>
    <r>
      <rPr>
        <sz val="11"/>
        <color theme="1"/>
        <rFont val="WenQuanYi Zen Hei"/>
        <family val="2"/>
      </rPr>
      <t xml:space="preserve">占比</t>
    </r>
  </si>
  <si>
    <t xml:space="preserve">晶圓前段年增</t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</si>
  <si>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+21.8%</t>
    </r>
    <r>
      <rPr>
        <sz val="11"/>
        <color theme="1"/>
        <rFont val="WenQuanYi Zen Hei"/>
        <family val="2"/>
      </rPr>
      <t xml:space="preserve">）</t>
    </r>
  </si>
  <si>
    <t xml:space="preserve">年增率之差以百分點計</t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</si>
  <si>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WenQuanYi Zen Hei"/>
        <family val="2"/>
      </rPr>
      <t xml:space="preserve">（由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值連乘年增）</t>
    </r>
  </si>
  <si>
    <r>
      <rPr>
        <sz val="11"/>
        <color theme="1"/>
        <rFont val="Calibri"/>
        <family val="2"/>
        <charset val="1"/>
      </rPr>
      <t xml:space="preserve">SEMI 2027 </t>
    </r>
    <r>
      <rPr>
        <sz val="11"/>
        <color theme="1"/>
        <rFont val="WenQuanYi Zen Hei"/>
        <family val="2"/>
      </rPr>
      <t xml:space="preserve">絕對金額為推得（</t>
    </r>
    <r>
      <rPr>
        <sz val="11"/>
        <color theme="1"/>
        <rFont val="Calibri"/>
        <family val="2"/>
        <charset val="1"/>
      </rPr>
      <t xml:space="preserve">143.9×1.218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</si>
  <si>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WenQuanYi Zen Hei"/>
        <family val="2"/>
      </rPr>
      <t xml:space="preserve">（連乘）</t>
    </r>
  </si>
  <si>
    <r>
      <rPr>
        <sz val="11"/>
        <color theme="1"/>
        <rFont val="WenQuanYi Zen Hei"/>
        <family val="2"/>
      </rPr>
      <t xml:space="preserve">新聞稿稱「達 </t>
    </r>
    <r>
      <rPr>
        <sz val="11"/>
        <color theme="1"/>
        <rFont val="Calibri"/>
        <family val="2"/>
        <charset val="1"/>
      </rPr>
      <t xml:space="preserve">200B</t>
    </r>
    <r>
      <rPr>
        <sz val="11"/>
        <color theme="1"/>
        <rFont val="WenQuanYi Zen Hei"/>
        <family val="2"/>
      </rPr>
      <t xml:space="preserve">」</t>
    </r>
  </si>
  <si>
    <r>
      <rPr>
        <sz val="11"/>
        <color theme="1"/>
        <rFont val="WenQuanYi Zen Hei"/>
        <family val="2"/>
      </rPr>
      <t xml:space="preserve">公布 </t>
    </r>
    <r>
      <rPr>
        <sz val="11"/>
        <color theme="1"/>
        <rFont val="Calibri"/>
        <family val="2"/>
        <charset val="1"/>
      </rPr>
      <t xml:space="preserve">229.5</t>
    </r>
    <r>
      <rPr>
        <sz val="11"/>
        <color theme="1"/>
        <rFont val="WenQuanYi Zen Hei"/>
        <family val="2"/>
      </rPr>
      <t xml:space="preserve">；分項加總 </t>
    </r>
    <r>
      <rPr>
        <sz val="11"/>
        <color theme="1"/>
        <rFont val="Calibri"/>
        <family val="2"/>
        <charset val="1"/>
      </rPr>
      <t xml:space="preserve">229.4</t>
    </r>
  </si>
  <si>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WenQuanYi Zen Hei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</si>
  <si>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2026-10 </t>
    </r>
    <r>
      <rPr>
        <sz val="11"/>
        <color theme="1"/>
        <rFont val="WenQuanYi Zen Hei"/>
        <family val="2"/>
      </rPr>
      <t xml:space="preserve">法說另稱 </t>
    </r>
    <r>
      <rPr>
        <sz val="11"/>
        <color theme="1"/>
        <rFont val="Calibri"/>
        <family val="2"/>
        <charset val="1"/>
      </rPr>
      <t xml:space="preserve">mid-150</t>
    </r>
  </si>
  <si>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WenQuanYi Zen Hei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WenQuanYi Zen Hei"/>
        <family val="2"/>
      </rPr>
      <t xml:space="preserve">；含先進封裝）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</si>
  <si>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口徑含先進封裝，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120 vs SEMI 116.9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</si>
  <si>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規劃（約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</si>
  <si>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&gt;200B</t>
    </r>
    <r>
      <rPr>
        <sz val="11"/>
        <color theme="1"/>
        <rFont val="WenQuanYi Zen Hei"/>
        <family val="2"/>
      </rPr>
      <t xml:space="preserve">；額外對照）</t>
    </r>
  </si>
  <si>
    <t xml:space="preserve">取下限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</si>
  <si>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itiger </t>
    </r>
    <r>
      <rPr>
        <sz val="11"/>
        <color theme="1"/>
        <rFont val="WenQuanYi Zen Hei"/>
        <family val="2"/>
      </rPr>
      <t xml:space="preserve">二手轉述 </t>
    </r>
    <r>
      <rPr>
        <sz val="11"/>
        <color theme="1"/>
        <rFont val="Calibri"/>
        <family val="2"/>
        <charset val="1"/>
      </rPr>
      <t xml:space="preserve">https://www.itiger.com/news/2649678863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</si>
  <si>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itiger </t>
    </r>
    <r>
      <rPr>
        <sz val="11"/>
        <color theme="1"/>
        <rFont val="WenQuanYi Zen Hei"/>
        <family val="2"/>
      </rPr>
      <t xml:space="preserve">二手轉述（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WenQuanYi Zen Hei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WenQuanYi Zen Hei"/>
        <family val="2"/>
      </rPr>
      <t xml:space="preserve">；連結見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</si>
  <si>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itiger </t>
    </r>
    <r>
      <rPr>
        <sz val="11"/>
        <color theme="1"/>
        <rFont val="WenQuanYi Zen Hei"/>
        <family val="2"/>
      </rPr>
      <t xml:space="preserve">二手轉述：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WenQuanYi Zen Hei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227</t>
    </r>
  </si>
  <si>
    <t xml:space="preserve">Goldman Sachs</t>
  </si>
  <si>
    <r>
      <rPr>
        <b val="true"/>
        <sz val="11"/>
        <rFont val="WenQuanYi Zen Hei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SEMI 2026 </t>
    </r>
    <r>
      <rPr>
        <b val="true"/>
        <sz val="11"/>
        <rFont val="WenQuanYi Zen Hei"/>
        <family val="2"/>
      </rPr>
      <t xml:space="preserve">分項加總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</si>
  <si>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WenQuanYi Zen Hei"/>
        <family val="2"/>
      </rPr>
      <t xml:space="preserve">＋代工邏輯＋其他前段 − </t>
    </r>
    <r>
      <rPr>
        <sz val="11"/>
        <color theme="1"/>
        <rFont val="Calibri"/>
        <family val="2"/>
        <charset val="1"/>
      </rPr>
      <t xml:space="preserve">WFE</t>
    </r>
  </si>
  <si>
    <r>
      <rPr>
        <sz val="11"/>
        <color theme="1"/>
        <rFont val="WenQuanYi Zen Hei"/>
        <family val="2"/>
      </rPr>
      <t xml:space="preserve">注意：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年以後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路徑的總額由下而上（其他廠＝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成長率，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），不由 </t>
    </r>
    <r>
      <rPr>
        <sz val="11"/>
        <color theme="1"/>
        <rFont val="Calibri"/>
        <family val="2"/>
        <charset val="1"/>
      </rPr>
      <t xml:space="preserve">SEMI 2026 </t>
    </r>
    <r>
      <rPr>
        <sz val="11"/>
        <color theme="1"/>
        <rFont val="WenQuanYi Zen Hei"/>
        <family val="2"/>
      </rPr>
      <t xml:space="preserve">以後預測決定（測試與封裝除外，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為輸入），所以對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與各來源的差距有意義。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年的其他廠基準由「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實績減已知廠」求得。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</si>
  <si>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一次動一個輸入（低／高取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的區間）；輸出：情境 </t>
    </r>
    <r>
      <rPr>
        <sz val="11"/>
        <color theme="1"/>
        <rFont val="Calibri"/>
        <family val="2"/>
        <charset val="1"/>
      </rPr>
      <t xml:space="preserve">A 2027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設備總額（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WenQuanYi Zen Hei"/>
        <family val="2"/>
      </rPr>
      <t xml:space="preserve">）。最後兩組列出「其他記憶體廠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基準」若不為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對總額的影響（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殘差為負時基準取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</si>
  <si>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t xml:space="preserve">輸入</t>
  </si>
  <si>
    <t xml:space="preserve">2027 A</t>
  </si>
  <si>
    <t xml:space="preserve">相對基準</t>
  </si>
  <si>
    <t xml:space="preserve">2028 A</t>
  </si>
  <si>
    <t xml:space="preserve">2029 A</t>
  </si>
  <si>
    <r>
      <rPr>
        <sz val="11"/>
        <color theme="1"/>
        <rFont val="WenQuanYi Zen Hei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（公式重算；核對列應為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</si>
  <si>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海力士設備占比 低（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</si>
  <si>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海力士設備占比 高（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WenQuanYi Zen Hei"/>
        <family val="2"/>
      </rPr>
      <t xml:space="preserve">）</t>
    </r>
  </si>
  <si>
    <t xml:space="preserve">三星設備占比 低</t>
  </si>
  <si>
    <t xml:space="preserve">三星設備占比 高</t>
  </si>
  <si>
    <r>
      <rPr>
        <sz val="11"/>
        <color theme="1"/>
        <rFont val="WenQuanYi Zen Hei"/>
        <family val="2"/>
      </rPr>
      <t xml:space="preserve">美光設備占比 低（</t>
    </r>
    <r>
      <rPr>
        <sz val="11"/>
        <color theme="1"/>
        <rFont val="Calibri"/>
        <family val="2"/>
        <charset val="1"/>
      </rPr>
      <t xml:space="preserve">FY25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27–29</t>
    </r>
    <r>
      <rPr>
        <sz val="11"/>
        <color theme="1"/>
        <rFont val="WenQuanYi Zen Hei"/>
        <family val="2"/>
      </rPr>
      <t xml:space="preserve">）</t>
    </r>
  </si>
  <si>
    <t xml:space="preserve">美光設備占比 高</t>
  </si>
  <si>
    <t xml:space="preserve">台積電設備占比 低</t>
  </si>
  <si>
    <t xml:space="preserve">台積電設備占比 高</t>
  </si>
  <si>
    <r>
      <rPr>
        <sz val="11"/>
        <color theme="1"/>
        <rFont val="WenQuanYi Zen Hei"/>
        <family val="2"/>
      </rPr>
      <t xml:space="preserve">匯率 低（</t>
    </r>
    <r>
      <rPr>
        <sz val="11"/>
        <color theme="1"/>
        <rFont val="Calibri"/>
        <family val="2"/>
        <charset val="1"/>
      </rPr>
      <t xml:space="preserve">1,350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</si>
  <si>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匯率 高（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</si>
  <si>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 低（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WenQuanYi Zen Hei"/>
        <family val="2"/>
      </rPr>
      <t xml:space="preserve">兆）</t>
    </r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</si>
  <si>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WenQuanYi Zen Hei"/>
        <family val="2"/>
      </rPr>
      <t xml:space="preserve">記憶體占比 低（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</si>
  <si>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WenQuanYi Zen Hei"/>
        <family val="2"/>
      </rPr>
      <t xml:space="preserve">記憶體占比 高（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</si>
  <si>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 低（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</si>
  <si>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 高（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</si>
  <si>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廠成長 低</t>
    </r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</si>
  <si>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廠成長 高</t>
    </r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</si>
  <si>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廠成長 低</t>
    </r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</si>
  <si>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廠成長 高</t>
    </r>
  </si>
  <si>
    <t xml:space="preserve">其他代工邏輯成長 低</t>
  </si>
  <si>
    <t xml:space="preserve">其他代工邏輯成長 高</t>
  </si>
  <si>
    <r>
      <rPr>
        <sz val="11"/>
        <color theme="1"/>
        <rFont val="WenQuanYi Zen Hei"/>
        <family val="2"/>
      </rPr>
      <t xml:space="preserve">其他記憶體廠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基準 ＋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比例分配）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</si>
  <si>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殘差為負時其他記憶體廠基準取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；真實的長鑫、鎧俠、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WenQuanYi Zen Hei"/>
        <family val="2"/>
      </rPr>
      <t xml:space="preserve">、南亞、華邦、長江存儲不為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，以下三列看基準若非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的影響</t>
    </r>
  </si>
  <si>
    <r>
      <rPr>
        <sz val="11"/>
        <color theme="1"/>
        <rFont val="WenQuanYi Zen Hei"/>
        <family val="2"/>
      </rPr>
      <t xml:space="preserve">其他記憶體廠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基準 ＋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</si>
  <si>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WenQuanYi Zen Hei"/>
        <family val="2"/>
      </rPr>
      <t xml:space="preserve">其他記憶體廠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基準 ＋</t>
    </r>
    <r>
      <rPr>
        <sz val="11"/>
        <color theme="1"/>
        <rFont val="Calibri"/>
        <family val="2"/>
        <charset val="1"/>
      </rPr>
      <t xml:space="preserve">20</t>
    </r>
  </si>
  <si>
    <r>
      <rPr>
        <sz val="11"/>
        <color theme="1"/>
        <rFont val="WenQuanYi Zen Hei"/>
        <family val="2"/>
      </rPr>
      <t xml:space="preserve">核對：基準 −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總額（應為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</si>
  <si>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t xml:space="preserve">情境係數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</si>
  <si>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WenQuanYi Zen Hei"/>
        <family val="2"/>
      </rPr>
      <t xml:space="preserve">設備總額</t>
    </r>
  </si>
  <si>
    <r>
      <rPr>
        <b val="true"/>
        <sz val="11"/>
        <rFont val="WenQuanYi Zen Hei"/>
        <family val="2"/>
      </rPr>
      <t xml:space="preserve">相對 </t>
    </r>
    <r>
      <rPr>
        <b val="true"/>
        <sz val="11"/>
        <rFont val="Cambria"/>
        <family val="0"/>
        <charset val="1"/>
      </rPr>
      <t xml:space="preserve">2027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</si>
  <si>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WenQuanYi Zen Hei"/>
        <family val="2"/>
      </rPr>
      <t xml:space="preserve">設備總額</t>
    </r>
  </si>
  <si>
    <r>
      <rPr>
        <b val="true"/>
        <sz val="11"/>
        <rFont val="WenQuanYi Zen Hei"/>
        <family val="2"/>
      </rPr>
      <t xml:space="preserve">相對 </t>
    </r>
    <r>
      <rPr>
        <b val="true"/>
        <sz val="11"/>
        <rFont val="Cambria"/>
        <family val="0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</si>
  <si>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係數 低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</si>
  <si>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係數 基準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</si>
  <si>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係數 高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</si>
  <si>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係數 低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</si>
  <si>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係數 基準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</si>
  <si>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係數 高</t>
    </r>
  </si>
  <si>
    <r>
      <rPr>
        <sz val="11"/>
        <color theme="1"/>
        <rFont val="WenQuanYi Zen Hei"/>
        <family val="2"/>
      </rPr>
      <t xml:space="preserve">說明：係數為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，區間無實證；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的見頂年度對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係數敏感（≥</t>
    </r>
    <r>
      <rPr>
        <sz val="11"/>
        <color theme="1"/>
        <rFont val="Calibri"/>
        <family val="2"/>
        <charset val="1"/>
      </rPr>
      <t xml:space="preserve">1.00 </t>
    </r>
    <r>
      <rPr>
        <sz val="11"/>
        <color theme="1"/>
        <rFont val="WenQuanYi Zen Hei"/>
        <family val="2"/>
      </rPr>
      <t xml:space="preserve">則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不下滑，見頂年度移到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）。</t>
    </r>
  </si>
  <si>
    <t xml:space="preserve">網址／位置</t>
  </si>
  <si>
    <t xml:space="preserve">用途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</si>
  <si>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年中設備預測新聞稿 </t>
    </r>
    <r>
      <rPr>
        <sz val="11"/>
        <color theme="1"/>
        <rFont val="Calibri"/>
        <family val="2"/>
        <charset val="1"/>
      </rPr>
      <t xml:space="preserve">2026-07-14</t>
    </r>
  </si>
  <si>
    <t xml:space="preserve">https://www.semi.org/en/semi-press-release/global-semiconductor-equipment-sales-forecast-to-reach-a-record-229-billion-dollars-in-2028-semi-reports</t>
  </si>
  <si>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WenQuanYi Zen Hei"/>
        <family val="2"/>
      </rPr>
      <t xml:space="preserve">設備金額、年增</t>
    </r>
  </si>
  <si>
    <t xml:space="preserve">中（一手但協會有立場；分項年增取自搜尋摘要，未能直接開啟全文）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</si>
  <si>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新聞稿轉載（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WenQuanYi Zen Hei"/>
        <family val="2"/>
      </rPr>
      <t xml:space="preserve">）</t>
    </r>
  </si>
  <si>
    <t xml:space="preserve">https://www.prnewswire.co.uk/news-releases/global-semiconductor-equipment-sales-forecast-to-reach-a-record-229-billion-in-2028-semi-reports-302824214.html</t>
  </si>
  <si>
    <t xml:space="preserve">同上第二來源（非獨立）</t>
  </si>
  <si>
    <t xml:space="preserve">中</t>
  </si>
  <si>
    <r>
      <rPr>
        <sz val="11"/>
        <color theme="1"/>
        <rFont val="Calibri"/>
        <family val="2"/>
        <charset val="1"/>
      </rPr>
      <t xml:space="preserve">Semiconductor Digest </t>
    </r>
    <r>
      <rPr>
        <sz val="11"/>
        <color theme="1"/>
        <rFont val="WenQuanYi Zen Hei"/>
        <family val="2"/>
      </rPr>
      <t xml:space="preserve">轉載</t>
    </r>
  </si>
  <si>
    <t xml:space="preserve">https://www.semiconductor-digest.com/global-semiconductor-equipment-sales-forecast-to-reach-a-record-229-billion-in-2028-semi-reports/</t>
  </si>
  <si>
    <r>
      <rPr>
        <sz val="11"/>
        <color theme="1"/>
        <rFont val="Calibri"/>
        <family val="2"/>
        <charset val="1"/>
      </rPr>
      <t xml:space="preserve">Semiconductor Intelligence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CapEx Up for Foundry, Memory</t>
    </r>
  </si>
  <si>
    <t xml:space="preserve">https://www.semiconductorintelligence.com/capex-up-for-foundry-memory/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</si>
  <si>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全球半導體資本支出 </t>
    </r>
    <r>
      <rPr>
        <sz val="11"/>
        <color theme="1"/>
        <rFont val="Calibri"/>
        <family val="2"/>
        <charset val="1"/>
      </rPr>
      <t xml:space="preserve">166B</t>
    </r>
    <r>
      <rPr>
        <sz val="11"/>
        <color theme="1"/>
        <rFont val="WenQuanYi Zen Hei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40.9B</t>
    </r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</si>
  <si>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WenQuanYi Zen Hei"/>
        <family val="2"/>
      </rPr>
      <t xml:space="preserve">產業深度</t>
    </r>
  </si>
  <si>
    <t xml:space="preserve">https://reboundcapital.substack.com/p/industry-deep-dive-semiconductor</t>
  </si>
  <si>
    <r>
      <rPr>
        <sz val="11"/>
        <color theme="1"/>
        <rFont val="WenQuanYi Zen Hei"/>
        <family val="2"/>
      </rPr>
      <t xml:space="preserve">資本支出→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WenQuanYi Zen Hei"/>
        <family val="2"/>
      </rPr>
      <t xml:space="preserve">轉換率約 </t>
    </r>
    <r>
      <rPr>
        <sz val="11"/>
        <color theme="1"/>
        <rFont val="Calibri"/>
        <family val="2"/>
        <charset val="1"/>
      </rPr>
      <t xml:space="preserve">58%</t>
    </r>
  </si>
  <si>
    <r>
      <rPr>
        <sz val="11"/>
        <color theme="1"/>
        <rFont val="WenQuanYi Zen Hei"/>
        <family val="2"/>
      </rPr>
      <t xml:space="preserve">弱（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</si>
  <si>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海力士、美光、三星、台積電模型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WenQuanYi Zen Hei"/>
        <family val="2"/>
      </rPr>
      <t xml:space="preserve">成品</t>
    </r>
  </si>
  <si>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dist/*.xlsx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WenQuanYi Zen Hei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頁「資本支出」列）</t>
    </r>
  </si>
  <si>
    <t xml:space="preserve">公司資本支出</t>
  </si>
  <si>
    <r>
      <rPr>
        <sz val="11"/>
        <color theme="1"/>
        <rFont val="WenQuanYi Zen Hei"/>
        <family val="2"/>
      </rPr>
      <t xml:space="preserve">各模型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頁標記</t>
    </r>
  </si>
  <si>
    <r>
      <rPr>
        <sz val="11"/>
        <color theme="1"/>
        <rFont val="Calibri"/>
        <family val="2"/>
        <charset val="1"/>
      </rPr>
      <t xml:space="preserve">Qz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30.2 </t>
    </r>
    <r>
      <rPr>
        <sz val="11"/>
        <color theme="1"/>
        <rFont val="WenQuanYi Zen Hei"/>
        <family val="2"/>
      </rPr>
      <t xml:space="preserve">兆）</t>
    </r>
  </si>
  <si>
    <t xml:space="preserve">https://qz.com/sk-hynix-q2-2026-earnings-record-profit-misses-estimates-072926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</si>
  <si>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</t>
    </r>
  </si>
  <si>
    <t xml:space="preserve">弱～中（摘要）</t>
  </si>
  <si>
    <r>
      <rPr>
        <sz val="11"/>
        <color theme="1"/>
        <rFont val="Calibri"/>
        <family val="2"/>
        <charset val="1"/>
      </rPr>
      <t xml:space="preserve">MLQ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2Q26</t>
    </r>
  </si>
  <si>
    <t xml:space="preserve">https://mlq.ai/news/sk-hynix-posts-record-605-trillion-won-operating-profit-raises-capacity-spending/</t>
  </si>
  <si>
    <t xml:space="preserve">同上第二來源</t>
  </si>
  <si>
    <t xml:space="preserve">弱～中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</si>
  <si>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CAPEX Results</t>
    </r>
  </si>
  <si>
    <t xml:space="preserve">https://www.samsung.com/global/ir/reports-disclosures/public-disclosure-view.84547/</t>
  </si>
  <si>
    <r>
      <rPr>
        <sz val="11"/>
        <color theme="1"/>
        <rFont val="Calibri"/>
        <family val="2"/>
        <charset val="1"/>
      </rPr>
      <t xml:space="preserve">DS 2025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47.5 </t>
    </r>
    <r>
      <rPr>
        <sz val="11"/>
        <color theme="1"/>
        <rFont val="WenQuanYi Zen Hei"/>
        <family val="2"/>
      </rPr>
      <t xml:space="preserve">兆</t>
    </r>
  </si>
  <si>
    <t xml:space="preserve">強（公司一手；頁面日期與內文不一致，需核對）</t>
  </si>
  <si>
    <r>
      <rPr>
        <sz val="11"/>
        <color theme="1"/>
        <rFont val="WenQuanYi Zen Hei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FY25 8-K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</si>
  <si>
    <t xml:space="preserve">https://www.sec.gov/Archives/edgar/data/723125/000072312525000024/a2025q4ex991-pressrelease.htm</t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</si>
  <si>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淨資本支出 </t>
    </r>
    <r>
      <rPr>
        <sz val="11"/>
        <color theme="1"/>
        <rFont val="Calibri"/>
        <family val="2"/>
        <charset val="1"/>
      </rPr>
      <t xml:space="preserve">13.80</t>
    </r>
  </si>
  <si>
    <t xml:space="preserve">強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</si>
  <si>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：鎧俠 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WenQuanYi Zen Hei"/>
        <family val="2"/>
      </rPr>
      <t xml:space="preserve">資本支出</t>
    </r>
  </si>
  <si>
    <t xml:space="preserve">https://www.trendforce.com/news/2026/06/03/news-kioxia-targets-%C2%A5470b-yearly-capex-in-fy26-28-up-66-from-fy25-reportedly-weighing-third-kitakami-fab-and-ma/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</si>
  <si>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廠成長率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</si>
  <si>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WenQuanYi Zen Hei"/>
        <family val="2"/>
      </rPr>
      <t xml:space="preserve">／鎧俠日本投資</t>
    </r>
  </si>
  <si>
    <t xml:space="preserve">https://www.fool.com/investing/2026/08/29/sandisk-and-kioxia-plan-to-invest-more-than-usd31-billion-in-japanese-memory-plants-about-60-of-what-they-have-spent-there-in-25-years/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</si>
  <si>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WenQuanYi Zen Hei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</si>
  <si>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WenQuanYi Zen Hei"/>
        <family val="2"/>
      </rPr>
      <t xml:space="preserve">：南亞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資本支出</t>
    </r>
  </si>
  <si>
    <t xml:space="preserve">https://www.digitimes.com/news/a20260713PD211/nanya-technology-capex-capacity-2027.html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</si>
  <si>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廠成長率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</si>
  <si>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：中芯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資本支出持平</t>
    </r>
  </si>
  <si>
    <t xml:space="preserve">https://www.trendforce.com/news/2026/03/30/news-smic-2026-action-plan-points-to-above-industry-growth-capex-held-in-line-with-2025/</t>
  </si>
  <si>
    <t xml:space="preserve">其他代工邏輯成長率</t>
  </si>
  <si>
    <r>
      <rPr>
        <sz val="11"/>
        <color theme="1"/>
        <rFont val="Calibri"/>
        <family val="2"/>
        <charset val="1"/>
      </rPr>
      <t xml:space="preserve">Gate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Intel 2026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&gt;$20B</t>
    </r>
  </si>
  <si>
    <t xml:space="preserve">https://www.gate.com/news/detail/intel-raises-2026-capex-guidance-to-over-20-billion-q2-earnings-beat-22949346</t>
  </si>
  <si>
    <r>
      <rPr>
        <sz val="11"/>
        <color theme="1"/>
        <rFont val="Calibri"/>
        <family val="2"/>
        <charset val="1"/>
      </rPr>
      <t xml:space="preserve">Micron FQ3 2026 </t>
    </r>
    <r>
      <rPr>
        <sz val="11"/>
        <color theme="1"/>
        <rFont val="WenQuanYi Zen Hei"/>
        <family val="2"/>
      </rPr>
      <t xml:space="preserve">準備稿</t>
    </r>
  </si>
  <si>
    <t xml:space="preserve">https://s25.q4cdn.com/621799436/files/doc_financials/2026/q3/Q3-FY26-Prepared-Remarks.pdf</t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</si>
  <si>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資本支出增量多數為建築（無塵室）</t>
    </r>
  </si>
  <si>
    <t xml:space="preserve">強（公司一手）</t>
  </si>
  <si>
    <r>
      <rPr>
        <sz val="11"/>
        <color theme="1"/>
        <rFont val="Calibri"/>
        <family val="2"/>
        <charset val="1"/>
      </rPr>
      <t xml:space="preserve">Lam Research 2026-10-21 </t>
    </r>
    <r>
      <rPr>
        <sz val="11"/>
        <color theme="1"/>
        <rFont val="WenQuanYi Zen Hei"/>
        <family val="2"/>
      </rPr>
      <t xml:space="preserve">法說稿</t>
    </r>
  </si>
  <si>
    <t xml:space="preserve">https://www.fool.com/earnings/call-transcripts/2026/10/21/lam-research-lrcx-q1-2027-earnings-call-transcript/</t>
  </si>
  <si>
    <r>
      <rPr>
        <sz val="11"/>
        <color theme="1"/>
        <rFont val="Calibri"/>
        <family val="2"/>
        <charset val="1"/>
      </rPr>
      <t xml:space="preserve">2026 mid-150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&gt;200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</si>
  <si>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WenQuanYi Zen Hei"/>
        <family val="2"/>
      </rPr>
      <t xml:space="preserve">提高 </t>
    </r>
    <r>
      <rPr>
        <sz val="11"/>
        <color theme="1"/>
        <rFont val="Calibri"/>
        <family val="2"/>
        <charset val="1"/>
      </rPr>
      <t xml:space="preserve">2026 WFE </t>
    </r>
    <r>
      <rPr>
        <sz val="11"/>
        <color theme="1"/>
        <rFont val="WenQuanYi Zen Hei"/>
        <family val="2"/>
      </rPr>
      <t xml:space="preserve">預期（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WenQuanYi Zen Hei"/>
        <family val="2"/>
      </rPr>
      <t xml:space="preserve">）</t>
    </r>
  </si>
  <si>
    <t xml:space="preserve">https://finance.yahoo.com/technology/ai/articles/lam-research-lifts-2026-wfe-180229282.html</t>
  </si>
  <si>
    <t xml:space="preserve">2026 low-150</t>
  </si>
  <si>
    <r>
      <rPr>
        <sz val="11"/>
        <color theme="1"/>
        <rFont val="Calibri"/>
        <family val="2"/>
        <charset val="1"/>
      </rPr>
      <t xml:space="preserve">KLA FQ4 2026 </t>
    </r>
    <r>
      <rPr>
        <sz val="11"/>
        <color theme="1"/>
        <rFont val="WenQuanYi Zen Hei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WenQuanYi Zen Hei"/>
        <family val="2"/>
      </rPr>
      <t xml:space="preserve">）</t>
    </r>
  </si>
  <si>
    <t xml:space="preserve">https://finance.biggo.com/news/US_KLAC_2026-07-28</t>
  </si>
  <si>
    <r>
      <rPr>
        <sz val="11"/>
        <color theme="1"/>
        <rFont val="Calibri"/>
        <family val="2"/>
        <charset val="1"/>
      </rPr>
      <t xml:space="preserve">2026 low-150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190</t>
    </r>
  </si>
  <si>
    <t xml:space="preserve">弱～中（轉述）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</si>
  <si>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）</t>
    </r>
  </si>
  <si>
    <t xml:space="preserve">https://x.com/TheValueist/status/2082235400190640364</t>
  </si>
  <si>
    <r>
      <rPr>
        <sz val="11"/>
        <color theme="1"/>
        <rFont val="WenQuanYi Zen Hei"/>
        <family val="2"/>
      </rPr>
      <t xml:space="preserve">同上；交期 </t>
    </r>
    <r>
      <rPr>
        <sz val="11"/>
        <color theme="1"/>
        <rFont val="Calibri"/>
        <family val="2"/>
        <charset val="1"/>
      </rPr>
      <t xml:space="preserve">18–24 </t>
    </r>
    <r>
      <rPr>
        <sz val="11"/>
        <color theme="1"/>
        <rFont val="WenQuanYi Zen Hei"/>
        <family val="2"/>
      </rPr>
      <t xml:space="preserve">個月</t>
    </r>
  </si>
  <si>
    <t xml:space="preserve">弱（社群貼文）</t>
  </si>
  <si>
    <r>
      <rPr>
        <sz val="11"/>
        <color theme="1"/>
        <rFont val="Calibri"/>
        <family val="2"/>
        <charset val="1"/>
      </rPr>
      <t xml:space="preserve">Morgan Stanley WFE </t>
    </r>
    <r>
      <rPr>
        <sz val="11"/>
        <color theme="1"/>
        <rFont val="WenQuanYi Zen Hei"/>
        <family val="2"/>
      </rPr>
      <t xml:space="preserve">上修（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，較早版本）</t>
    </r>
  </si>
  <si>
    <t xml:space="preserve">https://www.investing.com/news/stock-market-news/semicap-stocks-morgan-stanley-raises-wfe-outlook-and-shifts-ratings-4696580</t>
  </si>
  <si>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WenQuanYi Zen Hei"/>
        <family val="2"/>
      </rPr>
      <t xml:space="preserve">（舊版）；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WenQuanYi Zen Hei"/>
        <family val="2"/>
      </rPr>
      <t xml:space="preserve">未能查到</t>
    </r>
  </si>
  <si>
    <r>
      <rPr>
        <sz val="11"/>
        <color theme="1"/>
        <rFont val="Calibri"/>
        <family val="2"/>
        <charset val="1"/>
      </rPr>
      <t xml:space="preserve">Goldman Sachs WFE </t>
    </r>
    <r>
      <rPr>
        <sz val="11"/>
        <color theme="1"/>
        <rFont val="WenQuanYi Zen Hei"/>
        <family val="2"/>
      </rPr>
      <t xml:space="preserve">上修（</t>
    </r>
    <r>
      <rPr>
        <sz val="11"/>
        <color theme="1"/>
        <rFont val="Calibri"/>
        <family val="2"/>
        <charset val="1"/>
      </rPr>
      <t xml:space="preserve">Gate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</si>
  <si>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281</t>
    </r>
  </si>
  <si>
    <r>
      <rPr>
        <sz val="11"/>
        <color theme="1"/>
        <rFont val="Calibri"/>
        <family val="2"/>
        <charset val="1"/>
      </rPr>
      <t xml:space="preserve">TrendForce 2026-09-18 </t>
    </r>
    <r>
      <rPr>
        <sz val="11"/>
        <color theme="1"/>
        <rFont val="WenQuanYi Zen Hei"/>
        <family val="2"/>
      </rPr>
      <t xml:space="preserve">設備零組件交期</t>
    </r>
  </si>
  <si>
    <t xml:space="preserve">https://www.trendforce.com/news/2026/09/18/news-chip-equipment-component-lead-times-reportedly-double-stretching-to-40-months-as-price-pressures-mount/</t>
  </si>
  <si>
    <r>
      <rPr>
        <sz val="11"/>
        <color theme="1"/>
        <rFont val="WenQuanYi Zen Hei"/>
        <family val="2"/>
      </rPr>
      <t xml:space="preserve">零組件交期加倍、最長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個月</t>
    </r>
  </si>
  <si>
    <r>
      <rPr>
        <sz val="11"/>
        <color theme="1"/>
        <rFont val="WenQuanYi Zen Hei"/>
        <family val="2"/>
      </rPr>
      <t xml:space="preserve">中（</t>
    </r>
    <r>
      <rPr>
        <sz val="11"/>
        <color theme="1"/>
        <rFont val="Calibri"/>
        <family val="2"/>
        <charset val="1"/>
      </rPr>
      <t xml:space="preserve">'reportedly'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</si>
  <si>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WenQuanYi Zen Hei"/>
        <family val="2"/>
      </rPr>
      <t xml:space="preserve">：日本關鍵零件交期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個月</t>
    </r>
  </si>
  <si>
    <t xml:space="preserve">https://finance.biggo.com/news/f46a8b91-046a-4708-87db-63b34e0862b2</t>
  </si>
  <si>
    <t xml:space="preserve">ASML 2026 Q2 6-K</t>
  </si>
  <si>
    <t xml:space="preserve">https://www.sec.gov/Archives/edgar/data/0000937966/000162828026048235/pressreleasefinancialresul.htm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</si>
  <si>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WenQuanYi Zen Hei"/>
        <family val="2"/>
      </rPr>
      <t xml:space="preserve">產能、訂單</t>
    </r>
  </si>
  <si>
    <r>
      <rPr>
        <sz val="11"/>
        <color theme="1"/>
        <rFont val="Calibri"/>
        <family val="2"/>
        <charset val="1"/>
      </rPr>
      <t xml:space="preserve">ASML Q3 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WenQuanYi Zen Hei"/>
        <family val="2"/>
      </rPr>
      <t xml:space="preserve">需求超過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產能（</t>
    </r>
    <r>
      <rPr>
        <sz val="11"/>
        <color theme="1"/>
        <rFont val="Calibri"/>
        <family val="2"/>
        <charset val="1"/>
      </rPr>
      <t xml:space="preserve">Pomegra</t>
    </r>
    <r>
      <rPr>
        <sz val="11"/>
        <color theme="1"/>
        <rFont val="WenQuanYi Zen Hei"/>
        <family val="2"/>
      </rPr>
      <t xml:space="preserve">）</t>
    </r>
  </si>
  <si>
    <t xml:space="preserve">https://pomegra.io/news/asml-q3-2026-euv-demand-outruns-2027-capacity</t>
  </si>
  <si>
    <t xml:space="preserve">第二來源</t>
  </si>
  <si>
    <t xml:space="preserve">弱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</si>
  <si>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HBM4 TC </t>
    </r>
    <r>
      <rPr>
        <sz val="11"/>
        <color theme="1"/>
        <rFont val="WenQuanYi Zen Hei"/>
        <family val="2"/>
      </rPr>
      <t xml:space="preserve">鍵合機訂單</t>
    </r>
  </si>
  <si>
    <t xml:space="preserve">https://www.trendforce.com/news/2025/12/12/news-sk-hynix-reportedly-places-hbm4-tc-bonder-order-with-asmpt-as-hanmi-hanwha-patent-clash-heats-up/</t>
  </si>
  <si>
    <t xml:space="preserve">鍵合機供應商集中度</t>
  </si>
  <si>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KLA FQ2 2026</t>
    </r>
    <r>
      <rPr>
        <sz val="11"/>
        <color theme="1"/>
        <rFont val="WenQuanYi Zen Hei"/>
        <family val="2"/>
      </rPr>
      <t xml:space="preserve">（客戶受廠房就緒度限制）</t>
    </r>
  </si>
  <si>
    <t xml:space="preserve">https://futurumgroup.com/insights/kla-corporation-q2-fy-2026-results-beat-on-ai-led-demand/</t>
  </si>
  <si>
    <t xml:space="preserve">無塵室／廠房限制</t>
  </si>
  <si>
    <r>
      <rPr>
        <sz val="11"/>
        <color theme="1"/>
        <rFont val="Calibri"/>
        <family val="2"/>
        <charset val="1"/>
      </rPr>
      <t xml:space="preserve">Samsung </t>
    </r>
    <r>
      <rPr>
        <sz val="11"/>
        <color theme="1"/>
        <rFont val="WenQuanYi Zen Hei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WenQuanYi Zen Hei"/>
        <family val="2"/>
      </rPr>
      <t xml:space="preserve">無塵室（</t>
    </r>
    <r>
      <rPr>
        <sz val="11"/>
        <color theme="1"/>
        <rFont val="Calibri"/>
        <family val="2"/>
        <charset val="1"/>
      </rPr>
      <t xml:space="preserve">Cleanroom Technology</t>
    </r>
    <r>
      <rPr>
        <sz val="11"/>
        <color theme="1"/>
        <rFont val="WenQuanYi Zen Hei"/>
        <family val="2"/>
      </rPr>
      <t xml:space="preserve">）</t>
    </r>
  </si>
  <si>
    <t xml:space="preserve">https://cleanroomtechnology.com/samsung-speeds-up-construction-of-p5-cleanroom-for</t>
  </si>
  <si>
    <t xml:space="preserve">無塵室先行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</si>
</sst>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"/>
    <numFmt numFmtId="167" formatCode="0.0"/>
    <numFmt numFmtId="168" formatCode="0%"/>
    <numFmt numFmtId="169" formatCode="0.00"/>
    <numFmt numFmtId="170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sz val="11"/>
      <name val="WenQuanYi Zen Hei"/>
      <family val="2"/>
    </font>
    <font>
      <sz val="11"/>
      <name val="Cambria"/>
      <family val="0"/>
      <charset val="1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  <font>
      <sz val="11"/>
      <color rgb="FF007A33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60"/>
  </cols>
  <sheetData>
    <row r="1" customFormat="false" ht="82.05" hidden="false" customHeight="false" outlineLevel="0" collapsed="false">
      <c r="A1" s="1" t="s">
        <v>0</v>
      </c>
    </row>
    <row r="2" customFormat="false" ht="162.6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28.35" hidden="false" customHeight="false" outlineLevel="0" collapsed="false">
      <c r="A4" s="1" t="s">
        <v>2</v>
      </c>
    </row>
    <row r="5" customFormat="false" ht="149.25" hidden="false" customHeight="false" outlineLevel="0" collapsed="false">
      <c r="A5" s="3" t="s">
        <v>3</v>
      </c>
    </row>
    <row r="6" customFormat="false" ht="202.95" hidden="false" customHeight="false" outlineLevel="0" collapsed="false">
      <c r="A6" s="3" t="s">
        <v>4</v>
      </c>
    </row>
    <row r="7" customFormat="false" ht="122.35" hidden="false" customHeight="false" outlineLevel="0" collapsed="false">
      <c r="A7" s="3" t="s">
        <v>5</v>
      </c>
    </row>
    <row r="8" customFormat="false" ht="15" hidden="false" customHeight="false" outlineLevel="0" collapsed="false">
      <c r="A8" s="2"/>
    </row>
    <row r="9" customFormat="false" ht="41.75" hidden="false" customHeight="false" outlineLevel="0" collapsed="false">
      <c r="A9" s="1" t="s">
        <v>6</v>
      </c>
    </row>
    <row r="10" customFormat="false" ht="176.1" hidden="false" customHeight="false" outlineLevel="0" collapsed="false">
      <c r="A10" s="2" t="s">
        <v>7</v>
      </c>
    </row>
    <row r="11" customFormat="false" ht="202.95" hidden="false" customHeight="false" outlineLevel="0" collapsed="false">
      <c r="A11" s="3" t="s">
        <v>8</v>
      </c>
    </row>
    <row r="12" customFormat="false" ht="162.6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1" t="s">
        <v>10</v>
      </c>
    </row>
    <row r="15" customFormat="false" ht="243.25" hidden="false" customHeight="false" outlineLevel="0" collapsed="false">
      <c r="A15" s="3" t="s">
        <v>11</v>
      </c>
    </row>
    <row r="16" customFormat="false" ht="229.85" hidden="false" customHeight="false" outlineLevel="0" collapsed="false">
      <c r="A16" s="3" t="s">
        <v>12</v>
      </c>
    </row>
    <row r="17" customFormat="false" ht="162.65" hidden="false" customHeight="false" outlineLevel="0" collapsed="false">
      <c r="A17" s="3" t="s">
        <v>13</v>
      </c>
    </row>
    <row r="18" customFormat="false" ht="243.2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/>
    </row>
    <row r="20" customFormat="false" ht="41.75" hidden="false" customHeight="false" outlineLevel="0" collapsed="false">
      <c r="A20" s="1" t="s">
        <v>15</v>
      </c>
    </row>
    <row r="21" customFormat="false" ht="15" hidden="false" customHeight="false" outlineLevel="0" collapsed="false">
      <c r="A21" s="4" t="s">
        <v>16</v>
      </c>
      <c r="B21" s="4" t="s">
        <v>17</v>
      </c>
      <c r="C21" s="4" t="s">
        <v>18</v>
      </c>
      <c r="D21" s="4" t="s">
        <v>19</v>
      </c>
      <c r="E21" s="4" t="s">
        <v>20</v>
      </c>
    </row>
    <row r="22" customFormat="false" ht="55.2" hidden="false" customHeight="false" outlineLevel="0" collapsed="false">
      <c r="A22" s="5" t="s">
        <v>21</v>
      </c>
      <c r="B22" s="5" t="s">
        <v>22</v>
      </c>
      <c r="C22" s="6" t="s">
        <v>23</v>
      </c>
      <c r="D22" s="5" t="s">
        <v>24</v>
      </c>
      <c r="E22" s="5" t="s">
        <v>25</v>
      </c>
    </row>
    <row r="23" customFormat="false" ht="28.35" hidden="false" customHeight="false" outlineLevel="0" collapsed="false">
      <c r="A23" s="5" t="s">
        <v>26</v>
      </c>
      <c r="B23" s="6" t="s">
        <v>27</v>
      </c>
      <c r="C23" s="6" t="s">
        <v>28</v>
      </c>
      <c r="D23" s="5" t="s">
        <v>29</v>
      </c>
      <c r="E23" s="5" t="s">
        <v>30</v>
      </c>
    </row>
    <row r="24" customFormat="false" ht="28.35" hidden="false" customHeight="false" outlineLevel="0" collapsed="false">
      <c r="A24" s="6" t="s">
        <v>31</v>
      </c>
      <c r="B24" s="6" t="s">
        <v>32</v>
      </c>
      <c r="C24" s="6" t="s">
        <v>33</v>
      </c>
      <c r="D24" s="5" t="s">
        <v>34</v>
      </c>
      <c r="E24" s="6" t="s">
        <v>35</v>
      </c>
    </row>
    <row r="25" customFormat="false" ht="41.75" hidden="false" customHeight="false" outlineLevel="0" collapsed="false">
      <c r="A25" s="5" t="s">
        <v>36</v>
      </c>
      <c r="B25" s="6" t="s">
        <v>37</v>
      </c>
      <c r="C25" s="6" t="s">
        <v>38</v>
      </c>
      <c r="D25" s="5" t="s">
        <v>39</v>
      </c>
      <c r="E25" s="5" t="s">
        <v>40</v>
      </c>
    </row>
    <row r="26" customFormat="false" ht="41.75" hidden="false" customHeight="false" outlineLevel="0" collapsed="false">
      <c r="A26" s="6" t="s">
        <v>41</v>
      </c>
      <c r="B26" s="6" t="s">
        <v>42</v>
      </c>
      <c r="C26" s="6" t="s">
        <v>43</v>
      </c>
      <c r="D26" s="5" t="s">
        <v>44</v>
      </c>
      <c r="E26" s="5" t="s">
        <v>45</v>
      </c>
    </row>
    <row r="28" customFormat="false" ht="15" hidden="false" customHeight="false" outlineLevel="0" collapsed="false">
      <c r="A28" s="7" t="s">
        <v>46</v>
      </c>
    </row>
    <row r="29" customFormat="false" ht="108.95" hidden="false" customHeight="false" outlineLevel="0" collapsed="false">
      <c r="A29" s="5" t="s">
        <v>47</v>
      </c>
    </row>
    <row r="30" customFormat="false" ht="256.7" hidden="false" customHeight="false" outlineLevel="0" collapsed="false">
      <c r="A30" s="6" t="s">
        <v>48</v>
      </c>
    </row>
    <row r="31" customFormat="false" ht="229.85" hidden="false" customHeight="false" outlineLevel="0" collapsed="false">
      <c r="A31" s="6" t="s">
        <v>49</v>
      </c>
    </row>
    <row r="32" customFormat="false" ht="323.85" hidden="false" customHeight="false" outlineLevel="0" collapsed="false">
      <c r="A32" s="6" t="s">
        <v>50</v>
      </c>
    </row>
    <row r="33" customFormat="false" ht="404.45" hidden="false" customHeight="false" outlineLevel="0" collapsed="false">
      <c r="A33" s="6" t="s">
        <v>51</v>
      </c>
    </row>
    <row r="35" customFormat="false" ht="15" hidden="false" customHeight="false" outlineLevel="0" collapsed="false">
      <c r="A35" s="8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9" min="8" style="0" width="90"/>
  </cols>
  <sheetData>
    <row r="1" customFormat="false" ht="15" hidden="false" customHeight="false" outlineLevel="0" collapsed="false">
      <c r="A1" s="0" t="s">
        <v>53</v>
      </c>
    </row>
    <row r="2" customFormat="false" ht="15" hidden="false" customHeight="false" outlineLevel="0" collapsed="false">
      <c r="A2" s="8" t="s">
        <v>54</v>
      </c>
    </row>
    <row r="3" customFormat="false" ht="15" hidden="false" customHeight="false" outlineLevel="0" collapsed="false">
      <c r="A3" s="4" t="s">
        <v>55</v>
      </c>
      <c r="B3" s="4" t="s">
        <v>56</v>
      </c>
      <c r="C3" s="4" t="s">
        <v>57</v>
      </c>
      <c r="D3" s="4" t="s">
        <v>58</v>
      </c>
      <c r="E3" s="4" t="s">
        <v>59</v>
      </c>
      <c r="F3" s="4" t="s">
        <v>60</v>
      </c>
      <c r="G3" s="4" t="s">
        <v>61</v>
      </c>
      <c r="H3" s="4" t="s">
        <v>62</v>
      </c>
      <c r="I3" s="4" t="s">
        <v>63</v>
      </c>
    </row>
    <row r="4" customFormat="false" ht="15" hidden="false" customHeight="false" outlineLevel="0" collapsed="false">
      <c r="A4" s="9" t="s">
        <v>64</v>
      </c>
    </row>
    <row r="5" customFormat="false" ht="15" hidden="false" customHeight="false" outlineLevel="0" collapsed="false">
      <c r="A5" s="0" t="s">
        <v>65</v>
      </c>
      <c r="B5" s="8" t="s">
        <v>66</v>
      </c>
      <c r="C5" s="0" t="s">
        <v>67</v>
      </c>
      <c r="D5" s="10" t="n">
        <v>1350</v>
      </c>
      <c r="E5" s="11" t="n">
        <v>1420</v>
      </c>
      <c r="F5" s="10" t="n">
        <v>1500</v>
      </c>
      <c r="G5" s="12" t="s">
        <v>68</v>
      </c>
      <c r="H5" s="8" t="s">
        <v>69</v>
      </c>
      <c r="I5" s="8" t="s">
        <v>70</v>
      </c>
    </row>
    <row r="6" customFormat="false" ht="15" hidden="false" customHeight="false" outlineLevel="0" collapsed="false">
      <c r="A6" s="0" t="s">
        <v>71</v>
      </c>
      <c r="B6" s="0" t="s">
        <v>72</v>
      </c>
      <c r="C6" s="8" t="s">
        <v>73</v>
      </c>
      <c r="E6" s="11" t="n">
        <v>48.7</v>
      </c>
      <c r="G6" s="12" t="s">
        <v>74</v>
      </c>
      <c r="H6" s="12" t="s">
        <v>75</v>
      </c>
      <c r="I6" s="8" t="s">
        <v>76</v>
      </c>
    </row>
    <row r="7" customFormat="false" ht="15" hidden="false" customHeight="false" outlineLevel="0" collapsed="false">
      <c r="A7" s="0" t="s">
        <v>77</v>
      </c>
      <c r="B7" s="0" t="s">
        <v>78</v>
      </c>
      <c r="C7" s="8" t="s">
        <v>73</v>
      </c>
      <c r="E7" s="11" t="n">
        <v>62.3</v>
      </c>
      <c r="G7" s="12" t="s">
        <v>74</v>
      </c>
      <c r="H7" s="12" t="s">
        <v>79</v>
      </c>
      <c r="I7" s="8" t="s">
        <v>80</v>
      </c>
    </row>
    <row r="8" customFormat="false" ht="15" hidden="false" customHeight="false" outlineLevel="0" collapsed="false">
      <c r="A8" s="0" t="s">
        <v>81</v>
      </c>
      <c r="B8" s="0" t="s">
        <v>82</v>
      </c>
      <c r="C8" s="8" t="s">
        <v>73</v>
      </c>
      <c r="E8" s="11" t="n">
        <v>71.2</v>
      </c>
      <c r="G8" s="12" t="s">
        <v>74</v>
      </c>
      <c r="H8" s="12" t="s">
        <v>83</v>
      </c>
      <c r="I8" s="8" t="s">
        <v>84</v>
      </c>
    </row>
    <row r="9" customFormat="false" ht="15" hidden="false" customHeight="false" outlineLevel="0" collapsed="false">
      <c r="A9" s="0" t="s">
        <v>85</v>
      </c>
      <c r="B9" s="0" t="s">
        <v>86</v>
      </c>
      <c r="C9" s="8" t="s">
        <v>73</v>
      </c>
      <c r="E9" s="11" t="n">
        <v>75</v>
      </c>
      <c r="G9" s="12" t="s">
        <v>87</v>
      </c>
      <c r="H9" s="12" t="s">
        <v>88</v>
      </c>
      <c r="I9" s="8" t="s">
        <v>89</v>
      </c>
    </row>
    <row r="10" customFormat="false" ht="15" hidden="false" customHeight="false" outlineLevel="0" collapsed="false">
      <c r="A10" s="0" t="s">
        <v>90</v>
      </c>
      <c r="B10" s="8" t="s">
        <v>91</v>
      </c>
      <c r="C10" s="0" t="s">
        <v>92</v>
      </c>
      <c r="E10" s="11" t="n">
        <v>27.367</v>
      </c>
      <c r="G10" s="12" t="s">
        <v>93</v>
      </c>
      <c r="H10" s="12" t="s">
        <v>94</v>
      </c>
      <c r="I10" s="8" t="s">
        <v>95</v>
      </c>
    </row>
    <row r="11" customFormat="false" ht="15" hidden="false" customHeight="false" outlineLevel="0" collapsed="false">
      <c r="A11" s="0" t="s">
        <v>96</v>
      </c>
      <c r="B11" s="8" t="s">
        <v>97</v>
      </c>
      <c r="C11" s="0" t="s">
        <v>92</v>
      </c>
      <c r="E11" s="11" t="n">
        <v>55</v>
      </c>
      <c r="G11" s="12" t="s">
        <v>68</v>
      </c>
      <c r="H11" s="12" t="s">
        <v>98</v>
      </c>
      <c r="I11" s="8" t="s">
        <v>99</v>
      </c>
    </row>
    <row r="12" customFormat="false" ht="15" hidden="false" customHeight="false" outlineLevel="0" collapsed="false">
      <c r="A12" s="0" t="s">
        <v>100</v>
      </c>
      <c r="B12" s="8" t="s">
        <v>101</v>
      </c>
      <c r="C12" s="0" t="s">
        <v>92</v>
      </c>
      <c r="E12" s="11" t="n">
        <v>60</v>
      </c>
      <c r="G12" s="12" t="s">
        <v>87</v>
      </c>
      <c r="H12" s="12" t="s">
        <v>102</v>
      </c>
      <c r="I12" s="8" t="s">
        <v>103</v>
      </c>
    </row>
    <row r="13" customFormat="false" ht="15" hidden="false" customHeight="false" outlineLevel="0" collapsed="false">
      <c r="A13" s="0" t="s">
        <v>104</v>
      </c>
      <c r="B13" s="8" t="s">
        <v>105</v>
      </c>
      <c r="C13" s="0" t="s">
        <v>92</v>
      </c>
      <c r="E13" s="11" t="n">
        <v>60</v>
      </c>
      <c r="G13" s="12" t="s">
        <v>87</v>
      </c>
      <c r="H13" s="12" t="s">
        <v>106</v>
      </c>
      <c r="I13" s="8" t="s">
        <v>103</v>
      </c>
    </row>
    <row r="14" customFormat="false" ht="15" hidden="false" customHeight="false" outlineLevel="0" collapsed="false">
      <c r="A14" s="0" t="s">
        <v>107</v>
      </c>
      <c r="B14" s="8" t="s">
        <v>108</v>
      </c>
      <c r="C14" s="8" t="s">
        <v>73</v>
      </c>
      <c r="E14" s="11" t="n">
        <v>52.5</v>
      </c>
      <c r="G14" s="12" t="s">
        <v>109</v>
      </c>
      <c r="H14" s="12" t="s">
        <v>110</v>
      </c>
      <c r="I14" s="8" t="s">
        <v>111</v>
      </c>
    </row>
    <row r="15" customFormat="false" ht="15" hidden="false" customHeight="false" outlineLevel="0" collapsed="false">
      <c r="A15" s="0" t="s">
        <v>112</v>
      </c>
      <c r="B15" s="8" t="s">
        <v>113</v>
      </c>
      <c r="C15" s="8" t="s">
        <v>73</v>
      </c>
      <c r="E15" s="11" t="n">
        <v>60</v>
      </c>
      <c r="G15" s="12" t="s">
        <v>87</v>
      </c>
      <c r="H15" s="12" t="s">
        <v>114</v>
      </c>
      <c r="I15" s="8" t="s">
        <v>115</v>
      </c>
    </row>
    <row r="16" customFormat="false" ht="15" hidden="false" customHeight="false" outlineLevel="0" collapsed="false">
      <c r="A16" s="0" t="s">
        <v>116</v>
      </c>
      <c r="B16" s="8" t="s">
        <v>117</v>
      </c>
      <c r="C16" s="8" t="s">
        <v>73</v>
      </c>
      <c r="E16" s="11" t="n">
        <v>66</v>
      </c>
      <c r="G16" s="12" t="s">
        <v>87</v>
      </c>
      <c r="H16" s="12" t="s">
        <v>118</v>
      </c>
      <c r="I16" s="8" t="s">
        <v>119</v>
      </c>
    </row>
    <row r="17" customFormat="false" ht="15" hidden="false" customHeight="false" outlineLevel="0" collapsed="false">
      <c r="A17" s="0" t="s">
        <v>120</v>
      </c>
      <c r="B17" s="8" t="s">
        <v>121</v>
      </c>
      <c r="C17" s="8" t="s">
        <v>73</v>
      </c>
      <c r="E17" s="11" t="n">
        <v>66</v>
      </c>
      <c r="G17" s="12" t="s">
        <v>87</v>
      </c>
      <c r="H17" s="12" t="s">
        <v>122</v>
      </c>
      <c r="I17" s="8" t="s">
        <v>119</v>
      </c>
    </row>
    <row r="18" customFormat="false" ht="15" hidden="false" customHeight="false" outlineLevel="0" collapsed="false">
      <c r="A18" s="0" t="s">
        <v>123</v>
      </c>
      <c r="B18" s="8" t="s">
        <v>124</v>
      </c>
      <c r="C18" s="0" t="s">
        <v>92</v>
      </c>
      <c r="E18" s="11" t="n">
        <v>62</v>
      </c>
      <c r="G18" s="12" t="s">
        <v>74</v>
      </c>
      <c r="H18" s="12" t="s">
        <v>125</v>
      </c>
      <c r="I18" s="8" t="s">
        <v>126</v>
      </c>
    </row>
    <row r="19" customFormat="false" ht="15" hidden="false" customHeight="false" outlineLevel="0" collapsed="false">
      <c r="A19" s="0" t="s">
        <v>127</v>
      </c>
      <c r="B19" s="8" t="s">
        <v>128</v>
      </c>
      <c r="C19" s="0" t="s">
        <v>92</v>
      </c>
      <c r="E19" s="11" t="n">
        <v>77</v>
      </c>
      <c r="G19" s="12" t="s">
        <v>74</v>
      </c>
      <c r="H19" s="12" t="s">
        <v>129</v>
      </c>
      <c r="I19" s="8" t="s">
        <v>130</v>
      </c>
    </row>
    <row r="20" customFormat="false" ht="15" hidden="false" customHeight="false" outlineLevel="0" collapsed="false">
      <c r="A20" s="0" t="s">
        <v>131</v>
      </c>
      <c r="B20" s="8" t="s">
        <v>132</v>
      </c>
      <c r="C20" s="0" t="s">
        <v>92</v>
      </c>
      <c r="E20" s="11" t="n">
        <v>90</v>
      </c>
      <c r="G20" s="12" t="s">
        <v>74</v>
      </c>
      <c r="H20" s="12" t="s">
        <v>133</v>
      </c>
      <c r="I20" s="8" t="s">
        <v>134</v>
      </c>
    </row>
    <row r="21" customFormat="false" ht="15" hidden="false" customHeight="false" outlineLevel="0" collapsed="false">
      <c r="A21" s="0" t="s">
        <v>135</v>
      </c>
      <c r="B21" s="8" t="s">
        <v>136</v>
      </c>
      <c r="C21" s="0" t="s">
        <v>92</v>
      </c>
      <c r="E21" s="11" t="n">
        <v>95</v>
      </c>
      <c r="G21" s="12" t="s">
        <v>87</v>
      </c>
      <c r="H21" s="12" t="s">
        <v>137</v>
      </c>
      <c r="I21" s="8" t="s">
        <v>138</v>
      </c>
    </row>
    <row r="22" customFormat="false" ht="15" hidden="false" customHeight="false" outlineLevel="0" collapsed="false">
      <c r="A22" s="0" t="s">
        <v>139</v>
      </c>
      <c r="B22" s="0" t="s">
        <v>140</v>
      </c>
      <c r="C22" s="8" t="s">
        <v>73</v>
      </c>
      <c r="D22" s="10" t="n">
        <v>28</v>
      </c>
      <c r="E22" s="11" t="n">
        <v>30.2</v>
      </c>
      <c r="F22" s="10" t="n">
        <v>30.2</v>
      </c>
      <c r="G22" s="12" t="s">
        <v>74</v>
      </c>
      <c r="H22" s="12" t="s">
        <v>141</v>
      </c>
      <c r="I22" s="12" t="s">
        <v>142</v>
      </c>
    </row>
    <row r="23" customFormat="false" ht="15" hidden="false" customHeight="false" outlineLevel="0" collapsed="false">
      <c r="A23" s="0" t="s">
        <v>143</v>
      </c>
      <c r="B23" s="8" t="s">
        <v>144</v>
      </c>
      <c r="C23" s="0" t="s">
        <v>92</v>
      </c>
      <c r="E23" s="11" t="n">
        <v>13.8</v>
      </c>
      <c r="G23" s="12" t="s">
        <v>93</v>
      </c>
      <c r="H23" s="8" t="s">
        <v>145</v>
      </c>
      <c r="I23" s="8" t="s">
        <v>146</v>
      </c>
    </row>
    <row r="24" customFormat="false" ht="15" hidden="false" customHeight="false" outlineLevel="0" collapsed="false">
      <c r="A24" s="0" t="s">
        <v>147</v>
      </c>
      <c r="B24" s="8" t="s">
        <v>148</v>
      </c>
      <c r="C24" s="8" t="s">
        <v>73</v>
      </c>
      <c r="E24" s="11" t="n">
        <v>47.5</v>
      </c>
      <c r="G24" s="12" t="s">
        <v>93</v>
      </c>
      <c r="H24" s="8" t="s">
        <v>149</v>
      </c>
      <c r="I24" s="12" t="s">
        <v>150</v>
      </c>
    </row>
    <row r="25" customFormat="false" ht="15" hidden="false" customHeight="false" outlineLevel="0" collapsed="false">
      <c r="A25" s="0" t="s">
        <v>151</v>
      </c>
      <c r="B25" s="8" t="s">
        <v>152</v>
      </c>
      <c r="C25" s="0" t="s">
        <v>153</v>
      </c>
      <c r="D25" s="13" t="n">
        <v>0.65</v>
      </c>
      <c r="E25" s="13" t="n">
        <v>0.75</v>
      </c>
      <c r="F25" s="13" t="n">
        <v>0.85</v>
      </c>
      <c r="G25" s="12" t="s">
        <v>87</v>
      </c>
      <c r="H25" s="8" t="s">
        <v>154</v>
      </c>
      <c r="I25" s="8" t="s">
        <v>155</v>
      </c>
    </row>
    <row r="26" customFormat="false" ht="15" hidden="false" customHeight="false" outlineLevel="0" collapsed="false">
      <c r="A26" s="0" t="s">
        <v>156</v>
      </c>
      <c r="B26" s="8" t="s">
        <v>157</v>
      </c>
      <c r="C26" s="0" t="s">
        <v>92</v>
      </c>
      <c r="D26" s="10" t="n">
        <v>40</v>
      </c>
      <c r="E26" s="11" t="n">
        <v>40.9</v>
      </c>
      <c r="F26" s="10" t="n">
        <v>42</v>
      </c>
      <c r="G26" s="12" t="s">
        <v>74</v>
      </c>
      <c r="H26" s="12" t="s">
        <v>158</v>
      </c>
      <c r="I26" s="8" t="s">
        <v>159</v>
      </c>
    </row>
    <row r="27" customFormat="false" ht="15" hidden="false" customHeight="false" outlineLevel="0" collapsed="false">
      <c r="A27" s="9" t="s">
        <v>160</v>
      </c>
    </row>
    <row r="28" customFormat="false" ht="15" hidden="false" customHeight="false" outlineLevel="0" collapsed="false">
      <c r="A28" s="0" t="s">
        <v>161</v>
      </c>
      <c r="B28" s="8" t="s">
        <v>162</v>
      </c>
      <c r="C28" s="0" t="s">
        <v>153</v>
      </c>
      <c r="D28" s="13" t="n">
        <v>0.58</v>
      </c>
      <c r="E28" s="13" t="n">
        <v>0.64</v>
      </c>
      <c r="F28" s="13" t="n">
        <v>0.7</v>
      </c>
      <c r="G28" s="12" t="s">
        <v>163</v>
      </c>
      <c r="H28" s="12" t="s">
        <v>164</v>
      </c>
      <c r="I28" s="12" t="s">
        <v>165</v>
      </c>
    </row>
    <row r="29" customFormat="false" ht="15" hidden="false" customHeight="false" outlineLevel="0" collapsed="false">
      <c r="A29" s="0" t="s">
        <v>166</v>
      </c>
      <c r="B29" s="8" t="s">
        <v>167</v>
      </c>
      <c r="C29" s="0" t="s">
        <v>153</v>
      </c>
      <c r="D29" s="13" t="n">
        <v>0.471</v>
      </c>
      <c r="E29" s="13" t="n">
        <v>0.521</v>
      </c>
      <c r="F29" s="13" t="n">
        <v>0.571</v>
      </c>
      <c r="G29" s="12" t="s">
        <v>68</v>
      </c>
      <c r="H29" s="12" t="s">
        <v>168</v>
      </c>
      <c r="I29" s="8" t="s">
        <v>169</v>
      </c>
    </row>
    <row r="30" customFormat="false" ht="15" hidden="false" customHeight="false" outlineLevel="0" collapsed="false">
      <c r="A30" s="0" t="s">
        <v>170</v>
      </c>
      <c r="B30" s="8" t="s">
        <v>171</v>
      </c>
      <c r="C30" s="0" t="s">
        <v>153</v>
      </c>
      <c r="D30" s="13" t="n">
        <v>0.385</v>
      </c>
      <c r="E30" s="13" t="n">
        <v>0.46</v>
      </c>
      <c r="F30" s="13" t="n">
        <v>0.535</v>
      </c>
      <c r="G30" s="12" t="s">
        <v>68</v>
      </c>
      <c r="H30" s="12" t="s">
        <v>172</v>
      </c>
      <c r="I30" s="8" t="s">
        <v>173</v>
      </c>
    </row>
    <row r="31" customFormat="false" ht="15" hidden="false" customHeight="false" outlineLevel="0" collapsed="false">
      <c r="A31" s="0" t="s">
        <v>174</v>
      </c>
      <c r="B31" s="0" t="s">
        <v>175</v>
      </c>
      <c r="C31" s="0" t="s">
        <v>153</v>
      </c>
      <c r="D31" s="13" t="n">
        <v>0.58</v>
      </c>
      <c r="E31" s="13" t="n">
        <v>0.64</v>
      </c>
      <c r="F31" s="13" t="n">
        <v>0.7</v>
      </c>
      <c r="G31" s="12" t="s">
        <v>163</v>
      </c>
      <c r="H31" s="12" t="s">
        <v>164</v>
      </c>
      <c r="I31" s="12" t="s">
        <v>176</v>
      </c>
    </row>
    <row r="32" customFormat="false" ht="15" hidden="false" customHeight="false" outlineLevel="0" collapsed="false">
      <c r="A32" s="0" t="s">
        <v>177</v>
      </c>
      <c r="B32" s="8" t="s">
        <v>178</v>
      </c>
      <c r="C32" s="0" t="s">
        <v>153</v>
      </c>
      <c r="D32" s="13" t="n">
        <v>0.58</v>
      </c>
      <c r="E32" s="13" t="n">
        <v>0.64</v>
      </c>
      <c r="F32" s="13" t="n">
        <v>0.7</v>
      </c>
      <c r="G32" s="12" t="s">
        <v>163</v>
      </c>
      <c r="H32" s="12" t="s">
        <v>164</v>
      </c>
      <c r="I32" s="12" t="s">
        <v>179</v>
      </c>
    </row>
    <row r="33" customFormat="false" ht="15" hidden="false" customHeight="false" outlineLevel="0" collapsed="false">
      <c r="A33" s="0" t="s">
        <v>180</v>
      </c>
      <c r="B33" s="8" t="s">
        <v>181</v>
      </c>
      <c r="C33" s="0" t="s">
        <v>153</v>
      </c>
      <c r="D33" s="13" t="n">
        <v>0.58</v>
      </c>
      <c r="E33" s="13" t="n">
        <v>0.64</v>
      </c>
      <c r="F33" s="13" t="n">
        <v>0.7</v>
      </c>
      <c r="G33" s="12" t="s">
        <v>163</v>
      </c>
      <c r="H33" s="12" t="s">
        <v>164</v>
      </c>
      <c r="I33" s="12" t="s">
        <v>182</v>
      </c>
    </row>
    <row r="34" customFormat="false" ht="15" hidden="false" customHeight="false" outlineLevel="0" collapsed="false">
      <c r="A34" s="9" t="s">
        <v>183</v>
      </c>
    </row>
    <row r="35" customFormat="false" ht="15" hidden="false" customHeight="false" outlineLevel="0" collapsed="false">
      <c r="A35" s="0" t="s">
        <v>184</v>
      </c>
      <c r="B35" s="8" t="s">
        <v>185</v>
      </c>
      <c r="C35" s="0" t="s">
        <v>186</v>
      </c>
      <c r="D35" s="10" t="n">
        <v>0.1</v>
      </c>
      <c r="E35" s="10" t="n">
        <v>0.18</v>
      </c>
      <c r="F35" s="10" t="n">
        <v>0.6</v>
      </c>
      <c r="G35" s="12" t="s">
        <v>87</v>
      </c>
      <c r="H35" s="8" t="s">
        <v>187</v>
      </c>
      <c r="I35" s="8" t="s">
        <v>188</v>
      </c>
    </row>
    <row r="36" customFormat="false" ht="15" hidden="false" customHeight="false" outlineLevel="0" collapsed="false">
      <c r="A36" s="0" t="s">
        <v>189</v>
      </c>
      <c r="B36" s="8" t="s">
        <v>190</v>
      </c>
      <c r="C36" s="0" t="s">
        <v>186</v>
      </c>
      <c r="D36" s="10" t="n">
        <v>0</v>
      </c>
      <c r="E36" s="10" t="n">
        <v>0.18</v>
      </c>
      <c r="F36" s="10" t="n">
        <v>0.6</v>
      </c>
      <c r="G36" s="12" t="s">
        <v>87</v>
      </c>
      <c r="H36" s="8" t="s">
        <v>191</v>
      </c>
      <c r="I36" s="8" t="s">
        <v>192</v>
      </c>
    </row>
    <row r="37" customFormat="false" ht="15" hidden="false" customHeight="false" outlineLevel="0" collapsed="false">
      <c r="A37" s="0" t="s">
        <v>193</v>
      </c>
      <c r="B37" s="8" t="s">
        <v>194</v>
      </c>
      <c r="C37" s="0" t="s">
        <v>186</v>
      </c>
      <c r="D37" s="10" t="n">
        <v>0</v>
      </c>
      <c r="E37" s="10" t="n">
        <v>0.08</v>
      </c>
      <c r="F37" s="10" t="n">
        <v>0.2</v>
      </c>
      <c r="G37" s="12" t="s">
        <v>87</v>
      </c>
      <c r="H37" s="8" t="s">
        <v>195</v>
      </c>
      <c r="I37" s="8" t="s">
        <v>196</v>
      </c>
    </row>
    <row r="38" customFormat="false" ht="15" hidden="false" customHeight="false" outlineLevel="0" collapsed="false">
      <c r="A38" s="9" t="s">
        <v>197</v>
      </c>
    </row>
    <row r="39" customFormat="false" ht="15" hidden="false" customHeight="false" outlineLevel="0" collapsed="false">
      <c r="A39" s="0" t="s">
        <v>198</v>
      </c>
      <c r="B39" s="0" t="s">
        <v>199</v>
      </c>
      <c r="C39" s="0" t="s">
        <v>92</v>
      </c>
      <c r="E39" s="10" t="n">
        <v>38.8</v>
      </c>
      <c r="G39" s="12" t="s">
        <v>74</v>
      </c>
      <c r="H39" s="12" t="s">
        <v>200</v>
      </c>
      <c r="I39" s="8" t="s">
        <v>201</v>
      </c>
    </row>
    <row r="40" customFormat="false" ht="15" hidden="false" customHeight="false" outlineLevel="0" collapsed="false">
      <c r="A40" s="0" t="s">
        <v>202</v>
      </c>
      <c r="B40" s="0" t="s">
        <v>203</v>
      </c>
      <c r="C40" s="0" t="s">
        <v>153</v>
      </c>
      <c r="E40" s="13" t="n">
        <v>0.39</v>
      </c>
      <c r="G40" s="12" t="s">
        <v>74</v>
      </c>
      <c r="H40" s="12" t="s">
        <v>200</v>
      </c>
      <c r="I40" s="8" t="s">
        <v>201</v>
      </c>
    </row>
    <row r="41" customFormat="false" ht="15" hidden="false" customHeight="false" outlineLevel="0" collapsed="false">
      <c r="A41" s="0" t="s">
        <v>204</v>
      </c>
      <c r="B41" s="0" t="s">
        <v>205</v>
      </c>
      <c r="C41" s="0" t="s">
        <v>153</v>
      </c>
      <c r="E41" s="13" t="n">
        <v>0.274</v>
      </c>
      <c r="G41" s="12" t="s">
        <v>74</v>
      </c>
      <c r="H41" s="12" t="s">
        <v>206</v>
      </c>
      <c r="I41" s="8" t="s">
        <v>201</v>
      </c>
    </row>
    <row r="42" customFormat="false" ht="15" hidden="false" customHeight="false" outlineLevel="0" collapsed="false">
      <c r="A42" s="0" t="s">
        <v>207</v>
      </c>
      <c r="B42" s="0" t="s">
        <v>208</v>
      </c>
      <c r="C42" s="0" t="s">
        <v>153</v>
      </c>
      <c r="E42" s="13" t="n">
        <v>0.15</v>
      </c>
      <c r="G42" s="12" t="s">
        <v>74</v>
      </c>
      <c r="H42" s="12" t="s">
        <v>200</v>
      </c>
      <c r="I42" s="8" t="s">
        <v>209</v>
      </c>
    </row>
    <row r="43" customFormat="false" ht="15" hidden="false" customHeight="false" outlineLevel="0" collapsed="false">
      <c r="A43" s="0" t="s">
        <v>210</v>
      </c>
      <c r="B43" s="0" t="s">
        <v>211</v>
      </c>
      <c r="C43" s="0" t="s">
        <v>92</v>
      </c>
      <c r="E43" s="10" t="n">
        <v>13.9</v>
      </c>
      <c r="G43" s="12" t="s">
        <v>74</v>
      </c>
      <c r="H43" s="12" t="s">
        <v>200</v>
      </c>
      <c r="I43" s="8" t="s">
        <v>201</v>
      </c>
    </row>
    <row r="44" customFormat="false" ht="15" hidden="false" customHeight="false" outlineLevel="0" collapsed="false">
      <c r="A44" s="0" t="s">
        <v>212</v>
      </c>
      <c r="B44" s="0" t="s">
        <v>213</v>
      </c>
      <c r="C44" s="0" t="s">
        <v>153</v>
      </c>
      <c r="E44" s="13" t="n">
        <v>0.307</v>
      </c>
      <c r="G44" s="12" t="s">
        <v>74</v>
      </c>
      <c r="H44" s="12" t="s">
        <v>200</v>
      </c>
      <c r="I44" s="8" t="s">
        <v>201</v>
      </c>
    </row>
    <row r="45" customFormat="false" ht="15" hidden="false" customHeight="false" outlineLevel="0" collapsed="false">
      <c r="A45" s="0" t="s">
        <v>214</v>
      </c>
      <c r="B45" s="0" t="s">
        <v>215</v>
      </c>
      <c r="C45" s="0" t="s">
        <v>153</v>
      </c>
      <c r="E45" s="13" t="n">
        <v>0.311</v>
      </c>
      <c r="G45" s="12" t="s">
        <v>74</v>
      </c>
      <c r="H45" s="12" t="s">
        <v>206</v>
      </c>
      <c r="I45" s="8" t="s">
        <v>201</v>
      </c>
    </row>
    <row r="46" customFormat="false" ht="15" hidden="false" customHeight="false" outlineLevel="0" collapsed="false">
      <c r="A46" s="0" t="s">
        <v>216</v>
      </c>
      <c r="B46" s="0" t="s">
        <v>217</v>
      </c>
      <c r="C46" s="0" t="s">
        <v>153</v>
      </c>
      <c r="E46" s="13" t="n">
        <v>0.145</v>
      </c>
      <c r="G46" s="12" t="s">
        <v>74</v>
      </c>
      <c r="H46" s="12" t="s">
        <v>200</v>
      </c>
      <c r="I46" s="8" t="s">
        <v>209</v>
      </c>
    </row>
    <row r="47" customFormat="false" ht="15" hidden="false" customHeight="false" outlineLevel="0" collapsed="false">
      <c r="A47" s="0" t="s">
        <v>218</v>
      </c>
      <c r="B47" s="0" t="s">
        <v>219</v>
      </c>
      <c r="C47" s="0" t="s">
        <v>92</v>
      </c>
      <c r="E47" s="10" t="n">
        <v>78</v>
      </c>
      <c r="G47" s="12" t="s">
        <v>74</v>
      </c>
      <c r="H47" s="12" t="s">
        <v>200</v>
      </c>
      <c r="I47" s="8" t="s">
        <v>201</v>
      </c>
    </row>
    <row r="48" customFormat="false" ht="15" hidden="false" customHeight="false" outlineLevel="0" collapsed="false">
      <c r="A48" s="0" t="s">
        <v>220</v>
      </c>
      <c r="B48" s="0" t="s">
        <v>221</v>
      </c>
      <c r="C48" s="0" t="s">
        <v>153</v>
      </c>
      <c r="E48" s="13" t="n">
        <v>0.189</v>
      </c>
      <c r="G48" s="12" t="s">
        <v>74</v>
      </c>
      <c r="H48" s="12" t="s">
        <v>200</v>
      </c>
      <c r="I48" s="8" t="s">
        <v>201</v>
      </c>
    </row>
    <row r="49" customFormat="false" ht="15" hidden="false" customHeight="false" outlineLevel="0" collapsed="false">
      <c r="A49" s="0" t="s">
        <v>222</v>
      </c>
      <c r="B49" s="0" t="s">
        <v>223</v>
      </c>
      <c r="C49" s="0" t="s">
        <v>153</v>
      </c>
      <c r="E49" s="13" t="n">
        <v>0.181</v>
      </c>
      <c r="G49" s="12" t="s">
        <v>74</v>
      </c>
      <c r="H49" s="12" t="s">
        <v>206</v>
      </c>
      <c r="I49" s="8" t="s">
        <v>201</v>
      </c>
    </row>
    <row r="50" customFormat="false" ht="15" hidden="false" customHeight="false" outlineLevel="0" collapsed="false">
      <c r="A50" s="0" t="s">
        <v>224</v>
      </c>
      <c r="B50" s="0" t="s">
        <v>225</v>
      </c>
      <c r="C50" s="0" t="s">
        <v>153</v>
      </c>
      <c r="E50" s="13" t="n">
        <v>0.136</v>
      </c>
      <c r="G50" s="12" t="s">
        <v>74</v>
      </c>
      <c r="H50" s="12" t="s">
        <v>200</v>
      </c>
      <c r="I50" s="8" t="s">
        <v>209</v>
      </c>
    </row>
    <row r="51" customFormat="false" ht="15" hidden="false" customHeight="false" outlineLevel="0" collapsed="false">
      <c r="A51" s="0" t="s">
        <v>226</v>
      </c>
      <c r="B51" s="0" t="s">
        <v>227</v>
      </c>
      <c r="C51" s="0" t="s">
        <v>92</v>
      </c>
      <c r="E51" s="10" t="n">
        <v>143.9</v>
      </c>
      <c r="G51" s="12" t="s">
        <v>74</v>
      </c>
      <c r="H51" s="12" t="s">
        <v>200</v>
      </c>
      <c r="I51" s="8" t="s">
        <v>201</v>
      </c>
    </row>
    <row r="52" customFormat="false" ht="15" hidden="false" customHeight="false" outlineLevel="0" collapsed="false">
      <c r="A52" s="0" t="s">
        <v>228</v>
      </c>
      <c r="B52" s="0" t="s">
        <v>229</v>
      </c>
      <c r="C52" s="0" t="s">
        <v>153</v>
      </c>
      <c r="E52" s="13" t="n">
        <v>0.231</v>
      </c>
      <c r="G52" s="12" t="s">
        <v>74</v>
      </c>
      <c r="H52" s="12" t="s">
        <v>200</v>
      </c>
      <c r="I52" s="8" t="s">
        <v>201</v>
      </c>
    </row>
    <row r="53" customFormat="false" ht="15" hidden="false" customHeight="false" outlineLevel="0" collapsed="false">
      <c r="A53" s="0" t="s">
        <v>230</v>
      </c>
      <c r="B53" s="0" t="s">
        <v>231</v>
      </c>
      <c r="C53" s="0" t="s">
        <v>153</v>
      </c>
      <c r="E53" s="13" t="n">
        <v>0.218</v>
      </c>
      <c r="G53" s="12" t="s">
        <v>74</v>
      </c>
      <c r="H53" s="12" t="s">
        <v>206</v>
      </c>
      <c r="I53" s="8" t="s">
        <v>201</v>
      </c>
    </row>
    <row r="54" customFormat="false" ht="15" hidden="false" customHeight="false" outlineLevel="0" collapsed="false">
      <c r="A54" s="0" t="s">
        <v>232</v>
      </c>
      <c r="B54" s="0" t="s">
        <v>233</v>
      </c>
      <c r="C54" s="0" t="s">
        <v>153</v>
      </c>
      <c r="E54" s="13" t="n">
        <v>0.141</v>
      </c>
      <c r="G54" s="12" t="s">
        <v>74</v>
      </c>
      <c r="H54" s="12" t="s">
        <v>200</v>
      </c>
      <c r="I54" s="8" t="s">
        <v>209</v>
      </c>
    </row>
    <row r="55" customFormat="false" ht="15" hidden="false" customHeight="false" outlineLevel="0" collapsed="false">
      <c r="A55" s="0" t="s">
        <v>234</v>
      </c>
      <c r="B55" s="0" t="s">
        <v>235</v>
      </c>
      <c r="C55" s="0" t="s">
        <v>92</v>
      </c>
      <c r="E55" s="10" t="n">
        <v>15.3</v>
      </c>
      <c r="G55" s="12" t="s">
        <v>74</v>
      </c>
      <c r="H55" s="12" t="s">
        <v>200</v>
      </c>
      <c r="I55" s="8" t="s">
        <v>201</v>
      </c>
    </row>
    <row r="56" customFormat="false" ht="15" hidden="false" customHeight="false" outlineLevel="0" collapsed="false">
      <c r="A56" s="0" t="s">
        <v>236</v>
      </c>
      <c r="B56" s="0" t="s">
        <v>237</v>
      </c>
      <c r="C56" s="0" t="s">
        <v>153</v>
      </c>
      <c r="E56" s="13" t="n">
        <v>0.31</v>
      </c>
      <c r="G56" s="12" t="s">
        <v>74</v>
      </c>
      <c r="H56" s="12" t="s">
        <v>200</v>
      </c>
      <c r="I56" s="8" t="s">
        <v>201</v>
      </c>
    </row>
    <row r="57" customFormat="false" ht="15" hidden="false" customHeight="false" outlineLevel="0" collapsed="false">
      <c r="A57" s="0" t="s">
        <v>238</v>
      </c>
      <c r="B57" s="0" t="s">
        <v>239</v>
      </c>
      <c r="C57" s="0" t="s">
        <v>92</v>
      </c>
      <c r="E57" s="10" t="n">
        <v>20.8</v>
      </c>
      <c r="G57" s="12" t="s">
        <v>74</v>
      </c>
      <c r="H57" s="12" t="s">
        <v>200</v>
      </c>
      <c r="I57" s="8" t="s">
        <v>240</v>
      </c>
    </row>
    <row r="58" customFormat="false" ht="15" hidden="false" customHeight="false" outlineLevel="0" collapsed="false">
      <c r="A58" s="0" t="s">
        <v>241</v>
      </c>
      <c r="B58" s="0" t="s">
        <v>242</v>
      </c>
      <c r="C58" s="0" t="s">
        <v>92</v>
      </c>
      <c r="E58" s="10" t="n">
        <v>6.7</v>
      </c>
      <c r="G58" s="12" t="s">
        <v>74</v>
      </c>
      <c r="H58" s="12" t="s">
        <v>200</v>
      </c>
      <c r="I58" s="8" t="s">
        <v>201</v>
      </c>
    </row>
    <row r="59" customFormat="false" ht="15" hidden="false" customHeight="false" outlineLevel="0" collapsed="false">
      <c r="A59" s="0" t="s">
        <v>243</v>
      </c>
      <c r="B59" s="0" t="s">
        <v>244</v>
      </c>
      <c r="C59" s="0" t="s">
        <v>153</v>
      </c>
      <c r="E59" s="13" t="n">
        <v>0.096</v>
      </c>
      <c r="G59" s="12" t="s">
        <v>74</v>
      </c>
      <c r="H59" s="12" t="s">
        <v>200</v>
      </c>
      <c r="I59" s="8" t="s">
        <v>201</v>
      </c>
    </row>
    <row r="60" customFormat="false" ht="15" hidden="false" customHeight="false" outlineLevel="0" collapsed="false">
      <c r="A60" s="0" t="s">
        <v>245</v>
      </c>
      <c r="B60" s="0" t="s">
        <v>246</v>
      </c>
      <c r="C60" s="0" t="s">
        <v>92</v>
      </c>
      <c r="E60" s="10" t="n">
        <v>8.6</v>
      </c>
      <c r="G60" s="12" t="s">
        <v>74</v>
      </c>
      <c r="H60" s="12" t="s">
        <v>200</v>
      </c>
      <c r="I60" s="8" t="s">
        <v>247</v>
      </c>
    </row>
    <row r="61" customFormat="false" ht="15" hidden="false" customHeight="false" outlineLevel="0" collapsed="false">
      <c r="A61" s="0" t="s">
        <v>248</v>
      </c>
      <c r="B61" s="0" t="s">
        <v>249</v>
      </c>
      <c r="C61" s="0" t="s">
        <v>92</v>
      </c>
      <c r="E61" s="10" t="n">
        <v>165.9</v>
      </c>
      <c r="G61" s="12" t="s">
        <v>74</v>
      </c>
      <c r="H61" s="12" t="s">
        <v>200</v>
      </c>
      <c r="I61" s="8" t="s">
        <v>201</v>
      </c>
    </row>
    <row r="62" customFormat="false" ht="15" hidden="false" customHeight="false" outlineLevel="0" collapsed="false">
      <c r="A62" s="0" t="s">
        <v>250</v>
      </c>
      <c r="B62" s="0" t="s">
        <v>251</v>
      </c>
      <c r="C62" s="0" t="s">
        <v>153</v>
      </c>
      <c r="E62" s="13" t="n">
        <v>0.232</v>
      </c>
      <c r="G62" s="12" t="s">
        <v>74</v>
      </c>
      <c r="H62" s="12" t="s">
        <v>200</v>
      </c>
      <c r="I62" s="8" t="s">
        <v>201</v>
      </c>
    </row>
    <row r="63" customFormat="false" ht="15" hidden="false" customHeight="false" outlineLevel="0" collapsed="false">
      <c r="A63" s="0" t="s">
        <v>252</v>
      </c>
      <c r="B63" s="0" t="s">
        <v>253</v>
      </c>
      <c r="C63" s="0" t="s">
        <v>92</v>
      </c>
      <c r="E63" s="10" t="n">
        <v>229.5</v>
      </c>
      <c r="G63" s="12" t="s">
        <v>74</v>
      </c>
      <c r="H63" s="12" t="s">
        <v>200</v>
      </c>
      <c r="I63" s="8" t="s">
        <v>201</v>
      </c>
    </row>
    <row r="64" customFormat="false" ht="15" hidden="false" customHeight="false" outlineLevel="0" collapsed="false">
      <c r="A64" s="0" t="s">
        <v>254</v>
      </c>
      <c r="B64" s="0" t="s">
        <v>255</v>
      </c>
      <c r="C64" s="0" t="s">
        <v>153</v>
      </c>
      <c r="D64" s="13" t="n">
        <v>0</v>
      </c>
      <c r="E64" s="13" t="n">
        <v>0.08</v>
      </c>
      <c r="F64" s="13" t="n">
        <v>0.12</v>
      </c>
      <c r="G64" s="12" t="s">
        <v>87</v>
      </c>
      <c r="H64" s="8" t="s">
        <v>256</v>
      </c>
      <c r="I64" s="8" t="s">
        <v>257</v>
      </c>
    </row>
    <row r="65" customFormat="false" ht="15" hidden="false" customHeight="false" outlineLevel="0" collapsed="false">
      <c r="A65" s="9" t="s">
        <v>258</v>
      </c>
    </row>
    <row r="66" customFormat="false" ht="15" hidden="false" customHeight="false" outlineLevel="0" collapsed="false">
      <c r="A66" s="0" t="s">
        <v>259</v>
      </c>
      <c r="B66" s="8" t="s">
        <v>260</v>
      </c>
      <c r="C66" s="0" t="s">
        <v>261</v>
      </c>
      <c r="D66" s="10" t="n">
        <v>0.95</v>
      </c>
      <c r="E66" s="10" t="n">
        <v>1</v>
      </c>
      <c r="F66" s="10" t="n">
        <v>1.05</v>
      </c>
      <c r="G66" s="12" t="s">
        <v>87</v>
      </c>
      <c r="H66" s="8" t="s">
        <v>262</v>
      </c>
      <c r="I66" s="8" t="s">
        <v>263</v>
      </c>
    </row>
    <row r="67" customFormat="false" ht="15" hidden="false" customHeight="false" outlineLevel="0" collapsed="false">
      <c r="A67" s="0" t="s">
        <v>264</v>
      </c>
      <c r="B67" s="8" t="s">
        <v>265</v>
      </c>
      <c r="C67" s="0" t="s">
        <v>261</v>
      </c>
      <c r="D67" s="10" t="n">
        <v>0.75</v>
      </c>
      <c r="E67" s="10" t="n">
        <v>0.8</v>
      </c>
      <c r="F67" s="10" t="n">
        <v>0.85</v>
      </c>
      <c r="G67" s="12" t="s">
        <v>87</v>
      </c>
      <c r="H67" s="8" t="s">
        <v>266</v>
      </c>
      <c r="I67" s="8" t="s">
        <v>267</v>
      </c>
    </row>
    <row r="68" customFormat="false" ht="15" hidden="false" customHeight="false" outlineLevel="0" collapsed="false">
      <c r="A68" s="0" t="s">
        <v>268</v>
      </c>
      <c r="B68" s="8" t="s">
        <v>269</v>
      </c>
      <c r="C68" s="0" t="s">
        <v>261</v>
      </c>
      <c r="D68" s="10" t="n">
        <v>0.9</v>
      </c>
      <c r="E68" s="10" t="n">
        <v>0.95</v>
      </c>
      <c r="F68" s="10" t="n">
        <v>1.05</v>
      </c>
      <c r="G68" s="12" t="s">
        <v>87</v>
      </c>
      <c r="H68" s="8" t="s">
        <v>270</v>
      </c>
      <c r="I68" s="8" t="s">
        <v>271</v>
      </c>
    </row>
    <row r="69" customFormat="false" ht="15" hidden="false" customHeight="false" outlineLevel="0" collapsed="false">
      <c r="A69" s="0" t="s">
        <v>272</v>
      </c>
      <c r="B69" s="8" t="s">
        <v>273</v>
      </c>
      <c r="C69" s="0" t="s">
        <v>261</v>
      </c>
      <c r="D69" s="10" t="n">
        <v>0.9</v>
      </c>
      <c r="E69" s="10" t="n">
        <v>1</v>
      </c>
      <c r="F69" s="10" t="n">
        <v>1.1</v>
      </c>
      <c r="G69" s="12" t="s">
        <v>87</v>
      </c>
      <c r="H69" s="8" t="s">
        <v>274</v>
      </c>
      <c r="I69" s="8" t="s">
        <v>271</v>
      </c>
    </row>
    <row r="70" customFormat="false" ht="15" hidden="false" customHeight="false" outlineLevel="0" collapsed="false">
      <c r="A70" s="9" t="s">
        <v>275</v>
      </c>
    </row>
    <row r="71" customFormat="false" ht="15" hidden="false" customHeight="false" outlineLevel="0" collapsed="false">
      <c r="A71" s="0" t="s">
        <v>276</v>
      </c>
      <c r="B71" s="8" t="s">
        <v>277</v>
      </c>
      <c r="C71" s="0" t="s">
        <v>153</v>
      </c>
      <c r="D71" s="13" t="n">
        <v>0.15</v>
      </c>
      <c r="E71" s="13" t="n">
        <v>0.25</v>
      </c>
      <c r="F71" s="13" t="n">
        <v>0.4</v>
      </c>
      <c r="G71" s="12" t="s">
        <v>87</v>
      </c>
      <c r="H71" s="8" t="s">
        <v>278</v>
      </c>
      <c r="I71" s="8" t="s">
        <v>279</v>
      </c>
    </row>
    <row r="72" customFormat="false" ht="15" hidden="false" customHeight="false" outlineLevel="0" collapsed="false">
      <c r="A72" s="0" t="s">
        <v>280</v>
      </c>
      <c r="B72" s="8" t="s">
        <v>281</v>
      </c>
      <c r="C72" s="0" t="s">
        <v>153</v>
      </c>
      <c r="D72" s="13" t="n">
        <v>0.35</v>
      </c>
      <c r="E72" s="13" t="n">
        <v>0.5</v>
      </c>
      <c r="F72" s="13" t="n">
        <v>0.65</v>
      </c>
      <c r="G72" s="12" t="s">
        <v>87</v>
      </c>
      <c r="H72" s="8" t="s">
        <v>282</v>
      </c>
      <c r="I72" s="8" t="s">
        <v>283</v>
      </c>
    </row>
    <row r="73" customFormat="false" ht="15" hidden="false" customHeight="false" outlineLevel="0" collapsed="false">
      <c r="A73" s="9" t="s">
        <v>284</v>
      </c>
    </row>
    <row r="74" customFormat="false" ht="15" hidden="false" customHeight="false" outlineLevel="0" collapsed="false">
      <c r="A74" s="0" t="s">
        <v>285</v>
      </c>
      <c r="B74" s="0" t="s">
        <v>286</v>
      </c>
      <c r="C74" s="0" t="s">
        <v>92</v>
      </c>
      <c r="E74" s="10" t="n">
        <v>150</v>
      </c>
      <c r="G74" s="12" t="s">
        <v>74</v>
      </c>
      <c r="H74" s="8" t="s">
        <v>287</v>
      </c>
      <c r="I74" s="12" t="s">
        <v>288</v>
      </c>
    </row>
    <row r="75" customFormat="false" ht="15" hidden="false" customHeight="false" outlineLevel="0" collapsed="false">
      <c r="A75" s="0" t="s">
        <v>289</v>
      </c>
      <c r="B75" s="0" t="s">
        <v>290</v>
      </c>
      <c r="C75" s="0" t="s">
        <v>92</v>
      </c>
      <c r="E75" s="10" t="n">
        <v>200</v>
      </c>
      <c r="G75" s="12" t="s">
        <v>74</v>
      </c>
      <c r="H75" s="8" t="s">
        <v>291</v>
      </c>
      <c r="I75" s="8" t="s">
        <v>292</v>
      </c>
    </row>
    <row r="76" customFormat="false" ht="15" hidden="false" customHeight="false" outlineLevel="0" collapsed="false">
      <c r="A76" s="0" t="s">
        <v>293</v>
      </c>
      <c r="B76" s="0" t="s">
        <v>294</v>
      </c>
      <c r="C76" s="0" t="s">
        <v>92</v>
      </c>
      <c r="E76" s="10" t="n">
        <v>150</v>
      </c>
      <c r="G76" s="12" t="s">
        <v>74</v>
      </c>
      <c r="H76" s="8" t="s">
        <v>295</v>
      </c>
      <c r="I76" s="8" t="s">
        <v>296</v>
      </c>
    </row>
    <row r="77" customFormat="false" ht="15" hidden="false" customHeight="false" outlineLevel="0" collapsed="false">
      <c r="A77" s="0" t="s">
        <v>297</v>
      </c>
      <c r="B77" s="0" t="s">
        <v>298</v>
      </c>
      <c r="C77" s="0" t="s">
        <v>92</v>
      </c>
      <c r="E77" s="10" t="n">
        <v>190</v>
      </c>
      <c r="G77" s="12" t="s">
        <v>74</v>
      </c>
      <c r="H77" s="8" t="s">
        <v>299</v>
      </c>
      <c r="I77" s="8" t="s">
        <v>300</v>
      </c>
    </row>
    <row r="78" customFormat="false" ht="15" hidden="false" customHeight="false" outlineLevel="0" collapsed="false">
      <c r="A78" s="0" t="s">
        <v>301</v>
      </c>
      <c r="B78" s="0" t="s">
        <v>302</v>
      </c>
      <c r="C78" s="0" t="s">
        <v>92</v>
      </c>
      <c r="E78" s="10" t="n">
        <v>202</v>
      </c>
      <c r="G78" s="12" t="s">
        <v>74</v>
      </c>
      <c r="H78" s="8" t="s">
        <v>303</v>
      </c>
      <c r="I78" s="8" t="s">
        <v>304</v>
      </c>
    </row>
    <row r="79" customFormat="false" ht="15" hidden="false" customHeight="false" outlineLevel="0" collapsed="false">
      <c r="A79" s="0" t="s">
        <v>305</v>
      </c>
      <c r="B79" s="0" t="s">
        <v>306</v>
      </c>
      <c r="C79" s="0" t="s">
        <v>92</v>
      </c>
      <c r="E79" s="10" t="n">
        <v>227</v>
      </c>
      <c r="G79" s="12" t="s">
        <v>74</v>
      </c>
      <c r="H79" s="8" t="s">
        <v>307</v>
      </c>
      <c r="I79" s="8" t="s">
        <v>308</v>
      </c>
    </row>
    <row r="80" customFormat="false" ht="15" hidden="false" customHeight="false" outlineLevel="0" collapsed="false">
      <c r="A80" s="0" t="s">
        <v>309</v>
      </c>
      <c r="B80" s="0" t="s">
        <v>310</v>
      </c>
      <c r="C80" s="0" t="s">
        <v>92</v>
      </c>
      <c r="E80" s="10" t="n">
        <v>150</v>
      </c>
      <c r="G80" s="12" t="s">
        <v>74</v>
      </c>
      <c r="H80" s="12" t="s">
        <v>311</v>
      </c>
      <c r="I80" s="12" t="s">
        <v>312</v>
      </c>
    </row>
    <row r="81" customFormat="false" ht="15" hidden="false" customHeight="false" outlineLevel="0" collapsed="false">
      <c r="A81" s="0" t="s">
        <v>313</v>
      </c>
      <c r="B81" s="0" t="s">
        <v>314</v>
      </c>
      <c r="C81" s="0" t="s">
        <v>92</v>
      </c>
      <c r="E81" s="10" t="n">
        <v>218</v>
      </c>
      <c r="G81" s="12" t="s">
        <v>74</v>
      </c>
      <c r="H81" s="12" t="s">
        <v>311</v>
      </c>
      <c r="I81" s="8" t="s">
        <v>308</v>
      </c>
    </row>
    <row r="82" customFormat="false" ht="15" hidden="false" customHeight="false" outlineLevel="0" collapsed="false">
      <c r="A82" s="0" t="s">
        <v>315</v>
      </c>
      <c r="B82" s="0" t="s">
        <v>316</v>
      </c>
      <c r="C82" s="0" t="s">
        <v>92</v>
      </c>
      <c r="E82" s="10" t="n">
        <v>281</v>
      </c>
      <c r="G82" s="12" t="s">
        <v>74</v>
      </c>
      <c r="H82" s="12" t="s">
        <v>311</v>
      </c>
      <c r="I82" s="8" t="s">
        <v>308</v>
      </c>
    </row>
    <row r="83" customFormat="false" ht="15" hidden="false" customHeight="false" outlineLevel="0" collapsed="false">
      <c r="A83" s="0" t="s">
        <v>317</v>
      </c>
      <c r="B83" s="8" t="s">
        <v>318</v>
      </c>
      <c r="C83" s="0" t="s">
        <v>153</v>
      </c>
      <c r="E83" s="13" t="n">
        <v>0.15</v>
      </c>
      <c r="G83" s="12" t="s">
        <v>93</v>
      </c>
      <c r="H83" s="8" t="s">
        <v>319</v>
      </c>
      <c r="I83" s="12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6"/>
    <col collapsed="false" customWidth="true" hidden="false" outlineLevel="0" max="7" min="3" style="0" width="10"/>
    <col collapsed="false" customWidth="true" hidden="false" outlineLevel="0" max="8" min="8" style="0" width="80"/>
  </cols>
  <sheetData>
    <row r="1" customFormat="false" ht="15" hidden="false" customHeight="false" outlineLevel="0" collapsed="false">
      <c r="A1" s="0" t="s">
        <v>321</v>
      </c>
    </row>
    <row r="2" customFormat="false" ht="15" hidden="false" customHeight="false" outlineLevel="0" collapsed="false">
      <c r="A2" s="0" t="s">
        <v>322</v>
      </c>
    </row>
    <row r="3" customFormat="false" ht="15" hidden="false" customHeight="false" outlineLevel="0" collapsed="false">
      <c r="A3" s="4" t="s">
        <v>56</v>
      </c>
      <c r="B3" s="4" t="s">
        <v>57</v>
      </c>
      <c r="C3" s="14" t="n">
        <v>2025</v>
      </c>
      <c r="D3" s="14" t="n">
        <v>2026</v>
      </c>
      <c r="E3" s="14" t="n">
        <v>2027</v>
      </c>
      <c r="F3" s="14" t="n">
        <v>2028</v>
      </c>
      <c r="G3" s="14" t="n">
        <v>2029</v>
      </c>
      <c r="H3" s="4" t="s">
        <v>323</v>
      </c>
    </row>
    <row r="4" customFormat="false" ht="15" hidden="false" customHeight="false" outlineLevel="0" collapsed="false">
      <c r="A4" s="7" t="s">
        <v>324</v>
      </c>
    </row>
    <row r="5" customFormat="false" ht="15" hidden="false" customHeight="false" outlineLevel="0" collapsed="false">
      <c r="A5" s="7" t="s">
        <v>325</v>
      </c>
    </row>
    <row r="6" customFormat="false" ht="15" hidden="false" customHeight="false" outlineLevel="0" collapsed="false">
      <c r="A6" s="8" t="s">
        <v>326</v>
      </c>
      <c r="B6" s="0" t="s">
        <v>92</v>
      </c>
      <c r="C6" s="15" t="n">
        <f aca="false">C100</f>
        <v>134.689359843138</v>
      </c>
      <c r="D6" s="15" t="n">
        <f aca="false">D100</f>
        <v>181.588828597269</v>
      </c>
      <c r="E6" s="15" t="n">
        <f aca="false">E100</f>
        <v>222.695718924677</v>
      </c>
      <c r="F6" s="15" t="n">
        <f aca="false">F100</f>
        <v>250.265733099033</v>
      </c>
      <c r="G6" s="15" t="n">
        <f aca="false">G100</f>
        <v>262.607401238429</v>
      </c>
    </row>
    <row r="7" customFormat="false" ht="15" hidden="false" customHeight="false" outlineLevel="0" collapsed="false">
      <c r="A7" s="8" t="s">
        <v>327</v>
      </c>
      <c r="B7" s="0" t="s">
        <v>153</v>
      </c>
      <c r="D7" s="16" t="n">
        <f aca="false">D101</f>
        <v>0.348204704579127</v>
      </c>
      <c r="E7" s="16" t="n">
        <f aca="false">E101</f>
        <v>0.226373453945098</v>
      </c>
      <c r="F7" s="16" t="n">
        <f aca="false">F101</f>
        <v>0.12380127605273</v>
      </c>
      <c r="G7" s="16" t="n">
        <f aca="false">G101</f>
        <v>0.0493142548385261</v>
      </c>
    </row>
    <row r="8" customFormat="false" ht="15" hidden="false" customHeight="false" outlineLevel="0" collapsed="false">
      <c r="A8" s="8" t="s">
        <v>328</v>
      </c>
      <c r="B8" s="0" t="s">
        <v>92</v>
      </c>
      <c r="C8" s="15" t="n">
        <f aca="false">C98</f>
        <v>116.896831844029</v>
      </c>
      <c r="D8" s="15" t="n">
        <f aca="false">D98</f>
        <v>159.588828597269</v>
      </c>
      <c r="E8" s="15" t="n">
        <f aca="false">E98</f>
        <v>197.265652542156</v>
      </c>
      <c r="F8" s="15" t="n">
        <f aca="false">F98</f>
        <v>220.865733099033</v>
      </c>
      <c r="G8" s="15" t="n">
        <f aca="false">G98</f>
        <v>230.855401238429</v>
      </c>
    </row>
    <row r="9" customFormat="false" ht="15" hidden="false" customHeight="false" outlineLevel="0" collapsed="false">
      <c r="A9" s="0" t="s">
        <v>329</v>
      </c>
      <c r="B9" s="0" t="s">
        <v>92</v>
      </c>
      <c r="C9" s="15" t="n">
        <f aca="false">C103</f>
        <v>67.0025748249712</v>
      </c>
      <c r="D9" s="15" t="n">
        <f aca="false">D103</f>
        <v>97.0691383721396</v>
      </c>
      <c r="E9" s="15" t="n">
        <f aca="false">E103</f>
        <v>122.855413423103</v>
      </c>
      <c r="F9" s="15" t="n">
        <f aca="false">F103</f>
        <v>139.136894371148</v>
      </c>
      <c r="G9" s="15" t="n">
        <f aca="false">G103</f>
        <v>144.924875168681</v>
      </c>
    </row>
    <row r="10" customFormat="false" ht="15" hidden="false" customHeight="false" outlineLevel="0" collapsed="false">
      <c r="A10" s="0" t="s">
        <v>330</v>
      </c>
      <c r="B10" s="0" t="s">
        <v>153</v>
      </c>
      <c r="D10" s="17" t="n">
        <f aca="false">D105</f>
        <v>0.641085375716965</v>
      </c>
      <c r="E10" s="17" t="n">
        <f aca="false">E105</f>
        <v>0.634645486769692</v>
      </c>
      <c r="F10" s="17" t="n">
        <f aca="false">F105</f>
        <v>0.624126865327969</v>
      </c>
      <c r="G10" s="17" t="n">
        <f aca="false">G105</f>
        <v>0.609158016287281</v>
      </c>
    </row>
    <row r="11" customFormat="false" ht="15" hidden="false" customHeight="false" outlineLevel="0" collapsed="false">
      <c r="A11" s="0" t="s">
        <v>331</v>
      </c>
      <c r="B11" s="0" t="s">
        <v>153</v>
      </c>
      <c r="D11" s="17" t="n">
        <f aca="false">D106</f>
        <v>0.641085375716965</v>
      </c>
      <c r="E11" s="17" t="n">
        <f aca="false">E106</f>
        <v>0.627298120718475</v>
      </c>
      <c r="F11" s="17" t="n">
        <f aca="false">F106</f>
        <v>0.59055032924827</v>
      </c>
      <c r="G11" s="17" t="n">
        <f aca="false">G106</f>
        <v>0.468978806767364</v>
      </c>
    </row>
    <row r="12" customFormat="false" ht="15" hidden="false" customHeight="false" outlineLevel="0" collapsed="false">
      <c r="A12" s="8" t="s">
        <v>332</v>
      </c>
      <c r="C12" s="18" t="n">
        <f aca="false">C107</f>
        <v>2029</v>
      </c>
    </row>
    <row r="13" customFormat="false" ht="15" hidden="false" customHeight="false" outlineLevel="0" collapsed="false">
      <c r="A13" s="7" t="s">
        <v>333</v>
      </c>
    </row>
    <row r="14" customFormat="false" ht="15" hidden="false" customHeight="false" outlineLevel="0" collapsed="false">
      <c r="A14" s="8" t="s">
        <v>326</v>
      </c>
      <c r="B14" s="0" t="s">
        <v>92</v>
      </c>
      <c r="C14" s="15" t="n">
        <f aca="false">C119</f>
        <v>134.689359843138</v>
      </c>
      <c r="D14" s="15" t="n">
        <f aca="false">D119</f>
        <v>181.588828597269</v>
      </c>
      <c r="E14" s="15" t="n">
        <f aca="false">E119</f>
        <v>222.695718924677</v>
      </c>
      <c r="F14" s="15" t="n">
        <f aca="false">F119</f>
        <v>222.695718924677</v>
      </c>
      <c r="G14" s="15" t="n">
        <f aca="false">G119</f>
        <v>211.560932978444</v>
      </c>
    </row>
    <row r="15" customFormat="false" ht="15" hidden="false" customHeight="false" outlineLevel="0" collapsed="false">
      <c r="A15" s="8" t="s">
        <v>327</v>
      </c>
      <c r="B15" s="0" t="s">
        <v>153</v>
      </c>
      <c r="D15" s="16" t="n">
        <f aca="false">D120</f>
        <v>0.348204704579127</v>
      </c>
      <c r="E15" s="16" t="n">
        <f aca="false">E120</f>
        <v>0.226373453945098</v>
      </c>
      <c r="F15" s="16" t="n">
        <f aca="false">F120</f>
        <v>0</v>
      </c>
      <c r="G15" s="16" t="n">
        <f aca="false">G120</f>
        <v>-0.05</v>
      </c>
    </row>
    <row r="16" customFormat="false" ht="15" hidden="false" customHeight="false" outlineLevel="0" collapsed="false">
      <c r="A16" s="8" t="s">
        <v>328</v>
      </c>
      <c r="B16" s="0" t="s">
        <v>92</v>
      </c>
      <c r="C16" s="15" t="n">
        <f aca="false">C117</f>
        <v>116.896831844029</v>
      </c>
      <c r="D16" s="15" t="n">
        <f aca="false">D117</f>
        <v>159.588828597269</v>
      </c>
      <c r="E16" s="15" t="n">
        <f aca="false">E117</f>
        <v>197.265652542156</v>
      </c>
      <c r="F16" s="15" t="n">
        <f aca="false">F117</f>
        <v>197.265652542156</v>
      </c>
      <c r="G16" s="15" t="n">
        <f aca="false">G117</f>
        <v>187.402369915048</v>
      </c>
    </row>
    <row r="17" customFormat="false" ht="15" hidden="false" customHeight="false" outlineLevel="0" collapsed="false">
      <c r="A17" s="0" t="s">
        <v>329</v>
      </c>
      <c r="B17" s="0" t="s">
        <v>92</v>
      </c>
      <c r="C17" s="15" t="n">
        <f aca="false">C122</f>
        <v>67.0025748249712</v>
      </c>
      <c r="D17" s="15" t="n">
        <f aca="false">D122</f>
        <v>97.0691383721396</v>
      </c>
      <c r="E17" s="15" t="n">
        <f aca="false">E122</f>
        <v>122.855413423103</v>
      </c>
      <c r="F17" s="15" t="n">
        <f aca="false">F122</f>
        <v>122.855413423103</v>
      </c>
      <c r="G17" s="15" t="n">
        <f aca="false">G122</f>
        <v>116.712642751948</v>
      </c>
    </row>
    <row r="18" customFormat="false" ht="15" hidden="false" customHeight="false" outlineLevel="0" collapsed="false">
      <c r="A18" s="0" t="s">
        <v>330</v>
      </c>
      <c r="B18" s="0" t="s">
        <v>153</v>
      </c>
      <c r="D18" s="17" t="n">
        <f aca="false">D124</f>
        <v>0.641085375716965</v>
      </c>
      <c r="E18" s="17" t="n">
        <f aca="false">E124</f>
        <v>0.634645486769692</v>
      </c>
      <c r="F18" s="17" t="n">
        <f aca="false">F124</f>
        <v>0.634645486769692</v>
      </c>
      <c r="G18" s="17" t="n">
        <f aca="false">G124</f>
        <v>0.646663856344913</v>
      </c>
    </row>
    <row r="19" customFormat="false" ht="15" hidden="false" customHeight="false" outlineLevel="0" collapsed="false">
      <c r="A19" s="0" t="s">
        <v>331</v>
      </c>
      <c r="B19" s="0" t="s">
        <v>153</v>
      </c>
      <c r="D19" s="17" t="n">
        <f aca="false">D125</f>
        <v>0.641085375716965</v>
      </c>
      <c r="E19" s="17" t="n">
        <f aca="false">E125</f>
        <v>0.627298120718475</v>
      </c>
      <c r="F19" s="17" t="str">
        <f aca="false">F125</f>
        <v>n/a</v>
      </c>
      <c r="G19" s="17" t="n">
        <f aca="false">G125</f>
        <v>0.55167388945028</v>
      </c>
    </row>
    <row r="20" customFormat="false" ht="15" hidden="false" customHeight="false" outlineLevel="0" collapsed="false">
      <c r="A20" s="8" t="s">
        <v>332</v>
      </c>
      <c r="C20" s="18" t="n">
        <f aca="false">C126</f>
        <v>2028</v>
      </c>
    </row>
    <row r="21" customFormat="false" ht="15" hidden="false" customHeight="false" outlineLevel="0" collapsed="false">
      <c r="A21" s="7" t="s">
        <v>334</v>
      </c>
    </row>
    <row r="22" customFormat="false" ht="15" hidden="false" customHeight="false" outlineLevel="0" collapsed="false">
      <c r="A22" s="8" t="s">
        <v>326</v>
      </c>
      <c r="B22" s="0" t="s">
        <v>92</v>
      </c>
      <c r="C22" s="15" t="n">
        <f aca="false">C138</f>
        <v>134.689359843138</v>
      </c>
      <c r="D22" s="15" t="n">
        <f aca="false">D138</f>
        <v>181.588828597269</v>
      </c>
      <c r="E22" s="15" t="n">
        <f aca="false">E138</f>
        <v>222.695718924677</v>
      </c>
      <c r="F22" s="15" t="n">
        <f aca="false">F138</f>
        <v>178.156575139742</v>
      </c>
      <c r="G22" s="15" t="n">
        <f aca="false">G138</f>
        <v>178.156575139742</v>
      </c>
    </row>
    <row r="23" customFormat="false" ht="15" hidden="false" customHeight="false" outlineLevel="0" collapsed="false">
      <c r="A23" s="8" t="s">
        <v>327</v>
      </c>
      <c r="B23" s="0" t="s">
        <v>153</v>
      </c>
      <c r="D23" s="16" t="n">
        <f aca="false">D139</f>
        <v>0.348204704579127</v>
      </c>
      <c r="E23" s="16" t="n">
        <f aca="false">E139</f>
        <v>0.226373453945098</v>
      </c>
      <c r="F23" s="16" t="n">
        <f aca="false">F139</f>
        <v>-0.2</v>
      </c>
      <c r="G23" s="16" t="n">
        <f aca="false">G139</f>
        <v>0</v>
      </c>
    </row>
    <row r="24" customFormat="false" ht="15" hidden="false" customHeight="false" outlineLevel="0" collapsed="false">
      <c r="A24" s="8" t="s">
        <v>328</v>
      </c>
      <c r="B24" s="0" t="s">
        <v>92</v>
      </c>
      <c r="C24" s="15" t="n">
        <f aca="false">C136</f>
        <v>116.896831844029</v>
      </c>
      <c r="D24" s="15" t="n">
        <f aca="false">D136</f>
        <v>159.588828597269</v>
      </c>
      <c r="E24" s="15" t="n">
        <f aca="false">E136</f>
        <v>197.265652542156</v>
      </c>
      <c r="F24" s="15" t="n">
        <f aca="false">F136</f>
        <v>157.812522033725</v>
      </c>
      <c r="G24" s="15" t="n">
        <f aca="false">G136</f>
        <v>157.812522033725</v>
      </c>
    </row>
    <row r="25" customFormat="false" ht="15" hidden="false" customHeight="false" outlineLevel="0" collapsed="false">
      <c r="A25" s="0" t="s">
        <v>329</v>
      </c>
      <c r="B25" s="0" t="s">
        <v>92</v>
      </c>
      <c r="C25" s="15" t="n">
        <f aca="false">C141</f>
        <v>67.0025748249712</v>
      </c>
      <c r="D25" s="15" t="n">
        <f aca="false">D141</f>
        <v>97.0691383721396</v>
      </c>
      <c r="E25" s="15" t="n">
        <f aca="false">E141</f>
        <v>122.855413423103</v>
      </c>
      <c r="F25" s="15" t="n">
        <f aca="false">F141</f>
        <v>98.2843307384826</v>
      </c>
      <c r="G25" s="15" t="n">
        <f aca="false">G141</f>
        <v>98.2843307384826</v>
      </c>
    </row>
    <row r="26" customFormat="false" ht="15" hidden="false" customHeight="false" outlineLevel="0" collapsed="false">
      <c r="A26" s="0" t="s">
        <v>330</v>
      </c>
      <c r="B26" s="0" t="s">
        <v>153</v>
      </c>
      <c r="D26" s="17" t="n">
        <f aca="false">D143</f>
        <v>0.641085375716965</v>
      </c>
      <c r="E26" s="17" t="n">
        <f aca="false">E143</f>
        <v>0.634645486769692</v>
      </c>
      <c r="F26" s="17" t="n">
        <f aca="false">F143</f>
        <v>0.719663215139416</v>
      </c>
      <c r="G26" s="17" t="n">
        <f aca="false">G143</f>
        <v>0.719663215139416</v>
      </c>
    </row>
    <row r="27" customFormat="false" ht="15" hidden="false" customHeight="false" outlineLevel="0" collapsed="false">
      <c r="A27" s="0" t="s">
        <v>331</v>
      </c>
      <c r="B27" s="0" t="s">
        <v>153</v>
      </c>
      <c r="D27" s="17" t="n">
        <f aca="false">D144</f>
        <v>0.641085375716965</v>
      </c>
      <c r="E27" s="17" t="n">
        <f aca="false">E144</f>
        <v>0.627298120718475</v>
      </c>
      <c r="F27" s="17" t="n">
        <f aca="false">F144</f>
        <v>0.55167388945028</v>
      </c>
      <c r="G27" s="17" t="str">
        <f aca="false">G144</f>
        <v>n/a</v>
      </c>
    </row>
    <row r="28" customFormat="false" ht="15" hidden="false" customHeight="false" outlineLevel="0" collapsed="false">
      <c r="A28" s="8" t="s">
        <v>332</v>
      </c>
      <c r="C28" s="18" t="n">
        <f aca="false">C145</f>
        <v>2027</v>
      </c>
    </row>
    <row r="40" customFormat="false" ht="15" hidden="false" customHeight="false" outlineLevel="0" collapsed="false">
      <c r="A40" s="9" t="s">
        <v>335</v>
      </c>
    </row>
    <row r="41" customFormat="false" ht="15" hidden="false" customHeight="false" outlineLevel="0" collapsed="false">
      <c r="A41" s="19" t="s">
        <v>336</v>
      </c>
      <c r="B41" s="12" t="s">
        <v>92</v>
      </c>
      <c r="C41" s="15" t="n">
        <f aca="false">D41/(1+g_dram_26)</f>
        <v>27.9136690647482</v>
      </c>
      <c r="D41" s="15" t="n">
        <f aca="false">s_dram_26</f>
        <v>38.8</v>
      </c>
      <c r="E41" s="15" t="n">
        <f aca="false">D41*(1+g_dram_27)</f>
        <v>49.4312</v>
      </c>
      <c r="F41" s="15" t="n">
        <f aca="false">E41*(1+g_dram_28)</f>
        <v>56.84588</v>
      </c>
      <c r="G41" s="15" t="n">
        <f aca="false">F41*(1+g29)</f>
        <v>61.3935504</v>
      </c>
      <c r="H41" s="12" t="s">
        <v>337</v>
      </c>
    </row>
    <row r="42" customFormat="false" ht="15" hidden="false" customHeight="false" outlineLevel="0" collapsed="false">
      <c r="A42" s="19" t="s">
        <v>338</v>
      </c>
      <c r="B42" s="12" t="s">
        <v>92</v>
      </c>
      <c r="C42" s="15" t="n">
        <f aca="false">D42/(1+g_nand_26)</f>
        <v>10.6350420811018</v>
      </c>
      <c r="D42" s="15" t="n">
        <f aca="false">s_nand_26</f>
        <v>13.9</v>
      </c>
      <c r="E42" s="15" t="n">
        <f aca="false">D42*(1+g_nand_27)</f>
        <v>18.2229</v>
      </c>
      <c r="F42" s="15" t="n">
        <f aca="false">E42*(1+g_nand_28)</f>
        <v>20.8652205</v>
      </c>
      <c r="G42" s="15" t="n">
        <f aca="false">F42*(1+g29)</f>
        <v>22.53443814</v>
      </c>
      <c r="H42" s="12" t="s">
        <v>337</v>
      </c>
    </row>
    <row r="43" customFormat="false" ht="15" hidden="false" customHeight="false" outlineLevel="0" collapsed="false">
      <c r="A43" s="19" t="s">
        <v>339</v>
      </c>
      <c r="B43" s="12" t="s">
        <v>92</v>
      </c>
      <c r="C43" s="15" t="n">
        <f aca="false">D43/(1+g_fd_26)</f>
        <v>65.6013456686291</v>
      </c>
      <c r="D43" s="15" t="n">
        <f aca="false">s_fd_26</f>
        <v>78</v>
      </c>
      <c r="E43" s="15" t="n">
        <f aca="false">D43*(1+g_fd_27)</f>
        <v>92.118</v>
      </c>
      <c r="F43" s="15" t="n">
        <f aca="false">E43*(1+g_fd_28)</f>
        <v>104.646048</v>
      </c>
      <c r="G43" s="15" t="n">
        <f aca="false">F43*(1+g29)</f>
        <v>113.01773184</v>
      </c>
      <c r="H43" s="12" t="s">
        <v>337</v>
      </c>
    </row>
    <row r="44" customFormat="false" ht="15" hidden="false" customHeight="false" outlineLevel="0" collapsed="false">
      <c r="A44" s="19" t="s">
        <v>340</v>
      </c>
      <c r="B44" s="12" t="s">
        <v>92</v>
      </c>
      <c r="C44" s="15" t="n">
        <f aca="false">D44/(1+g_wfe_26)</f>
        <v>116.896831844029</v>
      </c>
      <c r="D44" s="15" t="n">
        <f aca="false">s_wfe_26</f>
        <v>143.9</v>
      </c>
      <c r="E44" s="15" t="n">
        <f aca="false">D44*(1+g_wfe_27)</f>
        <v>175.2702</v>
      </c>
      <c r="F44" s="15" t="n">
        <f aca="false">E44*(1+g_wfe_28)</f>
        <v>199.9832982</v>
      </c>
      <c r="G44" s="15" t="n">
        <f aca="false">F44*(1+g29)</f>
        <v>215.981962056</v>
      </c>
      <c r="H44" s="12" t="s">
        <v>337</v>
      </c>
    </row>
    <row r="45" customFormat="false" ht="15" hidden="false" customHeight="false" outlineLevel="0" collapsed="false">
      <c r="A45" s="19" t="s">
        <v>341</v>
      </c>
      <c r="B45" s="12" t="s">
        <v>92</v>
      </c>
      <c r="C45" s="15" t="n">
        <f aca="false">D45/(1+g_test_26)</f>
        <v>11.6793893129771</v>
      </c>
      <c r="D45" s="15" t="n">
        <f aca="false">s_test_26</f>
        <v>15.3</v>
      </c>
      <c r="E45" s="15" t="n">
        <f aca="false">SQRT(D45*F45)</f>
        <v>17.8392824967822</v>
      </c>
      <c r="F45" s="15" t="n">
        <f aca="false">s_test_28</f>
        <v>20.8</v>
      </c>
      <c r="G45" s="15" t="n">
        <f aca="false">F45*(1+g29)</f>
        <v>22.464</v>
      </c>
      <c r="H45" s="12" t="s">
        <v>342</v>
      </c>
    </row>
    <row r="46" customFormat="false" ht="15" hidden="false" customHeight="false" outlineLevel="0" collapsed="false">
      <c r="A46" s="19" t="s">
        <v>343</v>
      </c>
      <c r="B46" s="12" t="s">
        <v>92</v>
      </c>
      <c r="C46" s="15" t="n">
        <f aca="false">D46/(1+g_pkg_26)</f>
        <v>6.11313868613139</v>
      </c>
      <c r="D46" s="15" t="n">
        <f aca="false">s_pkg_26</f>
        <v>6.7</v>
      </c>
      <c r="E46" s="15" t="n">
        <f aca="false">SQRT(D46*F46)</f>
        <v>7.59078388573934</v>
      </c>
      <c r="F46" s="15" t="n">
        <f aca="false">s_pkg_28</f>
        <v>8.6</v>
      </c>
      <c r="G46" s="15" t="n">
        <f aca="false">F46*(1+g29)</f>
        <v>9.288</v>
      </c>
      <c r="H46" s="12" t="s">
        <v>342</v>
      </c>
    </row>
    <row r="47" customFormat="false" ht="15" hidden="false" customHeight="false" outlineLevel="0" collapsed="false">
      <c r="A47" s="19" t="s">
        <v>344</v>
      </c>
      <c r="B47" s="12" t="s">
        <v>92</v>
      </c>
      <c r="C47" s="15" t="n">
        <f aca="false">C44-C43-C41-C42</f>
        <v>12.7467750295502</v>
      </c>
      <c r="D47" s="15" t="n">
        <f aca="false">D44-D43-D41-D42</f>
        <v>13.2</v>
      </c>
      <c r="E47" s="15" t="n">
        <f aca="false">E44-E43-E41-E42</f>
        <v>15.4981</v>
      </c>
      <c r="F47" s="15" t="n">
        <f aca="false">F44-F43-F41-F42</f>
        <v>17.6261497</v>
      </c>
      <c r="G47" s="15" t="n">
        <f aca="false">G44-G43-G41-G42</f>
        <v>19.036241676</v>
      </c>
      <c r="H47" s="12" t="s">
        <v>345</v>
      </c>
    </row>
    <row r="48" customFormat="false" ht="15" hidden="false" customHeight="false" outlineLevel="0" collapsed="false">
      <c r="A48" s="9" t="s">
        <v>346</v>
      </c>
      <c r="B48" s="12" t="s">
        <v>92</v>
      </c>
      <c r="C48" s="15" t="n">
        <f aca="false">C44+C45+C46</f>
        <v>134.689359843138</v>
      </c>
      <c r="D48" s="15" t="n">
        <f aca="false">D44+D45+D46</f>
        <v>165.9</v>
      </c>
      <c r="E48" s="15" t="n">
        <f aca="false">E44+E45+E46</f>
        <v>200.700266382522</v>
      </c>
      <c r="F48" s="15" t="n">
        <f aca="false">F44+F45+F46</f>
        <v>229.3832982</v>
      </c>
      <c r="G48" s="15" t="n">
        <f aca="false">G44+G45+G46</f>
        <v>247.733962056</v>
      </c>
      <c r="H48" s="12" t="s">
        <v>347</v>
      </c>
    </row>
    <row r="49" customFormat="false" ht="15" hidden="false" customHeight="false" outlineLevel="0" collapsed="false">
      <c r="A49" s="19" t="s">
        <v>348</v>
      </c>
      <c r="B49" s="12" t="s">
        <v>153</v>
      </c>
      <c r="C49" s="16" t="n">
        <f aca="false">C41/(C41+C42)</f>
        <v>0.724114198244817</v>
      </c>
      <c r="D49" s="16" t="n">
        <f aca="false">$C49</f>
        <v>0.724114198244817</v>
      </c>
      <c r="E49" s="16" t="n">
        <f aca="false">$C49</f>
        <v>0.724114198244817</v>
      </c>
      <c r="F49" s="16" t="n">
        <f aca="false">$C49</f>
        <v>0.724114198244817</v>
      </c>
      <c r="G49" s="16" t="n">
        <f aca="false">$C49</f>
        <v>0.724114198244817</v>
      </c>
      <c r="H49" s="8" t="s">
        <v>349</v>
      </c>
    </row>
    <row r="50" customFormat="false" ht="15" hidden="false" customHeight="false" outlineLevel="0" collapsed="false">
      <c r="A50" s="19" t="s">
        <v>350</v>
      </c>
      <c r="B50" s="12" t="s">
        <v>153</v>
      </c>
      <c r="C50" s="16" t="n">
        <f aca="false">C47/(C41+C42+C43)</f>
        <v>0.12238855569955</v>
      </c>
      <c r="D50" s="16" t="n">
        <f aca="false">$C50</f>
        <v>0.12238855569955</v>
      </c>
      <c r="E50" s="16" t="n">
        <f aca="false">$C50</f>
        <v>0.12238855569955</v>
      </c>
      <c r="F50" s="16" t="n">
        <f aca="false">$C50</f>
        <v>0.12238855569955</v>
      </c>
      <c r="G50" s="16" t="n">
        <f aca="false">$C50</f>
        <v>0.12238855569955</v>
      </c>
      <c r="H50" s="8" t="s">
        <v>351</v>
      </c>
    </row>
    <row r="52" customFormat="false" ht="15" hidden="false" customHeight="false" outlineLevel="0" collapsed="false">
      <c r="A52" s="9" t="s">
        <v>352</v>
      </c>
    </row>
    <row r="53" customFormat="false" ht="15" hidden="false" customHeight="false" outlineLevel="0" collapsed="false">
      <c r="A53" s="19" t="s">
        <v>353</v>
      </c>
      <c r="B53" s="12" t="s">
        <v>92</v>
      </c>
      <c r="C53" s="15" t="n">
        <f aca="false">cap_sk_25*1000/fx</f>
        <v>21.2676056338028</v>
      </c>
      <c r="D53" s="15" t="n">
        <f aca="false">cap_sk_26*1000/fx</f>
        <v>34.2957746478873</v>
      </c>
      <c r="E53" s="15" t="n">
        <f aca="false">cap_sk_27*1000/fx</f>
        <v>43.8732394366197</v>
      </c>
      <c r="F53" s="15" t="n">
        <f aca="false">cap_sk_28*1000/fx</f>
        <v>50.1408450704225</v>
      </c>
      <c r="G53" s="15" t="n">
        <f aca="false">cap_sk_29*1000/fx</f>
        <v>52.8169014084507</v>
      </c>
      <c r="H53" s="8" t="s">
        <v>354</v>
      </c>
    </row>
    <row r="54" customFormat="false" ht="15" hidden="false" customHeight="false" outlineLevel="0" collapsed="false">
      <c r="A54" s="20" t="s">
        <v>355</v>
      </c>
      <c r="B54" s="12" t="s">
        <v>92</v>
      </c>
      <c r="C54" s="15" t="n">
        <f aca="false">cap_mu_25</f>
        <v>13.8</v>
      </c>
      <c r="D54" s="15" t="n">
        <f aca="false">cap_mu_26</f>
        <v>27.367</v>
      </c>
      <c r="E54" s="15" t="n">
        <f aca="false">cap_mu_27</f>
        <v>55</v>
      </c>
      <c r="F54" s="15" t="n">
        <f aca="false">cap_mu_28</f>
        <v>60</v>
      </c>
      <c r="G54" s="15" t="n">
        <f aca="false">cap_mu_29</f>
        <v>60</v>
      </c>
    </row>
    <row r="55" customFormat="false" ht="15" hidden="false" customHeight="false" outlineLevel="0" collapsed="false">
      <c r="A55" s="20" t="s">
        <v>356</v>
      </c>
      <c r="B55" s="12" t="s">
        <v>92</v>
      </c>
      <c r="C55" s="15" t="n">
        <f aca="false">cap_ssds_25*ss_mem*1000/fx</f>
        <v>25.0880281690141</v>
      </c>
      <c r="D55" s="15" t="n">
        <f aca="false">cap_ss_26*1000/fx</f>
        <v>36.9718309859155</v>
      </c>
      <c r="E55" s="15" t="n">
        <f aca="false">cap_ss_27*1000/fx</f>
        <v>42.2535211267606</v>
      </c>
      <c r="F55" s="15" t="n">
        <f aca="false">cap_ss_28*1000/fx</f>
        <v>46.4788732394366</v>
      </c>
      <c r="G55" s="15" t="n">
        <f aca="false">cap_ss_29*1000/fx</f>
        <v>46.4788732394366</v>
      </c>
      <c r="H55" s="12" t="s">
        <v>357</v>
      </c>
    </row>
    <row r="56" customFormat="false" ht="15" hidden="false" customHeight="false" outlineLevel="0" collapsed="false">
      <c r="A56" s="7" t="s">
        <v>358</v>
      </c>
      <c r="B56" s="12" t="s">
        <v>92</v>
      </c>
      <c r="C56" s="15" t="n">
        <f aca="false">C53+C54+C55</f>
        <v>60.1556338028169</v>
      </c>
      <c r="D56" s="15" t="n">
        <f aca="false">D53+D54+D55</f>
        <v>98.6346056338028</v>
      </c>
      <c r="E56" s="15" t="n">
        <f aca="false">E53+E54+E55</f>
        <v>141.12676056338</v>
      </c>
      <c r="F56" s="15" t="n">
        <f aca="false">F53+F54+F55</f>
        <v>156.619718309859</v>
      </c>
      <c r="G56" s="15" t="n">
        <f aca="false">G53+G54+G55</f>
        <v>159.295774647887</v>
      </c>
    </row>
    <row r="57" customFormat="false" ht="15" hidden="false" customHeight="false" outlineLevel="0" collapsed="false">
      <c r="A57" s="19" t="s">
        <v>359</v>
      </c>
      <c r="B57" s="12" t="s">
        <v>92</v>
      </c>
      <c r="C57" s="15" t="n">
        <f aca="false">C53*sh_sk</f>
        <v>13.6112676056338</v>
      </c>
      <c r="D57" s="15" t="n">
        <f aca="false">D53*sh_sk</f>
        <v>21.9492957746479</v>
      </c>
      <c r="E57" s="15" t="n">
        <f aca="false">E53*sh_sk</f>
        <v>28.0788732394366</v>
      </c>
      <c r="F57" s="15" t="n">
        <f aca="false">F53*sh_sk</f>
        <v>32.0901408450704</v>
      </c>
      <c r="G57" s="15" t="n">
        <f aca="false">G53*sh_sk</f>
        <v>33.8028169014085</v>
      </c>
    </row>
    <row r="58" customFormat="false" ht="15" hidden="false" customHeight="false" outlineLevel="0" collapsed="false">
      <c r="A58" s="20" t="s">
        <v>360</v>
      </c>
      <c r="B58" s="12" t="s">
        <v>92</v>
      </c>
      <c r="C58" s="15" t="n">
        <f aca="false">C54*sh_mu_25</f>
        <v>8.832</v>
      </c>
      <c r="D58" s="15" t="n">
        <f aca="false">D54*sh_mu_26</f>
        <v>14.258207</v>
      </c>
      <c r="E58" s="15" t="n">
        <f aca="false">E54*sh_mu_27</f>
        <v>25.3</v>
      </c>
      <c r="F58" s="15" t="n">
        <f aca="false">F54*sh_mu_27</f>
        <v>27.6</v>
      </c>
      <c r="G58" s="15" t="n">
        <f aca="false">G54*sh_mu_27</f>
        <v>27.6</v>
      </c>
    </row>
    <row r="59" customFormat="false" ht="15" hidden="false" customHeight="false" outlineLevel="0" collapsed="false">
      <c r="A59" s="20" t="s">
        <v>361</v>
      </c>
      <c r="B59" s="12" t="s">
        <v>92</v>
      </c>
      <c r="C59" s="15" t="n">
        <f aca="false">C55*sh_ss</f>
        <v>16.056338028169</v>
      </c>
      <c r="D59" s="15" t="n">
        <f aca="false">D55*sh_ss</f>
        <v>23.6619718309859</v>
      </c>
      <c r="E59" s="15" t="n">
        <f aca="false">E55*sh_ss</f>
        <v>27.0422535211268</v>
      </c>
      <c r="F59" s="15" t="n">
        <f aca="false">F55*sh_ss</f>
        <v>29.7464788732394</v>
      </c>
      <c r="G59" s="15" t="n">
        <f aca="false">G55*sh_ss</f>
        <v>29.7464788732394</v>
      </c>
    </row>
    <row r="60" customFormat="false" ht="15" hidden="false" customHeight="false" outlineLevel="0" collapsed="false">
      <c r="A60" s="7" t="s">
        <v>362</v>
      </c>
      <c r="B60" s="12" t="s">
        <v>92</v>
      </c>
      <c r="C60" s="15" t="n">
        <f aca="false">C57+C58+C59</f>
        <v>38.4996056338028</v>
      </c>
      <c r="D60" s="15" t="n">
        <f aca="false">D57+D58+D59</f>
        <v>59.8694746056338</v>
      </c>
      <c r="E60" s="15" t="n">
        <f aca="false">E57+E58+E59</f>
        <v>80.4211267605634</v>
      </c>
      <c r="F60" s="15" t="n">
        <f aca="false">F57+F58+F59</f>
        <v>89.4366197183099</v>
      </c>
      <c r="G60" s="15" t="n">
        <f aca="false">G57+G58+G59</f>
        <v>91.1492957746479</v>
      </c>
    </row>
    <row r="61" customFormat="false" ht="15" hidden="false" customHeight="false" outlineLevel="0" collapsed="false">
      <c r="A61" s="20" t="s">
        <v>363</v>
      </c>
      <c r="B61" s="12" t="s">
        <v>153</v>
      </c>
      <c r="C61" s="16" t="n">
        <f aca="false">C60/C56</f>
        <v>0.64</v>
      </c>
      <c r="D61" s="16" t="n">
        <f aca="false">D60/D56</f>
        <v>0.606982450235661</v>
      </c>
      <c r="E61" s="16" t="n">
        <f aca="false">E60/E56</f>
        <v>0.569850299401198</v>
      </c>
      <c r="F61" s="16" t="n">
        <f aca="false">F60/F56</f>
        <v>0.571043165467626</v>
      </c>
      <c r="G61" s="16" t="n">
        <f aca="false">G60/G56</f>
        <v>0.572201591511936</v>
      </c>
    </row>
    <row r="62" customFormat="false" ht="15" hidden="false" customHeight="false" outlineLevel="0" collapsed="false">
      <c r="A62" s="20" t="s">
        <v>364</v>
      </c>
      <c r="B62" s="12" t="s">
        <v>92</v>
      </c>
      <c r="C62" s="15" t="n">
        <f aca="false">C60*C49</f>
        <v>27.8781110662628</v>
      </c>
      <c r="D62" s="15" t="n">
        <f aca="false">D60*D49</f>
        <v>43.352336603397</v>
      </c>
      <c r="E62" s="15" t="n">
        <f aca="false">E60*E49</f>
        <v>58.2340797261702</v>
      </c>
      <c r="F62" s="15" t="n">
        <f aca="false">F60*F49</f>
        <v>64.7623261810506</v>
      </c>
      <c r="G62" s="15" t="n">
        <f aca="false">G60*G49</f>
        <v>66.0024992304389</v>
      </c>
    </row>
    <row r="63" customFormat="false" ht="15" hidden="false" customHeight="false" outlineLevel="0" collapsed="false">
      <c r="A63" s="20" t="s">
        <v>365</v>
      </c>
      <c r="B63" s="12" t="s">
        <v>92</v>
      </c>
      <c r="C63" s="15" t="n">
        <f aca="false">C60-C62</f>
        <v>10.62149456754</v>
      </c>
      <c r="D63" s="15" t="n">
        <f aca="false">D60-D62</f>
        <v>16.5171380022368</v>
      </c>
      <c r="E63" s="15" t="n">
        <f aca="false">E60-E62</f>
        <v>22.1870470343932</v>
      </c>
      <c r="F63" s="15" t="n">
        <f aca="false">F60-F62</f>
        <v>24.6742935372593</v>
      </c>
      <c r="G63" s="15" t="n">
        <f aca="false">G60-G62</f>
        <v>25.146796544209</v>
      </c>
    </row>
    <row r="64" customFormat="false" ht="15" hidden="false" customHeight="false" outlineLevel="0" collapsed="false">
      <c r="A64" s="19" t="s">
        <v>366</v>
      </c>
      <c r="B64" s="12" t="s">
        <v>92</v>
      </c>
      <c r="C64" s="15" t="n">
        <f aca="false">C41-C62</f>
        <v>0.0355579984854195</v>
      </c>
      <c r="H64" s="12" t="s">
        <v>367</v>
      </c>
    </row>
    <row r="65" customFormat="false" ht="15" hidden="false" customHeight="false" outlineLevel="0" collapsed="false">
      <c r="A65" s="19" t="s">
        <v>368</v>
      </c>
      <c r="B65" s="12" t="s">
        <v>92</v>
      </c>
      <c r="C65" s="15" t="n">
        <f aca="false">C42-C63</f>
        <v>0.0135475135617238</v>
      </c>
    </row>
    <row r="66" customFormat="false" ht="15" hidden="false" customHeight="false" outlineLevel="0" collapsed="false">
      <c r="A66" s="9" t="s">
        <v>369</v>
      </c>
      <c r="B66" s="12" t="s">
        <v>92</v>
      </c>
      <c r="C66" s="15" t="n">
        <f aca="false">C64+C65</f>
        <v>0.0491055120471433</v>
      </c>
      <c r="H66" s="8" t="s">
        <v>370</v>
      </c>
    </row>
    <row r="67" customFormat="false" ht="15" hidden="false" customHeight="false" outlineLevel="0" collapsed="false">
      <c r="A67" s="20" t="s">
        <v>371</v>
      </c>
      <c r="B67" s="12" t="s">
        <v>92</v>
      </c>
      <c r="C67" s="15" t="n">
        <f aca="false">MAX(C64,0)</f>
        <v>0.0355579984854195</v>
      </c>
      <c r="D67" s="15" t="n">
        <f aca="false">C67*(1+g_oth_dram)</f>
        <v>0.041958438212795</v>
      </c>
      <c r="E67" s="15" t="n">
        <f aca="false">D67*(1+g_oth_dram)</f>
        <v>0.0495109570910981</v>
      </c>
      <c r="F67" s="15" t="n">
        <f aca="false">E67*(1+g_oth_dram)</f>
        <v>0.0584229293674958</v>
      </c>
      <c r="G67" s="15" t="n">
        <f aca="false">F67*(1+g_oth_dram)</f>
        <v>0.068939056653645</v>
      </c>
    </row>
    <row r="68" customFormat="false" ht="15" hidden="false" customHeight="false" outlineLevel="0" collapsed="false">
      <c r="A68" s="20" t="s">
        <v>372</v>
      </c>
      <c r="B68" s="12" t="s">
        <v>92</v>
      </c>
      <c r="C68" s="15" t="n">
        <f aca="false">MAX(C65,0)</f>
        <v>0.0135475135617238</v>
      </c>
      <c r="D68" s="15" t="n">
        <f aca="false">C68*(1+g_oth_nand)</f>
        <v>0.0159860660028341</v>
      </c>
      <c r="E68" s="15" t="n">
        <f aca="false">D68*(1+g_oth_nand)</f>
        <v>0.0188635578833442</v>
      </c>
      <c r="F68" s="15" t="n">
        <f aca="false">E68*(1+g_oth_nand)</f>
        <v>0.0222589983023462</v>
      </c>
      <c r="G68" s="15" t="n">
        <f aca="false">F68*(1+g_oth_nand)</f>
        <v>0.0262656179967685</v>
      </c>
    </row>
    <row r="69" customFormat="false" ht="15" hidden="false" customHeight="false" outlineLevel="0" collapsed="false">
      <c r="A69" s="7" t="s">
        <v>373</v>
      </c>
      <c r="B69" s="12" t="s">
        <v>92</v>
      </c>
      <c r="C69" s="15" t="n">
        <f aca="false">C60+C67+C68</f>
        <v>38.54871114585</v>
      </c>
      <c r="D69" s="15" t="n">
        <f aca="false">D60+D67+D68</f>
        <v>59.9274191098494</v>
      </c>
      <c r="E69" s="15" t="n">
        <f aca="false">E60+E67+E68</f>
        <v>80.4895012755378</v>
      </c>
      <c r="F69" s="15" t="n">
        <f aca="false">F60+F67+F68</f>
        <v>89.5173016459797</v>
      </c>
      <c r="G69" s="15" t="n">
        <f aca="false">G60+G67+G68</f>
        <v>91.2445004492983</v>
      </c>
    </row>
    <row r="70" customFormat="false" ht="15" hidden="false" customHeight="false" outlineLevel="0" collapsed="false">
      <c r="A70" s="20" t="s">
        <v>374</v>
      </c>
      <c r="C70" s="18" t="n">
        <f aca="false">IF(C66&lt;0,1,0)</f>
        <v>0</v>
      </c>
    </row>
    <row r="71" customFormat="false" ht="15" hidden="false" customHeight="false" outlineLevel="0" collapsed="false">
      <c r="A71" s="20" t="s">
        <v>375</v>
      </c>
      <c r="B71" s="12" t="s">
        <v>92</v>
      </c>
      <c r="C71" s="15" t="n">
        <f aca="false">C69-C41-C42</f>
        <v>0</v>
      </c>
      <c r="D71" s="15" t="n">
        <f aca="false">D69-D41-D42</f>
        <v>7.22741910984943</v>
      </c>
      <c r="E71" s="15" t="n">
        <f aca="false">E69-E41-E42</f>
        <v>12.8354012755378</v>
      </c>
      <c r="F71" s="15" t="n">
        <f aca="false">F69-F41-F42</f>
        <v>11.8062011459797</v>
      </c>
      <c r="G71" s="15" t="n">
        <f aca="false">G69-G41-G42</f>
        <v>7.3165119092983</v>
      </c>
      <c r="H71" s="8" t="s">
        <v>376</v>
      </c>
    </row>
    <row r="72" customFormat="false" ht="15" hidden="false" customHeight="false" outlineLevel="0" collapsed="false">
      <c r="A72" s="20" t="s">
        <v>377</v>
      </c>
      <c r="B72" s="12" t="s">
        <v>153</v>
      </c>
      <c r="C72" s="16" t="n">
        <f aca="false">(C41+C42)/C56</f>
        <v>0.640816307782711</v>
      </c>
      <c r="D72" s="16" t="n">
        <f aca="false">(D41+D42)/D56</f>
        <v>0.534295237065756</v>
      </c>
      <c r="E72" s="16" t="n">
        <f aca="false">(E41+E42)/E56</f>
        <v>0.479385339321357</v>
      </c>
      <c r="F72" s="16" t="n">
        <f aca="false">(F41+F42)/F56</f>
        <v>0.496176990602518</v>
      </c>
      <c r="G72" s="16" t="n">
        <f aca="false">(G41+G42)/G56</f>
        <v>0.526868893575597</v>
      </c>
      <c r="H72" s="8" t="s">
        <v>378</v>
      </c>
    </row>
    <row r="74" customFormat="false" ht="15" hidden="false" customHeight="false" outlineLevel="0" collapsed="false">
      <c r="A74" s="9" t="s">
        <v>379</v>
      </c>
    </row>
    <row r="75" customFormat="false" ht="15" hidden="false" customHeight="false" outlineLevel="0" collapsed="false">
      <c r="A75" s="20" t="s">
        <v>380</v>
      </c>
      <c r="B75" s="12" t="s">
        <v>92</v>
      </c>
      <c r="C75" s="15" t="n">
        <f aca="false">cap_ts_25</f>
        <v>40.9</v>
      </c>
      <c r="D75" s="15" t="n">
        <f aca="false">cap_ts_26</f>
        <v>62</v>
      </c>
      <c r="E75" s="15" t="n">
        <f aca="false">cap_ts_27</f>
        <v>77</v>
      </c>
      <c r="F75" s="15" t="n">
        <f aca="false">cap_ts_28</f>
        <v>90</v>
      </c>
      <c r="G75" s="15" t="n">
        <f aca="false">cap_ts_29</f>
        <v>95</v>
      </c>
    </row>
    <row r="76" customFormat="false" ht="15" hidden="false" customHeight="false" outlineLevel="0" collapsed="false">
      <c r="A76" s="20" t="s">
        <v>381</v>
      </c>
      <c r="B76" s="12" t="s">
        <v>92</v>
      </c>
      <c r="C76" s="15" t="n">
        <f aca="false">C75*sh_fd</f>
        <v>26.176</v>
      </c>
      <c r="D76" s="15" t="n">
        <f aca="false">D75*sh_fd</f>
        <v>39.68</v>
      </c>
      <c r="E76" s="15" t="n">
        <f aca="false">E75*sh_fd</f>
        <v>49.28</v>
      </c>
      <c r="F76" s="15" t="n">
        <f aca="false">F75*sh_fd</f>
        <v>57.6</v>
      </c>
      <c r="G76" s="15" t="n">
        <f aca="false">G75*sh_fd</f>
        <v>60.8</v>
      </c>
    </row>
    <row r="77" customFormat="false" ht="15" hidden="false" customHeight="false" outlineLevel="0" collapsed="false">
      <c r="A77" s="19" t="s">
        <v>382</v>
      </c>
      <c r="B77" s="12" t="s">
        <v>92</v>
      </c>
      <c r="C77" s="15" t="n">
        <f aca="false">C43-C76</f>
        <v>39.4253456686291</v>
      </c>
      <c r="H77" s="12" t="s">
        <v>383</v>
      </c>
    </row>
    <row r="78" customFormat="false" ht="15" hidden="false" customHeight="false" outlineLevel="0" collapsed="false">
      <c r="A78" s="20" t="s">
        <v>384</v>
      </c>
      <c r="B78" s="12" t="s">
        <v>92</v>
      </c>
      <c r="C78" s="15" t="n">
        <f aca="false">MAX(C77,0)</f>
        <v>39.4253456686291</v>
      </c>
      <c r="D78" s="15" t="n">
        <f aca="false">C78*(1+g_oth_fd)</f>
        <v>42.5793733221194</v>
      </c>
      <c r="E78" s="15" t="n">
        <f aca="false">D78*(1+g_oth_fd)</f>
        <v>45.985723187889</v>
      </c>
      <c r="F78" s="15" t="n">
        <f aca="false">E78*(1+g_oth_fd)</f>
        <v>49.6645810429201</v>
      </c>
      <c r="G78" s="15" t="n">
        <f aca="false">F78*(1+g_oth_fd)</f>
        <v>53.6377475263537</v>
      </c>
    </row>
    <row r="79" customFormat="false" ht="15" hidden="false" customHeight="false" outlineLevel="0" collapsed="false">
      <c r="A79" s="7" t="s">
        <v>385</v>
      </c>
      <c r="B79" s="12" t="s">
        <v>92</v>
      </c>
      <c r="C79" s="15" t="n">
        <f aca="false">C76+C78</f>
        <v>65.6013456686291</v>
      </c>
      <c r="D79" s="15" t="n">
        <f aca="false">D76+D78</f>
        <v>82.2593733221194</v>
      </c>
      <c r="E79" s="15" t="n">
        <f aca="false">E76+E78</f>
        <v>95.265723187889</v>
      </c>
      <c r="F79" s="15" t="n">
        <f aca="false">F76+F78</f>
        <v>107.26458104292</v>
      </c>
      <c r="G79" s="15" t="n">
        <f aca="false">G76+G78</f>
        <v>114.437747526354</v>
      </c>
    </row>
    <row r="80" customFormat="false" ht="15" hidden="false" customHeight="false" outlineLevel="0" collapsed="false">
      <c r="A80" s="20" t="s">
        <v>386</v>
      </c>
      <c r="B80" s="12" t="s">
        <v>92</v>
      </c>
      <c r="C80" s="15" t="n">
        <f aca="false">C79-C43</f>
        <v>0</v>
      </c>
      <c r="D80" s="15" t="n">
        <f aca="false">D79-D43</f>
        <v>4.25937332211942</v>
      </c>
      <c r="E80" s="15" t="n">
        <f aca="false">E79-E43</f>
        <v>3.14772318788897</v>
      </c>
      <c r="F80" s="15" t="n">
        <f aca="false">F79-F43</f>
        <v>2.61853304292008</v>
      </c>
      <c r="G80" s="15" t="n">
        <f aca="false">G79-G43</f>
        <v>1.42001568635369</v>
      </c>
    </row>
    <row r="82" customFormat="false" ht="15" hidden="false" customHeight="false" outlineLevel="0" collapsed="false">
      <c r="A82" s="9" t="s">
        <v>387</v>
      </c>
    </row>
    <row r="83" customFormat="false" ht="15" hidden="false" customHeight="false" outlineLevel="0" collapsed="false">
      <c r="A83" s="20" t="s">
        <v>388</v>
      </c>
      <c r="B83" s="12" t="s">
        <v>92</v>
      </c>
      <c r="C83" s="15" t="n">
        <f aca="false">C47</f>
        <v>12.7467750295502</v>
      </c>
      <c r="D83" s="15" t="n">
        <f aca="false">D50*(D69+D79)</f>
        <v>17.4020361653004</v>
      </c>
      <c r="E83" s="15" t="n">
        <f aca="false">E50*(E69+E79)</f>
        <v>21.5104280787291</v>
      </c>
      <c r="F83" s="15" t="n">
        <f aca="false">F50*(F69+F79)</f>
        <v>24.0838504101328</v>
      </c>
      <c r="G83" s="15" t="n">
        <f aca="false">G50*(G69+G79)</f>
        <v>25.1731532627768</v>
      </c>
      <c r="H83" s="12" t="s">
        <v>389</v>
      </c>
    </row>
    <row r="85" customFormat="false" ht="15" hidden="false" customHeight="false" outlineLevel="0" collapsed="false">
      <c r="A85" s="9" t="s">
        <v>390</v>
      </c>
    </row>
    <row r="86" customFormat="false" ht="15" hidden="false" customHeight="false" outlineLevel="0" collapsed="false">
      <c r="A86" s="8" t="s">
        <v>391</v>
      </c>
    </row>
    <row r="87" customFormat="false" ht="15" hidden="false" customHeight="false" outlineLevel="0" collapsed="false">
      <c r="A87" s="20" t="s">
        <v>392</v>
      </c>
      <c r="B87" s="12" t="s">
        <v>92</v>
      </c>
      <c r="C87" s="15" t="n">
        <f aca="false">C45</f>
        <v>11.6793893129771</v>
      </c>
      <c r="D87" s="15" t="n">
        <f aca="false">D45</f>
        <v>15.3</v>
      </c>
      <c r="E87" s="15" t="n">
        <f aca="false">E45</f>
        <v>17.8392824967822</v>
      </c>
      <c r="F87" s="15" t="n">
        <f aca="false">F45</f>
        <v>20.8</v>
      </c>
      <c r="G87" s="15" t="n">
        <f aca="false">G45</f>
        <v>22.464</v>
      </c>
    </row>
    <row r="88" customFormat="false" ht="15" hidden="false" customHeight="false" outlineLevel="0" collapsed="false">
      <c r="A88" s="20" t="s">
        <v>393</v>
      </c>
      <c r="B88" s="12" t="s">
        <v>92</v>
      </c>
      <c r="C88" s="15" t="n">
        <f aca="false">C46</f>
        <v>6.11313868613139</v>
      </c>
      <c r="D88" s="15" t="n">
        <f aca="false">D46</f>
        <v>6.7</v>
      </c>
      <c r="E88" s="15" t="n">
        <f aca="false">E46</f>
        <v>7.59078388573934</v>
      </c>
      <c r="F88" s="15" t="n">
        <f aca="false">F46</f>
        <v>8.6</v>
      </c>
      <c r="G88" s="15" t="n">
        <f aca="false">G46</f>
        <v>9.288</v>
      </c>
    </row>
    <row r="90" customFormat="false" ht="15" hidden="false" customHeight="false" outlineLevel="0" collapsed="false">
      <c r="A90" s="9" t="s">
        <v>394</v>
      </c>
    </row>
    <row r="91" customFormat="false" ht="15" hidden="false" customHeight="false" outlineLevel="0" collapsed="false">
      <c r="A91" s="20" t="s">
        <v>395</v>
      </c>
      <c r="B91" s="12" t="s">
        <v>92</v>
      </c>
      <c r="C91" s="15" t="n">
        <f aca="false">C76+adv_other*C78</f>
        <v>36.0323364171573</v>
      </c>
      <c r="D91" s="15" t="n">
        <f aca="false">D76+adv_other*D78</f>
        <v>50.3248433305299</v>
      </c>
      <c r="E91" s="15" t="n">
        <f aca="false">E76+adv_other*E78</f>
        <v>60.7764307969723</v>
      </c>
      <c r="F91" s="15" t="n">
        <f aca="false">F76+adv_other*F78</f>
        <v>70.01614526073</v>
      </c>
      <c r="G91" s="15" t="n">
        <f aca="false">G76+adv_other*G78</f>
        <v>74.2094368815884</v>
      </c>
    </row>
    <row r="92" customFormat="false" ht="15" hidden="false" customHeight="false" outlineLevel="0" collapsed="false">
      <c r="A92" s="20" t="s">
        <v>396</v>
      </c>
      <c r="B92" s="12" t="s">
        <v>92</v>
      </c>
      <c r="C92" s="15" t="n">
        <f aca="false">C79-C91</f>
        <v>29.5690092514718</v>
      </c>
      <c r="D92" s="15" t="n">
        <f aca="false">D79-D91</f>
        <v>31.9345299915896</v>
      </c>
      <c r="E92" s="15" t="n">
        <f aca="false">E79-E91</f>
        <v>34.4892923909167</v>
      </c>
      <c r="F92" s="15" t="n">
        <f aca="false">F79-F91</f>
        <v>37.2484357821901</v>
      </c>
      <c r="G92" s="15" t="n">
        <f aca="false">G79-G91</f>
        <v>40.2283106447653</v>
      </c>
    </row>
    <row r="93" customFormat="false" ht="15" hidden="false" customHeight="false" outlineLevel="0" collapsed="false">
      <c r="A93" s="19" t="s">
        <v>397</v>
      </c>
      <c r="B93" s="12" t="s">
        <v>92</v>
      </c>
      <c r="C93" s="15" t="n">
        <f aca="false">C62+C67</f>
        <v>27.9136690647482</v>
      </c>
      <c r="D93" s="15" t="n">
        <f aca="false">D62+D67</f>
        <v>43.3942950416098</v>
      </c>
      <c r="E93" s="15" t="n">
        <f aca="false">E62+E67</f>
        <v>58.2835906832613</v>
      </c>
      <c r="F93" s="15" t="n">
        <f aca="false">F62+F67</f>
        <v>64.8207491104181</v>
      </c>
      <c r="G93" s="15" t="n">
        <f aca="false">G62+G67</f>
        <v>66.0714382870925</v>
      </c>
    </row>
    <row r="94" customFormat="false" ht="15" hidden="false" customHeight="false" outlineLevel="0" collapsed="false">
      <c r="A94" s="19" t="s">
        <v>398</v>
      </c>
      <c r="B94" s="12" t="s">
        <v>92</v>
      </c>
      <c r="C94" s="15" t="n">
        <f aca="false">C63+C68</f>
        <v>10.6350420811018</v>
      </c>
      <c r="D94" s="15" t="n">
        <f aca="false">D63+D68</f>
        <v>16.5331240682397</v>
      </c>
      <c r="E94" s="15" t="n">
        <f aca="false">E63+E68</f>
        <v>22.2059105922765</v>
      </c>
      <c r="F94" s="15" t="n">
        <f aca="false">F63+F68</f>
        <v>24.6965525355616</v>
      </c>
      <c r="G94" s="15" t="n">
        <f aca="false">G63+G68</f>
        <v>25.1730621622058</v>
      </c>
    </row>
    <row r="95" customFormat="false" ht="15" hidden="false" customHeight="false" outlineLevel="0" collapsed="false">
      <c r="A95" s="20" t="s">
        <v>399</v>
      </c>
      <c r="B95" s="12" t="s">
        <v>92</v>
      </c>
      <c r="C95" s="15" t="n">
        <f aca="false">C83</f>
        <v>12.7467750295502</v>
      </c>
      <c r="D95" s="15" t="n">
        <f aca="false">D83</f>
        <v>17.4020361653004</v>
      </c>
      <c r="E95" s="15" t="n">
        <f aca="false">E83</f>
        <v>21.5104280787291</v>
      </c>
      <c r="F95" s="15" t="n">
        <f aca="false">F83</f>
        <v>24.0838504101328</v>
      </c>
      <c r="G95" s="15" t="n">
        <f aca="false">G83</f>
        <v>25.1731532627768</v>
      </c>
    </row>
    <row r="96" customFormat="false" ht="15" hidden="false" customHeight="false" outlineLevel="0" collapsed="false">
      <c r="A96" s="20" t="s">
        <v>400</v>
      </c>
      <c r="B96" s="12" t="s">
        <v>92</v>
      </c>
      <c r="C96" s="15" t="n">
        <f aca="false">C88*pkg_adv</f>
        <v>3.05656934306569</v>
      </c>
      <c r="D96" s="15" t="n">
        <f aca="false">D88*pkg_adv</f>
        <v>3.35</v>
      </c>
      <c r="E96" s="15" t="n">
        <f aca="false">E88*pkg_adv</f>
        <v>3.79539194286967</v>
      </c>
      <c r="F96" s="15" t="n">
        <f aca="false">F88*pkg_adv</f>
        <v>4.3</v>
      </c>
      <c r="G96" s="15" t="n">
        <f aca="false">G88*pkg_adv</f>
        <v>4.644</v>
      </c>
    </row>
    <row r="97" customFormat="false" ht="15" hidden="false" customHeight="false" outlineLevel="0" collapsed="false">
      <c r="A97" s="20" t="s">
        <v>401</v>
      </c>
      <c r="B97" s="12" t="s">
        <v>92</v>
      </c>
      <c r="C97" s="15" t="n">
        <f aca="false">C87+C88-C96</f>
        <v>14.7359586560428</v>
      </c>
      <c r="D97" s="15" t="n">
        <f aca="false">D87+D88-D96</f>
        <v>18.65</v>
      </c>
      <c r="E97" s="15" t="n">
        <f aca="false">E87+E88-E96</f>
        <v>21.6346744396519</v>
      </c>
      <c r="F97" s="15" t="n">
        <f aca="false">F87+F88-F96</f>
        <v>25.1</v>
      </c>
      <c r="G97" s="15" t="n">
        <f aca="false">G87+G88-G96</f>
        <v>27.108</v>
      </c>
    </row>
    <row r="98" customFormat="false" ht="15" hidden="false" customHeight="false" outlineLevel="0" collapsed="false">
      <c r="A98" s="20" t="s">
        <v>402</v>
      </c>
      <c r="B98" s="12" t="s">
        <v>92</v>
      </c>
      <c r="C98" s="15" t="n">
        <f aca="false">SUM(C91:C95)</f>
        <v>116.896831844029</v>
      </c>
      <c r="D98" s="15" t="n">
        <f aca="false">SUM(D91:D95)</f>
        <v>159.588828597269</v>
      </c>
      <c r="E98" s="15" t="n">
        <f aca="false">SUM(E91:E95)</f>
        <v>197.265652542156</v>
      </c>
      <c r="F98" s="15" t="n">
        <f aca="false">SUM(F91:F95)</f>
        <v>220.865733099033</v>
      </c>
      <c r="G98" s="15" t="n">
        <f aca="false">SUM(G91:G95)</f>
        <v>230.855401238429</v>
      </c>
    </row>
    <row r="99" customFormat="false" ht="15" hidden="false" customHeight="false" outlineLevel="0" collapsed="false">
      <c r="A99" s="20" t="s">
        <v>403</v>
      </c>
      <c r="B99" s="12" t="s">
        <v>92</v>
      </c>
      <c r="C99" s="15" t="n">
        <f aca="false">C96+C97</f>
        <v>17.7925279991085</v>
      </c>
      <c r="D99" s="15" t="n">
        <f aca="false">D96+D97</f>
        <v>22</v>
      </c>
      <c r="E99" s="15" t="n">
        <f aca="false">E96+E97</f>
        <v>25.4300663825215</v>
      </c>
      <c r="F99" s="15" t="n">
        <f aca="false">F96+F97</f>
        <v>29.4</v>
      </c>
      <c r="G99" s="15" t="n">
        <f aca="false">G96+G97</f>
        <v>31.752</v>
      </c>
    </row>
    <row r="100" customFormat="false" ht="15" hidden="false" customHeight="false" outlineLevel="0" collapsed="false">
      <c r="A100" s="7" t="s">
        <v>404</v>
      </c>
      <c r="B100" s="12" t="s">
        <v>92</v>
      </c>
      <c r="C100" s="15" t="n">
        <f aca="false">C98+C99</f>
        <v>134.689359843138</v>
      </c>
      <c r="D100" s="15" t="n">
        <f aca="false">D98+D99</f>
        <v>181.588828597269</v>
      </c>
      <c r="E100" s="15" t="n">
        <f aca="false">E98+E99</f>
        <v>222.695718924677</v>
      </c>
      <c r="F100" s="15" t="n">
        <f aca="false">F98+F99</f>
        <v>250.265733099033</v>
      </c>
      <c r="G100" s="15" t="n">
        <f aca="false">G98+G99</f>
        <v>262.607401238429</v>
      </c>
    </row>
    <row r="101" customFormat="false" ht="15" hidden="false" customHeight="false" outlineLevel="0" collapsed="false">
      <c r="A101" s="20" t="s">
        <v>327</v>
      </c>
      <c r="B101" s="12" t="s">
        <v>153</v>
      </c>
      <c r="D101" s="16" t="n">
        <f aca="false">D100/C100-1</f>
        <v>0.348204704579127</v>
      </c>
      <c r="E101" s="16" t="n">
        <f aca="false">E100/D100-1</f>
        <v>0.226373453945098</v>
      </c>
      <c r="F101" s="16" t="n">
        <f aca="false">F100/E100-1</f>
        <v>0.12380127605273</v>
      </c>
      <c r="G101" s="16" t="n">
        <f aca="false">G100/F100-1</f>
        <v>0.0493142548385261</v>
      </c>
      <c r="H101" s="12" t="s">
        <v>405</v>
      </c>
    </row>
    <row r="102" customFormat="false" ht="15" hidden="false" customHeight="false" outlineLevel="0" collapsed="false">
      <c r="A102" s="20" t="s">
        <v>406</v>
      </c>
      <c r="B102" s="12" t="s">
        <v>153</v>
      </c>
      <c r="D102" s="16" t="n">
        <f aca="false">D98/C98-1</f>
        <v>0.365210896478377</v>
      </c>
      <c r="E102" s="16" t="n">
        <f aca="false">E98/D98-1</f>
        <v>0.236086850665256</v>
      </c>
      <c r="F102" s="16" t="n">
        <f aca="false">F98/E98-1</f>
        <v>0.119636035228349</v>
      </c>
      <c r="G102" s="16" t="n">
        <f aca="false">G98/F98-1</f>
        <v>0.04522959718209</v>
      </c>
    </row>
    <row r="103" customFormat="false" ht="15" hidden="false" customHeight="false" outlineLevel="0" collapsed="false">
      <c r="A103" s="9" t="s">
        <v>407</v>
      </c>
      <c r="B103" s="12" t="s">
        <v>92</v>
      </c>
      <c r="C103" s="15" t="n">
        <f aca="false">C91+C93+C96</f>
        <v>67.0025748249712</v>
      </c>
      <c r="D103" s="15" t="n">
        <f aca="false">D91+D93+D96</f>
        <v>97.0691383721396</v>
      </c>
      <c r="E103" s="15" t="n">
        <f aca="false">E91+E93+E96</f>
        <v>122.855413423103</v>
      </c>
      <c r="F103" s="15" t="n">
        <f aca="false">F91+F93+F96</f>
        <v>139.136894371148</v>
      </c>
      <c r="G103" s="15" t="n">
        <f aca="false">G91+G93+G96</f>
        <v>144.924875168681</v>
      </c>
    </row>
    <row r="104" customFormat="false" ht="15" hidden="false" customHeight="false" outlineLevel="0" collapsed="false">
      <c r="A104" s="19" t="s">
        <v>408</v>
      </c>
      <c r="B104" s="12" t="s">
        <v>153</v>
      </c>
      <c r="C104" s="16" t="n">
        <f aca="false">C103/C100</f>
        <v>0.497460043636735</v>
      </c>
      <c r="D104" s="16" t="n">
        <f aca="false">D103/D100</f>
        <v>0.534554571016156</v>
      </c>
      <c r="E104" s="16" t="n">
        <f aca="false">E103/E100</f>
        <v>0.55167388945028</v>
      </c>
      <c r="F104" s="16" t="n">
        <f aca="false">F103/F100</f>
        <v>0.555956633168354</v>
      </c>
      <c r="G104" s="16" t="n">
        <f aca="false">G103/G100</f>
        <v>0.551868966697932</v>
      </c>
    </row>
    <row r="105" customFormat="false" ht="15" hidden="false" customHeight="false" outlineLevel="0" collapsed="false">
      <c r="A105" s="19" t="s">
        <v>409</v>
      </c>
      <c r="B105" s="12" t="s">
        <v>153</v>
      </c>
      <c r="D105" s="17" t="n">
        <f aca="false">IF(ABS(D100-C100)&lt;0.05,"n/a",(D103-C103)/(D100-C100))</f>
        <v>0.641085375716965</v>
      </c>
      <c r="E105" s="17" t="n">
        <f aca="false">IF(ABS(E100-C100)&lt;0.05,"n/a",(E103-C103)/(E100-C100))</f>
        <v>0.634645486769692</v>
      </c>
      <c r="F105" s="17" t="n">
        <f aca="false">IF(ABS(F100-C100)&lt;0.05,"n/a",(F103-C103)/(F100-C100))</f>
        <v>0.624126865327969</v>
      </c>
      <c r="G105" s="17" t="n">
        <f aca="false">IF(ABS(G100-C100)&lt;0.05,"n/a",(G103-C103)/(G100-C100))</f>
        <v>0.609158016287281</v>
      </c>
      <c r="H105" s="8" t="s">
        <v>410</v>
      </c>
    </row>
    <row r="106" customFormat="false" ht="15" hidden="false" customHeight="false" outlineLevel="0" collapsed="false">
      <c r="A106" s="19" t="s">
        <v>411</v>
      </c>
      <c r="B106" s="12" t="s">
        <v>153</v>
      </c>
      <c r="D106" s="17" t="n">
        <f aca="false">IF(ABS(D100-C100)&lt;0.05,"n/a",(D103-C103)/(D100-C100))</f>
        <v>0.641085375716965</v>
      </c>
      <c r="E106" s="17" t="n">
        <f aca="false">IF(ABS(E100-D100)&lt;0.05,"n/a",(E103-D103)/(E100-D100))</f>
        <v>0.627298120718475</v>
      </c>
      <c r="F106" s="17" t="n">
        <f aca="false">IF(ABS(F100-E100)&lt;0.05,"n/a",(F103-E103)/(F100-E100))</f>
        <v>0.59055032924827</v>
      </c>
      <c r="G106" s="17" t="n">
        <f aca="false">IF(ABS(G100-F100)&lt;0.05,"n/a",(G103-F103)/(G100-F100))</f>
        <v>0.468978806767364</v>
      </c>
      <c r="H106" s="8" t="s">
        <v>412</v>
      </c>
    </row>
    <row r="107" customFormat="false" ht="15" hidden="false" customHeight="false" outlineLevel="0" collapsed="false">
      <c r="A107" s="20" t="s">
        <v>413</v>
      </c>
      <c r="B107" s="8" t="s">
        <v>414</v>
      </c>
      <c r="C107" s="18" t="n">
        <f aca="false">IF(ROUND(G100,9)=ROUND(MAX(C100:G100),9),2029,IF(ROUND(F100,9)=ROUND(MAX(C100:G100),9),2028,IF(ROUND(E100,9)=ROUND(MAX(C100:G100),9),2027,IF(ROUND(D100,9)=ROUND(MAX(C100:G100),9),2026,2025))))</f>
        <v>2029</v>
      </c>
      <c r="H107" s="8" t="s">
        <v>415</v>
      </c>
    </row>
    <row r="109" customFormat="false" ht="15" hidden="false" customHeight="false" outlineLevel="0" collapsed="false">
      <c r="A109" s="9" t="s">
        <v>416</v>
      </c>
    </row>
    <row r="110" customFormat="false" ht="15" hidden="false" customHeight="false" outlineLevel="0" collapsed="false">
      <c r="A110" s="20" t="s">
        <v>395</v>
      </c>
      <c r="B110" s="12" t="s">
        <v>92</v>
      </c>
      <c r="C110" s="15" t="n">
        <f aca="false">C91</f>
        <v>36.0323364171573</v>
      </c>
      <c r="D110" s="15" t="n">
        <f aca="false">D91</f>
        <v>50.3248433305299</v>
      </c>
      <c r="E110" s="15" t="n">
        <f aca="false">E91</f>
        <v>60.7764307969723</v>
      </c>
      <c r="F110" s="15" t="n">
        <f aca="false">E110*ck_B_28</f>
        <v>60.7764307969723</v>
      </c>
      <c r="G110" s="15" t="n">
        <f aca="false">F110*ck_B_29</f>
        <v>57.7376092571236</v>
      </c>
    </row>
    <row r="111" customFormat="false" ht="15" hidden="false" customHeight="false" outlineLevel="0" collapsed="false">
      <c r="A111" s="20" t="s">
        <v>396</v>
      </c>
      <c r="B111" s="12" t="s">
        <v>92</v>
      </c>
      <c r="C111" s="15" t="n">
        <f aca="false">C92</f>
        <v>29.5690092514718</v>
      </c>
      <c r="D111" s="15" t="n">
        <f aca="false">D92</f>
        <v>31.9345299915896</v>
      </c>
      <c r="E111" s="15" t="n">
        <f aca="false">E92</f>
        <v>34.4892923909167</v>
      </c>
      <c r="F111" s="15" t="n">
        <f aca="false">E111*ck_B_28</f>
        <v>34.4892923909167</v>
      </c>
      <c r="G111" s="15" t="n">
        <f aca="false">F111*ck_B_29</f>
        <v>32.7648277713709</v>
      </c>
    </row>
    <row r="112" customFormat="false" ht="15" hidden="false" customHeight="false" outlineLevel="0" collapsed="false">
      <c r="A112" s="19" t="s">
        <v>397</v>
      </c>
      <c r="B112" s="12" t="s">
        <v>92</v>
      </c>
      <c r="C112" s="15" t="n">
        <f aca="false">C93</f>
        <v>27.9136690647482</v>
      </c>
      <c r="D112" s="15" t="n">
        <f aca="false">D93</f>
        <v>43.3942950416098</v>
      </c>
      <c r="E112" s="15" t="n">
        <f aca="false">E93</f>
        <v>58.2835906832613</v>
      </c>
      <c r="F112" s="15" t="n">
        <f aca="false">E112*ck_B_28</f>
        <v>58.2835906832613</v>
      </c>
      <c r="G112" s="15" t="n">
        <f aca="false">F112*ck_B_29</f>
        <v>55.3694111490982</v>
      </c>
    </row>
    <row r="113" customFormat="false" ht="15" hidden="false" customHeight="false" outlineLevel="0" collapsed="false">
      <c r="A113" s="19" t="s">
        <v>398</v>
      </c>
      <c r="B113" s="12" t="s">
        <v>92</v>
      </c>
      <c r="C113" s="15" t="n">
        <f aca="false">C94</f>
        <v>10.6350420811018</v>
      </c>
      <c r="D113" s="15" t="n">
        <f aca="false">D94</f>
        <v>16.5331240682397</v>
      </c>
      <c r="E113" s="15" t="n">
        <f aca="false">E94</f>
        <v>22.2059105922765</v>
      </c>
      <c r="F113" s="15" t="n">
        <f aca="false">E113*ck_B_28</f>
        <v>22.2059105922765</v>
      </c>
      <c r="G113" s="15" t="n">
        <f aca="false">F113*ck_B_29</f>
        <v>21.0956150626627</v>
      </c>
    </row>
    <row r="114" customFormat="false" ht="15" hidden="false" customHeight="false" outlineLevel="0" collapsed="false">
      <c r="A114" s="20" t="s">
        <v>399</v>
      </c>
      <c r="B114" s="12" t="s">
        <v>92</v>
      </c>
      <c r="C114" s="15" t="n">
        <f aca="false">C95</f>
        <v>12.7467750295502</v>
      </c>
      <c r="D114" s="15" t="n">
        <f aca="false">D95</f>
        <v>17.4020361653004</v>
      </c>
      <c r="E114" s="15" t="n">
        <f aca="false">E95</f>
        <v>21.5104280787291</v>
      </c>
      <c r="F114" s="15" t="n">
        <f aca="false">E114*ck_B_28</f>
        <v>21.5104280787291</v>
      </c>
      <c r="G114" s="15" t="n">
        <f aca="false">F114*ck_B_29</f>
        <v>20.4349066747926</v>
      </c>
    </row>
    <row r="115" customFormat="false" ht="15" hidden="false" customHeight="false" outlineLevel="0" collapsed="false">
      <c r="A115" s="20" t="s">
        <v>400</v>
      </c>
      <c r="B115" s="12" t="s">
        <v>92</v>
      </c>
      <c r="C115" s="15" t="n">
        <f aca="false">C96</f>
        <v>3.05656934306569</v>
      </c>
      <c r="D115" s="15" t="n">
        <f aca="false">D96</f>
        <v>3.35</v>
      </c>
      <c r="E115" s="15" t="n">
        <f aca="false">E96</f>
        <v>3.79539194286967</v>
      </c>
      <c r="F115" s="15" t="n">
        <f aca="false">E115*ck_B_28</f>
        <v>3.79539194286967</v>
      </c>
      <c r="G115" s="15" t="n">
        <f aca="false">F115*ck_B_29</f>
        <v>3.60562234572619</v>
      </c>
    </row>
    <row r="116" customFormat="false" ht="15" hidden="false" customHeight="false" outlineLevel="0" collapsed="false">
      <c r="A116" s="20" t="s">
        <v>401</v>
      </c>
      <c r="B116" s="12" t="s">
        <v>92</v>
      </c>
      <c r="C116" s="15" t="n">
        <f aca="false">C97</f>
        <v>14.7359586560428</v>
      </c>
      <c r="D116" s="15" t="n">
        <f aca="false">D97</f>
        <v>18.65</v>
      </c>
      <c r="E116" s="15" t="n">
        <f aca="false">E97</f>
        <v>21.6346744396519</v>
      </c>
      <c r="F116" s="15" t="n">
        <f aca="false">E116*ck_B_28</f>
        <v>21.6346744396519</v>
      </c>
      <c r="G116" s="15" t="n">
        <f aca="false">F116*ck_B_29</f>
        <v>20.5529407176693</v>
      </c>
    </row>
    <row r="117" customFormat="false" ht="15" hidden="false" customHeight="false" outlineLevel="0" collapsed="false">
      <c r="A117" s="20" t="s">
        <v>402</v>
      </c>
      <c r="B117" s="12" t="s">
        <v>92</v>
      </c>
      <c r="C117" s="15" t="n">
        <f aca="false">SUM(C110:C114)</f>
        <v>116.896831844029</v>
      </c>
      <c r="D117" s="15" t="n">
        <f aca="false">SUM(D110:D114)</f>
        <v>159.588828597269</v>
      </c>
      <c r="E117" s="15" t="n">
        <f aca="false">SUM(E110:E114)</f>
        <v>197.265652542156</v>
      </c>
      <c r="F117" s="15" t="n">
        <f aca="false">SUM(F110:F114)</f>
        <v>197.265652542156</v>
      </c>
      <c r="G117" s="15" t="n">
        <f aca="false">SUM(G110:G114)</f>
        <v>187.402369915048</v>
      </c>
    </row>
    <row r="118" customFormat="false" ht="15" hidden="false" customHeight="false" outlineLevel="0" collapsed="false">
      <c r="A118" s="20" t="s">
        <v>403</v>
      </c>
      <c r="B118" s="12" t="s">
        <v>92</v>
      </c>
      <c r="C118" s="15" t="n">
        <f aca="false">C115+C116</f>
        <v>17.7925279991085</v>
      </c>
      <c r="D118" s="15" t="n">
        <f aca="false">D115+D116</f>
        <v>22</v>
      </c>
      <c r="E118" s="15" t="n">
        <f aca="false">E115+E116</f>
        <v>25.4300663825215</v>
      </c>
      <c r="F118" s="15" t="n">
        <f aca="false">F115+F116</f>
        <v>25.4300663825215</v>
      </c>
      <c r="G118" s="15" t="n">
        <f aca="false">G115+G116</f>
        <v>24.1585630633955</v>
      </c>
    </row>
    <row r="119" customFormat="false" ht="15" hidden="false" customHeight="false" outlineLevel="0" collapsed="false">
      <c r="A119" s="7" t="s">
        <v>417</v>
      </c>
      <c r="B119" s="12" t="s">
        <v>92</v>
      </c>
      <c r="C119" s="15" t="n">
        <f aca="false">C117+C118</f>
        <v>134.689359843138</v>
      </c>
      <c r="D119" s="15" t="n">
        <f aca="false">D117+D118</f>
        <v>181.588828597269</v>
      </c>
      <c r="E119" s="15" t="n">
        <f aca="false">E117+E118</f>
        <v>222.695718924677</v>
      </c>
      <c r="F119" s="15" t="n">
        <f aca="false">F117+F118</f>
        <v>222.695718924677</v>
      </c>
      <c r="G119" s="15" t="n">
        <f aca="false">G117+G118</f>
        <v>211.560932978444</v>
      </c>
    </row>
    <row r="120" customFormat="false" ht="15" hidden="false" customHeight="false" outlineLevel="0" collapsed="false">
      <c r="A120" s="20" t="s">
        <v>327</v>
      </c>
      <c r="B120" s="12" t="s">
        <v>153</v>
      </c>
      <c r="D120" s="16" t="n">
        <f aca="false">D119/C119-1</f>
        <v>0.348204704579127</v>
      </c>
      <c r="E120" s="16" t="n">
        <f aca="false">E119/D119-1</f>
        <v>0.226373453945098</v>
      </c>
      <c r="F120" s="16" t="n">
        <f aca="false">F119/E119-1</f>
        <v>0</v>
      </c>
      <c r="G120" s="16" t="n">
        <f aca="false">G119/F119-1</f>
        <v>-0.05</v>
      </c>
      <c r="H120" s="12" t="s">
        <v>405</v>
      </c>
    </row>
    <row r="121" customFormat="false" ht="15" hidden="false" customHeight="false" outlineLevel="0" collapsed="false">
      <c r="A121" s="20" t="s">
        <v>406</v>
      </c>
      <c r="B121" s="12" t="s">
        <v>153</v>
      </c>
      <c r="D121" s="16" t="n">
        <f aca="false">D117/C117-1</f>
        <v>0.365210896478377</v>
      </c>
      <c r="E121" s="16" t="n">
        <f aca="false">E117/D117-1</f>
        <v>0.236086850665256</v>
      </c>
      <c r="F121" s="16" t="n">
        <f aca="false">F117/E117-1</f>
        <v>0</v>
      </c>
      <c r="G121" s="16" t="n">
        <f aca="false">G117/F117-1</f>
        <v>-0.05</v>
      </c>
    </row>
    <row r="122" customFormat="false" ht="15" hidden="false" customHeight="false" outlineLevel="0" collapsed="false">
      <c r="A122" s="9" t="s">
        <v>407</v>
      </c>
      <c r="B122" s="12" t="s">
        <v>92</v>
      </c>
      <c r="C122" s="15" t="n">
        <f aca="false">C110+C112+C115</f>
        <v>67.0025748249712</v>
      </c>
      <c r="D122" s="15" t="n">
        <f aca="false">D110+D112+D115</f>
        <v>97.0691383721396</v>
      </c>
      <c r="E122" s="15" t="n">
        <f aca="false">E110+E112+E115</f>
        <v>122.855413423103</v>
      </c>
      <c r="F122" s="15" t="n">
        <f aca="false">F110+F112+F115</f>
        <v>122.855413423103</v>
      </c>
      <c r="G122" s="15" t="n">
        <f aca="false">G110+G112+G115</f>
        <v>116.712642751948</v>
      </c>
    </row>
    <row r="123" customFormat="false" ht="15" hidden="false" customHeight="false" outlineLevel="0" collapsed="false">
      <c r="A123" s="19" t="s">
        <v>408</v>
      </c>
      <c r="B123" s="12" t="s">
        <v>153</v>
      </c>
      <c r="C123" s="16" t="n">
        <f aca="false">C122/C119</f>
        <v>0.497460043636735</v>
      </c>
      <c r="D123" s="16" t="n">
        <f aca="false">D122/D119</f>
        <v>0.534554571016156</v>
      </c>
      <c r="E123" s="16" t="n">
        <f aca="false">E122/E119</f>
        <v>0.55167388945028</v>
      </c>
      <c r="F123" s="16" t="n">
        <f aca="false">F122/F119</f>
        <v>0.55167388945028</v>
      </c>
      <c r="G123" s="16" t="n">
        <f aca="false">G122/G119</f>
        <v>0.55167388945028</v>
      </c>
    </row>
    <row r="124" customFormat="false" ht="15" hidden="false" customHeight="false" outlineLevel="0" collapsed="false">
      <c r="A124" s="19" t="s">
        <v>409</v>
      </c>
      <c r="B124" s="12" t="s">
        <v>153</v>
      </c>
      <c r="D124" s="17" t="n">
        <f aca="false">IF(ABS(D119-C119)&lt;0.05,"n/a",(D122-C122)/(D119-C119))</f>
        <v>0.641085375716965</v>
      </c>
      <c r="E124" s="17" t="n">
        <f aca="false">IF(ABS(E119-C119)&lt;0.05,"n/a",(E122-C122)/(E119-C119))</f>
        <v>0.634645486769692</v>
      </c>
      <c r="F124" s="17" t="n">
        <f aca="false">IF(ABS(F119-C119)&lt;0.05,"n/a",(F122-C122)/(F119-C119))</f>
        <v>0.634645486769692</v>
      </c>
      <c r="G124" s="17" t="n">
        <f aca="false">IF(ABS(G119-C119)&lt;0.05,"n/a",(G122-C122)/(G119-C119))</f>
        <v>0.646663856344913</v>
      </c>
      <c r="H124" s="8" t="s">
        <v>410</v>
      </c>
    </row>
    <row r="125" customFormat="false" ht="15" hidden="false" customHeight="false" outlineLevel="0" collapsed="false">
      <c r="A125" s="19" t="s">
        <v>411</v>
      </c>
      <c r="B125" s="12" t="s">
        <v>153</v>
      </c>
      <c r="D125" s="17" t="n">
        <f aca="false">IF(ABS(D119-C119)&lt;0.05,"n/a",(D122-C122)/(D119-C119))</f>
        <v>0.641085375716965</v>
      </c>
      <c r="E125" s="17" t="n">
        <f aca="false">IF(ABS(E119-D119)&lt;0.05,"n/a",(E122-D122)/(E119-D119))</f>
        <v>0.627298120718475</v>
      </c>
      <c r="F125" s="17" t="str">
        <f aca="false">IF(ABS(F119-E119)&lt;0.05,"n/a",(F122-E122)/(F119-E119))</f>
        <v>n/a</v>
      </c>
      <c r="G125" s="17" t="n">
        <f aca="false">IF(ABS(G119-F119)&lt;0.05,"n/a",(G122-F122)/(G119-F119))</f>
        <v>0.55167388945028</v>
      </c>
      <c r="H125" s="8" t="s">
        <v>412</v>
      </c>
    </row>
    <row r="126" customFormat="false" ht="15" hidden="false" customHeight="false" outlineLevel="0" collapsed="false">
      <c r="A126" s="20" t="s">
        <v>413</v>
      </c>
      <c r="B126" s="8" t="s">
        <v>414</v>
      </c>
      <c r="C126" s="18" t="n">
        <f aca="false">IF(ROUND(G119,9)=ROUND(MAX(C119:G119),9),2029,IF(ROUND(F119,9)=ROUND(MAX(C119:G119),9),2028,IF(ROUND(E119,9)=ROUND(MAX(C119:G119),9),2027,IF(ROUND(D119,9)=ROUND(MAX(C119:G119),9),2026,2025))))</f>
        <v>2028</v>
      </c>
      <c r="H126" s="8" t="s">
        <v>415</v>
      </c>
    </row>
    <row r="128" customFormat="false" ht="15" hidden="false" customHeight="false" outlineLevel="0" collapsed="false">
      <c r="A128" s="9" t="s">
        <v>418</v>
      </c>
    </row>
    <row r="129" customFormat="false" ht="15" hidden="false" customHeight="false" outlineLevel="0" collapsed="false">
      <c r="A129" s="20" t="s">
        <v>395</v>
      </c>
      <c r="B129" s="12" t="s">
        <v>92</v>
      </c>
      <c r="C129" s="15" t="n">
        <f aca="false">C91</f>
        <v>36.0323364171573</v>
      </c>
      <c r="D129" s="15" t="n">
        <f aca="false">D91</f>
        <v>50.3248433305299</v>
      </c>
      <c r="E129" s="15" t="n">
        <f aca="false">E91</f>
        <v>60.7764307969723</v>
      </c>
      <c r="F129" s="15" t="n">
        <f aca="false">E129*ck_C_28</f>
        <v>48.6211446375778</v>
      </c>
      <c r="G129" s="15" t="n">
        <f aca="false">F129*ck_C_29</f>
        <v>48.6211446375778</v>
      </c>
    </row>
    <row r="130" customFormat="false" ht="15" hidden="false" customHeight="false" outlineLevel="0" collapsed="false">
      <c r="A130" s="20" t="s">
        <v>396</v>
      </c>
      <c r="B130" s="12" t="s">
        <v>92</v>
      </c>
      <c r="C130" s="15" t="n">
        <f aca="false">C92</f>
        <v>29.5690092514718</v>
      </c>
      <c r="D130" s="15" t="n">
        <f aca="false">D92</f>
        <v>31.9345299915896</v>
      </c>
      <c r="E130" s="15" t="n">
        <f aca="false">E92</f>
        <v>34.4892923909167</v>
      </c>
      <c r="F130" s="15" t="n">
        <f aca="false">E130*ck_C_28</f>
        <v>27.5914339127334</v>
      </c>
      <c r="G130" s="15" t="n">
        <f aca="false">F130*ck_C_29</f>
        <v>27.5914339127334</v>
      </c>
    </row>
    <row r="131" customFormat="false" ht="15" hidden="false" customHeight="false" outlineLevel="0" collapsed="false">
      <c r="A131" s="19" t="s">
        <v>397</v>
      </c>
      <c r="B131" s="12" t="s">
        <v>92</v>
      </c>
      <c r="C131" s="15" t="n">
        <f aca="false">C93</f>
        <v>27.9136690647482</v>
      </c>
      <c r="D131" s="15" t="n">
        <f aca="false">D93</f>
        <v>43.3942950416098</v>
      </c>
      <c r="E131" s="15" t="n">
        <f aca="false">E93</f>
        <v>58.2835906832613</v>
      </c>
      <c r="F131" s="15" t="n">
        <f aca="false">E131*ck_C_28</f>
        <v>46.626872546609</v>
      </c>
      <c r="G131" s="15" t="n">
        <f aca="false">F131*ck_C_29</f>
        <v>46.626872546609</v>
      </c>
    </row>
    <row r="132" customFormat="false" ht="15" hidden="false" customHeight="false" outlineLevel="0" collapsed="false">
      <c r="A132" s="19" t="s">
        <v>398</v>
      </c>
      <c r="B132" s="12" t="s">
        <v>92</v>
      </c>
      <c r="C132" s="15" t="n">
        <f aca="false">C94</f>
        <v>10.6350420811018</v>
      </c>
      <c r="D132" s="15" t="n">
        <f aca="false">D94</f>
        <v>16.5331240682397</v>
      </c>
      <c r="E132" s="15" t="n">
        <f aca="false">E94</f>
        <v>22.2059105922765</v>
      </c>
      <c r="F132" s="15" t="n">
        <f aca="false">E132*ck_C_28</f>
        <v>17.7647284738212</v>
      </c>
      <c r="G132" s="15" t="n">
        <f aca="false">F132*ck_C_29</f>
        <v>17.7647284738212</v>
      </c>
    </row>
    <row r="133" customFormat="false" ht="15" hidden="false" customHeight="false" outlineLevel="0" collapsed="false">
      <c r="A133" s="20" t="s">
        <v>399</v>
      </c>
      <c r="B133" s="12" t="s">
        <v>92</v>
      </c>
      <c r="C133" s="15" t="n">
        <f aca="false">C95</f>
        <v>12.7467750295502</v>
      </c>
      <c r="D133" s="15" t="n">
        <f aca="false">D95</f>
        <v>17.4020361653004</v>
      </c>
      <c r="E133" s="15" t="n">
        <f aca="false">E95</f>
        <v>21.5104280787291</v>
      </c>
      <c r="F133" s="15" t="n">
        <f aca="false">E133*ck_C_28</f>
        <v>17.2083424629832</v>
      </c>
      <c r="G133" s="15" t="n">
        <f aca="false">F133*ck_C_29</f>
        <v>17.2083424629832</v>
      </c>
    </row>
    <row r="134" customFormat="false" ht="15" hidden="false" customHeight="false" outlineLevel="0" collapsed="false">
      <c r="A134" s="20" t="s">
        <v>400</v>
      </c>
      <c r="B134" s="12" t="s">
        <v>92</v>
      </c>
      <c r="C134" s="15" t="n">
        <f aca="false">C96</f>
        <v>3.05656934306569</v>
      </c>
      <c r="D134" s="15" t="n">
        <f aca="false">D96</f>
        <v>3.35</v>
      </c>
      <c r="E134" s="15" t="n">
        <f aca="false">E96</f>
        <v>3.79539194286967</v>
      </c>
      <c r="F134" s="15" t="n">
        <f aca="false">E134*ck_C_28</f>
        <v>3.03631355429574</v>
      </c>
      <c r="G134" s="15" t="n">
        <f aca="false">F134*ck_C_29</f>
        <v>3.03631355429574</v>
      </c>
    </row>
    <row r="135" customFormat="false" ht="15" hidden="false" customHeight="false" outlineLevel="0" collapsed="false">
      <c r="A135" s="20" t="s">
        <v>401</v>
      </c>
      <c r="B135" s="12" t="s">
        <v>92</v>
      </c>
      <c r="C135" s="15" t="n">
        <f aca="false">C97</f>
        <v>14.7359586560428</v>
      </c>
      <c r="D135" s="15" t="n">
        <f aca="false">D97</f>
        <v>18.65</v>
      </c>
      <c r="E135" s="15" t="n">
        <f aca="false">E97</f>
        <v>21.6346744396519</v>
      </c>
      <c r="F135" s="15" t="n">
        <f aca="false">E135*ck_C_28</f>
        <v>17.3077395517215</v>
      </c>
      <c r="G135" s="15" t="n">
        <f aca="false">F135*ck_C_29</f>
        <v>17.3077395517215</v>
      </c>
    </row>
    <row r="136" customFormat="false" ht="15" hidden="false" customHeight="false" outlineLevel="0" collapsed="false">
      <c r="A136" s="20" t="s">
        <v>402</v>
      </c>
      <c r="B136" s="12" t="s">
        <v>92</v>
      </c>
      <c r="C136" s="15" t="n">
        <f aca="false">SUM(C129:C133)</f>
        <v>116.896831844029</v>
      </c>
      <c r="D136" s="15" t="n">
        <f aca="false">SUM(D129:D133)</f>
        <v>159.588828597269</v>
      </c>
      <c r="E136" s="15" t="n">
        <f aca="false">SUM(E129:E133)</f>
        <v>197.265652542156</v>
      </c>
      <c r="F136" s="15" t="n">
        <f aca="false">SUM(F129:F133)</f>
        <v>157.812522033725</v>
      </c>
      <c r="G136" s="15" t="n">
        <f aca="false">SUM(G129:G133)</f>
        <v>157.812522033725</v>
      </c>
    </row>
    <row r="137" customFormat="false" ht="15" hidden="false" customHeight="false" outlineLevel="0" collapsed="false">
      <c r="A137" s="20" t="s">
        <v>403</v>
      </c>
      <c r="B137" s="12" t="s">
        <v>92</v>
      </c>
      <c r="C137" s="15" t="n">
        <f aca="false">C134+C135</f>
        <v>17.7925279991085</v>
      </c>
      <c r="D137" s="15" t="n">
        <f aca="false">D134+D135</f>
        <v>22</v>
      </c>
      <c r="E137" s="15" t="n">
        <f aca="false">E134+E135</f>
        <v>25.4300663825215</v>
      </c>
      <c r="F137" s="15" t="n">
        <f aca="false">F134+F135</f>
        <v>20.3440531060172</v>
      </c>
      <c r="G137" s="15" t="n">
        <f aca="false">G134+G135</f>
        <v>20.3440531060172</v>
      </c>
    </row>
    <row r="138" customFormat="false" ht="15" hidden="false" customHeight="false" outlineLevel="0" collapsed="false">
      <c r="A138" s="7" t="s">
        <v>419</v>
      </c>
      <c r="B138" s="12" t="s">
        <v>92</v>
      </c>
      <c r="C138" s="15" t="n">
        <f aca="false">C136+C137</f>
        <v>134.689359843138</v>
      </c>
      <c r="D138" s="15" t="n">
        <f aca="false">D136+D137</f>
        <v>181.588828597269</v>
      </c>
      <c r="E138" s="15" t="n">
        <f aca="false">E136+E137</f>
        <v>222.695718924677</v>
      </c>
      <c r="F138" s="15" t="n">
        <f aca="false">F136+F137</f>
        <v>178.156575139742</v>
      </c>
      <c r="G138" s="15" t="n">
        <f aca="false">G136+G137</f>
        <v>178.156575139742</v>
      </c>
    </row>
    <row r="139" customFormat="false" ht="15" hidden="false" customHeight="false" outlineLevel="0" collapsed="false">
      <c r="A139" s="20" t="s">
        <v>327</v>
      </c>
      <c r="B139" s="12" t="s">
        <v>153</v>
      </c>
      <c r="D139" s="16" t="n">
        <f aca="false">D138/C138-1</f>
        <v>0.348204704579127</v>
      </c>
      <c r="E139" s="16" t="n">
        <f aca="false">E138/D138-1</f>
        <v>0.226373453945098</v>
      </c>
      <c r="F139" s="16" t="n">
        <f aca="false">F138/E138-1</f>
        <v>-0.2</v>
      </c>
      <c r="G139" s="16" t="n">
        <f aca="false">G138/F138-1</f>
        <v>0</v>
      </c>
      <c r="H139" s="12" t="s">
        <v>405</v>
      </c>
    </row>
    <row r="140" customFormat="false" ht="15" hidden="false" customHeight="false" outlineLevel="0" collapsed="false">
      <c r="A140" s="20" t="s">
        <v>406</v>
      </c>
      <c r="B140" s="12" t="s">
        <v>153</v>
      </c>
      <c r="D140" s="16" t="n">
        <f aca="false">D136/C136-1</f>
        <v>0.365210896478377</v>
      </c>
      <c r="E140" s="16" t="n">
        <f aca="false">E136/D136-1</f>
        <v>0.236086850665256</v>
      </c>
      <c r="F140" s="16" t="n">
        <f aca="false">F136/E136-1</f>
        <v>-0.2</v>
      </c>
      <c r="G140" s="16" t="n">
        <f aca="false">G136/F136-1</f>
        <v>0</v>
      </c>
    </row>
    <row r="141" customFormat="false" ht="15" hidden="false" customHeight="false" outlineLevel="0" collapsed="false">
      <c r="A141" s="9" t="s">
        <v>407</v>
      </c>
      <c r="B141" s="12" t="s">
        <v>92</v>
      </c>
      <c r="C141" s="15" t="n">
        <f aca="false">C129+C131+C134</f>
        <v>67.0025748249712</v>
      </c>
      <c r="D141" s="15" t="n">
        <f aca="false">D129+D131+D134</f>
        <v>97.0691383721396</v>
      </c>
      <c r="E141" s="15" t="n">
        <f aca="false">E129+E131+E134</f>
        <v>122.855413423103</v>
      </c>
      <c r="F141" s="15" t="n">
        <f aca="false">F129+F131+F134</f>
        <v>98.2843307384826</v>
      </c>
      <c r="G141" s="15" t="n">
        <f aca="false">G129+G131+G134</f>
        <v>98.2843307384826</v>
      </c>
    </row>
    <row r="142" customFormat="false" ht="15" hidden="false" customHeight="false" outlineLevel="0" collapsed="false">
      <c r="A142" s="19" t="s">
        <v>408</v>
      </c>
      <c r="B142" s="12" t="s">
        <v>153</v>
      </c>
      <c r="C142" s="16" t="n">
        <f aca="false">C141/C138</f>
        <v>0.497460043636735</v>
      </c>
      <c r="D142" s="16" t="n">
        <f aca="false">D141/D138</f>
        <v>0.534554571016156</v>
      </c>
      <c r="E142" s="16" t="n">
        <f aca="false">E141/E138</f>
        <v>0.55167388945028</v>
      </c>
      <c r="F142" s="16" t="n">
        <f aca="false">F141/F138</f>
        <v>0.55167388945028</v>
      </c>
      <c r="G142" s="16" t="n">
        <f aca="false">G141/G138</f>
        <v>0.55167388945028</v>
      </c>
    </row>
    <row r="143" customFormat="false" ht="15" hidden="false" customHeight="false" outlineLevel="0" collapsed="false">
      <c r="A143" s="19" t="s">
        <v>409</v>
      </c>
      <c r="B143" s="12" t="s">
        <v>153</v>
      </c>
      <c r="D143" s="17" t="n">
        <f aca="false">IF(ABS(D138-C138)&lt;0.05,"n/a",(D141-C141)/(D138-C138))</f>
        <v>0.641085375716965</v>
      </c>
      <c r="E143" s="17" t="n">
        <f aca="false">IF(ABS(E138-C138)&lt;0.05,"n/a",(E141-C141)/(E138-C138))</f>
        <v>0.634645486769692</v>
      </c>
      <c r="F143" s="17" t="n">
        <f aca="false">IF(ABS(F138-C138)&lt;0.05,"n/a",(F141-C141)/(F138-C138))</f>
        <v>0.719663215139416</v>
      </c>
      <c r="G143" s="17" t="n">
        <f aca="false">IF(ABS(G138-C138)&lt;0.05,"n/a",(G141-C141)/(G138-C138))</f>
        <v>0.719663215139416</v>
      </c>
      <c r="H143" s="8" t="s">
        <v>410</v>
      </c>
    </row>
    <row r="144" customFormat="false" ht="15" hidden="false" customHeight="false" outlineLevel="0" collapsed="false">
      <c r="A144" s="19" t="s">
        <v>411</v>
      </c>
      <c r="B144" s="12" t="s">
        <v>153</v>
      </c>
      <c r="D144" s="17" t="n">
        <f aca="false">IF(ABS(D138-C138)&lt;0.05,"n/a",(D141-C141)/(D138-C138))</f>
        <v>0.641085375716965</v>
      </c>
      <c r="E144" s="17" t="n">
        <f aca="false">IF(ABS(E138-D138)&lt;0.05,"n/a",(E141-D141)/(E138-D138))</f>
        <v>0.627298120718475</v>
      </c>
      <c r="F144" s="17" t="n">
        <f aca="false">IF(ABS(F138-E138)&lt;0.05,"n/a",(F141-E141)/(F138-E138))</f>
        <v>0.55167388945028</v>
      </c>
      <c r="G144" s="17" t="str">
        <f aca="false">IF(ABS(G138-F138)&lt;0.05,"n/a",(G141-F141)/(G138-F138))</f>
        <v>n/a</v>
      </c>
      <c r="H144" s="8" t="s">
        <v>412</v>
      </c>
    </row>
    <row r="145" customFormat="false" ht="15" hidden="false" customHeight="false" outlineLevel="0" collapsed="false">
      <c r="A145" s="20" t="s">
        <v>413</v>
      </c>
      <c r="B145" s="8" t="s">
        <v>414</v>
      </c>
      <c r="C145" s="18" t="n">
        <f aca="false">IF(ROUND(G138,9)=ROUND(MAX(C138:G138),9),2029,IF(ROUND(F138,9)=ROUND(MAX(C138:G138),9),2028,IF(ROUND(E138,9)=ROUND(MAX(C138:G138),9),2027,IF(ROUND(D138,9)=ROUND(MAX(C138:G138),9),2026,2025))))</f>
        <v>2027</v>
      </c>
      <c r="H145" s="8" t="s">
        <v>415</v>
      </c>
    </row>
    <row r="147" customFormat="false" ht="15" hidden="false" customHeight="false" outlineLevel="0" collapsed="false">
      <c r="A147" s="9" t="s">
        <v>420</v>
      </c>
    </row>
    <row r="148" customFormat="false" ht="15" hidden="false" customHeight="false" outlineLevel="0" collapsed="false">
      <c r="A148" s="19" t="s">
        <v>421</v>
      </c>
      <c r="B148" s="12" t="s">
        <v>92</v>
      </c>
      <c r="D148" s="21" t="n">
        <f aca="false">D48-s_tot_26</f>
        <v>0</v>
      </c>
      <c r="F148" s="21" t="n">
        <f aca="false">F48-s_tot_28</f>
        <v>-0.116701799999959</v>
      </c>
      <c r="H148" s="12" t="s">
        <v>422</v>
      </c>
    </row>
    <row r="149" customFormat="false" ht="15" hidden="false" customHeight="false" outlineLevel="0" collapsed="false">
      <c r="A149" s="19" t="s">
        <v>423</v>
      </c>
      <c r="B149" s="12" t="s">
        <v>92</v>
      </c>
      <c r="C149" s="22" t="n">
        <f aca="false">C100-C48</f>
        <v>0</v>
      </c>
      <c r="H149" s="8" t="s">
        <v>424</v>
      </c>
    </row>
    <row r="150" customFormat="false" ht="15" hidden="false" customHeight="false" outlineLevel="0" collapsed="false">
      <c r="A150" s="20" t="s">
        <v>425</v>
      </c>
      <c r="B150" s="12" t="s">
        <v>92</v>
      </c>
      <c r="D150" s="22" t="n">
        <f aca="false">SUM(D91:D97)-D100</f>
        <v>0</v>
      </c>
      <c r="E150" s="22" t="n">
        <f aca="false">SUM(E91:E97)-E100</f>
        <v>0</v>
      </c>
      <c r="F150" s="22" t="n">
        <f aca="false">SUM(F91:F97)-F100</f>
        <v>0</v>
      </c>
      <c r="G150" s="22" t="n">
        <f aca="false">SUM(G91:G97)-G100</f>
        <v>0</v>
      </c>
    </row>
    <row r="151" customFormat="false" ht="15" hidden="false" customHeight="false" outlineLevel="0" collapsed="false">
      <c r="A151" s="19" t="s">
        <v>426</v>
      </c>
      <c r="B151" s="12" t="s">
        <v>92</v>
      </c>
      <c r="C151" s="22" t="n">
        <f aca="false">(C119-C100)+(C138-C100)</f>
        <v>0</v>
      </c>
      <c r="D151" s="22" t="n">
        <f aca="false">(D119-D100)+(D138-D100)</f>
        <v>0</v>
      </c>
      <c r="E151" s="22" t="n">
        <f aca="false">(E119-E100)+(E138-E100)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36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6"/>
    <col collapsed="false" customWidth="true" hidden="false" outlineLevel="0" max="12" min="12" style="0" width="70"/>
  </cols>
  <sheetData>
    <row r="1" customFormat="false" ht="15" hidden="false" customHeight="false" outlineLevel="0" collapsed="false">
      <c r="A1" s="0" t="s">
        <v>427</v>
      </c>
    </row>
    <row r="3" customFormat="false" ht="15" hidden="false" customHeight="false" outlineLevel="0" collapsed="false">
      <c r="A3" s="4" t="s">
        <v>56</v>
      </c>
      <c r="B3" s="4" t="s">
        <v>428</v>
      </c>
      <c r="C3" s="4" t="s">
        <v>18</v>
      </c>
      <c r="D3" s="4" t="s">
        <v>429</v>
      </c>
      <c r="E3" s="4" t="s">
        <v>430</v>
      </c>
      <c r="F3" s="4" t="s">
        <v>431</v>
      </c>
      <c r="G3" s="4" t="s">
        <v>432</v>
      </c>
      <c r="H3" s="4" t="s">
        <v>433</v>
      </c>
      <c r="I3" s="4" t="s">
        <v>434</v>
      </c>
      <c r="J3" s="4" t="s">
        <v>435</v>
      </c>
      <c r="K3" s="23" t="s">
        <v>436</v>
      </c>
      <c r="L3" s="4" t="s">
        <v>437</v>
      </c>
    </row>
    <row r="4" customFormat="false" ht="15" hidden="false" customHeight="false" outlineLevel="0" collapsed="false">
      <c r="A4" s="8" t="s">
        <v>438</v>
      </c>
      <c r="B4" s="0" t="n">
        <v>2026</v>
      </c>
      <c r="C4" s="0" t="s">
        <v>439</v>
      </c>
      <c r="D4" s="15" t="n">
        <f aca="false">s_tot_26</f>
        <v>165.9</v>
      </c>
      <c r="E4" s="15" t="n">
        <f aca="false">Mkt!D100</f>
        <v>181.588828597269</v>
      </c>
      <c r="F4" s="16" t="n">
        <f aca="false">E4/D4-1</f>
        <v>0.094567984311448</v>
      </c>
      <c r="G4" s="15" t="n">
        <f aca="false">Mkt!D119</f>
        <v>181.588828597269</v>
      </c>
      <c r="H4" s="16" t="n">
        <f aca="false">G4/D4-1</f>
        <v>0.094567984311448</v>
      </c>
      <c r="I4" s="15" t="n">
        <f aca="false">Mkt!D138</f>
        <v>181.588828597269</v>
      </c>
      <c r="J4" s="16" t="n">
        <f aca="false">I4/D4-1</f>
        <v>0.094567984311448</v>
      </c>
      <c r="K4" s="0" t="str">
        <f aca="false">IF(ABS(F4)&gt;rc_thr,"超過門檻","")</f>
        <v/>
      </c>
      <c r="L4" s="12" t="s">
        <v>440</v>
      </c>
    </row>
    <row r="5" customFormat="false" ht="15" hidden="false" customHeight="false" outlineLevel="0" collapsed="false">
      <c r="A5" s="8" t="s">
        <v>441</v>
      </c>
      <c r="B5" s="0" t="n">
        <v>2026</v>
      </c>
      <c r="C5" s="0" t="s">
        <v>439</v>
      </c>
      <c r="D5" s="15" t="n">
        <f aca="false">s_wfe_26</f>
        <v>143.9</v>
      </c>
      <c r="E5" s="15" t="n">
        <f aca="false">Mkt!D98</f>
        <v>159.588828597269</v>
      </c>
      <c r="F5" s="16" t="n">
        <f aca="false">E5/D5-1</f>
        <v>0.109025911030363</v>
      </c>
      <c r="G5" s="15" t="n">
        <f aca="false">Mkt!D117</f>
        <v>159.588828597269</v>
      </c>
      <c r="H5" s="16" t="n">
        <f aca="false">G5/D5-1</f>
        <v>0.109025911030363</v>
      </c>
      <c r="I5" s="15" t="n">
        <f aca="false">Mkt!D136</f>
        <v>159.588828597269</v>
      </c>
      <c r="J5" s="16" t="n">
        <f aca="false">I5/D5-1</f>
        <v>0.109025911030363</v>
      </c>
      <c r="K5" s="0" t="str">
        <f aca="false">IF(ABS(F5)&gt;rc_thr,"超過門檻","")</f>
        <v/>
      </c>
    </row>
    <row r="6" customFormat="false" ht="15" hidden="false" customHeight="false" outlineLevel="0" collapsed="false">
      <c r="A6" s="8" t="s">
        <v>442</v>
      </c>
      <c r="B6" s="0" t="n">
        <v>2026</v>
      </c>
      <c r="C6" s="0" t="s">
        <v>439</v>
      </c>
      <c r="D6" s="15" t="n">
        <f aca="false">s_fd_26</f>
        <v>78</v>
      </c>
      <c r="E6" s="15" t="n">
        <f aca="false">Mkt!D91+Mkt!D92</f>
        <v>82.2593733221194</v>
      </c>
      <c r="F6" s="16" t="n">
        <f aca="false">E6/D6-1</f>
        <v>0.0546073502835822</v>
      </c>
      <c r="G6" s="15" t="n">
        <f aca="false">Mkt!D110+Mkt!D111</f>
        <v>82.2593733221194</v>
      </c>
      <c r="H6" s="16" t="n">
        <f aca="false">G6/D6-1</f>
        <v>0.0546073502835822</v>
      </c>
      <c r="I6" s="15" t="n">
        <f aca="false">Mkt!D129+Mkt!D130</f>
        <v>82.2593733221194</v>
      </c>
      <c r="J6" s="16" t="n">
        <f aca="false">I6/D6-1</f>
        <v>0.0546073502835822</v>
      </c>
      <c r="K6" s="0" t="str">
        <f aca="false">IF(ABS(F6)&gt;rc_thr,"超過門檻","")</f>
        <v/>
      </c>
      <c r="L6" s="8" t="s">
        <v>443</v>
      </c>
    </row>
    <row r="7" customFormat="false" ht="15" hidden="false" customHeight="false" outlineLevel="0" collapsed="false">
      <c r="A7" s="0" t="s">
        <v>444</v>
      </c>
      <c r="B7" s="0" t="n">
        <v>2026</v>
      </c>
      <c r="C7" s="0" t="s">
        <v>439</v>
      </c>
      <c r="D7" s="15" t="n">
        <f aca="false">s_dram_26</f>
        <v>38.8</v>
      </c>
      <c r="E7" s="15" t="n">
        <f aca="false">Mkt!D93</f>
        <v>43.3942950416098</v>
      </c>
      <c r="F7" s="16" t="n">
        <f aca="false">E7/D7-1</f>
        <v>0.11840966602087</v>
      </c>
      <c r="G7" s="15" t="n">
        <f aca="false">Mkt!D112</f>
        <v>43.3942950416098</v>
      </c>
      <c r="H7" s="16" t="n">
        <f aca="false">G7/D7-1</f>
        <v>0.11840966602087</v>
      </c>
      <c r="I7" s="15" t="n">
        <f aca="false">Mkt!D131</f>
        <v>43.3942950416098</v>
      </c>
      <c r="J7" s="16" t="n">
        <f aca="false">I7/D7-1</f>
        <v>0.11840966602087</v>
      </c>
      <c r="K7" s="0" t="str">
        <f aca="false">IF(ABS(F7)&gt;rc_thr,"超過門檻","")</f>
        <v/>
      </c>
      <c r="L7" s="8" t="s">
        <v>445</v>
      </c>
    </row>
    <row r="8" customFormat="false" ht="15" hidden="false" customHeight="false" outlineLevel="0" collapsed="false">
      <c r="A8" s="0" t="s">
        <v>398</v>
      </c>
      <c r="B8" s="0" t="n">
        <v>2026</v>
      </c>
      <c r="C8" s="0" t="s">
        <v>439</v>
      </c>
      <c r="D8" s="15" t="n">
        <f aca="false">s_nand_26</f>
        <v>13.9</v>
      </c>
      <c r="E8" s="15" t="n">
        <f aca="false">Mkt!D94</f>
        <v>16.5331240682397</v>
      </c>
      <c r="F8" s="16" t="n">
        <f aca="false">E8/D8-1</f>
        <v>0.189433386204292</v>
      </c>
      <c r="G8" s="15" t="n">
        <f aca="false">Mkt!D113</f>
        <v>16.5331240682397</v>
      </c>
      <c r="H8" s="16" t="n">
        <f aca="false">G8/D8-1</f>
        <v>0.189433386204292</v>
      </c>
      <c r="I8" s="15" t="n">
        <f aca="false">Mkt!D132</f>
        <v>16.5331240682397</v>
      </c>
      <c r="J8" s="16" t="n">
        <f aca="false">I8/D8-1</f>
        <v>0.189433386204292</v>
      </c>
      <c r="K8" s="0" t="str">
        <f aca="false">IF(ABS(F8)&gt;rc_thr,"超過門檻","")</f>
        <v>超過門檻</v>
      </c>
    </row>
    <row r="9" customFormat="false" ht="15" hidden="false" customHeight="false" outlineLevel="0" collapsed="false">
      <c r="A9" s="8" t="s">
        <v>446</v>
      </c>
      <c r="B9" s="0" t="n">
        <v>2027</v>
      </c>
      <c r="C9" s="0" t="s">
        <v>447</v>
      </c>
      <c r="D9" s="16" t="n">
        <f aca="false">g_wfe_27</f>
        <v>0.218</v>
      </c>
      <c r="E9" s="16" t="n">
        <f aca="false">Mkt!E102</f>
        <v>0.236086850665256</v>
      </c>
      <c r="F9" s="16" t="n">
        <f aca="false">E9-D9</f>
        <v>0.0180868506652558</v>
      </c>
      <c r="G9" s="16" t="n">
        <f aca="false">Mkt!E121</f>
        <v>0.236086850665256</v>
      </c>
      <c r="H9" s="16" t="n">
        <f aca="false">G9-D9</f>
        <v>0.0180868506652558</v>
      </c>
      <c r="I9" s="16" t="n">
        <f aca="false">Mkt!E140</f>
        <v>0.236086850665256</v>
      </c>
      <c r="J9" s="16" t="n">
        <f aca="false">I9-D9</f>
        <v>0.0180868506652558</v>
      </c>
      <c r="K9" s="0" t="str">
        <f aca="false">IF(ABS(F9)&gt;0.05,"超過 5 個百分點","")</f>
        <v/>
      </c>
      <c r="L9" s="8" t="s">
        <v>448</v>
      </c>
    </row>
    <row r="10" customFormat="false" ht="15" hidden="false" customHeight="false" outlineLevel="0" collapsed="false">
      <c r="A10" s="8" t="s">
        <v>441</v>
      </c>
      <c r="B10" s="0" t="n">
        <v>2027</v>
      </c>
      <c r="C10" s="0" t="s">
        <v>449</v>
      </c>
      <c r="D10" s="15" t="n">
        <f aca="false">Mkt!E44</f>
        <v>175.2702</v>
      </c>
      <c r="E10" s="15" t="n">
        <f aca="false">Mkt!E98</f>
        <v>197.265652542156</v>
      </c>
      <c r="F10" s="16" t="n">
        <f aca="false">E10/D10-1</f>
        <v>0.125494536676262</v>
      </c>
      <c r="G10" s="15" t="n">
        <f aca="false">Mkt!E117</f>
        <v>197.265652542156</v>
      </c>
      <c r="H10" s="16" t="n">
        <f aca="false">G10/D10-1</f>
        <v>0.125494536676262</v>
      </c>
      <c r="I10" s="15" t="n">
        <f aca="false">Mkt!E136</f>
        <v>197.265652542156</v>
      </c>
      <c r="J10" s="16" t="n">
        <f aca="false">I10/D10-1</f>
        <v>0.125494536676262</v>
      </c>
      <c r="K10" s="0" t="str">
        <f aca="false">IF(ABS(F10)&gt;rc_thr,"超過門檻","")</f>
        <v/>
      </c>
      <c r="L10" s="12" t="s">
        <v>450</v>
      </c>
    </row>
    <row r="11" customFormat="false" ht="15" hidden="false" customHeight="false" outlineLevel="0" collapsed="false">
      <c r="A11" s="8" t="s">
        <v>441</v>
      </c>
      <c r="B11" s="0" t="n">
        <v>2028</v>
      </c>
      <c r="C11" s="0" t="s">
        <v>451</v>
      </c>
      <c r="D11" s="15" t="n">
        <f aca="false">Mkt!F44</f>
        <v>199.9832982</v>
      </c>
      <c r="E11" s="15" t="n">
        <f aca="false">Mkt!F98</f>
        <v>220.865733099033</v>
      </c>
      <c r="F11" s="16" t="n">
        <f aca="false">E11/D11-1</f>
        <v>0.104420894579648</v>
      </c>
      <c r="G11" s="15" t="n">
        <f aca="false">Mkt!F117</f>
        <v>197.265652542156</v>
      </c>
      <c r="H11" s="16" t="n">
        <f aca="false">G11/D11-1</f>
        <v>-0.0135893631233459</v>
      </c>
      <c r="I11" s="15" t="n">
        <f aca="false">Mkt!F136</f>
        <v>157.812522033725</v>
      </c>
      <c r="J11" s="16" t="n">
        <f aca="false">I11/D11-1</f>
        <v>-0.210871490498677</v>
      </c>
      <c r="K11" s="0" t="str">
        <f aca="false">IF(ABS(F11)&gt;rc_thr,"超過門檻","")</f>
        <v/>
      </c>
      <c r="L11" s="8" t="s">
        <v>452</v>
      </c>
    </row>
    <row r="12" customFormat="false" ht="15" hidden="false" customHeight="false" outlineLevel="0" collapsed="false">
      <c r="A12" s="8" t="s">
        <v>438</v>
      </c>
      <c r="B12" s="0" t="n">
        <v>2028</v>
      </c>
      <c r="C12" s="0" t="s">
        <v>439</v>
      </c>
      <c r="D12" s="15" t="n">
        <f aca="false">s_tot_28</f>
        <v>229.5</v>
      </c>
      <c r="E12" s="15" t="n">
        <f aca="false">Mkt!F100</f>
        <v>250.265733099033</v>
      </c>
      <c r="F12" s="16" t="n">
        <f aca="false">E12/D12-1</f>
        <v>0.0904824971635405</v>
      </c>
      <c r="G12" s="15" t="n">
        <f aca="false">Mkt!F119</f>
        <v>222.695718924677</v>
      </c>
      <c r="H12" s="16" t="n">
        <f aca="false">G12/D12-1</f>
        <v>-0.0296482835526039</v>
      </c>
      <c r="I12" s="15" t="n">
        <f aca="false">Mkt!F138</f>
        <v>178.156575139742</v>
      </c>
      <c r="J12" s="16" t="n">
        <f aca="false">I12/D12-1</f>
        <v>-0.223718626842083</v>
      </c>
      <c r="K12" s="0" t="str">
        <f aca="false">IF(ABS(F12)&gt;rc_thr,"超過門檻","")</f>
        <v/>
      </c>
      <c r="L12" s="8" t="s">
        <v>453</v>
      </c>
    </row>
    <row r="13" customFormat="false" ht="15" hidden="false" customHeight="false" outlineLevel="0" collapsed="false">
      <c r="A13" s="8" t="s">
        <v>441</v>
      </c>
      <c r="B13" s="0" t="n">
        <v>2026</v>
      </c>
      <c r="C13" s="0" t="s">
        <v>454</v>
      </c>
      <c r="D13" s="15" t="n">
        <f aca="false">rc_lam26</f>
        <v>150</v>
      </c>
      <c r="E13" s="15" t="n">
        <f aca="false">Mkt!D98</f>
        <v>159.588828597269</v>
      </c>
      <c r="F13" s="16" t="n">
        <f aca="false">E13/D13-1</f>
        <v>0.0639255239817949</v>
      </c>
      <c r="G13" s="15" t="n">
        <f aca="false">Mkt!D117</f>
        <v>159.588828597269</v>
      </c>
      <c r="H13" s="16" t="n">
        <f aca="false">G13/D13-1</f>
        <v>0.0639255239817949</v>
      </c>
      <c r="I13" s="15" t="n">
        <f aca="false">Mkt!D136</f>
        <v>159.588828597269</v>
      </c>
      <c r="J13" s="16" t="n">
        <f aca="false">I13/D13-1</f>
        <v>0.0639255239817949</v>
      </c>
      <c r="K13" s="0" t="str">
        <f aca="false">IF(ABS(F13)&gt;rc_thr,"超過門檻","")</f>
        <v/>
      </c>
      <c r="L13" s="12" t="s">
        <v>455</v>
      </c>
    </row>
    <row r="14" customFormat="false" ht="15" hidden="false" customHeight="false" outlineLevel="0" collapsed="false">
      <c r="A14" s="8" t="s">
        <v>441</v>
      </c>
      <c r="B14" s="0" t="n">
        <v>2026</v>
      </c>
      <c r="C14" s="0" t="s">
        <v>456</v>
      </c>
      <c r="D14" s="15" t="n">
        <f aca="false">rc_kla26</f>
        <v>150</v>
      </c>
      <c r="E14" s="15" t="n">
        <f aca="false">Mkt!D98</f>
        <v>159.588828597269</v>
      </c>
      <c r="F14" s="16" t="n">
        <f aca="false">E14/D14-1</f>
        <v>0.0639255239817949</v>
      </c>
      <c r="G14" s="15" t="n">
        <f aca="false">Mkt!D117</f>
        <v>159.588828597269</v>
      </c>
      <c r="H14" s="16" t="n">
        <f aca="false">G14/D14-1</f>
        <v>0.0639255239817949</v>
      </c>
      <c r="I14" s="15" t="n">
        <f aca="false">Mkt!D136</f>
        <v>159.588828597269</v>
      </c>
      <c r="J14" s="16" t="n">
        <f aca="false">I14/D14-1</f>
        <v>0.0639255239817949</v>
      </c>
      <c r="K14" s="0" t="str">
        <f aca="false">IF(ABS(F14)&gt;rc_thr,"超過門檻","")</f>
        <v/>
      </c>
      <c r="L14" s="12" t="s">
        <v>457</v>
      </c>
    </row>
    <row r="15" customFormat="false" ht="15" hidden="false" customHeight="false" outlineLevel="0" collapsed="false">
      <c r="A15" s="8" t="s">
        <v>441</v>
      </c>
      <c r="B15" s="0" t="n">
        <v>2027</v>
      </c>
      <c r="C15" s="0" t="s">
        <v>458</v>
      </c>
      <c r="D15" s="15" t="n">
        <f aca="false">rc_kla27</f>
        <v>190</v>
      </c>
      <c r="E15" s="15" t="n">
        <f aca="false">Mkt!E98</f>
        <v>197.265652542156</v>
      </c>
      <c r="F15" s="16" t="n">
        <f aca="false">E15/D15-1</f>
        <v>0.0382402765376624</v>
      </c>
      <c r="G15" s="15" t="n">
        <f aca="false">Mkt!E117</f>
        <v>197.265652542156</v>
      </c>
      <c r="H15" s="16" t="n">
        <f aca="false">G15/D15-1</f>
        <v>0.0382402765376624</v>
      </c>
      <c r="I15" s="15" t="n">
        <f aca="false">Mkt!E136</f>
        <v>197.265652542156</v>
      </c>
      <c r="J15" s="16" t="n">
        <f aca="false">I15/D15-1</f>
        <v>0.0382402765376624</v>
      </c>
      <c r="K15" s="0" t="str">
        <f aca="false">IF(ABS(F15)&gt;rc_thr,"超過門檻","")</f>
        <v/>
      </c>
    </row>
    <row r="16" customFormat="false" ht="15" hidden="false" customHeight="false" outlineLevel="0" collapsed="false">
      <c r="A16" s="8" t="s">
        <v>441</v>
      </c>
      <c r="B16" s="0" t="n">
        <v>2027</v>
      </c>
      <c r="C16" s="0" t="s">
        <v>459</v>
      </c>
      <c r="D16" s="15" t="n">
        <f aca="false">rc_lam27</f>
        <v>200</v>
      </c>
      <c r="E16" s="15" t="n">
        <f aca="false">Mkt!E98</f>
        <v>197.265652542156</v>
      </c>
      <c r="F16" s="16" t="n">
        <f aca="false">E16/D16-1</f>
        <v>-0.0136717372892207</v>
      </c>
      <c r="G16" s="15" t="n">
        <f aca="false">Mkt!E117</f>
        <v>197.265652542156</v>
      </c>
      <c r="H16" s="16" t="n">
        <f aca="false">G16/D16-1</f>
        <v>-0.0136717372892207</v>
      </c>
      <c r="I16" s="15" t="n">
        <f aca="false">Mkt!E136</f>
        <v>197.265652542156</v>
      </c>
      <c r="J16" s="16" t="n">
        <f aca="false">I16/D16-1</f>
        <v>-0.0136717372892207</v>
      </c>
      <c r="K16" s="0" t="str">
        <f aca="false">IF(ABS(F16)&gt;rc_thr,"超過門檻","")</f>
        <v/>
      </c>
      <c r="L16" s="8" t="s">
        <v>460</v>
      </c>
    </row>
    <row r="17" customFormat="false" ht="15" hidden="false" customHeight="false" outlineLevel="0" collapsed="false">
      <c r="A17" s="8" t="s">
        <v>441</v>
      </c>
      <c r="B17" s="0" t="n">
        <v>2027</v>
      </c>
      <c r="C17" s="0" t="s">
        <v>461</v>
      </c>
      <c r="D17" s="15" t="n">
        <f aca="false">rc_ms27</f>
        <v>202</v>
      </c>
      <c r="E17" s="15" t="n">
        <f aca="false">Mkt!E98</f>
        <v>197.265652542156</v>
      </c>
      <c r="F17" s="16" t="n">
        <f aca="false">E17/D17-1</f>
        <v>-0.0234373636526938</v>
      </c>
      <c r="G17" s="15" t="n">
        <f aca="false">Mkt!E117</f>
        <v>197.265652542156</v>
      </c>
      <c r="H17" s="16" t="n">
        <f aca="false">G17/D17-1</f>
        <v>-0.0234373636526938</v>
      </c>
      <c r="I17" s="15" t="n">
        <f aca="false">Mkt!E136</f>
        <v>197.265652542156</v>
      </c>
      <c r="J17" s="16" t="n">
        <f aca="false">I17/D17-1</f>
        <v>-0.0234373636526938</v>
      </c>
      <c r="K17" s="0" t="str">
        <f aca="false">IF(ABS(F17)&gt;rc_thr,"超過門檻","")</f>
        <v/>
      </c>
      <c r="L17" s="12" t="s">
        <v>462</v>
      </c>
    </row>
    <row r="18" customFormat="false" ht="15" hidden="false" customHeight="false" outlineLevel="0" collapsed="false">
      <c r="A18" s="8" t="s">
        <v>441</v>
      </c>
      <c r="B18" s="0" t="n">
        <v>2028</v>
      </c>
      <c r="C18" s="0" t="s">
        <v>461</v>
      </c>
      <c r="D18" s="15" t="n">
        <f aca="false">rc_ms28</f>
        <v>227</v>
      </c>
      <c r="E18" s="15" t="n">
        <f aca="false">Mkt!F98</f>
        <v>220.865733099033</v>
      </c>
      <c r="F18" s="16" t="n">
        <f aca="false">E18/D18-1</f>
        <v>-0.027023202206905</v>
      </c>
      <c r="G18" s="15" t="n">
        <f aca="false">Mkt!F117</f>
        <v>197.265652542156</v>
      </c>
      <c r="H18" s="16" t="n">
        <f aca="false">G18/D18-1</f>
        <v>-0.130988314792265</v>
      </c>
      <c r="I18" s="15" t="n">
        <f aca="false">Mkt!F136</f>
        <v>157.812522033725</v>
      </c>
      <c r="J18" s="16" t="n">
        <f aca="false">I18/D18-1</f>
        <v>-0.304790651833812</v>
      </c>
      <c r="K18" s="0" t="str">
        <f aca="false">IF(ABS(F18)&gt;rc_thr,"超過門檻","")</f>
        <v/>
      </c>
      <c r="L18" s="12" t="s">
        <v>463</v>
      </c>
    </row>
    <row r="19" customFormat="false" ht="15" hidden="false" customHeight="false" outlineLevel="0" collapsed="false">
      <c r="A19" s="8" t="s">
        <v>441</v>
      </c>
      <c r="B19" s="0" t="n">
        <v>2026</v>
      </c>
      <c r="C19" s="0" t="s">
        <v>464</v>
      </c>
      <c r="D19" s="15" t="n">
        <f aca="false">rc_gs26</f>
        <v>150</v>
      </c>
      <c r="E19" s="15" t="n">
        <f aca="false">Mkt!D98</f>
        <v>159.588828597269</v>
      </c>
      <c r="F19" s="16" t="n">
        <f aca="false">E19/D19-1</f>
        <v>0.0639255239817949</v>
      </c>
      <c r="G19" s="15" t="n">
        <f aca="false">Mkt!D117</f>
        <v>159.588828597269</v>
      </c>
      <c r="H19" s="16" t="n">
        <f aca="false">G19/D19-1</f>
        <v>0.0639255239817949</v>
      </c>
      <c r="I19" s="15" t="n">
        <f aca="false">Mkt!D136</f>
        <v>159.588828597269</v>
      </c>
      <c r="J19" s="16" t="n">
        <f aca="false">I19/D19-1</f>
        <v>0.0639255239817949</v>
      </c>
      <c r="K19" s="0" t="str">
        <f aca="false">IF(ABS(F19)&gt;rc_thr,"超過門檻","")</f>
        <v/>
      </c>
    </row>
    <row r="20" customFormat="false" ht="15" hidden="false" customHeight="false" outlineLevel="0" collapsed="false">
      <c r="A20" s="8" t="s">
        <v>441</v>
      </c>
      <c r="B20" s="0" t="n">
        <v>2027</v>
      </c>
      <c r="C20" s="0" t="s">
        <v>464</v>
      </c>
      <c r="D20" s="15" t="n">
        <f aca="false">rc_gs27</f>
        <v>218</v>
      </c>
      <c r="E20" s="15" t="n">
        <f aca="false">Mkt!E98</f>
        <v>197.265652542156</v>
      </c>
      <c r="F20" s="16" t="n">
        <f aca="false">E20/D20-1</f>
        <v>-0.095111685586441</v>
      </c>
      <c r="G20" s="15" t="n">
        <f aca="false">Mkt!E117</f>
        <v>197.265652542156</v>
      </c>
      <c r="H20" s="16" t="n">
        <f aca="false">G20/D20-1</f>
        <v>-0.095111685586441</v>
      </c>
      <c r="I20" s="15" t="n">
        <f aca="false">Mkt!E136</f>
        <v>197.265652542156</v>
      </c>
      <c r="J20" s="16" t="n">
        <f aca="false">I20/D20-1</f>
        <v>-0.095111685586441</v>
      </c>
      <c r="K20" s="0" t="str">
        <f aca="false">IF(ABS(F20)&gt;rc_thr,"超過門檻","")</f>
        <v/>
      </c>
    </row>
    <row r="21" customFormat="false" ht="15" hidden="false" customHeight="false" outlineLevel="0" collapsed="false">
      <c r="A21" s="8" t="s">
        <v>441</v>
      </c>
      <c r="B21" s="0" t="n">
        <v>2028</v>
      </c>
      <c r="C21" s="0" t="s">
        <v>464</v>
      </c>
      <c r="D21" s="15" t="n">
        <f aca="false">rc_gs28</f>
        <v>281</v>
      </c>
      <c r="E21" s="15" t="n">
        <f aca="false">Mkt!F98</f>
        <v>220.865733099033</v>
      </c>
      <c r="F21" s="16" t="n">
        <f aca="false">E21/D21-1</f>
        <v>-0.214000949825507</v>
      </c>
      <c r="G21" s="15" t="n">
        <f aca="false">Mkt!F117</f>
        <v>197.265652542156</v>
      </c>
      <c r="H21" s="16" t="n">
        <f aca="false">G21/D21-1</f>
        <v>-0.297987001629339</v>
      </c>
      <c r="I21" s="15" t="n">
        <f aca="false">Mkt!F136</f>
        <v>157.812522033725</v>
      </c>
      <c r="J21" s="16" t="n">
        <f aca="false">I21/D21-1</f>
        <v>-0.438389601303471</v>
      </c>
      <c r="K21" s="0" t="str">
        <f aca="false">IF(ABS(F21)&gt;rc_thr,"超過門檻","")</f>
        <v>超過門檻</v>
      </c>
    </row>
    <row r="23" customFormat="false" ht="15" hidden="false" customHeight="false" outlineLevel="0" collapsed="false">
      <c r="A23" s="7" t="s">
        <v>465</v>
      </c>
    </row>
    <row r="24" customFormat="false" ht="15" hidden="false" customHeight="false" outlineLevel="0" collapsed="false">
      <c r="A24" s="0" t="s">
        <v>466</v>
      </c>
      <c r="D24" s="22" t="n">
        <f aca="false">Mkt!D41+Mkt!D42+Mkt!D43+Mkt!D47-Mkt!D44</f>
        <v>0</v>
      </c>
    </row>
    <row r="25" customFormat="false" ht="15" hidden="false" customHeight="false" outlineLevel="0" collapsed="false">
      <c r="A25" s="8" t="s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7" min="2" style="0" width="12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0" t="s">
        <v>468</v>
      </c>
    </row>
    <row r="3" customFormat="false" ht="15" hidden="false" customHeight="false" outlineLevel="0" collapsed="false">
      <c r="A3" s="4" t="s">
        <v>469</v>
      </c>
      <c r="B3" s="23" t="s">
        <v>470</v>
      </c>
      <c r="C3" s="4" t="s">
        <v>471</v>
      </c>
      <c r="D3" s="23" t="s">
        <v>472</v>
      </c>
      <c r="E3" s="4" t="s">
        <v>471</v>
      </c>
      <c r="F3" s="23" t="s">
        <v>473</v>
      </c>
      <c r="G3" s="4" t="s">
        <v>471</v>
      </c>
      <c r="H3" s="4" t="s">
        <v>323</v>
      </c>
    </row>
    <row r="4" customFormat="false" ht="15" hidden="false" customHeight="false" outlineLevel="0" collapsed="false">
      <c r="A4" s="8" t="s">
        <v>59</v>
      </c>
      <c r="B4" s="15" t="n">
        <f aca="false">((cap_sk_27*1000/fx*sh_sk+cap_mu_27*sh_mu_27+cap_ss_27*1000/fx*sh_ss)+(MAX(Mkt!$C$41-(cap_sk_25*1000/fx*sh_sk+cap_mu_25*sh_mu_25+cap_ssds_25*ss_mem*1000/fx*sh_ss)*Mkt!$C$49,0)+0*Mkt!$C$49)*(1+g_oth_dram)^2+(MAX(Mkt!$C$42-(cap_sk_25*1000/fx*sh_sk+cap_mu_25*sh_mu_25+cap_ssds_25*ss_mem*1000/fx*sh_ss)*(1-Mkt!$C$49),0)+0*(1-Mkt!$C$49))*(1+g_oth_nand)^2)+(cap_ts_27*sh_fd+MAX(Mkt!$C$43-cap_ts_25*sh_fd,0)*(1+g_oth_fd)^2)+Mkt!E50*(((cap_sk_27*1000/fx*sh_sk+cap_mu_27*sh_mu_27+cap_ss_27*1000/fx*sh_ss)+(MAX(Mkt!$C$41-(cap_sk_25*1000/fx*sh_sk+cap_mu_25*sh_mu_25+cap_ssds_25*ss_mem*1000/fx*sh_ss)*Mkt!$C$49,0)+0*Mkt!$C$49)*(1+g_oth_dram)^2+(MAX(Mkt!$C$42-(cap_sk_25*1000/fx*sh_sk+cap_mu_25*sh_mu_25+cap_ssds_25*ss_mem*1000/fx*sh_ss)*(1-Mkt!$C$49),0)+0*(1-Mkt!$C$49))*(1+g_oth_nand)^2)+(cap_ts_27*sh_fd+MAX(Mkt!$C$43-cap_ts_25*sh_fd,0)*(1+g_oth_fd)^2))+Mkt!E87+Mkt!E88</f>
        <v>222.695718924677</v>
      </c>
      <c r="C4" s="16" t="n">
        <f aca="false">B4/B$4-1</f>
        <v>0</v>
      </c>
      <c r="D4" s="15" t="n">
        <f aca="false">((cap_sk_28*1000/fx*sh_sk+cap_mu_28*sh_mu_27+cap_ss_28*1000/fx*sh_ss)+(MAX(Mkt!$C$41-(cap_sk_25*1000/fx*sh_sk+cap_mu_25*sh_mu_25+cap_ssds_25*ss_mem*1000/fx*sh_ss)*Mkt!$C$49,0)+0*Mkt!$C$49)*(1+g_oth_dram)^3+(MAX(Mkt!$C$42-(cap_sk_25*1000/fx*sh_sk+cap_mu_25*sh_mu_25+cap_ssds_25*ss_mem*1000/fx*sh_ss)*(1-Mkt!$C$49),0)+0*(1-Mkt!$C$49))*(1+g_oth_nand)^3)+(cap_ts_28*sh_fd+MAX(Mkt!$C$43-cap_ts_25*sh_fd,0)*(1+g_oth_fd)^3)+Mkt!F50*(((cap_sk_28*1000/fx*sh_sk+cap_mu_28*sh_mu_27+cap_ss_28*1000/fx*sh_ss)+(MAX(Mkt!$C$41-(cap_sk_25*1000/fx*sh_sk+cap_mu_25*sh_mu_25+cap_ssds_25*ss_mem*1000/fx*sh_ss)*Mkt!$C$49,0)+0*Mkt!$C$49)*(1+g_oth_dram)^3+(MAX(Mkt!$C$42-(cap_sk_25*1000/fx*sh_sk+cap_mu_25*sh_mu_25+cap_ssds_25*ss_mem*1000/fx*sh_ss)*(1-Mkt!$C$49),0)+0*(1-Mkt!$C$49))*(1+g_oth_nand)^3)+(cap_ts_28*sh_fd+MAX(Mkt!$C$43-cap_ts_25*sh_fd,0)*(1+g_oth_fd)^3))+Mkt!F87+Mkt!F88</f>
        <v>250.265733099033</v>
      </c>
      <c r="E4" s="16" t="n">
        <f aca="false">D4/D$4-1</f>
        <v>0</v>
      </c>
      <c r="F4" s="15" t="n">
        <f aca="false">((cap_sk_29*1000/fx*sh_sk+cap_mu_29*sh_mu_27+cap_ss_29*1000/fx*sh_ss)+(MAX(Mkt!$C$41-(cap_sk_25*1000/fx*sh_sk+cap_mu_25*sh_mu_25+cap_ssds_25*ss_mem*1000/fx*sh_ss)*Mkt!$C$49,0)+0*Mkt!$C$49)*(1+g_oth_dram)^4+(MAX(Mkt!$C$42-(cap_sk_25*1000/fx*sh_sk+cap_mu_25*sh_mu_25+cap_ssds_25*ss_mem*1000/fx*sh_ss)*(1-Mkt!$C$49),0)+0*(1-Mkt!$C$49))*(1+g_oth_nand)^4)+(cap_ts_29*sh_fd+MAX(Mkt!$C$43-cap_ts_25*sh_fd,0)*(1+g_oth_fd)^4)+Mkt!G50*(((cap_sk_29*1000/fx*sh_sk+cap_mu_29*sh_mu_27+cap_ss_29*1000/fx*sh_ss)+(MAX(Mkt!$C$41-(cap_sk_25*1000/fx*sh_sk+cap_mu_25*sh_mu_25+cap_ssds_25*ss_mem*1000/fx*sh_ss)*Mkt!$C$49,0)+0*Mkt!$C$49)*(1+g_oth_dram)^4+(MAX(Mkt!$C$42-(cap_sk_25*1000/fx*sh_sk+cap_mu_25*sh_mu_25+cap_ssds_25*ss_mem*1000/fx*sh_ss)*(1-Mkt!$C$49),0)+0*(1-Mkt!$C$49))*(1+g_oth_nand)^4)+(cap_ts_29*sh_fd+MAX(Mkt!$C$43-cap_ts_25*sh_fd,0)*(1+g_oth_fd)^4))+Mkt!G87+Mkt!G88</f>
        <v>262.607401238429</v>
      </c>
      <c r="G4" s="16" t="n">
        <f aca="false">F4/F$4-1</f>
        <v>0</v>
      </c>
      <c r="H4" s="8" t="s">
        <v>474</v>
      </c>
    </row>
    <row r="5" customFormat="false" ht="15" hidden="false" customHeight="false" outlineLevel="0" collapsed="false">
      <c r="A5" s="0" t="s">
        <v>475</v>
      </c>
      <c r="B5" s="15" t="n">
        <f aca="false">((cap_sk_27*1000/fx*sh_sk_lo+cap_mu_27*sh_mu_27+cap_ss_27*1000/fx*sh_ss)+(MAX(Mkt!$C$41-(cap_sk_25*1000/fx*sh_sk_lo+cap_mu_25*sh_mu_25+cap_ssds_25*ss_mem*1000/fx*sh_ss)*Mkt!$C$49,0)+0*Mkt!$C$49)*(1+g_oth_dram)^2+(MAX(Mkt!$C$42-(cap_sk_25*1000/fx*sh_sk_lo+cap_mu_25*sh_mu_25+cap_ssds_25*ss_mem*1000/fx*sh_ss)*(1-Mkt!$C$49),0)+0*(1-Mkt!$C$49))*(1+g_oth_nand)^2)+(cap_ts_27*sh_fd+MAX(Mkt!$C$43-cap_ts_25*sh_fd,0)*(1+g_oth_fd)^2)+Mkt!E50*(((cap_sk_27*1000/fx*sh_sk_lo+cap_mu_27*sh_mu_27+cap_ss_27*1000/fx*sh_ss)+(MAX(Mkt!$C$41-(cap_sk_25*1000/fx*sh_sk_lo+cap_mu_25*sh_mu_25+cap_ssds_25*ss_mem*1000/fx*sh_ss)*Mkt!$C$49,0)+0*Mkt!$C$49)*(1+g_oth_dram)^2+(MAX(Mkt!$C$42-(cap_sk_25*1000/fx*sh_sk_lo+cap_mu_25*sh_mu_25+cap_ssds_25*ss_mem*1000/fx*sh_ss)*(1-Mkt!$C$49),0)+0*(1-Mkt!$C$49))*(1+g_oth_nand)^2)+(cap_ts_27*sh_fd+MAX(Mkt!$C$43-cap_ts_25*sh_fd,0)*(1+g_oth_fd)^2))+Mkt!E87+Mkt!E88</f>
        <v>221.735388100463</v>
      </c>
      <c r="C5" s="16" t="n">
        <f aca="false">B5/B$4-1</f>
        <v>-0.00431230033900787</v>
      </c>
      <c r="D5" s="15" t="n">
        <f aca="false">((cap_sk_28*1000/fx*sh_sk_lo+cap_mu_28*sh_mu_27+cap_ss_28*1000/fx*sh_ss)+(MAX(Mkt!$C$41-(cap_sk_25*1000/fx*sh_sk_lo+cap_mu_25*sh_mu_25+cap_ssds_25*ss_mem*1000/fx*sh_ss)*Mkt!$C$49,0)+0*Mkt!$C$49)*(1+g_oth_dram)^3+(MAX(Mkt!$C$42-(cap_sk_25*1000/fx*sh_sk_lo+cap_mu_25*sh_mu_25+cap_ssds_25*ss_mem*1000/fx*sh_ss)*(1-Mkt!$C$49),0)+0*(1-Mkt!$C$49))*(1+g_oth_nand)^3)+(cap_ts_28*sh_fd+MAX(Mkt!$C$43-cap_ts_25*sh_fd,0)*(1+g_oth_fd)^3)+Mkt!F50*(((cap_sk_28*1000/fx*sh_sk_lo+cap_mu_28*sh_mu_27+cap_ss_28*1000/fx*sh_ss)+(MAX(Mkt!$C$41-(cap_sk_25*1000/fx*sh_sk_lo+cap_mu_25*sh_mu_25+cap_ssds_25*ss_mem*1000/fx*sh_ss)*Mkt!$C$49,0)+0*Mkt!$C$49)*(1+g_oth_dram)^3+(MAX(Mkt!$C$42-(cap_sk_25*1000/fx*sh_sk_lo+cap_mu_25*sh_mu_25+cap_ssds_25*ss_mem*1000/fx*sh_ss)*(1-Mkt!$C$49),0)+0*(1-Mkt!$C$49))*(1+g_oth_nand)^3)+(cap_ts_28*sh_fd+MAX(Mkt!$C$43-cap_ts_25*sh_fd,0)*(1+g_oth_fd)^3))+Mkt!F87+Mkt!F88</f>
        <v>249.242283872286</v>
      </c>
      <c r="E5" s="16" t="n">
        <f aca="false">D5/D$4-1</f>
        <v>-0.00408945009799555</v>
      </c>
      <c r="F5" s="15" t="n">
        <f aca="false">((cap_sk_29*1000/fx*sh_sk_lo+cap_mu_29*sh_mu_27+cap_ss_29*1000/fx*sh_ss)+(MAX(Mkt!$C$41-(cap_sk_25*1000/fx*sh_sk_lo+cap_mu_25*sh_mu_25+cap_ssds_25*ss_mem*1000/fx*sh_ss)*Mkt!$C$49,0)+0*Mkt!$C$49)*(1+g_oth_dram)^4+(MAX(Mkt!$C$42-(cap_sk_25*1000/fx*sh_sk_lo+cap_mu_25*sh_mu_25+cap_ssds_25*ss_mem*1000/fx*sh_ss)*(1-Mkt!$C$49),0)+0*(1-Mkt!$C$49))*(1+g_oth_nand)^4)+(cap_ts_29*sh_fd+MAX(Mkt!$C$43-cap_ts_25*sh_fd,0)*(1+g_oth_fd)^4)+Mkt!G50*(((cap_sk_29*1000/fx*sh_sk_lo+cap_mu_29*sh_mu_27+cap_ss_29*1000/fx*sh_ss)+(MAX(Mkt!$C$41-(cap_sk_25*1000/fx*sh_sk_lo+cap_mu_25*sh_mu_25+cap_ssds_25*ss_mem*1000/fx*sh_ss)*Mkt!$C$49,0)+0*Mkt!$C$49)*(1+g_oth_dram)^4+(MAX(Mkt!$C$42-(cap_sk_25*1000/fx*sh_sk_lo+cap_mu_25*sh_mu_25+cap_ssds_25*ss_mem*1000/fx*sh_ss)*(1-Mkt!$C$49),0)+0*(1-Mkt!$C$49))*(1+g_oth_nand)^4)+(cap_ts_29*sh_fd+MAX(Mkt!$C$43-cap_ts_25*sh_fd,0)*(1+g_oth_fd)^4))+Mkt!G87+Mkt!G88</f>
        <v>261.827313765721</v>
      </c>
      <c r="G5" s="16" t="n">
        <f aca="false">F5/F$4-1</f>
        <v>-0.00297054640893357</v>
      </c>
    </row>
    <row r="6" customFormat="false" ht="15" hidden="false" customHeight="false" outlineLevel="0" collapsed="false">
      <c r="A6" s="0" t="s">
        <v>476</v>
      </c>
      <c r="B6" s="15" t="n">
        <f aca="false">((cap_sk_27*1000/fx*sh_sk_hi+cap_mu_27*sh_mu_27+cap_ss_27*1000/fx*sh_ss)+(MAX(Mkt!$C$41-(cap_sk_25*1000/fx*sh_sk_hi+cap_mu_25*sh_mu_25+cap_ssds_25*ss_mem*1000/fx*sh_ss)*Mkt!$C$49,0)+0*Mkt!$C$49)*(1+g_oth_dram)^2+(MAX(Mkt!$C$42-(cap_sk_25*1000/fx*sh_sk_hi+cap_mu_25*sh_mu_25+cap_ssds_25*ss_mem*1000/fx*sh_ss)*(1-Mkt!$C$49),0)+0*(1-Mkt!$C$49))*(1+g_oth_nand)^2)+(cap_ts_27*sh_fd+MAX(Mkt!$C$43-cap_ts_25*sh_fd,0)*(1+g_oth_fd)^2)+Mkt!E50*(((cap_sk_27*1000/fx*sh_sk_hi+cap_mu_27*sh_mu_27+cap_ss_27*1000/fx*sh_ss)+(MAX(Mkt!$C$41-(cap_sk_25*1000/fx*sh_sk_hi+cap_mu_25*sh_mu_25+cap_ssds_25*ss_mem*1000/fx*sh_ss)*Mkt!$C$49,0)+0*Mkt!$C$49)*(1+g_oth_dram)^2+(MAX(Mkt!$C$42-(cap_sk_25*1000/fx*sh_sk_hi+cap_mu_25*sh_mu_25+cap_ssds_25*ss_mem*1000/fx*sh_ss)*(1-Mkt!$C$49),0)+0*(1-Mkt!$C$49))*(1+g_oth_nand)^2)+(cap_ts_27*sh_fd+MAX(Mkt!$C$43-cap_ts_25*sh_fd,0)*(1+g_oth_fd)^2))+Mkt!E87+Mkt!E88</f>
        <v>225.573545462276</v>
      </c>
      <c r="C6" s="16" t="n">
        <f aca="false">B6/B$4-1</f>
        <v>0.0129226846007409</v>
      </c>
      <c r="D6" s="15" t="n">
        <f aca="false">((cap_sk_28*1000/fx*sh_sk_hi+cap_mu_28*sh_mu_27+cap_ss_28*1000/fx*sh_ss)+(MAX(Mkt!$C$41-(cap_sk_25*1000/fx*sh_sk_hi+cap_mu_25*sh_mu_25+cap_ssds_25*ss_mem*1000/fx*sh_ss)*Mkt!$C$49,0)+0*Mkt!$C$49)*(1+g_oth_dram)^3+(MAX(Mkt!$C$42-(cap_sk_25*1000/fx*sh_sk_hi+cap_mu_25*sh_mu_25+cap_ssds_25*ss_mem*1000/fx*sh_ss)*(1-Mkt!$C$49),0)+0*(1-Mkt!$C$49))*(1+g_oth_nand)^3)+(cap_ts_28*sh_fd+MAX(Mkt!$C$43-cap_ts_25*sh_fd,0)*(1+g_oth_fd)^3)+Mkt!F50*(((cap_sk_28*1000/fx*sh_sk_hi+cap_mu_28*sh_mu_27+cap_ss_28*1000/fx*sh_ss)+(MAX(Mkt!$C$41-(cap_sk_25*1000/fx*sh_sk_hi+cap_mu_25*sh_mu_25+cap_ssds_25*ss_mem*1000/fx*sh_ss)*Mkt!$C$49,0)+0*Mkt!$C$49)*(1+g_oth_dram)^3+(MAX(Mkt!$C$42-(cap_sk_25*1000/fx*sh_sk_hi+cap_mu_25*sh_mu_25+cap_ssds_25*ss_mem*1000/fx*sh_ss)*(1-Mkt!$C$49),0)+0*(1-Mkt!$C$49))*(1+g_oth_nand)^3)+(cap_ts_28*sh_fd+MAX(Mkt!$C$43-cap_ts_25*sh_fd,0)*(1+g_oth_fd)^3))+Mkt!F87+Mkt!F88</f>
        <v>253.551827267573</v>
      </c>
      <c r="E6" s="16" t="n">
        <f aca="false">D6/D$4-1</f>
        <v>0.0131304199254478</v>
      </c>
      <c r="F6" s="15" t="n">
        <f aca="false">((cap_sk_29*1000/fx*sh_sk_hi+cap_mu_29*sh_mu_27+cap_ss_29*1000/fx*sh_ss)+(MAX(Mkt!$C$41-(cap_sk_25*1000/fx*sh_sk_hi+cap_mu_25*sh_mu_25+cap_ssds_25*ss_mem*1000/fx*sh_ss)*Mkt!$C$49,0)+0*Mkt!$C$49)*(1+g_oth_dram)^4+(MAX(Mkt!$C$42-(cap_sk_25*1000/fx*sh_sk_hi+cap_mu_25*sh_mu_25+cap_ssds_25*ss_mem*1000/fx*sh_ss)*(1-Mkt!$C$49),0)+0*(1-Mkt!$C$49))*(1+g_oth_nand)^4)+(cap_ts_29*sh_fd+MAX(Mkt!$C$43-cap_ts_25*sh_fd,0)*(1+g_oth_fd)^4)+Mkt!G50*(((cap_sk_29*1000/fx*sh_sk_hi+cap_mu_29*sh_mu_27+cap_ss_29*1000/fx*sh_ss)+(MAX(Mkt!$C$41-(cap_sk_25*1000/fx*sh_sk_hi+cap_mu_25*sh_mu_25+cap_ssds_25*ss_mem*1000/fx*sh_ss)*Mkt!$C$49,0)+0*Mkt!$C$49)*(1+g_oth_dram)^4+(MAX(Mkt!$C$42-(cap_sk_25*1000/fx*sh_sk_hi+cap_mu_25*sh_mu_25+cap_ssds_25*ss_mem*1000/fx*sh_ss)*(1-Mkt!$C$49),0)+0*(1-Mkt!$C$49))*(1+g_oth_nand)^4)+(cap_ts_29*sh_fd+MAX(Mkt!$C$43-cap_ts_25*sh_fd,0)*(1+g_oth_fd)^4))+Mkt!G87+Mkt!G88</f>
        <v>266.057409742454</v>
      </c>
      <c r="G6" s="16" t="n">
        <f aca="false">F6/F$4-1</f>
        <v>0.0131375143570014</v>
      </c>
    </row>
    <row r="7" customFormat="false" ht="15" hidden="false" customHeight="false" outlineLevel="0" collapsed="false">
      <c r="A7" s="8" t="s">
        <v>477</v>
      </c>
      <c r="B7" s="15" t="n">
        <f aca="false">((cap_sk_27*1000/fx*sh_sk+cap_mu_27*sh_mu_27+cap_ss_27*1000/fx*sh_ss_lo)+(MAX(Mkt!$C$41-(cap_sk_25*1000/fx*sh_sk+cap_mu_25*sh_mu_25+cap_ssds_25*ss_mem*1000/fx*sh_ss_lo)*Mkt!$C$49,0)+0*Mkt!$C$49)*(1+g_oth_dram)^2+(MAX(Mkt!$C$42-(cap_sk_25*1000/fx*sh_sk+cap_mu_25*sh_mu_25+cap_ssds_25*ss_mem*1000/fx*sh_ss_lo)*(1-Mkt!$C$49),0)+0*(1-Mkt!$C$49))*(1+g_oth_nand)^2)+(cap_ts_27*sh_fd+MAX(Mkt!$C$43-cap_ts_25*sh_fd,0)*(1+g_oth_fd)^2)+Mkt!E50*(((cap_sk_27*1000/fx*sh_sk+cap_mu_27*sh_mu_27+cap_ss_27*1000/fx*sh_ss_lo)+(MAX(Mkt!$C$41-(cap_sk_25*1000/fx*sh_sk+cap_mu_25*sh_mu_25+cap_ssds_25*ss_mem*1000/fx*sh_ss_lo)*Mkt!$C$49,0)+0*Mkt!$C$49)*(1+g_oth_dram)^2+(MAX(Mkt!$C$42-(cap_sk_25*1000/fx*sh_sk+cap_mu_25*sh_mu_25+cap_ssds_25*ss_mem*1000/fx*sh_ss_lo)*(1-Mkt!$C$49),0)+0*(1-Mkt!$C$49))*(1+g_oth_nand)^2)+(cap_ts_27*sh_fd+MAX(Mkt!$C$43-cap_ts_25*sh_fd,0)*(1+g_oth_fd)^2))+Mkt!E87+Mkt!E88</f>
        <v>222.202701847442</v>
      </c>
      <c r="C7" s="16" t="n">
        <f aca="false">B7/B$4-1</f>
        <v>-0.00221385969885912</v>
      </c>
      <c r="D7" s="15" t="n">
        <f aca="false">((cap_sk_28*1000/fx*sh_sk+cap_mu_28*sh_mu_27+cap_ss_28*1000/fx*sh_ss_lo)+(MAX(Mkt!$C$41-(cap_sk_25*1000/fx*sh_sk+cap_mu_25*sh_mu_25+cap_ssds_25*ss_mem*1000/fx*sh_ss_lo)*Mkt!$C$49,0)+0*Mkt!$C$49)*(1+g_oth_dram)^3+(MAX(Mkt!$C$42-(cap_sk_25*1000/fx*sh_sk+cap_mu_25*sh_mu_25+cap_ssds_25*ss_mem*1000/fx*sh_ss_lo)*(1-Mkt!$C$49),0)+0*(1-Mkt!$C$49))*(1+g_oth_nand)^3)+(cap_ts_28*sh_fd+MAX(Mkt!$C$43-cap_ts_25*sh_fd,0)*(1+g_oth_fd)^3)+Mkt!F50*(((cap_sk_28*1000/fx*sh_sk+cap_mu_28*sh_mu_27+cap_ss_28*1000/fx*sh_ss_lo)+(MAX(Mkt!$C$41-(cap_sk_25*1000/fx*sh_sk+cap_mu_25*sh_mu_25+cap_ssds_25*ss_mem*1000/fx*sh_ss_lo)*Mkt!$C$49,0)+0*Mkt!$C$49)*(1+g_oth_dram)^3+(MAX(Mkt!$C$42-(cap_sk_25*1000/fx*sh_sk+cap_mu_25*sh_mu_25+cap_ssds_25*ss_mem*1000/fx*sh_ss_lo)*(1-Mkt!$C$49),0)+0*(1-Mkt!$C$49))*(1+g_oth_nand)^3)+(cap_ts_28*sh_fd+MAX(Mkt!$C$43-cap_ts_25*sh_fd,0)*(1+g_oth_fd)^3))+Mkt!F87+Mkt!F88</f>
        <v>249.911612316938</v>
      </c>
      <c r="E7" s="16" t="n">
        <f aca="false">D7/D$4-1</f>
        <v>-0.00141497910125321</v>
      </c>
      <c r="F7" s="15" t="n">
        <f aca="false">((cap_sk_29*1000/fx*sh_sk+cap_mu_29*sh_mu_27+cap_ss_29*1000/fx*sh_ss_lo)+(MAX(Mkt!$C$41-(cap_sk_25*1000/fx*sh_sk+cap_mu_25*sh_mu_25+cap_ssds_25*ss_mem*1000/fx*sh_ss_lo)*Mkt!$C$49,0)+0*Mkt!$C$49)*(1+g_oth_dram)^4+(MAX(Mkt!$C$42-(cap_sk_25*1000/fx*sh_sk+cap_mu_25*sh_mu_25+cap_ssds_25*ss_mem*1000/fx*sh_ss_lo)*(1-Mkt!$C$49),0)+0*(1-Mkt!$C$49))*(1+g_oth_nand)^4)+(cap_ts_29*sh_fd+MAX(Mkt!$C$43-cap_ts_25*sh_fd,0)*(1+g_oth_fd)^4)+Mkt!G50*(((cap_sk_29*1000/fx*sh_sk+cap_mu_29*sh_mu_27+cap_ss_29*1000/fx*sh_ss_lo)+(MAX(Mkt!$C$41-(cap_sk_25*1000/fx*sh_sk+cap_mu_25*sh_mu_25+cap_ssds_25*ss_mem*1000/fx*sh_ss_lo)*Mkt!$C$49,0)+0*Mkt!$C$49)*(1+g_oth_dram)^4+(MAX(Mkt!$C$42-(cap_sk_25*1000/fx*sh_sk+cap_mu_25*sh_mu_25+cap_ssds_25*ss_mem*1000/fx*sh_ss_lo)*(1-Mkt!$C$49),0)+0*(1-Mkt!$C$49))*(1+g_oth_nand)^4)+(cap_ts_29*sh_fd+MAX(Mkt!$C$43-cap_ts_25*sh_fd,0)*(1+g_oth_fd)^4))+Mkt!G87+Mkt!G88</f>
        <v>262.752946153939</v>
      </c>
      <c r="G7" s="16" t="n">
        <f aca="false">F7/F$4-1</f>
        <v>0.000554230059106375</v>
      </c>
    </row>
    <row r="8" customFormat="false" ht="15" hidden="false" customHeight="false" outlineLevel="0" collapsed="false">
      <c r="A8" s="8" t="s">
        <v>478</v>
      </c>
      <c r="B8" s="15" t="n">
        <f aca="false">((cap_sk_27*1000/fx*sh_sk+cap_mu_27*sh_mu_27+cap_ss_27*1000/fx*sh_ss_hi)+(MAX(Mkt!$C$41-(cap_sk_25*1000/fx*sh_sk+cap_mu_25*sh_mu_25+cap_ssds_25*ss_mem*1000/fx*sh_ss_hi)*Mkt!$C$49,0)+0*Mkt!$C$49)*(1+g_oth_dram)^2+(MAX(Mkt!$C$42-(cap_sk_25*1000/fx*sh_sk+cap_mu_25*sh_mu_25+cap_ssds_25*ss_mem*1000/fx*sh_ss_hi)*(1-Mkt!$C$49),0)+0*(1-Mkt!$C$49))*(1+g_oth_nand)^2)+(cap_ts_27*sh_fd+MAX(Mkt!$C$43-cap_ts_25*sh_fd,0)*(1+g_oth_fd)^2)+Mkt!E50*(((cap_sk_27*1000/fx*sh_sk+cap_mu_27*sh_mu_27+cap_ss_27*1000/fx*sh_ss_hi)+(MAX(Mkt!$C$41-(cap_sk_25*1000/fx*sh_sk+cap_mu_25*sh_mu_25+cap_ssds_25*ss_mem*1000/fx*sh_ss_hi)*Mkt!$C$49,0)+0*Mkt!$C$49)*(1+g_oth_dram)^2+(MAX(Mkt!$C$42-(cap_sk_25*1000/fx*sh_sk+cap_mu_25*sh_mu_25+cap_ssds_25*ss_mem*1000/fx*sh_ss_hi)*(1-Mkt!$C$49),0)+0*(1-Mkt!$C$49))*(1+g_oth_nand)^2)+(cap_ts_27*sh_fd+MAX(Mkt!$C$43-cap_ts_25*sh_fd,0)*(1+g_oth_fd)^2))+Mkt!E87+Mkt!E88</f>
        <v>225.46446826461</v>
      </c>
      <c r="C8" s="16" t="n">
        <f aca="false">B8/B$4-1</f>
        <v>0.0124328808533078</v>
      </c>
      <c r="D8" s="15" t="n">
        <f aca="false">((cap_sk_28*1000/fx*sh_sk+cap_mu_28*sh_mu_27+cap_ss_28*1000/fx*sh_ss_hi)+(MAX(Mkt!$C$41-(cap_sk_25*1000/fx*sh_sk+cap_mu_25*sh_mu_25+cap_ssds_25*ss_mem*1000/fx*sh_ss_hi)*Mkt!$C$49,0)+0*Mkt!$C$49)*(1+g_oth_dram)^3+(MAX(Mkt!$C$42-(cap_sk_25*1000/fx*sh_sk+cap_mu_25*sh_mu_25+cap_ssds_25*ss_mem*1000/fx*sh_ss_hi)*(1-Mkt!$C$49),0)+0*(1-Mkt!$C$49))*(1+g_oth_nand)^3)+(cap_ts_28*sh_fd+MAX(Mkt!$C$43-cap_ts_25*sh_fd,0)*(1+g_oth_fd)^3)+Mkt!F50*(((cap_sk_28*1000/fx*sh_sk+cap_mu_28*sh_mu_27+cap_ss_28*1000/fx*sh_ss_hi)+(MAX(Mkt!$C$41-(cap_sk_25*1000/fx*sh_sk+cap_mu_25*sh_mu_25+cap_ssds_25*ss_mem*1000/fx*sh_ss_hi)*Mkt!$C$49,0)+0*Mkt!$C$49)*(1+g_oth_dram)^3+(MAX(Mkt!$C$42-(cap_sk_25*1000/fx*sh_sk+cap_mu_25*sh_mu_25+cap_ssds_25*ss_mem*1000/fx*sh_ss_hi)*(1-Mkt!$C$49),0)+0*(1-Mkt!$C$49))*(1+g_oth_nand)^3)+(cap_ts_28*sh_fd+MAX(Mkt!$C$43-cap_ts_25*sh_fd,0)*(1+g_oth_fd)^3))+Mkt!F87+Mkt!F88</f>
        <v>253.305217951109</v>
      </c>
      <c r="E8" s="16" t="n">
        <f aca="false">D8/D$4-1</f>
        <v>0.012145030062402</v>
      </c>
      <c r="F8" s="15" t="n">
        <f aca="false">((cap_sk_29*1000/fx*sh_sk+cap_mu_29*sh_mu_27+cap_ss_29*1000/fx*sh_ss_hi)+(MAX(Mkt!$C$41-(cap_sk_25*1000/fx*sh_sk+cap_mu_25*sh_mu_25+cap_ssds_25*ss_mem*1000/fx*sh_ss_hi)*Mkt!$C$49,0)+0*Mkt!$C$49)*(1+g_oth_dram)^4+(MAX(Mkt!$C$42-(cap_sk_25*1000/fx*sh_sk+cap_mu_25*sh_mu_25+cap_ssds_25*ss_mem*1000/fx*sh_ss_hi)*(1-Mkt!$C$49),0)+0*(1-Mkt!$C$49))*(1+g_oth_nand)^4)+(cap_ts_29*sh_fd+MAX(Mkt!$C$43-cap_ts_25*sh_fd,0)*(1+g_oth_fd)^4)+Mkt!G50*(((cap_sk_29*1000/fx*sh_sk+cap_mu_29*sh_mu_27+cap_ss_29*1000/fx*sh_ss_hi)+(MAX(Mkt!$C$41-(cap_sk_25*1000/fx*sh_sk+cap_mu_25*sh_mu_25+cap_ssds_25*ss_mem*1000/fx*sh_ss_hi)*Mkt!$C$49,0)+0*Mkt!$C$49)*(1+g_oth_dram)^4+(MAX(Mkt!$C$42-(cap_sk_25*1000/fx*sh_sk+cap_mu_25*sh_mu_25+cap_ssds_25*ss_mem*1000/fx*sh_ss_hi)*(1-Mkt!$C$49),0)+0*(1-Mkt!$C$49))*(1+g_oth_nand)^4)+(cap_ts_29*sh_fd+MAX(Mkt!$C$43-cap_ts_25*sh_fd,0)*(1+g_oth_fd)^4))+Mkt!G87+Mkt!G88</f>
        <v>265.630585925497</v>
      </c>
      <c r="G8" s="16" t="n">
        <f aca="false">F8/F$4-1</f>
        <v>0.0115121838638648</v>
      </c>
    </row>
    <row r="9" customFormat="false" ht="15" hidden="false" customHeight="false" outlineLevel="0" collapsed="false">
      <c r="A9" s="8" t="s">
        <v>479</v>
      </c>
      <c r="B9" s="15" t="n">
        <f aca="false">((cap_sk_27*1000/fx*sh_sk+cap_mu_27*sh_mu_27_lo+cap_ss_27*1000/fx*sh_ss)+(MAX(Mkt!$C$41-(cap_sk_25*1000/fx*sh_sk+cap_mu_25*sh_mu_25_lo+cap_ssds_25*ss_mem*1000/fx*sh_ss)*Mkt!$C$49,0)+0*Mkt!$C$49)*(1+g_oth_dram)^2+(MAX(Mkt!$C$42-(cap_sk_25*1000/fx*sh_sk+cap_mu_25*sh_mu_25_lo+cap_ssds_25*ss_mem*1000/fx*sh_ss)*(1-Mkt!$C$49),0)+0*(1-Mkt!$C$49))*(1+g_oth_nand)^2)+(cap_ts_27*sh_fd+MAX(Mkt!$C$43-cap_ts_25*sh_fd,0)*(1+g_oth_fd)^2)+Mkt!E50*(((cap_sk_27*1000/fx*sh_sk+cap_mu_27*sh_mu_27_lo+cap_ss_27*1000/fx*sh_ss)+(MAX(Mkt!$C$41-(cap_sk_25*1000/fx*sh_sk+cap_mu_25*sh_mu_25_lo+cap_ssds_25*ss_mem*1000/fx*sh_ss)*Mkt!$C$49,0)+0*Mkt!$C$49)*(1+g_oth_dram)^2+(MAX(Mkt!$C$42-(cap_sk_25*1000/fx*sh_sk+cap_mu_25*sh_mu_25_lo+cap_ssds_25*ss_mem*1000/fx*sh_ss)*(1-Mkt!$C$49),0)+0*(1-Mkt!$C$49))*(1+g_oth_nand)^2)+(cap_ts_27*sh_fd+MAX(Mkt!$C$43-cap_ts_25*sh_fd,0)*(1+g_oth_fd)^2))+Mkt!E87+Mkt!E88</f>
        <v>219.35987597948</v>
      </c>
      <c r="C9" s="16" t="n">
        <f aca="false">B9/B$4-1</f>
        <v>-0.0149793761698911</v>
      </c>
      <c r="D9" s="15" t="n">
        <f aca="false">((cap_sk_28*1000/fx*sh_sk+cap_mu_28*sh_mu_27_lo+cap_ss_28*1000/fx*sh_ss)+(MAX(Mkt!$C$41-(cap_sk_25*1000/fx*sh_sk+cap_mu_25*sh_mu_25_lo+cap_ssds_25*ss_mem*1000/fx*sh_ss)*Mkt!$C$49,0)+0*Mkt!$C$49)*(1+g_oth_dram)^3+(MAX(Mkt!$C$42-(cap_sk_25*1000/fx*sh_sk+cap_mu_25*sh_mu_25_lo+cap_ssds_25*ss_mem*1000/fx*sh_ss)*(1-Mkt!$C$49),0)+0*(1-Mkt!$C$49))*(1+g_oth_nand)^3)+(cap_ts_28*sh_fd+MAX(Mkt!$C$43-cap_ts_25*sh_fd,0)*(1+g_oth_fd)^3)+Mkt!F50*(((cap_sk_28*1000/fx*sh_sk+cap_mu_28*sh_mu_27_lo+cap_ss_28*1000/fx*sh_ss)+(MAX(Mkt!$C$41-(cap_sk_25*1000/fx*sh_sk+cap_mu_25*sh_mu_25_lo+cap_ssds_25*ss_mem*1000/fx*sh_ss)*Mkt!$C$49,0)+0*Mkt!$C$49)*(1+g_oth_dram)^3+(MAX(Mkt!$C$42-(cap_sk_25*1000/fx*sh_sk+cap_mu_25*sh_mu_25_lo+cap_ssds_25*ss_mem*1000/fx*sh_ss)*(1-Mkt!$C$49),0)+0*(1-Mkt!$C$49))*(1+g_oth_nand)^3)+(cap_ts_28*sh_fd+MAX(Mkt!$C$43-cap_ts_25*sh_fd,0)*(1+g_oth_fd)^3))+Mkt!F87+Mkt!F88</f>
        <v>246.74191621792</v>
      </c>
      <c r="E9" s="16" t="n">
        <f aca="false">D9/D$4-1</f>
        <v>-0.0140803011162479</v>
      </c>
      <c r="F9" s="15" t="n">
        <f aca="false">((cap_sk_29*1000/fx*sh_sk+cap_mu_29*sh_mu_27_lo+cap_ss_29*1000/fx*sh_ss)+(MAX(Mkt!$C$41-(cap_sk_25*1000/fx*sh_sk+cap_mu_25*sh_mu_25_lo+cap_ssds_25*ss_mem*1000/fx*sh_ss)*Mkt!$C$49,0)+0*Mkt!$C$49)*(1+g_oth_dram)^4+(MAX(Mkt!$C$42-(cap_sk_25*1000/fx*sh_sk+cap_mu_25*sh_mu_25_lo+cap_ssds_25*ss_mem*1000/fx*sh_ss)*(1-Mkt!$C$49),0)+0*(1-Mkt!$C$49))*(1+g_oth_nand)^4)+(cap_ts_29*sh_fd+MAX(Mkt!$C$43-cap_ts_25*sh_fd,0)*(1+g_oth_fd)^4)+Mkt!G50*(((cap_sk_29*1000/fx*sh_sk+cap_mu_29*sh_mu_27_lo+cap_ss_29*1000/fx*sh_ss)+(MAX(Mkt!$C$41-(cap_sk_25*1000/fx*sh_sk+cap_mu_25*sh_mu_25_lo+cap_ssds_25*ss_mem*1000/fx*sh_ss)*Mkt!$C$49,0)+0*Mkt!$C$49)*(1+g_oth_dram)^4+(MAX(Mkt!$C$42-(cap_sk_25*1000/fx*sh_sk+cap_mu_25*sh_mu_25_lo+cap_ssds_25*ss_mem*1000/fx*sh_ss)*(1-Mkt!$C$49),0)+0*(1-Mkt!$C$49))*(1+g_oth_nand)^4)+(cap_ts_29*sh_fd+MAX(Mkt!$C$43-cap_ts_25*sh_fd,0)*(1+g_oth_fd)^4))+Mkt!G87+Mkt!G88</f>
        <v>259.358432048832</v>
      </c>
      <c r="G9" s="16" t="n">
        <f aca="false">F9/F$4-1</f>
        <v>-0.0123719635253036</v>
      </c>
    </row>
    <row r="10" customFormat="false" ht="15" hidden="false" customHeight="false" outlineLevel="0" collapsed="false">
      <c r="A10" s="8" t="s">
        <v>480</v>
      </c>
      <c r="B10" s="15" t="n">
        <f aca="false">((cap_sk_27*1000/fx*sh_sk+cap_mu_27*sh_mu_27_hi+cap_ss_27*1000/fx*sh_ss)+(MAX(Mkt!$C$41-(cap_sk_25*1000/fx*sh_sk+cap_mu_25*sh_mu_25_hi+cap_ssds_25*ss_mem*1000/fx*sh_ss)*Mkt!$C$49,0)+0*Mkt!$C$49)*(1+g_oth_dram)^2+(MAX(Mkt!$C$42-(cap_sk_25*1000/fx*sh_sk+cap_mu_25*sh_mu_25_hi+cap_ssds_25*ss_mem*1000/fx*sh_ss)*(1-Mkt!$C$49),0)+0*(1-Mkt!$C$49))*(1+g_oth_nand)^2)+(cap_ts_27*sh_fd+MAX(Mkt!$C$43-cap_ts_25*sh_fd,0)*(1+g_oth_fd)^2)+Mkt!E50*(((cap_sk_27*1000/fx*sh_sk+cap_mu_27*sh_mu_27_hi+cap_ss_27*1000/fx*sh_ss)+(MAX(Mkt!$C$41-(cap_sk_25*1000/fx*sh_sk+cap_mu_25*sh_mu_25_hi+cap_ssds_25*ss_mem*1000/fx*sh_ss)*Mkt!$C$49,0)+0*Mkt!$C$49)*(1+g_oth_dram)^2+(MAX(Mkt!$C$42-(cap_sk_25*1000/fx*sh_sk+cap_mu_25*sh_mu_25_hi+cap_ssds_25*ss_mem*1000/fx*sh_ss)*(1-Mkt!$C$49),0)+0*(1-Mkt!$C$49))*(1+g_oth_nand)^2)+(cap_ts_27*sh_fd+MAX(Mkt!$C$43-cap_ts_25*sh_fd,0)*(1+g_oth_fd)^2))+Mkt!E87+Mkt!E88</f>
        <v>227.248828943829</v>
      </c>
      <c r="C10" s="16" t="n">
        <f aca="false">B10/B$4-1</f>
        <v>0.0204454312868574</v>
      </c>
      <c r="D10" s="15" t="n">
        <f aca="false">((cap_sk_28*1000/fx*sh_sk+cap_mu_28*sh_mu_27_hi+cap_ss_28*1000/fx*sh_ss)+(MAX(Mkt!$C$41-(cap_sk_25*1000/fx*sh_sk+cap_mu_25*sh_mu_25_hi+cap_ssds_25*ss_mem*1000/fx*sh_ss)*Mkt!$C$49,0)+0*Mkt!$C$49)*(1+g_oth_dram)^3+(MAX(Mkt!$C$42-(cap_sk_25*1000/fx*sh_sk+cap_mu_25*sh_mu_25_hi+cap_ssds_25*ss_mem*1000/fx*sh_ss)*(1-Mkt!$C$49),0)+0*(1-Mkt!$C$49))*(1+g_oth_nand)^3)+(cap_ts_28*sh_fd+MAX(Mkt!$C$43-cap_ts_25*sh_fd,0)*(1+g_oth_fd)^3)+Mkt!F50*(((cap_sk_28*1000/fx*sh_sk+cap_mu_28*sh_mu_27_hi+cap_ss_28*1000/fx*sh_ss)+(MAX(Mkt!$C$41-(cap_sk_25*1000/fx*sh_sk+cap_mu_25*sh_mu_25_hi+cap_ssds_25*ss_mem*1000/fx*sh_ss)*Mkt!$C$49,0)+0*Mkt!$C$49)*(1+g_oth_dram)^3+(MAX(Mkt!$C$42-(cap_sk_25*1000/fx*sh_sk+cap_mu_25*sh_mu_25_hi+cap_ssds_25*ss_mem*1000/fx*sh_ss)*(1-Mkt!$C$49),0)+0*(1-Mkt!$C$49))*(1+g_oth_nand)^3)+(cap_ts_28*sh_fd+MAX(Mkt!$C$43-cap_ts_25*sh_fd,0)*(1+g_oth_fd)^3))+Mkt!F87+Mkt!F88</f>
        <v>255.225925127412</v>
      </c>
      <c r="E10" s="16" t="n">
        <f aca="false">D10/D$4-1</f>
        <v>0.0198197011111259</v>
      </c>
      <c r="F10" s="15" t="n">
        <f aca="false">((cap_sk_29*1000/fx*sh_sk+cap_mu_29*sh_mu_27_hi+cap_ss_29*1000/fx*sh_ss)+(MAX(Mkt!$C$41-(cap_sk_25*1000/fx*sh_sk+cap_mu_25*sh_mu_25_hi+cap_ssds_25*ss_mem*1000/fx*sh_ss)*Mkt!$C$49,0)+0*Mkt!$C$49)*(1+g_oth_dram)^4+(MAX(Mkt!$C$42-(cap_sk_25*1000/fx*sh_sk+cap_mu_25*sh_mu_25_hi+cap_ssds_25*ss_mem*1000/fx*sh_ss)*(1-Mkt!$C$49),0)+0*(1-Mkt!$C$49))*(1+g_oth_nand)^4)+(cap_ts_29*sh_fd+MAX(Mkt!$C$43-cap_ts_25*sh_fd,0)*(1+g_oth_fd)^4)+Mkt!G50*(((cap_sk_29*1000/fx*sh_sk+cap_mu_29*sh_mu_27_hi+cap_ss_29*1000/fx*sh_ss)+(MAX(Mkt!$C$41-(cap_sk_25*1000/fx*sh_sk+cap_mu_25*sh_mu_25_hi+cap_ssds_25*ss_mem*1000/fx*sh_ss)*Mkt!$C$49,0)+0*Mkt!$C$49)*(1+g_oth_dram)^4+(MAX(Mkt!$C$42-(cap_sk_25*1000/fx*sh_sk+cap_mu_25*sh_mu_25_hi+cap_ssds_25*ss_mem*1000/fx*sh_ss)*(1-Mkt!$C$49),0)+0*(1-Mkt!$C$49))*(1+g_oth_nand)^4)+(cap_ts_29*sh_fd+MAX(Mkt!$C$43-cap_ts_25*sh_fd,0)*(1+g_oth_fd)^4))+Mkt!G87+Mkt!G88</f>
        <v>267.5512931018</v>
      </c>
      <c r="G10" s="16" t="n">
        <f aca="false">F10/F$4-1</f>
        <v>0.0188261710829794</v>
      </c>
    </row>
    <row r="11" customFormat="false" ht="15" hidden="false" customHeight="false" outlineLevel="0" collapsed="false">
      <c r="A11" s="8" t="s">
        <v>481</v>
      </c>
      <c r="B11" s="15" t="n">
        <f aca="false">((cap_sk_27*1000/fx*sh_sk+cap_mu_27*sh_mu_27+cap_ss_27*1000/fx*sh_ss)+(MAX(Mkt!$C$41-(cap_sk_25*1000/fx*sh_sk+cap_mu_25*sh_mu_25+cap_ssds_25*ss_mem*1000/fx*sh_ss)*Mkt!$C$49,0)+0*Mkt!$C$49)*(1+g_oth_dram)^2+(MAX(Mkt!$C$42-(cap_sk_25*1000/fx*sh_sk+cap_mu_25*sh_mu_25+cap_ssds_25*ss_mem*1000/fx*sh_ss)*(1-Mkt!$C$49),0)+0*(1-Mkt!$C$49))*(1+g_oth_nand)^2)+(cap_ts_27*sh_fd_lo+MAX(Mkt!$C$43-cap_ts_25*sh_fd_lo,0)*(1+g_oth_fd)^2)+Mkt!E50*(((cap_sk_27*1000/fx*sh_sk+cap_mu_27*sh_mu_27+cap_ss_27*1000/fx*sh_ss)+(MAX(Mkt!$C$41-(cap_sk_25*1000/fx*sh_sk+cap_mu_25*sh_mu_25+cap_ssds_25*ss_mem*1000/fx*sh_ss)*Mkt!$C$49,0)+0*Mkt!$C$49)*(1+g_oth_dram)^2+(MAX(Mkt!$C$42-(cap_sk_25*1000/fx*sh_sk+cap_mu_25*sh_mu_25+cap_ssds_25*ss_mem*1000/fx*sh_ss)*(1-Mkt!$C$49),0)+0*(1-Mkt!$C$49))*(1+g_oth_nand)^2)+(cap_ts_27*sh_fd_lo+MAX(Mkt!$C$43-cap_ts_25*sh_fd_lo,0)*(1+g_oth_fd)^2))+Mkt!E87+Mkt!E88</f>
        <v>220.722947741242</v>
      </c>
      <c r="C11" s="16" t="n">
        <f aca="false">B11/B$4-1</f>
        <v>-0.00885859500560149</v>
      </c>
      <c r="D11" s="15" t="n">
        <f aca="false">((cap_sk_28*1000/fx*sh_sk+cap_mu_28*sh_mu_27+cap_ss_28*1000/fx*sh_ss)+(MAX(Mkt!$C$41-(cap_sk_25*1000/fx*sh_sk+cap_mu_25*sh_mu_25+cap_ssds_25*ss_mem*1000/fx*sh_ss)*Mkt!$C$49,0)+0*Mkt!$C$49)*(1+g_oth_dram)^3+(MAX(Mkt!$C$42-(cap_sk_25*1000/fx*sh_sk+cap_mu_25*sh_mu_25+cap_ssds_25*ss_mem*1000/fx*sh_ss)*(1-Mkt!$C$49),0)+0*(1-Mkt!$C$49))*(1+g_oth_nand)^3)+(cap_ts_28*sh_fd_lo+MAX(Mkt!$C$43-cap_ts_25*sh_fd_lo,0)*(1+g_oth_fd)^3)+Mkt!F50*(((cap_sk_28*1000/fx*sh_sk+cap_mu_28*sh_mu_27+cap_ss_28*1000/fx*sh_ss)+(MAX(Mkt!$C$41-(cap_sk_25*1000/fx*sh_sk+cap_mu_25*sh_mu_25+cap_ssds_25*ss_mem*1000/fx*sh_ss)*Mkt!$C$49,0)+0*Mkt!$C$49)*(1+g_oth_dram)^3+(MAX(Mkt!$C$42-(cap_sk_25*1000/fx*sh_sk+cap_mu_25*sh_mu_25+cap_ssds_25*ss_mem*1000/fx*sh_ss)*(1-Mkt!$C$49),0)+0*(1-Mkt!$C$49))*(1+g_oth_nand)^3)+(cap_ts_28*sh_fd_lo+MAX(Mkt!$C$43-cap_ts_25*sh_fd_lo,0)*(1+g_oth_fd)^3))+Mkt!F87+Mkt!F88</f>
        <v>247.674511957664</v>
      </c>
      <c r="E11" s="16" t="n">
        <f aca="false">D11/D$4-1</f>
        <v>-0.0103538790919628</v>
      </c>
      <c r="F11" s="15" t="n">
        <f aca="false">((cap_sk_29*1000/fx*sh_sk+cap_mu_29*sh_mu_27+cap_ss_29*1000/fx*sh_ss)+(MAX(Mkt!$C$41-(cap_sk_25*1000/fx*sh_sk+cap_mu_25*sh_mu_25+cap_ssds_25*ss_mem*1000/fx*sh_ss)*Mkt!$C$49,0)+0*Mkt!$C$49)*(1+g_oth_dram)^4+(MAX(Mkt!$C$42-(cap_sk_25*1000/fx*sh_sk+cap_mu_25*sh_mu_25+cap_ssds_25*ss_mem*1000/fx*sh_ss)*(1-Mkt!$C$49),0)+0*(1-Mkt!$C$49))*(1+g_oth_nand)^4)+(cap_ts_29*sh_fd_lo+MAX(Mkt!$C$43-cap_ts_25*sh_fd_lo,0)*(1+g_oth_fd)^4)+Mkt!G50*(((cap_sk_29*1000/fx*sh_sk+cap_mu_29*sh_mu_27+cap_ss_29*1000/fx*sh_ss)+(MAX(Mkt!$C$41-(cap_sk_25*1000/fx*sh_sk+cap_mu_25*sh_mu_25+cap_ssds_25*ss_mem*1000/fx*sh_ss)*Mkt!$C$49,0)+0*Mkt!$C$49)*(1+g_oth_dram)^4+(MAX(Mkt!$C$42-(cap_sk_25*1000/fx*sh_sk+cap_mu_25*sh_mu_25+cap_ssds_25*ss_mem*1000/fx*sh_ss)*(1-Mkt!$C$49),0)+0*(1-Mkt!$C$49))*(1+g_oth_nand)^4)+(cap_ts_29*sh_fd_lo+MAX(Mkt!$C$43-cap_ts_25*sh_fd_lo,0)*(1+g_oth_fd)^4))+Mkt!G87+Mkt!G88</f>
        <v>259.957037695103</v>
      </c>
      <c r="G11" s="16" t="n">
        <f aca="false">F11/F$4-1</f>
        <v>-0.0100924937028705</v>
      </c>
    </row>
    <row r="12" customFormat="false" ht="15" hidden="false" customHeight="false" outlineLevel="0" collapsed="false">
      <c r="A12" s="8" t="s">
        <v>482</v>
      </c>
      <c r="B12" s="15" t="n">
        <f aca="false">((cap_sk_27*1000/fx*sh_sk+cap_mu_27*sh_mu_27+cap_ss_27*1000/fx*sh_ss)+(MAX(Mkt!$C$41-(cap_sk_25*1000/fx*sh_sk+cap_mu_25*sh_mu_25+cap_ssds_25*ss_mem*1000/fx*sh_ss)*Mkt!$C$49,0)+0*Mkt!$C$49)*(1+g_oth_dram)^2+(MAX(Mkt!$C$42-(cap_sk_25*1000/fx*sh_sk+cap_mu_25*sh_mu_25+cap_ssds_25*ss_mem*1000/fx*sh_ss)*(1-Mkt!$C$49),0)+0*(1-Mkt!$C$49))*(1+g_oth_nand)^2)+(cap_ts_27*sh_fd_hi+MAX(Mkt!$C$43-cap_ts_25*sh_fd_hi,0)*(1+g_oth_fd)^2)+Mkt!E50*(((cap_sk_27*1000/fx*sh_sk+cap_mu_27*sh_mu_27+cap_ss_27*1000/fx*sh_ss)+(MAX(Mkt!$C$41-(cap_sk_25*1000/fx*sh_sk+cap_mu_25*sh_mu_25+cap_ssds_25*ss_mem*1000/fx*sh_ss)*Mkt!$C$49,0)+0*Mkt!$C$49)*(1+g_oth_dram)^2+(MAX(Mkt!$C$42-(cap_sk_25*1000/fx*sh_sk+cap_mu_25*sh_mu_25+cap_ssds_25*ss_mem*1000/fx*sh_ss)*(1-Mkt!$C$49),0)+0*(1-Mkt!$C$49))*(1+g_oth_nand)^2)+(cap_ts_27*sh_fd_hi+MAX(Mkt!$C$43-cap_ts_25*sh_fd_hi,0)*(1+g_oth_fd)^2))+Mkt!E87+Mkt!E88</f>
        <v>224.668490108112</v>
      </c>
      <c r="C12" s="16" t="n">
        <f aca="false">B12/B$4-1</f>
        <v>0.00885859500560127</v>
      </c>
      <c r="D12" s="15" t="n">
        <f aca="false">((cap_sk_28*1000/fx*sh_sk+cap_mu_28*sh_mu_27+cap_ss_28*1000/fx*sh_ss)+(MAX(Mkt!$C$41-(cap_sk_25*1000/fx*sh_sk+cap_mu_25*sh_mu_25+cap_ssds_25*ss_mem*1000/fx*sh_ss)*Mkt!$C$49,0)+0*Mkt!$C$49)*(1+g_oth_dram)^3+(MAX(Mkt!$C$42-(cap_sk_25*1000/fx*sh_sk+cap_mu_25*sh_mu_25+cap_ssds_25*ss_mem*1000/fx*sh_ss)*(1-Mkt!$C$49),0)+0*(1-Mkt!$C$49))*(1+g_oth_nand)^3)+(cap_ts_28*sh_fd_hi+MAX(Mkt!$C$43-cap_ts_25*sh_fd_hi,0)*(1+g_oth_fd)^3)+Mkt!F50*(((cap_sk_28*1000/fx*sh_sk+cap_mu_28*sh_mu_27+cap_ss_28*1000/fx*sh_ss)+(MAX(Mkt!$C$41-(cap_sk_25*1000/fx*sh_sk+cap_mu_25*sh_mu_25+cap_ssds_25*ss_mem*1000/fx*sh_ss)*Mkt!$C$49,0)+0*Mkt!$C$49)*(1+g_oth_dram)^3+(MAX(Mkt!$C$42-(cap_sk_25*1000/fx*sh_sk+cap_mu_25*sh_mu_25+cap_ssds_25*ss_mem*1000/fx*sh_ss)*(1-Mkt!$C$49),0)+0*(1-Mkt!$C$49))*(1+g_oth_nand)^3)+(cap_ts_28*sh_fd_hi+MAX(Mkt!$C$43-cap_ts_25*sh_fd_hi,0)*(1+g_oth_fd)^3))+Mkt!F87+Mkt!F88</f>
        <v>252.856954240401</v>
      </c>
      <c r="E12" s="16" t="n">
        <f aca="false">D12/D$4-1</f>
        <v>0.0103538790919628</v>
      </c>
      <c r="F12" s="15" t="n">
        <f aca="false">((cap_sk_29*1000/fx*sh_sk+cap_mu_29*sh_mu_27+cap_ss_29*1000/fx*sh_ss)+(MAX(Mkt!$C$41-(cap_sk_25*1000/fx*sh_sk+cap_mu_25*sh_mu_25+cap_ssds_25*ss_mem*1000/fx*sh_ss)*Mkt!$C$49,0)+0*Mkt!$C$49)*(1+g_oth_dram)^4+(MAX(Mkt!$C$42-(cap_sk_25*1000/fx*sh_sk+cap_mu_25*sh_mu_25+cap_ssds_25*ss_mem*1000/fx*sh_ss)*(1-Mkt!$C$49),0)+0*(1-Mkt!$C$49))*(1+g_oth_nand)^4)+(cap_ts_29*sh_fd_hi+MAX(Mkt!$C$43-cap_ts_25*sh_fd_hi,0)*(1+g_oth_fd)^4)+Mkt!G50*(((cap_sk_29*1000/fx*sh_sk+cap_mu_29*sh_mu_27+cap_ss_29*1000/fx*sh_ss)+(MAX(Mkt!$C$41-(cap_sk_25*1000/fx*sh_sk+cap_mu_25*sh_mu_25+cap_ssds_25*ss_mem*1000/fx*sh_ss)*Mkt!$C$49,0)+0*Mkt!$C$49)*(1+g_oth_dram)^4+(MAX(Mkt!$C$42-(cap_sk_25*1000/fx*sh_sk+cap_mu_25*sh_mu_25+cap_ssds_25*ss_mem*1000/fx*sh_ss)*(1-Mkt!$C$49),0)+0*(1-Mkt!$C$49))*(1+g_oth_nand)^4)+(cap_ts_29*sh_fd_hi+MAX(Mkt!$C$43-cap_ts_25*sh_fd_hi,0)*(1+g_oth_fd)^4))+Mkt!G87+Mkt!G88</f>
        <v>265.257764781755</v>
      </c>
      <c r="G12" s="16" t="n">
        <f aca="false">F12/F$4-1</f>
        <v>0.0100924937028706</v>
      </c>
    </row>
    <row r="13" customFormat="false" ht="15" hidden="false" customHeight="false" outlineLevel="0" collapsed="false">
      <c r="A13" s="8" t="s">
        <v>483</v>
      </c>
      <c r="B13" s="15" t="n">
        <f aca="false">((cap_sk_27*1000/fx_lo*sh_sk+cap_mu_27*sh_mu_27+cap_ss_27*1000/fx_lo*sh_ss)+(MAX(Mkt!$C$41-(cap_sk_25*1000/fx_lo*sh_sk+cap_mu_25*sh_mu_25+cap_ssds_25*ss_mem*1000/fx_lo*sh_ss)*Mkt!$C$49,0)+0*Mkt!$C$49)*(1+g_oth_dram)^2+(MAX(Mkt!$C$42-(cap_sk_25*1000/fx_lo*sh_sk+cap_mu_25*sh_mu_25+cap_ssds_25*ss_mem*1000/fx_lo*sh_ss)*(1-Mkt!$C$49),0)+0*(1-Mkt!$C$49))*(1+g_oth_nand)^2)+(cap_ts_27*sh_fd+MAX(Mkt!$C$43-cap_ts_25*sh_fd,0)*(1+g_oth_fd)^2)+Mkt!E50*(((cap_sk_27*1000/fx_lo*sh_sk+cap_mu_27*sh_mu_27+cap_ss_27*1000/fx_lo*sh_ss)+(MAX(Mkt!$C$41-(cap_sk_25*1000/fx_lo*sh_sk+cap_mu_25*sh_mu_25+cap_ssds_25*ss_mem*1000/fx_lo*sh_ss)*Mkt!$C$49,0)+0*Mkt!$C$49)*(1+g_oth_dram)^2+(MAX(Mkt!$C$42-(cap_sk_25*1000/fx_lo*sh_sk+cap_mu_25*sh_mu_25+cap_ssds_25*ss_mem*1000/fx_lo*sh_ss)*(1-Mkt!$C$49),0)+0*(1-Mkt!$C$49))*(1+g_oth_nand)^2)+(cap_ts_27*sh_fd+MAX(Mkt!$C$43-cap_ts_25*sh_fd,0)*(1+g_oth_fd)^2))+Mkt!E87+Mkt!E88</f>
        <v>225.826911358778</v>
      </c>
      <c r="C13" s="16" t="n">
        <f aca="false">B13/B$4-1</f>
        <v>0.0140604069499848</v>
      </c>
      <c r="D13" s="15" t="n">
        <f aca="false">((cap_sk_28*1000/fx_lo*sh_sk+cap_mu_28*sh_mu_27+cap_ss_28*1000/fx_lo*sh_ss)+(MAX(Mkt!$C$41-(cap_sk_25*1000/fx_lo*sh_sk+cap_mu_25*sh_mu_25+cap_ssds_25*ss_mem*1000/fx_lo*sh_ss)*Mkt!$C$49,0)+0*Mkt!$C$49)*(1+g_oth_dram)^3+(MAX(Mkt!$C$42-(cap_sk_25*1000/fx_lo*sh_sk+cap_mu_25*sh_mu_25+cap_ssds_25*ss_mem*1000/fx_lo*sh_ss)*(1-Mkt!$C$49),0)+0*(1-Mkt!$C$49))*(1+g_oth_nand)^3)+(cap_ts_28*sh_fd+MAX(Mkt!$C$43-cap_ts_25*sh_fd,0)*(1+g_oth_fd)^3)+Mkt!F50*(((cap_sk_28*1000/fx_lo*sh_sk+cap_mu_28*sh_mu_27+cap_ss_28*1000/fx_lo*sh_ss)+(MAX(Mkt!$C$41-(cap_sk_25*1000/fx_lo*sh_sk+cap_mu_25*sh_mu_25+cap_ssds_25*ss_mem*1000/fx_lo*sh_ss)*Mkt!$C$49,0)+0*Mkt!$C$49)*(1+g_oth_dram)^3+(MAX(Mkt!$C$42-(cap_sk_25*1000/fx_lo*sh_sk+cap_mu_25*sh_mu_25+cap_ssds_25*ss_mem*1000/fx_lo*sh_ss)*(1-Mkt!$C$49),0)+0*(1-Mkt!$C$49))*(1+g_oth_nand)^3)+(cap_ts_28*sh_fd+MAX(Mkt!$C$43-cap_ts_25*sh_fd,0)*(1+g_oth_fd)^3))+Mkt!F87+Mkt!F88</f>
        <v>253.773939590207</v>
      </c>
      <c r="E13" s="16" t="n">
        <f aca="false">D13/D$4-1</f>
        <v>0.0140179258571791</v>
      </c>
      <c r="F13" s="15" t="n">
        <f aca="false">((cap_sk_29*1000/fx_lo*sh_sk+cap_mu_29*sh_mu_27+cap_ss_29*1000/fx_lo*sh_ss)+(MAX(Mkt!$C$41-(cap_sk_25*1000/fx_lo*sh_sk+cap_mu_25*sh_mu_25+cap_ssds_25*ss_mem*1000/fx_lo*sh_ss)*Mkt!$C$49,0)+0*Mkt!$C$49)*(1+g_oth_dram)^4+(MAX(Mkt!$C$42-(cap_sk_25*1000/fx_lo*sh_sk+cap_mu_25*sh_mu_25+cap_ssds_25*ss_mem*1000/fx_lo*sh_ss)*(1-Mkt!$C$49),0)+0*(1-Mkt!$C$49))*(1+g_oth_nand)^4)+(cap_ts_29*sh_fd+MAX(Mkt!$C$43-cap_ts_25*sh_fd,0)*(1+g_oth_fd)^4)+Mkt!G50*(((cap_sk_29*1000/fx_lo*sh_sk+cap_mu_29*sh_mu_27+cap_ss_29*1000/fx_lo*sh_ss)+(MAX(Mkt!$C$41-(cap_sk_25*1000/fx_lo*sh_sk+cap_mu_25*sh_mu_25+cap_ssds_25*ss_mem*1000/fx_lo*sh_ss)*Mkt!$C$49,0)+0*Mkt!$C$49)*(1+g_oth_dram)^4+(MAX(Mkt!$C$42-(cap_sk_25*1000/fx_lo*sh_sk+cap_mu_25*sh_mu_25+cap_ssds_25*ss_mem*1000/fx_lo*sh_ss)*(1-Mkt!$C$49),0)+0*(1-Mkt!$C$49))*(1+g_oth_nand)^4)+(cap_ts_29*sh_fd+MAX(Mkt!$C$43-cap_ts_25*sh_fd,0)*(1+g_oth_fd)^4))+Mkt!G87+Mkt!G88</f>
        <v>266.19898175746</v>
      </c>
      <c r="G13" s="16" t="n">
        <f aca="false">F13/F$4-1</f>
        <v>0.0136766157469059</v>
      </c>
    </row>
    <row r="14" customFormat="false" ht="15" hidden="false" customHeight="false" outlineLevel="0" collapsed="false">
      <c r="A14" s="8" t="s">
        <v>484</v>
      </c>
      <c r="B14" s="15" t="n">
        <f aca="false">((cap_sk_27*1000/fx_hi*sh_sk+cap_mu_27*sh_mu_27+cap_ss_27*1000/fx_hi*sh_ss)+(MAX(Mkt!$C$41-(cap_sk_25*1000/fx_hi*sh_sk+cap_mu_25*sh_mu_25+cap_ssds_25*ss_mem*1000/fx_hi*sh_ss)*Mkt!$C$49,0)+0*Mkt!$C$49)*(1+g_oth_dram)^2+(MAX(Mkt!$C$42-(cap_sk_25*1000/fx_hi*sh_sk+cap_mu_25*sh_mu_25+cap_ssds_25*ss_mem*1000/fx_hi*sh_ss)*(1-Mkt!$C$49),0)+0*(1-Mkt!$C$49))*(1+g_oth_nand)^2)+(cap_ts_27*sh_fd+MAX(Mkt!$C$43-cap_ts_25*sh_fd,0)*(1+g_oth_fd)^2)+Mkt!E50*(((cap_sk_27*1000/fx_hi*sh_sk+cap_mu_27*sh_mu_27+cap_ss_27*1000/fx_hi*sh_ss)+(MAX(Mkt!$C$41-(cap_sk_25*1000/fx_hi*sh_sk+cap_mu_25*sh_mu_25+cap_ssds_25*ss_mem*1000/fx_hi*sh_ss)*Mkt!$C$49,0)+0*Mkt!$C$49)*(1+g_oth_dram)^2+(MAX(Mkt!$C$42-(cap_sk_25*1000/fx_hi*sh_sk+cap_mu_25*sh_mu_25+cap_ssds_25*ss_mem*1000/fx_hi*sh_ss)*(1-Mkt!$C$49),0)+0*(1-Mkt!$C$49))*(1+g_oth_nand)^2)+(cap_ts_27*sh_fd+MAX(Mkt!$C$43-cap_ts_25*sh_fd,0)*(1+g_oth_fd)^2))+Mkt!E87+Mkt!E88</f>
        <v>221.868925451852</v>
      </c>
      <c r="C14" s="16" t="n">
        <f aca="false">B14/B$4-1</f>
        <v>-0.00371265993265346</v>
      </c>
      <c r="D14" s="15" t="n">
        <f aca="false">((cap_sk_28*1000/fx_hi*sh_sk+cap_mu_28*sh_mu_27+cap_ss_28*1000/fx_hi*sh_ss)+(MAX(Mkt!$C$41-(cap_sk_25*1000/fx_hi*sh_sk+cap_mu_25*sh_mu_25+cap_ssds_25*ss_mem*1000/fx_hi*sh_ss)*Mkt!$C$49,0)+0*Mkt!$C$49)*(1+g_oth_dram)^3+(MAX(Mkt!$C$42-(cap_sk_25*1000/fx_hi*sh_sk+cap_mu_25*sh_mu_25+cap_ssds_25*ss_mem*1000/fx_hi*sh_ss)*(1-Mkt!$C$49),0)+0*(1-Mkt!$C$49))*(1+g_oth_nand)^3)+(cap_ts_28*sh_fd+MAX(Mkt!$C$43-cap_ts_25*sh_fd,0)*(1+g_oth_fd)^3)+Mkt!F50*(((cap_sk_28*1000/fx_hi*sh_sk+cap_mu_28*sh_mu_27+cap_ss_28*1000/fx_hi*sh_ss)+(MAX(Mkt!$C$41-(cap_sk_25*1000/fx_hi*sh_sk+cap_mu_25*sh_mu_25+cap_ssds_25*ss_mem*1000/fx_hi*sh_ss)*Mkt!$C$49,0)+0*Mkt!$C$49)*(1+g_oth_dram)^3+(MAX(Mkt!$C$42-(cap_sk_25*1000/fx_hi*sh_sk+cap_mu_25*sh_mu_25+cap_ssds_25*ss_mem*1000/fx_hi*sh_ss)*(1-Mkt!$C$49),0)+0*(1-Mkt!$C$49))*(1+g_oth_nand)^3)+(cap_ts_28*sh_fd+MAX(Mkt!$C$43-cap_ts_25*sh_fd,0)*(1+g_oth_fd)^3))+Mkt!F87+Mkt!F88</f>
        <v>249.482048827336</v>
      </c>
      <c r="E14" s="16" t="n">
        <f aca="false">D14/D$4-1</f>
        <v>-0.00313140861112815</v>
      </c>
      <c r="F14" s="15" t="n">
        <f aca="false">((cap_sk_29*1000/fx_hi*sh_sk+cap_mu_29*sh_mu_27+cap_ss_29*1000/fx_hi*sh_ss)+(MAX(Mkt!$C$41-(cap_sk_25*1000/fx_hi*sh_sk+cap_mu_25*sh_mu_25+cap_ssds_25*ss_mem*1000/fx_hi*sh_ss)*Mkt!$C$49,0)+0*Mkt!$C$49)*(1+g_oth_dram)^4+(MAX(Mkt!$C$42-(cap_sk_25*1000/fx_hi*sh_sk+cap_mu_25*sh_mu_25+cap_ssds_25*ss_mem*1000/fx_hi*sh_ss)*(1-Mkt!$C$49),0)+0*(1-Mkt!$C$49))*(1+g_oth_nand)^4)+(cap_ts_29*sh_fd+MAX(Mkt!$C$43-cap_ts_25*sh_fd,0)*(1+g_oth_fd)^4)+Mkt!G50*(((cap_sk_29*1000/fx_hi*sh_sk+cap_mu_29*sh_mu_27+cap_ss_29*1000/fx_hi*sh_ss)+(MAX(Mkt!$C$41-(cap_sk_25*1000/fx_hi*sh_sk+cap_mu_25*sh_mu_25+cap_ssds_25*ss_mem*1000/fx_hi*sh_ss)*Mkt!$C$49,0)+0*Mkt!$C$49)*(1+g_oth_dram)^4+(MAX(Mkt!$C$42-(cap_sk_25*1000/fx_hi*sh_sk+cap_mu_25*sh_mu_25+cap_ssds_25*ss_mem*1000/fx_hi*sh_ss)*(1-Mkt!$C$49),0)+0*(1-Mkt!$C$49))*(1+g_oth_nand)^4)+(cap_ts_29*sh_fd+MAX(Mkt!$C$43-cap_ts_25*sh_fd,0)*(1+g_oth_fd)^4))+Mkt!G87+Mkt!G88</f>
        <v>262.246417028112</v>
      </c>
      <c r="G14" s="16" t="n">
        <f aca="false">F14/F$4-1</f>
        <v>-0.00137461552345741</v>
      </c>
    </row>
    <row r="15" customFormat="false" ht="15" hidden="false" customHeight="false" outlineLevel="0" collapsed="false">
      <c r="A15" s="0" t="s">
        <v>485</v>
      </c>
      <c r="B15" s="15" t="n">
        <f aca="false">((cap_sk_27*1000/fx*sh_sk+cap_mu_27*sh_mu_27+cap_ss_27*1000/fx*sh_ss)+(MAX(Mkt!$C$41-(cap_sk_25_lo*1000/fx*sh_sk+cap_mu_25*sh_mu_25+cap_ssds_25*ss_mem*1000/fx*sh_ss)*Mkt!$C$49,0)+0*Mkt!$C$49)*(1+g_oth_dram)^2+(MAX(Mkt!$C$42-(cap_sk_25_lo*1000/fx*sh_sk+cap_mu_25*sh_mu_25+cap_ssds_25*ss_mem*1000/fx*sh_ss)*(1-Mkt!$C$49),0)+0*(1-Mkt!$C$49))*(1+g_oth_nand)^2)+(cap_ts_27*sh_fd+MAX(Mkt!$C$43-cap_ts_25*sh_fd,0)*(1+g_oth_fd)^2)+Mkt!E50*(((cap_sk_27*1000/fx*sh_sk+cap_mu_27*sh_mu_27+cap_ss_27*1000/fx*sh_ss)+(MAX(Mkt!$C$41-(cap_sk_25_lo*1000/fx*sh_sk+cap_mu_25*sh_mu_25+cap_ssds_25*ss_mem*1000/fx*sh_ss)*Mkt!$C$49,0)+0*Mkt!$C$49)*(1+g_oth_dram)^2+(MAX(Mkt!$C$42-(cap_sk_25_lo*1000/fx*sh_sk+cap_mu_25*sh_mu_25+cap_ssds_25*ss_mem*1000/fx*sh_ss)*(1-Mkt!$C$49),0)+0*(1-Mkt!$C$49))*(1+g_oth_nand)^2)+(cap_ts_27*sh_fd+MAX(Mkt!$C$43-cap_ts_25*sh_fd,0)*(1+g_oth_fd)^2))+Mkt!E87+Mkt!E88</f>
        <v>224.245325872239</v>
      </c>
      <c r="C15" s="16" t="n">
        <f aca="false">B15/B$4-1</f>
        <v>0.00695840474637111</v>
      </c>
      <c r="D15" s="15" t="n">
        <f aca="false">((cap_sk_28*1000/fx*sh_sk+cap_mu_28*sh_mu_27+cap_ss_28*1000/fx*sh_ss)+(MAX(Mkt!$C$41-(cap_sk_25_lo*1000/fx*sh_sk+cap_mu_25*sh_mu_25+cap_ssds_25*ss_mem*1000/fx*sh_ss)*Mkt!$C$49,0)+0*Mkt!$C$49)*(1+g_oth_dram)^3+(MAX(Mkt!$C$42-(cap_sk_25_lo*1000/fx*sh_sk+cap_mu_25*sh_mu_25+cap_ssds_25*ss_mem*1000/fx*sh_ss)*(1-Mkt!$C$49),0)+0*(1-Mkt!$C$49))*(1+g_oth_nand)^3)+(cap_ts_28*sh_fd+MAX(Mkt!$C$43-cap_ts_25*sh_fd,0)*(1+g_oth_fd)^3)+Mkt!F50*(((cap_sk_28*1000/fx*sh_sk+cap_mu_28*sh_mu_27+cap_ss_28*1000/fx*sh_ss)+(MAX(Mkt!$C$41-(cap_sk_25_lo*1000/fx*sh_sk+cap_mu_25*sh_mu_25+cap_ssds_25*ss_mem*1000/fx*sh_ss)*Mkt!$C$49,0)+0*Mkt!$C$49)*(1+g_oth_dram)^3+(MAX(Mkt!$C$42-(cap_sk_25_lo*1000/fx*sh_sk+cap_mu_25*sh_mu_25+cap_ssds_25*ss_mem*1000/fx*sh_ss)*(1-Mkt!$C$49),0)+0*(1-Mkt!$C$49))*(1+g_oth_nand)^3)+(cap_ts_28*sh_fd+MAX(Mkt!$C$43-cap_ts_25*sh_fd,0)*(1+g_oth_fd)^3))+Mkt!F87+Mkt!F88</f>
        <v>252.094269297156</v>
      </c>
      <c r="E15" s="16" t="n">
        <f aca="false">D15/D$4-1</f>
        <v>0.00730637860597416</v>
      </c>
      <c r="F15" s="15" t="n">
        <f aca="false">((cap_sk_29*1000/fx*sh_sk+cap_mu_29*sh_mu_27+cap_ss_29*1000/fx*sh_ss)+(MAX(Mkt!$C$41-(cap_sk_25_lo*1000/fx*sh_sk+cap_mu_25*sh_mu_25+cap_ssds_25*ss_mem*1000/fx*sh_ss)*Mkt!$C$49,0)+0*Mkt!$C$49)*(1+g_oth_dram)^4+(MAX(Mkt!$C$42-(cap_sk_25_lo*1000/fx*sh_sk+cap_mu_25*sh_mu_25+cap_ssds_25*ss_mem*1000/fx*sh_ss)*(1-Mkt!$C$49),0)+0*(1-Mkt!$C$49))*(1+g_oth_nand)^4)+(cap_ts_29*sh_fd+MAX(Mkt!$C$43-cap_ts_25*sh_fd,0)*(1+g_oth_fd)^4)+Mkt!G50*(((cap_sk_29*1000/fx*sh_sk+cap_mu_29*sh_mu_27+cap_ss_29*1000/fx*sh_ss)+(MAX(Mkt!$C$41-(cap_sk_25_lo*1000/fx*sh_sk+cap_mu_25*sh_mu_25+cap_ssds_25*ss_mem*1000/fx*sh_ss)*Mkt!$C$49,0)+0*Mkt!$C$49)*(1+g_oth_dram)^4+(MAX(Mkt!$C$42-(cap_sk_25_lo*1000/fx*sh_sk+cap_mu_25*sh_mu_25+cap_ssds_25*ss_mem*1000/fx*sh_ss)*(1-Mkt!$C$49),0)+0*(1-Mkt!$C$49))*(1+g_oth_nand)^4)+(cap_ts_29*sh_fd+MAX(Mkt!$C$43-cap_ts_25*sh_fd,0)*(1+g_oth_fd)^4))+Mkt!G87+Mkt!G88</f>
        <v>264.765073952214</v>
      </c>
      <c r="G15" s="16" t="n">
        <f aca="false">F15/F$4-1</f>
        <v>0.00821634387915182</v>
      </c>
    </row>
    <row r="16" customFormat="false" ht="15" hidden="false" customHeight="false" outlineLevel="0" collapsed="false">
      <c r="A16" s="8" t="s">
        <v>486</v>
      </c>
      <c r="B16" s="15" t="n">
        <f aca="false">((cap_sk_27*1000/fx*sh_sk+cap_mu_27*sh_mu_27+cap_ss_27*1000/fx*sh_ss)+(MAX(Mkt!$C$41-(cap_sk_25*1000/fx*sh_sk+cap_mu_25*sh_mu_25+cap_ssds_25*ss_mem_lo*1000/fx*sh_ss)*Mkt!$C$49,0)+0*Mkt!$C$49)*(1+g_oth_dram)^2+(MAX(Mkt!$C$42-(cap_sk_25*1000/fx*sh_sk+cap_mu_25*sh_mu_25+cap_ssds_25*ss_mem_lo*1000/fx*sh_ss)*(1-Mkt!$C$49),0)+0*(1-Mkt!$C$49))*(1+g_oth_nand)^2)+(cap_ts_27*sh_fd+MAX(Mkt!$C$43-cap_ts_25*sh_fd,0)*(1+g_oth_fd)^2)+Mkt!E50*(((cap_sk_27*1000/fx*sh_sk+cap_mu_27*sh_mu_27+cap_ss_27*1000/fx*sh_ss)+(MAX(Mkt!$C$41-(cap_sk_25*1000/fx*sh_sk+cap_mu_25*sh_mu_25+cap_ssds_25*ss_mem_lo*1000/fx*sh_ss)*Mkt!$C$49,0)+0*Mkt!$C$49)*(1+g_oth_dram)^2+(MAX(Mkt!$C$42-(cap_sk_25*1000/fx*sh_sk+cap_mu_25*sh_mu_25+cap_ssds_25*ss_mem_lo*1000/fx*sh_ss)*(1-Mkt!$C$49),0)+0*(1-Mkt!$C$49))*(1+g_oth_nand)^2)+(cap_ts_27*sh_fd+MAX(Mkt!$C$43-cap_ts_25*sh_fd,0)*(1+g_oth_fd)^2))+Mkt!E87+Mkt!E88</f>
        <v>226.041461197823</v>
      </c>
      <c r="C16" s="16" t="n">
        <f aca="false">B16/B$4-1</f>
        <v>0.0150238284296653</v>
      </c>
      <c r="D16" s="15" t="n">
        <f aca="false">((cap_sk_28*1000/fx*sh_sk+cap_mu_28*sh_mu_27+cap_ss_28*1000/fx*sh_ss)+(MAX(Mkt!$C$41-(cap_sk_25*1000/fx*sh_sk+cap_mu_25*sh_mu_25+cap_ssds_25*ss_mem_lo*1000/fx*sh_ss)*Mkt!$C$49,0)+0*Mkt!$C$49)*(1+g_oth_dram)^3+(MAX(Mkt!$C$42-(cap_sk_25*1000/fx*sh_sk+cap_mu_25*sh_mu_25+cap_ssds_25*ss_mem_lo*1000/fx*sh_ss)*(1-Mkt!$C$49),0)+0*(1-Mkt!$C$49))*(1+g_oth_nand)^3)+(cap_ts_28*sh_fd+MAX(Mkt!$C$43-cap_ts_25*sh_fd,0)*(1+g_oth_fd)^3)+Mkt!F50*(((cap_sk_28*1000/fx*sh_sk+cap_mu_28*sh_mu_27+cap_ss_28*1000/fx*sh_ss)+(MAX(Mkt!$C$41-(cap_sk_25*1000/fx*sh_sk+cap_mu_25*sh_mu_25+cap_ssds_25*ss_mem_lo*1000/fx*sh_ss)*Mkt!$C$49,0)+0*Mkt!$C$49)*(1+g_oth_dram)^3+(MAX(Mkt!$C$42-(cap_sk_25*1000/fx*sh_sk+cap_mu_25*sh_mu_25+cap_ssds_25*ss_mem_lo*1000/fx*sh_ss)*(1-Mkt!$C$49),0)+0*(1-Mkt!$C$49))*(1+g_oth_nand)^3)+(cap_ts_28*sh_fd+MAX(Mkt!$C$43-cap_ts_25*sh_fd,0)*(1+g_oth_fd)^3))+Mkt!F87+Mkt!F88</f>
        <v>254.213708981344</v>
      </c>
      <c r="E16" s="16" t="n">
        <f aca="false">D16/D$4-1</f>
        <v>0.0157751356265352</v>
      </c>
      <c r="F16" s="15" t="n">
        <f aca="false">((cap_sk_29*1000/fx*sh_sk+cap_mu_29*sh_mu_27+cap_ss_29*1000/fx*sh_ss)+(MAX(Mkt!$C$41-(cap_sk_25*1000/fx*sh_sk+cap_mu_25*sh_mu_25+cap_ssds_25*ss_mem_lo*1000/fx*sh_ss)*Mkt!$C$49,0)+0*Mkt!$C$49)*(1+g_oth_dram)^4+(MAX(Mkt!$C$42-(cap_sk_25*1000/fx*sh_sk+cap_mu_25*sh_mu_25+cap_ssds_25*ss_mem_lo*1000/fx*sh_ss)*(1-Mkt!$C$49),0)+0*(1-Mkt!$C$49))*(1+g_oth_nand)^4)+(cap_ts_29*sh_fd+MAX(Mkt!$C$43-cap_ts_25*sh_fd,0)*(1+g_oth_fd)^4)+Mkt!G50*(((cap_sk_29*1000/fx*sh_sk+cap_mu_29*sh_mu_27+cap_ss_29*1000/fx*sh_ss)+(MAX(Mkt!$C$41-(cap_sk_25*1000/fx*sh_sk+cap_mu_25*sh_mu_25+cap_ssds_25*ss_mem_lo*1000/fx*sh_ss)*Mkt!$C$49,0)+0*Mkt!$C$49)*(1+g_oth_dram)^4+(MAX(Mkt!$C$42-(cap_sk_25*1000/fx*sh_sk+cap_mu_25*sh_mu_25+cap_ssds_25*ss_mem_lo*1000/fx*sh_ss)*(1-Mkt!$C$49),0)+0*(1-Mkt!$C$49))*(1+g_oth_nand)^4)+(cap_ts_29*sh_fd+MAX(Mkt!$C$43-cap_ts_25*sh_fd,0)*(1+g_oth_fd)^4))+Mkt!G87+Mkt!G88</f>
        <v>267.266012779556</v>
      </c>
      <c r="G16" s="16" t="n">
        <f aca="false">F16/F$4-1</f>
        <v>0.0177398333754424</v>
      </c>
    </row>
    <row r="17" customFormat="false" ht="15" hidden="false" customHeight="false" outlineLevel="0" collapsed="false">
      <c r="A17" s="8" t="s">
        <v>487</v>
      </c>
      <c r="B17" s="15" t="n">
        <f aca="false">((cap_sk_27*1000/fx*sh_sk+cap_mu_27*sh_mu_27+cap_ss_27*1000/fx*sh_ss)+(MAX(Mkt!$C$41-(cap_sk_25*1000/fx*sh_sk+cap_mu_25*sh_mu_25+cap_ssds_25*ss_mem_hi*1000/fx*sh_ss)*Mkt!$C$49,0)+0*Mkt!$C$49)*(1+g_oth_dram)^2+(MAX(Mkt!$C$42-(cap_sk_25*1000/fx*sh_sk+cap_mu_25*sh_mu_25+cap_ssds_25*ss_mem_hi*1000/fx*sh_ss)*(1-Mkt!$C$49),0)+0*(1-Mkt!$C$49))*(1+g_oth_nand)^2)+(cap_ts_27*sh_fd+MAX(Mkt!$C$43-cap_ts_25*sh_fd,0)*(1+g_oth_fd)^2)+Mkt!E50*(((cap_sk_27*1000/fx*sh_sk+cap_mu_27*sh_mu_27+cap_ss_27*1000/fx*sh_ss)+(MAX(Mkt!$C$41-(cap_sk_25*1000/fx*sh_sk+cap_mu_25*sh_mu_25+cap_ssds_25*ss_mem_hi*1000/fx*sh_ss)*Mkt!$C$49,0)+0*Mkt!$C$49)*(1+g_oth_dram)^2+(MAX(Mkt!$C$42-(cap_sk_25*1000/fx*sh_sk+cap_mu_25*sh_mu_25+cap_ssds_25*ss_mem_hi*1000/fx*sh_ss)*(1-Mkt!$C$49),0)+0*(1-Mkt!$C$49))*(1+g_oth_nand)^2)+(cap_ts_27*sh_fd+MAX(Mkt!$C$43-cap_ts_25*sh_fd,0)*(1+g_oth_fd)^2))+Mkt!E87+Mkt!E88</f>
        <v>222.618976151569</v>
      </c>
      <c r="C17" s="16" t="n">
        <f aca="false">B17/B$4-1</f>
        <v>-0.000344608210159691</v>
      </c>
      <c r="D17" s="15" t="n">
        <f aca="false">((cap_sk_28*1000/fx*sh_sk+cap_mu_28*sh_mu_27+cap_ss_28*1000/fx*sh_ss)+(MAX(Mkt!$C$41-(cap_sk_25*1000/fx*sh_sk+cap_mu_25*sh_mu_25+cap_ssds_25*ss_mem_hi*1000/fx*sh_ss)*Mkt!$C$49,0)+0*Mkt!$C$49)*(1+g_oth_dram)^3+(MAX(Mkt!$C$42-(cap_sk_25*1000/fx*sh_sk+cap_mu_25*sh_mu_25+cap_ssds_25*ss_mem_hi*1000/fx*sh_ss)*(1-Mkt!$C$49),0)+0*(1-Mkt!$C$49))*(1+g_oth_nand)^3)+(cap_ts_28*sh_fd+MAX(Mkt!$C$43-cap_ts_25*sh_fd,0)*(1+g_oth_fd)^3)+Mkt!F50*(((cap_sk_28*1000/fx*sh_sk+cap_mu_28*sh_mu_27+cap_ss_28*1000/fx*sh_ss)+(MAX(Mkt!$C$41-(cap_sk_25*1000/fx*sh_sk+cap_mu_25*sh_mu_25+cap_ssds_25*ss_mem_hi*1000/fx*sh_ss)*Mkt!$C$49,0)+0*Mkt!$C$49)*(1+g_oth_dram)^3+(MAX(Mkt!$C$42-(cap_sk_25*1000/fx*sh_sk+cap_mu_25*sh_mu_25+cap_ssds_25*ss_mem_hi*1000/fx*sh_ss)*(1-Mkt!$C$49),0)+0*(1-Mkt!$C$49))*(1+g_oth_nand)^3)+(cap_ts_28*sh_fd+MAX(Mkt!$C$43-cap_ts_25*sh_fd,0)*(1+g_oth_fd)^3))+Mkt!F87+Mkt!F88</f>
        <v>250.175176626764</v>
      </c>
      <c r="E17" s="16" t="n">
        <f aca="false">D17/D$4-1</f>
        <v>-0.000361841276258823</v>
      </c>
      <c r="F17" s="15" t="n">
        <f aca="false">((cap_sk_29*1000/fx*sh_sk+cap_mu_29*sh_mu_27+cap_ss_29*1000/fx*sh_ss)+(MAX(Mkt!$C$41-(cap_sk_25*1000/fx*sh_sk+cap_mu_25*sh_mu_25+cap_ssds_25*ss_mem_hi*1000/fx*sh_ss)*Mkt!$C$49,0)+0*Mkt!$C$49)*(1+g_oth_dram)^4+(MAX(Mkt!$C$42-(cap_sk_25*1000/fx*sh_sk+cap_mu_25*sh_mu_25+cap_ssds_25*ss_mem_hi*1000/fx*sh_ss)*(1-Mkt!$C$49),0)+0*(1-Mkt!$C$49))*(1+g_oth_nand)^4)+(cap_ts_29*sh_fd+MAX(Mkt!$C$43-cap_ts_25*sh_fd,0)*(1+g_oth_fd)^4)+Mkt!G50*(((cap_sk_29*1000/fx*sh_sk+cap_mu_29*sh_mu_27+cap_ss_29*1000/fx*sh_ss)+(MAX(Mkt!$C$41-(cap_sk_25*1000/fx*sh_sk+cap_mu_25*sh_mu_25+cap_ssds_25*ss_mem_hi*1000/fx*sh_ss)*Mkt!$C$49,0)+0*Mkt!$C$49)*(1+g_oth_dram)^4+(MAX(Mkt!$C$42-(cap_sk_25*1000/fx*sh_sk+cap_mu_25*sh_mu_25+cap_ssds_25*ss_mem_hi*1000/fx*sh_ss)*(1-Mkt!$C$49),0)+0*(1-Mkt!$C$49))*(1+g_oth_nand)^4)+(cap_ts_29*sh_fd+MAX(Mkt!$C$43-cap_ts_25*sh_fd,0)*(1+g_oth_fd)^4))+Mkt!G87+Mkt!G88</f>
        <v>262.500544601152</v>
      </c>
      <c r="G17" s="16" t="n">
        <f aca="false">F17/F$4-1</f>
        <v>-0.000406906419136766</v>
      </c>
    </row>
    <row r="18" customFormat="false" ht="15" hidden="false" customHeight="false" outlineLevel="0" collapsed="false">
      <c r="A18" s="8" t="s">
        <v>488</v>
      </c>
      <c r="B18" s="15" t="n">
        <f aca="false">((cap_sk_27*1000/fx*sh_sk+cap_mu_27*sh_mu_27+cap_ss_27*1000/fx*sh_ss)+(MAX(Mkt!$C$41-(cap_sk_25*1000/fx*sh_sk+cap_mu_25*sh_mu_25+cap_ssds_25*ss_mem*1000/fx*sh_ss)*Mkt!$C$49,0)+0*Mkt!$C$49)*(1+g_oth_dram)^2+(MAX(Mkt!$C$42-(cap_sk_25*1000/fx*sh_sk+cap_mu_25*sh_mu_25+cap_ssds_25*ss_mem*1000/fx*sh_ss)*(1-Mkt!$C$49),0)+0*(1-Mkt!$C$49))*(1+g_oth_nand)^2)+(cap_ts_27*sh_fd+MAX(Mkt!$C$43-cap_ts_25_lo*sh_fd,0)*(1+g_oth_fd)^2)+Mkt!E50*(((cap_sk_27*1000/fx*sh_sk+cap_mu_27*sh_mu_27+cap_ss_27*1000/fx*sh_ss)+(MAX(Mkt!$C$41-(cap_sk_25*1000/fx*sh_sk+cap_mu_25*sh_mu_25+cap_ssds_25*ss_mem*1000/fx*sh_ss)*Mkt!$C$49,0)+0*Mkt!$C$49)*(1+g_oth_dram)^2+(MAX(Mkt!$C$42-(cap_sk_25*1000/fx*sh_sk+cap_mu_25*sh_mu_25+cap_ssds_25*ss_mem*1000/fx*sh_ss)*(1-Mkt!$C$49),0)+0*(1-Mkt!$C$49))*(1+g_oth_nand)^2)+(cap_ts_27*sh_fd+MAX(Mkt!$C$43-cap_ts_25_lo*sh_fd,0)*(1+g_oth_fd)^2))+Mkt!E87+Mkt!E88</f>
        <v>223.449791635225</v>
      </c>
      <c r="C18" s="16" t="n">
        <f aca="false">B18/B$4-1</f>
        <v>0.00338611228895225</v>
      </c>
      <c r="D18" s="15" t="n">
        <f aca="false">((cap_sk_28*1000/fx*sh_sk+cap_mu_28*sh_mu_27+cap_ss_28*1000/fx*sh_ss)+(MAX(Mkt!$C$41-(cap_sk_25*1000/fx*sh_sk+cap_mu_25*sh_mu_25+cap_ssds_25*ss_mem*1000/fx*sh_ss)*Mkt!$C$49,0)+0*Mkt!$C$49)*(1+g_oth_dram)^3+(MAX(Mkt!$C$42-(cap_sk_25*1000/fx*sh_sk+cap_mu_25*sh_mu_25+cap_ssds_25*ss_mem*1000/fx*sh_ss)*(1-Mkt!$C$49),0)+0*(1-Mkt!$C$49))*(1+g_oth_nand)^3)+(cap_ts_28*sh_fd+MAX(Mkt!$C$43-cap_ts_25_lo*sh_fd,0)*(1+g_oth_fd)^3)+Mkt!F50*(((cap_sk_28*1000/fx*sh_sk+cap_mu_28*sh_mu_27+cap_ss_28*1000/fx*sh_ss)+(MAX(Mkt!$C$41-(cap_sk_25*1000/fx*sh_sk+cap_mu_25*sh_mu_25+cap_ssds_25*ss_mem*1000/fx*sh_ss)*Mkt!$C$49,0)+0*Mkt!$C$49)*(1+g_oth_dram)^3+(MAX(Mkt!$C$42-(cap_sk_25*1000/fx*sh_sk+cap_mu_25*sh_mu_25+cap_ssds_25*ss_mem*1000/fx*sh_ss)*(1-Mkt!$C$49),0)+0*(1-Mkt!$C$49))*(1+g_oth_nand)^3)+(cap_ts_28*sh_fd+MAX(Mkt!$C$43-cap_ts_25_lo*sh_fd,0)*(1+g_oth_fd)^3))+Mkt!F87+Mkt!F88</f>
        <v>251.080131626424</v>
      </c>
      <c r="E18" s="16" t="n">
        <f aca="false">D18/D$4-1</f>
        <v>0.00325413518385886</v>
      </c>
      <c r="F18" s="15" t="n">
        <f aca="false">((cap_sk_29*1000/fx*sh_sk+cap_mu_29*sh_mu_27+cap_ss_29*1000/fx*sh_ss)+(MAX(Mkt!$C$41-(cap_sk_25*1000/fx*sh_sk+cap_mu_25*sh_mu_25+cap_ssds_25*ss_mem*1000/fx*sh_ss)*Mkt!$C$49,0)+0*Mkt!$C$49)*(1+g_oth_dram)^4+(MAX(Mkt!$C$42-(cap_sk_25*1000/fx*sh_sk+cap_mu_25*sh_mu_25+cap_ssds_25*ss_mem*1000/fx*sh_ss)*(1-Mkt!$C$49),0)+0*(1-Mkt!$C$49))*(1+g_oth_nand)^4)+(cap_ts_29*sh_fd+MAX(Mkt!$C$43-cap_ts_25_lo*sh_fd,0)*(1+g_oth_fd)^4)+Mkt!G50*(((cap_sk_29*1000/fx*sh_sk+cap_mu_29*sh_mu_27+cap_ss_29*1000/fx*sh_ss)+(MAX(Mkt!$C$41-(cap_sk_25*1000/fx*sh_sk+cap_mu_25*sh_mu_25+cap_ssds_25*ss_mem*1000/fx*sh_ss)*Mkt!$C$49,0)+0*Mkt!$C$49)*(1+g_oth_dram)^4+(MAX(Mkt!$C$42-(cap_sk_25*1000/fx*sh_sk+cap_mu_25*sh_mu_25+cap_ssds_25*ss_mem*1000/fx*sh_ss)*(1-Mkt!$C$49),0)+0*(1-Mkt!$C$49))*(1+g_oth_nand)^4)+(cap_ts_29*sh_fd+MAX(Mkt!$C$43-cap_ts_25_lo*sh_fd,0)*(1+g_oth_fd)^4))+Mkt!G87+Mkt!G88</f>
        <v>263.486951648012</v>
      </c>
      <c r="G18" s="16" t="n">
        <f aca="false">F18/F$4-1</f>
        <v>0.00334929786988192</v>
      </c>
    </row>
    <row r="19" customFormat="false" ht="15" hidden="false" customHeight="false" outlineLevel="0" collapsed="false">
      <c r="A19" s="8" t="s">
        <v>489</v>
      </c>
      <c r="B19" s="15" t="n">
        <f aca="false">((cap_sk_27*1000/fx*sh_sk+cap_mu_27*sh_mu_27+cap_ss_27*1000/fx*sh_ss)+(MAX(Mkt!$C$41-(cap_sk_25*1000/fx*sh_sk+cap_mu_25*sh_mu_25+cap_ssds_25*ss_mem*1000/fx*sh_ss)*Mkt!$C$49,0)+0*Mkt!$C$49)*(1+g_oth_dram)^2+(MAX(Mkt!$C$42-(cap_sk_25*1000/fx*sh_sk+cap_mu_25*sh_mu_25+cap_ssds_25*ss_mem*1000/fx*sh_ss)*(1-Mkt!$C$49),0)+0*(1-Mkt!$C$49))*(1+g_oth_nand)^2)+(cap_ts_27*sh_fd+MAX(Mkt!$C$43-cap_ts_25_hi*sh_fd,0)*(1+g_oth_fd)^2)+Mkt!E50*(((cap_sk_27*1000/fx*sh_sk+cap_mu_27*sh_mu_27+cap_ss_27*1000/fx*sh_ss)+(MAX(Mkt!$C$41-(cap_sk_25*1000/fx*sh_sk+cap_mu_25*sh_mu_25+cap_ssds_25*ss_mem*1000/fx*sh_ss)*Mkt!$C$49,0)+0*Mkt!$C$49)*(1+g_oth_dram)^2+(MAX(Mkt!$C$42-(cap_sk_25*1000/fx*sh_sk+cap_mu_25*sh_mu_25+cap_ssds_25*ss_mem*1000/fx*sh_ss)*(1-Mkt!$C$49),0)+0*(1-Mkt!$C$49))*(1+g_oth_nand)^2)+(cap_ts_27*sh_fd+MAX(Mkt!$C$43-cap_ts_25_hi*sh_fd,0)*(1+g_oth_fd)^2))+Mkt!E87+Mkt!E88</f>
        <v>221.774074500674</v>
      </c>
      <c r="C19" s="16" t="n">
        <f aca="false">B19/B$4-1</f>
        <v>-0.0041385816864975</v>
      </c>
      <c r="D19" s="15" t="n">
        <f aca="false">((cap_sk_28*1000/fx*sh_sk+cap_mu_28*sh_mu_27+cap_ss_28*1000/fx*sh_ss)+(MAX(Mkt!$C$41-(cap_sk_25*1000/fx*sh_sk+cap_mu_25*sh_mu_25+cap_ssds_25*ss_mem*1000/fx*sh_ss)*Mkt!$C$49,0)+0*Mkt!$C$49)*(1+g_oth_dram)^3+(MAX(Mkt!$C$42-(cap_sk_25*1000/fx*sh_sk+cap_mu_25*sh_mu_25+cap_ssds_25*ss_mem*1000/fx*sh_ss)*(1-Mkt!$C$49),0)+0*(1-Mkt!$C$49))*(1+g_oth_nand)^3)+(cap_ts_28*sh_fd+MAX(Mkt!$C$43-cap_ts_25_hi*sh_fd,0)*(1+g_oth_fd)^3)+Mkt!F50*(((cap_sk_28*1000/fx*sh_sk+cap_mu_28*sh_mu_27+cap_ss_28*1000/fx*sh_ss)+(MAX(Mkt!$C$41-(cap_sk_25*1000/fx*sh_sk+cap_mu_25*sh_mu_25+cap_ssds_25*ss_mem*1000/fx*sh_ss)*Mkt!$C$49,0)+0*Mkt!$C$49)*(1+g_oth_dram)^3+(MAX(Mkt!$C$42-(cap_sk_25*1000/fx*sh_sk+cap_mu_25*sh_mu_25+cap_ssds_25*ss_mem*1000/fx*sh_ss)*(1-Mkt!$C$49),0)+0*(1-Mkt!$C$49))*(1+g_oth_nand)^3)+(cap_ts_28*sh_fd+MAX(Mkt!$C$43-cap_ts_25_hi*sh_fd,0)*(1+g_oth_fd)^3))+Mkt!F87+Mkt!F88</f>
        <v>249.270357121109</v>
      </c>
      <c r="E19" s="16" t="n">
        <f aca="false">D19/D$4-1</f>
        <v>-0.00397727633582734</v>
      </c>
      <c r="F19" s="15" t="n">
        <f aca="false">((cap_sk_29*1000/fx*sh_sk+cap_mu_29*sh_mu_27+cap_ss_29*1000/fx*sh_ss)+(MAX(Mkt!$C$41-(cap_sk_25*1000/fx*sh_sk+cap_mu_25*sh_mu_25+cap_ssds_25*ss_mem*1000/fx*sh_ss)*Mkt!$C$49,0)+0*Mkt!$C$49)*(1+g_oth_dram)^4+(MAX(Mkt!$C$42-(cap_sk_25*1000/fx*sh_sk+cap_mu_25*sh_mu_25+cap_ssds_25*ss_mem*1000/fx*sh_ss)*(1-Mkt!$C$49),0)+0*(1-Mkt!$C$49))*(1+g_oth_nand)^4)+(cap_ts_29*sh_fd+MAX(Mkt!$C$43-cap_ts_25_hi*sh_fd,0)*(1+g_oth_fd)^4)+Mkt!G50*(((cap_sk_29*1000/fx*sh_sk+cap_mu_29*sh_mu_27+cap_ss_29*1000/fx*sh_ss)+(MAX(Mkt!$C$41-(cap_sk_25*1000/fx*sh_sk+cap_mu_25*sh_mu_25+cap_ssds_25*ss_mem*1000/fx*sh_ss)*Mkt!$C$49,0)+0*Mkt!$C$49)*(1+g_oth_dram)^4+(MAX(Mkt!$C$42-(cap_sk_25*1000/fx*sh_sk+cap_mu_25*sh_mu_25+cap_ssds_25*ss_mem*1000/fx*sh_ss)*(1-Mkt!$C$49),0)+0*(1-Mkt!$C$49))*(1+g_oth_nand)^4)+(cap_ts_29*sh_fd+MAX(Mkt!$C$43-cap_ts_25_hi*sh_fd,0)*(1+g_oth_fd)^4))+Mkt!G87+Mkt!G88</f>
        <v>261.532395182272</v>
      </c>
      <c r="G19" s="16" t="n">
        <f aca="false">F19/F$4-1</f>
        <v>-0.00409358628541123</v>
      </c>
    </row>
    <row r="20" customFormat="false" ht="15" hidden="false" customHeight="false" outlineLevel="0" collapsed="false">
      <c r="A20" s="8" t="s">
        <v>490</v>
      </c>
      <c r="B20" s="15" t="n">
        <f aca="false">((cap_sk_27*1000/fx*sh_sk+cap_mu_27*sh_mu_27+cap_ss_27*1000/fx*sh_ss)+(MAX(Mkt!$C$41-(cap_sk_25*1000/fx*sh_sk+cap_mu_25*sh_mu_25+cap_ssds_25*ss_mem*1000/fx*sh_ss)*Mkt!$C$49,0)+0*Mkt!$C$49)*(1+g_oth_dram_lo)^2+(MAX(Mkt!$C$42-(cap_sk_25*1000/fx*sh_sk+cap_mu_25*sh_mu_25+cap_ssds_25*ss_mem*1000/fx*sh_ss)*(1-Mkt!$C$49),0)+0*(1-Mkt!$C$49))*(1+g_oth_nand)^2)+(cap_ts_27*sh_fd+MAX(Mkt!$C$43-cap_ts_25*sh_fd,0)*(1+g_oth_fd)^2)+Mkt!E50*(((cap_sk_27*1000/fx*sh_sk+cap_mu_27*sh_mu_27+cap_ss_27*1000/fx*sh_ss)+(MAX(Mkt!$C$41-(cap_sk_25*1000/fx*sh_sk+cap_mu_25*sh_mu_25+cap_ssds_25*ss_mem*1000/fx*sh_ss)*Mkt!$C$49,0)+0*Mkt!$C$49)*(1+g_oth_dram_lo)^2+(MAX(Mkt!$C$42-(cap_sk_25*1000/fx*sh_sk+cap_mu_25*sh_mu_25+cap_ssds_25*ss_mem*1000/fx*sh_ss)*(1-Mkt!$C$49),0)+0*(1-Mkt!$C$49))*(1+g_oth_nand)^2)+(cap_ts_27*sh_fd+MAX(Mkt!$C$43-cap_ts_25*sh_fd,0)*(1+g_oth_fd)^2))+Mkt!E87+Mkt!E88</f>
        <v>222.688439360639</v>
      </c>
      <c r="C20" s="16" t="n">
        <f aca="false">B20/B$4-1</f>
        <v>-3.26883878773998E-005</v>
      </c>
      <c r="D20" s="15" t="n">
        <f aca="false">((cap_sk_28*1000/fx*sh_sk+cap_mu_28*sh_mu_27+cap_ss_28*1000/fx*sh_ss)+(MAX(Mkt!$C$41-(cap_sk_25*1000/fx*sh_sk+cap_mu_25*sh_mu_25+cap_ssds_25*ss_mem*1000/fx*sh_ss)*Mkt!$C$49,0)+0*Mkt!$C$49)*(1+g_oth_dram_lo)^3+(MAX(Mkt!$C$42-(cap_sk_25*1000/fx*sh_sk+cap_mu_25*sh_mu_25+cap_ssds_25*ss_mem*1000/fx*sh_ss)*(1-Mkt!$C$49),0)+0*(1-Mkt!$C$49))*(1+g_oth_nand)^3)+(cap_ts_28*sh_fd+MAX(Mkt!$C$43-cap_ts_25*sh_fd,0)*(1+g_oth_fd)^3)+Mkt!F50*(((cap_sk_28*1000/fx*sh_sk+cap_mu_28*sh_mu_27+cap_ss_28*1000/fx*sh_ss)+(MAX(Mkt!$C$41-(cap_sk_25*1000/fx*sh_sk+cap_mu_25*sh_mu_25+cap_ssds_25*ss_mem*1000/fx*sh_ss)*Mkt!$C$49,0)+0*Mkt!$C$49)*(1+g_oth_dram_lo)^3+(MAX(Mkt!$C$42-(cap_sk_25*1000/fx*sh_sk+cap_mu_25*sh_mu_25+cap_ssds_25*ss_mem*1000/fx*sh_ss)*(1-Mkt!$C$49),0)+0*(1-Mkt!$C$49))*(1+g_oth_nand)^3)+(cap_ts_28*sh_fd+MAX(Mkt!$C$43-cap_ts_25*sh_fd,0)*(1+g_oth_fd)^3))+Mkt!F87+Mkt!F88</f>
        <v>250.25327993606</v>
      </c>
      <c r="E20" s="16" t="n">
        <f aca="false">D20/D$4-1</f>
        <v>-4.97597606278211E-005</v>
      </c>
      <c r="F20" s="15" t="n">
        <f aca="false">((cap_sk_29*1000/fx*sh_sk+cap_mu_29*sh_mu_27+cap_ss_29*1000/fx*sh_ss)+(MAX(Mkt!$C$41-(cap_sk_25*1000/fx*sh_sk+cap_mu_25*sh_mu_25+cap_ssds_25*ss_mem*1000/fx*sh_ss)*Mkt!$C$49,0)+0*Mkt!$C$49)*(1+g_oth_dram_lo)^4+(MAX(Mkt!$C$42-(cap_sk_25*1000/fx*sh_sk+cap_mu_25*sh_mu_25+cap_ssds_25*ss_mem*1000/fx*sh_ss)*(1-Mkt!$C$49),0)+0*(1-Mkt!$C$49))*(1+g_oth_nand)^4)+(cap_ts_29*sh_fd+MAX(Mkt!$C$43-cap_ts_25*sh_fd,0)*(1+g_oth_fd)^4)+Mkt!G50*(((cap_sk_29*1000/fx*sh_sk+cap_mu_29*sh_mu_27+cap_ss_29*1000/fx*sh_ss)+(MAX(Mkt!$C$41-(cap_sk_25*1000/fx*sh_sk+cap_mu_25*sh_mu_25+cap_ssds_25*ss_mem*1000/fx*sh_ss)*Mkt!$C$49,0)+0*Mkt!$C$49)*(1+g_oth_dram_lo)^4+(MAX(Mkt!$C$42-(cap_sk_25*1000/fx*sh_sk+cap_mu_25*sh_mu_25+cap_ssds_25*ss_mem*1000/fx*sh_ss)*(1-Mkt!$C$49),0)+0*(1-Mkt!$C$49))*(1+g_oth_nand)^4)+(cap_ts_29*sh_fd+MAX(Mkt!$C$43-cap_ts_25*sh_fd,0)*(1+g_oth_fd)^4))+Mkt!G87+Mkt!G88</f>
        <v>262.588456900974</v>
      </c>
      <c r="G20" s="16" t="n">
        <f aca="false">F20/F$4-1</f>
        <v>-7.21393889330235E-005</v>
      </c>
    </row>
    <row r="21" customFormat="false" ht="15" hidden="false" customHeight="false" outlineLevel="0" collapsed="false">
      <c r="A21" s="8" t="s">
        <v>491</v>
      </c>
      <c r="B21" s="15" t="n">
        <f aca="false">((cap_sk_27*1000/fx*sh_sk+cap_mu_27*sh_mu_27+cap_ss_27*1000/fx*sh_ss)+(MAX(Mkt!$C$41-(cap_sk_25*1000/fx*sh_sk+cap_mu_25*sh_mu_25+cap_ssds_25*ss_mem*1000/fx*sh_ss)*Mkt!$C$49,0)+0*Mkt!$C$49)*(1+g_oth_dram_hi)^2+(MAX(Mkt!$C$42-(cap_sk_25*1000/fx*sh_sk+cap_mu_25*sh_mu_25+cap_ssds_25*ss_mem*1000/fx*sh_ss)*(1-Mkt!$C$49),0)+0*(1-Mkt!$C$49))*(1+g_oth_nand)^2)+(cap_ts_27*sh_fd+MAX(Mkt!$C$43-cap_ts_25*sh_fd,0)*(1+g_oth_fd)^2)+Mkt!E50*(((cap_sk_27*1000/fx*sh_sk+cap_mu_27*sh_mu_27+cap_ss_27*1000/fx*sh_ss)+(MAX(Mkt!$C$41-(cap_sk_25*1000/fx*sh_sk+cap_mu_25*sh_mu_25+cap_ssds_25*ss_mem*1000/fx*sh_ss)*Mkt!$C$49,0)+0*Mkt!$C$49)*(1+g_oth_dram_hi)^2+(MAX(Mkt!$C$42-(cap_sk_25*1000/fx*sh_sk+cap_mu_25*sh_mu_25+cap_ssds_25*ss_mem*1000/fx*sh_ss)*(1-Mkt!$C$49),0)+0*(1-Mkt!$C$49))*(1+g_oth_nand)^2)+(cap_ts_27*sh_fd+MAX(Mkt!$C$43-cap_ts_25*sh_fd,0)*(1+g_oth_fd)^2))+Mkt!E87+Mkt!E88</f>
        <v>222.7423177129</v>
      </c>
      <c r="C21" s="16" t="n">
        <f aca="false">B21/B$4-1</f>
        <v>0.000209248693450848</v>
      </c>
      <c r="D21" s="15" t="n">
        <f aca="false">((cap_sk_28*1000/fx*sh_sk+cap_mu_28*sh_mu_27+cap_ss_28*1000/fx*sh_ss)+(MAX(Mkt!$C$41-(cap_sk_25*1000/fx*sh_sk+cap_mu_25*sh_mu_25+cap_ssds_25*ss_mem*1000/fx*sh_ss)*Mkt!$C$49,0)+0*Mkt!$C$49)*(1+g_oth_dram_hi)^3+(MAX(Mkt!$C$42-(cap_sk_25*1000/fx*sh_sk+cap_mu_25*sh_mu_25+cap_ssds_25*ss_mem*1000/fx*sh_ss)*(1-Mkt!$C$49),0)+0*(1-Mkt!$C$49))*(1+g_oth_nand)^3)+(cap_ts_28*sh_fd+MAX(Mkt!$C$43-cap_ts_25*sh_fd,0)*(1+g_oth_fd)^3)+Mkt!F50*(((cap_sk_28*1000/fx*sh_sk+cap_mu_28*sh_mu_27+cap_ss_28*1000/fx*sh_ss)+(MAX(Mkt!$C$41-(cap_sk_25*1000/fx*sh_sk+cap_mu_25*sh_mu_25+cap_ssds_25*ss_mem*1000/fx*sh_ss)*Mkt!$C$49,0)+0*Mkt!$C$49)*(1+g_oth_dram_hi)^3+(MAX(Mkt!$C$42-(cap_sk_25*1000/fx*sh_sk+cap_mu_25*sh_mu_25+cap_ssds_25*ss_mem*1000/fx*sh_ss)*(1-Mkt!$C$49),0)+0*(1-Mkt!$C$49))*(1+g_oth_nand)^3)+(cap_ts_28*sh_fd+MAX(Mkt!$C$43-cap_ts_25*sh_fd,0)*(1+g_oth_fd)^3))+Mkt!F87+Mkt!F88</f>
        <v>250.363630783469</v>
      </c>
      <c r="E21" s="16" t="n">
        <f aca="false">D21/D$4-1</f>
        <v>0.000391174945222339</v>
      </c>
      <c r="F21" s="15" t="n">
        <f aca="false">((cap_sk_29*1000/fx*sh_sk+cap_mu_29*sh_mu_27+cap_ss_29*1000/fx*sh_ss)+(MAX(Mkt!$C$41-(cap_sk_25*1000/fx*sh_sk+cap_mu_25*sh_mu_25+cap_ssds_25*ss_mem*1000/fx*sh_ss)*Mkt!$C$49,0)+0*Mkt!$C$49)*(1+g_oth_dram_hi)^4+(MAX(Mkt!$C$42-(cap_sk_25*1000/fx*sh_sk+cap_mu_25*sh_mu_25+cap_ssds_25*ss_mem*1000/fx*sh_ss)*(1-Mkt!$C$49),0)+0*(1-Mkt!$C$49))*(1+g_oth_nand)^4)+(cap_ts_29*sh_fd+MAX(Mkt!$C$43-cap_ts_25*sh_fd,0)*(1+g_oth_fd)^4)+Mkt!G50*(((cap_sk_29*1000/fx*sh_sk+cap_mu_29*sh_mu_27+cap_ss_29*1000/fx*sh_ss)+(MAX(Mkt!$C$41-(cap_sk_25*1000/fx*sh_sk+cap_mu_25*sh_mu_25+cap_ssds_25*ss_mem*1000/fx*sh_ss)*Mkt!$C$49,0)+0*Mkt!$C$49)*(1+g_oth_dram_hi)^4+(MAX(Mkt!$C$42-(cap_sk_25*1000/fx*sh_sk+cap_mu_25*sh_mu_25+cap_ssds_25*ss_mem*1000/fx*sh_ss)*(1-Mkt!$C$49),0)+0*(1-Mkt!$C$49))*(1+g_oth_nand)^4)+(cap_ts_29*sh_fd+MAX(Mkt!$C$43-cap_ts_25*sh_fd,0)*(1+g_oth_fd)^4))+Mkt!G87+Mkt!G88</f>
        <v>262.791578288998</v>
      </c>
      <c r="G21" s="16" t="n">
        <f aca="false">F21/F$4-1</f>
        <v>0.000701339907787757</v>
      </c>
    </row>
    <row r="22" customFormat="false" ht="15" hidden="false" customHeight="false" outlineLevel="0" collapsed="false">
      <c r="A22" s="8" t="s">
        <v>492</v>
      </c>
      <c r="B22" s="15" t="n">
        <f aca="false">((cap_sk_27*1000/fx*sh_sk+cap_mu_27*sh_mu_27+cap_ss_27*1000/fx*sh_ss)+(MAX(Mkt!$C$41-(cap_sk_25*1000/fx*sh_sk+cap_mu_25*sh_mu_25+cap_ssds_25*ss_mem*1000/fx*sh_ss)*Mkt!$C$49,0)+0*Mkt!$C$49)*(1+g_oth_dram)^2+(MAX(Mkt!$C$42-(cap_sk_25*1000/fx*sh_sk+cap_mu_25*sh_mu_25+cap_ssds_25*ss_mem*1000/fx*sh_ss)*(1-Mkt!$C$49),0)+0*(1-Mkt!$C$49))*(1+g_oth_nand_lo)^2)+(cap_ts_27*sh_fd+MAX(Mkt!$C$43-cap_ts_25*sh_fd,0)*(1+g_oth_fd)^2)+Mkt!E50*(((cap_sk_27*1000/fx*sh_sk+cap_mu_27*sh_mu_27+cap_ss_27*1000/fx*sh_ss)+(MAX(Mkt!$C$41-(cap_sk_25*1000/fx*sh_sk+cap_mu_25*sh_mu_25+cap_ssds_25*ss_mem*1000/fx*sh_ss)*Mkt!$C$49,0)+0*Mkt!$C$49)*(1+g_oth_dram)^2+(MAX(Mkt!$C$42-(cap_sk_25*1000/fx*sh_sk+cap_mu_25*sh_mu_25+cap_ssds_25*ss_mem*1000/fx*sh_ss)*(1-Mkt!$C$49),0)+0*(1-Mkt!$C$49))*(1+g_oth_nand_lo)^2)+(cap_ts_27*sh_fd+MAX(Mkt!$C$43-cap_ts_25*sh_fd,0)*(1+g_oth_fd)^2))+Mkt!E87+Mkt!E88</f>
        <v>222.689752257369</v>
      </c>
      <c r="C22" s="16" t="n">
        <f aca="false">B22/B$4-1</f>
        <v>-2.67929142825363E-005</v>
      </c>
      <c r="D22" s="15" t="n">
        <f aca="false">((cap_sk_28*1000/fx*sh_sk+cap_mu_28*sh_mu_27+cap_ss_28*1000/fx*sh_ss)+(MAX(Mkt!$C$41-(cap_sk_25*1000/fx*sh_sk+cap_mu_25*sh_mu_25+cap_ssds_25*ss_mem*1000/fx*sh_ss)*Mkt!$C$49,0)+0*Mkt!$C$49)*(1+g_oth_dram)^3+(MAX(Mkt!$C$42-(cap_sk_25*1000/fx*sh_sk+cap_mu_25*sh_mu_25+cap_ssds_25*ss_mem*1000/fx*sh_ss)*(1-Mkt!$C$49),0)+0*(1-Mkt!$C$49))*(1+g_oth_nand_lo)^3)+(cap_ts_28*sh_fd+MAX(Mkt!$C$43-cap_ts_25*sh_fd,0)*(1+g_oth_fd)^3)+Mkt!F50*(((cap_sk_28*1000/fx*sh_sk+cap_mu_28*sh_mu_27+cap_ss_28*1000/fx*sh_ss)+(MAX(Mkt!$C$41-(cap_sk_25*1000/fx*sh_sk+cap_mu_25*sh_mu_25+cap_ssds_25*ss_mem*1000/fx*sh_ss)*Mkt!$C$49,0)+0*Mkt!$C$49)*(1+g_oth_dram)^3+(MAX(Mkt!$C$42-(cap_sk_25*1000/fx*sh_sk+cap_mu_25*sh_mu_25+cap_ssds_25*ss_mem*1000/fx*sh_ss)*(1-Mkt!$C$49),0)+0*(1-Mkt!$C$49))*(1+g_oth_nand_lo)^3)+(cap_ts_28*sh_fd+MAX(Mkt!$C$43-cap_ts_25*sh_fd,0)*(1+g_oth_fd)^3))+Mkt!F87+Mkt!F88</f>
        <v>250.255955428257</v>
      </c>
      <c r="E22" s="16" t="n">
        <f aca="false">D22/D$4-1</f>
        <v>-3.90691552334399E-005</v>
      </c>
      <c r="F22" s="15" t="n">
        <f aca="false">((cap_sk_29*1000/fx*sh_sk+cap_mu_29*sh_mu_27+cap_ss_29*1000/fx*sh_ss)+(MAX(Mkt!$C$41-(cap_sk_25*1000/fx*sh_sk+cap_mu_25*sh_mu_25+cap_ssds_25*ss_mem*1000/fx*sh_ss)*Mkt!$C$49,0)+0*Mkt!$C$49)*(1+g_oth_dram)^4+(MAX(Mkt!$C$42-(cap_sk_25*1000/fx*sh_sk+cap_mu_25*sh_mu_25+cap_ssds_25*ss_mem*1000/fx*sh_ss)*(1-Mkt!$C$49),0)+0*(1-Mkt!$C$49))*(1+g_oth_nand_lo)^4)+(cap_ts_29*sh_fd+MAX(Mkt!$C$43-cap_ts_25*sh_fd,0)*(1+g_oth_fd)^4)+Mkt!G50*(((cap_sk_29*1000/fx*sh_sk+cap_mu_29*sh_mu_27+cap_ss_29*1000/fx*sh_ss)+(MAX(Mkt!$C$41-(cap_sk_25*1000/fx*sh_sk+cap_mu_25*sh_mu_25+cap_ssds_25*ss_mem*1000/fx*sh_ss)*Mkt!$C$49,0)+0*Mkt!$C$49)*(1+g_oth_dram)^4+(MAX(Mkt!$C$42-(cap_sk_25*1000/fx*sh_sk+cap_mu_25*sh_mu_25+cap_ssds_25*ss_mem*1000/fx*sh_ss)*(1-Mkt!$C$49),0)+0*(1-Mkt!$C$49))*(1+g_oth_nand_lo)^4)+(cap_ts_29*sh_fd+MAX(Mkt!$C$43-cap_ts_25*sh_fd,0)*(1+g_oth_fd)^4))+Mkt!G87+Mkt!G88</f>
        <v>262.593126583561</v>
      </c>
      <c r="G22" s="16" t="n">
        <f aca="false">F22/F$4-1</f>
        <v>-5.43573973953437E-005</v>
      </c>
    </row>
    <row r="23" customFormat="false" ht="15" hidden="false" customHeight="false" outlineLevel="0" collapsed="false">
      <c r="A23" s="8" t="s">
        <v>493</v>
      </c>
      <c r="B23" s="15" t="n">
        <f aca="false">((cap_sk_27*1000/fx*sh_sk+cap_mu_27*sh_mu_27+cap_ss_27*1000/fx*sh_ss)+(MAX(Mkt!$C$41-(cap_sk_25*1000/fx*sh_sk+cap_mu_25*sh_mu_25+cap_ssds_25*ss_mem*1000/fx*sh_ss)*Mkt!$C$49,0)+0*Mkt!$C$49)*(1+g_oth_dram)^2+(MAX(Mkt!$C$42-(cap_sk_25*1000/fx*sh_sk+cap_mu_25*sh_mu_25+cap_ssds_25*ss_mem*1000/fx*sh_ss)*(1-Mkt!$C$49),0)+0*(1-Mkt!$C$49))*(1+g_oth_nand_hi)^2)+(cap_ts_27*sh_fd+MAX(Mkt!$C$43-cap_ts_25*sh_fd,0)*(1+g_oth_fd)^2)+Mkt!E50*(((cap_sk_27*1000/fx*sh_sk+cap_mu_27*sh_mu_27+cap_ss_27*1000/fx*sh_ss)+(MAX(Mkt!$C$41-(cap_sk_25*1000/fx*sh_sk+cap_mu_25*sh_mu_25+cap_ssds_25*ss_mem*1000/fx*sh_ss)*Mkt!$C$49,0)+0*Mkt!$C$49)*(1+g_oth_dram)^2+(MAX(Mkt!$C$42-(cap_sk_25*1000/fx*sh_sk+cap_mu_25*sh_mu_25+cap_ssds_25*ss_mem*1000/fx*sh_ss)*(1-Mkt!$C$49),0)+0*(1-Mkt!$C$49))*(1+g_oth_nand_hi)^2)+(cap_ts_27*sh_fd+MAX(Mkt!$C$43-cap_ts_25*sh_fd,0)*(1+g_oth_fd)^2))+Mkt!E87+Mkt!E88</f>
        <v>222.71347295309</v>
      </c>
      <c r="C23" s="16" t="n">
        <f aca="false">B23/B$4-1</f>
        <v>7.97232587053109E-005</v>
      </c>
      <c r="D23" s="15" t="n">
        <f aca="false">((cap_sk_28*1000/fx*sh_sk+cap_mu_28*sh_mu_27+cap_ss_28*1000/fx*sh_ss)+(MAX(Mkt!$C$41-(cap_sk_25*1000/fx*sh_sk+cap_mu_25*sh_mu_25+cap_ssds_25*ss_mem*1000/fx*sh_ss)*Mkt!$C$49,0)+0*Mkt!$C$49)*(1+g_oth_dram)^3+(MAX(Mkt!$C$42-(cap_sk_25*1000/fx*sh_sk+cap_mu_25*sh_mu_25+cap_ssds_25*ss_mem*1000/fx*sh_ss)*(1-Mkt!$C$49),0)+0*(1-Mkt!$C$49))*(1+g_oth_nand_hi)^3)+(cap_ts_28*sh_fd+MAX(Mkt!$C$43-cap_ts_25*sh_fd,0)*(1+g_oth_fd)^3)+Mkt!F50*(((cap_sk_28*1000/fx*sh_sk+cap_mu_28*sh_mu_27+cap_ss_28*1000/fx*sh_ss)+(MAX(Mkt!$C$41-(cap_sk_25*1000/fx*sh_sk+cap_mu_25*sh_mu_25+cap_ssds_25*ss_mem*1000/fx*sh_ss)*Mkt!$C$49,0)+0*Mkt!$C$49)*(1+g_oth_dram)^3+(MAX(Mkt!$C$42-(cap_sk_25*1000/fx*sh_sk+cap_mu_25*sh_mu_25+cap_ssds_25*ss_mem*1000/fx*sh_ss)*(1-Mkt!$C$49),0)+0*(1-Mkt!$C$49))*(1+g_oth_nand_hi)^3)+(cap_ts_28*sh_fd+MAX(Mkt!$C$43-cap_ts_25*sh_fd,0)*(1+g_oth_fd)^3))+Mkt!F87+Mkt!F88</f>
        <v>250.303031885917</v>
      </c>
      <c r="E23" s="16" t="n">
        <f aca="false">D23/D$4-1</f>
        <v>0.000149036731569074</v>
      </c>
      <c r="F23" s="15" t="n">
        <f aca="false">((cap_sk_29*1000/fx*sh_sk+cap_mu_29*sh_mu_27+cap_ss_29*1000/fx*sh_ss)+(MAX(Mkt!$C$41-(cap_sk_25*1000/fx*sh_sk+cap_mu_25*sh_mu_25+cap_ssds_25*ss_mem*1000/fx*sh_ss)*Mkt!$C$49,0)+0*Mkt!$C$49)*(1+g_oth_dram)^4+(MAX(Mkt!$C$42-(cap_sk_25*1000/fx*sh_sk+cap_mu_25*sh_mu_25+cap_ssds_25*ss_mem*1000/fx*sh_ss)*(1-Mkt!$C$49),0)+0*(1-Mkt!$C$49))*(1+g_oth_nand_hi)^4)+(cap_ts_29*sh_fd+MAX(Mkt!$C$43-cap_ts_25*sh_fd,0)*(1+g_oth_fd)^4)+Mkt!G50*(((cap_sk_29*1000/fx*sh_sk+cap_mu_29*sh_mu_27+cap_ss_29*1000/fx*sh_ss)+(MAX(Mkt!$C$41-(cap_sk_25*1000/fx*sh_sk+cap_mu_25*sh_mu_25+cap_ssds_25*ss_mem*1000/fx*sh_ss)*Mkt!$C$49,0)+0*Mkt!$C$49)*(1+g_oth_dram)^4+(MAX(Mkt!$C$42-(cap_sk_25*1000/fx*sh_sk+cap_mu_25*sh_mu_25+cap_ssds_25*ss_mem*1000/fx*sh_ss)*(1-Mkt!$C$49),0)+0*(1-Mkt!$C$49))*(1+g_oth_nand_hi)^4)+(cap_ts_29*sh_fd+MAX(Mkt!$C$43-cap_ts_25*sh_fd,0)*(1+g_oth_fd)^4))+Mkt!G87+Mkt!G88</f>
        <v>262.677572260326</v>
      </c>
      <c r="G23" s="16" t="n">
        <f aca="false">F23/F$4-1</f>
        <v>0.000267208850802669</v>
      </c>
    </row>
    <row r="24" customFormat="false" ht="15" hidden="false" customHeight="false" outlineLevel="0" collapsed="false">
      <c r="A24" s="8" t="s">
        <v>494</v>
      </c>
      <c r="B24" s="15" t="n">
        <f aca="false">((cap_sk_27*1000/fx*sh_sk+cap_mu_27*sh_mu_27+cap_ss_27*1000/fx*sh_ss)+(MAX(Mkt!$C$41-(cap_sk_25*1000/fx*sh_sk+cap_mu_25*sh_mu_25+cap_ssds_25*ss_mem*1000/fx*sh_ss)*Mkt!$C$49,0)+0*Mkt!$C$49)*(1+g_oth_dram)^2+(MAX(Mkt!$C$42-(cap_sk_25*1000/fx*sh_sk+cap_mu_25*sh_mu_25+cap_ssds_25*ss_mem*1000/fx*sh_ss)*(1-Mkt!$C$49),0)+0*(1-Mkt!$C$49))*(1+g_oth_nand)^2)+(cap_ts_27*sh_fd+MAX(Mkt!$C$43-cap_ts_25*sh_fd,0)*(1+g_oth_fd_lo)^2)+Mkt!E50*(((cap_sk_27*1000/fx*sh_sk+cap_mu_27*sh_mu_27+cap_ss_27*1000/fx*sh_ss)+(MAX(Mkt!$C$41-(cap_sk_25*1000/fx*sh_sk+cap_mu_25*sh_mu_25+cap_ssds_25*ss_mem*1000/fx*sh_ss)*Mkt!$C$49,0)+0*Mkt!$C$49)*(1+g_oth_dram)^2+(MAX(Mkt!$C$42-(cap_sk_25*1000/fx*sh_sk+cap_mu_25*sh_mu_25+cap_ssds_25*ss_mem*1000/fx*sh_ss)*(1-Mkt!$C$49),0)+0*(1-Mkt!$C$49))*(1+g_oth_nand)^2)+(cap_ts_27*sh_fd+MAX(Mkt!$C$43-cap_ts_25*sh_fd,0)*(1+g_oth_fd_lo)^2))+Mkt!E87+Mkt!E88</f>
        <v>215.332426275992</v>
      </c>
      <c r="C24" s="16" t="n">
        <f aca="false">B24/B$4-1</f>
        <v>-0.0330643655129106</v>
      </c>
      <c r="D24" s="15" t="n">
        <f aca="false">((cap_sk_28*1000/fx*sh_sk+cap_mu_28*sh_mu_27+cap_ss_28*1000/fx*sh_ss)+(MAX(Mkt!$C$41-(cap_sk_25*1000/fx*sh_sk+cap_mu_25*sh_mu_25+cap_ssds_25*ss_mem*1000/fx*sh_ss)*Mkt!$C$49,0)+0*Mkt!$C$49)*(1+g_oth_dram)^3+(MAX(Mkt!$C$42-(cap_sk_25*1000/fx*sh_sk+cap_mu_25*sh_mu_25+cap_ssds_25*ss_mem*1000/fx*sh_ss)*(1-Mkt!$C$49),0)+0*(1-Mkt!$C$49))*(1+g_oth_nand)^3)+(cap_ts_28*sh_fd+MAX(Mkt!$C$43-cap_ts_25*sh_fd,0)*(1+g_oth_fd_lo)^3)+Mkt!F50*(((cap_sk_28*1000/fx*sh_sk+cap_mu_28*sh_mu_27+cap_ss_28*1000/fx*sh_ss)+(MAX(Mkt!$C$41-(cap_sk_25*1000/fx*sh_sk+cap_mu_25*sh_mu_25+cap_ssds_25*ss_mem*1000/fx*sh_ss)*Mkt!$C$49,0)+0*Mkt!$C$49)*(1+g_oth_dram)^3+(MAX(Mkt!$C$42-(cap_sk_25*1000/fx*sh_sk+cap_mu_25*sh_mu_25+cap_ssds_25*ss_mem*1000/fx*sh_ss)*(1-Mkt!$C$49),0)+0*(1-Mkt!$C$49))*(1+g_oth_nand)^3)+(cap_ts_28*sh_fd+MAX(Mkt!$C$43-cap_ts_25*sh_fd,0)*(1+g_oth_fd_lo)^3))+Mkt!F87+Mkt!F88</f>
        <v>238.773332495814</v>
      </c>
      <c r="E24" s="16" t="n">
        <f aca="false">D24/D$4-1</f>
        <v>-0.0459207917157023</v>
      </c>
      <c r="F24" s="15" t="n">
        <f aca="false">((cap_sk_29*1000/fx*sh_sk+cap_mu_29*sh_mu_27+cap_ss_29*1000/fx*sh_ss)+(MAX(Mkt!$C$41-(cap_sk_25*1000/fx*sh_sk+cap_mu_25*sh_mu_25+cap_ssds_25*ss_mem*1000/fx*sh_ss)*Mkt!$C$49,0)+0*Mkt!$C$49)*(1+g_oth_dram)^4+(MAX(Mkt!$C$42-(cap_sk_25*1000/fx*sh_sk+cap_mu_25*sh_mu_25+cap_ssds_25*ss_mem*1000/fx*sh_ss)*(1-Mkt!$C$49),0)+0*(1-Mkt!$C$49))*(1+g_oth_nand)^4)+(cap_ts_29*sh_fd+MAX(Mkt!$C$43-cap_ts_25*sh_fd,0)*(1+g_oth_fd_lo)^4)+Mkt!G50*(((cap_sk_29*1000/fx*sh_sk+cap_mu_29*sh_mu_27+cap_ss_29*1000/fx*sh_ss)+(MAX(Mkt!$C$41-(cap_sk_25*1000/fx*sh_sk+cap_mu_25*sh_mu_25+cap_ssds_25*ss_mem*1000/fx*sh_ss)*Mkt!$C$49,0)+0*Mkt!$C$49)*(1+g_oth_dram)^4+(MAX(Mkt!$C$42-(cap_sk_25*1000/fx*sh_sk+cap_mu_25*sh_mu_25+cap_ssds_25*ss_mem*1000/fx*sh_ss)*(1-Mkt!$C$49),0)+0*(1-Mkt!$C$49))*(1+g_oth_nand)^4)+(cap_ts_29*sh_fd+MAX(Mkt!$C$43-cap_ts_25*sh_fd,0)*(1+g_oth_fd_lo)^4))+Mkt!G87+Mkt!G88</f>
        <v>246.655564044316</v>
      </c>
      <c r="G24" s="16" t="n">
        <f aca="false">F24/F$4-1</f>
        <v>-0.060744050315741</v>
      </c>
    </row>
    <row r="25" customFormat="false" ht="15" hidden="false" customHeight="false" outlineLevel="0" collapsed="false">
      <c r="A25" s="8" t="s">
        <v>495</v>
      </c>
      <c r="B25" s="15" t="n">
        <f aca="false">((cap_sk_27*1000/fx*sh_sk+cap_mu_27*sh_mu_27+cap_ss_27*1000/fx*sh_ss)+(MAX(Mkt!$C$41-(cap_sk_25*1000/fx*sh_sk+cap_mu_25*sh_mu_25+cap_ssds_25*ss_mem*1000/fx*sh_ss)*Mkt!$C$49,0)+0*Mkt!$C$49)*(1+g_oth_dram)^2+(MAX(Mkt!$C$42-(cap_sk_25*1000/fx*sh_sk+cap_mu_25*sh_mu_25+cap_ssds_25*ss_mem*1000/fx*sh_ss)*(1-Mkt!$C$49),0)+0*(1-Mkt!$C$49))*(1+g_oth_nand)^2)+(cap_ts_27*sh_fd+MAX(Mkt!$C$43-cap_ts_25*sh_fd,0)*(1+g_oth_fd_hi)^2)+Mkt!E50*(((cap_sk_27*1000/fx*sh_sk+cap_mu_27*sh_mu_27+cap_ss_27*1000/fx*sh_ss)+(MAX(Mkt!$C$41-(cap_sk_25*1000/fx*sh_sk+cap_mu_25*sh_mu_25+cap_ssds_25*ss_mem*1000/fx*sh_ss)*Mkt!$C$49,0)+0*Mkt!$C$49)*(1+g_oth_dram)^2+(MAX(Mkt!$C$42-(cap_sk_25*1000/fx*sh_sk+cap_mu_25*sh_mu_25+cap_ssds_25*ss_mem*1000/fx*sh_ss)*(1-Mkt!$C$49),0)+0*(1-Mkt!$C$49))*(1+g_oth_nand)^2)+(cap_ts_27*sh_fd+MAX(Mkt!$C$43-cap_ts_25*sh_fd,0)*(1+g_oth_fd_hi)^2))+Mkt!E87+Mkt!E88</f>
        <v>234.802671260497</v>
      </c>
      <c r="C25" s="16" t="n">
        <f aca="false">B25/B$4-1</f>
        <v>0.0543654471414199</v>
      </c>
      <c r="D25" s="15" t="n">
        <f aca="false">((cap_sk_28*1000/fx*sh_sk+cap_mu_28*sh_mu_27+cap_ss_28*1000/fx*sh_ss)+(MAX(Mkt!$C$41-(cap_sk_25*1000/fx*sh_sk+cap_mu_25*sh_mu_25+cap_ssds_25*ss_mem*1000/fx*sh_ss)*Mkt!$C$49,0)+0*Mkt!$C$49)*(1+g_oth_dram)^3+(MAX(Mkt!$C$42-(cap_sk_25*1000/fx*sh_sk+cap_mu_25*sh_mu_25+cap_ssds_25*ss_mem*1000/fx*sh_ss)*(1-Mkt!$C$49),0)+0*(1-Mkt!$C$49))*(1+g_oth_nand)^3)+(cap_ts_28*sh_fd+MAX(Mkt!$C$43-cap_ts_25*sh_fd,0)*(1+g_oth_fd_hi)^3)+Mkt!F50*(((cap_sk_28*1000/fx*sh_sk+cap_mu_28*sh_mu_27+cap_ss_28*1000/fx*sh_ss)+(MAX(Mkt!$C$41-(cap_sk_25*1000/fx*sh_sk+cap_mu_25*sh_mu_25+cap_ssds_25*ss_mem*1000/fx*sh_ss)*Mkt!$C$49,0)+0*Mkt!$C$49)*(1+g_oth_dram)^3+(MAX(Mkt!$C$42-(cap_sk_25*1000/fx*sh_sk+cap_mu_25*sh_mu_25+cap_ssds_25*ss_mem*1000/fx*sh_ss)*(1-Mkt!$C$49),0)+0*(1-Mkt!$C$49))*(1+g_oth_nand)^3)+(cap_ts_28*sh_fd+MAX(Mkt!$C$43-cap_ts_25*sh_fd,0)*(1+g_oth_fd_hi)^3))+Mkt!F87+Mkt!F88</f>
        <v>270.987737833815</v>
      </c>
      <c r="E25" s="16" t="n">
        <f aca="false">D25/D$4-1</f>
        <v>0.0828000081280911</v>
      </c>
      <c r="F25" s="15" t="n">
        <f aca="false">((cap_sk_29*1000/fx*sh_sk+cap_mu_29*sh_mu_27+cap_ss_29*1000/fx*sh_ss)+(MAX(Mkt!$C$41-(cap_sk_25*1000/fx*sh_sk+cap_mu_25*sh_mu_25+cap_ssds_25*ss_mem*1000/fx*sh_ss)*Mkt!$C$49,0)+0*Mkt!$C$49)*(1+g_oth_dram)^4+(MAX(Mkt!$C$42-(cap_sk_25*1000/fx*sh_sk+cap_mu_25*sh_mu_25+cap_ssds_25*ss_mem*1000/fx*sh_ss)*(1-Mkt!$C$49),0)+0*(1-Mkt!$C$49))*(1+g_oth_nand)^4)+(cap_ts_29*sh_fd+MAX(Mkt!$C$43-cap_ts_25*sh_fd,0)*(1+g_oth_fd_hi)^4)+Mkt!G50*(((cap_sk_29*1000/fx*sh_sk+cap_mu_29*sh_mu_27+cap_ss_29*1000/fx*sh_ss)+(MAX(Mkt!$C$41-(cap_sk_25*1000/fx*sh_sk+cap_mu_25*sh_mu_25+cap_ssds_25*ss_mem*1000/fx*sh_ss)*Mkt!$C$49,0)+0*Mkt!$C$49)*(1+g_oth_dram)^4+(MAX(Mkt!$C$42-(cap_sk_25*1000/fx*sh_sk+cap_mu_25*sh_mu_25+cap_ssds_25*ss_mem*1000/fx*sh_ss)*(1-Mkt!$C$49),0)+0*(1-Mkt!$C$49))*(1+g_oth_nand)^4)+(cap_ts_29*sh_fd+MAX(Mkt!$C$43-cap_ts_25*sh_fd,0)*(1+g_oth_fd_hi)^4))+Mkt!G87+Mkt!G88</f>
        <v>294.16296180651</v>
      </c>
      <c r="G25" s="16" t="n">
        <f aca="false">F25/F$4-1</f>
        <v>0.120162495113499</v>
      </c>
    </row>
    <row r="26" customFormat="false" ht="15" hidden="false" customHeight="false" outlineLevel="0" collapsed="false">
      <c r="A26" s="8" t="s">
        <v>496</v>
      </c>
      <c r="B26" s="15" t="n">
        <f aca="false">((cap_sk_27*1000/fx*sh_sk+cap_mu_27*sh_mu_27+cap_ss_27*1000/fx*sh_ss)+(MAX(Mkt!$C$41-(cap_sk_25*1000/fx*sh_sk+cap_mu_25*sh_mu_25+cap_ssds_25*ss_mem*1000/fx*sh_ss)*Mkt!$C$49,0)+5*Mkt!$C$49)*(1+g_oth_dram)^2+(MAX(Mkt!$C$42-(cap_sk_25*1000/fx*sh_sk+cap_mu_25*sh_mu_25+cap_ssds_25*ss_mem*1000/fx*sh_ss)*(1-Mkt!$C$49),0)+5*(1-Mkt!$C$49))*(1+g_oth_nand)^2)+(cap_ts_27*sh_fd+MAX(Mkt!$C$43-cap_ts_25*sh_fd,0)*(1+g_oth_fd)^2)+Mkt!E50*(((cap_sk_27*1000/fx*sh_sk+cap_mu_27*sh_mu_27+cap_ss_27*1000/fx*sh_ss)+(MAX(Mkt!$C$41-(cap_sk_25*1000/fx*sh_sk+cap_mu_25*sh_mu_25+cap_ssds_25*ss_mem*1000/fx*sh_ss)*Mkt!$C$49,0)+5*Mkt!$C$49)*(1+g_oth_dram)^2+(MAX(Mkt!$C$42-(cap_sk_25*1000/fx*sh_sk+cap_mu_25*sh_mu_25+cap_ssds_25*ss_mem*1000/fx*sh_ss)*(1-Mkt!$C$49),0)+5*(1-Mkt!$C$49))*(1+g_oth_nand)^2)+(cap_ts_27*sh_fd+MAX(Mkt!$C$43-cap_ts_25*sh_fd,0)*(1+g_oth_fd)^2))+Mkt!E87+Mkt!E88</f>
        <v>230.509788049458</v>
      </c>
      <c r="C26" s="16" t="n">
        <f aca="false">B26/B$4-1</f>
        <v>0.0350885466613895</v>
      </c>
      <c r="D26" s="15" t="n">
        <f aca="false">((cap_sk_28*1000/fx*sh_sk+cap_mu_28*sh_mu_27+cap_ss_28*1000/fx*sh_ss)+(MAX(Mkt!$C$41-(cap_sk_25*1000/fx*sh_sk+cap_mu_25*sh_mu_25+cap_ssds_25*ss_mem*1000/fx*sh_ss)*Mkt!$C$49,0)+5*Mkt!$C$49)*(1+g_oth_dram)^3+(MAX(Mkt!$C$42-(cap_sk_25*1000/fx*sh_sk+cap_mu_25*sh_mu_25+cap_ssds_25*ss_mem*1000/fx*sh_ss)*(1-Mkt!$C$49),0)+5*(1-Mkt!$C$49))*(1+g_oth_nand)^3)+(cap_ts_28*sh_fd+MAX(Mkt!$C$43-cap_ts_25*sh_fd,0)*(1+g_oth_fd)^3)+Mkt!F50*(((cap_sk_28*1000/fx*sh_sk+cap_mu_28*sh_mu_27+cap_ss_28*1000/fx*sh_ss)+(MAX(Mkt!$C$41-(cap_sk_25*1000/fx*sh_sk+cap_mu_25*sh_mu_25+cap_ssds_25*ss_mem*1000/fx*sh_ss)*Mkt!$C$49,0)+5*Mkt!$C$49)*(1+g_oth_dram)^3+(MAX(Mkt!$C$42-(cap_sk_25*1000/fx*sh_sk+cap_mu_25*sh_mu_25+cap_ssds_25*ss_mem*1000/fx*sh_ss)*(1-Mkt!$C$49),0)+5*(1-Mkt!$C$49))*(1+g_oth_nand)^3)+(cap_ts_28*sh_fd+MAX(Mkt!$C$43-cap_ts_25*sh_fd,0)*(1+g_oth_fd)^3))+Mkt!F87+Mkt!F88</f>
        <v>259.486334666273</v>
      </c>
      <c r="E26" s="16" t="n">
        <f aca="false">D26/D$4-1</f>
        <v>0.0368432443909212</v>
      </c>
      <c r="F26" s="15" t="n">
        <f aca="false">((cap_sk_29*1000/fx*sh_sk+cap_mu_29*sh_mu_27+cap_ss_29*1000/fx*sh_ss)+(MAX(Mkt!$C$41-(cap_sk_25*1000/fx*sh_sk+cap_mu_25*sh_mu_25+cap_ssds_25*ss_mem*1000/fx*sh_ss)*Mkt!$C$49,0)+5*Mkt!$C$49)*(1+g_oth_dram)^4+(MAX(Mkt!$C$42-(cap_sk_25*1000/fx*sh_sk+cap_mu_25*sh_mu_25+cap_ssds_25*ss_mem*1000/fx*sh_ss)*(1-Mkt!$C$49),0)+5*(1-Mkt!$C$49))*(1+g_oth_nand)^4)+(cap_ts_29*sh_fd+MAX(Mkt!$C$43-cap_ts_25*sh_fd,0)*(1+g_oth_fd)^4)+Mkt!G50*(((cap_sk_29*1000/fx*sh_sk+cap_mu_29*sh_mu_27+cap_ss_29*1000/fx*sh_ss)+(MAX(Mkt!$C$41-(cap_sk_25*1000/fx*sh_sk+cap_mu_25*sh_mu_25+cap_ssds_25*ss_mem*1000/fx*sh_ss)*Mkt!$C$49,0)+5*Mkt!$C$49)*(1+g_oth_dram)^4+(MAX(Mkt!$C$42-(cap_sk_25*1000/fx*sh_sk+cap_mu_25*sh_mu_25+cap_ssds_25*ss_mem*1000/fx*sh_ss)*(1-Mkt!$C$49),0)+5*(1-Mkt!$C$49))*(1+g_oth_nand)^4)+(cap_ts_29*sh_fd+MAX(Mkt!$C$43-cap_ts_25*sh_fd,0)*(1+g_oth_fd)^4))+Mkt!G87+Mkt!G88</f>
        <v>273.487711087773</v>
      </c>
      <c r="G26" s="16" t="n">
        <f aca="false">F26/F$4-1</f>
        <v>0.0414318476860656</v>
      </c>
      <c r="H26" s="12" t="s">
        <v>497</v>
      </c>
    </row>
    <row r="27" customFormat="false" ht="15" hidden="false" customHeight="false" outlineLevel="0" collapsed="false">
      <c r="A27" s="8" t="s">
        <v>498</v>
      </c>
      <c r="B27" s="15" t="n">
        <f aca="false">((cap_sk_27*1000/fx*sh_sk+cap_mu_27*sh_mu_27+cap_ss_27*1000/fx*sh_ss)+(MAX(Mkt!$C$41-(cap_sk_25*1000/fx*sh_sk+cap_mu_25*sh_mu_25+cap_ssds_25*ss_mem*1000/fx*sh_ss)*Mkt!$C$49,0)+10*Mkt!$C$49)*(1+g_oth_dram)^2+(MAX(Mkt!$C$42-(cap_sk_25*1000/fx*sh_sk+cap_mu_25*sh_mu_25+cap_ssds_25*ss_mem*1000/fx*sh_ss)*(1-Mkt!$C$49),0)+10*(1-Mkt!$C$49))*(1+g_oth_nand)^2)+(cap_ts_27*sh_fd+MAX(Mkt!$C$43-cap_ts_25*sh_fd,0)*(1+g_oth_fd)^2)+Mkt!E50*(((cap_sk_27*1000/fx*sh_sk+cap_mu_27*sh_mu_27+cap_ss_27*1000/fx*sh_ss)+(MAX(Mkt!$C$41-(cap_sk_25*1000/fx*sh_sk+cap_mu_25*sh_mu_25+cap_ssds_25*ss_mem*1000/fx*sh_ss)*Mkt!$C$49,0)+10*Mkt!$C$49)*(1+g_oth_dram)^2+(MAX(Mkt!$C$42-(cap_sk_25*1000/fx*sh_sk+cap_mu_25*sh_mu_25+cap_ssds_25*ss_mem*1000/fx*sh_ss)*(1-Mkt!$C$49),0)+10*(1-Mkt!$C$49))*(1+g_oth_nand)^2)+(cap_ts_27*sh_fd+MAX(Mkt!$C$43-cap_ts_25*sh_fd,0)*(1+g_oth_fd)^2))+Mkt!E87+Mkt!E88</f>
        <v>238.323857174238</v>
      </c>
      <c r="C27" s="16" t="n">
        <f aca="false">B27/B$4-1</f>
        <v>0.0701770933227792</v>
      </c>
      <c r="D27" s="15" t="n">
        <f aca="false">((cap_sk_28*1000/fx*sh_sk+cap_mu_28*sh_mu_27+cap_ss_28*1000/fx*sh_ss)+(MAX(Mkt!$C$41-(cap_sk_25*1000/fx*sh_sk+cap_mu_25*sh_mu_25+cap_ssds_25*ss_mem*1000/fx*sh_ss)*Mkt!$C$49,0)+10*Mkt!$C$49)*(1+g_oth_dram)^3+(MAX(Mkt!$C$42-(cap_sk_25*1000/fx*sh_sk+cap_mu_25*sh_mu_25+cap_ssds_25*ss_mem*1000/fx*sh_ss)*(1-Mkt!$C$49),0)+10*(1-Mkt!$C$49))*(1+g_oth_nand)^3)+(cap_ts_28*sh_fd+MAX(Mkt!$C$43-cap_ts_25*sh_fd,0)*(1+g_oth_fd)^3)+Mkt!F50*(((cap_sk_28*1000/fx*sh_sk+cap_mu_28*sh_mu_27+cap_ss_28*1000/fx*sh_ss)+(MAX(Mkt!$C$41-(cap_sk_25*1000/fx*sh_sk+cap_mu_25*sh_mu_25+cap_ssds_25*ss_mem*1000/fx*sh_ss)*Mkt!$C$49,0)+10*Mkt!$C$49)*(1+g_oth_dram)^3+(MAX(Mkt!$C$42-(cap_sk_25*1000/fx*sh_sk+cap_mu_25*sh_mu_25+cap_ssds_25*ss_mem*1000/fx*sh_ss)*(1-Mkt!$C$49),0)+10*(1-Mkt!$C$49))*(1+g_oth_nand)^3)+(cap_ts_28*sh_fd+MAX(Mkt!$C$43-cap_ts_25*sh_fd,0)*(1+g_oth_fd)^3))+Mkt!F87+Mkt!F88</f>
        <v>268.706936233514</v>
      </c>
      <c r="E27" s="16" t="n">
        <f aca="false">D27/D$4-1</f>
        <v>0.0736864887818425</v>
      </c>
      <c r="F27" s="15" t="n">
        <f aca="false">((cap_sk_29*1000/fx*sh_sk+cap_mu_29*sh_mu_27+cap_ss_29*1000/fx*sh_ss)+(MAX(Mkt!$C$41-(cap_sk_25*1000/fx*sh_sk+cap_mu_25*sh_mu_25+cap_ssds_25*ss_mem*1000/fx*sh_ss)*Mkt!$C$49,0)+10*Mkt!$C$49)*(1+g_oth_dram)^4+(MAX(Mkt!$C$42-(cap_sk_25*1000/fx*sh_sk+cap_mu_25*sh_mu_25+cap_ssds_25*ss_mem*1000/fx*sh_ss)*(1-Mkt!$C$49),0)+10*(1-Mkt!$C$49))*(1+g_oth_nand)^4)+(cap_ts_29*sh_fd+MAX(Mkt!$C$43-cap_ts_25*sh_fd,0)*(1+g_oth_fd)^4)+Mkt!G50*(((cap_sk_29*1000/fx*sh_sk+cap_mu_29*sh_mu_27+cap_ss_29*1000/fx*sh_ss)+(MAX(Mkt!$C$41-(cap_sk_25*1000/fx*sh_sk+cap_mu_25*sh_mu_25+cap_ssds_25*ss_mem*1000/fx*sh_ss)*Mkt!$C$49,0)+10*Mkt!$C$49)*(1+g_oth_dram)^4+(MAX(Mkt!$C$42-(cap_sk_25*1000/fx*sh_sk+cap_mu_25*sh_mu_25+cap_ssds_25*ss_mem*1000/fx*sh_ss)*(1-Mkt!$C$49),0)+10*(1-Mkt!$C$49))*(1+g_oth_nand)^4)+(cap_ts_29*sh_fd+MAX(Mkt!$C$43-cap_ts_25*sh_fd,0)*(1+g_oth_fd)^4))+Mkt!G87+Mkt!G88</f>
        <v>284.368020937117</v>
      </c>
      <c r="G27" s="16" t="n">
        <f aca="false">F27/F$4-1</f>
        <v>0.0828636953721309</v>
      </c>
    </row>
    <row r="28" customFormat="false" ht="15" hidden="false" customHeight="false" outlineLevel="0" collapsed="false">
      <c r="A28" s="8" t="s">
        <v>499</v>
      </c>
      <c r="B28" s="15" t="n">
        <f aca="false">((cap_sk_27*1000/fx*sh_sk+cap_mu_27*sh_mu_27+cap_ss_27*1000/fx*sh_ss)+(MAX(Mkt!$C$41-(cap_sk_25*1000/fx*sh_sk+cap_mu_25*sh_mu_25+cap_ssds_25*ss_mem*1000/fx*sh_ss)*Mkt!$C$49,0)+20*Mkt!$C$49)*(1+g_oth_dram)^2+(MAX(Mkt!$C$42-(cap_sk_25*1000/fx*sh_sk+cap_mu_25*sh_mu_25+cap_ssds_25*ss_mem*1000/fx*sh_ss)*(1-Mkt!$C$49),0)+20*(1-Mkt!$C$49))*(1+g_oth_nand)^2)+(cap_ts_27*sh_fd+MAX(Mkt!$C$43-cap_ts_25*sh_fd,0)*(1+g_oth_fd)^2)+Mkt!E50*(((cap_sk_27*1000/fx*sh_sk+cap_mu_27*sh_mu_27+cap_ss_27*1000/fx*sh_ss)+(MAX(Mkt!$C$41-(cap_sk_25*1000/fx*sh_sk+cap_mu_25*sh_mu_25+cap_ssds_25*ss_mem*1000/fx*sh_ss)*Mkt!$C$49,0)+20*Mkt!$C$49)*(1+g_oth_dram)^2+(MAX(Mkt!$C$42-(cap_sk_25*1000/fx*sh_sk+cap_mu_25*sh_mu_25+cap_ssds_25*ss_mem*1000/fx*sh_ss)*(1-Mkt!$C$49),0)+20*(1-Mkt!$C$49))*(1+g_oth_nand)^2)+(cap_ts_27*sh_fd+MAX(Mkt!$C$43-cap_ts_25*sh_fd,0)*(1+g_oth_fd)^2))+Mkt!E87+Mkt!E88</f>
        <v>253.951995423798</v>
      </c>
      <c r="C28" s="16" t="n">
        <f aca="false">B28/B$4-1</f>
        <v>0.140354186645558</v>
      </c>
      <c r="D28" s="15" t="n">
        <f aca="false">((cap_sk_28*1000/fx*sh_sk+cap_mu_28*sh_mu_27+cap_ss_28*1000/fx*sh_ss)+(MAX(Mkt!$C$41-(cap_sk_25*1000/fx*sh_sk+cap_mu_25*sh_mu_25+cap_ssds_25*ss_mem*1000/fx*sh_ss)*Mkt!$C$49,0)+20*Mkt!$C$49)*(1+g_oth_dram)^3+(MAX(Mkt!$C$42-(cap_sk_25*1000/fx*sh_sk+cap_mu_25*sh_mu_25+cap_ssds_25*ss_mem*1000/fx*sh_ss)*(1-Mkt!$C$49),0)+20*(1-Mkt!$C$49))*(1+g_oth_nand)^3)+(cap_ts_28*sh_fd+MAX(Mkt!$C$43-cap_ts_25*sh_fd,0)*(1+g_oth_fd)^3)+Mkt!F50*(((cap_sk_28*1000/fx*sh_sk+cap_mu_28*sh_mu_27+cap_ss_28*1000/fx*sh_ss)+(MAX(Mkt!$C$41-(cap_sk_25*1000/fx*sh_sk+cap_mu_25*sh_mu_25+cap_ssds_25*ss_mem*1000/fx*sh_ss)*Mkt!$C$49,0)+20*Mkt!$C$49)*(1+g_oth_dram)^3+(MAX(Mkt!$C$42-(cap_sk_25*1000/fx*sh_sk+cap_mu_25*sh_mu_25+cap_ssds_25*ss_mem*1000/fx*sh_ss)*(1-Mkt!$C$49),0)+20*(1-Mkt!$C$49))*(1+g_oth_nand)^3)+(cap_ts_28*sh_fd+MAX(Mkt!$C$43-cap_ts_25*sh_fd,0)*(1+g_oth_fd)^3))+Mkt!F87+Mkt!F88</f>
        <v>287.148139367995</v>
      </c>
      <c r="E28" s="16" t="n">
        <f aca="false">D28/D$4-1</f>
        <v>0.147372977563685</v>
      </c>
      <c r="F28" s="15" t="n">
        <f aca="false">((cap_sk_29*1000/fx*sh_sk+cap_mu_29*sh_mu_27+cap_ss_29*1000/fx*sh_ss)+(MAX(Mkt!$C$41-(cap_sk_25*1000/fx*sh_sk+cap_mu_25*sh_mu_25+cap_ssds_25*ss_mem*1000/fx*sh_ss)*Mkt!$C$49,0)+20*Mkt!$C$49)*(1+g_oth_dram)^4+(MAX(Mkt!$C$42-(cap_sk_25*1000/fx*sh_sk+cap_mu_25*sh_mu_25+cap_ssds_25*ss_mem*1000/fx*sh_ss)*(1-Mkt!$C$49),0)+20*(1-Mkt!$C$49))*(1+g_oth_nand)^4)+(cap_ts_29*sh_fd+MAX(Mkt!$C$43-cap_ts_25*sh_fd,0)*(1+g_oth_fd)^4)+Mkt!G50*(((cap_sk_29*1000/fx*sh_sk+cap_mu_29*sh_mu_27+cap_ss_29*1000/fx*sh_ss)+(MAX(Mkt!$C$41-(cap_sk_25*1000/fx*sh_sk+cap_mu_25*sh_mu_25+cap_ssds_25*ss_mem*1000/fx*sh_ss)*Mkt!$C$49,0)+20*Mkt!$C$49)*(1+g_oth_dram)^4+(MAX(Mkt!$C$42-(cap_sk_25*1000/fx*sh_sk+cap_mu_25*sh_mu_25+cap_ssds_25*ss_mem*1000/fx*sh_ss)*(1-Mkt!$C$49),0)+20*(1-Mkt!$C$49))*(1+g_oth_nand)^4)+(cap_ts_29*sh_fd+MAX(Mkt!$C$43-cap_ts_25*sh_fd,0)*(1+g_oth_fd)^4))+Mkt!G87+Mkt!G88</f>
        <v>306.128640635805</v>
      </c>
      <c r="G28" s="16" t="n">
        <f aca="false">F28/F$4-1</f>
        <v>0.165727390744262</v>
      </c>
    </row>
    <row r="29" customFormat="false" ht="15" hidden="false" customHeight="false" outlineLevel="0" collapsed="false">
      <c r="A29" s="8" t="s">
        <v>500</v>
      </c>
      <c r="B29" s="22" t="n">
        <f aca="false">B4-Mkt!E100</f>
        <v>0</v>
      </c>
      <c r="D29" s="22" t="n">
        <f aca="false">D4-Mkt!F100</f>
        <v>0</v>
      </c>
      <c r="F29" s="22" t="n">
        <f aca="false">F4-Mkt!G100</f>
        <v>0</v>
      </c>
    </row>
    <row r="31" customFormat="false" ht="15" hidden="false" customHeight="false" outlineLevel="0" collapsed="false">
      <c r="A31" s="4" t="s">
        <v>501</v>
      </c>
      <c r="B31" s="23" t="s">
        <v>502</v>
      </c>
      <c r="C31" s="4" t="s">
        <v>503</v>
      </c>
      <c r="D31" s="23" t="s">
        <v>504</v>
      </c>
      <c r="E31" s="4" t="s">
        <v>505</v>
      </c>
      <c r="F31" s="4"/>
      <c r="G31" s="4"/>
      <c r="H31" s="4" t="s">
        <v>323</v>
      </c>
    </row>
    <row r="32" customFormat="false" ht="15" hidden="false" customHeight="false" outlineLevel="0" collapsed="false">
      <c r="A32" s="0" t="s">
        <v>506</v>
      </c>
      <c r="B32" s="15" t="n">
        <f aca="false">Mkt!E119*ck_B_28_lo</f>
        <v>211.560932978444</v>
      </c>
      <c r="C32" s="16" t="n">
        <f aca="false">B32/Mkt!E119-1</f>
        <v>-0.05</v>
      </c>
      <c r="D32" s="15" t="n">
        <f aca="false">B32*ck_B_29_lo</f>
        <v>190.404839680599</v>
      </c>
      <c r="E32" s="16" t="n">
        <f aca="false">D32/B32-1</f>
        <v>-0.0999999999999999</v>
      </c>
    </row>
    <row r="33" customFormat="false" ht="15" hidden="false" customHeight="false" outlineLevel="0" collapsed="false">
      <c r="A33" s="0" t="s">
        <v>507</v>
      </c>
      <c r="B33" s="15" t="n">
        <f aca="false">Mkt!E119*ck_B_28</f>
        <v>222.695718924677</v>
      </c>
      <c r="C33" s="16" t="n">
        <f aca="false">B33/Mkt!E119-1</f>
        <v>0</v>
      </c>
      <c r="D33" s="15" t="n">
        <f aca="false">B33*ck_B_29</f>
        <v>211.560932978444</v>
      </c>
      <c r="E33" s="16" t="n">
        <f aca="false">D33/B33-1</f>
        <v>-0.05</v>
      </c>
    </row>
    <row r="34" customFormat="false" ht="15" hidden="false" customHeight="false" outlineLevel="0" collapsed="false">
      <c r="A34" s="0" t="s">
        <v>508</v>
      </c>
      <c r="B34" s="15" t="n">
        <f aca="false">Mkt!E119*ck_B_28_hi</f>
        <v>233.830504870911</v>
      </c>
      <c r="C34" s="16" t="n">
        <f aca="false">B34/Mkt!E119-1</f>
        <v>0.05</v>
      </c>
      <c r="D34" s="15" t="n">
        <f aca="false">B34*ck_B_29_hi</f>
        <v>245.522030114457</v>
      </c>
      <c r="E34" s="16" t="n">
        <f aca="false">D34/B34-1</f>
        <v>0.05</v>
      </c>
    </row>
    <row r="35" customFormat="false" ht="15" hidden="false" customHeight="false" outlineLevel="0" collapsed="false">
      <c r="A35" s="0" t="s">
        <v>509</v>
      </c>
      <c r="B35" s="15" t="n">
        <f aca="false">Mkt!E138*ck_C_28_lo</f>
        <v>167.021789193508</v>
      </c>
      <c r="C35" s="16" t="n">
        <f aca="false">B35/Mkt!E138-1</f>
        <v>-0.25</v>
      </c>
      <c r="D35" s="15" t="n">
        <f aca="false">B35*ck_C_29_lo</f>
        <v>150.319610274157</v>
      </c>
      <c r="E35" s="16" t="n">
        <f aca="false">D35/B35-1</f>
        <v>-0.1</v>
      </c>
    </row>
    <row r="36" customFormat="false" ht="15" hidden="false" customHeight="false" outlineLevel="0" collapsed="false">
      <c r="A36" s="0" t="s">
        <v>510</v>
      </c>
      <c r="B36" s="15" t="n">
        <f aca="false">Mkt!E138*ck_C_28</f>
        <v>178.156575139742</v>
      </c>
      <c r="C36" s="16" t="n">
        <f aca="false">B36/Mkt!E138-1</f>
        <v>-0.2</v>
      </c>
      <c r="D36" s="15" t="n">
        <f aca="false">B36*ck_C_29</f>
        <v>178.156575139742</v>
      </c>
      <c r="E36" s="16" t="n">
        <f aca="false">D36/B36-1</f>
        <v>0</v>
      </c>
    </row>
    <row r="37" customFormat="false" ht="15" hidden="false" customHeight="false" outlineLevel="0" collapsed="false">
      <c r="A37" s="0" t="s">
        <v>511</v>
      </c>
      <c r="B37" s="15" t="n">
        <f aca="false">Mkt!E138*ck_C_28_hi</f>
        <v>189.291361085976</v>
      </c>
      <c r="C37" s="16" t="n">
        <f aca="false">B37/Mkt!E138-1</f>
        <v>-0.15</v>
      </c>
      <c r="D37" s="15" t="n">
        <f aca="false">B37*ck_C_29_hi</f>
        <v>208.220497194573</v>
      </c>
      <c r="E37" s="16" t="n">
        <f aca="false">D37/B37-1</f>
        <v>0.1</v>
      </c>
    </row>
    <row r="38" customFormat="false" ht="15" hidden="false" customHeight="false" outlineLevel="0" collapsed="false">
      <c r="A38" s="8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0"/>
    <col collapsed="false" customWidth="true" hidden="false" outlineLevel="0" max="3" min="3" style="0" width="48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7" t="s">
        <v>18</v>
      </c>
    </row>
    <row r="2" customFormat="false" ht="15" hidden="false" customHeight="false" outlineLevel="0" collapsed="false">
      <c r="A2" s="4" t="s">
        <v>18</v>
      </c>
      <c r="B2" s="4" t="s">
        <v>513</v>
      </c>
      <c r="C2" s="4" t="s">
        <v>514</v>
      </c>
      <c r="D2" s="4" t="s">
        <v>19</v>
      </c>
    </row>
    <row r="3" customFormat="false" ht="15" hidden="false" customHeight="false" outlineLevel="0" collapsed="false">
      <c r="A3" s="0" t="s">
        <v>515</v>
      </c>
      <c r="B3" s="0" t="s">
        <v>516</v>
      </c>
      <c r="C3" s="0" t="s">
        <v>517</v>
      </c>
      <c r="D3" s="8" t="s">
        <v>518</v>
      </c>
    </row>
    <row r="4" customFormat="false" ht="15" hidden="false" customHeight="false" outlineLevel="0" collapsed="false">
      <c r="A4" s="0" t="s">
        <v>519</v>
      </c>
      <c r="B4" s="0" t="s">
        <v>520</v>
      </c>
      <c r="C4" s="8" t="s">
        <v>521</v>
      </c>
      <c r="D4" s="8" t="s">
        <v>522</v>
      </c>
    </row>
    <row r="5" customFormat="false" ht="15" hidden="false" customHeight="false" outlineLevel="0" collapsed="false">
      <c r="A5" s="0" t="s">
        <v>523</v>
      </c>
      <c r="B5" s="0" t="s">
        <v>524</v>
      </c>
      <c r="C5" s="8" t="s">
        <v>308</v>
      </c>
      <c r="D5" s="8" t="s">
        <v>522</v>
      </c>
    </row>
    <row r="6" customFormat="false" ht="15" hidden="false" customHeight="false" outlineLevel="0" collapsed="false">
      <c r="A6" s="0" t="s">
        <v>525</v>
      </c>
      <c r="B6" s="0" t="s">
        <v>526</v>
      </c>
      <c r="C6" s="0" t="s">
        <v>527</v>
      </c>
      <c r="D6" s="8" t="s">
        <v>522</v>
      </c>
    </row>
    <row r="7" customFormat="false" ht="15" hidden="false" customHeight="false" outlineLevel="0" collapsed="false">
      <c r="A7" s="0" t="s">
        <v>528</v>
      </c>
      <c r="B7" s="0" t="s">
        <v>529</v>
      </c>
      <c r="C7" s="8" t="s">
        <v>530</v>
      </c>
      <c r="D7" s="8" t="s">
        <v>531</v>
      </c>
    </row>
    <row r="8" customFormat="false" ht="15" hidden="false" customHeight="false" outlineLevel="0" collapsed="false">
      <c r="A8" s="0" t="s">
        <v>532</v>
      </c>
      <c r="B8" s="0" t="s">
        <v>533</v>
      </c>
      <c r="C8" s="8" t="s">
        <v>534</v>
      </c>
      <c r="D8" s="8" t="s">
        <v>535</v>
      </c>
    </row>
    <row r="9" customFormat="false" ht="15" hidden="false" customHeight="false" outlineLevel="0" collapsed="false">
      <c r="A9" s="0" t="s">
        <v>536</v>
      </c>
      <c r="B9" s="0" t="s">
        <v>537</v>
      </c>
      <c r="C9" s="0" t="s">
        <v>538</v>
      </c>
      <c r="D9" s="8" t="s">
        <v>539</v>
      </c>
    </row>
    <row r="10" customFormat="false" ht="15" hidden="false" customHeight="false" outlineLevel="0" collapsed="false">
      <c r="A10" s="0" t="s">
        <v>540</v>
      </c>
      <c r="B10" s="0" t="s">
        <v>541</v>
      </c>
      <c r="C10" s="8" t="s">
        <v>542</v>
      </c>
      <c r="D10" s="8" t="s">
        <v>543</v>
      </c>
    </row>
    <row r="11" customFormat="false" ht="15" hidden="false" customHeight="false" outlineLevel="0" collapsed="false">
      <c r="A11" s="8" t="s">
        <v>544</v>
      </c>
      <c r="B11" s="0" t="s">
        <v>545</v>
      </c>
      <c r="C11" s="0" t="s">
        <v>546</v>
      </c>
      <c r="D11" s="8" t="s">
        <v>547</v>
      </c>
    </row>
    <row r="12" customFormat="false" ht="15" hidden="false" customHeight="false" outlineLevel="0" collapsed="false">
      <c r="A12" s="8" t="s">
        <v>548</v>
      </c>
      <c r="B12" s="0" t="s">
        <v>549</v>
      </c>
      <c r="C12" s="0" t="s">
        <v>550</v>
      </c>
      <c r="D12" s="8" t="s">
        <v>551</v>
      </c>
    </row>
    <row r="13" customFormat="false" ht="15" hidden="false" customHeight="false" outlineLevel="0" collapsed="false">
      <c r="A13" s="0" t="s">
        <v>552</v>
      </c>
      <c r="B13" s="0" t="s">
        <v>553</v>
      </c>
      <c r="C13" s="8" t="s">
        <v>554</v>
      </c>
      <c r="D13" s="8" t="s">
        <v>522</v>
      </c>
    </row>
    <row r="14" customFormat="false" ht="15" hidden="false" customHeight="false" outlineLevel="0" collapsed="false">
      <c r="A14" s="0" t="s">
        <v>555</v>
      </c>
      <c r="B14" s="0" t="s">
        <v>556</v>
      </c>
      <c r="C14" s="0" t="s">
        <v>557</v>
      </c>
      <c r="D14" s="8" t="s">
        <v>543</v>
      </c>
    </row>
    <row r="15" customFormat="false" ht="15" hidden="false" customHeight="false" outlineLevel="0" collapsed="false">
      <c r="A15" s="0" t="s">
        <v>558</v>
      </c>
      <c r="B15" s="0" t="s">
        <v>559</v>
      </c>
      <c r="C15" s="8" t="s">
        <v>560</v>
      </c>
      <c r="D15" s="8" t="s">
        <v>522</v>
      </c>
    </row>
    <row r="16" customFormat="false" ht="15" hidden="false" customHeight="false" outlineLevel="0" collapsed="false">
      <c r="A16" s="0" t="s">
        <v>561</v>
      </c>
      <c r="B16" s="0" t="s">
        <v>562</v>
      </c>
      <c r="C16" s="8" t="s">
        <v>563</v>
      </c>
      <c r="D16" s="8" t="s">
        <v>522</v>
      </c>
    </row>
    <row r="17" customFormat="false" ht="15" hidden="false" customHeight="false" outlineLevel="0" collapsed="false">
      <c r="A17" s="0" t="s">
        <v>564</v>
      </c>
      <c r="B17" s="0" t="s">
        <v>565</v>
      </c>
      <c r="C17" s="8" t="s">
        <v>563</v>
      </c>
      <c r="D17" s="8" t="s">
        <v>543</v>
      </c>
    </row>
    <row r="18" customFormat="false" ht="15" hidden="false" customHeight="false" outlineLevel="0" collapsed="false">
      <c r="A18" s="0" t="s">
        <v>566</v>
      </c>
      <c r="B18" s="0" t="s">
        <v>567</v>
      </c>
      <c r="C18" s="0" t="s">
        <v>568</v>
      </c>
      <c r="D18" s="8" t="s">
        <v>569</v>
      </c>
    </row>
    <row r="19" customFormat="false" ht="15" hidden="false" customHeight="false" outlineLevel="0" collapsed="false">
      <c r="A19" s="0" t="s">
        <v>570</v>
      </c>
      <c r="B19" s="0" t="s">
        <v>571</v>
      </c>
      <c r="C19" s="0" t="s">
        <v>572</v>
      </c>
      <c r="D19" s="8" t="s">
        <v>522</v>
      </c>
    </row>
    <row r="20" customFormat="false" ht="15" hidden="false" customHeight="false" outlineLevel="0" collapsed="false">
      <c r="A20" s="0" t="s">
        <v>573</v>
      </c>
      <c r="B20" s="0" t="s">
        <v>574</v>
      </c>
      <c r="C20" s="0" t="s">
        <v>575</v>
      </c>
      <c r="D20" s="8" t="s">
        <v>522</v>
      </c>
    </row>
    <row r="21" customFormat="false" ht="15" hidden="false" customHeight="false" outlineLevel="0" collapsed="false">
      <c r="A21" s="0" t="s">
        <v>576</v>
      </c>
      <c r="B21" s="0" t="s">
        <v>577</v>
      </c>
      <c r="C21" s="0" t="s">
        <v>578</v>
      </c>
      <c r="D21" s="8" t="s">
        <v>579</v>
      </c>
    </row>
    <row r="22" customFormat="false" ht="15" hidden="false" customHeight="false" outlineLevel="0" collapsed="false">
      <c r="A22" s="0" t="s">
        <v>580</v>
      </c>
      <c r="B22" s="0" t="s">
        <v>581</v>
      </c>
      <c r="C22" s="8" t="s">
        <v>582</v>
      </c>
      <c r="D22" s="8" t="s">
        <v>583</v>
      </c>
    </row>
    <row r="23" customFormat="false" ht="15" hidden="false" customHeight="false" outlineLevel="0" collapsed="false">
      <c r="A23" s="0" t="s">
        <v>584</v>
      </c>
      <c r="B23" s="0" t="s">
        <v>585</v>
      </c>
      <c r="C23" s="0" t="s">
        <v>586</v>
      </c>
      <c r="D23" s="8" t="s">
        <v>522</v>
      </c>
    </row>
    <row r="24" customFormat="false" ht="15" hidden="false" customHeight="false" outlineLevel="0" collapsed="false">
      <c r="A24" s="0" t="s">
        <v>587</v>
      </c>
      <c r="B24" s="0" t="s">
        <v>311</v>
      </c>
      <c r="C24" s="0" t="s">
        <v>588</v>
      </c>
      <c r="D24" s="8" t="s">
        <v>579</v>
      </c>
    </row>
    <row r="25" customFormat="false" ht="15" hidden="false" customHeight="false" outlineLevel="0" collapsed="false">
      <c r="A25" s="0" t="s">
        <v>589</v>
      </c>
      <c r="B25" s="0" t="s">
        <v>590</v>
      </c>
      <c r="C25" s="8" t="s">
        <v>591</v>
      </c>
      <c r="D25" s="8" t="s">
        <v>592</v>
      </c>
    </row>
    <row r="26" customFormat="false" ht="15" hidden="false" customHeight="false" outlineLevel="0" collapsed="false">
      <c r="A26" s="0" t="s">
        <v>593</v>
      </c>
      <c r="B26" s="0" t="s">
        <v>594</v>
      </c>
      <c r="C26" s="8" t="s">
        <v>542</v>
      </c>
      <c r="D26" s="8" t="s">
        <v>543</v>
      </c>
    </row>
    <row r="27" customFormat="false" ht="15" hidden="false" customHeight="false" outlineLevel="0" collapsed="false">
      <c r="A27" s="0" t="s">
        <v>595</v>
      </c>
      <c r="B27" s="0" t="s">
        <v>596</v>
      </c>
      <c r="C27" s="0" t="s">
        <v>597</v>
      </c>
      <c r="D27" s="8" t="s">
        <v>569</v>
      </c>
    </row>
    <row r="28" customFormat="false" ht="15" hidden="false" customHeight="false" outlineLevel="0" collapsed="false">
      <c r="A28" s="0" t="s">
        <v>598</v>
      </c>
      <c r="B28" s="0" t="s">
        <v>599</v>
      </c>
      <c r="C28" s="8" t="s">
        <v>600</v>
      </c>
      <c r="D28" s="8" t="s">
        <v>601</v>
      </c>
    </row>
    <row r="29" customFormat="false" ht="15" hidden="false" customHeight="false" outlineLevel="0" collapsed="false">
      <c r="A29" s="0" t="s">
        <v>602</v>
      </c>
      <c r="B29" s="0" t="s">
        <v>603</v>
      </c>
      <c r="C29" s="8" t="s">
        <v>604</v>
      </c>
      <c r="D29" s="8" t="s">
        <v>522</v>
      </c>
    </row>
    <row r="30" customFormat="false" ht="15" hidden="false" customHeight="false" outlineLevel="0" collapsed="false">
      <c r="A30" s="0" t="s">
        <v>605</v>
      </c>
      <c r="B30" s="0" t="s">
        <v>606</v>
      </c>
      <c r="C30" s="8" t="s">
        <v>607</v>
      </c>
      <c r="D30" s="8" t="s">
        <v>522</v>
      </c>
    </row>
    <row r="31" customFormat="false" ht="15" hidden="false" customHeight="false" outlineLevel="0" collapsed="false">
      <c r="A31" s="0" t="s">
        <v>608</v>
      </c>
      <c r="B31" s="0" t="s">
        <v>609</v>
      </c>
      <c r="C31" s="8" t="s">
        <v>610</v>
      </c>
      <c r="D31" s="8" t="s">
        <v>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2026-10-22T07:56:00Z</dcterms:created>
  <dc:creator>openpyxl</dc:creator>
  <dc:description/>
  <dc:language>en-US</dc:language>
  <cp:lastModifiedBy/>
  <dcterms:modified xsi:type="dcterms:W3CDTF">2026-10-22T07:56:00Z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