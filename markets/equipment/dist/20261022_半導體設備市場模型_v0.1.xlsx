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Recon" sheetId="4" state="visible" r:id="rId6"/>
    <sheet name="Sens" sheetId="5" state="visible" r:id="rId7"/>
    <sheet name="Sources" sheetId="6" state="visible" r:id="rId8"/>
  </sheets>
  <definedNames>
    <definedName function="false" hidden="false" name="adv_other" vbProcedure="false">In!$E$82</definedName>
    <definedName function="false" hidden="false" name="adv_other_hi" vbProcedure="false">In!$F$82</definedName>
    <definedName function="false" hidden="false" name="adv_other_lo" vbProcedure="false">In!$D$82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In!$E$77</definedName>
    <definedName function="false" hidden="false" name="ck_B_28_hi" vbProcedure="false">In!$F$77</definedName>
    <definedName function="false" hidden="false" name="ck_B_28_lo" vbProcedure="false">In!$D$77</definedName>
    <definedName function="false" hidden="false" name="ck_B_29" vbProcedure="false">In!$E$79</definedName>
    <definedName function="false" hidden="false" name="ck_B_29_hi" vbProcedure="false">In!$F$79</definedName>
    <definedName function="false" hidden="false" name="ck_B_29_lo" vbProcedure="false">In!$D$79</definedName>
    <definedName function="false" hidden="false" name="ck_C_28" vbProcedure="false">In!$E$78</definedName>
    <definedName function="false" hidden="false" name="ck_C_28_hi" vbProcedure="false">In!$F$78</definedName>
    <definedName function="false" hidden="false" name="ck_C_28_lo" vbProcedure="false">In!$D$78</definedName>
    <definedName function="false" hidden="false" name="ck_C_29" vbProcedure="false">In!$E$80</definedName>
    <definedName function="false" hidden="false" name="ck_C_29_hi" vbProcedure="false">In!$F$80</definedName>
    <definedName function="false" hidden="false" name="ck_C_29_lo" vbProcedure="false">In!$D$80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In!$E$44</definedName>
    <definedName function="false" hidden="false" name="fx_jpy_hi" vbProcedure="false">In!$F$44</definedName>
    <definedName function="false" hidden="false" name="fx_jpy_lo" vbProcedure="false">In!$D$44</definedName>
    <definedName function="false" hidden="false" name="fx_lo" vbProcedure="false">In!$D$5</definedName>
    <definedName function="false" hidden="false" name="fx_twd" vbProcedure="false">In!$E$46</definedName>
    <definedName function="false" hidden="false" name="fx_twd_hi" vbProcedure="false">In!$F$46</definedName>
    <definedName function="false" hidden="false" name="fx_twd_lo" vbProcedure="false">In!$D$46</definedName>
    <definedName function="false" hidden="false" name="g29" vbProcedure="false">In!$E$75</definedName>
    <definedName function="false" hidden="false" name="g29_hi" vbProcedure="false">In!$F$75</definedName>
    <definedName function="false" hidden="false" name="g29_lo" vbProcedure="false">In!$D$75</definedName>
    <definedName function="false" hidden="false" name="g_dram_26" vbProcedure="false">In!$E$51</definedName>
    <definedName function="false" hidden="false" name="g_dram_27" vbProcedure="false">In!$E$52</definedName>
    <definedName function="false" hidden="false" name="g_dram_28" vbProcedure="false">In!$E$53</definedName>
    <definedName function="false" hidden="false" name="g_fd_26" vbProcedure="false">In!$E$59</definedName>
    <definedName function="false" hidden="false" name="g_fd_27" vbProcedure="false">In!$E$60</definedName>
    <definedName function="false" hidden="false" name="g_fd_28" vbProcedure="false">In!$E$61</definedName>
    <definedName function="false" hidden="false" name="g_nand_26" vbProcedure="false">In!$E$55</definedName>
    <definedName function="false" hidden="false" name="g_nand_27" vbProcedure="false">In!$E$56</definedName>
    <definedName function="false" hidden="false" name="g_nand_28" vbProcedure="false">In!$E$57</definedName>
    <definedName function="false" hidden="false" name="g_oth_dram" vbProcedure="false">In!$E$35</definedName>
    <definedName function="false" hidden="false" name="g_oth_dram_hi" vbProcedure="false">In!$F$35</definedName>
    <definedName function="false" hidden="false" name="g_oth_dram_lo" vbProcedure="false">In!$D$35</definedName>
    <definedName function="false" hidden="false" name="g_oth_fd" vbProcedure="false">In!$E$37</definedName>
    <definedName function="false" hidden="false" name="g_oth_fd_hi" vbProcedure="false">In!$F$37</definedName>
    <definedName function="false" hidden="false" name="g_oth_fd_lo" vbProcedure="false">In!$D$37</definedName>
    <definedName function="false" hidden="false" name="g_oth_nand" vbProcedure="false">In!$E$36</definedName>
    <definedName function="false" hidden="false" name="g_oth_nand_hi" vbProcedure="false">In!$F$36</definedName>
    <definedName function="false" hidden="false" name="g_oth_nand_lo" vbProcedure="false">In!$D$36</definedName>
    <definedName function="false" hidden="false" name="g_pkg_26" vbProcedure="false">In!$E$70</definedName>
    <definedName function="false" hidden="false" name="g_test_26" vbProcedure="false">In!$E$67</definedName>
    <definedName function="false" hidden="false" name="g_tot_26" vbProcedure="false">In!$E$73</definedName>
    <definedName function="false" hidden="false" name="g_wfe_26" vbProcedure="false">In!$E$63</definedName>
    <definedName function="false" hidden="false" name="g_wfe_27" vbProcedure="false">In!$E$64</definedName>
    <definedName function="false" hidden="false" name="g_wfe_28" vbProcedure="false">In!$E$65</definedName>
    <definedName function="false" hidden="false" name="ind_cxmt" vbProcedure="false">In!$E$40</definedName>
    <definedName function="false" hidden="false" name="ind_cxmt_hi" vbProcedure="false">In!$F$40</definedName>
    <definedName function="false" hidden="false" name="ind_cxmt_lo" vbProcedure="false">In!$D$40</definedName>
    <definedName function="false" hidden="false" name="ind_kioxia" vbProcedure="false">In!$E$43</definedName>
    <definedName function="false" hidden="false" name="ind_nand_ind" vbProcedure="false">In!$E$41</definedName>
    <definedName function="false" hidden="false" name="ind_nanya" vbProcedure="false">In!$E$45</definedName>
    <definedName function="false" hidden="false" name="ind_sandisk" vbProcedure="false">In!$E$48</definedName>
    <definedName function="false" hidden="false" name="ind_winbond" vbProcedure="false">In!$E$47</definedName>
    <definedName function="false" hidden="false" name="ind_ymtc_sh" vbProcedure="false">In!$E$42</definedName>
    <definedName function="false" hidden="false" name="pkg_adv" vbProcedure="false">In!$E$83</definedName>
    <definedName function="false" hidden="false" name="pkg_adv_hi" vbProcedure="false">In!$F$83</definedName>
    <definedName function="false" hidden="false" name="pkg_adv_lo" vbProcedure="false">In!$D$83</definedName>
    <definedName function="false" hidden="false" name="rc_gs26" vbProcedure="false">In!$E$91</definedName>
    <definedName function="false" hidden="false" name="rc_gs27" vbProcedure="false">In!$E$92</definedName>
    <definedName function="false" hidden="false" name="rc_gs28" vbProcedure="false">In!$E$93</definedName>
    <definedName function="false" hidden="false" name="rc_kla26" vbProcedure="false">In!$E$87</definedName>
    <definedName function="false" hidden="false" name="rc_kla27" vbProcedure="false">In!$E$88</definedName>
    <definedName function="false" hidden="false" name="rc_lam26" vbProcedure="false">In!$E$85</definedName>
    <definedName function="false" hidden="false" name="rc_lam27" vbProcedure="false">In!$E$86</definedName>
    <definedName function="false" hidden="false" name="rc_ms27" vbProcedure="false">In!$E$89</definedName>
    <definedName function="false" hidden="false" name="rc_ms28" vbProcedure="false">In!$E$90</definedName>
    <definedName function="false" hidden="false" name="rc_thr" vbProcedure="false">In!$E$94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In!$E$39</definedName>
    <definedName function="false" hidden="false" name="sh_oth_hi" vbProcedure="false">In!$F$39</definedName>
    <definedName function="false" hidden="false" name="sh_oth_lo" vbProcedure="false">In!$D$39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In!$E$50</definedName>
    <definedName function="false" hidden="false" name="s_fd_26" vbProcedure="false">In!$E$58</definedName>
    <definedName function="false" hidden="false" name="s_nand_26" vbProcedure="false">In!$E$54</definedName>
    <definedName function="false" hidden="false" name="s_pkg_26" vbProcedure="false">In!$E$69</definedName>
    <definedName function="false" hidden="false" name="s_pkg_28" vbProcedure="false">In!$E$71</definedName>
    <definedName function="false" hidden="false" name="s_test_26" vbProcedure="false">In!$E$66</definedName>
    <definedName function="false" hidden="false" name="s_test_28" vbProcedure="false">In!$E$68</definedName>
    <definedName function="false" hidden="false" name="s_tot_26" vbProcedure="false">In!$E$72</definedName>
    <definedName function="false" hidden="false" name="s_tot_28" vbProcedure="false">In!$E$74</definedName>
    <definedName function="false" hidden="false" name="s_wfe_26" vbProcedure="false">In!$E$62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<sst xmlns="http://schemas.openxmlformats.org/spreadsheetml/2006/main" count="1150" uniqueCount="704">
  <si>
    <r>
      <rPr>
        <b val="true"/>
        <sz val="11"/>
        <rFont val="WenQuanYi Zen Hei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2026-10-22</t>
    </r>
  </si>
  <si>
    <r>
      <rPr>
        <sz val="11"/>
        <rFont val="WenQuanYi Zen Hei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WenQuanYi Zen Hei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</si>
  <si>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</si>
  <si>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WenQuanYi Zen Hei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WenQuanYi Zen Hei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WenQuanYi Zen Hei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</si>
  <si>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</si>
  <si>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WenQuanYi Zen Hei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資本支出、其他廠成長率與基準、情境係數</t>
    </r>
  </si>
  <si>
    <r>
      <rPr>
        <b val="true"/>
        <sz val="11"/>
        <rFont val="WenQuanYi Zen Hei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摘要區）</t>
    </r>
  </si>
  <si>
    <r>
      <rPr>
        <sz val="11"/>
        <rFont val="WenQuanYi Zen Hei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</si>
  <si>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WenQuanYi Zen Hei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WenQuanYi Zen Hei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WenQuanYi Zen Hei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WenQuanYi Zen Hei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WenQuanYi Zen Hei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</si>
  <si>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WenQuanYi Zen Hei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</si>
  <si>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WenQuanYi Zen Hei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</si>
  <si>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</si>
  <si>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WenQuanYi Zen Hei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WenQuanYi Zen Hei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</si>
  <si>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</si>
  <si>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WenQuanYi Zen Hei"/>
        <family val="2"/>
      </rPr>
      <t xml:space="preserve">二手轉述（連結由使用者提供，環境無法開啟，未直接核對；上修前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WenQuanYi Zen Hei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WenQuanYi Zen Hei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台積電資本支出含先進封裝，與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後段可能重疊。代工邏輯是否也有建築比重偏高的問題，待查。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</si>
  <si>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WenQuanYi Zen Hei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WenQuanYi Zen Hei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；公司原文是「增量」多數為建築，並未給設備占比）；台積電未找到公司揭露，用業界 </t>
    </r>
    <r>
      <rPr>
        <sz val="11"/>
        <rFont val="Cambria"/>
        <family val="0"/>
        <charset val="1"/>
      </rPr>
      <t xml:space="preserve">58–70%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</si>
  <si>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只做表，不入模）</t>
    </r>
  </si>
  <si>
    <t xml:space="preserve">瓶頸</t>
  </si>
  <si>
    <r>
      <rPr>
        <b val="true"/>
        <sz val="11"/>
        <rFont val="WenQuanYi Zen Hei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</si>
  <si>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</si>
  <si>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</si>
  <si>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</si>
  <si>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</si>
  <si>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WenQuanYi Zen Hei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WenQuanYi Zen Hei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</si>
  <si>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）</t>
    </r>
  </si>
  <si>
    <t xml:space="preserve">強（美光一手）／中／弱</t>
  </si>
  <si>
    <r>
      <rPr>
        <sz val="11"/>
        <color theme="1"/>
        <rFont val="WenQuanYi Zen Hei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</si>
  <si>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</si>
  <si>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WenQuanYi Zen Hei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</si>
  <si>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</si>
  <si>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WenQuanYi Zen Hei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的一手說法：未找到</t>
    </r>
  </si>
  <si>
    <r>
      <rPr>
        <sz val="11"/>
        <color theme="1"/>
        <rFont val="WenQuanYi Zen Hei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</si>
  <si>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</si>
  <si>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WenQuanYi Zen Hei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WenQuanYi Zen Hei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</si>
  <si>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WenQuanYi Zen Hei"/>
        <family val="2"/>
      </rPr>
      <t xml:space="preserve">類二手整理</t>
    </r>
  </si>
  <si>
    <r>
      <rPr>
        <sz val="11"/>
        <color theme="1"/>
        <rFont val="WenQuanYi Zen Hei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</si>
  <si>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</si>
  <si>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</si>
  <si>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</si>
  <si>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</si>
  <si>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</si>
  <si>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WenQuanYi Zen Hei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</si>
  <si>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</si>
  <si>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WenQuanYi Zen Hei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WenQuanYi Zen Hei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WenQuanYi Zen Hei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WenQuanYi Zen Hei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WenQuanYi Zen Hei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WenQuanYi Zen Hei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</si>
  <si>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</si>
  <si>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</si>
  <si>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WenQuanYi Zen Hei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</si>
  <si>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</si>
  <si>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WenQuanYi Zen Hei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</si>
  <si>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WenQuanYi Zen Hei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WenQuanYi Zen Hei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WenQuanYi Zen Hei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WenQuanYi Zen Hei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WenQuanYi Zen Hei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WenQuanYi Zen Hei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</si>
  <si>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WenQuanYi Zen Hei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WenQuanYi Zen Hei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</si>
  <si>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WenQuanYi Zen Hei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WenQuanYi Zen Hei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WenQuanYi Zen Hei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WenQuanYi Zen Hei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WenQuanYi Zen Hei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</si>
  <si>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WenQuanYi Zen Hei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WenQuanYi Zen Hei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WenQuanYi Zen Hei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WenQuanYi Zen Hei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WenQuanYi Zen Hei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）；代工邏輯是否也有建築比重偏高的問題，待查。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</si>
  <si>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</si>
  <si>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）。金額：十億美元（公司資本支出另標幣別）</t>
    </r>
  </si>
  <si>
    <r>
      <rPr>
        <sz val="11"/>
        <color theme="1"/>
        <rFont val="WenQuanYi Zen Hei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</si>
  <si>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</si>
  <si>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</si>
  <si>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</si>
  <si>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</si>
  <si>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</si>
  <si>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</si>
  <si>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</si>
  <si>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</si>
  <si>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</si>
  <si>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WenQuanYi Zen Hei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WenQuanYi Zen Hei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WenQuanYi Zen Hei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基準）</t>
    </r>
  </si>
  <si>
    <t xml:space="preserve">fx</t>
  </si>
  <si>
    <r>
      <rPr>
        <sz val="11"/>
        <color theme="1"/>
        <rFont val="WenQuanYi Zen Hei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</si>
  <si>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</si>
  <si>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</si>
  <si>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</si>
  <si>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WenQuanYi Zen Hei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</si>
  <si>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</si>
  <si>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</si>
  <si>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</si>
  <si>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</si>
  <si>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</si>
  <si>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</si>
  <si>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</si>
  <si>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</si>
  <si>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</si>
  <si>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</si>
  <si>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</si>
  <si>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</si>
  <si>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</si>
  <si>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</si>
  <si>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</si>
  <si>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</si>
  <si>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</si>
  <si>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</si>
  <si>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期｜第二來源：未找到</t>
    </r>
  </si>
  <si>
    <t xml:space="preserve">cap_mu_26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</si>
  <si>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</si>
  <si>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</si>
  <si>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</si>
  <si>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</si>
  <si>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</si>
  <si>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cap_mu_27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</si>
  <si>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</si>
  <si>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</si>
  <si>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</si>
  <si>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cap_mu_28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</si>
  <si>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</si>
  <si>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</si>
  <si>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</si>
  <si>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cap_mu_29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</si>
  <si>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</si>
  <si>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</si>
  <si>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</si>
  <si>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</si>
  <si>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</si>
  <si>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</si>
  <si>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</si>
  <si>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cap_ss_27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</si>
  <si>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</si>
  <si>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</si>
  <si>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</si>
  <si>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cap_ss_28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</si>
  <si>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</si>
  <si>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</si>
  <si>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</si>
  <si>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cap_ss_29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</si>
  <si>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</si>
  <si>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</si>
  <si>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</si>
  <si>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</si>
  <si>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</si>
  <si>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</si>
  <si>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</si>
  <si>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</si>
  <si>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</si>
  <si>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</si>
  <si>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</si>
  <si>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</si>
  <si>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</si>
  <si>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</si>
  <si>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</si>
  <si>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</si>
  <si>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</si>
  <si>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</si>
  <si>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</si>
  <si>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</si>
  <si>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WenQuanYi Zen Hei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</si>
  <si>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WenQuanYi Zen Hei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</si>
  <si>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</si>
  <si>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（淨）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</si>
  <si>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</si>
  <si>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WenQuanYi Zen Hei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</si>
  <si>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</si>
  <si>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WenQuanYi Zen Hei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</si>
  <si>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WenQuanYi Zen Hei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WenQuanYi Zen Hei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</si>
  <si>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WenQuanYi Zen Hei"/>
        <family val="2"/>
      </rPr>
      <t xml:space="preserve">（低權威）</t>
    </r>
  </si>
  <si>
    <t xml:space="preserve">ss_mem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</si>
  <si>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</si>
  <si>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%</t>
  </si>
  <si>
    <r>
      <rPr>
        <sz val="11"/>
        <color theme="1"/>
        <rFont val="WenQuanYi Zen Hei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WenQuanYi Zen Hei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</si>
  <si>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WenQuanYi Zen Hei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WenQuanYi Zen Hei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WenQuanYi Zen Hei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三大廠資本支出</t>
    </r>
  </si>
  <si>
    <t xml:space="preserve">cap_ts_25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</si>
  <si>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</si>
  <si>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</si>
  <si>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</si>
  <si>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）</t>
    </r>
  </si>
  <si>
    <t xml:space="preserve">sh_mu_25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</si>
  <si>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</si>
  <si>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</si>
  <si>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WenQuanYi Zen Hei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WenQuanYi Zen Hei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</si>
  <si>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建築／設備比例</t>
    </r>
  </si>
  <si>
    <t xml:space="preserve">sh_mu_26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</si>
  <si>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</si>
  <si>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增量多數為無塵室建築（摘要轉述，非逐字）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</si>
  <si>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</si>
  <si>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sh_mu_27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</si>
  <si>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</si>
  <si>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</si>
  <si>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WenQuanYi Zen Hei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</si>
  <si>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</si>
  <si>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</si>
  <si>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WenQuanYi Zen Hei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</si>
  <si>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WenQuanYi Zen Hei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WenQuanYi Zen Hei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保留一列對照</t>
    </r>
  </si>
  <si>
    <t xml:space="preserve">sh_ss</t>
  </si>
  <si>
    <r>
      <rPr>
        <sz val="11"/>
        <color theme="1"/>
        <rFont val="WenQuanYi Zen Hei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海力士，校準值）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</si>
  <si>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WenQuanYi Zen Hei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實績校準）</t>
    </r>
  </si>
  <si>
    <r>
      <rPr>
        <sz val="11"/>
        <color theme="1"/>
        <rFont val="WenQuanYi Zen Hei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WenQuanYi Zen Hei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WenQuanYi Zen Hei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</si>
  <si>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</si>
  <si>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</si>
  <si>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。業界合計值，未找到記憶體／代工分項。台積電沒有類似美光的揭露，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年其他代工邏輯殘差為正，維持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；代工邏輯是否也有建築比重偏高的問題，待查。台積電資本支出含先進封裝、光罩等（公司稱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），未另扣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</si>
  <si>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WenQuanYi Zen Hei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WenQuanYi Zen Hei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以後預測）</t>
    </r>
  </si>
  <si>
    <t xml:space="preserve">g_oth_dram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</si>
  <si>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</si>
  <si>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</si>
  <si>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WenQuanYi Zen Hei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WenQuanYi Zen Hei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WenQuanYi Zen Hei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WenQuanYi Zen Hei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</si>
  <si>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</si>
  <si>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</si>
  <si>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合資、長江存儲等）設備成長率</t>
    </r>
  </si>
  <si>
    <r>
      <rPr>
        <sz val="11"/>
        <color theme="1"/>
        <rFont val="WenQuanYi Zen Hei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WenQuanYi Zen Hei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底投產，金額未找到</t>
    </r>
  </si>
  <si>
    <r>
      <rPr>
        <sz val="11"/>
        <color theme="1"/>
        <rFont val="WenQuanYi Zen Hei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WenQuanYi Zen Hei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WenQuanYi Zen Hei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</si>
  <si>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</si>
  <si>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WenQuanYi Zen Hei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等）設備成長率</t>
    </r>
  </si>
  <si>
    <r>
      <rPr>
        <sz val="11"/>
        <color theme="1"/>
        <rFont val="WenQuanYi Zen Hei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WenQuanYi Zen Hei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</si>
  <si>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WenQuanYi Zen Hei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WenQuanYi Zen Hei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</si>
  <si>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WenQuanYi Zen Hei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</si>
  <si>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</si>
  <si>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</si>
  <si>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</si>
  <si>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</si>
  <si>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</si>
  <si>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WenQuanYi Zen Hei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WenQuanYi Zen Hei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</si>
  <si>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WenQuanYi Zen Hei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</si>
  <si>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</si>
  <si>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</si>
  <si>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</si>
  <si>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WenQuanYi Zen Hei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WenQuanYi Zen Hei"/>
        <family val="2"/>
      </rPr>
      <t xml:space="preserve">（非獨立）</t>
    </r>
  </si>
  <si>
    <t xml:space="preserve">ind_ymtc_sh</t>
  </si>
  <si>
    <r>
      <rPr>
        <sz val="11"/>
        <color theme="1"/>
        <rFont val="WenQuanYi Zen Hei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</si>
  <si>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WenQuanYi Zen Hei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WenQuanYi Zen Hei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</si>
  <si>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</si>
  <si>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</si>
  <si>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</si>
  <si>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</si>
  <si>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WenQuanYi Zen Hei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</si>
  <si>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WenQuanYi Zen Hei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WenQuanYi Zen Hei"/>
        <family val="2"/>
      </rPr>
      <t xml:space="preserve">）</t>
    </r>
  </si>
  <si>
    <t xml:space="preserve">fx_jpy</t>
  </si>
  <si>
    <r>
      <rPr>
        <sz val="11"/>
        <color theme="1"/>
        <rFont val="WenQuanYi Zen Hei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</si>
  <si>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JPY/USD</t>
  </si>
  <si>
    <r>
      <rPr>
        <sz val="11"/>
        <color theme="1"/>
        <rFont val="WenQuanYi Zen Hei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</si>
  <si>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</si>
  <si>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</si>
  <si>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</si>
  <si>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NT$B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</si>
  <si>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WenQuanYi Zen Hei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WenQuanYi Zen Hei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</si>
  <si>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WenQuanYi Zen Hei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頁）</t>
    </r>
  </si>
  <si>
    <t xml:space="preserve">fx_twd</t>
  </si>
  <si>
    <r>
      <rPr>
        <sz val="11"/>
        <color theme="1"/>
        <rFont val="WenQuanYi Zen Hei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</si>
  <si>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</si>
  <si>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</si>
  <si>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</si>
  <si>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WenQuanYi Zen Hei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</si>
  <si>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—（未找到）</t>
  </si>
  <si>
    <r>
      <rPr>
        <sz val="11"/>
        <color theme="1"/>
        <rFont val="WenQuanYi Zen Hei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</si>
  <si>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</si>
  <si>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</si>
  <si>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</si>
  <si>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WenQuanYi Zen Hei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</si>
  <si>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WenQuanYi Zen Hei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WenQuanYi Zen Hei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WenQuanYi Zen Hei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</si>
  <si>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WenQuanYi Zen Hei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</si>
  <si>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</si>
  <si>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</si>
  <si>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</si>
  <si>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</si>
  <si>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</si>
  <si>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</si>
  <si>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</si>
  <si>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</si>
  <si>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WenQuanYi Zen Hei"/>
        <family val="2"/>
      </rPr>
      <t xml:space="preserve">為使用者提供並經搜尋確認；其餘分項年增來自新聞稿摘要）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</si>
  <si>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</si>
  <si>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</si>
  <si>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WenQuanYi Zen Hei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WenQuanYi Zen Hei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</si>
  <si>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</si>
  <si>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</si>
  <si>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</si>
  <si>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</si>
  <si>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</si>
  <si>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</si>
  <si>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</si>
  <si>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</si>
  <si>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</si>
  <si>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</si>
  <si>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</si>
  <si>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</si>
  <si>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</si>
  <si>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</si>
  <si>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</si>
  <si>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</si>
  <si>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</si>
  <si>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</si>
  <si>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</si>
  <si>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</si>
  <si>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</si>
  <si>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</si>
  <si>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</si>
  <si>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</si>
  <si>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</si>
  <si>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</si>
  <si>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</si>
  <si>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</si>
  <si>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</si>
  <si>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</si>
  <si>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</si>
  <si>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</si>
  <si>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</si>
  <si>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</si>
  <si>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</si>
  <si>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</si>
  <si>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</si>
  <si>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</si>
  <si>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</si>
  <si>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</si>
  <si>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</si>
  <si>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</si>
  <si>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</si>
  <si>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</si>
  <si>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</si>
  <si>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預測；僅用於測試與封裝）</t>
    </r>
  </si>
  <si>
    <r>
      <rPr>
        <sz val="11"/>
        <color theme="1"/>
        <rFont val="WenQuanYi Zen Hei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WenQuanYi Zen Hei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WenQuanYi Zen Hei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</si>
  <si>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WenQuanYi Zen Hei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</si>
  <si>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WenQuanYi Zen Hei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</si>
  <si>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</si>
  <si>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WenQuanYi Zen Hei"/>
        <family val="2"/>
      </rPr>
      <t xml:space="preserve">係數（持平）</t>
    </r>
  </si>
  <si>
    <t xml:space="preserve">x</t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</si>
  <si>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見頂）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</si>
  <si>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WenQuanYi Zen Hei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</si>
  <si>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</si>
  <si>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WenQuanYi Zen Hei"/>
        <family val="2"/>
      </rPr>
      <t xml:space="preserve">係數（下滑約兩成）</t>
    </r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</si>
  <si>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下滑約兩成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</si>
  <si>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為壓力情境。無實證</t>
    </r>
  </si>
  <si>
    <t xml:space="preserve">ck_B_29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</si>
  <si>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WenQuanYi Zen Hei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</si>
  <si>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</si>
  <si>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</si>
  <si>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</si>
  <si>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WenQuanYi Zen Hei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</si>
  <si>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</si>
  <si>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WenQuanYi Zen Hei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</si>
  <si>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</si>
  <si>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</si>
  <si>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WenQuanYi Zen Hei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</si>
  <si>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</si>
  <si>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</si>
  <si>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</si>
  <si>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，但整體先進封裝設備金額未找到</t>
    </r>
  </si>
  <si>
    <r>
      <rPr>
        <sz val="11"/>
        <color theme="1"/>
        <rFont val="WenQuanYi Zen Hei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</si>
  <si>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</si>
  <si>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</si>
  <si>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</si>
  <si>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</si>
  <si>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WenQuanYi Zen Hei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WenQuanYi Zen Hei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</si>
  <si>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</si>
  <si>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，下限；額外對照）</t>
    </r>
  </si>
  <si>
    <r>
      <rPr>
        <sz val="11"/>
        <color theme="1"/>
        <rFont val="WenQuanYi Zen Hei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</si>
  <si>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</si>
  <si>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</si>
  <si>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</si>
  <si>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法說（摘要：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</si>
  <si>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WenQuanYi Zen Hei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</si>
  <si>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</si>
  <si>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</si>
  <si>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使用者提供；同上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</si>
  <si>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</si>
  <si>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</si>
  <si>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</si>
  <si>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；連結由使用者提供：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WenQuanYi Zen Hei"/>
        <family val="2"/>
      </rPr>
      <t xml:space="preserve">」；本環境無法開啟該頁，未直接核對）</t>
    </r>
  </si>
  <si>
    <r>
      <rPr>
        <sz val="11"/>
        <color theme="1"/>
        <rFont val="WenQuanYi Zen Hei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WenQuanYi Zen Hei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</si>
  <si>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</si>
  <si>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</si>
  <si>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</si>
  <si>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</si>
  <si>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</si>
  <si>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</si>
  <si>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</si>
  <si>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WenQuanYi Zen Hei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</si>
  <si>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</si>
  <si>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</si>
  <si>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</si>
  <si>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</si>
  <si>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</si>
  <si>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WenQuanYi Zen Hei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須說明原因）</t>
    </r>
  </si>
  <si>
    <r>
      <rPr>
        <sz val="11"/>
        <color theme="1"/>
        <rFont val="WenQuanYi Zen Hei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</si>
  <si>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</si>
  <si>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以後的分項只用於對帳。</t>
    </r>
  </si>
  <si>
    <t xml:space="preserve">說明</t>
  </si>
  <si>
    <r>
      <rPr>
        <b val="true"/>
        <sz val="11"/>
        <rFont val="WenQuanYi Zen Hei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增量占比、見頂年度）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</si>
  <si>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</si>
  <si>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</si>
  <si>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</si>
  <si>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</si>
  <si>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</si>
  <si>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</si>
  <si>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</si>
  <si>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</si>
  <si>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</si>
  <si>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</si>
  <si>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WenQuanYi Zen Hei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</si>
  <si>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WenQuanYi Zen Hei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</si>
  <si>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</si>
  <si>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WenQuanYi Zen Hei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</si>
  <si>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</si>
  <si>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</si>
  <si>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</si>
  <si>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</si>
  <si>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</si>
  <si>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WenQuanYi Zen Hei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</si>
  <si>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</si>
  <si>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WenQuanYi Zen Hei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</si>
  <si>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</si>
  <si>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</si>
  <si>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</si>
  <si>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</si>
  <si>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</si>
  <si>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</si>
  <si>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WenQuanYi Zen Hei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WenQuanYi Zen Hei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</si>
  <si>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</si>
  <si>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</si>
  <si>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</si>
  <si>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</si>
  <si>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WenQuanYi Zen Hei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</si>
  <si>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</si>
  <si>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</si>
  <si>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</si>
  <si>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WenQuanYi Zen Hei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</si>
  <si>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未找到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</si>
  <si>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</si>
  <si>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</si>
  <si>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</si>
  <si>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</si>
  <si>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WenQuanYi Zen Hei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</si>
  <si>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海力士資本支出（美元）</t>
    </r>
  </si>
  <si>
    <r>
      <rPr>
        <sz val="11"/>
        <color theme="1"/>
        <rFont val="WenQuanYi Zen Hei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WenQuanYi Zen Hei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</si>
  <si>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WenQuanYi Zen Hei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</si>
  <si>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</si>
  <si>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</si>
  <si>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</si>
  <si>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WenQuanYi Zen Hei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</si>
  <si>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設備（實績）</t>
    </r>
  </si>
  <si>
    <r>
      <rPr>
        <sz val="11"/>
        <rFont val="WenQuanYi Zen Hei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</si>
  <si>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設備（獨立估計）</t>
    </r>
  </si>
  <si>
    <r>
      <rPr>
        <sz val="11"/>
        <rFont val="WenQuanYi Zen Hei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</si>
  <si>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WenQuanYi Zen Hei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</t>
    </r>
  </si>
  <si>
    <r>
      <rPr>
        <b val="true"/>
        <sz val="11"/>
        <rFont val="WenQuanYi Zen Hei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年以後沿用）</t>
    </r>
  </si>
  <si>
    <r>
      <rPr>
        <sz val="11"/>
        <color theme="1"/>
        <rFont val="WenQuanYi Zen Hei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WenQuanYi Zen Hei"/>
        <family val="2"/>
      </rPr>
      <t xml:space="preserve">基準取此值</t>
    </r>
  </si>
  <si>
    <r>
      <rPr>
        <sz val="11"/>
        <rFont val="WenQuanYi Zen Hei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高）時的校準值</t>
    </r>
  </si>
  <si>
    <r>
      <rPr>
        <sz val="11"/>
        <rFont val="WenQuanYi Zen Hei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WenQuanYi Zen Hei"/>
        <family val="2"/>
      </rPr>
      <t xml:space="preserve">低）</t>
    </r>
  </si>
  <si>
    <r>
      <rPr>
        <sz val="11"/>
        <rFont val="WenQuanYi Zen Hei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WenQuanYi Zen Hei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</si>
  <si>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WenQuanYi Zen Hei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</si>
  <si>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</si>
  <si>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WenQuanYi Zen Hei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</si>
  <si>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</si>
  <si>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</si>
  <si>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</si>
  <si>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</si>
  <si>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比例拆三家），合計不受影響</t>
    </r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</si>
  <si>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</si>
  <si>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</si>
  <si>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WenQuanYi Zen Hei"/>
        <family val="2"/>
      </rPr>
      <t xml:space="preserve">）</t>
    </r>
  </si>
  <si>
    <t xml:space="preserve">記憶體設備合計＝三家＋其他</t>
  </si>
  <si>
    <r>
      <rPr>
        <sz val="11"/>
        <rFont val="WenQuanYi Zen Hei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</si>
  <si>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</si>
  <si>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WenQuanYi Zen Hei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</si>
  <si>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</si>
  <si>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t xml:space="preserve">台積電資本支出</t>
  </si>
  <si>
    <r>
      <rPr>
        <sz val="11"/>
        <rFont val="WenQuanYi Zen Hei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</si>
  <si>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</si>
  <si>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、中芯等</t>
    </r>
  </si>
  <si>
    <r>
      <rPr>
        <sz val="11"/>
        <rFont val="WenQuanYi Zen Hei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WenQuanYi Zen Hei"/>
        <family val="2"/>
      </rPr>
      <t xml:space="preserve">）</t>
    </r>
  </si>
  <si>
    <t xml:space="preserve">代工與邏輯設備合計</t>
  </si>
  <si>
    <r>
      <rPr>
        <sz val="11"/>
        <rFont val="WenQuanYi Zen Hei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</si>
  <si>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WenQuanYi Zen Hei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</si>
  <si>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</si>
  <si>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</si>
  <si>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WenQuanYi Zen Hei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</si>
  <si>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WenQuanYi Zen Hei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WenQuanYi Zen Hei"/>
        <family val="2"/>
      </rPr>
      <t xml:space="preserve">三大廠資本支出</t>
    </r>
  </si>
  <si>
    <t xml:space="preserve">＝三家加權設備占比（校準恆等）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</si>
  <si>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海力士、三星校準值</t>
    </r>
  </si>
  <si>
    <r>
      <rPr>
        <sz val="11"/>
        <rFont val="WenQuanYi Zen Hei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WenQuanYi Zen Hei"/>
        <family val="2"/>
      </rPr>
      <t xml:space="preserve">對照列）</t>
    </r>
  </si>
  <si>
    <r>
      <rPr>
        <sz val="11"/>
        <rFont val="WenQuanYi Zen Hei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</si>
  <si>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sz val="11"/>
        <color theme="1"/>
        <rFont val="WenQuanYi Zen Hei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</si>
  <si>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金額為輸入，不做由下而上）</t>
    </r>
  </si>
  <si>
    <r>
      <rPr>
        <sz val="11"/>
        <color theme="1"/>
        <rFont val="WenQuanYi Zen Hei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WenQuanYi Zen Hei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WenQuanYi Zen Hei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</si>
  <si>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</si>
  <si>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</si>
  <si>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</si>
  <si>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</si>
  <si>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</si>
  <si>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</si>
  <si>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</si>
  <si>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</si>
  <si>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WenQuanYi Zen Hei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</si>
  <si>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</si>
  <si>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</si>
  <si>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</si>
  <si>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</si>
  <si>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</si>
  <si>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</si>
  <si>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</si>
  <si>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</si>
  <si>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</t>
    </r>
  </si>
  <si>
    <r>
      <rPr>
        <sz val="11"/>
        <color theme="1"/>
        <rFont val="WenQuanYi Zen Hei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</si>
  <si>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相關增量占總增量（當年）</t>
    </r>
  </si>
  <si>
    <r>
      <rPr>
        <sz val="11"/>
        <color theme="1"/>
        <rFont val="WenQuanYi Zen Hei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</si>
  <si>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</si>
  <si>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</si>
  <si>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WenQuanYi Zen Hei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</si>
  <si>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WenQuanYi Zen Hei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水準）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</si>
  <si>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</si>
  <si>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</si>
  <si>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</si>
  <si>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</si>
  <si>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</si>
  <si>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</si>
  <si>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實績合計</t>
    </r>
  </si>
  <si>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</si>
  <si>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</si>
  <si>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</si>
  <si>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WenQuanYi Zen Hei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</t>
    </r>
  </si>
  <si>
    <t xml:space="preserve">年度</t>
  </si>
  <si>
    <t xml:space="preserve">來源值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</si>
  <si>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</si>
  <si>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</si>
  <si>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</si>
  <si>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</si>
  <si>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</si>
  <si>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</si>
  <si>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WenQuanYi Zen Hei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</si>
  <si>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</si>
  <si>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</si>
  <si>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</si>
  <si>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</si>
  <si>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</si>
  <si>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</si>
  <si>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</si>
  <si>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</si>
  <si>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WenQuanYi Zen Hei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WenQuanYi Zen Hei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</si>
  <si>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</si>
  <si>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</si>
  <si>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</si>
  <si>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</si>
  <si>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WenQuanYi Zen Hei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</si>
  <si>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（連乘）</t>
    </r>
  </si>
  <si>
    <r>
      <rPr>
        <sz val="11"/>
        <color theme="1"/>
        <rFont val="WenQuanYi Zen Hei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</si>
  <si>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</si>
  <si>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</si>
  <si>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</si>
  <si>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</si>
  <si>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</si>
  <si>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</si>
  <si>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</si>
  <si>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</si>
  <si>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</si>
  <si>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</si>
  <si>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</si>
  <si>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</si>
  <si>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</si>
  <si>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</si>
  <si>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WenQuanYi Zen Hei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與各來源的差距有意義。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</si>
  <si>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</si>
  <si>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</si>
  <si>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</si>
  <si>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</si>
  <si>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</si>
  <si>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</si>
  <si>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</si>
  <si>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</si>
  <si>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</si>
  <si>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，業界下限）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</si>
  <si>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（不再當基準）</t>
    </r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</si>
  <si>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（年度未核對；重新校準）</t>
    </r>
  </si>
  <si>
    <r>
      <rPr>
        <sz val="11"/>
        <color theme="1"/>
        <rFont val="WenQuanYi Zen Hei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WenQuanYi Zen Hei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</si>
  <si>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</si>
  <si>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WenQuanYi Zen Hei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</si>
  <si>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（重新校準）</t>
    </r>
  </si>
  <si>
    <t xml:space="preserve">台積電設備占比 低</t>
  </si>
  <si>
    <t xml:space="preserve">台積電設備占比 高</t>
  </si>
  <si>
    <r>
      <rPr>
        <sz val="11"/>
        <color theme="1"/>
        <rFont val="WenQuanYi Zen Hei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WenQuanYi Zen Hei"/>
        <family val="2"/>
      </rPr>
      <t xml:space="preserve">；重新校準）</t>
    </r>
  </si>
  <si>
    <r>
      <rPr>
        <sz val="11"/>
        <color theme="1"/>
        <rFont val="WenQuanYi Zen Hei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WenQuanYi Zen Hei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</si>
  <si>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兆；重新校準）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</si>
  <si>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</si>
  <si>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年以後設備無影響）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</si>
  <si>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</si>
  <si>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</si>
  <si>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</si>
  <si>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</si>
  <si>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高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</si>
  <si>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</si>
  <si>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</si>
  <si>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</si>
  <si>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</si>
  <si>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WenQuanYi Zen Hei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</si>
  <si>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</si>
  <si>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</si>
  <si>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</si>
  <si>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</si>
  <si>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</si>
  <si>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</si>
  <si>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</si>
  <si>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</si>
  <si>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</si>
  <si>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</si>
  <si>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</si>
  <si>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WenQuanYi Zen Hei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</si>
  <si>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WenQuanYi Zen Hei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</si>
  <si>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</si>
  <si>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</si>
  <si>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</si>
  <si>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</si>
  <si>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</si>
  <si>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</si>
  <si>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</si>
  <si>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</si>
  <si>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</si>
  <si>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</si>
  <si>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</si>
  <si>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</si>
  <si>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</si>
  <si>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</si>
  <si>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</si>
  <si>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</si>
  <si>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WenQuanYi Zen Hei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</si>
  <si>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</si>
  <si>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</si>
  <si>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</si>
  <si>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</si>
  <si>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</si>
  <si>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</si>
  <si>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</si>
  <si>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</si>
  <si>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</si>
  <si>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</si>
  <si>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WenQuanYi Zen Hei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</si>
  <si>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</si>
  <si>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</si>
  <si>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</si>
  <si>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</si>
  <si>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</si>
  <si>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</si>
  <si>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WenQuanYi Zen Hei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</si>
  <si>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WenQuanYi Zen Hei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</si>
  <si>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</si>
  <si>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</si>
  <si>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</si>
  <si>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WenQuanYi Zen Hei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</si>
  <si>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</si>
  <si>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</si>
  <si>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</si>
  <si>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</si>
  <si>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</si>
  <si>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</si>
  <si>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</si>
  <si>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</si>
  <si>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</si>
  <si>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</si>
  <si>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WenQuanYi Zen Hei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</si>
  <si>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</si>
  <si>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</si>
  <si>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</si>
  <si>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</si>
  <si>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</si>
  <si>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</si>
  <si>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</si>
  <si>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</si>
  <si>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WenQuanYi Zen Hei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</si>
  <si>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</si>
  <si>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</si>
  <si>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WenQuanYi Zen Hei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</si>
  <si>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</si>
  <si>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</si>
  <si>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</si>
  <si>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</si>
  <si>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</si>
  <si>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</si>
  <si>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</si>
  <si>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WenQuanYi Zen Hei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</si>
  <si>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</si>
  <si>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</si>
  <si>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</si>
  <si>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WenQuanYi Zen Hei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</si>
  <si>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</si>
  <si>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</si>
  <si>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WenQuanYi Zen Hei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</si>
  <si>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</si>
  <si>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</si>
  <si>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</si>
  <si>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</si>
  <si>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</si>
  <si>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</si>
  <si>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</si>
  <si>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</si>
  <si>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WenQuanYi Zen Hei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</si>
  <si>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</si>
  <si>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</si>
  <si>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</si>
  <si>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</si>
  <si>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</si>
  <si>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</si>
  <si>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WenQuanYi Zen Hei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</si>
  <si>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</si>
  <si>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WenQuanYi Zen Hei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</si>
  <si>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WenQuanYi Zen Hei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</si>
  <si>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</si>
  <si>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</si>
  <si>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</si>
  <si>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</si>
  <si>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</si>
  <si>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</si>
  <si>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</si>
  <si>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</si>
  <si>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</si>
  <si>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WenQuanYi Zen Hei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</si>
  <si>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</si>
  <si>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</si>
  <si>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WenQuanYi Zen Hei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</si>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</sst>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82.05" hidden="false" customHeight="false" outlineLevel="0" collapsed="false">
      <c r="A1" s="1" t="s">
        <v>0</v>
      </c>
    </row>
    <row r="2" customFormat="false" ht="162.6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28.35" hidden="false" customHeight="false" outlineLevel="0" collapsed="false">
      <c r="A4" s="1" t="s">
        <v>2</v>
      </c>
    </row>
    <row r="5" customFormat="false" ht="149.25" hidden="false" customHeight="false" outlineLevel="0" collapsed="false">
      <c r="A5" s="3" t="s">
        <v>3</v>
      </c>
    </row>
    <row r="6" customFormat="false" ht="216.4" hidden="false" customHeight="false" outlineLevel="0" collapsed="false">
      <c r="A6" s="3" t="s">
        <v>4</v>
      </c>
    </row>
    <row r="7" customFormat="false" ht="122.3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/>
    </row>
    <row r="9" customFormat="false" ht="41.75" hidden="false" customHeight="false" outlineLevel="0" collapsed="false">
      <c r="A9" s="1" t="s">
        <v>6</v>
      </c>
    </row>
    <row r="10" customFormat="false" ht="176.1" hidden="false" customHeight="false" outlineLevel="0" collapsed="false">
      <c r="A10" s="2" t="s">
        <v>7</v>
      </c>
    </row>
    <row r="11" customFormat="false" ht="310.4" hidden="false" customHeight="false" outlineLevel="0" collapsed="false">
      <c r="A11" s="2" t="s">
        <v>8</v>
      </c>
    </row>
    <row r="12" customFormat="false" ht="270.1" hidden="false" customHeight="false" outlineLevel="0" collapsed="false">
      <c r="A12" s="3" t="s">
        <v>9</v>
      </c>
    </row>
    <row r="13" customFormat="false" ht="162.6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1" t="s">
        <v>11</v>
      </c>
    </row>
    <row r="16" customFormat="false" ht="216.4" hidden="false" customHeight="false" outlineLevel="0" collapsed="false">
      <c r="A16" s="3" t="s">
        <v>12</v>
      </c>
    </row>
    <row r="17" customFormat="false" ht="189.55" hidden="false" customHeight="false" outlineLevel="0" collapsed="false">
      <c r="A17" s="3" t="s">
        <v>13</v>
      </c>
    </row>
    <row r="18" customFormat="false" ht="202.95" hidden="false" customHeight="false" outlineLevel="0" collapsed="false">
      <c r="A18" s="3" t="s">
        <v>14</v>
      </c>
    </row>
    <row r="19" customFormat="false" ht="229.8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/>
    </row>
    <row r="21" customFormat="false" ht="41.75" hidden="false" customHeight="false" outlineLevel="0" collapsed="false">
      <c r="A21" s="1" t="s">
        <v>16</v>
      </c>
    </row>
    <row r="22" customFormat="false" ht="15" hidden="false" customHeight="false" outlineLevel="0" collapsed="false">
      <c r="A22" s="4" t="s">
        <v>17</v>
      </c>
      <c r="B22" s="4" t="s">
        <v>18</v>
      </c>
      <c r="C22" s="4" t="s">
        <v>19</v>
      </c>
      <c r="D22" s="4" t="s">
        <v>20</v>
      </c>
      <c r="E22" s="4" t="s">
        <v>21</v>
      </c>
    </row>
    <row r="23" customFormat="false" ht="55.2" hidden="false" customHeight="false" outlineLevel="0" collapsed="false">
      <c r="A23" s="5" t="s">
        <v>22</v>
      </c>
      <c r="B23" s="5" t="s">
        <v>23</v>
      </c>
      <c r="C23" s="6" t="s">
        <v>24</v>
      </c>
      <c r="D23" s="5" t="s">
        <v>25</v>
      </c>
      <c r="E23" s="5" t="s">
        <v>26</v>
      </c>
    </row>
    <row r="24" customFormat="false" ht="28.35" hidden="false" customHeight="false" outlineLevel="0" collapsed="false">
      <c r="A24" s="5" t="s">
        <v>27</v>
      </c>
      <c r="B24" s="6" t="s">
        <v>28</v>
      </c>
      <c r="C24" s="6" t="s">
        <v>29</v>
      </c>
      <c r="D24" s="5" t="s">
        <v>30</v>
      </c>
      <c r="E24" s="5" t="s">
        <v>31</v>
      </c>
    </row>
    <row r="25" customFormat="false" ht="28.35" hidden="false" customHeight="false" outlineLevel="0" collapsed="false">
      <c r="A25" s="6" t="s">
        <v>32</v>
      </c>
      <c r="B25" s="6" t="s">
        <v>33</v>
      </c>
      <c r="C25" s="6" t="s">
        <v>34</v>
      </c>
      <c r="D25" s="5" t="s">
        <v>35</v>
      </c>
      <c r="E25" s="6" t="s">
        <v>36</v>
      </c>
    </row>
    <row r="26" customFormat="false" ht="41.75" hidden="false" customHeight="false" outlineLevel="0" collapsed="false">
      <c r="A26" s="5" t="s">
        <v>37</v>
      </c>
      <c r="B26" s="6" t="s">
        <v>38</v>
      </c>
      <c r="C26" s="6" t="s">
        <v>39</v>
      </c>
      <c r="D26" s="5" t="s">
        <v>40</v>
      </c>
      <c r="E26" s="5" t="s">
        <v>41</v>
      </c>
    </row>
    <row r="27" customFormat="false" ht="41.75" hidden="false" customHeight="false" outlineLevel="0" collapsed="false">
      <c r="A27" s="6" t="s">
        <v>42</v>
      </c>
      <c r="B27" s="6" t="s">
        <v>43</v>
      </c>
      <c r="C27" s="6" t="s">
        <v>44</v>
      </c>
      <c r="D27" s="5" t="s">
        <v>45</v>
      </c>
      <c r="E27" s="5" t="s">
        <v>46</v>
      </c>
    </row>
    <row r="29" customFormat="false" ht="15" hidden="false" customHeight="false" outlineLevel="0" collapsed="false">
      <c r="A29" s="7" t="s">
        <v>47</v>
      </c>
    </row>
    <row r="30" customFormat="false" ht="108.95" hidden="false" customHeight="false" outlineLevel="0" collapsed="false">
      <c r="A30" s="5" t="s">
        <v>48</v>
      </c>
    </row>
    <row r="31" customFormat="false" ht="350.7" hidden="false" customHeight="false" outlineLevel="0" collapsed="false">
      <c r="A31" s="6" t="s">
        <v>49</v>
      </c>
    </row>
    <row r="32" customFormat="false" ht="229.85" hidden="false" customHeight="false" outlineLevel="0" collapsed="false">
      <c r="A32" s="6" t="s">
        <v>50</v>
      </c>
    </row>
    <row r="33" customFormat="false" ht="189.55" hidden="false" customHeight="false" outlineLevel="0" collapsed="false">
      <c r="A33" s="6" t="s">
        <v>51</v>
      </c>
    </row>
    <row r="34" customFormat="false" ht="444.75" hidden="false" customHeight="false" outlineLevel="0" collapsed="false">
      <c r="A34" s="6" t="s">
        <v>52</v>
      </c>
    </row>
    <row r="36" customFormat="false" ht="15" hidden="false" customHeight="false" outlineLevel="0" collapsed="false">
      <c r="A36" s="8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5" hidden="false" customHeight="false" outlineLevel="0" collapsed="false">
      <c r="A1" s="0" t="s">
        <v>54</v>
      </c>
    </row>
    <row r="2" customFormat="false" ht="15" hidden="false" customHeight="false" outlineLevel="0" collapsed="false">
      <c r="A2" s="8" t="s">
        <v>55</v>
      </c>
    </row>
    <row r="3" customFormat="false" ht="15" hidden="false" customHeight="false" outlineLevel="0" collapsed="false">
      <c r="A3" s="4" t="s">
        <v>56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  <c r="G3" s="4" t="s">
        <v>62</v>
      </c>
      <c r="H3" s="4" t="s">
        <v>63</v>
      </c>
      <c r="I3" s="4" t="s">
        <v>64</v>
      </c>
    </row>
    <row r="4" customFormat="false" ht="15" hidden="false" customHeight="false" outlineLevel="0" collapsed="false">
      <c r="A4" s="9" t="s">
        <v>65</v>
      </c>
    </row>
    <row r="5" customFormat="false" ht="15" hidden="false" customHeight="false" outlineLevel="0" collapsed="false">
      <c r="A5" s="0" t="s">
        <v>66</v>
      </c>
      <c r="B5" s="8" t="s">
        <v>67</v>
      </c>
      <c r="C5" s="0" t="s">
        <v>68</v>
      </c>
      <c r="D5" s="10" t="n">
        <v>1350</v>
      </c>
      <c r="E5" s="11" t="n">
        <v>1420</v>
      </c>
      <c r="F5" s="10" t="n">
        <v>1500</v>
      </c>
      <c r="G5" s="12" t="s">
        <v>69</v>
      </c>
      <c r="H5" s="8" t="s">
        <v>70</v>
      </c>
      <c r="I5" s="8" t="s">
        <v>71</v>
      </c>
    </row>
    <row r="6" customFormat="false" ht="15" hidden="false" customHeight="false" outlineLevel="0" collapsed="false">
      <c r="A6" s="0" t="s">
        <v>72</v>
      </c>
      <c r="B6" s="0" t="s">
        <v>73</v>
      </c>
      <c r="C6" s="8" t="s">
        <v>74</v>
      </c>
      <c r="E6" s="11" t="n">
        <v>48.7</v>
      </c>
      <c r="G6" s="12" t="s">
        <v>75</v>
      </c>
      <c r="H6" s="12" t="s">
        <v>76</v>
      </c>
      <c r="I6" s="8" t="s">
        <v>77</v>
      </c>
    </row>
    <row r="7" customFormat="false" ht="15" hidden="false" customHeight="false" outlineLevel="0" collapsed="false">
      <c r="A7" s="0" t="s">
        <v>78</v>
      </c>
      <c r="B7" s="0" t="s">
        <v>79</v>
      </c>
      <c r="C7" s="8" t="s">
        <v>74</v>
      </c>
      <c r="E7" s="11" t="n">
        <v>62.3</v>
      </c>
      <c r="G7" s="12" t="s">
        <v>75</v>
      </c>
      <c r="H7" s="12" t="s">
        <v>80</v>
      </c>
      <c r="I7" s="8" t="s">
        <v>81</v>
      </c>
    </row>
    <row r="8" customFormat="false" ht="15" hidden="false" customHeight="false" outlineLevel="0" collapsed="false">
      <c r="A8" s="0" t="s">
        <v>82</v>
      </c>
      <c r="B8" s="0" t="s">
        <v>83</v>
      </c>
      <c r="C8" s="8" t="s">
        <v>74</v>
      </c>
      <c r="E8" s="11" t="n">
        <v>71.2</v>
      </c>
      <c r="G8" s="12" t="s">
        <v>75</v>
      </c>
      <c r="H8" s="12" t="s">
        <v>84</v>
      </c>
      <c r="I8" s="8" t="s">
        <v>85</v>
      </c>
    </row>
    <row r="9" customFormat="false" ht="15" hidden="false" customHeight="false" outlineLevel="0" collapsed="false">
      <c r="A9" s="0" t="s">
        <v>86</v>
      </c>
      <c r="B9" s="0" t="s">
        <v>87</v>
      </c>
      <c r="C9" s="8" t="s">
        <v>74</v>
      </c>
      <c r="E9" s="11" t="n">
        <v>75</v>
      </c>
      <c r="G9" s="12" t="s">
        <v>88</v>
      </c>
      <c r="H9" s="12" t="s">
        <v>89</v>
      </c>
      <c r="I9" s="8" t="s">
        <v>90</v>
      </c>
    </row>
    <row r="10" customFormat="false" ht="15" hidden="false" customHeight="false" outlineLevel="0" collapsed="false">
      <c r="A10" s="0" t="s">
        <v>91</v>
      </c>
      <c r="B10" s="8" t="s">
        <v>92</v>
      </c>
      <c r="C10" s="0" t="s">
        <v>93</v>
      </c>
      <c r="E10" s="11" t="n">
        <v>27.367</v>
      </c>
      <c r="G10" s="12" t="s">
        <v>94</v>
      </c>
      <c r="H10" s="12" t="s">
        <v>95</v>
      </c>
      <c r="I10" s="8" t="s">
        <v>96</v>
      </c>
    </row>
    <row r="11" customFormat="false" ht="15" hidden="false" customHeight="false" outlineLevel="0" collapsed="false">
      <c r="A11" s="0" t="s">
        <v>97</v>
      </c>
      <c r="B11" s="8" t="s">
        <v>98</v>
      </c>
      <c r="C11" s="0" t="s">
        <v>93</v>
      </c>
      <c r="E11" s="11" t="n">
        <v>55</v>
      </c>
      <c r="G11" s="12" t="s">
        <v>69</v>
      </c>
      <c r="H11" s="12" t="s">
        <v>99</v>
      </c>
      <c r="I11" s="8" t="s">
        <v>100</v>
      </c>
    </row>
    <row r="12" customFormat="false" ht="15" hidden="false" customHeight="false" outlineLevel="0" collapsed="false">
      <c r="A12" s="0" t="s">
        <v>101</v>
      </c>
      <c r="B12" s="8" t="s">
        <v>102</v>
      </c>
      <c r="C12" s="0" t="s">
        <v>93</v>
      </c>
      <c r="E12" s="11" t="n">
        <v>60</v>
      </c>
      <c r="G12" s="12" t="s">
        <v>88</v>
      </c>
      <c r="H12" s="12" t="s">
        <v>103</v>
      </c>
      <c r="I12" s="8" t="s">
        <v>104</v>
      </c>
    </row>
    <row r="13" customFormat="false" ht="15" hidden="false" customHeight="false" outlineLevel="0" collapsed="false">
      <c r="A13" s="0" t="s">
        <v>105</v>
      </c>
      <c r="B13" s="8" t="s">
        <v>106</v>
      </c>
      <c r="C13" s="0" t="s">
        <v>93</v>
      </c>
      <c r="E13" s="11" t="n">
        <v>60</v>
      </c>
      <c r="G13" s="12" t="s">
        <v>88</v>
      </c>
      <c r="H13" s="12" t="s">
        <v>107</v>
      </c>
      <c r="I13" s="8" t="s">
        <v>104</v>
      </c>
    </row>
    <row r="14" customFormat="false" ht="15" hidden="false" customHeight="false" outlineLevel="0" collapsed="false">
      <c r="A14" s="0" t="s">
        <v>108</v>
      </c>
      <c r="B14" s="8" t="s">
        <v>109</v>
      </c>
      <c r="C14" s="8" t="s">
        <v>74</v>
      </c>
      <c r="E14" s="11" t="n">
        <v>52.5</v>
      </c>
      <c r="G14" s="12" t="s">
        <v>110</v>
      </c>
      <c r="H14" s="12" t="s">
        <v>111</v>
      </c>
      <c r="I14" s="8" t="s">
        <v>112</v>
      </c>
    </row>
    <row r="15" customFormat="false" ht="15" hidden="false" customHeight="false" outlineLevel="0" collapsed="false">
      <c r="A15" s="0" t="s">
        <v>113</v>
      </c>
      <c r="B15" s="8" t="s">
        <v>114</v>
      </c>
      <c r="C15" s="8" t="s">
        <v>74</v>
      </c>
      <c r="E15" s="11" t="n">
        <v>60</v>
      </c>
      <c r="G15" s="12" t="s">
        <v>88</v>
      </c>
      <c r="H15" s="12" t="s">
        <v>115</v>
      </c>
      <c r="I15" s="8" t="s">
        <v>116</v>
      </c>
    </row>
    <row r="16" customFormat="false" ht="15" hidden="false" customHeight="false" outlineLevel="0" collapsed="false">
      <c r="A16" s="0" t="s">
        <v>117</v>
      </c>
      <c r="B16" s="8" t="s">
        <v>118</v>
      </c>
      <c r="C16" s="8" t="s">
        <v>74</v>
      </c>
      <c r="E16" s="11" t="n">
        <v>66</v>
      </c>
      <c r="G16" s="12" t="s">
        <v>88</v>
      </c>
      <c r="H16" s="12" t="s">
        <v>119</v>
      </c>
      <c r="I16" s="8" t="s">
        <v>120</v>
      </c>
    </row>
    <row r="17" customFormat="false" ht="15" hidden="false" customHeight="false" outlineLevel="0" collapsed="false">
      <c r="A17" s="0" t="s">
        <v>121</v>
      </c>
      <c r="B17" s="8" t="s">
        <v>122</v>
      </c>
      <c r="C17" s="8" t="s">
        <v>74</v>
      </c>
      <c r="E17" s="11" t="n">
        <v>66</v>
      </c>
      <c r="G17" s="12" t="s">
        <v>88</v>
      </c>
      <c r="H17" s="12" t="s">
        <v>123</v>
      </c>
      <c r="I17" s="8" t="s">
        <v>120</v>
      </c>
    </row>
    <row r="18" customFormat="false" ht="15" hidden="false" customHeight="false" outlineLevel="0" collapsed="false">
      <c r="A18" s="0" t="s">
        <v>124</v>
      </c>
      <c r="B18" s="8" t="s">
        <v>125</v>
      </c>
      <c r="C18" s="0" t="s">
        <v>93</v>
      </c>
      <c r="E18" s="11" t="n">
        <v>62</v>
      </c>
      <c r="G18" s="12" t="s">
        <v>75</v>
      </c>
      <c r="H18" s="12" t="s">
        <v>126</v>
      </c>
      <c r="I18" s="8" t="s">
        <v>127</v>
      </c>
    </row>
    <row r="19" customFormat="false" ht="15" hidden="false" customHeight="false" outlineLevel="0" collapsed="false">
      <c r="A19" s="0" t="s">
        <v>128</v>
      </c>
      <c r="B19" s="8" t="s">
        <v>129</v>
      </c>
      <c r="C19" s="0" t="s">
        <v>93</v>
      </c>
      <c r="E19" s="11" t="n">
        <v>77</v>
      </c>
      <c r="G19" s="12" t="s">
        <v>75</v>
      </c>
      <c r="H19" s="12" t="s">
        <v>130</v>
      </c>
      <c r="I19" s="8" t="s">
        <v>131</v>
      </c>
    </row>
    <row r="20" customFormat="false" ht="15" hidden="false" customHeight="false" outlineLevel="0" collapsed="false">
      <c r="A20" s="0" t="s">
        <v>132</v>
      </c>
      <c r="B20" s="8" t="s">
        <v>133</v>
      </c>
      <c r="C20" s="0" t="s">
        <v>93</v>
      </c>
      <c r="E20" s="11" t="n">
        <v>90</v>
      </c>
      <c r="G20" s="12" t="s">
        <v>75</v>
      </c>
      <c r="H20" s="12" t="s">
        <v>134</v>
      </c>
      <c r="I20" s="8" t="s">
        <v>135</v>
      </c>
    </row>
    <row r="21" customFormat="false" ht="15" hidden="false" customHeight="false" outlineLevel="0" collapsed="false">
      <c r="A21" s="0" t="s">
        <v>136</v>
      </c>
      <c r="B21" s="8" t="s">
        <v>137</v>
      </c>
      <c r="C21" s="0" t="s">
        <v>93</v>
      </c>
      <c r="E21" s="11" t="n">
        <v>95</v>
      </c>
      <c r="G21" s="12" t="s">
        <v>88</v>
      </c>
      <c r="H21" s="12" t="s">
        <v>138</v>
      </c>
      <c r="I21" s="8" t="s">
        <v>139</v>
      </c>
    </row>
    <row r="22" customFormat="false" ht="15" hidden="false" customHeight="false" outlineLevel="0" collapsed="false">
      <c r="A22" s="0" t="s">
        <v>140</v>
      </c>
      <c r="B22" s="0" t="s">
        <v>141</v>
      </c>
      <c r="C22" s="8" t="s">
        <v>74</v>
      </c>
      <c r="D22" s="10" t="n">
        <v>28</v>
      </c>
      <c r="E22" s="11" t="n">
        <v>30.2</v>
      </c>
      <c r="F22" s="10" t="n">
        <v>30.2</v>
      </c>
      <c r="G22" s="12" t="s">
        <v>75</v>
      </c>
      <c r="H22" s="12" t="s">
        <v>142</v>
      </c>
      <c r="I22" s="12" t="s">
        <v>143</v>
      </c>
    </row>
    <row r="23" customFormat="false" ht="15" hidden="false" customHeight="false" outlineLevel="0" collapsed="false">
      <c r="A23" s="0" t="s">
        <v>144</v>
      </c>
      <c r="B23" s="8" t="s">
        <v>145</v>
      </c>
      <c r="C23" s="0" t="s">
        <v>93</v>
      </c>
      <c r="E23" s="11" t="n">
        <v>13.8</v>
      </c>
      <c r="G23" s="12" t="s">
        <v>94</v>
      </c>
      <c r="H23" s="8" t="s">
        <v>146</v>
      </c>
      <c r="I23" s="8" t="s">
        <v>147</v>
      </c>
    </row>
    <row r="24" customFormat="false" ht="15" hidden="false" customHeight="false" outlineLevel="0" collapsed="false">
      <c r="A24" s="0" t="s">
        <v>148</v>
      </c>
      <c r="B24" s="8" t="s">
        <v>149</v>
      </c>
      <c r="C24" s="8" t="s">
        <v>74</v>
      </c>
      <c r="E24" s="11" t="n">
        <v>47.5</v>
      </c>
      <c r="G24" s="12" t="s">
        <v>94</v>
      </c>
      <c r="H24" s="8" t="s">
        <v>150</v>
      </c>
      <c r="I24" s="12" t="s">
        <v>151</v>
      </c>
    </row>
    <row r="25" customFormat="false" ht="15" hidden="false" customHeight="false" outlineLevel="0" collapsed="false">
      <c r="A25" s="0" t="s">
        <v>152</v>
      </c>
      <c r="B25" s="8" t="s">
        <v>153</v>
      </c>
      <c r="C25" s="0" t="s">
        <v>154</v>
      </c>
      <c r="D25" s="13" t="n">
        <v>0.65</v>
      </c>
      <c r="E25" s="13" t="n">
        <v>0.75</v>
      </c>
      <c r="F25" s="13" t="n">
        <v>0.9</v>
      </c>
      <c r="G25" s="12" t="s">
        <v>88</v>
      </c>
      <c r="H25" s="8" t="s">
        <v>155</v>
      </c>
      <c r="I25" s="8" t="s">
        <v>156</v>
      </c>
    </row>
    <row r="26" customFormat="false" ht="15" hidden="false" customHeight="false" outlineLevel="0" collapsed="false">
      <c r="A26" s="0" t="s">
        <v>157</v>
      </c>
      <c r="B26" s="8" t="s">
        <v>158</v>
      </c>
      <c r="C26" s="0" t="s">
        <v>93</v>
      </c>
      <c r="D26" s="10" t="n">
        <v>40</v>
      </c>
      <c r="E26" s="11" t="n">
        <v>40.9</v>
      </c>
      <c r="F26" s="10" t="n">
        <v>42</v>
      </c>
      <c r="G26" s="12" t="s">
        <v>75</v>
      </c>
      <c r="H26" s="12" t="s">
        <v>159</v>
      </c>
      <c r="I26" s="8" t="s">
        <v>160</v>
      </c>
    </row>
    <row r="27" customFormat="false" ht="15" hidden="false" customHeight="false" outlineLevel="0" collapsed="false">
      <c r="A27" s="9" t="s">
        <v>161</v>
      </c>
    </row>
    <row r="28" customFormat="false" ht="15" hidden="false" customHeight="false" outlineLevel="0" collapsed="false">
      <c r="A28" s="0" t="s">
        <v>162</v>
      </c>
      <c r="B28" s="8" t="s">
        <v>163</v>
      </c>
      <c r="C28" s="0" t="s">
        <v>154</v>
      </c>
      <c r="D28" s="13" t="n">
        <v>0.58</v>
      </c>
      <c r="E28" s="13" t="n">
        <v>0.64</v>
      </c>
      <c r="F28" s="13" t="n">
        <v>0.7</v>
      </c>
      <c r="G28" s="12" t="s">
        <v>164</v>
      </c>
      <c r="H28" s="12" t="s">
        <v>165</v>
      </c>
      <c r="I28" s="12" t="s">
        <v>166</v>
      </c>
    </row>
    <row r="29" customFormat="false" ht="15" hidden="false" customHeight="false" outlineLevel="0" collapsed="false">
      <c r="A29" s="0" t="s">
        <v>167</v>
      </c>
      <c r="B29" s="8" t="s">
        <v>168</v>
      </c>
      <c r="C29" s="0" t="s">
        <v>154</v>
      </c>
      <c r="D29" s="13" t="n">
        <v>0.471</v>
      </c>
      <c r="E29" s="13" t="n">
        <v>0.521</v>
      </c>
      <c r="F29" s="13" t="n">
        <v>0.571</v>
      </c>
      <c r="G29" s="12" t="s">
        <v>69</v>
      </c>
      <c r="H29" s="12" t="s">
        <v>169</v>
      </c>
      <c r="I29" s="8" t="s">
        <v>170</v>
      </c>
    </row>
    <row r="30" customFormat="false" ht="15" hidden="false" customHeight="false" outlineLevel="0" collapsed="false">
      <c r="A30" s="0" t="s">
        <v>171</v>
      </c>
      <c r="B30" s="8" t="s">
        <v>172</v>
      </c>
      <c r="C30" s="0" t="s">
        <v>154</v>
      </c>
      <c r="D30" s="13" t="n">
        <v>0.385</v>
      </c>
      <c r="E30" s="13" t="n">
        <v>0.46</v>
      </c>
      <c r="F30" s="13" t="n">
        <v>0.535</v>
      </c>
      <c r="G30" s="12" t="s">
        <v>69</v>
      </c>
      <c r="H30" s="12" t="s">
        <v>173</v>
      </c>
      <c r="I30" s="8" t="s">
        <v>174</v>
      </c>
    </row>
    <row r="31" customFormat="false" ht="15" hidden="false" customHeight="false" outlineLevel="0" collapsed="false">
      <c r="A31" s="0" t="s">
        <v>175</v>
      </c>
      <c r="B31" s="0" t="s">
        <v>176</v>
      </c>
      <c r="C31" s="0" t="s">
        <v>154</v>
      </c>
      <c r="D31" s="14" t="n">
        <f aca="false">Mkt!$C$79</f>
        <v>0.385040850204958</v>
      </c>
      <c r="E31" s="14" t="n">
        <f aca="false">Mkt!$C$78</f>
        <v>0.455453003642102</v>
      </c>
      <c r="F31" s="14" t="n">
        <f aca="false">Mkt!$C$80</f>
        <v>0.58</v>
      </c>
      <c r="G31" s="12" t="s">
        <v>69</v>
      </c>
      <c r="H31" s="12" t="s">
        <v>177</v>
      </c>
      <c r="I31" s="8" t="s">
        <v>178</v>
      </c>
    </row>
    <row r="32" customFormat="false" ht="15" hidden="false" customHeight="false" outlineLevel="0" collapsed="false">
      <c r="A32" s="0" t="s">
        <v>179</v>
      </c>
      <c r="B32" s="8" t="s">
        <v>180</v>
      </c>
      <c r="C32" s="0" t="s">
        <v>154</v>
      </c>
      <c r="D32" s="14" t="n">
        <f aca="false">Mkt!$C$79</f>
        <v>0.385040850204958</v>
      </c>
      <c r="E32" s="14" t="n">
        <f aca="false">Mkt!$C$78</f>
        <v>0.455453003642102</v>
      </c>
      <c r="F32" s="14" t="n">
        <f aca="false">Mkt!$C$80</f>
        <v>0.58</v>
      </c>
      <c r="G32" s="12" t="s">
        <v>69</v>
      </c>
      <c r="H32" s="8" t="s">
        <v>181</v>
      </c>
      <c r="I32" s="8" t="s">
        <v>182</v>
      </c>
    </row>
    <row r="33" customFormat="false" ht="15" hidden="false" customHeight="false" outlineLevel="0" collapsed="false">
      <c r="A33" s="0" t="s">
        <v>183</v>
      </c>
      <c r="B33" s="8" t="s">
        <v>184</v>
      </c>
      <c r="C33" s="0" t="s">
        <v>154</v>
      </c>
      <c r="D33" s="13" t="n">
        <v>0.58</v>
      </c>
      <c r="E33" s="13" t="n">
        <v>0.64</v>
      </c>
      <c r="F33" s="13" t="n">
        <v>0.7</v>
      </c>
      <c r="G33" s="12" t="s">
        <v>164</v>
      </c>
      <c r="H33" s="12" t="s">
        <v>165</v>
      </c>
      <c r="I33" s="12" t="s">
        <v>185</v>
      </c>
    </row>
    <row r="34" customFormat="false" ht="15" hidden="false" customHeight="false" outlineLevel="0" collapsed="false">
      <c r="A34" s="9" t="s">
        <v>186</v>
      </c>
    </row>
    <row r="35" customFormat="false" ht="15" hidden="false" customHeight="false" outlineLevel="0" collapsed="false">
      <c r="A35" s="0" t="s">
        <v>187</v>
      </c>
      <c r="B35" s="8" t="s">
        <v>188</v>
      </c>
      <c r="C35" s="0" t="s">
        <v>189</v>
      </c>
      <c r="D35" s="10" t="n">
        <v>0.1</v>
      </c>
      <c r="E35" s="10" t="n">
        <v>0.18</v>
      </c>
      <c r="F35" s="10" t="n">
        <v>0.6</v>
      </c>
      <c r="G35" s="12" t="s">
        <v>88</v>
      </c>
      <c r="H35" s="8" t="s">
        <v>190</v>
      </c>
      <c r="I35" s="8" t="s">
        <v>191</v>
      </c>
    </row>
    <row r="36" customFormat="false" ht="15" hidden="false" customHeight="false" outlineLevel="0" collapsed="false">
      <c r="A36" s="0" t="s">
        <v>192</v>
      </c>
      <c r="B36" s="8" t="s">
        <v>193</v>
      </c>
      <c r="C36" s="0" t="s">
        <v>189</v>
      </c>
      <c r="D36" s="10" t="n">
        <v>0</v>
      </c>
      <c r="E36" s="10" t="n">
        <v>0.18</v>
      </c>
      <c r="F36" s="10" t="n">
        <v>0.6</v>
      </c>
      <c r="G36" s="12" t="s">
        <v>88</v>
      </c>
      <c r="H36" s="8" t="s">
        <v>194</v>
      </c>
      <c r="I36" s="8" t="s">
        <v>195</v>
      </c>
    </row>
    <row r="37" customFormat="false" ht="15" hidden="false" customHeight="false" outlineLevel="0" collapsed="false">
      <c r="A37" s="0" t="s">
        <v>196</v>
      </c>
      <c r="B37" s="8" t="s">
        <v>197</v>
      </c>
      <c r="C37" s="0" t="s">
        <v>189</v>
      </c>
      <c r="D37" s="10" t="n">
        <v>0</v>
      </c>
      <c r="E37" s="10" t="n">
        <v>0.08</v>
      </c>
      <c r="F37" s="10" t="n">
        <v>0.2</v>
      </c>
      <c r="G37" s="12" t="s">
        <v>88</v>
      </c>
      <c r="H37" s="8" t="s">
        <v>198</v>
      </c>
      <c r="I37" s="8" t="s">
        <v>199</v>
      </c>
    </row>
    <row r="38" customFormat="false" ht="15" hidden="false" customHeight="false" outlineLevel="0" collapsed="false">
      <c r="A38" s="9" t="s">
        <v>200</v>
      </c>
    </row>
    <row r="39" customFormat="false" ht="15" hidden="false" customHeight="false" outlineLevel="0" collapsed="false">
      <c r="A39" s="0" t="s">
        <v>201</v>
      </c>
      <c r="B39" s="8" t="s">
        <v>202</v>
      </c>
      <c r="C39" s="0" t="s">
        <v>154</v>
      </c>
      <c r="D39" s="13" t="n">
        <v>0.58</v>
      </c>
      <c r="E39" s="13" t="n">
        <v>0.64</v>
      </c>
      <c r="F39" s="13" t="n">
        <v>0.7</v>
      </c>
      <c r="G39" s="12" t="s">
        <v>164</v>
      </c>
      <c r="H39" s="12" t="s">
        <v>165</v>
      </c>
      <c r="I39" s="12" t="s">
        <v>203</v>
      </c>
    </row>
    <row r="40" customFormat="false" ht="15" hidden="false" customHeight="false" outlineLevel="0" collapsed="false">
      <c r="A40" s="0" t="s">
        <v>204</v>
      </c>
      <c r="B40" s="8" t="s">
        <v>205</v>
      </c>
      <c r="C40" s="0" t="s">
        <v>93</v>
      </c>
      <c r="D40" s="10" t="n">
        <v>6.9</v>
      </c>
      <c r="E40" s="10" t="n">
        <v>6.9</v>
      </c>
      <c r="F40" s="10" t="n">
        <v>12</v>
      </c>
      <c r="G40" s="12" t="s">
        <v>75</v>
      </c>
      <c r="H40" s="12" t="s">
        <v>206</v>
      </c>
      <c r="I40" s="8" t="s">
        <v>207</v>
      </c>
    </row>
    <row r="41" customFormat="false" ht="15" hidden="false" customHeight="false" outlineLevel="0" collapsed="false">
      <c r="A41" s="0" t="s">
        <v>208</v>
      </c>
      <c r="B41" s="8" t="s">
        <v>209</v>
      </c>
      <c r="C41" s="0" t="s">
        <v>93</v>
      </c>
      <c r="E41" s="10" t="n">
        <v>21.1</v>
      </c>
      <c r="G41" s="12" t="s">
        <v>75</v>
      </c>
      <c r="H41" s="12" t="s">
        <v>210</v>
      </c>
      <c r="I41" s="12" t="s">
        <v>211</v>
      </c>
    </row>
    <row r="42" customFormat="false" ht="15" hidden="false" customHeight="false" outlineLevel="0" collapsed="false">
      <c r="A42" s="0" t="s">
        <v>212</v>
      </c>
      <c r="B42" s="8" t="s">
        <v>213</v>
      </c>
      <c r="C42" s="0" t="s">
        <v>154</v>
      </c>
      <c r="E42" s="13" t="n">
        <v>0.2</v>
      </c>
      <c r="G42" s="12" t="s">
        <v>75</v>
      </c>
      <c r="H42" s="8" t="s">
        <v>214</v>
      </c>
      <c r="I42" s="8" t="s">
        <v>215</v>
      </c>
    </row>
    <row r="43" customFormat="false" ht="15" hidden="false" customHeight="false" outlineLevel="0" collapsed="false">
      <c r="A43" s="0" t="s">
        <v>216</v>
      </c>
      <c r="B43" s="8" t="s">
        <v>217</v>
      </c>
      <c r="C43" s="0" t="s">
        <v>218</v>
      </c>
      <c r="E43" s="10" t="n">
        <v>283.7</v>
      </c>
      <c r="G43" s="12" t="s">
        <v>75</v>
      </c>
      <c r="H43" s="12" t="s">
        <v>219</v>
      </c>
      <c r="I43" s="8" t="s">
        <v>220</v>
      </c>
    </row>
    <row r="44" customFormat="false" ht="15" hidden="false" customHeight="false" outlineLevel="0" collapsed="false">
      <c r="A44" s="0" t="s">
        <v>221</v>
      </c>
      <c r="B44" s="8" t="s">
        <v>222</v>
      </c>
      <c r="C44" s="0" t="s">
        <v>223</v>
      </c>
      <c r="D44" s="10" t="n">
        <v>140</v>
      </c>
      <c r="E44" s="10" t="n">
        <v>150</v>
      </c>
      <c r="F44" s="10" t="n">
        <v>155</v>
      </c>
      <c r="G44" s="12" t="s">
        <v>88</v>
      </c>
      <c r="H44" s="8" t="s">
        <v>224</v>
      </c>
      <c r="I44" s="12" t="s">
        <v>225</v>
      </c>
    </row>
    <row r="45" customFormat="false" ht="15" hidden="false" customHeight="false" outlineLevel="0" collapsed="false">
      <c r="A45" s="0" t="s">
        <v>226</v>
      </c>
      <c r="B45" s="8" t="s">
        <v>227</v>
      </c>
      <c r="C45" s="0" t="s">
        <v>228</v>
      </c>
      <c r="E45" s="10" t="n">
        <v>13.4</v>
      </c>
      <c r="G45" s="12" t="s">
        <v>94</v>
      </c>
      <c r="H45" s="8" t="s">
        <v>229</v>
      </c>
      <c r="I45" s="8" t="s">
        <v>230</v>
      </c>
    </row>
    <row r="46" customFormat="false" ht="15" hidden="false" customHeight="false" outlineLevel="0" collapsed="false">
      <c r="A46" s="0" t="s">
        <v>231</v>
      </c>
      <c r="B46" s="8" t="s">
        <v>232</v>
      </c>
      <c r="C46" s="0" t="s">
        <v>233</v>
      </c>
      <c r="D46" s="10" t="n">
        <v>29.5</v>
      </c>
      <c r="E46" s="10" t="n">
        <v>31</v>
      </c>
      <c r="F46" s="10" t="n">
        <v>32.5</v>
      </c>
      <c r="G46" s="12" t="s">
        <v>88</v>
      </c>
      <c r="H46" s="8" t="s">
        <v>234</v>
      </c>
      <c r="I46" s="12" t="s">
        <v>225</v>
      </c>
    </row>
    <row r="47" customFormat="false" ht="15" hidden="false" customHeight="false" outlineLevel="0" collapsed="false">
      <c r="A47" s="0" t="s">
        <v>235</v>
      </c>
      <c r="B47" s="8" t="s">
        <v>236</v>
      </c>
      <c r="C47" s="0" t="s">
        <v>228</v>
      </c>
      <c r="G47" s="8" t="s">
        <v>237</v>
      </c>
      <c r="H47" s="8" t="s">
        <v>238</v>
      </c>
      <c r="I47" s="8" t="s">
        <v>239</v>
      </c>
    </row>
    <row r="48" customFormat="false" ht="15" hidden="false" customHeight="false" outlineLevel="0" collapsed="false">
      <c r="A48" s="0" t="s">
        <v>240</v>
      </c>
      <c r="B48" s="0" t="s">
        <v>241</v>
      </c>
      <c r="C48" s="0" t="s">
        <v>93</v>
      </c>
      <c r="G48" s="8" t="s">
        <v>237</v>
      </c>
      <c r="H48" s="0" t="s">
        <v>242</v>
      </c>
      <c r="I48" s="0" t="s">
        <v>243</v>
      </c>
    </row>
    <row r="49" customFormat="false" ht="15" hidden="false" customHeight="false" outlineLevel="0" collapsed="false">
      <c r="A49" s="9" t="s">
        <v>244</v>
      </c>
    </row>
    <row r="50" customFormat="false" ht="15" hidden="false" customHeight="false" outlineLevel="0" collapsed="false">
      <c r="A50" s="0" t="s">
        <v>245</v>
      </c>
      <c r="B50" s="0" t="s">
        <v>246</v>
      </c>
      <c r="C50" s="0" t="s">
        <v>93</v>
      </c>
      <c r="E50" s="10" t="n">
        <v>38.8</v>
      </c>
      <c r="G50" s="12" t="s">
        <v>75</v>
      </c>
      <c r="H50" s="12" t="s">
        <v>247</v>
      </c>
      <c r="I50" s="8" t="s">
        <v>248</v>
      </c>
    </row>
    <row r="51" customFormat="false" ht="15" hidden="false" customHeight="false" outlineLevel="0" collapsed="false">
      <c r="A51" s="0" t="s">
        <v>249</v>
      </c>
      <c r="B51" s="0" t="s">
        <v>250</v>
      </c>
      <c r="C51" s="0" t="s">
        <v>154</v>
      </c>
      <c r="E51" s="13" t="n">
        <v>0.39</v>
      </c>
      <c r="G51" s="12" t="s">
        <v>75</v>
      </c>
      <c r="H51" s="12" t="s">
        <v>247</v>
      </c>
      <c r="I51" s="8" t="s">
        <v>248</v>
      </c>
    </row>
    <row r="52" customFormat="false" ht="15" hidden="false" customHeight="false" outlineLevel="0" collapsed="false">
      <c r="A52" s="0" t="s">
        <v>251</v>
      </c>
      <c r="B52" s="0" t="s">
        <v>252</v>
      </c>
      <c r="C52" s="0" t="s">
        <v>154</v>
      </c>
      <c r="E52" s="13" t="n">
        <v>0.274</v>
      </c>
      <c r="G52" s="12" t="s">
        <v>75</v>
      </c>
      <c r="H52" s="12" t="s">
        <v>253</v>
      </c>
      <c r="I52" s="8" t="s">
        <v>248</v>
      </c>
    </row>
    <row r="53" customFormat="false" ht="15" hidden="false" customHeight="false" outlineLevel="0" collapsed="false">
      <c r="A53" s="0" t="s">
        <v>254</v>
      </c>
      <c r="B53" s="0" t="s">
        <v>255</v>
      </c>
      <c r="C53" s="0" t="s">
        <v>154</v>
      </c>
      <c r="E53" s="13" t="n">
        <v>0.15</v>
      </c>
      <c r="G53" s="12" t="s">
        <v>75</v>
      </c>
      <c r="H53" s="12" t="s">
        <v>247</v>
      </c>
      <c r="I53" s="8" t="s">
        <v>256</v>
      </c>
    </row>
    <row r="54" customFormat="false" ht="15" hidden="false" customHeight="false" outlineLevel="0" collapsed="false">
      <c r="A54" s="0" t="s">
        <v>257</v>
      </c>
      <c r="B54" s="0" t="s">
        <v>258</v>
      </c>
      <c r="C54" s="0" t="s">
        <v>93</v>
      </c>
      <c r="E54" s="10" t="n">
        <v>13.9</v>
      </c>
      <c r="G54" s="12" t="s">
        <v>75</v>
      </c>
      <c r="H54" s="12" t="s">
        <v>247</v>
      </c>
      <c r="I54" s="8" t="s">
        <v>248</v>
      </c>
    </row>
    <row r="55" customFormat="false" ht="15" hidden="false" customHeight="false" outlineLevel="0" collapsed="false">
      <c r="A55" s="0" t="s">
        <v>259</v>
      </c>
      <c r="B55" s="0" t="s">
        <v>260</v>
      </c>
      <c r="C55" s="0" t="s">
        <v>154</v>
      </c>
      <c r="E55" s="13" t="n">
        <v>0.307</v>
      </c>
      <c r="G55" s="12" t="s">
        <v>75</v>
      </c>
      <c r="H55" s="12" t="s">
        <v>247</v>
      </c>
      <c r="I55" s="8" t="s">
        <v>248</v>
      </c>
    </row>
    <row r="56" customFormat="false" ht="15" hidden="false" customHeight="false" outlineLevel="0" collapsed="false">
      <c r="A56" s="0" t="s">
        <v>261</v>
      </c>
      <c r="B56" s="0" t="s">
        <v>262</v>
      </c>
      <c r="C56" s="0" t="s">
        <v>154</v>
      </c>
      <c r="E56" s="13" t="n">
        <v>0.311</v>
      </c>
      <c r="G56" s="12" t="s">
        <v>75</v>
      </c>
      <c r="H56" s="12" t="s">
        <v>253</v>
      </c>
      <c r="I56" s="8" t="s">
        <v>248</v>
      </c>
    </row>
    <row r="57" customFormat="false" ht="15" hidden="false" customHeight="false" outlineLevel="0" collapsed="false">
      <c r="A57" s="0" t="s">
        <v>263</v>
      </c>
      <c r="B57" s="0" t="s">
        <v>264</v>
      </c>
      <c r="C57" s="0" t="s">
        <v>154</v>
      </c>
      <c r="E57" s="13" t="n">
        <v>0.145</v>
      </c>
      <c r="G57" s="12" t="s">
        <v>75</v>
      </c>
      <c r="H57" s="12" t="s">
        <v>247</v>
      </c>
      <c r="I57" s="8" t="s">
        <v>256</v>
      </c>
    </row>
    <row r="58" customFormat="false" ht="15" hidden="false" customHeight="false" outlineLevel="0" collapsed="false">
      <c r="A58" s="0" t="s">
        <v>265</v>
      </c>
      <c r="B58" s="0" t="s">
        <v>266</v>
      </c>
      <c r="C58" s="0" t="s">
        <v>93</v>
      </c>
      <c r="E58" s="10" t="n">
        <v>78</v>
      </c>
      <c r="G58" s="12" t="s">
        <v>75</v>
      </c>
      <c r="H58" s="12" t="s">
        <v>247</v>
      </c>
      <c r="I58" s="8" t="s">
        <v>248</v>
      </c>
    </row>
    <row r="59" customFormat="false" ht="15" hidden="false" customHeight="false" outlineLevel="0" collapsed="false">
      <c r="A59" s="0" t="s">
        <v>267</v>
      </c>
      <c r="B59" s="0" t="s">
        <v>268</v>
      </c>
      <c r="C59" s="0" t="s">
        <v>154</v>
      </c>
      <c r="E59" s="13" t="n">
        <v>0.189</v>
      </c>
      <c r="G59" s="12" t="s">
        <v>75</v>
      </c>
      <c r="H59" s="12" t="s">
        <v>247</v>
      </c>
      <c r="I59" s="8" t="s">
        <v>248</v>
      </c>
    </row>
    <row r="60" customFormat="false" ht="15" hidden="false" customHeight="false" outlineLevel="0" collapsed="false">
      <c r="A60" s="0" t="s">
        <v>269</v>
      </c>
      <c r="B60" s="0" t="s">
        <v>270</v>
      </c>
      <c r="C60" s="0" t="s">
        <v>154</v>
      </c>
      <c r="E60" s="13" t="n">
        <v>0.181</v>
      </c>
      <c r="G60" s="12" t="s">
        <v>75</v>
      </c>
      <c r="H60" s="12" t="s">
        <v>253</v>
      </c>
      <c r="I60" s="8" t="s">
        <v>248</v>
      </c>
    </row>
    <row r="61" customFormat="false" ht="15" hidden="false" customHeight="false" outlineLevel="0" collapsed="false">
      <c r="A61" s="0" t="s">
        <v>271</v>
      </c>
      <c r="B61" s="0" t="s">
        <v>272</v>
      </c>
      <c r="C61" s="0" t="s">
        <v>154</v>
      </c>
      <c r="E61" s="13" t="n">
        <v>0.136</v>
      </c>
      <c r="G61" s="12" t="s">
        <v>75</v>
      </c>
      <c r="H61" s="12" t="s">
        <v>247</v>
      </c>
      <c r="I61" s="8" t="s">
        <v>256</v>
      </c>
    </row>
    <row r="62" customFormat="false" ht="15" hidden="false" customHeight="false" outlineLevel="0" collapsed="false">
      <c r="A62" s="0" t="s">
        <v>273</v>
      </c>
      <c r="B62" s="0" t="s">
        <v>274</v>
      </c>
      <c r="C62" s="0" t="s">
        <v>93</v>
      </c>
      <c r="E62" s="10" t="n">
        <v>143.9</v>
      </c>
      <c r="G62" s="12" t="s">
        <v>75</v>
      </c>
      <c r="H62" s="12" t="s">
        <v>247</v>
      </c>
      <c r="I62" s="8" t="s">
        <v>248</v>
      </c>
    </row>
    <row r="63" customFormat="false" ht="15" hidden="false" customHeight="false" outlineLevel="0" collapsed="false">
      <c r="A63" s="0" t="s">
        <v>275</v>
      </c>
      <c r="B63" s="0" t="s">
        <v>276</v>
      </c>
      <c r="C63" s="0" t="s">
        <v>154</v>
      </c>
      <c r="E63" s="13" t="n">
        <v>0.231</v>
      </c>
      <c r="G63" s="12" t="s">
        <v>75</v>
      </c>
      <c r="H63" s="12" t="s">
        <v>247</v>
      </c>
      <c r="I63" s="8" t="s">
        <v>248</v>
      </c>
    </row>
    <row r="64" customFormat="false" ht="15" hidden="false" customHeight="false" outlineLevel="0" collapsed="false">
      <c r="A64" s="0" t="s">
        <v>277</v>
      </c>
      <c r="B64" s="0" t="s">
        <v>278</v>
      </c>
      <c r="C64" s="0" t="s">
        <v>154</v>
      </c>
      <c r="E64" s="13" t="n">
        <v>0.218</v>
      </c>
      <c r="G64" s="12" t="s">
        <v>75</v>
      </c>
      <c r="H64" s="12" t="s">
        <v>253</v>
      </c>
      <c r="I64" s="8" t="s">
        <v>248</v>
      </c>
    </row>
    <row r="65" customFormat="false" ht="15" hidden="false" customHeight="false" outlineLevel="0" collapsed="false">
      <c r="A65" s="0" t="s">
        <v>279</v>
      </c>
      <c r="B65" s="0" t="s">
        <v>280</v>
      </c>
      <c r="C65" s="0" t="s">
        <v>154</v>
      </c>
      <c r="E65" s="13" t="n">
        <v>0.141</v>
      </c>
      <c r="G65" s="12" t="s">
        <v>75</v>
      </c>
      <c r="H65" s="12" t="s">
        <v>247</v>
      </c>
      <c r="I65" s="8" t="s">
        <v>256</v>
      </c>
    </row>
    <row r="66" customFormat="false" ht="15" hidden="false" customHeight="false" outlineLevel="0" collapsed="false">
      <c r="A66" s="0" t="s">
        <v>281</v>
      </c>
      <c r="B66" s="0" t="s">
        <v>282</v>
      </c>
      <c r="C66" s="0" t="s">
        <v>93</v>
      </c>
      <c r="E66" s="10" t="n">
        <v>15.3</v>
      </c>
      <c r="G66" s="12" t="s">
        <v>75</v>
      </c>
      <c r="H66" s="12" t="s">
        <v>247</v>
      </c>
      <c r="I66" s="8" t="s">
        <v>248</v>
      </c>
    </row>
    <row r="67" customFormat="false" ht="15" hidden="false" customHeight="false" outlineLevel="0" collapsed="false">
      <c r="A67" s="0" t="s">
        <v>283</v>
      </c>
      <c r="B67" s="0" t="s">
        <v>284</v>
      </c>
      <c r="C67" s="0" t="s">
        <v>154</v>
      </c>
      <c r="E67" s="13" t="n">
        <v>0.31</v>
      </c>
      <c r="G67" s="12" t="s">
        <v>75</v>
      </c>
      <c r="H67" s="12" t="s">
        <v>247</v>
      </c>
      <c r="I67" s="8" t="s">
        <v>248</v>
      </c>
    </row>
    <row r="68" customFormat="false" ht="15" hidden="false" customHeight="false" outlineLevel="0" collapsed="false">
      <c r="A68" s="0" t="s">
        <v>285</v>
      </c>
      <c r="B68" s="0" t="s">
        <v>286</v>
      </c>
      <c r="C68" s="0" t="s">
        <v>93</v>
      </c>
      <c r="E68" s="10" t="n">
        <v>20.8</v>
      </c>
      <c r="G68" s="12" t="s">
        <v>75</v>
      </c>
      <c r="H68" s="12" t="s">
        <v>247</v>
      </c>
      <c r="I68" s="8" t="s">
        <v>287</v>
      </c>
    </row>
    <row r="69" customFormat="false" ht="15" hidden="false" customHeight="false" outlineLevel="0" collapsed="false">
      <c r="A69" s="0" t="s">
        <v>288</v>
      </c>
      <c r="B69" s="0" t="s">
        <v>289</v>
      </c>
      <c r="C69" s="0" t="s">
        <v>93</v>
      </c>
      <c r="E69" s="10" t="n">
        <v>6.7</v>
      </c>
      <c r="G69" s="12" t="s">
        <v>75</v>
      </c>
      <c r="H69" s="12" t="s">
        <v>247</v>
      </c>
      <c r="I69" s="8" t="s">
        <v>248</v>
      </c>
    </row>
    <row r="70" customFormat="false" ht="15" hidden="false" customHeight="false" outlineLevel="0" collapsed="false">
      <c r="A70" s="0" t="s">
        <v>290</v>
      </c>
      <c r="B70" s="0" t="s">
        <v>291</v>
      </c>
      <c r="C70" s="0" t="s">
        <v>154</v>
      </c>
      <c r="E70" s="13" t="n">
        <v>0.096</v>
      </c>
      <c r="G70" s="12" t="s">
        <v>75</v>
      </c>
      <c r="H70" s="12" t="s">
        <v>247</v>
      </c>
      <c r="I70" s="8" t="s">
        <v>248</v>
      </c>
    </row>
    <row r="71" customFormat="false" ht="15" hidden="false" customHeight="false" outlineLevel="0" collapsed="false">
      <c r="A71" s="0" t="s">
        <v>292</v>
      </c>
      <c r="B71" s="0" t="s">
        <v>293</v>
      </c>
      <c r="C71" s="0" t="s">
        <v>93</v>
      </c>
      <c r="E71" s="10" t="n">
        <v>8.6</v>
      </c>
      <c r="G71" s="12" t="s">
        <v>75</v>
      </c>
      <c r="H71" s="12" t="s">
        <v>247</v>
      </c>
      <c r="I71" s="8" t="s">
        <v>294</v>
      </c>
    </row>
    <row r="72" customFormat="false" ht="15" hidden="false" customHeight="false" outlineLevel="0" collapsed="false">
      <c r="A72" s="0" t="s">
        <v>295</v>
      </c>
      <c r="B72" s="0" t="s">
        <v>296</v>
      </c>
      <c r="C72" s="0" t="s">
        <v>93</v>
      </c>
      <c r="E72" s="10" t="n">
        <v>165.9</v>
      </c>
      <c r="G72" s="12" t="s">
        <v>75</v>
      </c>
      <c r="H72" s="12" t="s">
        <v>247</v>
      </c>
      <c r="I72" s="8" t="s">
        <v>248</v>
      </c>
    </row>
    <row r="73" customFormat="false" ht="15" hidden="false" customHeight="false" outlineLevel="0" collapsed="false">
      <c r="A73" s="0" t="s">
        <v>297</v>
      </c>
      <c r="B73" s="0" t="s">
        <v>298</v>
      </c>
      <c r="C73" s="0" t="s">
        <v>154</v>
      </c>
      <c r="E73" s="13" t="n">
        <v>0.232</v>
      </c>
      <c r="G73" s="12" t="s">
        <v>75</v>
      </c>
      <c r="H73" s="12" t="s">
        <v>247</v>
      </c>
      <c r="I73" s="8" t="s">
        <v>248</v>
      </c>
    </row>
    <row r="74" customFormat="false" ht="15" hidden="false" customHeight="false" outlineLevel="0" collapsed="false">
      <c r="A74" s="0" t="s">
        <v>299</v>
      </c>
      <c r="B74" s="0" t="s">
        <v>300</v>
      </c>
      <c r="C74" s="0" t="s">
        <v>93</v>
      </c>
      <c r="E74" s="10" t="n">
        <v>229.5</v>
      </c>
      <c r="G74" s="12" t="s">
        <v>75</v>
      </c>
      <c r="H74" s="12" t="s">
        <v>247</v>
      </c>
      <c r="I74" s="8" t="s">
        <v>248</v>
      </c>
    </row>
    <row r="75" customFormat="false" ht="15" hidden="false" customHeight="false" outlineLevel="0" collapsed="false">
      <c r="A75" s="0" t="s">
        <v>301</v>
      </c>
      <c r="B75" s="0" t="s">
        <v>302</v>
      </c>
      <c r="C75" s="0" t="s">
        <v>154</v>
      </c>
      <c r="D75" s="13" t="n">
        <v>0</v>
      </c>
      <c r="E75" s="13" t="n">
        <v>0.08</v>
      </c>
      <c r="F75" s="13" t="n">
        <v>0.12</v>
      </c>
      <c r="G75" s="12" t="s">
        <v>88</v>
      </c>
      <c r="H75" s="8" t="s">
        <v>303</v>
      </c>
      <c r="I75" s="8" t="s">
        <v>304</v>
      </c>
    </row>
    <row r="76" customFormat="false" ht="15" hidden="false" customHeight="false" outlineLevel="0" collapsed="false">
      <c r="A76" s="9" t="s">
        <v>305</v>
      </c>
    </row>
    <row r="77" customFormat="false" ht="15" hidden="false" customHeight="false" outlineLevel="0" collapsed="false">
      <c r="A77" s="0" t="s">
        <v>306</v>
      </c>
      <c r="B77" s="8" t="s">
        <v>307</v>
      </c>
      <c r="C77" s="0" t="s">
        <v>308</v>
      </c>
      <c r="D77" s="10" t="n">
        <v>0.95</v>
      </c>
      <c r="E77" s="10" t="n">
        <v>1</v>
      </c>
      <c r="F77" s="10" t="n">
        <v>1.05</v>
      </c>
      <c r="G77" s="12" t="s">
        <v>88</v>
      </c>
      <c r="H77" s="8" t="s">
        <v>309</v>
      </c>
      <c r="I77" s="8" t="s">
        <v>310</v>
      </c>
    </row>
    <row r="78" customFormat="false" ht="15" hidden="false" customHeight="false" outlineLevel="0" collapsed="false">
      <c r="A78" s="0" t="s">
        <v>311</v>
      </c>
      <c r="B78" s="8" t="s">
        <v>312</v>
      </c>
      <c r="C78" s="0" t="s">
        <v>308</v>
      </c>
      <c r="D78" s="10" t="n">
        <v>0.75</v>
      </c>
      <c r="E78" s="10" t="n">
        <v>0.8</v>
      </c>
      <c r="F78" s="10" t="n">
        <v>0.85</v>
      </c>
      <c r="G78" s="12" t="s">
        <v>88</v>
      </c>
      <c r="H78" s="8" t="s">
        <v>313</v>
      </c>
      <c r="I78" s="8" t="s">
        <v>314</v>
      </c>
    </row>
    <row r="79" customFormat="false" ht="15" hidden="false" customHeight="false" outlineLevel="0" collapsed="false">
      <c r="A79" s="0" t="s">
        <v>315</v>
      </c>
      <c r="B79" s="8" t="s">
        <v>316</v>
      </c>
      <c r="C79" s="0" t="s">
        <v>308</v>
      </c>
      <c r="D79" s="10" t="n">
        <v>0.9</v>
      </c>
      <c r="E79" s="10" t="n">
        <v>0.95</v>
      </c>
      <c r="F79" s="10" t="n">
        <v>1.05</v>
      </c>
      <c r="G79" s="12" t="s">
        <v>88</v>
      </c>
      <c r="H79" s="8" t="s">
        <v>317</v>
      </c>
      <c r="I79" s="8" t="s">
        <v>318</v>
      </c>
    </row>
    <row r="80" customFormat="false" ht="15" hidden="false" customHeight="false" outlineLevel="0" collapsed="false">
      <c r="A80" s="0" t="s">
        <v>319</v>
      </c>
      <c r="B80" s="8" t="s">
        <v>320</v>
      </c>
      <c r="C80" s="0" t="s">
        <v>308</v>
      </c>
      <c r="D80" s="10" t="n">
        <v>0.9</v>
      </c>
      <c r="E80" s="10" t="n">
        <v>1</v>
      </c>
      <c r="F80" s="10" t="n">
        <v>1.1</v>
      </c>
      <c r="G80" s="12" t="s">
        <v>88</v>
      </c>
      <c r="H80" s="8" t="s">
        <v>321</v>
      </c>
      <c r="I80" s="8" t="s">
        <v>318</v>
      </c>
    </row>
    <row r="81" customFormat="false" ht="15" hidden="false" customHeight="false" outlineLevel="0" collapsed="false">
      <c r="A81" s="9" t="s">
        <v>322</v>
      </c>
    </row>
    <row r="82" customFormat="false" ht="15" hidden="false" customHeight="false" outlineLevel="0" collapsed="false">
      <c r="A82" s="0" t="s">
        <v>323</v>
      </c>
      <c r="B82" s="8" t="s">
        <v>324</v>
      </c>
      <c r="C82" s="0" t="s">
        <v>154</v>
      </c>
      <c r="D82" s="13" t="n">
        <v>0.15</v>
      </c>
      <c r="E82" s="13" t="n">
        <v>0.25</v>
      </c>
      <c r="F82" s="13" t="n">
        <v>0.4</v>
      </c>
      <c r="G82" s="12" t="s">
        <v>88</v>
      </c>
      <c r="H82" s="8" t="s">
        <v>325</v>
      </c>
      <c r="I82" s="8" t="s">
        <v>326</v>
      </c>
    </row>
    <row r="83" customFormat="false" ht="15" hidden="false" customHeight="false" outlineLevel="0" collapsed="false">
      <c r="A83" s="0" t="s">
        <v>327</v>
      </c>
      <c r="B83" s="8" t="s">
        <v>328</v>
      </c>
      <c r="C83" s="0" t="s">
        <v>154</v>
      </c>
      <c r="D83" s="13" t="n">
        <v>0.35</v>
      </c>
      <c r="E83" s="13" t="n">
        <v>0.5</v>
      </c>
      <c r="F83" s="13" t="n">
        <v>0.65</v>
      </c>
      <c r="G83" s="12" t="s">
        <v>88</v>
      </c>
      <c r="H83" s="8" t="s">
        <v>329</v>
      </c>
      <c r="I83" s="8" t="s">
        <v>330</v>
      </c>
    </row>
    <row r="84" customFormat="false" ht="15" hidden="false" customHeight="false" outlineLevel="0" collapsed="false">
      <c r="A84" s="9" t="s">
        <v>331</v>
      </c>
    </row>
    <row r="85" customFormat="false" ht="15" hidden="false" customHeight="false" outlineLevel="0" collapsed="false">
      <c r="A85" s="0" t="s">
        <v>332</v>
      </c>
      <c r="B85" s="0" t="s">
        <v>333</v>
      </c>
      <c r="C85" s="0" t="s">
        <v>93</v>
      </c>
      <c r="E85" s="10" t="n">
        <v>150</v>
      </c>
      <c r="G85" s="12" t="s">
        <v>75</v>
      </c>
      <c r="H85" s="8" t="s">
        <v>334</v>
      </c>
      <c r="I85" s="12" t="s">
        <v>335</v>
      </c>
    </row>
    <row r="86" customFormat="false" ht="15" hidden="false" customHeight="false" outlineLevel="0" collapsed="false">
      <c r="A86" s="0" t="s">
        <v>336</v>
      </c>
      <c r="B86" s="0" t="s">
        <v>337</v>
      </c>
      <c r="C86" s="0" t="s">
        <v>93</v>
      </c>
      <c r="E86" s="10" t="n">
        <v>200</v>
      </c>
      <c r="G86" s="12" t="s">
        <v>75</v>
      </c>
      <c r="H86" s="8" t="s">
        <v>338</v>
      </c>
      <c r="I86" s="8" t="s">
        <v>339</v>
      </c>
    </row>
    <row r="87" customFormat="false" ht="15" hidden="false" customHeight="false" outlineLevel="0" collapsed="false">
      <c r="A87" s="0" t="s">
        <v>340</v>
      </c>
      <c r="B87" s="0" t="s">
        <v>341</v>
      </c>
      <c r="C87" s="0" t="s">
        <v>93</v>
      </c>
      <c r="E87" s="10" t="n">
        <v>150</v>
      </c>
      <c r="G87" s="12" t="s">
        <v>75</v>
      </c>
      <c r="H87" s="8" t="s">
        <v>342</v>
      </c>
      <c r="I87" s="8" t="s">
        <v>343</v>
      </c>
    </row>
    <row r="88" customFormat="false" ht="15" hidden="false" customHeight="false" outlineLevel="0" collapsed="false">
      <c r="A88" s="0" t="s">
        <v>344</v>
      </c>
      <c r="B88" s="0" t="s">
        <v>345</v>
      </c>
      <c r="C88" s="0" t="s">
        <v>93</v>
      </c>
      <c r="E88" s="10" t="n">
        <v>190</v>
      </c>
      <c r="G88" s="12" t="s">
        <v>75</v>
      </c>
      <c r="H88" s="8" t="s">
        <v>346</v>
      </c>
      <c r="I88" s="8" t="s">
        <v>347</v>
      </c>
    </row>
    <row r="89" customFormat="false" ht="15" hidden="false" customHeight="false" outlineLevel="0" collapsed="false">
      <c r="A89" s="0" t="s">
        <v>348</v>
      </c>
      <c r="B89" s="0" t="s">
        <v>349</v>
      </c>
      <c r="C89" s="0" t="s">
        <v>93</v>
      </c>
      <c r="E89" s="10" t="n">
        <v>202</v>
      </c>
      <c r="G89" s="12" t="s">
        <v>75</v>
      </c>
      <c r="H89" s="8" t="s">
        <v>350</v>
      </c>
      <c r="I89" s="8" t="s">
        <v>351</v>
      </c>
    </row>
    <row r="90" customFormat="false" ht="15" hidden="false" customHeight="false" outlineLevel="0" collapsed="false">
      <c r="A90" s="0" t="s">
        <v>352</v>
      </c>
      <c r="B90" s="0" t="s">
        <v>353</v>
      </c>
      <c r="C90" s="0" t="s">
        <v>93</v>
      </c>
      <c r="E90" s="10" t="n">
        <v>227</v>
      </c>
      <c r="G90" s="12" t="s">
        <v>75</v>
      </c>
      <c r="H90" s="8" t="s">
        <v>354</v>
      </c>
      <c r="I90" s="8" t="s">
        <v>355</v>
      </c>
    </row>
    <row r="91" customFormat="false" ht="15" hidden="false" customHeight="false" outlineLevel="0" collapsed="false">
      <c r="A91" s="0" t="s">
        <v>356</v>
      </c>
      <c r="B91" s="0" t="s">
        <v>357</v>
      </c>
      <c r="C91" s="0" t="s">
        <v>93</v>
      </c>
      <c r="E91" s="10" t="n">
        <v>150</v>
      </c>
      <c r="G91" s="12" t="s">
        <v>75</v>
      </c>
      <c r="H91" s="12" t="s">
        <v>358</v>
      </c>
      <c r="I91" s="12" t="s">
        <v>359</v>
      </c>
    </row>
    <row r="92" customFormat="false" ht="15" hidden="false" customHeight="false" outlineLevel="0" collapsed="false">
      <c r="A92" s="0" t="s">
        <v>360</v>
      </c>
      <c r="B92" s="0" t="s">
        <v>361</v>
      </c>
      <c r="C92" s="0" t="s">
        <v>93</v>
      </c>
      <c r="E92" s="10" t="n">
        <v>218</v>
      </c>
      <c r="G92" s="12" t="s">
        <v>75</v>
      </c>
      <c r="H92" s="12" t="s">
        <v>358</v>
      </c>
      <c r="I92" s="8" t="s">
        <v>355</v>
      </c>
    </row>
    <row r="93" customFormat="false" ht="15" hidden="false" customHeight="false" outlineLevel="0" collapsed="false">
      <c r="A93" s="0" t="s">
        <v>362</v>
      </c>
      <c r="B93" s="0" t="s">
        <v>363</v>
      </c>
      <c r="C93" s="0" t="s">
        <v>93</v>
      </c>
      <c r="E93" s="10" t="n">
        <v>281</v>
      </c>
      <c r="G93" s="12" t="s">
        <v>75</v>
      </c>
      <c r="H93" s="12" t="s">
        <v>358</v>
      </c>
      <c r="I93" s="8" t="s">
        <v>355</v>
      </c>
    </row>
    <row r="94" customFormat="false" ht="15" hidden="false" customHeight="false" outlineLevel="0" collapsed="false">
      <c r="A94" s="0" t="s">
        <v>364</v>
      </c>
      <c r="B94" s="8" t="s">
        <v>365</v>
      </c>
      <c r="C94" s="0" t="s">
        <v>154</v>
      </c>
      <c r="E94" s="13" t="n">
        <v>0.15</v>
      </c>
      <c r="G94" s="12" t="s">
        <v>94</v>
      </c>
      <c r="H94" s="8" t="s">
        <v>366</v>
      </c>
      <c r="I94" s="12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0" t="s">
        <v>367</v>
      </c>
    </row>
    <row r="2" customFormat="false" ht="15" hidden="false" customHeight="false" outlineLevel="0" collapsed="false">
      <c r="A2" s="0" t="s">
        <v>368</v>
      </c>
    </row>
    <row r="3" customFormat="false" ht="15" hidden="false" customHeight="false" outlineLevel="0" collapsed="false">
      <c r="A3" s="4" t="s">
        <v>57</v>
      </c>
      <c r="B3" s="4" t="s">
        <v>58</v>
      </c>
      <c r="C3" s="15" t="n">
        <v>2025</v>
      </c>
      <c r="D3" s="15" t="n">
        <v>2026</v>
      </c>
      <c r="E3" s="15" t="n">
        <v>2027</v>
      </c>
      <c r="F3" s="15" t="n">
        <v>2028</v>
      </c>
      <c r="G3" s="15" t="n">
        <v>2029</v>
      </c>
      <c r="H3" s="4" t="s">
        <v>369</v>
      </c>
    </row>
    <row r="4" customFormat="false" ht="15" hidden="false" customHeight="false" outlineLevel="0" collapsed="false">
      <c r="A4" s="7" t="s">
        <v>370</v>
      </c>
    </row>
    <row r="5" customFormat="false" ht="15" hidden="false" customHeight="false" outlineLevel="0" collapsed="false">
      <c r="A5" s="7" t="s">
        <v>371</v>
      </c>
    </row>
    <row r="6" customFormat="false" ht="15" hidden="false" customHeight="false" outlineLevel="0" collapsed="false">
      <c r="A6" s="8" t="s">
        <v>372</v>
      </c>
      <c r="B6" s="0" t="s">
        <v>93</v>
      </c>
      <c r="C6" s="16" t="n">
        <f aca="false">C129</f>
        <v>134.689359843138</v>
      </c>
      <c r="D6" s="16" t="n">
        <f aca="false">D129</f>
        <v>178.157050570127</v>
      </c>
      <c r="E6" s="16" t="n">
        <f aca="false">E129</f>
        <v>218.225535760082</v>
      </c>
      <c r="F6" s="16" t="n">
        <f aca="false">F129</f>
        <v>246.028626308958</v>
      </c>
      <c r="G6" s="16" t="n">
        <f aca="false">G129</f>
        <v>260.655685855226</v>
      </c>
    </row>
    <row r="7" customFormat="false" ht="15" hidden="false" customHeight="false" outlineLevel="0" collapsed="false">
      <c r="A7" s="8" t="s">
        <v>373</v>
      </c>
      <c r="B7" s="0" t="s">
        <v>154</v>
      </c>
      <c r="D7" s="17" t="n">
        <f aca="false">D130</f>
        <v>0.322725497972614</v>
      </c>
      <c r="E7" s="17" t="n">
        <f aca="false">E130</f>
        <v>0.224905413856655</v>
      </c>
      <c r="F7" s="17" t="n">
        <f aca="false">F130</f>
        <v>0.127405303197159</v>
      </c>
      <c r="G7" s="17" t="n">
        <f aca="false">G130</f>
        <v>0.0594526733157439</v>
      </c>
    </row>
    <row r="8" customFormat="false" ht="15" hidden="false" customHeight="false" outlineLevel="0" collapsed="false">
      <c r="A8" s="8" t="s">
        <v>374</v>
      </c>
      <c r="B8" s="0" t="s">
        <v>93</v>
      </c>
      <c r="C8" s="16" t="n">
        <f aca="false">C127</f>
        <v>116.896831844029</v>
      </c>
      <c r="D8" s="16" t="n">
        <f aca="false">D127</f>
        <v>156.157050570127</v>
      </c>
      <c r="E8" s="16" t="n">
        <f aca="false">E127</f>
        <v>192.795469377561</v>
      </c>
      <c r="F8" s="16" t="n">
        <f aca="false">F127</f>
        <v>216.628626308958</v>
      </c>
      <c r="G8" s="16" t="n">
        <f aca="false">G127</f>
        <v>228.903685855226</v>
      </c>
    </row>
    <row r="9" customFormat="false" ht="15" hidden="false" customHeight="false" outlineLevel="0" collapsed="false">
      <c r="A9" s="0" t="s">
        <v>375</v>
      </c>
      <c r="B9" s="0" t="s">
        <v>93</v>
      </c>
      <c r="C9" s="16" t="n">
        <f aca="false">C132</f>
        <v>65.4650149260473</v>
      </c>
      <c r="D9" s="16" t="n">
        <f aca="false">D132</f>
        <v>93.0407901320055</v>
      </c>
      <c r="E9" s="16" t="n">
        <f aca="false">E132</f>
        <v>117.830555555179</v>
      </c>
      <c r="F9" s="16" t="n">
        <f aca="false">F132</f>
        <v>133.877045097969</v>
      </c>
      <c r="G9" s="16" t="n">
        <f aca="false">G132</f>
        <v>140.684729972807</v>
      </c>
    </row>
    <row r="10" customFormat="false" ht="15" hidden="false" customHeight="false" outlineLevel="0" collapsed="false">
      <c r="A10" s="0" t="s">
        <v>376</v>
      </c>
      <c r="B10" s="0" t="s">
        <v>154</v>
      </c>
      <c r="D10" s="18" t="n">
        <f aca="false">D134</f>
        <v>0.634397060086663</v>
      </c>
      <c r="E10" s="18" t="n">
        <f aca="false">E134</f>
        <v>0.626860639170224</v>
      </c>
      <c r="F10" s="18" t="n">
        <f aca="false">F134</f>
        <v>0.614446568075091</v>
      </c>
      <c r="G10" s="18" t="n">
        <f aca="false">G134</f>
        <v>0.597141453816325</v>
      </c>
    </row>
    <row r="11" customFormat="false" ht="15" hidden="false" customHeight="false" outlineLevel="0" collapsed="false">
      <c r="A11" s="0" t="s">
        <v>377</v>
      </c>
      <c r="B11" s="0" t="s">
        <v>154</v>
      </c>
      <c r="D11" s="18" t="n">
        <f aca="false">D135</f>
        <v>0.634397060086663</v>
      </c>
      <c r="E11" s="18" t="n">
        <f aca="false">E135</f>
        <v>0.61868486681369</v>
      </c>
      <c r="F11" s="18" t="n">
        <f aca="false">F135</f>
        <v>0.577147692073321</v>
      </c>
      <c r="G11" s="18" t="n">
        <f aca="false">G135</f>
        <v>0.465417184725631</v>
      </c>
    </row>
    <row r="12" customFormat="false" ht="15" hidden="false" customHeight="false" outlineLevel="0" collapsed="false">
      <c r="A12" s="8" t="s">
        <v>378</v>
      </c>
      <c r="C12" s="19" t="n">
        <f aca="false">C136</f>
        <v>2029</v>
      </c>
    </row>
    <row r="13" customFormat="false" ht="15" hidden="false" customHeight="false" outlineLevel="0" collapsed="false">
      <c r="A13" s="7" t="s">
        <v>379</v>
      </c>
    </row>
    <row r="14" customFormat="false" ht="15" hidden="false" customHeight="false" outlineLevel="0" collapsed="false">
      <c r="A14" s="8" t="s">
        <v>372</v>
      </c>
      <c r="B14" s="0" t="s">
        <v>93</v>
      </c>
      <c r="C14" s="16" t="n">
        <f aca="false">C148</f>
        <v>134.689359843138</v>
      </c>
      <c r="D14" s="16" t="n">
        <f aca="false">D148</f>
        <v>178.157050570127</v>
      </c>
      <c r="E14" s="16" t="n">
        <f aca="false">E148</f>
        <v>218.225535760082</v>
      </c>
      <c r="F14" s="16" t="n">
        <f aca="false">F148</f>
        <v>218.225535760082</v>
      </c>
      <c r="G14" s="16" t="n">
        <f aca="false">G148</f>
        <v>207.314258972078</v>
      </c>
    </row>
    <row r="15" customFormat="false" ht="15" hidden="false" customHeight="false" outlineLevel="0" collapsed="false">
      <c r="A15" s="8" t="s">
        <v>373</v>
      </c>
      <c r="B15" s="0" t="s">
        <v>154</v>
      </c>
      <c r="D15" s="17" t="n">
        <f aca="false">D149</f>
        <v>0.322725497972614</v>
      </c>
      <c r="E15" s="17" t="n">
        <f aca="false">E149</f>
        <v>0.224905413856655</v>
      </c>
      <c r="F15" s="17" t="n">
        <f aca="false">F149</f>
        <v>0</v>
      </c>
      <c r="G15" s="17" t="n">
        <f aca="false">G149</f>
        <v>-0.05</v>
      </c>
    </row>
    <row r="16" customFormat="false" ht="15" hidden="false" customHeight="false" outlineLevel="0" collapsed="false">
      <c r="A16" s="8" t="s">
        <v>374</v>
      </c>
      <c r="B16" s="0" t="s">
        <v>93</v>
      </c>
      <c r="C16" s="16" t="n">
        <f aca="false">C146</f>
        <v>116.896831844029</v>
      </c>
      <c r="D16" s="16" t="n">
        <f aca="false">D146</f>
        <v>156.157050570127</v>
      </c>
      <c r="E16" s="16" t="n">
        <f aca="false">E146</f>
        <v>192.795469377561</v>
      </c>
      <c r="F16" s="16" t="n">
        <f aca="false">F146</f>
        <v>192.795469377561</v>
      </c>
      <c r="G16" s="16" t="n">
        <f aca="false">G146</f>
        <v>183.155695908683</v>
      </c>
    </row>
    <row r="17" customFormat="false" ht="15" hidden="false" customHeight="false" outlineLevel="0" collapsed="false">
      <c r="A17" s="0" t="s">
        <v>375</v>
      </c>
      <c r="B17" s="0" t="s">
        <v>93</v>
      </c>
      <c r="C17" s="16" t="n">
        <f aca="false">C151</f>
        <v>65.4650149260473</v>
      </c>
      <c r="D17" s="16" t="n">
        <f aca="false">D151</f>
        <v>93.0407901320055</v>
      </c>
      <c r="E17" s="16" t="n">
        <f aca="false">E151</f>
        <v>117.830555555179</v>
      </c>
      <c r="F17" s="16" t="n">
        <f aca="false">F151</f>
        <v>117.830555555179</v>
      </c>
      <c r="G17" s="16" t="n">
        <f aca="false">G151</f>
        <v>111.93902777742</v>
      </c>
    </row>
    <row r="18" customFormat="false" ht="15" hidden="false" customHeight="false" outlineLevel="0" collapsed="false">
      <c r="A18" s="0" t="s">
        <v>376</v>
      </c>
      <c r="B18" s="0" t="s">
        <v>154</v>
      </c>
      <c r="D18" s="18" t="n">
        <f aca="false">D153</f>
        <v>0.634397060086663</v>
      </c>
      <c r="E18" s="18" t="n">
        <f aca="false">E153</f>
        <v>0.626860639170224</v>
      </c>
      <c r="F18" s="18" t="n">
        <f aca="false">F153</f>
        <v>0.626860639170224</v>
      </c>
      <c r="G18" s="18" t="n">
        <f aca="false">G153</f>
        <v>0.639918449578316</v>
      </c>
    </row>
    <row r="19" customFormat="false" ht="15" hidden="false" customHeight="false" outlineLevel="0" collapsed="false">
      <c r="A19" s="0" t="s">
        <v>377</v>
      </c>
      <c r="B19" s="0" t="s">
        <v>154</v>
      </c>
      <c r="D19" s="18" t="n">
        <f aca="false">D154</f>
        <v>0.634397060086663</v>
      </c>
      <c r="E19" s="18" t="n">
        <f aca="false">E154</f>
        <v>0.61868486681369</v>
      </c>
      <c r="F19" s="18" t="str">
        <f aca="false">F154</f>
        <v>n/a</v>
      </c>
      <c r="G19" s="18" t="n">
        <f aca="false">G154</f>
        <v>0.539948522269743</v>
      </c>
    </row>
    <row r="20" customFormat="false" ht="15" hidden="false" customHeight="false" outlineLevel="0" collapsed="false">
      <c r="A20" s="8" t="s">
        <v>378</v>
      </c>
      <c r="C20" s="19" t="n">
        <f aca="false">C155</f>
        <v>2028</v>
      </c>
    </row>
    <row r="21" customFormat="false" ht="15" hidden="false" customHeight="false" outlineLevel="0" collapsed="false">
      <c r="A21" s="7" t="s">
        <v>380</v>
      </c>
    </row>
    <row r="22" customFormat="false" ht="15" hidden="false" customHeight="false" outlineLevel="0" collapsed="false">
      <c r="A22" s="8" t="s">
        <v>372</v>
      </c>
      <c r="B22" s="0" t="s">
        <v>93</v>
      </c>
      <c r="C22" s="16" t="n">
        <f aca="false">C167</f>
        <v>134.689359843138</v>
      </c>
      <c r="D22" s="16" t="n">
        <f aca="false">D167</f>
        <v>178.157050570127</v>
      </c>
      <c r="E22" s="16" t="n">
        <f aca="false">E167</f>
        <v>218.225535760082</v>
      </c>
      <c r="F22" s="16" t="n">
        <f aca="false">F167</f>
        <v>174.580428608066</v>
      </c>
      <c r="G22" s="16" t="n">
        <f aca="false">G167</f>
        <v>174.580428608066</v>
      </c>
    </row>
    <row r="23" customFormat="false" ht="15" hidden="false" customHeight="false" outlineLevel="0" collapsed="false">
      <c r="A23" s="8" t="s">
        <v>373</v>
      </c>
      <c r="B23" s="0" t="s">
        <v>154</v>
      </c>
      <c r="D23" s="17" t="n">
        <f aca="false">D168</f>
        <v>0.322725497972614</v>
      </c>
      <c r="E23" s="17" t="n">
        <f aca="false">E168</f>
        <v>0.224905413856655</v>
      </c>
      <c r="F23" s="17" t="n">
        <f aca="false">F168</f>
        <v>-0.2</v>
      </c>
      <c r="G23" s="17" t="n">
        <f aca="false">G168</f>
        <v>0</v>
      </c>
    </row>
    <row r="24" customFormat="false" ht="15" hidden="false" customHeight="false" outlineLevel="0" collapsed="false">
      <c r="A24" s="8" t="s">
        <v>374</v>
      </c>
      <c r="B24" s="0" t="s">
        <v>93</v>
      </c>
      <c r="C24" s="16" t="n">
        <f aca="false">C165</f>
        <v>116.896831844029</v>
      </c>
      <c r="D24" s="16" t="n">
        <f aca="false">D165</f>
        <v>156.157050570127</v>
      </c>
      <c r="E24" s="16" t="n">
        <f aca="false">E165</f>
        <v>192.795469377561</v>
      </c>
      <c r="F24" s="16" t="n">
        <f aca="false">F165</f>
        <v>154.236375502049</v>
      </c>
      <c r="G24" s="16" t="n">
        <f aca="false">G165</f>
        <v>154.236375502049</v>
      </c>
    </row>
    <row r="25" customFormat="false" ht="15" hidden="false" customHeight="false" outlineLevel="0" collapsed="false">
      <c r="A25" s="0" t="s">
        <v>375</v>
      </c>
      <c r="B25" s="0" t="s">
        <v>93</v>
      </c>
      <c r="C25" s="16" t="n">
        <f aca="false">C170</f>
        <v>65.4650149260473</v>
      </c>
      <c r="D25" s="16" t="n">
        <f aca="false">D170</f>
        <v>93.0407901320055</v>
      </c>
      <c r="E25" s="16" t="n">
        <f aca="false">E170</f>
        <v>117.830555555179</v>
      </c>
      <c r="F25" s="16" t="n">
        <f aca="false">F170</f>
        <v>94.2644444441436</v>
      </c>
      <c r="G25" s="16" t="n">
        <f aca="false">G170</f>
        <v>94.2644444441436</v>
      </c>
    </row>
    <row r="26" customFormat="false" ht="15" hidden="false" customHeight="false" outlineLevel="0" collapsed="false">
      <c r="A26" s="0" t="s">
        <v>376</v>
      </c>
      <c r="B26" s="0" t="s">
        <v>154</v>
      </c>
      <c r="D26" s="18" t="n">
        <f aca="false">D172</f>
        <v>0.634397060086663</v>
      </c>
      <c r="E26" s="18" t="n">
        <f aca="false">E172</f>
        <v>0.626860639170224</v>
      </c>
      <c r="F26" s="18" t="n">
        <f aca="false">F172</f>
        <v>0.721951815525595</v>
      </c>
      <c r="G26" s="18" t="n">
        <f aca="false">G172</f>
        <v>0.721951815525595</v>
      </c>
    </row>
    <row r="27" customFormat="false" ht="15" hidden="false" customHeight="false" outlineLevel="0" collapsed="false">
      <c r="A27" s="0" t="s">
        <v>377</v>
      </c>
      <c r="B27" s="0" t="s">
        <v>154</v>
      </c>
      <c r="D27" s="18" t="n">
        <f aca="false">D173</f>
        <v>0.634397060086663</v>
      </c>
      <c r="E27" s="18" t="n">
        <f aca="false">E173</f>
        <v>0.61868486681369</v>
      </c>
      <c r="F27" s="18" t="n">
        <f aca="false">F173</f>
        <v>0.539948522269743</v>
      </c>
      <c r="G27" s="18" t="str">
        <f aca="false">G173</f>
        <v>n/a</v>
      </c>
    </row>
    <row r="28" customFormat="false" ht="15" hidden="false" customHeight="false" outlineLevel="0" collapsed="false">
      <c r="A28" s="8" t="s">
        <v>378</v>
      </c>
      <c r="C28" s="19" t="n">
        <f aca="false">C174</f>
        <v>2027</v>
      </c>
    </row>
    <row r="40" customFormat="false" ht="15" hidden="false" customHeight="false" outlineLevel="0" collapsed="false">
      <c r="A40" s="9" t="s">
        <v>381</v>
      </c>
    </row>
    <row r="41" customFormat="false" ht="15" hidden="false" customHeight="false" outlineLevel="0" collapsed="false">
      <c r="A41" s="20" t="s">
        <v>382</v>
      </c>
      <c r="B41" s="12" t="s">
        <v>93</v>
      </c>
      <c r="C41" s="16" t="n">
        <f aca="false">D41/(1+g_dram_26)</f>
        <v>27.9136690647482</v>
      </c>
      <c r="D41" s="16" t="n">
        <f aca="false">s_dram_26</f>
        <v>38.8</v>
      </c>
      <c r="E41" s="16" t="n">
        <f aca="false">D41*(1+g_dram_27)</f>
        <v>49.4312</v>
      </c>
      <c r="F41" s="16" t="n">
        <f aca="false">E41*(1+g_dram_28)</f>
        <v>56.84588</v>
      </c>
      <c r="G41" s="16" t="n">
        <f aca="false">F41*(1+g29)</f>
        <v>61.3935504</v>
      </c>
      <c r="H41" s="12" t="s">
        <v>383</v>
      </c>
    </row>
    <row r="42" customFormat="false" ht="15" hidden="false" customHeight="false" outlineLevel="0" collapsed="false">
      <c r="A42" s="20" t="s">
        <v>384</v>
      </c>
      <c r="B42" s="12" t="s">
        <v>93</v>
      </c>
      <c r="C42" s="16" t="n">
        <f aca="false">D42/(1+g_nand_26)</f>
        <v>10.6350420811018</v>
      </c>
      <c r="D42" s="16" t="n">
        <f aca="false">s_nand_26</f>
        <v>13.9</v>
      </c>
      <c r="E42" s="16" t="n">
        <f aca="false">D42*(1+g_nand_27)</f>
        <v>18.2229</v>
      </c>
      <c r="F42" s="16" t="n">
        <f aca="false">E42*(1+g_nand_28)</f>
        <v>20.8652205</v>
      </c>
      <c r="G42" s="16" t="n">
        <f aca="false">F42*(1+g29)</f>
        <v>22.53443814</v>
      </c>
      <c r="H42" s="12" t="s">
        <v>383</v>
      </c>
    </row>
    <row r="43" customFormat="false" ht="15" hidden="false" customHeight="false" outlineLevel="0" collapsed="false">
      <c r="A43" s="20" t="s">
        <v>385</v>
      </c>
      <c r="B43" s="12" t="s">
        <v>93</v>
      </c>
      <c r="C43" s="16" t="n">
        <f aca="false">D43/(1+g_fd_26)</f>
        <v>65.6013456686291</v>
      </c>
      <c r="D43" s="16" t="n">
        <f aca="false">s_fd_26</f>
        <v>78</v>
      </c>
      <c r="E43" s="16" t="n">
        <f aca="false">D43*(1+g_fd_27)</f>
        <v>92.118</v>
      </c>
      <c r="F43" s="16" t="n">
        <f aca="false">E43*(1+g_fd_28)</f>
        <v>104.646048</v>
      </c>
      <c r="G43" s="16" t="n">
        <f aca="false">F43*(1+g29)</f>
        <v>113.01773184</v>
      </c>
      <c r="H43" s="12" t="s">
        <v>383</v>
      </c>
    </row>
    <row r="44" customFormat="false" ht="15" hidden="false" customHeight="false" outlineLevel="0" collapsed="false">
      <c r="A44" s="20" t="s">
        <v>386</v>
      </c>
      <c r="B44" s="12" t="s">
        <v>93</v>
      </c>
      <c r="C44" s="16" t="n">
        <f aca="false">D44/(1+g_wfe_26)</f>
        <v>116.896831844029</v>
      </c>
      <c r="D44" s="16" t="n">
        <f aca="false">s_wfe_26</f>
        <v>143.9</v>
      </c>
      <c r="E44" s="16" t="n">
        <f aca="false">D44*(1+g_wfe_27)</f>
        <v>175.2702</v>
      </c>
      <c r="F44" s="16" t="n">
        <f aca="false">E44*(1+g_wfe_28)</f>
        <v>199.9832982</v>
      </c>
      <c r="G44" s="16" t="n">
        <f aca="false">F44*(1+g29)</f>
        <v>215.981962056</v>
      </c>
      <c r="H44" s="12" t="s">
        <v>383</v>
      </c>
    </row>
    <row r="45" customFormat="false" ht="15" hidden="false" customHeight="false" outlineLevel="0" collapsed="false">
      <c r="A45" s="20" t="s">
        <v>387</v>
      </c>
      <c r="B45" s="12" t="s">
        <v>93</v>
      </c>
      <c r="C45" s="16" t="n">
        <f aca="false">D45/(1+g_test_26)</f>
        <v>11.6793893129771</v>
      </c>
      <c r="D45" s="16" t="n">
        <f aca="false">s_test_26</f>
        <v>15.3</v>
      </c>
      <c r="E45" s="16" t="n">
        <f aca="false">SQRT(D45*F45)</f>
        <v>17.8392824967822</v>
      </c>
      <c r="F45" s="16" t="n">
        <f aca="false">s_test_28</f>
        <v>20.8</v>
      </c>
      <c r="G45" s="16" t="n">
        <f aca="false">F45*(1+g29)</f>
        <v>22.464</v>
      </c>
      <c r="H45" s="12" t="s">
        <v>388</v>
      </c>
    </row>
    <row r="46" customFormat="false" ht="15" hidden="false" customHeight="false" outlineLevel="0" collapsed="false">
      <c r="A46" s="20" t="s">
        <v>389</v>
      </c>
      <c r="B46" s="12" t="s">
        <v>93</v>
      </c>
      <c r="C46" s="16" t="n">
        <f aca="false">D46/(1+g_pkg_26)</f>
        <v>6.11313868613139</v>
      </c>
      <c r="D46" s="16" t="n">
        <f aca="false">s_pkg_26</f>
        <v>6.7</v>
      </c>
      <c r="E46" s="16" t="n">
        <f aca="false">SQRT(D46*F46)</f>
        <v>7.59078388573934</v>
      </c>
      <c r="F46" s="16" t="n">
        <f aca="false">s_pkg_28</f>
        <v>8.6</v>
      </c>
      <c r="G46" s="16" t="n">
        <f aca="false">F46*(1+g29)</f>
        <v>9.288</v>
      </c>
      <c r="H46" s="12" t="s">
        <v>388</v>
      </c>
    </row>
    <row r="47" customFormat="false" ht="15" hidden="false" customHeight="false" outlineLevel="0" collapsed="false">
      <c r="A47" s="20" t="s">
        <v>390</v>
      </c>
      <c r="B47" s="12" t="s">
        <v>93</v>
      </c>
      <c r="C47" s="16" t="n">
        <f aca="false">C44-C43-C41-C42</f>
        <v>12.7467750295502</v>
      </c>
      <c r="D47" s="16" t="n">
        <f aca="false">D44-D43-D41-D42</f>
        <v>13.2</v>
      </c>
      <c r="E47" s="16" t="n">
        <f aca="false">E44-E43-E41-E42</f>
        <v>15.4981</v>
      </c>
      <c r="F47" s="16" t="n">
        <f aca="false">F44-F43-F41-F42</f>
        <v>17.6261497</v>
      </c>
      <c r="G47" s="16" t="n">
        <f aca="false">G44-G43-G41-G42</f>
        <v>19.036241676</v>
      </c>
      <c r="H47" s="12" t="s">
        <v>391</v>
      </c>
    </row>
    <row r="48" customFormat="false" ht="15" hidden="false" customHeight="false" outlineLevel="0" collapsed="false">
      <c r="A48" s="9" t="s">
        <v>392</v>
      </c>
      <c r="B48" s="12" t="s">
        <v>93</v>
      </c>
      <c r="C48" s="16" t="n">
        <f aca="false">C44+C45+C46</f>
        <v>134.689359843138</v>
      </c>
      <c r="D48" s="16" t="n">
        <f aca="false">D44+D45+D46</f>
        <v>165.9</v>
      </c>
      <c r="E48" s="16" t="n">
        <f aca="false">E44+E45+E46</f>
        <v>200.700266382522</v>
      </c>
      <c r="F48" s="16" t="n">
        <f aca="false">F44+F45+F46</f>
        <v>229.3832982</v>
      </c>
      <c r="G48" s="16" t="n">
        <f aca="false">G44+G45+G46</f>
        <v>247.733962056</v>
      </c>
      <c r="H48" s="12" t="s">
        <v>393</v>
      </c>
    </row>
    <row r="49" customFormat="false" ht="15" hidden="false" customHeight="false" outlineLevel="0" collapsed="false">
      <c r="A49" s="20" t="s">
        <v>394</v>
      </c>
      <c r="B49" s="12" t="s">
        <v>154</v>
      </c>
      <c r="C49" s="17" t="n">
        <f aca="false">C41/(C41+C42)</f>
        <v>0.724114198244817</v>
      </c>
      <c r="D49" s="17" t="n">
        <f aca="false">$C49</f>
        <v>0.724114198244817</v>
      </c>
      <c r="E49" s="17" t="n">
        <f aca="false">$C49</f>
        <v>0.724114198244817</v>
      </c>
      <c r="F49" s="17" t="n">
        <f aca="false">$C49</f>
        <v>0.724114198244817</v>
      </c>
      <c r="G49" s="17" t="n">
        <f aca="false">$C49</f>
        <v>0.724114198244817</v>
      </c>
      <c r="H49" s="8" t="s">
        <v>395</v>
      </c>
    </row>
    <row r="50" customFormat="false" ht="15" hidden="false" customHeight="false" outlineLevel="0" collapsed="false">
      <c r="A50" s="20" t="s">
        <v>396</v>
      </c>
      <c r="B50" s="12" t="s">
        <v>154</v>
      </c>
      <c r="C50" s="17" t="n">
        <f aca="false">C47/(C41+C42+C43)</f>
        <v>0.12238855569955</v>
      </c>
      <c r="D50" s="17" t="n">
        <f aca="false">$C50</f>
        <v>0.12238855569955</v>
      </c>
      <c r="E50" s="17" t="n">
        <f aca="false">$C50</f>
        <v>0.12238855569955</v>
      </c>
      <c r="F50" s="17" t="n">
        <f aca="false">$C50</f>
        <v>0.12238855569955</v>
      </c>
      <c r="G50" s="17" t="n">
        <f aca="false">$C50</f>
        <v>0.12238855569955</v>
      </c>
      <c r="H50" s="8" t="s">
        <v>397</v>
      </c>
    </row>
    <row r="52" customFormat="false" ht="15" hidden="false" customHeight="false" outlineLevel="0" collapsed="false">
      <c r="A52" s="9" t="s">
        <v>398</v>
      </c>
    </row>
    <row r="53" customFormat="false" ht="15" hidden="false" customHeight="false" outlineLevel="0" collapsed="false">
      <c r="A53" s="9" t="s">
        <v>399</v>
      </c>
    </row>
    <row r="54" customFormat="false" ht="15" hidden="false" customHeight="false" outlineLevel="0" collapsed="false">
      <c r="A54" s="21" t="s">
        <v>400</v>
      </c>
      <c r="B54" s="12" t="s">
        <v>93</v>
      </c>
      <c r="C54" s="16" t="n">
        <f aca="false">ind_cxmt</f>
        <v>6.9</v>
      </c>
      <c r="H54" s="12" t="s">
        <v>401</v>
      </c>
    </row>
    <row r="55" customFormat="false" ht="15" hidden="false" customHeight="false" outlineLevel="0" collapsed="false">
      <c r="A55" s="21" t="s">
        <v>402</v>
      </c>
      <c r="B55" s="12" t="s">
        <v>93</v>
      </c>
      <c r="C55" s="16" t="n">
        <f aca="false">ind_nanya/fx_twd</f>
        <v>0.432258064516129</v>
      </c>
    </row>
    <row r="56" customFormat="false" ht="15" hidden="false" customHeight="false" outlineLevel="0" collapsed="false">
      <c r="A56" s="21" t="s">
        <v>403</v>
      </c>
      <c r="B56" s="12" t="s">
        <v>93</v>
      </c>
      <c r="C56" s="16" t="n">
        <v>0</v>
      </c>
      <c r="H56" s="8" t="s">
        <v>404</v>
      </c>
    </row>
    <row r="57" customFormat="false" ht="15" hidden="false" customHeight="false" outlineLevel="0" collapsed="false">
      <c r="A57" s="21" t="s">
        <v>405</v>
      </c>
      <c r="B57" s="12" t="s">
        <v>93</v>
      </c>
      <c r="C57" s="16" t="n">
        <f aca="false">C54+C55+C56</f>
        <v>7.33225806451613</v>
      </c>
    </row>
    <row r="58" customFormat="false" ht="15" hidden="false" customHeight="false" outlineLevel="0" collapsed="false">
      <c r="A58" s="21" t="s">
        <v>406</v>
      </c>
      <c r="B58" s="12" t="s">
        <v>93</v>
      </c>
      <c r="C58" s="16" t="n">
        <f aca="false">ind_kioxia/fx_jpy</f>
        <v>1.89133333333333</v>
      </c>
    </row>
    <row r="59" customFormat="false" ht="15" hidden="false" customHeight="false" outlineLevel="0" collapsed="false">
      <c r="A59" s="21" t="s">
        <v>407</v>
      </c>
      <c r="B59" s="12" t="s">
        <v>93</v>
      </c>
      <c r="C59" s="16" t="n">
        <f aca="false">ind_nand_ind*ind_ymtc_sh</f>
        <v>4.22</v>
      </c>
    </row>
    <row r="60" customFormat="false" ht="15" hidden="false" customHeight="false" outlineLevel="0" collapsed="false">
      <c r="A60" s="20" t="s">
        <v>408</v>
      </c>
      <c r="B60" s="12" t="s">
        <v>93</v>
      </c>
      <c r="C60" s="16" t="n">
        <v>0</v>
      </c>
      <c r="H60" s="12" t="s">
        <v>409</v>
      </c>
    </row>
    <row r="61" customFormat="false" ht="15" hidden="false" customHeight="false" outlineLevel="0" collapsed="false">
      <c r="A61" s="21" t="s">
        <v>410</v>
      </c>
      <c r="B61" s="12" t="s">
        <v>93</v>
      </c>
      <c r="C61" s="16" t="n">
        <f aca="false">C58+C59+C60</f>
        <v>6.11133333333333</v>
      </c>
    </row>
    <row r="62" customFormat="false" ht="15" hidden="false" customHeight="false" outlineLevel="0" collapsed="false">
      <c r="A62" s="21" t="s">
        <v>411</v>
      </c>
      <c r="B62" s="12" t="s">
        <v>93</v>
      </c>
      <c r="C62" s="16" t="n">
        <f aca="false">C57*sh_oth</f>
        <v>4.69264516129032</v>
      </c>
    </row>
    <row r="63" customFormat="false" ht="15" hidden="false" customHeight="false" outlineLevel="0" collapsed="false">
      <c r="A63" s="21" t="s">
        <v>412</v>
      </c>
      <c r="B63" s="12" t="s">
        <v>93</v>
      </c>
      <c r="C63" s="16" t="n">
        <f aca="false">C61*sh_oth</f>
        <v>3.91125333333333</v>
      </c>
    </row>
    <row r="64" customFormat="false" ht="15" hidden="false" customHeight="false" outlineLevel="0" collapsed="false">
      <c r="A64" s="7" t="s">
        <v>413</v>
      </c>
      <c r="B64" s="12" t="s">
        <v>93</v>
      </c>
      <c r="C64" s="16" t="n">
        <f aca="false">C62+C63</f>
        <v>8.60389849462366</v>
      </c>
    </row>
    <row r="66" customFormat="false" ht="15" hidden="false" customHeight="false" outlineLevel="0" collapsed="false">
      <c r="A66" s="9" t="s">
        <v>414</v>
      </c>
    </row>
    <row r="67" customFormat="false" ht="15" hidden="false" customHeight="false" outlineLevel="0" collapsed="false">
      <c r="A67" s="20" t="s">
        <v>415</v>
      </c>
      <c r="B67" s="12" t="s">
        <v>93</v>
      </c>
      <c r="C67" s="16" t="n">
        <f aca="false">cap_sk_25*1000/fx</f>
        <v>21.2676056338028</v>
      </c>
      <c r="D67" s="16" t="n">
        <f aca="false">cap_sk_26*1000/fx</f>
        <v>34.2957746478873</v>
      </c>
      <c r="E67" s="16" t="n">
        <f aca="false">cap_sk_27*1000/fx</f>
        <v>43.8732394366197</v>
      </c>
      <c r="F67" s="16" t="n">
        <f aca="false">cap_sk_28*1000/fx</f>
        <v>50.1408450704225</v>
      </c>
      <c r="G67" s="16" t="n">
        <f aca="false">cap_sk_29*1000/fx</f>
        <v>52.8169014084507</v>
      </c>
      <c r="H67" s="8" t="s">
        <v>416</v>
      </c>
    </row>
    <row r="68" customFormat="false" ht="15" hidden="false" customHeight="false" outlineLevel="0" collapsed="false">
      <c r="A68" s="21" t="s">
        <v>417</v>
      </c>
      <c r="B68" s="12" t="s">
        <v>93</v>
      </c>
      <c r="C68" s="16" t="n">
        <f aca="false">cap_mu_25</f>
        <v>13.8</v>
      </c>
      <c r="D68" s="16" t="n">
        <f aca="false">cap_mu_26</f>
        <v>27.367</v>
      </c>
      <c r="E68" s="16" t="n">
        <f aca="false">cap_mu_27</f>
        <v>55</v>
      </c>
      <c r="F68" s="16" t="n">
        <f aca="false">cap_mu_28</f>
        <v>60</v>
      </c>
      <c r="G68" s="16" t="n">
        <f aca="false">cap_mu_29</f>
        <v>60</v>
      </c>
    </row>
    <row r="69" customFormat="false" ht="15" hidden="false" customHeight="false" outlineLevel="0" collapsed="false">
      <c r="A69" s="21" t="s">
        <v>418</v>
      </c>
      <c r="B69" s="12" t="s">
        <v>93</v>
      </c>
      <c r="C69" s="16" t="n">
        <f aca="false">cap_ssds_25*ss_mem*1000/fx</f>
        <v>25.0880281690141</v>
      </c>
      <c r="D69" s="16" t="n">
        <f aca="false">cap_ss_26*1000/fx</f>
        <v>36.9718309859155</v>
      </c>
      <c r="E69" s="16" t="n">
        <f aca="false">cap_ss_27*1000/fx</f>
        <v>42.2535211267606</v>
      </c>
      <c r="F69" s="16" t="n">
        <f aca="false">cap_ss_28*1000/fx</f>
        <v>46.4788732394366</v>
      </c>
      <c r="G69" s="16" t="n">
        <f aca="false">cap_ss_29*1000/fx</f>
        <v>46.4788732394366</v>
      </c>
      <c r="H69" s="12" t="s">
        <v>419</v>
      </c>
    </row>
    <row r="70" customFormat="false" ht="15" hidden="false" customHeight="false" outlineLevel="0" collapsed="false">
      <c r="A70" s="7" t="s">
        <v>420</v>
      </c>
      <c r="B70" s="12" t="s">
        <v>93</v>
      </c>
      <c r="C70" s="16" t="n">
        <f aca="false">C67+C68+C69</f>
        <v>60.1556338028169</v>
      </c>
      <c r="D70" s="16" t="n">
        <f aca="false">D67+D68+D69</f>
        <v>98.6346056338028</v>
      </c>
      <c r="E70" s="16" t="n">
        <f aca="false">E67+E68+E69</f>
        <v>141.12676056338</v>
      </c>
      <c r="F70" s="16" t="n">
        <f aca="false">F67+F68+F69</f>
        <v>156.619718309859</v>
      </c>
      <c r="G70" s="16" t="n">
        <f aca="false">G67+G68+G69</f>
        <v>159.295774647887</v>
      </c>
    </row>
    <row r="72" customFormat="false" ht="15" hidden="false" customHeight="false" outlineLevel="0" collapsed="false">
      <c r="A72" s="9" t="s">
        <v>421</v>
      </c>
    </row>
    <row r="73" customFormat="false" ht="15" hidden="false" customHeight="false" outlineLevel="0" collapsed="false">
      <c r="A73" s="20" t="s">
        <v>422</v>
      </c>
      <c r="B73" s="12" t="s">
        <v>93</v>
      </c>
      <c r="C73" s="16" t="n">
        <f aca="false">C41+C42</f>
        <v>38.54871114585</v>
      </c>
    </row>
    <row r="74" customFormat="false" ht="15" hidden="false" customHeight="false" outlineLevel="0" collapsed="false">
      <c r="A74" s="21" t="s">
        <v>423</v>
      </c>
      <c r="B74" s="12" t="s">
        <v>93</v>
      </c>
      <c r="C74" s="16" t="n">
        <f aca="false">C68*sh_mu_25</f>
        <v>8.832</v>
      </c>
    </row>
    <row r="75" customFormat="false" ht="15" hidden="false" customHeight="false" outlineLevel="0" collapsed="false">
      <c r="A75" s="21" t="s">
        <v>424</v>
      </c>
      <c r="B75" s="12" t="s">
        <v>93</v>
      </c>
      <c r="C75" s="16" t="n">
        <f aca="false">C64</f>
        <v>8.60389849462366</v>
      </c>
    </row>
    <row r="76" customFormat="false" ht="15" hidden="false" customHeight="false" outlineLevel="0" collapsed="false">
      <c r="A76" s="21" t="s">
        <v>425</v>
      </c>
      <c r="B76" s="12" t="s">
        <v>93</v>
      </c>
      <c r="C76" s="16" t="n">
        <f aca="false">C73-C74-C75</f>
        <v>21.1128126512263</v>
      </c>
    </row>
    <row r="77" customFormat="false" ht="15" hidden="false" customHeight="false" outlineLevel="0" collapsed="false">
      <c r="A77" s="20" t="s">
        <v>426</v>
      </c>
      <c r="B77" s="12" t="s">
        <v>93</v>
      </c>
      <c r="C77" s="16" t="n">
        <f aca="false">C67+C69</f>
        <v>46.3556338028169</v>
      </c>
    </row>
    <row r="78" customFormat="false" ht="15" hidden="false" customHeight="false" outlineLevel="0" collapsed="false">
      <c r="A78" s="7" t="s">
        <v>427</v>
      </c>
      <c r="B78" s="12" t="s">
        <v>154</v>
      </c>
      <c r="C78" s="17" t="n">
        <f aca="false">C76/C77</f>
        <v>0.455453003642102</v>
      </c>
      <c r="H78" s="8" t="s">
        <v>428</v>
      </c>
    </row>
    <row r="79" customFormat="false" ht="15" hidden="false" customHeight="false" outlineLevel="0" collapsed="false">
      <c r="A79" s="21" t="s">
        <v>429</v>
      </c>
      <c r="B79" s="12" t="s">
        <v>154</v>
      </c>
      <c r="C79" s="17" t="n">
        <f aca="false">(C73-(C57-C54+ind_cxmt_hi+C61)*sh_oth-C74)/C77</f>
        <v>0.385040850204958</v>
      </c>
    </row>
    <row r="80" customFormat="false" ht="15" hidden="false" customHeight="false" outlineLevel="0" collapsed="false">
      <c r="A80" s="21" t="s">
        <v>430</v>
      </c>
      <c r="B80" s="12" t="s">
        <v>154</v>
      </c>
      <c r="C80" s="17" t="n">
        <f aca="false">sh_oth_lo</f>
        <v>0.58</v>
      </c>
    </row>
    <row r="81" customFormat="false" ht="15" hidden="false" customHeight="false" outlineLevel="0" collapsed="false">
      <c r="A81" s="21" t="s">
        <v>431</v>
      </c>
      <c r="B81" s="12" t="s">
        <v>154</v>
      </c>
      <c r="C81" s="17" t="n">
        <f aca="false">sh_oth</f>
        <v>0.64</v>
      </c>
    </row>
    <row r="83" customFormat="false" ht="15" hidden="false" customHeight="false" outlineLevel="0" collapsed="false">
      <c r="A83" s="9" t="s">
        <v>432</v>
      </c>
    </row>
    <row r="84" customFormat="false" ht="15" hidden="false" customHeight="false" outlineLevel="0" collapsed="false">
      <c r="A84" s="20" t="s">
        <v>433</v>
      </c>
      <c r="B84" s="12" t="s">
        <v>93</v>
      </c>
      <c r="C84" s="16" t="n">
        <f aca="false">C67*sh_sk</f>
        <v>9.68639486619118</v>
      </c>
      <c r="D84" s="16" t="n">
        <f aca="false">D67*sh_sk</f>
        <v>15.6201135756129</v>
      </c>
      <c r="E84" s="16" t="n">
        <f aca="false">E67*sh_sk</f>
        <v>19.9821986809176</v>
      </c>
      <c r="F84" s="16" t="n">
        <f aca="false">F67*sh_sk</f>
        <v>22.8367984924772</v>
      </c>
      <c r="G84" s="16" t="n">
        <f aca="false">G67*sh_sk</f>
        <v>24.0556163895476</v>
      </c>
    </row>
    <row r="85" customFormat="false" ht="15" hidden="false" customHeight="false" outlineLevel="0" collapsed="false">
      <c r="A85" s="21" t="s">
        <v>434</v>
      </c>
      <c r="B85" s="12" t="s">
        <v>93</v>
      </c>
      <c r="C85" s="16" t="n">
        <f aca="false">C68*sh_mu_25</f>
        <v>8.832</v>
      </c>
      <c r="D85" s="16" t="n">
        <f aca="false">D68*sh_mu_26</f>
        <v>14.258207</v>
      </c>
      <c r="E85" s="16" t="n">
        <f aca="false">E68*sh_mu_27</f>
        <v>25.3</v>
      </c>
      <c r="F85" s="16" t="n">
        <f aca="false">F68*sh_mu_27</f>
        <v>27.6</v>
      </c>
      <c r="G85" s="16" t="n">
        <f aca="false">G68*sh_mu_27</f>
        <v>27.6</v>
      </c>
    </row>
    <row r="86" customFormat="false" ht="15" hidden="false" customHeight="false" outlineLevel="0" collapsed="false">
      <c r="A86" s="21" t="s">
        <v>435</v>
      </c>
      <c r="B86" s="12" t="s">
        <v>93</v>
      </c>
      <c r="C86" s="16" t="n">
        <f aca="false">C69*sh_ss</f>
        <v>11.4264177850351</v>
      </c>
      <c r="D86" s="16" t="n">
        <f aca="false">D69*sh_ss</f>
        <v>16.8389314726833</v>
      </c>
      <c r="E86" s="16" t="n">
        <f aca="false">E69*sh_ss</f>
        <v>19.2444931116381</v>
      </c>
      <c r="F86" s="16" t="n">
        <f aca="false">F69*sh_ss</f>
        <v>21.1689424228019</v>
      </c>
      <c r="G86" s="16" t="n">
        <f aca="false">G69*sh_ss</f>
        <v>21.1689424228019</v>
      </c>
    </row>
    <row r="87" customFormat="false" ht="15" hidden="false" customHeight="false" outlineLevel="0" collapsed="false">
      <c r="A87" s="7" t="s">
        <v>436</v>
      </c>
      <c r="B87" s="12" t="s">
        <v>93</v>
      </c>
      <c r="C87" s="16" t="n">
        <f aca="false">C84+C85+C86</f>
        <v>29.9448126512263</v>
      </c>
      <c r="D87" s="16" t="n">
        <f aca="false">D84+D85+D86</f>
        <v>46.7172520482963</v>
      </c>
      <c r="E87" s="16" t="n">
        <f aca="false">E84+E85+E86</f>
        <v>64.5266917925557</v>
      </c>
      <c r="F87" s="16" t="n">
        <f aca="false">F84+F85+F86</f>
        <v>71.6057409152791</v>
      </c>
      <c r="G87" s="16" t="n">
        <f aca="false">G84+G85+G86</f>
        <v>72.8245588123496</v>
      </c>
    </row>
    <row r="88" customFormat="false" ht="15" hidden="false" customHeight="false" outlineLevel="0" collapsed="false">
      <c r="A88" s="21" t="s">
        <v>437</v>
      </c>
      <c r="B88" s="12" t="s">
        <v>154</v>
      </c>
      <c r="C88" s="17" t="n">
        <f aca="false">C87/C70</f>
        <v>0.497788997608801</v>
      </c>
      <c r="D88" s="17" t="n">
        <f aca="false">D87/D70</f>
        <v>0.47363956846689</v>
      </c>
      <c r="E88" s="17" t="n">
        <f aca="false">E87/E70</f>
        <v>0.457225061603937</v>
      </c>
      <c r="F88" s="17" t="n">
        <f aca="false">F87/F70</f>
        <v>0.457194928505829</v>
      </c>
      <c r="G88" s="17" t="n">
        <f aca="false">G87/G70</f>
        <v>0.457165665400249</v>
      </c>
    </row>
    <row r="89" customFormat="false" ht="15" hidden="false" customHeight="false" outlineLevel="0" collapsed="false">
      <c r="A89" s="21" t="s">
        <v>438</v>
      </c>
      <c r="B89" s="12" t="s">
        <v>93</v>
      </c>
      <c r="C89" s="16" t="n">
        <f aca="false">C87*C49</f>
        <v>21.683464004534</v>
      </c>
      <c r="D89" s="16" t="n">
        <f aca="false">D87*D49</f>
        <v>33.8286255111531</v>
      </c>
      <c r="E89" s="16" t="n">
        <f aca="false">E87*E49</f>
        <v>46.7246936927569</v>
      </c>
      <c r="F89" s="16" t="n">
        <f aca="false">F87*F49</f>
        <v>51.8507336725935</v>
      </c>
      <c r="G89" s="16" t="n">
        <f aca="false">G87*G49</f>
        <v>52.733297016937</v>
      </c>
      <c r="H89" s="12" t="s">
        <v>439</v>
      </c>
    </row>
    <row r="90" customFormat="false" ht="15" hidden="false" customHeight="false" outlineLevel="0" collapsed="false">
      <c r="A90" s="21" t="s">
        <v>440</v>
      </c>
      <c r="B90" s="12" t="s">
        <v>93</v>
      </c>
      <c r="C90" s="16" t="n">
        <f aca="false">C87-C89</f>
        <v>8.26134864669231</v>
      </c>
      <c r="D90" s="16" t="n">
        <f aca="false">D87-D89</f>
        <v>12.8886265371432</v>
      </c>
      <c r="E90" s="16" t="n">
        <f aca="false">E87-E89</f>
        <v>17.8019980997988</v>
      </c>
      <c r="F90" s="16" t="n">
        <f aca="false">F87-F89</f>
        <v>19.7550072426857</v>
      </c>
      <c r="G90" s="16" t="n">
        <f aca="false">G87-G89</f>
        <v>20.0912617954125</v>
      </c>
    </row>
    <row r="91" customFormat="false" ht="15" hidden="false" customHeight="false" outlineLevel="0" collapsed="false">
      <c r="A91" s="21" t="s">
        <v>441</v>
      </c>
      <c r="B91" s="12" t="s">
        <v>93</v>
      </c>
      <c r="C91" s="16" t="n">
        <f aca="false">C62</f>
        <v>4.69264516129032</v>
      </c>
      <c r="D91" s="16" t="n">
        <f aca="false">C91*(1+g_oth_dram)</f>
        <v>5.53732129032258</v>
      </c>
      <c r="E91" s="16" t="n">
        <f aca="false">D91*(1+g_oth_dram)</f>
        <v>6.53403912258065</v>
      </c>
      <c r="F91" s="16" t="n">
        <f aca="false">E91*(1+g_oth_dram)</f>
        <v>7.71016616464516</v>
      </c>
      <c r="G91" s="16" t="n">
        <f aca="false">F91*(1+g_oth_dram)</f>
        <v>9.09799607428129</v>
      </c>
    </row>
    <row r="92" customFormat="false" ht="15" hidden="false" customHeight="false" outlineLevel="0" collapsed="false">
      <c r="A92" s="21" t="s">
        <v>442</v>
      </c>
      <c r="B92" s="12" t="s">
        <v>93</v>
      </c>
      <c r="C92" s="16" t="n">
        <f aca="false">C63</f>
        <v>3.91125333333333</v>
      </c>
      <c r="D92" s="16" t="n">
        <f aca="false">C92*(1+g_oth_nand)</f>
        <v>4.61527893333333</v>
      </c>
      <c r="E92" s="16" t="n">
        <f aca="false">D92*(1+g_oth_nand)</f>
        <v>5.44602914133333</v>
      </c>
      <c r="F92" s="16" t="n">
        <f aca="false">E92*(1+g_oth_nand)</f>
        <v>6.42631438677333</v>
      </c>
      <c r="G92" s="16" t="n">
        <f aca="false">F92*(1+g_oth_nand)</f>
        <v>7.58305097639253</v>
      </c>
    </row>
    <row r="93" customFormat="false" ht="15" hidden="false" customHeight="false" outlineLevel="0" collapsed="false">
      <c r="A93" s="7" t="s">
        <v>443</v>
      </c>
      <c r="B93" s="12" t="s">
        <v>93</v>
      </c>
      <c r="C93" s="16" t="n">
        <f aca="false">C87+C91+C92</f>
        <v>38.54871114585</v>
      </c>
      <c r="D93" s="16" t="n">
        <f aca="false">D87+D91+D92</f>
        <v>56.8698522719522</v>
      </c>
      <c r="E93" s="16" t="n">
        <f aca="false">E87+E91+E92</f>
        <v>76.5067600564697</v>
      </c>
      <c r="F93" s="16" t="n">
        <f aca="false">F87+F91+F92</f>
        <v>85.7422214666976</v>
      </c>
      <c r="G93" s="16" t="n">
        <f aca="false">G87+G91+G92</f>
        <v>89.5056058630234</v>
      </c>
    </row>
    <row r="94" customFormat="false" ht="15" hidden="false" customHeight="false" outlineLevel="0" collapsed="false">
      <c r="A94" s="21" t="s">
        <v>444</v>
      </c>
      <c r="B94" s="12" t="s">
        <v>93</v>
      </c>
      <c r="C94" s="22" t="n">
        <f aca="false">C93-C73</f>
        <v>0</v>
      </c>
    </row>
    <row r="95" customFormat="false" ht="15" hidden="false" customHeight="false" outlineLevel="0" collapsed="false">
      <c r="A95" s="21" t="s">
        <v>445</v>
      </c>
      <c r="B95" s="12" t="s">
        <v>93</v>
      </c>
      <c r="C95" s="16" t="n">
        <f aca="false">C93-C41-C42</f>
        <v>0</v>
      </c>
      <c r="D95" s="16" t="n">
        <f aca="false">D93-D41-D42</f>
        <v>4.16985227195219</v>
      </c>
      <c r="E95" s="16" t="n">
        <f aca="false">E93-E41-E42</f>
        <v>8.85266005646966</v>
      </c>
      <c r="F95" s="16" t="n">
        <f aca="false">F93-F41-F42</f>
        <v>8.03112096669764</v>
      </c>
      <c r="G95" s="16" t="n">
        <f aca="false">G93-G41-G42</f>
        <v>5.57761732302336</v>
      </c>
      <c r="H95" s="8" t="s">
        <v>446</v>
      </c>
    </row>
    <row r="97" customFormat="false" ht="15" hidden="false" customHeight="false" outlineLevel="0" collapsed="false">
      <c r="A97" s="9" t="s">
        <v>447</v>
      </c>
    </row>
    <row r="98" customFormat="false" ht="15" hidden="false" customHeight="false" outlineLevel="0" collapsed="false">
      <c r="A98" s="21" t="s">
        <v>448</v>
      </c>
      <c r="B98" s="12" t="s">
        <v>93</v>
      </c>
      <c r="C98" s="16" t="n">
        <f aca="false">cap_ts_25</f>
        <v>40.9</v>
      </c>
      <c r="D98" s="16" t="n">
        <f aca="false">cap_ts_26</f>
        <v>62</v>
      </c>
      <c r="E98" s="16" t="n">
        <f aca="false">cap_ts_27</f>
        <v>77</v>
      </c>
      <c r="F98" s="16" t="n">
        <f aca="false">cap_ts_28</f>
        <v>90</v>
      </c>
      <c r="G98" s="16" t="n">
        <f aca="false">cap_ts_29</f>
        <v>95</v>
      </c>
    </row>
    <row r="99" customFormat="false" ht="15" hidden="false" customHeight="false" outlineLevel="0" collapsed="false">
      <c r="A99" s="21" t="s">
        <v>449</v>
      </c>
      <c r="B99" s="12" t="s">
        <v>93</v>
      </c>
      <c r="C99" s="16" t="n">
        <f aca="false">C98*sh_fd</f>
        <v>26.176</v>
      </c>
      <c r="D99" s="16" t="n">
        <f aca="false">D98*sh_fd</f>
        <v>39.68</v>
      </c>
      <c r="E99" s="16" t="n">
        <f aca="false">E98*sh_fd</f>
        <v>49.28</v>
      </c>
      <c r="F99" s="16" t="n">
        <f aca="false">F98*sh_fd</f>
        <v>57.6</v>
      </c>
      <c r="G99" s="16" t="n">
        <f aca="false">G98*sh_fd</f>
        <v>60.8</v>
      </c>
    </row>
    <row r="100" customFormat="false" ht="15" hidden="false" customHeight="false" outlineLevel="0" collapsed="false">
      <c r="A100" s="20" t="s">
        <v>450</v>
      </c>
      <c r="B100" s="12" t="s">
        <v>93</v>
      </c>
      <c r="C100" s="16" t="n">
        <f aca="false">C43-C99</f>
        <v>39.4253456686291</v>
      </c>
      <c r="H100" s="12" t="s">
        <v>451</v>
      </c>
    </row>
    <row r="101" customFormat="false" ht="15" hidden="false" customHeight="false" outlineLevel="0" collapsed="false">
      <c r="A101" s="21" t="s">
        <v>452</v>
      </c>
      <c r="B101" s="12" t="s">
        <v>93</v>
      </c>
      <c r="C101" s="16" t="n">
        <f aca="false">MAX(C100,0)</f>
        <v>39.4253456686291</v>
      </c>
      <c r="D101" s="16" t="n">
        <f aca="false">C101*(1+g_oth_fd)</f>
        <v>42.5793733221194</v>
      </c>
      <c r="E101" s="16" t="n">
        <f aca="false">D101*(1+g_oth_fd)</f>
        <v>45.985723187889</v>
      </c>
      <c r="F101" s="16" t="n">
        <f aca="false">E101*(1+g_oth_fd)</f>
        <v>49.6645810429201</v>
      </c>
      <c r="G101" s="16" t="n">
        <f aca="false">F101*(1+g_oth_fd)</f>
        <v>53.6377475263537</v>
      </c>
    </row>
    <row r="102" customFormat="false" ht="15" hidden="false" customHeight="false" outlineLevel="0" collapsed="false">
      <c r="A102" s="7" t="s">
        <v>453</v>
      </c>
      <c r="B102" s="12" t="s">
        <v>93</v>
      </c>
      <c r="C102" s="16" t="n">
        <f aca="false">C99+C101</f>
        <v>65.6013456686291</v>
      </c>
      <c r="D102" s="16" t="n">
        <f aca="false">D99+D101</f>
        <v>82.2593733221194</v>
      </c>
      <c r="E102" s="16" t="n">
        <f aca="false">E99+E101</f>
        <v>95.265723187889</v>
      </c>
      <c r="F102" s="16" t="n">
        <f aca="false">F99+F101</f>
        <v>107.26458104292</v>
      </c>
      <c r="G102" s="16" t="n">
        <f aca="false">G99+G101</f>
        <v>114.437747526354</v>
      </c>
    </row>
    <row r="103" customFormat="false" ht="15" hidden="false" customHeight="false" outlineLevel="0" collapsed="false">
      <c r="A103" s="21" t="s">
        <v>454</v>
      </c>
      <c r="B103" s="12" t="s">
        <v>93</v>
      </c>
      <c r="C103" s="16" t="n">
        <f aca="false">C102-C43</f>
        <v>0</v>
      </c>
      <c r="D103" s="16" t="n">
        <f aca="false">D102-D43</f>
        <v>4.25937332211942</v>
      </c>
      <c r="E103" s="16" t="n">
        <f aca="false">E102-E43</f>
        <v>3.14772318788897</v>
      </c>
      <c r="F103" s="16" t="n">
        <f aca="false">F102-F43</f>
        <v>2.61853304292008</v>
      </c>
      <c r="G103" s="16" t="n">
        <f aca="false">G102-G43</f>
        <v>1.42001568635369</v>
      </c>
    </row>
    <row r="105" customFormat="false" ht="15" hidden="false" customHeight="false" outlineLevel="0" collapsed="false">
      <c r="A105" s="9" t="s">
        <v>455</v>
      </c>
    </row>
    <row r="106" customFormat="false" ht="15" hidden="false" customHeight="false" outlineLevel="0" collapsed="false">
      <c r="A106" s="21" t="s">
        <v>456</v>
      </c>
      <c r="B106" s="12" t="s">
        <v>93</v>
      </c>
      <c r="C106" s="16" t="n">
        <f aca="false">C47</f>
        <v>12.7467750295502</v>
      </c>
      <c r="D106" s="16" t="n">
        <f aca="false">D50*(D93+D102)</f>
        <v>17.0278249760553</v>
      </c>
      <c r="E106" s="16" t="n">
        <f aca="false">E50*(E93+E102)</f>
        <v>21.0229861332022</v>
      </c>
      <c r="F106" s="16" t="n">
        <f aca="false">F50*(F93+F102)</f>
        <v>23.6218237993404</v>
      </c>
      <c r="G106" s="16" t="n">
        <f aca="false">G50*(G93+G102)</f>
        <v>24.9603324658488</v>
      </c>
      <c r="H106" s="12" t="s">
        <v>457</v>
      </c>
    </row>
    <row r="108" customFormat="false" ht="15" hidden="false" customHeight="false" outlineLevel="0" collapsed="false">
      <c r="A108" s="9" t="s">
        <v>458</v>
      </c>
    </row>
    <row r="109" customFormat="false" ht="15" hidden="false" customHeight="false" outlineLevel="0" collapsed="false">
      <c r="A109" s="7" t="s">
        <v>459</v>
      </c>
      <c r="B109" s="12" t="s">
        <v>154</v>
      </c>
      <c r="C109" s="17" t="n">
        <f aca="false">(C73-C64)/C70</f>
        <v>0.497788997608801</v>
      </c>
      <c r="H109" s="8" t="s">
        <v>460</v>
      </c>
    </row>
    <row r="110" customFormat="false" ht="15" hidden="false" customHeight="false" outlineLevel="0" collapsed="false">
      <c r="A110" s="21" t="s">
        <v>461</v>
      </c>
      <c r="B110" s="12" t="s">
        <v>154</v>
      </c>
      <c r="C110" s="17" t="n">
        <f aca="false">C78</f>
        <v>0.455453003642102</v>
      </c>
    </row>
    <row r="111" customFormat="false" ht="15" hidden="false" customHeight="false" outlineLevel="0" collapsed="false">
      <c r="A111" s="21" t="s">
        <v>462</v>
      </c>
      <c r="B111" s="12" t="s">
        <v>154</v>
      </c>
      <c r="C111" s="17" t="n">
        <f aca="false">C81</f>
        <v>0.64</v>
      </c>
    </row>
    <row r="112" customFormat="false" ht="15" hidden="false" customHeight="false" outlineLevel="0" collapsed="false">
      <c r="A112" s="21" t="s">
        <v>463</v>
      </c>
      <c r="C112" s="19" t="n">
        <f aca="false">IF(C78&lt;sh_oth_lo,1,0)</f>
        <v>1</v>
      </c>
      <c r="H112" s="8" t="s">
        <v>464</v>
      </c>
    </row>
    <row r="114" customFormat="false" ht="15" hidden="false" customHeight="false" outlineLevel="0" collapsed="false">
      <c r="A114" s="9" t="s">
        <v>465</v>
      </c>
    </row>
    <row r="115" customFormat="false" ht="15" hidden="false" customHeight="false" outlineLevel="0" collapsed="false">
      <c r="A115" s="8" t="s">
        <v>466</v>
      </c>
    </row>
    <row r="116" customFormat="false" ht="15" hidden="false" customHeight="false" outlineLevel="0" collapsed="false">
      <c r="A116" s="21" t="s">
        <v>467</v>
      </c>
      <c r="B116" s="12" t="s">
        <v>93</v>
      </c>
      <c r="C116" s="16" t="n">
        <f aca="false">C45</f>
        <v>11.6793893129771</v>
      </c>
      <c r="D116" s="16" t="n">
        <f aca="false">D45</f>
        <v>15.3</v>
      </c>
      <c r="E116" s="16" t="n">
        <f aca="false">E45</f>
        <v>17.8392824967822</v>
      </c>
      <c r="F116" s="16" t="n">
        <f aca="false">F45</f>
        <v>20.8</v>
      </c>
      <c r="G116" s="16" t="n">
        <f aca="false">G45</f>
        <v>22.464</v>
      </c>
    </row>
    <row r="117" customFormat="false" ht="15" hidden="false" customHeight="false" outlineLevel="0" collapsed="false">
      <c r="A117" s="21" t="s">
        <v>468</v>
      </c>
      <c r="B117" s="12" t="s">
        <v>93</v>
      </c>
      <c r="C117" s="16" t="n">
        <f aca="false">C46</f>
        <v>6.11313868613139</v>
      </c>
      <c r="D117" s="16" t="n">
        <f aca="false">D46</f>
        <v>6.7</v>
      </c>
      <c r="E117" s="16" t="n">
        <f aca="false">E46</f>
        <v>7.59078388573934</v>
      </c>
      <c r="F117" s="16" t="n">
        <f aca="false">F46</f>
        <v>8.6</v>
      </c>
      <c r="G117" s="16" t="n">
        <f aca="false">G46</f>
        <v>9.288</v>
      </c>
    </row>
    <row r="119" customFormat="false" ht="15" hidden="false" customHeight="false" outlineLevel="0" collapsed="false">
      <c r="A119" s="9" t="s">
        <v>469</v>
      </c>
    </row>
    <row r="120" customFormat="false" ht="15" hidden="false" customHeight="false" outlineLevel="0" collapsed="false">
      <c r="A120" s="21" t="s">
        <v>470</v>
      </c>
      <c r="B120" s="12" t="s">
        <v>93</v>
      </c>
      <c r="C120" s="16" t="n">
        <f aca="false">C99+adv_other*C101</f>
        <v>36.0323364171573</v>
      </c>
      <c r="D120" s="16" t="n">
        <f aca="false">D99+adv_other*D101</f>
        <v>50.3248433305299</v>
      </c>
      <c r="E120" s="16" t="n">
        <f aca="false">E99+adv_other*E101</f>
        <v>60.7764307969723</v>
      </c>
      <c r="F120" s="16" t="n">
        <f aca="false">F99+adv_other*F101</f>
        <v>70.01614526073</v>
      </c>
      <c r="G120" s="16" t="n">
        <f aca="false">G99+adv_other*G101</f>
        <v>74.2094368815884</v>
      </c>
    </row>
    <row r="121" customFormat="false" ht="15" hidden="false" customHeight="false" outlineLevel="0" collapsed="false">
      <c r="A121" s="21" t="s">
        <v>471</v>
      </c>
      <c r="B121" s="12" t="s">
        <v>93</v>
      </c>
      <c r="C121" s="16" t="n">
        <f aca="false">C102-C120</f>
        <v>29.5690092514718</v>
      </c>
      <c r="D121" s="16" t="n">
        <f aca="false">D102-D120</f>
        <v>31.9345299915896</v>
      </c>
      <c r="E121" s="16" t="n">
        <f aca="false">E102-E120</f>
        <v>34.4892923909167</v>
      </c>
      <c r="F121" s="16" t="n">
        <f aca="false">F102-F120</f>
        <v>37.2484357821901</v>
      </c>
      <c r="G121" s="16" t="n">
        <f aca="false">G102-G120</f>
        <v>40.2283106447653</v>
      </c>
    </row>
    <row r="122" customFormat="false" ht="15" hidden="false" customHeight="false" outlineLevel="0" collapsed="false">
      <c r="A122" s="20" t="s">
        <v>472</v>
      </c>
      <c r="B122" s="12" t="s">
        <v>93</v>
      </c>
      <c r="C122" s="16" t="n">
        <f aca="false">C89+C91</f>
        <v>26.3761091658243</v>
      </c>
      <c r="D122" s="16" t="n">
        <f aca="false">D89+D91</f>
        <v>39.3659468014757</v>
      </c>
      <c r="E122" s="16" t="n">
        <f aca="false">E89+E91</f>
        <v>53.2587328153375</v>
      </c>
      <c r="F122" s="16" t="n">
        <f aca="false">F89+F91</f>
        <v>59.5608998372386</v>
      </c>
      <c r="G122" s="16" t="n">
        <f aca="false">G89+G91</f>
        <v>61.8312930912183</v>
      </c>
    </row>
    <row r="123" customFormat="false" ht="15" hidden="false" customHeight="false" outlineLevel="0" collapsed="false">
      <c r="A123" s="20" t="s">
        <v>473</v>
      </c>
      <c r="B123" s="12" t="s">
        <v>93</v>
      </c>
      <c r="C123" s="16" t="n">
        <f aca="false">C90+C92</f>
        <v>12.1726019800256</v>
      </c>
      <c r="D123" s="16" t="n">
        <f aca="false">D90+D92</f>
        <v>17.5039054704765</v>
      </c>
      <c r="E123" s="16" t="n">
        <f aca="false">E90+E92</f>
        <v>23.2480272411321</v>
      </c>
      <c r="F123" s="16" t="n">
        <f aca="false">F90+F92</f>
        <v>26.181321629459</v>
      </c>
      <c r="G123" s="16" t="n">
        <f aca="false">G90+G92</f>
        <v>27.674312771805</v>
      </c>
    </row>
    <row r="124" customFormat="false" ht="15" hidden="false" customHeight="false" outlineLevel="0" collapsed="false">
      <c r="A124" s="21" t="s">
        <v>474</v>
      </c>
      <c r="B124" s="12" t="s">
        <v>93</v>
      </c>
      <c r="C124" s="16" t="n">
        <f aca="false">C106</f>
        <v>12.7467750295502</v>
      </c>
      <c r="D124" s="16" t="n">
        <f aca="false">D106</f>
        <v>17.0278249760553</v>
      </c>
      <c r="E124" s="16" t="n">
        <f aca="false">E106</f>
        <v>21.0229861332022</v>
      </c>
      <c r="F124" s="16" t="n">
        <f aca="false">F106</f>
        <v>23.6218237993404</v>
      </c>
      <c r="G124" s="16" t="n">
        <f aca="false">G106</f>
        <v>24.9603324658488</v>
      </c>
    </row>
    <row r="125" customFormat="false" ht="15" hidden="false" customHeight="false" outlineLevel="0" collapsed="false">
      <c r="A125" s="21" t="s">
        <v>475</v>
      </c>
      <c r="B125" s="12" t="s">
        <v>93</v>
      </c>
      <c r="C125" s="16" t="n">
        <f aca="false">C117*pkg_adv</f>
        <v>3.05656934306569</v>
      </c>
      <c r="D125" s="16" t="n">
        <f aca="false">D117*pkg_adv</f>
        <v>3.35</v>
      </c>
      <c r="E125" s="16" t="n">
        <f aca="false">E117*pkg_adv</f>
        <v>3.79539194286967</v>
      </c>
      <c r="F125" s="16" t="n">
        <f aca="false">F117*pkg_adv</f>
        <v>4.3</v>
      </c>
      <c r="G125" s="16" t="n">
        <f aca="false">G117*pkg_adv</f>
        <v>4.644</v>
      </c>
    </row>
    <row r="126" customFormat="false" ht="15" hidden="false" customHeight="false" outlineLevel="0" collapsed="false">
      <c r="A126" s="21" t="s">
        <v>476</v>
      </c>
      <c r="B126" s="12" t="s">
        <v>93</v>
      </c>
      <c r="C126" s="16" t="n">
        <f aca="false">C116+C117-C125</f>
        <v>14.7359586560428</v>
      </c>
      <c r="D126" s="16" t="n">
        <f aca="false">D116+D117-D125</f>
        <v>18.65</v>
      </c>
      <c r="E126" s="16" t="n">
        <f aca="false">E116+E117-E125</f>
        <v>21.6346744396519</v>
      </c>
      <c r="F126" s="16" t="n">
        <f aca="false">F116+F117-F125</f>
        <v>25.1</v>
      </c>
      <c r="G126" s="16" t="n">
        <f aca="false">G116+G117-G125</f>
        <v>27.108</v>
      </c>
    </row>
    <row r="127" customFormat="false" ht="15" hidden="false" customHeight="false" outlineLevel="0" collapsed="false">
      <c r="A127" s="21" t="s">
        <v>477</v>
      </c>
      <c r="B127" s="12" t="s">
        <v>93</v>
      </c>
      <c r="C127" s="16" t="n">
        <f aca="false">SUM(C120:C124)</f>
        <v>116.896831844029</v>
      </c>
      <c r="D127" s="16" t="n">
        <f aca="false">SUM(D120:D124)</f>
        <v>156.157050570127</v>
      </c>
      <c r="E127" s="16" t="n">
        <f aca="false">SUM(E120:E124)</f>
        <v>192.795469377561</v>
      </c>
      <c r="F127" s="16" t="n">
        <f aca="false">SUM(F120:F124)</f>
        <v>216.628626308958</v>
      </c>
      <c r="G127" s="16" t="n">
        <f aca="false">SUM(G120:G124)</f>
        <v>228.903685855226</v>
      </c>
    </row>
    <row r="128" customFormat="false" ht="15" hidden="false" customHeight="false" outlineLevel="0" collapsed="false">
      <c r="A128" s="21" t="s">
        <v>478</v>
      </c>
      <c r="B128" s="12" t="s">
        <v>93</v>
      </c>
      <c r="C128" s="16" t="n">
        <f aca="false">C125+C126</f>
        <v>17.7925279991085</v>
      </c>
      <c r="D128" s="16" t="n">
        <f aca="false">D125+D126</f>
        <v>22</v>
      </c>
      <c r="E128" s="16" t="n">
        <f aca="false">E125+E126</f>
        <v>25.4300663825215</v>
      </c>
      <c r="F128" s="16" t="n">
        <f aca="false">F125+F126</f>
        <v>29.4</v>
      </c>
      <c r="G128" s="16" t="n">
        <f aca="false">G125+G126</f>
        <v>31.752</v>
      </c>
    </row>
    <row r="129" customFormat="false" ht="15" hidden="false" customHeight="false" outlineLevel="0" collapsed="false">
      <c r="A129" s="7" t="s">
        <v>479</v>
      </c>
      <c r="B129" s="12" t="s">
        <v>93</v>
      </c>
      <c r="C129" s="16" t="n">
        <f aca="false">C127+C128</f>
        <v>134.689359843138</v>
      </c>
      <c r="D129" s="16" t="n">
        <f aca="false">D127+D128</f>
        <v>178.157050570127</v>
      </c>
      <c r="E129" s="16" t="n">
        <f aca="false">E127+E128</f>
        <v>218.225535760082</v>
      </c>
      <c r="F129" s="16" t="n">
        <f aca="false">F127+F128</f>
        <v>246.028626308958</v>
      </c>
      <c r="G129" s="16" t="n">
        <f aca="false">G127+G128</f>
        <v>260.655685855226</v>
      </c>
    </row>
    <row r="130" customFormat="false" ht="15" hidden="false" customHeight="false" outlineLevel="0" collapsed="false">
      <c r="A130" s="21" t="s">
        <v>373</v>
      </c>
      <c r="B130" s="12" t="s">
        <v>154</v>
      </c>
      <c r="D130" s="17" t="n">
        <f aca="false">D129/C129-1</f>
        <v>0.322725497972614</v>
      </c>
      <c r="E130" s="17" t="n">
        <f aca="false">E129/D129-1</f>
        <v>0.224905413856655</v>
      </c>
      <c r="F130" s="17" t="n">
        <f aca="false">F129/E129-1</f>
        <v>0.127405303197159</v>
      </c>
      <c r="G130" s="17" t="n">
        <f aca="false">G129/F129-1</f>
        <v>0.0594526733157439</v>
      </c>
      <c r="H130" s="12" t="s">
        <v>480</v>
      </c>
    </row>
    <row r="131" customFormat="false" ht="15" hidden="false" customHeight="false" outlineLevel="0" collapsed="false">
      <c r="A131" s="21" t="s">
        <v>481</v>
      </c>
      <c r="B131" s="12" t="s">
        <v>154</v>
      </c>
      <c r="D131" s="17" t="n">
        <f aca="false">D127/C127-1</f>
        <v>0.335853573674957</v>
      </c>
      <c r="E131" s="17" t="n">
        <f aca="false">E127/D127-1</f>
        <v>0.234625453501252</v>
      </c>
      <c r="F131" s="17" t="n">
        <f aca="false">F127/E127-1</f>
        <v>0.123618864117204</v>
      </c>
      <c r="G131" s="17" t="n">
        <f aca="false">G127/F127-1</f>
        <v>0.0566640695434264</v>
      </c>
    </row>
    <row r="132" customFormat="false" ht="15" hidden="false" customHeight="false" outlineLevel="0" collapsed="false">
      <c r="A132" s="9" t="s">
        <v>482</v>
      </c>
      <c r="B132" s="12" t="s">
        <v>93</v>
      </c>
      <c r="C132" s="16" t="n">
        <f aca="false">C120+C122+C125</f>
        <v>65.4650149260473</v>
      </c>
      <c r="D132" s="16" t="n">
        <f aca="false">D120+D122+D125</f>
        <v>93.0407901320055</v>
      </c>
      <c r="E132" s="16" t="n">
        <f aca="false">E120+E122+E125</f>
        <v>117.830555555179</v>
      </c>
      <c r="F132" s="16" t="n">
        <f aca="false">F120+F122+F125</f>
        <v>133.877045097969</v>
      </c>
      <c r="G132" s="16" t="n">
        <f aca="false">G120+G122+G125</f>
        <v>140.684729972807</v>
      </c>
    </row>
    <row r="133" customFormat="false" ht="15" hidden="false" customHeight="false" outlineLevel="0" collapsed="false">
      <c r="A133" s="20" t="s">
        <v>483</v>
      </c>
      <c r="B133" s="12" t="s">
        <v>154</v>
      </c>
      <c r="C133" s="17" t="n">
        <f aca="false">C132/C129</f>
        <v>0.48604444331972</v>
      </c>
      <c r="D133" s="17" t="n">
        <f aca="false">D132/D129</f>
        <v>0.522240292114526</v>
      </c>
      <c r="E133" s="17" t="n">
        <f aca="false">E132/E129</f>
        <v>0.539948522269743</v>
      </c>
      <c r="F133" s="17" t="n">
        <f aca="false">F132/F129</f>
        <v>0.544152309048169</v>
      </c>
      <c r="G133" s="17" t="n">
        <f aca="false">G132/G129</f>
        <v>0.539733977070987</v>
      </c>
    </row>
    <row r="134" customFormat="false" ht="15" hidden="false" customHeight="false" outlineLevel="0" collapsed="false">
      <c r="A134" s="20" t="s">
        <v>484</v>
      </c>
      <c r="B134" s="12" t="s">
        <v>154</v>
      </c>
      <c r="D134" s="18" t="n">
        <f aca="false">IF(ABS(D129-C129)&lt;0.05,"n/a",(D132-C132)/(D129-C129))</f>
        <v>0.634397060086663</v>
      </c>
      <c r="E134" s="18" t="n">
        <f aca="false">IF(ABS(E129-C129)&lt;0.05,"n/a",(E132-C132)/(E129-C129))</f>
        <v>0.626860639170224</v>
      </c>
      <c r="F134" s="18" t="n">
        <f aca="false">IF(ABS(F129-C129)&lt;0.05,"n/a",(F132-C132)/(F129-C129))</f>
        <v>0.614446568075091</v>
      </c>
      <c r="G134" s="18" t="n">
        <f aca="false">IF(ABS(G129-C129)&lt;0.05,"n/a",(G132-C132)/(G129-C129))</f>
        <v>0.597141453816325</v>
      </c>
      <c r="H134" s="8" t="s">
        <v>485</v>
      </c>
    </row>
    <row r="135" customFormat="false" ht="15" hidden="false" customHeight="false" outlineLevel="0" collapsed="false">
      <c r="A135" s="20" t="s">
        <v>486</v>
      </c>
      <c r="B135" s="12" t="s">
        <v>154</v>
      </c>
      <c r="D135" s="18" t="n">
        <f aca="false">IF(ABS(D129-C129)&lt;0.05,"n/a",(D132-C132)/(D129-C129))</f>
        <v>0.634397060086663</v>
      </c>
      <c r="E135" s="18" t="n">
        <f aca="false">IF(ABS(E129-D129)&lt;0.05,"n/a",(E132-D132)/(E129-D129))</f>
        <v>0.61868486681369</v>
      </c>
      <c r="F135" s="18" t="n">
        <f aca="false">IF(ABS(F129-E129)&lt;0.05,"n/a",(F132-E132)/(F129-E129))</f>
        <v>0.577147692073321</v>
      </c>
      <c r="G135" s="18" t="n">
        <f aca="false">IF(ABS(G129-F129)&lt;0.05,"n/a",(G132-F132)/(G129-F129))</f>
        <v>0.465417184725631</v>
      </c>
      <c r="H135" s="8" t="s">
        <v>487</v>
      </c>
    </row>
    <row r="136" customFormat="false" ht="15" hidden="false" customHeight="false" outlineLevel="0" collapsed="false">
      <c r="A136" s="21" t="s">
        <v>488</v>
      </c>
      <c r="B136" s="8" t="s">
        <v>489</v>
      </c>
      <c r="C136" s="19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8" t="s">
        <v>490</v>
      </c>
    </row>
    <row r="138" customFormat="false" ht="15" hidden="false" customHeight="false" outlineLevel="0" collapsed="false">
      <c r="A138" s="9" t="s">
        <v>491</v>
      </c>
    </row>
    <row r="139" customFormat="false" ht="15" hidden="false" customHeight="false" outlineLevel="0" collapsed="false">
      <c r="A139" s="21" t="s">
        <v>470</v>
      </c>
      <c r="B139" s="12" t="s">
        <v>93</v>
      </c>
      <c r="C139" s="16" t="n">
        <f aca="false">C120</f>
        <v>36.0323364171573</v>
      </c>
      <c r="D139" s="16" t="n">
        <f aca="false">D120</f>
        <v>50.3248433305299</v>
      </c>
      <c r="E139" s="16" t="n">
        <f aca="false">E120</f>
        <v>60.7764307969723</v>
      </c>
      <c r="F139" s="16" t="n">
        <f aca="false">E139*ck_B_28</f>
        <v>60.7764307969723</v>
      </c>
      <c r="G139" s="16" t="n">
        <f aca="false">F139*ck_B_29</f>
        <v>57.7376092571236</v>
      </c>
    </row>
    <row r="140" customFormat="false" ht="15" hidden="false" customHeight="false" outlineLevel="0" collapsed="false">
      <c r="A140" s="21" t="s">
        <v>471</v>
      </c>
      <c r="B140" s="12" t="s">
        <v>93</v>
      </c>
      <c r="C140" s="16" t="n">
        <f aca="false">C121</f>
        <v>29.5690092514718</v>
      </c>
      <c r="D140" s="16" t="n">
        <f aca="false">D121</f>
        <v>31.9345299915896</v>
      </c>
      <c r="E140" s="16" t="n">
        <f aca="false">E121</f>
        <v>34.4892923909167</v>
      </c>
      <c r="F140" s="16" t="n">
        <f aca="false">E140*ck_B_28</f>
        <v>34.4892923909167</v>
      </c>
      <c r="G140" s="16" t="n">
        <f aca="false">F140*ck_B_29</f>
        <v>32.7648277713709</v>
      </c>
    </row>
    <row r="141" customFormat="false" ht="15" hidden="false" customHeight="false" outlineLevel="0" collapsed="false">
      <c r="A141" s="20" t="s">
        <v>472</v>
      </c>
      <c r="B141" s="12" t="s">
        <v>93</v>
      </c>
      <c r="C141" s="16" t="n">
        <f aca="false">C122</f>
        <v>26.3761091658243</v>
      </c>
      <c r="D141" s="16" t="n">
        <f aca="false">D122</f>
        <v>39.3659468014757</v>
      </c>
      <c r="E141" s="16" t="n">
        <f aca="false">E122</f>
        <v>53.2587328153375</v>
      </c>
      <c r="F141" s="16" t="n">
        <f aca="false">E141*ck_B_28</f>
        <v>53.2587328153375</v>
      </c>
      <c r="G141" s="16" t="n">
        <f aca="false">F141*ck_B_29</f>
        <v>50.5957961745707</v>
      </c>
    </row>
    <row r="142" customFormat="false" ht="15" hidden="false" customHeight="false" outlineLevel="0" collapsed="false">
      <c r="A142" s="20" t="s">
        <v>473</v>
      </c>
      <c r="B142" s="12" t="s">
        <v>93</v>
      </c>
      <c r="C142" s="16" t="n">
        <f aca="false">C123</f>
        <v>12.1726019800256</v>
      </c>
      <c r="D142" s="16" t="n">
        <f aca="false">D123</f>
        <v>17.5039054704765</v>
      </c>
      <c r="E142" s="16" t="n">
        <f aca="false">E123</f>
        <v>23.2480272411321</v>
      </c>
      <c r="F142" s="16" t="n">
        <f aca="false">E142*ck_B_28</f>
        <v>23.2480272411321</v>
      </c>
      <c r="G142" s="16" t="n">
        <f aca="false">F142*ck_B_29</f>
        <v>22.0856258790755</v>
      </c>
    </row>
    <row r="143" customFormat="false" ht="15" hidden="false" customHeight="false" outlineLevel="0" collapsed="false">
      <c r="A143" s="21" t="s">
        <v>474</v>
      </c>
      <c r="B143" s="12" t="s">
        <v>93</v>
      </c>
      <c r="C143" s="16" t="n">
        <f aca="false">C124</f>
        <v>12.7467750295502</v>
      </c>
      <c r="D143" s="16" t="n">
        <f aca="false">D124</f>
        <v>17.0278249760553</v>
      </c>
      <c r="E143" s="16" t="n">
        <f aca="false">E124</f>
        <v>21.0229861332022</v>
      </c>
      <c r="F143" s="16" t="n">
        <f aca="false">E143*ck_B_28</f>
        <v>21.0229861332022</v>
      </c>
      <c r="G143" s="16" t="n">
        <f aca="false">F143*ck_B_29</f>
        <v>19.9718368265421</v>
      </c>
    </row>
    <row r="144" customFormat="false" ht="15" hidden="false" customHeight="false" outlineLevel="0" collapsed="false">
      <c r="A144" s="21" t="s">
        <v>475</v>
      </c>
      <c r="B144" s="12" t="s">
        <v>93</v>
      </c>
      <c r="C144" s="16" t="n">
        <f aca="false">C125</f>
        <v>3.05656934306569</v>
      </c>
      <c r="D144" s="16" t="n">
        <f aca="false">D125</f>
        <v>3.35</v>
      </c>
      <c r="E144" s="16" t="n">
        <f aca="false">E125</f>
        <v>3.79539194286967</v>
      </c>
      <c r="F144" s="16" t="n">
        <f aca="false">E144*ck_B_28</f>
        <v>3.79539194286967</v>
      </c>
      <c r="G144" s="16" t="n">
        <f aca="false">F144*ck_B_29</f>
        <v>3.60562234572619</v>
      </c>
    </row>
    <row r="145" customFormat="false" ht="15" hidden="false" customHeight="false" outlineLevel="0" collapsed="false">
      <c r="A145" s="21" t="s">
        <v>476</v>
      </c>
      <c r="B145" s="12" t="s">
        <v>93</v>
      </c>
      <c r="C145" s="16" t="n">
        <f aca="false">C126</f>
        <v>14.7359586560428</v>
      </c>
      <c r="D145" s="16" t="n">
        <f aca="false">D126</f>
        <v>18.65</v>
      </c>
      <c r="E145" s="16" t="n">
        <f aca="false">E126</f>
        <v>21.6346744396519</v>
      </c>
      <c r="F145" s="16" t="n">
        <f aca="false">E145*ck_B_28</f>
        <v>21.6346744396519</v>
      </c>
      <c r="G145" s="16" t="n">
        <f aca="false">F145*ck_B_29</f>
        <v>20.5529407176693</v>
      </c>
    </row>
    <row r="146" customFormat="false" ht="15" hidden="false" customHeight="false" outlineLevel="0" collapsed="false">
      <c r="A146" s="21" t="s">
        <v>477</v>
      </c>
      <c r="B146" s="12" t="s">
        <v>93</v>
      </c>
      <c r="C146" s="16" t="n">
        <f aca="false">SUM(C139:C143)</f>
        <v>116.896831844029</v>
      </c>
      <c r="D146" s="16" t="n">
        <f aca="false">SUM(D139:D143)</f>
        <v>156.157050570127</v>
      </c>
      <c r="E146" s="16" t="n">
        <f aca="false">SUM(E139:E143)</f>
        <v>192.795469377561</v>
      </c>
      <c r="F146" s="16" t="n">
        <f aca="false">SUM(F139:F143)</f>
        <v>192.795469377561</v>
      </c>
      <c r="G146" s="16" t="n">
        <f aca="false">SUM(G139:G143)</f>
        <v>183.155695908683</v>
      </c>
    </row>
    <row r="147" customFormat="false" ht="15" hidden="false" customHeight="false" outlineLevel="0" collapsed="false">
      <c r="A147" s="21" t="s">
        <v>478</v>
      </c>
      <c r="B147" s="12" t="s">
        <v>93</v>
      </c>
      <c r="C147" s="16" t="n">
        <f aca="false">C144+C145</f>
        <v>17.7925279991085</v>
      </c>
      <c r="D147" s="16" t="n">
        <f aca="false">D144+D145</f>
        <v>22</v>
      </c>
      <c r="E147" s="16" t="n">
        <f aca="false">E144+E145</f>
        <v>25.4300663825215</v>
      </c>
      <c r="F147" s="16" t="n">
        <f aca="false">F144+F145</f>
        <v>25.4300663825215</v>
      </c>
      <c r="G147" s="16" t="n">
        <f aca="false">G144+G145</f>
        <v>24.1585630633955</v>
      </c>
    </row>
    <row r="148" customFormat="false" ht="15" hidden="false" customHeight="false" outlineLevel="0" collapsed="false">
      <c r="A148" s="7" t="s">
        <v>492</v>
      </c>
      <c r="B148" s="12" t="s">
        <v>93</v>
      </c>
      <c r="C148" s="16" t="n">
        <f aca="false">C146+C147</f>
        <v>134.689359843138</v>
      </c>
      <c r="D148" s="16" t="n">
        <f aca="false">D146+D147</f>
        <v>178.157050570127</v>
      </c>
      <c r="E148" s="16" t="n">
        <f aca="false">E146+E147</f>
        <v>218.225535760082</v>
      </c>
      <c r="F148" s="16" t="n">
        <f aca="false">F146+F147</f>
        <v>218.225535760082</v>
      </c>
      <c r="G148" s="16" t="n">
        <f aca="false">G146+G147</f>
        <v>207.314258972078</v>
      </c>
    </row>
    <row r="149" customFormat="false" ht="15" hidden="false" customHeight="false" outlineLevel="0" collapsed="false">
      <c r="A149" s="21" t="s">
        <v>373</v>
      </c>
      <c r="B149" s="12" t="s">
        <v>154</v>
      </c>
      <c r="D149" s="17" t="n">
        <f aca="false">D148/C148-1</f>
        <v>0.322725497972614</v>
      </c>
      <c r="E149" s="17" t="n">
        <f aca="false">E148/D148-1</f>
        <v>0.224905413856655</v>
      </c>
      <c r="F149" s="17" t="n">
        <f aca="false">F148/E148-1</f>
        <v>0</v>
      </c>
      <c r="G149" s="17" t="n">
        <f aca="false">G148/F148-1</f>
        <v>-0.05</v>
      </c>
      <c r="H149" s="12" t="s">
        <v>480</v>
      </c>
    </row>
    <row r="150" customFormat="false" ht="15" hidden="false" customHeight="false" outlineLevel="0" collapsed="false">
      <c r="A150" s="21" t="s">
        <v>481</v>
      </c>
      <c r="B150" s="12" t="s">
        <v>154</v>
      </c>
      <c r="D150" s="17" t="n">
        <f aca="false">D146/C146-1</f>
        <v>0.335853573674957</v>
      </c>
      <c r="E150" s="17" t="n">
        <f aca="false">E146/D146-1</f>
        <v>0.234625453501252</v>
      </c>
      <c r="F150" s="17" t="n">
        <f aca="false">F146/E146-1</f>
        <v>0</v>
      </c>
      <c r="G150" s="17" t="n">
        <f aca="false">G146/F146-1</f>
        <v>-0.05</v>
      </c>
    </row>
    <row r="151" customFormat="false" ht="15" hidden="false" customHeight="false" outlineLevel="0" collapsed="false">
      <c r="A151" s="9" t="s">
        <v>482</v>
      </c>
      <c r="B151" s="12" t="s">
        <v>93</v>
      </c>
      <c r="C151" s="16" t="n">
        <f aca="false">C139+C141+C144</f>
        <v>65.4650149260473</v>
      </c>
      <c r="D151" s="16" t="n">
        <f aca="false">D139+D141+D144</f>
        <v>93.0407901320055</v>
      </c>
      <c r="E151" s="16" t="n">
        <f aca="false">E139+E141+E144</f>
        <v>117.830555555179</v>
      </c>
      <c r="F151" s="16" t="n">
        <f aca="false">F139+F141+F144</f>
        <v>117.830555555179</v>
      </c>
      <c r="G151" s="16" t="n">
        <f aca="false">G139+G141+G144</f>
        <v>111.93902777742</v>
      </c>
    </row>
    <row r="152" customFormat="false" ht="15" hidden="false" customHeight="false" outlineLevel="0" collapsed="false">
      <c r="A152" s="20" t="s">
        <v>483</v>
      </c>
      <c r="B152" s="12" t="s">
        <v>154</v>
      </c>
      <c r="C152" s="17" t="n">
        <f aca="false">C151/C148</f>
        <v>0.48604444331972</v>
      </c>
      <c r="D152" s="17" t="n">
        <f aca="false">D151/D148</f>
        <v>0.522240292114526</v>
      </c>
      <c r="E152" s="17" t="n">
        <f aca="false">E151/E148</f>
        <v>0.539948522269743</v>
      </c>
      <c r="F152" s="17" t="n">
        <f aca="false">F151/F148</f>
        <v>0.539948522269743</v>
      </c>
      <c r="G152" s="17" t="n">
        <f aca="false">G151/G148</f>
        <v>0.539948522269743</v>
      </c>
    </row>
    <row r="153" customFormat="false" ht="15" hidden="false" customHeight="false" outlineLevel="0" collapsed="false">
      <c r="A153" s="20" t="s">
        <v>484</v>
      </c>
      <c r="B153" s="12" t="s">
        <v>154</v>
      </c>
      <c r="D153" s="18" t="n">
        <f aca="false">IF(ABS(D148-C148)&lt;0.05,"n/a",(D151-C151)/(D148-C148))</f>
        <v>0.634397060086663</v>
      </c>
      <c r="E153" s="18" t="n">
        <f aca="false">IF(ABS(E148-C148)&lt;0.05,"n/a",(E151-C151)/(E148-C148))</f>
        <v>0.626860639170224</v>
      </c>
      <c r="F153" s="18" t="n">
        <f aca="false">IF(ABS(F148-C148)&lt;0.05,"n/a",(F151-C151)/(F148-C148))</f>
        <v>0.626860639170224</v>
      </c>
      <c r="G153" s="18" t="n">
        <f aca="false">IF(ABS(G148-C148)&lt;0.05,"n/a",(G151-C151)/(G148-C148))</f>
        <v>0.639918449578316</v>
      </c>
      <c r="H153" s="8" t="s">
        <v>485</v>
      </c>
    </row>
    <row r="154" customFormat="false" ht="15" hidden="false" customHeight="false" outlineLevel="0" collapsed="false">
      <c r="A154" s="20" t="s">
        <v>486</v>
      </c>
      <c r="B154" s="12" t="s">
        <v>154</v>
      </c>
      <c r="D154" s="18" t="n">
        <f aca="false">IF(ABS(D148-C148)&lt;0.05,"n/a",(D151-C151)/(D148-C148))</f>
        <v>0.634397060086663</v>
      </c>
      <c r="E154" s="18" t="n">
        <f aca="false">IF(ABS(E148-D148)&lt;0.05,"n/a",(E151-D151)/(E148-D148))</f>
        <v>0.61868486681369</v>
      </c>
      <c r="F154" s="18" t="str">
        <f aca="false">IF(ABS(F148-E148)&lt;0.05,"n/a",(F151-E151)/(F148-E148))</f>
        <v>n/a</v>
      </c>
      <c r="G154" s="18" t="n">
        <f aca="false">IF(ABS(G148-F148)&lt;0.05,"n/a",(G151-F151)/(G148-F148))</f>
        <v>0.539948522269743</v>
      </c>
      <c r="H154" s="8" t="s">
        <v>487</v>
      </c>
    </row>
    <row r="155" customFormat="false" ht="15" hidden="false" customHeight="false" outlineLevel="0" collapsed="false">
      <c r="A155" s="21" t="s">
        <v>488</v>
      </c>
      <c r="B155" s="8" t="s">
        <v>489</v>
      </c>
      <c r="C155" s="19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8" t="s">
        <v>490</v>
      </c>
    </row>
    <row r="157" customFormat="false" ht="15" hidden="false" customHeight="false" outlineLevel="0" collapsed="false">
      <c r="A157" s="9" t="s">
        <v>493</v>
      </c>
    </row>
    <row r="158" customFormat="false" ht="15" hidden="false" customHeight="false" outlineLevel="0" collapsed="false">
      <c r="A158" s="21" t="s">
        <v>470</v>
      </c>
      <c r="B158" s="12" t="s">
        <v>93</v>
      </c>
      <c r="C158" s="16" t="n">
        <f aca="false">C120</f>
        <v>36.0323364171573</v>
      </c>
      <c r="D158" s="16" t="n">
        <f aca="false">D120</f>
        <v>50.3248433305299</v>
      </c>
      <c r="E158" s="16" t="n">
        <f aca="false">E120</f>
        <v>60.7764307969723</v>
      </c>
      <c r="F158" s="16" t="n">
        <f aca="false">E158*ck_C_28</f>
        <v>48.6211446375778</v>
      </c>
      <c r="G158" s="16" t="n">
        <f aca="false">F158*ck_C_29</f>
        <v>48.6211446375778</v>
      </c>
    </row>
    <row r="159" customFormat="false" ht="15" hidden="false" customHeight="false" outlineLevel="0" collapsed="false">
      <c r="A159" s="21" t="s">
        <v>471</v>
      </c>
      <c r="B159" s="12" t="s">
        <v>93</v>
      </c>
      <c r="C159" s="16" t="n">
        <f aca="false">C121</f>
        <v>29.5690092514718</v>
      </c>
      <c r="D159" s="16" t="n">
        <f aca="false">D121</f>
        <v>31.9345299915896</v>
      </c>
      <c r="E159" s="16" t="n">
        <f aca="false">E121</f>
        <v>34.4892923909167</v>
      </c>
      <c r="F159" s="16" t="n">
        <f aca="false">E159*ck_C_28</f>
        <v>27.5914339127334</v>
      </c>
      <c r="G159" s="16" t="n">
        <f aca="false">F159*ck_C_29</f>
        <v>27.5914339127334</v>
      </c>
    </row>
    <row r="160" customFormat="false" ht="15" hidden="false" customHeight="false" outlineLevel="0" collapsed="false">
      <c r="A160" s="20" t="s">
        <v>472</v>
      </c>
      <c r="B160" s="12" t="s">
        <v>93</v>
      </c>
      <c r="C160" s="16" t="n">
        <f aca="false">C122</f>
        <v>26.3761091658243</v>
      </c>
      <c r="D160" s="16" t="n">
        <f aca="false">D122</f>
        <v>39.3659468014757</v>
      </c>
      <c r="E160" s="16" t="n">
        <f aca="false">E122</f>
        <v>53.2587328153375</v>
      </c>
      <c r="F160" s="16" t="n">
        <f aca="false">E160*ck_C_28</f>
        <v>42.60698625227</v>
      </c>
      <c r="G160" s="16" t="n">
        <f aca="false">F160*ck_C_29</f>
        <v>42.60698625227</v>
      </c>
    </row>
    <row r="161" customFormat="false" ht="15" hidden="false" customHeight="false" outlineLevel="0" collapsed="false">
      <c r="A161" s="20" t="s">
        <v>473</v>
      </c>
      <c r="B161" s="12" t="s">
        <v>93</v>
      </c>
      <c r="C161" s="16" t="n">
        <f aca="false">C123</f>
        <v>12.1726019800256</v>
      </c>
      <c r="D161" s="16" t="n">
        <f aca="false">D123</f>
        <v>17.5039054704765</v>
      </c>
      <c r="E161" s="16" t="n">
        <f aca="false">E123</f>
        <v>23.2480272411321</v>
      </c>
      <c r="F161" s="16" t="n">
        <f aca="false">E161*ck_C_28</f>
        <v>18.5984217929057</v>
      </c>
      <c r="G161" s="16" t="n">
        <f aca="false">F161*ck_C_29</f>
        <v>18.5984217929057</v>
      </c>
    </row>
    <row r="162" customFormat="false" ht="15" hidden="false" customHeight="false" outlineLevel="0" collapsed="false">
      <c r="A162" s="21" t="s">
        <v>474</v>
      </c>
      <c r="B162" s="12" t="s">
        <v>93</v>
      </c>
      <c r="C162" s="16" t="n">
        <f aca="false">C124</f>
        <v>12.7467750295502</v>
      </c>
      <c r="D162" s="16" t="n">
        <f aca="false">D124</f>
        <v>17.0278249760553</v>
      </c>
      <c r="E162" s="16" t="n">
        <f aca="false">E124</f>
        <v>21.0229861332022</v>
      </c>
      <c r="F162" s="16" t="n">
        <f aca="false">E162*ck_C_28</f>
        <v>16.8183889065618</v>
      </c>
      <c r="G162" s="16" t="n">
        <f aca="false">F162*ck_C_29</f>
        <v>16.8183889065618</v>
      </c>
    </row>
    <row r="163" customFormat="false" ht="15" hidden="false" customHeight="false" outlineLevel="0" collapsed="false">
      <c r="A163" s="21" t="s">
        <v>475</v>
      </c>
      <c r="B163" s="12" t="s">
        <v>93</v>
      </c>
      <c r="C163" s="16" t="n">
        <f aca="false">C125</f>
        <v>3.05656934306569</v>
      </c>
      <c r="D163" s="16" t="n">
        <f aca="false">D125</f>
        <v>3.35</v>
      </c>
      <c r="E163" s="16" t="n">
        <f aca="false">E125</f>
        <v>3.79539194286967</v>
      </c>
      <c r="F163" s="16" t="n">
        <f aca="false">E163*ck_C_28</f>
        <v>3.03631355429574</v>
      </c>
      <c r="G163" s="16" t="n">
        <f aca="false">F163*ck_C_29</f>
        <v>3.03631355429574</v>
      </c>
    </row>
    <row r="164" customFormat="false" ht="15" hidden="false" customHeight="false" outlineLevel="0" collapsed="false">
      <c r="A164" s="21" t="s">
        <v>476</v>
      </c>
      <c r="B164" s="12" t="s">
        <v>93</v>
      </c>
      <c r="C164" s="16" t="n">
        <f aca="false">C126</f>
        <v>14.7359586560428</v>
      </c>
      <c r="D164" s="16" t="n">
        <f aca="false">D126</f>
        <v>18.65</v>
      </c>
      <c r="E164" s="16" t="n">
        <f aca="false">E126</f>
        <v>21.6346744396519</v>
      </c>
      <c r="F164" s="16" t="n">
        <f aca="false">E164*ck_C_28</f>
        <v>17.3077395517215</v>
      </c>
      <c r="G164" s="16" t="n">
        <f aca="false">F164*ck_C_29</f>
        <v>17.3077395517215</v>
      </c>
    </row>
    <row r="165" customFormat="false" ht="15" hidden="false" customHeight="false" outlineLevel="0" collapsed="false">
      <c r="A165" s="21" t="s">
        <v>477</v>
      </c>
      <c r="B165" s="12" t="s">
        <v>93</v>
      </c>
      <c r="C165" s="16" t="n">
        <f aca="false">SUM(C158:C162)</f>
        <v>116.896831844029</v>
      </c>
      <c r="D165" s="16" t="n">
        <f aca="false">SUM(D158:D162)</f>
        <v>156.157050570127</v>
      </c>
      <c r="E165" s="16" t="n">
        <f aca="false">SUM(E158:E162)</f>
        <v>192.795469377561</v>
      </c>
      <c r="F165" s="16" t="n">
        <f aca="false">SUM(F158:F162)</f>
        <v>154.236375502049</v>
      </c>
      <c r="G165" s="16" t="n">
        <f aca="false">SUM(G158:G162)</f>
        <v>154.236375502049</v>
      </c>
    </row>
    <row r="166" customFormat="false" ht="15" hidden="false" customHeight="false" outlineLevel="0" collapsed="false">
      <c r="A166" s="21" t="s">
        <v>478</v>
      </c>
      <c r="B166" s="12" t="s">
        <v>93</v>
      </c>
      <c r="C166" s="16" t="n">
        <f aca="false">C163+C164</f>
        <v>17.7925279991085</v>
      </c>
      <c r="D166" s="16" t="n">
        <f aca="false">D163+D164</f>
        <v>22</v>
      </c>
      <c r="E166" s="16" t="n">
        <f aca="false">E163+E164</f>
        <v>25.4300663825215</v>
      </c>
      <c r="F166" s="16" t="n">
        <f aca="false">F163+F164</f>
        <v>20.3440531060172</v>
      </c>
      <c r="G166" s="16" t="n">
        <f aca="false">G163+G164</f>
        <v>20.3440531060172</v>
      </c>
    </row>
    <row r="167" customFormat="false" ht="15" hidden="false" customHeight="false" outlineLevel="0" collapsed="false">
      <c r="A167" s="7" t="s">
        <v>494</v>
      </c>
      <c r="B167" s="12" t="s">
        <v>93</v>
      </c>
      <c r="C167" s="16" t="n">
        <f aca="false">C165+C166</f>
        <v>134.689359843138</v>
      </c>
      <c r="D167" s="16" t="n">
        <f aca="false">D165+D166</f>
        <v>178.157050570127</v>
      </c>
      <c r="E167" s="16" t="n">
        <f aca="false">E165+E166</f>
        <v>218.225535760082</v>
      </c>
      <c r="F167" s="16" t="n">
        <f aca="false">F165+F166</f>
        <v>174.580428608066</v>
      </c>
      <c r="G167" s="16" t="n">
        <f aca="false">G165+G166</f>
        <v>174.580428608066</v>
      </c>
    </row>
    <row r="168" customFormat="false" ht="15" hidden="false" customHeight="false" outlineLevel="0" collapsed="false">
      <c r="A168" s="21" t="s">
        <v>373</v>
      </c>
      <c r="B168" s="12" t="s">
        <v>154</v>
      </c>
      <c r="D168" s="17" t="n">
        <f aca="false">D167/C167-1</f>
        <v>0.322725497972614</v>
      </c>
      <c r="E168" s="17" t="n">
        <f aca="false">E167/D167-1</f>
        <v>0.224905413856655</v>
      </c>
      <c r="F168" s="17" t="n">
        <f aca="false">F167/E167-1</f>
        <v>-0.2</v>
      </c>
      <c r="G168" s="17" t="n">
        <f aca="false">G167/F167-1</f>
        <v>0</v>
      </c>
      <c r="H168" s="12" t="s">
        <v>480</v>
      </c>
    </row>
    <row r="169" customFormat="false" ht="15" hidden="false" customHeight="false" outlineLevel="0" collapsed="false">
      <c r="A169" s="21" t="s">
        <v>481</v>
      </c>
      <c r="B169" s="12" t="s">
        <v>154</v>
      </c>
      <c r="D169" s="17" t="n">
        <f aca="false">D165/C165-1</f>
        <v>0.335853573674957</v>
      </c>
      <c r="E169" s="17" t="n">
        <f aca="false">E165/D165-1</f>
        <v>0.234625453501252</v>
      </c>
      <c r="F169" s="17" t="n">
        <f aca="false">F165/E165-1</f>
        <v>-0.2</v>
      </c>
      <c r="G169" s="17" t="n">
        <f aca="false">G165/F165-1</f>
        <v>0</v>
      </c>
    </row>
    <row r="170" customFormat="false" ht="15" hidden="false" customHeight="false" outlineLevel="0" collapsed="false">
      <c r="A170" s="9" t="s">
        <v>482</v>
      </c>
      <c r="B170" s="12" t="s">
        <v>93</v>
      </c>
      <c r="C170" s="16" t="n">
        <f aca="false">C158+C160+C163</f>
        <v>65.4650149260473</v>
      </c>
      <c r="D170" s="16" t="n">
        <f aca="false">D158+D160+D163</f>
        <v>93.0407901320055</v>
      </c>
      <c r="E170" s="16" t="n">
        <f aca="false">E158+E160+E163</f>
        <v>117.830555555179</v>
      </c>
      <c r="F170" s="16" t="n">
        <f aca="false">F158+F160+F163</f>
        <v>94.2644444441436</v>
      </c>
      <c r="G170" s="16" t="n">
        <f aca="false">G158+G160+G163</f>
        <v>94.2644444441436</v>
      </c>
    </row>
    <row r="171" customFormat="false" ht="15" hidden="false" customHeight="false" outlineLevel="0" collapsed="false">
      <c r="A171" s="20" t="s">
        <v>483</v>
      </c>
      <c r="B171" s="12" t="s">
        <v>154</v>
      </c>
      <c r="C171" s="17" t="n">
        <f aca="false">C170/C167</f>
        <v>0.48604444331972</v>
      </c>
      <c r="D171" s="17" t="n">
        <f aca="false">D170/D167</f>
        <v>0.522240292114526</v>
      </c>
      <c r="E171" s="17" t="n">
        <f aca="false">E170/E167</f>
        <v>0.539948522269743</v>
      </c>
      <c r="F171" s="17" t="n">
        <f aca="false">F170/F167</f>
        <v>0.539948522269743</v>
      </c>
      <c r="G171" s="17" t="n">
        <f aca="false">G170/G167</f>
        <v>0.539948522269743</v>
      </c>
    </row>
    <row r="172" customFormat="false" ht="15" hidden="false" customHeight="false" outlineLevel="0" collapsed="false">
      <c r="A172" s="20" t="s">
        <v>484</v>
      </c>
      <c r="B172" s="12" t="s">
        <v>154</v>
      </c>
      <c r="D172" s="18" t="n">
        <f aca="false">IF(ABS(D167-C167)&lt;0.05,"n/a",(D170-C170)/(D167-C167))</f>
        <v>0.634397060086663</v>
      </c>
      <c r="E172" s="18" t="n">
        <f aca="false">IF(ABS(E167-C167)&lt;0.05,"n/a",(E170-C170)/(E167-C167))</f>
        <v>0.626860639170224</v>
      </c>
      <c r="F172" s="18" t="n">
        <f aca="false">IF(ABS(F167-C167)&lt;0.05,"n/a",(F170-C170)/(F167-C167))</f>
        <v>0.721951815525595</v>
      </c>
      <c r="G172" s="18" t="n">
        <f aca="false">IF(ABS(G167-C167)&lt;0.05,"n/a",(G170-C170)/(G167-C167))</f>
        <v>0.721951815525595</v>
      </c>
      <c r="H172" s="8" t="s">
        <v>485</v>
      </c>
    </row>
    <row r="173" customFormat="false" ht="15" hidden="false" customHeight="false" outlineLevel="0" collapsed="false">
      <c r="A173" s="20" t="s">
        <v>486</v>
      </c>
      <c r="B173" s="12" t="s">
        <v>154</v>
      </c>
      <c r="D173" s="18" t="n">
        <f aca="false">IF(ABS(D167-C167)&lt;0.05,"n/a",(D170-C170)/(D167-C167))</f>
        <v>0.634397060086663</v>
      </c>
      <c r="E173" s="18" t="n">
        <f aca="false">IF(ABS(E167-D167)&lt;0.05,"n/a",(E170-D170)/(E167-D167))</f>
        <v>0.61868486681369</v>
      </c>
      <c r="F173" s="18" t="n">
        <f aca="false">IF(ABS(F167-E167)&lt;0.05,"n/a",(F170-E170)/(F167-E167))</f>
        <v>0.539948522269743</v>
      </c>
      <c r="G173" s="18" t="str">
        <f aca="false">IF(ABS(G167-F167)&lt;0.05,"n/a",(G170-F170)/(G167-F167))</f>
        <v>n/a</v>
      </c>
      <c r="H173" s="8" t="s">
        <v>487</v>
      </c>
    </row>
    <row r="174" customFormat="false" ht="15" hidden="false" customHeight="false" outlineLevel="0" collapsed="false">
      <c r="A174" s="21" t="s">
        <v>488</v>
      </c>
      <c r="B174" s="8" t="s">
        <v>489</v>
      </c>
      <c r="C174" s="19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8" t="s">
        <v>490</v>
      </c>
    </row>
    <row r="176" customFormat="false" ht="15" hidden="false" customHeight="false" outlineLevel="0" collapsed="false">
      <c r="A176" s="9" t="s">
        <v>495</v>
      </c>
    </row>
    <row r="177" customFormat="false" ht="15" hidden="false" customHeight="false" outlineLevel="0" collapsed="false">
      <c r="A177" s="20" t="s">
        <v>496</v>
      </c>
      <c r="B177" s="12" t="s">
        <v>93</v>
      </c>
      <c r="D177" s="23" t="n">
        <f aca="false">D48-s_tot_26</f>
        <v>0</v>
      </c>
      <c r="F177" s="23" t="n">
        <f aca="false">F48-s_tot_28</f>
        <v>-0.116701799999959</v>
      </c>
      <c r="H177" s="12" t="s">
        <v>497</v>
      </c>
    </row>
    <row r="178" customFormat="false" ht="15" hidden="false" customHeight="false" outlineLevel="0" collapsed="false">
      <c r="A178" s="20" t="s">
        <v>498</v>
      </c>
      <c r="B178" s="12" t="s">
        <v>93</v>
      </c>
      <c r="C178" s="22" t="n">
        <f aca="false">C129-C48</f>
        <v>0</v>
      </c>
      <c r="H178" s="8" t="s">
        <v>499</v>
      </c>
    </row>
    <row r="179" customFormat="false" ht="15" hidden="false" customHeight="false" outlineLevel="0" collapsed="false">
      <c r="A179" s="21" t="s">
        <v>500</v>
      </c>
      <c r="B179" s="12" t="s">
        <v>93</v>
      </c>
      <c r="D179" s="22" t="n">
        <f aca="false">SUM(D120:D126)-D129</f>
        <v>0</v>
      </c>
      <c r="E179" s="22" t="n">
        <f aca="false">SUM(E120:E126)-E129</f>
        <v>0</v>
      </c>
      <c r="F179" s="22" t="n">
        <f aca="false">SUM(F120:F126)-F129</f>
        <v>0</v>
      </c>
      <c r="G179" s="22" t="n">
        <f aca="false">SUM(G120:G126)-G129</f>
        <v>0</v>
      </c>
    </row>
    <row r="180" customFormat="false" ht="15" hidden="false" customHeight="false" outlineLevel="0" collapsed="false">
      <c r="A180" s="20" t="s">
        <v>501</v>
      </c>
      <c r="B180" s="12" t="s">
        <v>93</v>
      </c>
      <c r="C180" s="22" t="n">
        <f aca="false">(C148-C129)+(C167-C129)</f>
        <v>0</v>
      </c>
      <c r="D180" s="22" t="n">
        <f aca="false">(D148-D129)+(D167-D129)</f>
        <v>0</v>
      </c>
      <c r="E180" s="22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0" t="s">
        <v>502</v>
      </c>
    </row>
    <row r="3" customFormat="false" ht="15" hidden="false" customHeight="false" outlineLevel="0" collapsed="false">
      <c r="A3" s="4" t="s">
        <v>57</v>
      </c>
      <c r="B3" s="4" t="s">
        <v>503</v>
      </c>
      <c r="C3" s="4" t="s">
        <v>19</v>
      </c>
      <c r="D3" s="4" t="s">
        <v>504</v>
      </c>
      <c r="E3" s="4" t="s">
        <v>505</v>
      </c>
      <c r="F3" s="4" t="s">
        <v>506</v>
      </c>
      <c r="G3" s="4" t="s">
        <v>507</v>
      </c>
      <c r="H3" s="4" t="s">
        <v>508</v>
      </c>
      <c r="I3" s="4" t="s">
        <v>509</v>
      </c>
      <c r="J3" s="4" t="s">
        <v>510</v>
      </c>
      <c r="K3" s="24" t="s">
        <v>511</v>
      </c>
      <c r="L3" s="4" t="s">
        <v>512</v>
      </c>
    </row>
    <row r="4" customFormat="false" ht="15" hidden="false" customHeight="false" outlineLevel="0" collapsed="false">
      <c r="A4" s="8" t="s">
        <v>513</v>
      </c>
      <c r="B4" s="0" t="n">
        <v>2026</v>
      </c>
      <c r="C4" s="0" t="s">
        <v>514</v>
      </c>
      <c r="D4" s="16" t="n">
        <f aca="false">s_tot_26</f>
        <v>165.9</v>
      </c>
      <c r="E4" s="16" t="n">
        <f aca="false">Mkt!D129</f>
        <v>178.157050570127</v>
      </c>
      <c r="F4" s="17" t="n">
        <f aca="false">E4/D4-1</f>
        <v>0.0738821613630314</v>
      </c>
      <c r="G4" s="16" t="n">
        <f aca="false">Mkt!D148</f>
        <v>178.157050570127</v>
      </c>
      <c r="H4" s="17" t="n">
        <f aca="false">G4/D4-1</f>
        <v>0.0738821613630314</v>
      </c>
      <c r="I4" s="16" t="n">
        <f aca="false">Mkt!D167</f>
        <v>178.157050570127</v>
      </c>
      <c r="J4" s="17" t="n">
        <f aca="false">I4/D4-1</f>
        <v>0.0738821613630314</v>
      </c>
      <c r="K4" s="0" t="str">
        <f aca="false">IF(ABS(F4)&gt;rc_thr,"超過門檻","")</f>
        <v/>
      </c>
      <c r="L4" s="12" t="s">
        <v>515</v>
      </c>
    </row>
    <row r="5" customFormat="false" ht="15" hidden="false" customHeight="false" outlineLevel="0" collapsed="false">
      <c r="A5" s="8" t="s">
        <v>516</v>
      </c>
      <c r="B5" s="0" t="n">
        <v>2026</v>
      </c>
      <c r="C5" s="0" t="s">
        <v>514</v>
      </c>
      <c r="D5" s="16" t="n">
        <f aca="false">s_wfe_26</f>
        <v>143.9</v>
      </c>
      <c r="E5" s="16" t="n">
        <f aca="false">Mkt!D127</f>
        <v>156.157050570127</v>
      </c>
      <c r="F5" s="17" t="n">
        <f aca="false">E5/D5-1</f>
        <v>0.0851775578188112</v>
      </c>
      <c r="G5" s="16" t="n">
        <f aca="false">Mkt!D146</f>
        <v>156.157050570127</v>
      </c>
      <c r="H5" s="17" t="n">
        <f aca="false">G5/D5-1</f>
        <v>0.0851775578188112</v>
      </c>
      <c r="I5" s="16" t="n">
        <f aca="false">Mkt!D165</f>
        <v>156.157050570127</v>
      </c>
      <c r="J5" s="17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8" t="s">
        <v>517</v>
      </c>
      <c r="B6" s="0" t="n">
        <v>2026</v>
      </c>
      <c r="C6" s="0" t="s">
        <v>514</v>
      </c>
      <c r="D6" s="16" t="n">
        <f aca="false">s_fd_26</f>
        <v>78</v>
      </c>
      <c r="E6" s="16" t="n">
        <f aca="false">Mkt!D120+Mkt!D121</f>
        <v>82.2593733221194</v>
      </c>
      <c r="F6" s="17" t="n">
        <f aca="false">E6/D6-1</f>
        <v>0.0546073502835822</v>
      </c>
      <c r="G6" s="16" t="n">
        <f aca="false">Mkt!D139+Mkt!D140</f>
        <v>82.2593733221194</v>
      </c>
      <c r="H6" s="17" t="n">
        <f aca="false">G6/D6-1</f>
        <v>0.0546073502835822</v>
      </c>
      <c r="I6" s="16" t="n">
        <f aca="false">Mkt!D158+Mkt!D159</f>
        <v>82.2593733221194</v>
      </c>
      <c r="J6" s="17" t="n">
        <f aca="false">I6/D6-1</f>
        <v>0.0546073502835822</v>
      </c>
      <c r="K6" s="0" t="str">
        <f aca="false">IF(ABS(F6)&gt;rc_thr,"超過門檻","")</f>
        <v/>
      </c>
      <c r="L6" s="8" t="s">
        <v>518</v>
      </c>
    </row>
    <row r="7" customFormat="false" ht="15" hidden="false" customHeight="false" outlineLevel="0" collapsed="false">
      <c r="A7" s="0" t="s">
        <v>519</v>
      </c>
      <c r="B7" s="0" t="n">
        <v>2026</v>
      </c>
      <c r="C7" s="0" t="s">
        <v>514</v>
      </c>
      <c r="D7" s="16" t="n">
        <f aca="false">s_dram_26</f>
        <v>38.8</v>
      </c>
      <c r="E7" s="16" t="n">
        <f aca="false">Mkt!D122</f>
        <v>39.3659468014757</v>
      </c>
      <c r="F7" s="17" t="n">
        <f aca="false">E7/D7-1</f>
        <v>0.014586257769992</v>
      </c>
      <c r="G7" s="16" t="n">
        <f aca="false">Mkt!D141</f>
        <v>39.3659468014757</v>
      </c>
      <c r="H7" s="17" t="n">
        <f aca="false">G7/D7-1</f>
        <v>0.014586257769992</v>
      </c>
      <c r="I7" s="16" t="n">
        <f aca="false">Mkt!D160</f>
        <v>39.3659468014757</v>
      </c>
      <c r="J7" s="17" t="n">
        <f aca="false">I7/D7-1</f>
        <v>0.014586257769992</v>
      </c>
      <c r="K7" s="0" t="str">
        <f aca="false">IF(ABS(F7)&gt;rc_thr,"超過門檻","")</f>
        <v/>
      </c>
      <c r="L7" s="8" t="s">
        <v>520</v>
      </c>
    </row>
    <row r="8" customFormat="false" ht="15" hidden="false" customHeight="false" outlineLevel="0" collapsed="false">
      <c r="A8" s="0" t="s">
        <v>473</v>
      </c>
      <c r="B8" s="0" t="n">
        <v>2026</v>
      </c>
      <c r="C8" s="0" t="s">
        <v>514</v>
      </c>
      <c r="D8" s="16" t="n">
        <f aca="false">s_nand_26</f>
        <v>13.9</v>
      </c>
      <c r="E8" s="16" t="n">
        <f aca="false">Mkt!D123</f>
        <v>17.5039054704765</v>
      </c>
      <c r="F8" s="17" t="n">
        <f aca="false">E8/D8-1</f>
        <v>0.259273774854424</v>
      </c>
      <c r="G8" s="16" t="n">
        <f aca="false">Mkt!D142</f>
        <v>17.5039054704765</v>
      </c>
      <c r="H8" s="17" t="n">
        <f aca="false">G8/D8-1</f>
        <v>0.259273774854424</v>
      </c>
      <c r="I8" s="16" t="n">
        <f aca="false">Mkt!D161</f>
        <v>17.5039054704765</v>
      </c>
      <c r="J8" s="17" t="n">
        <f aca="false">I8/D8-1</f>
        <v>0.259273774854424</v>
      </c>
      <c r="K8" s="0" t="str">
        <f aca="false">IF(ABS(F8)&gt;rc_thr,"超過門檻","")</f>
        <v>超過門檻</v>
      </c>
    </row>
    <row r="9" customFormat="false" ht="15" hidden="false" customHeight="false" outlineLevel="0" collapsed="false">
      <c r="A9" s="8" t="s">
        <v>521</v>
      </c>
      <c r="B9" s="0" t="n">
        <v>2027</v>
      </c>
      <c r="C9" s="0" t="s">
        <v>522</v>
      </c>
      <c r="D9" s="17" t="n">
        <f aca="false">g_wfe_27</f>
        <v>0.218</v>
      </c>
      <c r="E9" s="17" t="n">
        <f aca="false">Mkt!E131</f>
        <v>0.234625453501252</v>
      </c>
      <c r="F9" s="17" t="n">
        <f aca="false">E9-D9</f>
        <v>0.0166254535012517</v>
      </c>
      <c r="G9" s="17" t="n">
        <f aca="false">Mkt!E150</f>
        <v>0.234625453501252</v>
      </c>
      <c r="H9" s="17" t="n">
        <f aca="false">G9-D9</f>
        <v>0.0166254535012517</v>
      </c>
      <c r="I9" s="17" t="n">
        <f aca="false">Mkt!E169</f>
        <v>0.234625453501252</v>
      </c>
      <c r="J9" s="17" t="n">
        <f aca="false">I9-D9</f>
        <v>0.0166254535012517</v>
      </c>
      <c r="K9" s="0" t="str">
        <f aca="false">IF(ABS(F9)&gt;0.05,"超過 5 個百分點","")</f>
        <v/>
      </c>
      <c r="L9" s="8" t="s">
        <v>523</v>
      </c>
    </row>
    <row r="10" customFormat="false" ht="15" hidden="false" customHeight="false" outlineLevel="0" collapsed="false">
      <c r="A10" s="8" t="s">
        <v>516</v>
      </c>
      <c r="B10" s="0" t="n">
        <v>2027</v>
      </c>
      <c r="C10" s="0" t="s">
        <v>524</v>
      </c>
      <c r="D10" s="16" t="n">
        <f aca="false">Mkt!E44</f>
        <v>175.2702</v>
      </c>
      <c r="E10" s="16" t="n">
        <f aca="false">Mkt!E127</f>
        <v>192.795469377561</v>
      </c>
      <c r="F10" s="17" t="n">
        <f aca="false">E10/D10-1</f>
        <v>0.0999900118648855</v>
      </c>
      <c r="G10" s="16" t="n">
        <f aca="false">Mkt!E146</f>
        <v>192.795469377561</v>
      </c>
      <c r="H10" s="17" t="n">
        <f aca="false">G10/D10-1</f>
        <v>0.0999900118648855</v>
      </c>
      <c r="I10" s="16" t="n">
        <f aca="false">Mkt!E165</f>
        <v>192.795469377561</v>
      </c>
      <c r="J10" s="17" t="n">
        <f aca="false">I10/D10-1</f>
        <v>0.0999900118648855</v>
      </c>
      <c r="K10" s="0" t="str">
        <f aca="false">IF(ABS(F10)&gt;rc_thr,"超過門檻","")</f>
        <v/>
      </c>
      <c r="L10" s="12" t="s">
        <v>525</v>
      </c>
    </row>
    <row r="11" customFormat="false" ht="15" hidden="false" customHeight="false" outlineLevel="0" collapsed="false">
      <c r="A11" s="8" t="s">
        <v>516</v>
      </c>
      <c r="B11" s="0" t="n">
        <v>2028</v>
      </c>
      <c r="C11" s="0" t="s">
        <v>526</v>
      </c>
      <c r="D11" s="16" t="n">
        <f aca="false">Mkt!F44</f>
        <v>199.9832982</v>
      </c>
      <c r="E11" s="16" t="n">
        <f aca="false">Mkt!F127</f>
        <v>216.628626308958</v>
      </c>
      <c r="F11" s="17" t="n">
        <f aca="false">E11/D11-1</f>
        <v>0.0832335912987663</v>
      </c>
      <c r="G11" s="16" t="n">
        <f aca="false">Mkt!F146</f>
        <v>192.795469377561</v>
      </c>
      <c r="H11" s="17" t="n">
        <f aca="false">G11/D11-1</f>
        <v>-0.0359421456048332</v>
      </c>
      <c r="I11" s="16" t="n">
        <f aca="false">Mkt!F165</f>
        <v>154.236375502049</v>
      </c>
      <c r="J11" s="17" t="n">
        <f aca="false">I11/D11-1</f>
        <v>-0.228753716483867</v>
      </c>
      <c r="K11" s="0" t="str">
        <f aca="false">IF(ABS(F11)&gt;rc_thr,"超過門檻","")</f>
        <v/>
      </c>
      <c r="L11" s="8" t="s">
        <v>527</v>
      </c>
    </row>
    <row r="12" customFormat="false" ht="15" hidden="false" customHeight="false" outlineLevel="0" collapsed="false">
      <c r="A12" s="8" t="s">
        <v>513</v>
      </c>
      <c r="B12" s="0" t="n">
        <v>2028</v>
      </c>
      <c r="C12" s="0" t="s">
        <v>514</v>
      </c>
      <c r="D12" s="16" t="n">
        <f aca="false">s_tot_28</f>
        <v>229.5</v>
      </c>
      <c r="E12" s="16" t="n">
        <f aca="false">Mkt!F129</f>
        <v>246.028626308958</v>
      </c>
      <c r="F12" s="17" t="n">
        <f aca="false">E12/D12-1</f>
        <v>0.0720201582089681</v>
      </c>
      <c r="G12" s="16" t="n">
        <f aca="false">Mkt!F148</f>
        <v>218.225535760082</v>
      </c>
      <c r="H12" s="17" t="n">
        <f aca="false">G12/D12-1</f>
        <v>-0.0491262058384209</v>
      </c>
      <c r="I12" s="16" t="n">
        <f aca="false">Mkt!F167</f>
        <v>174.580428608066</v>
      </c>
      <c r="J12" s="17" t="n">
        <f aca="false">I12/D12-1</f>
        <v>-0.239300964670737</v>
      </c>
      <c r="K12" s="0" t="str">
        <f aca="false">IF(ABS(F12)&gt;rc_thr,"超過門檻","")</f>
        <v/>
      </c>
      <c r="L12" s="8" t="s">
        <v>528</v>
      </c>
    </row>
    <row r="13" customFormat="false" ht="15" hidden="false" customHeight="false" outlineLevel="0" collapsed="false">
      <c r="A13" s="8" t="s">
        <v>516</v>
      </c>
      <c r="B13" s="0" t="n">
        <v>2026</v>
      </c>
      <c r="C13" s="0" t="s">
        <v>529</v>
      </c>
      <c r="D13" s="16" t="n">
        <f aca="false">rc_lam26</f>
        <v>150</v>
      </c>
      <c r="E13" s="16" t="n">
        <f aca="false">Mkt!D127</f>
        <v>156.157050570127</v>
      </c>
      <c r="F13" s="17" t="n">
        <f aca="false">E13/D13-1</f>
        <v>0.0410470038008461</v>
      </c>
      <c r="G13" s="16" t="n">
        <f aca="false">Mkt!D146</f>
        <v>156.157050570127</v>
      </c>
      <c r="H13" s="17" t="n">
        <f aca="false">G13/D13-1</f>
        <v>0.0410470038008461</v>
      </c>
      <c r="I13" s="16" t="n">
        <f aca="false">Mkt!D165</f>
        <v>156.157050570127</v>
      </c>
      <c r="J13" s="17" t="n">
        <f aca="false">I13/D13-1</f>
        <v>0.0410470038008461</v>
      </c>
      <c r="K13" s="0" t="str">
        <f aca="false">IF(ABS(F13)&gt;rc_thr,"超過門檻","")</f>
        <v/>
      </c>
      <c r="L13" s="12" t="s">
        <v>530</v>
      </c>
    </row>
    <row r="14" customFormat="false" ht="15" hidden="false" customHeight="false" outlineLevel="0" collapsed="false">
      <c r="A14" s="8" t="s">
        <v>516</v>
      </c>
      <c r="B14" s="0" t="n">
        <v>2026</v>
      </c>
      <c r="C14" s="0" t="s">
        <v>531</v>
      </c>
      <c r="D14" s="16" t="n">
        <f aca="false">rc_kla26</f>
        <v>150</v>
      </c>
      <c r="E14" s="16" t="n">
        <f aca="false">Mkt!D127</f>
        <v>156.157050570127</v>
      </c>
      <c r="F14" s="17" t="n">
        <f aca="false">E14/D14-1</f>
        <v>0.0410470038008461</v>
      </c>
      <c r="G14" s="16" t="n">
        <f aca="false">Mkt!D146</f>
        <v>156.157050570127</v>
      </c>
      <c r="H14" s="17" t="n">
        <f aca="false">G14/D14-1</f>
        <v>0.0410470038008461</v>
      </c>
      <c r="I14" s="16" t="n">
        <f aca="false">Mkt!D165</f>
        <v>156.157050570127</v>
      </c>
      <c r="J14" s="17" t="n">
        <f aca="false">I14/D14-1</f>
        <v>0.0410470038008461</v>
      </c>
      <c r="K14" s="0" t="str">
        <f aca="false">IF(ABS(F14)&gt;rc_thr,"超過門檻","")</f>
        <v/>
      </c>
      <c r="L14" s="12" t="s">
        <v>532</v>
      </c>
    </row>
    <row r="15" customFormat="false" ht="15" hidden="false" customHeight="false" outlineLevel="0" collapsed="false">
      <c r="A15" s="8" t="s">
        <v>516</v>
      </c>
      <c r="B15" s="0" t="n">
        <v>2027</v>
      </c>
      <c r="C15" s="0" t="s">
        <v>533</v>
      </c>
      <c r="D15" s="16" t="n">
        <f aca="false">rc_kla27</f>
        <v>190</v>
      </c>
      <c r="E15" s="16" t="n">
        <f aca="false">Mkt!E127</f>
        <v>192.795469377561</v>
      </c>
      <c r="F15" s="17" t="n">
        <f aca="false">E15/D15-1</f>
        <v>0.0147129967240045</v>
      </c>
      <c r="G15" s="16" t="n">
        <f aca="false">Mkt!E146</f>
        <v>192.795469377561</v>
      </c>
      <c r="H15" s="17" t="n">
        <f aca="false">G15/D15-1</f>
        <v>0.0147129967240045</v>
      </c>
      <c r="I15" s="16" t="n">
        <f aca="false">Mkt!E165</f>
        <v>192.795469377561</v>
      </c>
      <c r="J15" s="17" t="n">
        <f aca="false">I15/D15-1</f>
        <v>0.0147129967240045</v>
      </c>
      <c r="K15" s="0" t="str">
        <f aca="false">IF(ABS(F15)&gt;rc_thr,"超過門檻","")</f>
        <v/>
      </c>
    </row>
    <row r="16" customFormat="false" ht="15" hidden="false" customHeight="false" outlineLevel="0" collapsed="false">
      <c r="A16" s="8" t="s">
        <v>516</v>
      </c>
      <c r="B16" s="0" t="n">
        <v>2027</v>
      </c>
      <c r="C16" s="0" t="s">
        <v>534</v>
      </c>
      <c r="D16" s="16" t="n">
        <f aca="false">rc_lam27</f>
        <v>200</v>
      </c>
      <c r="E16" s="16" t="n">
        <f aca="false">Mkt!E127</f>
        <v>192.795469377561</v>
      </c>
      <c r="F16" s="17" t="n">
        <f aca="false">E16/D16-1</f>
        <v>-0.0360226531121957</v>
      </c>
      <c r="G16" s="16" t="n">
        <f aca="false">Mkt!E146</f>
        <v>192.795469377561</v>
      </c>
      <c r="H16" s="17" t="n">
        <f aca="false">G16/D16-1</f>
        <v>-0.0360226531121957</v>
      </c>
      <c r="I16" s="16" t="n">
        <f aca="false">Mkt!E165</f>
        <v>192.795469377561</v>
      </c>
      <c r="J16" s="17" t="n">
        <f aca="false">I16/D16-1</f>
        <v>-0.0360226531121957</v>
      </c>
      <c r="K16" s="0" t="str">
        <f aca="false">IF(ABS(F16)&gt;rc_thr,"超過門檻","")</f>
        <v/>
      </c>
      <c r="L16" s="8" t="s">
        <v>535</v>
      </c>
    </row>
    <row r="17" customFormat="false" ht="15" hidden="false" customHeight="false" outlineLevel="0" collapsed="false">
      <c r="A17" s="8" t="s">
        <v>516</v>
      </c>
      <c r="B17" s="0" t="n">
        <v>2027</v>
      </c>
      <c r="C17" s="0" t="s">
        <v>536</v>
      </c>
      <c r="D17" s="16" t="n">
        <f aca="false">rc_ms27</f>
        <v>202</v>
      </c>
      <c r="E17" s="16" t="n">
        <f aca="false">Mkt!E127</f>
        <v>192.795469377561</v>
      </c>
      <c r="F17" s="17" t="n">
        <f aca="false">E17/D17-1</f>
        <v>-0.0455669832794017</v>
      </c>
      <c r="G17" s="16" t="n">
        <f aca="false">Mkt!E146</f>
        <v>192.795469377561</v>
      </c>
      <c r="H17" s="17" t="n">
        <f aca="false">G17/D17-1</f>
        <v>-0.0455669832794017</v>
      </c>
      <c r="I17" s="16" t="n">
        <f aca="false">Mkt!E165</f>
        <v>192.795469377561</v>
      </c>
      <c r="J17" s="17" t="n">
        <f aca="false">I17/D17-1</f>
        <v>-0.0455669832794017</v>
      </c>
      <c r="K17" s="0" t="str">
        <f aca="false">IF(ABS(F17)&gt;rc_thr,"超過門檻","")</f>
        <v/>
      </c>
      <c r="L17" s="12" t="s">
        <v>537</v>
      </c>
    </row>
    <row r="18" customFormat="false" ht="15" hidden="false" customHeight="false" outlineLevel="0" collapsed="false">
      <c r="A18" s="8" t="s">
        <v>516</v>
      </c>
      <c r="B18" s="0" t="n">
        <v>2028</v>
      </c>
      <c r="C18" s="0" t="s">
        <v>536</v>
      </c>
      <c r="D18" s="16" t="n">
        <f aca="false">rc_ms28</f>
        <v>227</v>
      </c>
      <c r="E18" s="16" t="n">
        <f aca="false">Mkt!F127</f>
        <v>216.628626308958</v>
      </c>
      <c r="F18" s="17" t="n">
        <f aca="false">E18/D18-1</f>
        <v>-0.0456888708856469</v>
      </c>
      <c r="G18" s="16" t="n">
        <f aca="false">Mkt!F146</f>
        <v>192.795469377561</v>
      </c>
      <c r="H18" s="17" t="n">
        <f aca="false">G18/D18-1</f>
        <v>-0.150680751640701</v>
      </c>
      <c r="I18" s="16" t="n">
        <f aca="false">Mkt!F165</f>
        <v>154.236375502049</v>
      </c>
      <c r="J18" s="17" t="n">
        <f aca="false">I18/D18-1</f>
        <v>-0.320544601312561</v>
      </c>
      <c r="K18" s="0" t="str">
        <f aca="false">IF(ABS(F18)&gt;rc_thr,"超過門檻","")</f>
        <v/>
      </c>
      <c r="L18" s="12" t="s">
        <v>538</v>
      </c>
    </row>
    <row r="19" customFormat="false" ht="15" hidden="false" customHeight="false" outlineLevel="0" collapsed="false">
      <c r="A19" s="8" t="s">
        <v>516</v>
      </c>
      <c r="B19" s="0" t="n">
        <v>2026</v>
      </c>
      <c r="C19" s="0" t="s">
        <v>539</v>
      </c>
      <c r="D19" s="16" t="n">
        <f aca="false">rc_gs26</f>
        <v>150</v>
      </c>
      <c r="E19" s="16" t="n">
        <f aca="false">Mkt!D127</f>
        <v>156.157050570127</v>
      </c>
      <c r="F19" s="17" t="n">
        <f aca="false">E19/D19-1</f>
        <v>0.0410470038008461</v>
      </c>
      <c r="G19" s="16" t="n">
        <f aca="false">Mkt!D146</f>
        <v>156.157050570127</v>
      </c>
      <c r="H19" s="17" t="n">
        <f aca="false">G19/D19-1</f>
        <v>0.0410470038008461</v>
      </c>
      <c r="I19" s="16" t="n">
        <f aca="false">Mkt!D165</f>
        <v>156.157050570127</v>
      </c>
      <c r="J19" s="17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8" t="s">
        <v>516</v>
      </c>
      <c r="B20" s="0" t="n">
        <v>2027</v>
      </c>
      <c r="C20" s="0" t="s">
        <v>539</v>
      </c>
      <c r="D20" s="16" t="n">
        <f aca="false">rc_gs27</f>
        <v>218</v>
      </c>
      <c r="E20" s="16" t="n">
        <f aca="false">Mkt!E127</f>
        <v>192.795469377561</v>
      </c>
      <c r="F20" s="17" t="n">
        <f aca="false">E20/D20-1</f>
        <v>-0.115617112946969</v>
      </c>
      <c r="G20" s="16" t="n">
        <f aca="false">Mkt!E146</f>
        <v>192.795469377561</v>
      </c>
      <c r="H20" s="17" t="n">
        <f aca="false">G20/D20-1</f>
        <v>-0.115617112946969</v>
      </c>
      <c r="I20" s="16" t="n">
        <f aca="false">Mkt!E165</f>
        <v>192.795469377561</v>
      </c>
      <c r="J20" s="17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8" t="s">
        <v>516</v>
      </c>
      <c r="B21" s="0" t="n">
        <v>2028</v>
      </c>
      <c r="C21" s="0" t="s">
        <v>539</v>
      </c>
      <c r="D21" s="16" t="n">
        <f aca="false">rc_gs28</f>
        <v>281</v>
      </c>
      <c r="E21" s="16" t="n">
        <f aca="false">Mkt!F127</f>
        <v>216.628626308958</v>
      </c>
      <c r="F21" s="17" t="n">
        <f aca="false">E21/D21-1</f>
        <v>-0.229079621676305</v>
      </c>
      <c r="G21" s="16" t="n">
        <f aca="false">Mkt!F146</f>
        <v>192.795469377561</v>
      </c>
      <c r="H21" s="17" t="n">
        <f aca="false">G21/D21-1</f>
        <v>-0.313895126770246</v>
      </c>
      <c r="I21" s="16" t="n">
        <f aca="false">Mkt!F165</f>
        <v>154.236375502049</v>
      </c>
      <c r="J21" s="17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5" hidden="false" customHeight="false" outlineLevel="0" collapsed="false">
      <c r="A23" s="7" t="s">
        <v>540</v>
      </c>
    </row>
    <row r="24" customFormat="false" ht="15" hidden="false" customHeight="false" outlineLevel="0" collapsed="false">
      <c r="A24" s="0" t="s">
        <v>541</v>
      </c>
      <c r="D24" s="22" t="n">
        <f aca="false">Mkt!D41+Mkt!D42+Mkt!D43+Mkt!D47-Mkt!D44</f>
        <v>0</v>
      </c>
    </row>
    <row r="25" customFormat="false" ht="15" hidden="false" customHeight="false" outlineLevel="0" collapsed="false">
      <c r="A25" s="8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4" t="s">
        <v>544</v>
      </c>
      <c r="B3" s="24" t="s">
        <v>545</v>
      </c>
      <c r="C3" s="4" t="s">
        <v>546</v>
      </c>
      <c r="D3" s="24" t="s">
        <v>547</v>
      </c>
      <c r="E3" s="4" t="s">
        <v>546</v>
      </c>
      <c r="F3" s="24" t="s">
        <v>548</v>
      </c>
      <c r="G3" s="4" t="s">
        <v>546</v>
      </c>
      <c r="H3" s="4" t="s">
        <v>369</v>
      </c>
    </row>
    <row r="4" customFormat="false" ht="15" hidden="false" customHeight="false" outlineLevel="0" collapsed="false">
      <c r="A4" s="8" t="s">
        <v>549</v>
      </c>
      <c r="B4" s="16" t="n">
        <f aca="false">((cap_sk_27*1000/fx*sh_sk+cap_mu_27*sh_mu_27+cap_ss_27*1000/fx*sh_ss)+(((Mkt!$C$57-Mkt!$C$54+ind_cxmt)*sh_oth))*(1+g_oth_dram)^2+((Mkt!$C$61*sh_oth))*(1+g_oth_nand)^2)+(cap_ts_27*sh_fd+MAX(Mkt!$C$43-cap_ts_25*sh_fd,0)*(1+g_oth_fd)^2)+Mkt!E50*(((cap_sk_27*1000/fx*sh_sk+cap_mu_27*sh_mu_27+cap_ss_27*1000/fx*sh_ss)+(((Mkt!$C$57-Mkt!$C$54+ind_cxmt)*sh_oth))*(1+g_oth_dram)^2+((Mkt!$C$61*sh_oth))*(1+g_oth_nand)^2)+(cap_ts_27*sh_fd+MAX(Mkt!$C$43-cap_ts_25*sh_fd,0)*(1+g_oth_fd)^2))+Mkt!E116+Mkt!E117</f>
        <v>218.225535760082</v>
      </c>
      <c r="C4" s="17" t="n">
        <f aca="false">B4/B$4-1</f>
        <v>0</v>
      </c>
      <c r="D4" s="16" t="n">
        <f aca="false">((cap_sk_28*1000/fx*sh_sk+cap_mu_28*sh_mu_27+cap_ss_28*1000/fx*sh_ss)+(((Mkt!$C$57-Mkt!$C$54+ind_cxmt)*sh_oth))*(1+g_oth_dram)^3+((Mkt!$C$61*sh_oth))*(1+g_oth_nand)^3)+(cap_ts_28*sh_fd+MAX(Mkt!$C$43-cap_ts_25*sh_fd,0)*(1+g_oth_fd)^3)+Mkt!F50*(((cap_sk_28*1000/fx*sh_sk+cap_mu_28*sh_mu_27+cap_ss_28*1000/fx*sh_ss)+(((Mkt!$C$57-Mkt!$C$54+ind_cxmt)*sh_oth))*(1+g_oth_dram)^3+((Mkt!$C$61*sh_oth))*(1+g_oth_nand)^3)+(cap_ts_28*sh_fd+MAX(Mkt!$C$43-cap_ts_25*sh_fd,0)*(1+g_oth_fd)^3))+Mkt!F116+Mkt!F117</f>
        <v>246.028626308958</v>
      </c>
      <c r="E4" s="17" t="n">
        <f aca="false">D4/D$4-1</f>
        <v>0</v>
      </c>
      <c r="F4" s="16" t="n">
        <f aca="false">((cap_sk_29*1000/fx*sh_sk+cap_mu_29*sh_mu_27+cap_ss_29*1000/fx*sh_ss)+(((Mkt!$C$57-Mkt!$C$54+ind_cxmt)*sh_oth))*(1+g_oth_dram)^4+((Mkt!$C$61*sh_oth))*(1+g_oth_nand)^4)+(cap_ts_29*sh_fd+MAX(Mkt!$C$43-cap_ts_25*sh_fd,0)*(1+g_oth_fd)^4)+Mkt!G50*(((cap_sk_29*1000/fx*sh_sk+cap_mu_29*sh_mu_27+cap_ss_29*1000/fx*sh_ss)+(((Mkt!$C$57-Mkt!$C$54+ind_cxmt)*sh_oth))*(1+g_oth_dram)^4+((Mkt!$C$61*sh_oth))*(1+g_oth_nand)^4)+(cap_ts_29*sh_fd+MAX(Mkt!$C$43-cap_ts_25*sh_fd,0)*(1+g_oth_fd)^4))+Mkt!G116+Mkt!G117</f>
        <v>260.655685855226</v>
      </c>
      <c r="G4" s="17" t="n">
        <f aca="false">F4/F$4-1</f>
        <v>0</v>
      </c>
      <c r="H4" s="8" t="s">
        <v>550</v>
      </c>
    </row>
    <row r="5" customFormat="false" ht="15" hidden="false" customHeight="false" outlineLevel="0" collapsed="false">
      <c r="A5" s="0" t="s">
        <v>551</v>
      </c>
      <c r="B5" s="16" t="n">
        <f aca="false">((cap_sk_27*1000/fx*sh_sk_lo+cap_mu_27*sh_mu_27+cap_ss_27*1000/fx*sh_ss_lo)+(((Mkt!$C$57-Mkt!$C$54+ind_cxmt_hi)*sh_oth))*(1+g_oth_dram)^2+((Mkt!$C$61*sh_oth))*(1+g_oth_nand)^2)+(cap_ts_27*sh_fd+MAX(Mkt!$C$43-cap_ts_25*sh_fd,0)*(1+g_oth_fd)^2)+Mkt!E50*(((cap_sk_27*1000/fx*sh_sk_lo+cap_mu_27*sh_mu_27+cap_ss_27*1000/fx*sh_ss_lo)+(((Mkt!$C$57-Mkt!$C$54+ind_cxmt_hi)*sh_oth))*(1+g_oth_dram)^2+((Mkt!$C$61*sh_oth))*(1+g_oth_nand)^2)+(cap_ts_27*sh_fd+MAX(Mkt!$C$43-cap_ts_25*sh_fd,0)*(1+g_oth_fd)^2))+Mkt!E116+Mkt!E117</f>
        <v>216.519979836175</v>
      </c>
      <c r="C5" s="17" t="n">
        <f aca="false">B5/B$4-1</f>
        <v>-0.00781556529563476</v>
      </c>
      <c r="D5" s="16" t="n">
        <f aca="false">((cap_sk_28*1000/fx*sh_sk_lo+cap_mu_28*sh_mu_27+cap_ss_28*1000/fx*sh_ss_lo)+(((Mkt!$C$57-Mkt!$C$54+ind_cxmt_hi)*sh_oth))*(1+g_oth_dram)^3+((Mkt!$C$61*sh_oth))*(1+g_oth_nand)^3)+(cap_ts_28*sh_fd+MAX(Mkt!$C$43-cap_ts_25*sh_fd,0)*(1+g_oth_fd)^3)+Mkt!F50*(((cap_sk_28*1000/fx*sh_sk_lo+cap_mu_28*sh_mu_27+cap_ss_28*1000/fx*sh_ss_lo)+(((Mkt!$C$57-Mkt!$C$54+ind_cxmt_hi)*sh_oth))*(1+g_oth_dram)^3+((Mkt!$C$61*sh_oth))*(1+g_oth_nand)^3)+(cap_ts_28*sh_fd+MAX(Mkt!$C$43-cap_ts_25*sh_fd,0)*(1+g_oth_fd)^3))+Mkt!F116+Mkt!F117</f>
        <v>244.411998461742</v>
      </c>
      <c r="E5" s="17" t="n">
        <f aca="false">D5/D$4-1</f>
        <v>-0.00657089327965477</v>
      </c>
      <c r="F5" s="16" t="n">
        <f aca="false">((cap_sk_29*1000/fx*sh_sk_lo+cap_mu_29*sh_mu_27+cap_ss_29*1000/fx*sh_ss_lo)+(((Mkt!$C$57-Mkt!$C$54+ind_cxmt_hi)*sh_oth))*(1+g_oth_dram)^4+((Mkt!$C$61*sh_oth))*(1+g_oth_nand)^4)+(cap_ts_29*sh_fd+MAX(Mkt!$C$43-cap_ts_25*sh_fd,0)*(1+g_oth_fd)^4)+Mkt!G50*(((cap_sk_29*1000/fx*sh_sk_lo+cap_mu_29*sh_mu_27+cap_ss_29*1000/fx*sh_ss_lo)+(((Mkt!$C$57-Mkt!$C$54+ind_cxmt_hi)*sh_oth))*(1+g_oth_dram)^4+((Mkt!$C$61*sh_oth))*(1+g_oth_nand)^4)+(cap_ts_29*sh_fd+MAX(Mkt!$C$43-cap_ts_25*sh_fd,0)*(1+g_oth_fd)^4))+Mkt!G116+Mkt!G117</f>
        <v>259.911027390229</v>
      </c>
      <c r="G5" s="17" t="n">
        <f aca="false">F5/F$4-1</f>
        <v>-0.00285686637739746</v>
      </c>
    </row>
    <row r="6" customFormat="false" ht="15" hidden="false" customHeight="false" outlineLevel="0" collapsed="false">
      <c r="A6" s="0" t="s">
        <v>552</v>
      </c>
      <c r="B6" s="16" t="n">
        <f aca="false">((cap_sk_27*1000/fx*sh_sk_hi+cap_mu_27*sh_mu_27+cap_ss_27*1000/fx*sh_ss_hi)+(((Mkt!$C$57-Mkt!$C$54+ind_cxmt)*sh_oth))*(1+g_oth_dram)^2+((Mkt!$C$61*sh_oth))*(1+g_oth_nand)^2)+(cap_ts_27*sh_fd+MAX(Mkt!$C$43-cap_ts_25*sh_fd,0)*(1+g_oth_fd)^2)+Mkt!E50*(((cap_sk_27*1000/fx*sh_sk_hi+cap_mu_27*sh_mu_27+cap_ss_27*1000/fx*sh_ss_hi)+(((Mkt!$C$57-Mkt!$C$54+ind_cxmt)*sh_oth))*(1+g_oth_dram)^2+((Mkt!$C$61*sh_oth))*(1+g_oth_nand)^2)+(cap_ts_27*sh_fd+MAX(Mkt!$C$43-cap_ts_25*sh_fd,0)*(1+g_oth_fd)^2))+Mkt!E116+Mkt!E117</f>
        <v>230.265206243736</v>
      </c>
      <c r="C6" s="17" t="n">
        <f aca="false">B6/B$4-1</f>
        <v>0.0551707683599882</v>
      </c>
      <c r="D6" s="16" t="n">
        <f aca="false">((cap_sk_28*1000/fx*sh_sk_hi+cap_mu_28*sh_mu_27+cap_ss_28*1000/fx*sh_ss_hi)+(((Mkt!$C$57-Mkt!$C$54+ind_cxmt)*sh_oth))*(1+g_oth_dram)^3+((Mkt!$C$61*sh_oth))*(1+g_oth_nand)^3)+(cap_ts_28*sh_fd+MAX(Mkt!$C$43-cap_ts_25*sh_fd,0)*(1+g_oth_fd)^3)+Mkt!F50*(((cap_sk_28*1000/fx*sh_sk_hi+cap_mu_28*sh_mu_27+cap_ss_28*1000/fx*sh_ss_hi)+(((Mkt!$C$57-Mkt!$C$54+ind_cxmt)*sh_oth))*(1+g_oth_dram)^3+((Mkt!$C$61*sh_oth))*(1+g_oth_nand)^3)+(cap_ts_28*sh_fd+MAX(Mkt!$C$43-cap_ts_25*sh_fd,0)*(1+g_oth_fd)^3))+Mkt!F116+Mkt!F117</f>
        <v>259.535108650392</v>
      </c>
      <c r="E6" s="17" t="n">
        <f aca="false">D6/D$4-1</f>
        <v>0.054898011439011</v>
      </c>
      <c r="F6" s="16" t="n">
        <f aca="false">((cap_sk_29*1000/fx*sh_sk_hi+cap_mu_29*sh_mu_27+cap_ss_29*1000/fx*sh_ss_hi)+(((Mkt!$C$57-Mkt!$C$54+ind_cxmt)*sh_oth))*(1+g_oth_dram)^4+((Mkt!$C$61*sh_oth))*(1+g_oth_nand)^4)+(cap_ts_29*sh_fd+MAX(Mkt!$C$43-cap_ts_25*sh_fd,0)*(1+g_oth_fd)^4)+Mkt!G50*(((cap_sk_29*1000/fx*sh_sk_hi+cap_mu_29*sh_mu_27+cap_ss_29*1000/fx*sh_ss_hi)+(((Mkt!$C$57-Mkt!$C$54+ind_cxmt)*sh_oth))*(1+g_oth_dram)^4+((Mkt!$C$61*sh_oth))*(1+g_oth_nand)^4)+(cap_ts_29*sh_fd+MAX(Mkt!$C$43-cap_ts_25*sh_fd,0)*(1+g_oth_fd)^4))+Mkt!G116+Mkt!G117</f>
        <v>274.536254442268</v>
      </c>
      <c r="G6" s="17" t="n">
        <f aca="false">F6/F$4-1</f>
        <v>0.0532525064300771</v>
      </c>
    </row>
    <row r="7" customFormat="false" ht="15" hidden="false" customHeight="false" outlineLevel="0" collapsed="false">
      <c r="A7" s="8" t="s">
        <v>553</v>
      </c>
      <c r="B7" s="16" t="n">
        <f aca="false">((cap_sk_27*1000/fx*sh_oth+cap_mu_27*sh_mu_27+cap_ss_27*1000/fx*sh_oth)+(((Mkt!$C$57-Mkt!$C$54+ind_cxmt)*sh_oth))*(1+g_oth_dram)^2+((Mkt!$C$61*sh_oth))*(1+g_oth_nand)^2)+(cap_ts_27*sh_fd+MAX(Mkt!$C$43-cap_ts_25*sh_fd,0)*(1+g_oth_fd)^2)+Mkt!E50*(((cap_sk_27*1000/fx*sh_oth+cap_mu_27*sh_mu_27+cap_ss_27*1000/fx*sh_oth)+(((Mkt!$C$57-Mkt!$C$54+ind_cxmt)*sh_oth))*(1+g_oth_dram)^2+((Mkt!$C$61*sh_oth))*(1+g_oth_nand)^2)+(cap_ts_27*sh_fd+MAX(Mkt!$C$43-cap_ts_25*sh_fd,0)*(1+g_oth_fd)^2))+Mkt!E116+Mkt!E117</f>
        <v>236.065267667485</v>
      </c>
      <c r="C7" s="17" t="n">
        <f aca="false">B7/B$4-1</f>
        <v>0.0817490576676401</v>
      </c>
      <c r="D7" s="16" t="n">
        <f aca="false">((cap_sk_28*1000/fx*sh_oth+cap_mu_28*sh_mu_27+cap_ss_28*1000/fx*sh_oth)+(((Mkt!$C$57-Mkt!$C$54+ind_cxmt)*sh_oth))*(1+g_oth_dram)^3+((Mkt!$C$61*sh_oth))*(1+g_oth_nand)^3)+(cap_ts_28*sh_fd+MAX(Mkt!$C$43-cap_ts_25*sh_fd,0)*(1+g_oth_fd)^3)+Mkt!F50*(((cap_sk_28*1000/fx*sh_oth+cap_mu_28*sh_mu_27+cap_ss_28*1000/fx*sh_oth)+(((Mkt!$C$57-Mkt!$C$54+ind_cxmt)*sh_oth))*(1+g_oth_dram)^3+((Mkt!$C$61*sh_oth))*(1+g_oth_nand)^3)+(cap_ts_28*sh_fd+MAX(Mkt!$C$43-cap_ts_25*sh_fd,0)*(1+g_oth_fd)^3))+Mkt!F116+Mkt!F117</f>
        <v>266.041800615546</v>
      </c>
      <c r="E7" s="17" t="n">
        <f aca="false">D7/D$4-1</f>
        <v>0.0813449012289131</v>
      </c>
      <c r="F7" s="16" t="n">
        <f aca="false">((cap_sk_29*1000/fx*sh_oth+cap_mu_29*sh_mu_27+cap_ss_29*1000/fx*sh_oth)+(((Mkt!$C$57-Mkt!$C$54+ind_cxmt)*sh_oth))*(1+g_oth_dram)^4+((Mkt!$C$61*sh_oth))*(1+g_oth_nand)^4)+(cap_ts_29*sh_fd+MAX(Mkt!$C$43-cap_ts_25*sh_fd,0)*(1+g_oth_fd)^4)+Mkt!G50*(((cap_sk_29*1000/fx*sh_oth+cap_mu_29*sh_mu_27+cap_ss_29*1000/fx*sh_oth)+(((Mkt!$C$57-Mkt!$C$54+ind_cxmt)*sh_oth))*(1+g_oth_dram)^4+((Mkt!$C$61*sh_oth))*(1+g_oth_nand)^4)+(cap_ts_29*sh_fd+MAX(Mkt!$C$43-cap_ts_25*sh_fd,0)*(1+g_oth_fd)^4))+Mkt!G116+Mkt!G117</f>
        <v>281.223160907914</v>
      </c>
      <c r="G7" s="17" t="n">
        <f aca="false">F7/F$4-1</f>
        <v>0.0789066809926098</v>
      </c>
    </row>
    <row r="8" customFormat="false" ht="15" hidden="false" customHeight="false" outlineLevel="0" collapsed="false">
      <c r="A8" s="8" t="s">
        <v>554</v>
      </c>
      <c r="B8" s="16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sh_fd+MAX(Mkt!$C$43-cap_ts_25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sh_fd+MAX(Mkt!$C$43-cap_ts_25*sh_fd,0)*(1+g_oth_fd)^2))+Mkt!E116+Mkt!E117</f>
        <v>216.519979836175</v>
      </c>
      <c r="C8" s="17" t="n">
        <f aca="false">B8/B$4-1</f>
        <v>-0.00781556529563476</v>
      </c>
      <c r="D8" s="16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sh_fd+MAX(Mkt!$C$43-cap_ts_25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sh_fd+MAX(Mkt!$C$43-cap_ts_25*sh_fd,0)*(1+g_oth_fd)^3))+Mkt!F116+Mkt!F117</f>
        <v>244.411998461742</v>
      </c>
      <c r="E8" s="17" t="n">
        <f aca="false">D8/D$4-1</f>
        <v>-0.00657089327965477</v>
      </c>
      <c r="F8" s="16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sh_fd+MAX(Mkt!$C$43-cap_ts_25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sh_fd+MAX(Mkt!$C$43-cap_ts_25*sh_fd,0)*(1+g_oth_fd)^4))+Mkt!G116+Mkt!G117</f>
        <v>259.911027390229</v>
      </c>
      <c r="G8" s="17" t="n">
        <f aca="false">F8/F$4-1</f>
        <v>-0.00285686637739746</v>
      </c>
    </row>
    <row r="9" customFormat="false" ht="15" hidden="false" customHeight="false" outlineLevel="0" collapsed="false">
      <c r="A9" s="8" t="s">
        <v>555</v>
      </c>
      <c r="B9" s="16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sh_fd+MAX(Mkt!$C$43-cap_ts_25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sh_fd+MAX(Mkt!$C$43-cap_ts_25*sh_fd,0)*(1+g_oth_fd)^2))+Mkt!E116+Mkt!E117</f>
        <v>215.322352222053</v>
      </c>
      <c r="C9" s="17" t="n">
        <f aca="false">B9/B$4-1</f>
        <v>-0.0133035922121461</v>
      </c>
      <c r="D9" s="16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sh_fd+MAX(Mkt!$C$43-cap_ts_25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sh_fd+MAX(Mkt!$C$43-cap_ts_25*sh_fd,0)*(1+g_oth_fd)^3))+Mkt!F116+Mkt!F117</f>
        <v>242.914909874382</v>
      </c>
      <c r="E9" s="17" t="n">
        <f aca="false">D9/D$4-1</f>
        <v>-0.0126559111485927</v>
      </c>
      <c r="F9" s="16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sh_fd+MAX(Mkt!$C$43-cap_ts_25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sh_fd+MAX(Mkt!$C$43-cap_ts_25*sh_fd,0)*(1+g_oth_fd)^4))+Mkt!G116+Mkt!G117</f>
        <v>257.595618996823</v>
      </c>
      <c r="G9" s="17" t="n">
        <f aca="false">F9/F$4-1</f>
        <v>-0.0117398814775984</v>
      </c>
    </row>
    <row r="10" customFormat="false" ht="15" hidden="false" customHeight="false" outlineLevel="0" collapsed="false">
      <c r="A10" s="8" t="s">
        <v>556</v>
      </c>
      <c r="B10" s="16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sh_fd+MAX(Mkt!$C$43-cap_ts_25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sh_fd+MAX(Mkt!$C$43-cap_ts_25*sh_fd,0)*(1+g_oth_fd)^2))+Mkt!E116+Mkt!E117</f>
        <v>221.128719298112</v>
      </c>
      <c r="C10" s="17" t="n">
        <f aca="false">B10/B$4-1</f>
        <v>0.0133035922121463</v>
      </c>
      <c r="D10" s="16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sh_fd+MAX(Mkt!$C$43-cap_ts_25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sh_fd+MAX(Mkt!$C$43-cap_ts_25*sh_fd,0)*(1+g_oth_fd)^3))+Mkt!F116+Mkt!F117</f>
        <v>249.142342743535</v>
      </c>
      <c r="E10" s="17" t="n">
        <f aca="false">D10/D$4-1</f>
        <v>0.0126559111485924</v>
      </c>
      <c r="F10" s="16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sh_fd+MAX(Mkt!$C$43-cap_ts_25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sh_fd+MAX(Mkt!$C$43-cap_ts_25*sh_fd,0)*(1+g_oth_fd)^4))+Mkt!G116+Mkt!G117</f>
        <v>263.715752713628</v>
      </c>
      <c r="G10" s="17" t="n">
        <f aca="false">F10/F$4-1</f>
        <v>0.0117398814775982</v>
      </c>
    </row>
    <row r="11" customFormat="false" ht="15" hidden="false" customHeight="false" outlineLevel="0" collapsed="false">
      <c r="A11" s="8" t="s">
        <v>557</v>
      </c>
      <c r="B11" s="16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sh_fd+MAX(Mkt!$C$43-cap_ts_25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sh_fd+MAX(Mkt!$C$43-cap_ts_25*sh_fd,0)*(1+g_oth_fd)^2))+Mkt!E116+Mkt!E117</f>
        <v>218.647020998082</v>
      </c>
      <c r="C11" s="17" t="n">
        <f aca="false">B11/B$4-1</f>
        <v>0.00193142033782578</v>
      </c>
      <c r="D11" s="16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sh_fd+MAX(Mkt!$C$43-cap_ts_25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sh_fd+MAX(Mkt!$C$43-cap_ts_25*sh_fd,0)*(1+g_oth_fd)^3))+Mkt!F116+Mkt!F117</f>
        <v>246.428135210068</v>
      </c>
      <c r="E11" s="17" t="n">
        <f aca="false">D11/D$4-1</f>
        <v>0.0016238309626937</v>
      </c>
      <c r="F11" s="16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sh_fd+MAX(Mkt!$C$43-cap_ts_25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sh_fd+MAX(Mkt!$C$43-cap_ts_25*sh_fd,0)*(1+g_oth_fd)^4))+Mkt!G116+Mkt!G117</f>
        <v>260.839709460637</v>
      </c>
      <c r="G11" s="17" t="n">
        <f aca="false">F11/F$4-1</f>
        <v>0.000706002651764459</v>
      </c>
    </row>
    <row r="12" customFormat="false" ht="15" hidden="false" customHeight="false" outlineLevel="0" collapsed="false">
      <c r="A12" s="8" t="s">
        <v>558</v>
      </c>
      <c r="B12" s="16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sh_fd+MAX(Mkt!$C$43-cap_ts_25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sh_fd+MAX(Mkt!$C$43-cap_ts_25*sh_fd,0)*(1+g_oth_fd)^2))+Mkt!E116+Mkt!E117</f>
        <v>217.804050522082</v>
      </c>
      <c r="C12" s="17" t="n">
        <f aca="false">B12/B$4-1</f>
        <v>-0.0019314203378259</v>
      </c>
      <c r="D12" s="16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sh_fd+MAX(Mkt!$C$43-cap_ts_25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sh_fd+MAX(Mkt!$C$43-cap_ts_25*sh_fd,0)*(1+g_oth_fd)^3))+Mkt!F116+Mkt!F117</f>
        <v>245.629117407849</v>
      </c>
      <c r="E12" s="17" t="n">
        <f aca="false">D12/D$4-1</f>
        <v>-0.00162383096269403</v>
      </c>
      <c r="F12" s="16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sh_fd+MAX(Mkt!$C$43-cap_ts_25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sh_fd+MAX(Mkt!$C$43-cap_ts_25*sh_fd,0)*(1+g_oth_fd)^4))+Mkt!G116+Mkt!G117</f>
        <v>260.471662249815</v>
      </c>
      <c r="G12" s="17" t="n">
        <f aca="false">F12/F$4-1</f>
        <v>-0.000706002651764348</v>
      </c>
    </row>
    <row r="13" customFormat="false" ht="15" hidden="false" customHeight="false" outlineLevel="0" collapsed="false">
      <c r="A13" s="8" t="s">
        <v>559</v>
      </c>
      <c r="B13" s="16" t="n">
        <f aca="false">((cap_sk_27*1000/fx*sh_sk+cap_mu_27*sh_mu_27+cap_ss_27*1000/fx*sh_ss)+(((Mkt!$C$57-Mkt!$C$54+ind_cxmt)*sh_oth))*(1+g_oth_dram)^2+((Mkt!$C$61*sh_oth))*(1+g_oth_nand)^2)+(cap_ts_27*sh_fd_lo+MAX(Mkt!$C$43-cap_ts_25*sh_fd_lo,0)*(1+g_oth_fd)^2)+Mkt!E50*(((cap_sk_27*1000/fx*sh_sk+cap_mu_27*sh_mu_27+cap_ss_27*1000/fx*sh_ss)+(((Mkt!$C$57-Mkt!$C$54+ind_cxmt)*sh_oth))*(1+g_oth_dram)^2+((Mkt!$C$61*sh_oth))*(1+g_oth_nand)^2)+(cap_ts_27*sh_fd_lo+MAX(Mkt!$C$43-cap_ts_25*sh_fd_lo,0)*(1+g_oth_fd)^2))+Mkt!E116+Mkt!E117</f>
        <v>216.252764576647</v>
      </c>
      <c r="C13" s="17" t="n">
        <f aca="false">B13/B$4-1</f>
        <v>-0.00904005654775342</v>
      </c>
      <c r="D13" s="16" t="n">
        <f aca="false">((cap_sk_28*1000/fx*sh_sk+cap_mu_28*sh_mu_27+cap_ss_28*1000/fx*sh_ss)+(((Mkt!$C$57-Mkt!$C$54+ind_cxmt)*sh_oth))*(1+g_oth_dram)^3+((Mkt!$C$61*sh_oth))*(1+g_oth_nand)^3)+(cap_ts_28*sh_fd_lo+MAX(Mkt!$C$43-cap_ts_25*sh_fd_lo,0)*(1+g_oth_fd)^3)+Mkt!F50*(((cap_sk_28*1000/fx*sh_sk+cap_mu_28*sh_mu_27+cap_ss_28*1000/fx*sh_ss)+(((Mkt!$C$57-Mkt!$C$54+ind_cxmt)*sh_oth))*(1+g_oth_dram)^3+((Mkt!$C$61*sh_oth))*(1+g_oth_nand)^3)+(cap_ts_28*sh_fd_lo+MAX(Mkt!$C$43-cap_ts_25*sh_fd_lo,0)*(1+g_oth_fd)^3))+Mkt!F116+Mkt!F117</f>
        <v>243.437405167589</v>
      </c>
      <c r="E13" s="17" t="n">
        <f aca="false">D13/D$4-1</f>
        <v>-0.0105321936729217</v>
      </c>
      <c r="F13" s="16" t="n">
        <f aca="false">((cap_sk_29*1000/fx*sh_sk+cap_mu_29*sh_mu_27+cap_ss_29*1000/fx*sh_ss)+(((Mkt!$C$57-Mkt!$C$54+ind_cxmt)*sh_oth))*(1+g_oth_dram)^4+((Mkt!$C$61*sh_oth))*(1+g_oth_nand)^4)+(cap_ts_29*sh_fd_lo+MAX(Mkt!$C$43-cap_ts_25*sh_fd_lo,0)*(1+g_oth_fd)^4)+Mkt!G50*(((cap_sk_29*1000/fx*sh_sk+cap_mu_29*sh_mu_27+cap_ss_29*1000/fx*sh_ss)+(((Mkt!$C$57-Mkt!$C$54+ind_cxmt)*sh_oth))*(1+g_oth_dram)^4+((Mkt!$C$61*sh_oth))*(1+g_oth_nand)^4)+(cap_ts_29*sh_fd_lo+MAX(Mkt!$C$43-cap_ts_25*sh_fd_lo,0)*(1+g_oth_fd)^4))+Mkt!G116+Mkt!G117</f>
        <v>258.0053223119</v>
      </c>
      <c r="G13" s="17" t="n">
        <f aca="false">F13/F$4-1</f>
        <v>-0.0101680634152677</v>
      </c>
    </row>
    <row r="14" customFormat="false" ht="15" hidden="false" customHeight="false" outlineLevel="0" collapsed="false">
      <c r="A14" s="8" t="s">
        <v>560</v>
      </c>
      <c r="B14" s="16" t="n">
        <f aca="false">((cap_sk_27*1000/fx*sh_sk+cap_mu_27*sh_mu_27+cap_ss_27*1000/fx*sh_ss)+(((Mkt!$C$57-Mkt!$C$54+ind_cxmt)*sh_oth))*(1+g_oth_dram)^2+((Mkt!$C$61*sh_oth))*(1+g_oth_nand)^2)+(cap_ts_27*sh_fd_hi+MAX(Mkt!$C$43-cap_ts_25*sh_fd_hi,0)*(1+g_oth_fd)^2)+Mkt!E50*(((cap_sk_27*1000/fx*sh_sk+cap_mu_27*sh_mu_27+cap_ss_27*1000/fx*sh_ss)+(((Mkt!$C$57-Mkt!$C$54+ind_cxmt)*sh_oth))*(1+g_oth_dram)^2+((Mkt!$C$61*sh_oth))*(1+g_oth_nand)^2)+(cap_ts_27*sh_fd_hi+MAX(Mkt!$C$43-cap_ts_25*sh_fd_hi,0)*(1+g_oth_fd)^2))+Mkt!E116+Mkt!E117</f>
        <v>220.198306943517</v>
      </c>
      <c r="C14" s="17" t="n">
        <f aca="false">B14/B$4-1</f>
        <v>0.00904005654775353</v>
      </c>
      <c r="D14" s="16" t="n">
        <f aca="false">((cap_sk_28*1000/fx*sh_sk+cap_mu_28*sh_mu_27+cap_ss_28*1000/fx*sh_ss)+(((Mkt!$C$57-Mkt!$C$54+ind_cxmt)*sh_oth))*(1+g_oth_dram)^3+((Mkt!$C$61*sh_oth))*(1+g_oth_nand)^3)+(cap_ts_28*sh_fd_hi+MAX(Mkt!$C$43-cap_ts_25*sh_fd_hi,0)*(1+g_oth_fd)^3)+Mkt!F50*(((cap_sk_28*1000/fx*sh_sk+cap_mu_28*sh_mu_27+cap_ss_28*1000/fx*sh_ss)+(((Mkt!$C$57-Mkt!$C$54+ind_cxmt)*sh_oth))*(1+g_oth_dram)^3+((Mkt!$C$61*sh_oth))*(1+g_oth_nand)^3)+(cap_ts_28*sh_fd_hi+MAX(Mkt!$C$43-cap_ts_25*sh_fd_hi,0)*(1+g_oth_fd)^3))+Mkt!F116+Mkt!F117</f>
        <v>248.619847450327</v>
      </c>
      <c r="E14" s="17" t="n">
        <f aca="false">D14/D$4-1</f>
        <v>0.0105321936729217</v>
      </c>
      <c r="F14" s="16" t="n">
        <f aca="false">((cap_sk_29*1000/fx*sh_sk+cap_mu_29*sh_mu_27+cap_ss_29*1000/fx*sh_ss)+(((Mkt!$C$57-Mkt!$C$54+ind_cxmt)*sh_oth))*(1+g_oth_dram)^4+((Mkt!$C$61*sh_oth))*(1+g_oth_nand)^4)+(cap_ts_29*sh_fd_hi+MAX(Mkt!$C$43-cap_ts_25*sh_fd_hi,0)*(1+g_oth_fd)^4)+Mkt!G50*(((cap_sk_29*1000/fx*sh_sk+cap_mu_29*sh_mu_27+cap_ss_29*1000/fx*sh_ss)+(((Mkt!$C$57-Mkt!$C$54+ind_cxmt)*sh_oth))*(1+g_oth_dram)^4+((Mkt!$C$61*sh_oth))*(1+g_oth_nand)^4)+(cap_ts_29*sh_fd_hi+MAX(Mkt!$C$43-cap_ts_25*sh_fd_hi,0)*(1+g_oth_fd)^4))+Mkt!G116+Mkt!G117</f>
        <v>263.306049398552</v>
      </c>
      <c r="G14" s="17" t="n">
        <f aca="false">F14/F$4-1</f>
        <v>0.0101680634152677</v>
      </c>
    </row>
    <row r="15" customFormat="false" ht="15" hidden="false" customHeight="false" outlineLevel="0" collapsed="false">
      <c r="A15" s="8" t="s">
        <v>561</v>
      </c>
      <c r="B15" s="16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sh_fd+MAX(Mkt!$C$43-cap_ts_25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sh_fd+MAX(Mkt!$C$43-cap_ts_25*sh_fd,0)*(1+g_oth_fd)^2))+Mkt!E116+Mkt!E117</f>
        <v>218.225535760082</v>
      </c>
      <c r="C15" s="17" t="n">
        <f aca="false">B15/B$4-1</f>
        <v>0</v>
      </c>
      <c r="D15" s="16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sh_fd+MAX(Mkt!$C$43-cap_ts_25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sh_fd+MAX(Mkt!$C$43-cap_ts_25*sh_fd,0)*(1+g_oth_fd)^3))+Mkt!F116+Mkt!F117</f>
        <v>246.028626308958</v>
      </c>
      <c r="E15" s="17" t="n">
        <f aca="false">D15/D$4-1</f>
        <v>0</v>
      </c>
      <c r="F15" s="16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sh_fd+MAX(Mkt!$C$43-cap_ts_25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sh_fd+MAX(Mkt!$C$43-cap_ts_25*sh_fd,0)*(1+g_oth_fd)^4))+Mkt!G116+Mkt!G117</f>
        <v>260.655685855226</v>
      </c>
      <c r="G15" s="17" t="n">
        <f aca="false">F15/F$4-1</f>
        <v>0</v>
      </c>
    </row>
    <row r="16" customFormat="false" ht="15" hidden="false" customHeight="false" outlineLevel="0" collapsed="false">
      <c r="A16" s="8" t="s">
        <v>562</v>
      </c>
      <c r="B16" s="16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sh_fd+MAX(Mkt!$C$43-cap_ts_25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sh_fd+MAX(Mkt!$C$43-cap_ts_25*sh_fd,0)*(1+g_oth_fd)^2))+Mkt!E116+Mkt!E117</f>
        <v>218.225535760082</v>
      </c>
      <c r="C16" s="17" t="n">
        <f aca="false">B16/B$4-1</f>
        <v>0</v>
      </c>
      <c r="D16" s="16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sh_fd+MAX(Mkt!$C$43-cap_ts_25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sh_fd+MAX(Mkt!$C$43-cap_ts_25*sh_fd,0)*(1+g_oth_fd)^3))+Mkt!F116+Mkt!F117</f>
        <v>246.028626308958</v>
      </c>
      <c r="E16" s="17" t="n">
        <f aca="false">D16/D$4-1</f>
        <v>0</v>
      </c>
      <c r="F16" s="16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sh_fd+MAX(Mkt!$C$43-cap_ts_25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sh_fd+MAX(Mkt!$C$43-cap_ts_25*sh_fd,0)*(1+g_oth_fd)^4))+Mkt!G116+Mkt!G117</f>
        <v>260.655685855226</v>
      </c>
      <c r="G16" s="17" t="n">
        <f aca="false">F16/F$4-1</f>
        <v>0</v>
      </c>
    </row>
    <row r="17" customFormat="false" ht="15" hidden="false" customHeight="false" outlineLevel="0" collapsed="false">
      <c r="A17" s="0" t="s">
        <v>563</v>
      </c>
      <c r="B17" s="16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sh_fd+MAX(Mkt!$C$43-cap_ts_25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sh_fd+MAX(Mkt!$C$43-cap_ts_25*sh_fd,0)*(1+g_oth_fd)^2))+Mkt!E116+Mkt!E117</f>
        <v>219.747904292594</v>
      </c>
      <c r="C17" s="17" t="n">
        <f aca="false">B17/B$4-1</f>
        <v>0.00697612461900343</v>
      </c>
      <c r="D17" s="16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sh_fd+MAX(Mkt!$C$43-cap_ts_25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sh_fd+MAX(Mkt!$C$43-cap_ts_25*sh_fd,0)*(1+g_oth_fd)^3))+Mkt!F116+Mkt!F117</f>
        <v>247.736467377319</v>
      </c>
      <c r="E17" s="17" t="n">
        <f aca="false">D17/D$4-1</f>
        <v>0.00694163558925087</v>
      </c>
      <c r="F17" s="16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sh_fd+MAX(Mkt!$C$43-cap_ts_25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sh_fd+MAX(Mkt!$C$43-cap_ts_25*sh_fd,0)*(1+g_oth_fd)^4))+Mkt!G116+Mkt!G117</f>
        <v>262.410828644139</v>
      </c>
      <c r="G17" s="17" t="n">
        <f aca="false">F17/F$4-1</f>
        <v>0.00673356801388914</v>
      </c>
    </row>
    <row r="18" customFormat="false" ht="15" hidden="false" customHeight="false" outlineLevel="0" collapsed="false">
      <c r="A18" s="8" t="s">
        <v>564</v>
      </c>
      <c r="B18" s="16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sh_fd+MAX(Mkt!$C$43-cap_ts_25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sh_fd+MAX(Mkt!$C$43-cap_ts_25*sh_fd,0)*(1+g_oth_fd)^2))+Mkt!E116+Mkt!E117</f>
        <v>221.649703623252</v>
      </c>
      <c r="C18" s="17" t="n">
        <f aca="false">B18/B$4-1</f>
        <v>0.0156909586737575</v>
      </c>
      <c r="D18" s="16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sh_fd+MAX(Mkt!$C$43-cap_ts_25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sh_fd+MAX(Mkt!$C$43-cap_ts_25*sh_fd,0)*(1+g_oth_fd)^3))+Mkt!F116+Mkt!F117</f>
        <v>249.869965890536</v>
      </c>
      <c r="E18" s="17" t="n">
        <f aca="false">D18/D$4-1</f>
        <v>0.0156133846666835</v>
      </c>
      <c r="F18" s="16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sh_fd+MAX(Mkt!$C$43-cap_ts_25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sh_fd+MAX(Mkt!$C$43-cap_ts_25*sh_fd,0)*(1+g_oth_fd)^4))+Mkt!G116+Mkt!G117</f>
        <v>264.603418224048</v>
      </c>
      <c r="G18" s="17" t="n">
        <f aca="false">F18/F$4-1</f>
        <v>0.0151453913459421</v>
      </c>
      <c r="H18" s="8" t="s">
        <v>565</v>
      </c>
    </row>
    <row r="19" customFormat="false" ht="15" hidden="false" customHeight="false" outlineLevel="0" collapsed="false">
      <c r="A19" s="8" t="s">
        <v>566</v>
      </c>
      <c r="B19" s="16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sh_fd+MAX(Mkt!$C$43-cap_ts_25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sh_fd+MAX(Mkt!$C$43-cap_ts_25*sh_fd,0)*(1+g_oth_fd)^2))+Mkt!E116+Mkt!E117</f>
        <v>213.925377043637</v>
      </c>
      <c r="C19" s="17" t="n">
        <f aca="false">B19/B$4-1</f>
        <v>-0.019705112426314</v>
      </c>
      <c r="D19" s="16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sh_fd+MAX(Mkt!$C$43-cap_ts_25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sh_fd+MAX(Mkt!$C$43-cap_ts_25*sh_fd,0)*(1+g_oth_fd)^3))+Mkt!F116+Mkt!F117</f>
        <v>241.204572540387</v>
      </c>
      <c r="E19" s="17" t="n">
        <f aca="false">D19/D$4-1</f>
        <v>-0.0196076929784312</v>
      </c>
      <c r="F19" s="16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sh_fd+MAX(Mkt!$C$43-cap_ts_25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sh_fd+MAX(Mkt!$C$43-cap_ts_25*sh_fd,0)*(1+g_oth_fd)^4))+Mkt!G116+Mkt!G117</f>
        <v>255.698021267992</v>
      </c>
      <c r="G19" s="17" t="n">
        <f aca="false">F19/F$4-1</f>
        <v>-0.0190199748414001</v>
      </c>
    </row>
    <row r="20" customFormat="false" ht="15" hidden="false" customHeight="false" outlineLevel="0" collapsed="false">
      <c r="A20" s="8" t="s">
        <v>567</v>
      </c>
      <c r="B20" s="16" t="n">
        <f aca="false">((cap_sk_27*1000/fx*sh_sk+cap_mu_27*sh_mu_27+cap_ss_27*1000/fx*sh_ss)+(((Mkt!$C$57-Mkt!$C$54+ind_cxmt)*sh_oth))*(1+g_oth_dram)^2+((Mkt!$C$61*sh_oth))*(1+g_oth_nand)^2)+(cap_ts_27*sh_fd+MAX(Mkt!$C$43-cap_ts_25_lo*sh_fd,0)*(1+g_oth_fd)^2)+Mkt!E50*(((cap_sk_27*1000/fx*sh_sk+cap_mu_27*sh_mu_27+cap_ss_27*1000/fx*sh_ss)+(((Mkt!$C$57-Mkt!$C$54+ind_cxmt)*sh_oth))*(1+g_oth_dram)^2+((Mkt!$C$61*sh_oth))*(1+g_oth_nand)^2)+(cap_ts_27*sh_fd+MAX(Mkt!$C$43-cap_ts_25_lo*sh_fd,0)*(1+g_oth_fd)^2))+Mkt!E116+Mkt!E117</f>
        <v>218.97960847063</v>
      </c>
      <c r="C20" s="17" t="n">
        <f aca="false">B20/B$4-1</f>
        <v>0.00345547420892567</v>
      </c>
      <c r="D20" s="16" t="n">
        <f aca="false">((cap_sk_28*1000/fx*sh_sk+cap_mu_28*sh_mu_27+cap_ss_28*1000/fx*sh_ss)+(((Mkt!$C$57-Mkt!$C$54+ind_cxmt)*sh_oth))*(1+g_oth_dram)^3+((Mkt!$C$61*sh_oth))*(1+g_oth_nand)^3)+(cap_ts_28*sh_fd+MAX(Mkt!$C$43-cap_ts_25_lo*sh_fd,0)*(1+g_oth_fd)^3)+Mkt!F50*(((cap_sk_28*1000/fx*sh_sk+cap_mu_28*sh_mu_27+cap_ss_28*1000/fx*sh_ss)+(((Mkt!$C$57-Mkt!$C$54+ind_cxmt)*sh_oth))*(1+g_oth_dram)^3+((Mkt!$C$61*sh_oth))*(1+g_oth_nand)^3)+(cap_ts_28*sh_fd+MAX(Mkt!$C$43-cap_ts_25_lo*sh_fd,0)*(1+g_oth_fd)^3))+Mkt!F116+Mkt!F117</f>
        <v>246.84302483635</v>
      </c>
      <c r="E20" s="17" t="n">
        <f aca="false">D20/D$4-1</f>
        <v>0.00331017792364152</v>
      </c>
      <c r="F20" s="16" t="n">
        <f aca="false">((cap_sk_29*1000/fx*sh_sk+cap_mu_29*sh_mu_27+cap_ss_29*1000/fx*sh_ss)+(((Mkt!$C$57-Mkt!$C$54+ind_cxmt)*sh_oth))*(1+g_oth_dram)^4+((Mkt!$C$61*sh_oth))*(1+g_oth_nand)^4)+(cap_ts_29*sh_fd+MAX(Mkt!$C$43-cap_ts_25_lo*sh_fd,0)*(1+g_oth_fd)^4)+Mkt!G50*(((cap_sk_29*1000/fx*sh_sk+cap_mu_29*sh_mu_27+cap_ss_29*1000/fx*sh_ss)+(((Mkt!$C$57-Mkt!$C$54+ind_cxmt)*sh_oth))*(1+g_oth_dram)^4+((Mkt!$C$61*sh_oth))*(1+g_oth_nand)^4)+(cap_ts_29*sh_fd+MAX(Mkt!$C$43-cap_ts_25_lo*sh_fd,0)*(1+g_oth_fd)^4))+Mkt!G116+Mkt!G117</f>
        <v>261.535236264809</v>
      </c>
      <c r="G20" s="17" t="n">
        <f aca="false">F20/F$4-1</f>
        <v>0.00337437645642491</v>
      </c>
    </row>
    <row r="21" customFormat="false" ht="15" hidden="false" customHeight="false" outlineLevel="0" collapsed="false">
      <c r="A21" s="8" t="s">
        <v>568</v>
      </c>
      <c r="B21" s="16" t="n">
        <f aca="false">((cap_sk_27*1000/fx*sh_sk+cap_mu_27*sh_mu_27+cap_ss_27*1000/fx*sh_ss)+(((Mkt!$C$57-Mkt!$C$54+ind_cxmt)*sh_oth))*(1+g_oth_dram)^2+((Mkt!$C$61*sh_oth))*(1+g_oth_nand)^2)+(cap_ts_27*sh_fd+MAX(Mkt!$C$43-cap_ts_25_hi*sh_fd,0)*(1+g_oth_fd)^2)+Mkt!E50*(((cap_sk_27*1000/fx*sh_sk+cap_mu_27*sh_mu_27+cap_ss_27*1000/fx*sh_ss)+(((Mkt!$C$57-Mkt!$C$54+ind_cxmt)*sh_oth))*(1+g_oth_dram)^2+((Mkt!$C$61*sh_oth))*(1+g_oth_nand)^2)+(cap_ts_27*sh_fd+MAX(Mkt!$C$43-cap_ts_25_hi*sh_fd,0)*(1+g_oth_fd)^2))+Mkt!E116+Mkt!E117</f>
        <v>217.303891336079</v>
      </c>
      <c r="C21" s="17" t="n">
        <f aca="false">B21/B$4-1</f>
        <v>-0.00422335736646451</v>
      </c>
      <c r="D21" s="16" t="n">
        <f aca="false">((cap_sk_28*1000/fx*sh_sk+cap_mu_28*sh_mu_27+cap_ss_28*1000/fx*sh_ss)+(((Mkt!$C$57-Mkt!$C$54+ind_cxmt)*sh_oth))*(1+g_oth_dram)^3+((Mkt!$C$61*sh_oth))*(1+g_oth_nand)^3)+(cap_ts_28*sh_fd+MAX(Mkt!$C$43-cap_ts_25_hi*sh_fd,0)*(1+g_oth_fd)^3)+Mkt!F50*(((cap_sk_28*1000/fx*sh_sk+cap_mu_28*sh_mu_27+cap_ss_28*1000/fx*sh_ss)+(((Mkt!$C$57-Mkt!$C$54+ind_cxmt)*sh_oth))*(1+g_oth_dram)^3+((Mkt!$C$61*sh_oth))*(1+g_oth_nand)^3)+(cap_ts_28*sh_fd+MAX(Mkt!$C$43-cap_ts_25_hi*sh_fd,0)*(1+g_oth_fd)^3))+Mkt!F116+Mkt!F117</f>
        <v>245.033250331035</v>
      </c>
      <c r="E21" s="17" t="n">
        <f aca="false">D21/D$4-1</f>
        <v>-0.00404577301778419</v>
      </c>
      <c r="F21" s="16" t="n">
        <f aca="false">((cap_sk_29*1000/fx*sh_sk+cap_mu_29*sh_mu_27+cap_ss_29*1000/fx*sh_ss)+(((Mkt!$C$57-Mkt!$C$54+ind_cxmt)*sh_oth))*(1+g_oth_dram)^4+((Mkt!$C$61*sh_oth))*(1+g_oth_nand)^4)+(cap_ts_29*sh_fd+MAX(Mkt!$C$43-cap_ts_25_hi*sh_fd,0)*(1+g_oth_fd)^4)+Mkt!G50*(((cap_sk_29*1000/fx*sh_sk+cap_mu_29*sh_mu_27+cap_ss_29*1000/fx*sh_ss)+(((Mkt!$C$57-Mkt!$C$54+ind_cxmt)*sh_oth))*(1+g_oth_dram)^4+((Mkt!$C$61*sh_oth))*(1+g_oth_nand)^4)+(cap_ts_29*sh_fd+MAX(Mkt!$C$43-cap_ts_25_hi*sh_fd,0)*(1+g_oth_fd)^4))+Mkt!G116+Mkt!G117</f>
        <v>259.580679799069</v>
      </c>
      <c r="G21" s="17" t="n">
        <f aca="false">F21/F$4-1</f>
        <v>-0.00412423789118566</v>
      </c>
    </row>
    <row r="22" customFormat="false" ht="15" hidden="false" customHeight="false" outlineLevel="0" collapsed="false">
      <c r="A22" s="8" t="s">
        <v>569</v>
      </c>
      <c r="B22" s="16" t="n">
        <f aca="false">((cap_sk_27*1000/fx*sh_sk+cap_mu_27*sh_mu_27+cap_ss_27*1000/fx*sh_ss)+(((Mkt!$C$57-Mkt!$C$54+ind_cxmt)*sh_oth))*(1+g_oth_dram_lo)^2+((Mkt!$C$61*sh_oth))*(1+g_oth_nand)^2)+(cap_ts_27*sh_fd+MAX(Mkt!$C$43-cap_ts_25*sh_fd,0)*(1+g_oth_fd)^2)+Mkt!E50*(((cap_sk_27*1000/fx*sh_sk+cap_mu_27*sh_mu_27+cap_ss_27*1000/fx*sh_ss)+(((Mkt!$C$57-Mkt!$C$54+ind_cxmt)*sh_oth))*(1+g_oth_dram_lo)^2+((Mkt!$C$61*sh_oth))*(1+g_oth_nand)^2)+(cap_ts_27*sh_fd+MAX(Mkt!$C$43-cap_ts_25*sh_fd,0)*(1+g_oth_fd)^2))+Mkt!E116+Mkt!E117</f>
        <v>217.264840208644</v>
      </c>
      <c r="C22" s="17" t="n">
        <f aca="false">B22/B$4-1</f>
        <v>-0.00440230584423695</v>
      </c>
      <c r="D22" s="16" t="n">
        <f aca="false">((cap_sk_28*1000/fx*sh_sk+cap_mu_28*sh_mu_27+cap_ss_28*1000/fx*sh_ss)+(((Mkt!$C$57-Mkt!$C$54+ind_cxmt)*sh_oth))*(1+g_oth_dram_lo)^3+((Mkt!$C$61*sh_oth))*(1+g_oth_nand)^3)+(cap_ts_28*sh_fd+MAX(Mkt!$C$43-cap_ts_25*sh_fd,0)*(1+g_oth_fd)^3)+Mkt!F50*(((cap_sk_28*1000/fx*sh_sk+cap_mu_28*sh_mu_27+cap_ss_28*1000/fx*sh_ss)+(((Mkt!$C$57-Mkt!$C$54+ind_cxmt)*sh_oth))*(1+g_oth_dram_lo)^3+((Mkt!$C$61*sh_oth))*(1+g_oth_nand)^3)+(cap_ts_28*sh_fd+MAX(Mkt!$C$43-cap_ts_25*sh_fd,0)*(1+g_oth_fd)^3))+Mkt!F116+Mkt!F117</f>
        <v>244.385162743682</v>
      </c>
      <c r="E22" s="17" t="n">
        <f aca="false">D22/D$4-1</f>
        <v>-0.00667996887164102</v>
      </c>
      <c r="F22" s="16" t="n">
        <f aca="false">((cap_sk_29*1000/fx*sh_sk+cap_mu_29*sh_mu_27+cap_ss_29*1000/fx*sh_ss)+(((Mkt!$C$57-Mkt!$C$54+ind_cxmt)*sh_oth))*(1+g_oth_dram_lo)^4+((Mkt!$C$61*sh_oth))*(1+g_oth_nand)^4)+(cap_ts_29*sh_fd+MAX(Mkt!$C$43-cap_ts_25*sh_fd,0)*(1+g_oth_fd)^4)+Mkt!G50*(((cap_sk_29*1000/fx*sh_sk+cap_mu_29*sh_mu_27+cap_ss_29*1000/fx*sh_ss)+(((Mkt!$C$57-Mkt!$C$54+ind_cxmt)*sh_oth))*(1+g_oth_dram_lo)^4+((Mkt!$C$61*sh_oth))*(1+g_oth_nand)^4)+(cap_ts_29*sh_fd+MAX(Mkt!$C$43-cap_ts_25*sh_fd,0)*(1+g_oth_fd)^4))+Mkt!G116+Mkt!G117</f>
        <v>258.155571752163</v>
      </c>
      <c r="G22" s="17" t="n">
        <f aca="false">F22/F$4-1</f>
        <v>-0.00959163463041379</v>
      </c>
    </row>
    <row r="23" customFormat="false" ht="15" hidden="false" customHeight="false" outlineLevel="0" collapsed="false">
      <c r="A23" s="8" t="s">
        <v>570</v>
      </c>
      <c r="B23" s="16" t="n">
        <f aca="false">((cap_sk_27*1000/fx*sh_sk+cap_mu_27*sh_mu_27+cap_ss_27*1000/fx*sh_ss)+(((Mkt!$C$57-Mkt!$C$54+ind_cxmt)*sh_oth))*(1+g_oth_dram_hi)^2+((Mkt!$C$61*sh_oth))*(1+g_oth_nand)^2)+(cap_ts_27*sh_fd+MAX(Mkt!$C$43-cap_ts_25*sh_fd,0)*(1+g_oth_fd)^2)+Mkt!E50*(((cap_sk_27*1000/fx*sh_sk+cap_mu_27*sh_mu_27+cap_ss_27*1000/fx*sh_ss)+(((Mkt!$C$57-Mkt!$C$54+ind_cxmt)*sh_oth))*(1+g_oth_dram_hi)^2+((Mkt!$C$61*sh_oth))*(1+g_oth_nand)^2)+(cap_ts_27*sh_fd+MAX(Mkt!$C$43-cap_ts_25*sh_fd,0)*(1+g_oth_fd)^2))+Mkt!E116+Mkt!E117</f>
        <v>224.375251362382</v>
      </c>
      <c r="C23" s="17" t="n">
        <f aca="false">B23/B$4-1</f>
        <v>0.028180549910807</v>
      </c>
      <c r="D23" s="16" t="n">
        <f aca="false">((cap_sk_28*1000/fx*sh_sk+cap_mu_28*sh_mu_27+cap_ss_28*1000/fx*sh_ss)+(((Mkt!$C$57-Mkt!$C$54+ind_cxmt)*sh_oth))*(1+g_oth_dram_hi)^3+((Mkt!$C$61*sh_oth))*(1+g_oth_nand)^3)+(cap_ts_28*sh_fd+MAX(Mkt!$C$43-cap_ts_25*sh_fd,0)*(1+g_oth_fd)^3)+Mkt!F50*(((cap_sk_28*1000/fx*sh_sk+cap_mu_28*sh_mu_27+cap_ss_28*1000/fx*sh_ss)+(((Mkt!$C$57-Mkt!$C$54+ind_cxmt)*sh_oth))*(1+g_oth_dram_hi)^3+((Mkt!$C$61*sh_oth))*(1+g_oth_nand)^3)+(cap_ts_28*sh_fd+MAX(Mkt!$C$43-cap_ts_25*sh_fd,0)*(1+g_oth_fd)^3))+Mkt!F116+Mkt!F117</f>
        <v>258.948338180782</v>
      </c>
      <c r="E23" s="17" t="n">
        <f aca="false">D23/D$4-1</f>
        <v>0.0525130431594563</v>
      </c>
      <c r="F23" s="16" t="n">
        <f aca="false">((cap_sk_29*1000/fx*sh_sk+cap_mu_29*sh_mu_27+cap_ss_29*1000/fx*sh_ss)+(((Mkt!$C$57-Mkt!$C$54+ind_cxmt)*sh_oth))*(1+g_oth_dram_hi)^4+((Mkt!$C$61*sh_oth))*(1+g_oth_nand)^4)+(cap_ts_29*sh_fd+MAX(Mkt!$C$43-cap_ts_25*sh_fd,0)*(1+g_oth_fd)^4)+Mkt!G50*(((cap_sk_29*1000/fx*sh_sk+cap_mu_29*sh_mu_27+cap_ss_29*1000/fx*sh_ss)+(((Mkt!$C$57-Mkt!$C$54+ind_cxmt)*sh_oth))*(1+g_oth_dram_hi)^4+((Mkt!$C$61*sh_oth))*(1+g_oth_nand)^4)+(cap_ts_29*sh_fd+MAX(Mkt!$C$43-cap_ts_25*sh_fd,0)*(1+g_oth_fd)^4))+Mkt!G116+Mkt!G117</f>
        <v>284.961821801755</v>
      </c>
      <c r="G23" s="17" t="n">
        <f aca="false">F23/F$4-1</f>
        <v>0.0932499740674344</v>
      </c>
    </row>
    <row r="24" customFormat="false" ht="15" hidden="false" customHeight="false" outlineLevel="0" collapsed="false">
      <c r="A24" s="8" t="s">
        <v>571</v>
      </c>
      <c r="B24" s="16" t="n">
        <f aca="false">((cap_sk_27*1000/fx*sh_sk+cap_mu_27*sh_mu_27+cap_ss_27*1000/fx*sh_ss)+(((Mkt!$C$57-Mkt!$C$54+ind_cxmt)*sh_oth))*(1+g_oth_dram)^2+((Mkt!$C$61*sh_oth))*(1+g_oth_nand_lo)^2)+(cap_ts_27*sh_fd+MAX(Mkt!$C$43-cap_ts_25*sh_fd,0)*(1+g_oth_fd)^2)+Mkt!E50*(((cap_sk_27*1000/fx*sh_sk+cap_mu_27*sh_mu_27+cap_ss_27*1000/fx*sh_ss)+(((Mkt!$C$57-Mkt!$C$54+ind_cxmt)*sh_oth))*(1+g_oth_dram)^2+((Mkt!$C$61*sh_oth))*(1+g_oth_nand_lo)^2)+(cap_ts_27*sh_fd+MAX(Mkt!$C$43-cap_ts_25*sh_fd,0)*(1+g_oth_fd)^2))+Mkt!E116+Mkt!E117</f>
        <v>216.502920957619</v>
      </c>
      <c r="C24" s="17" t="n">
        <f aca="false">B24/B$4-1</f>
        <v>-0.00789373615907896</v>
      </c>
      <c r="D24" s="16" t="n">
        <f aca="false">((cap_sk_28*1000/fx*sh_sk+cap_mu_28*sh_mu_27+cap_ss_28*1000/fx*sh_ss)+(((Mkt!$C$57-Mkt!$C$54+ind_cxmt)*sh_oth))*(1+g_oth_dram)^3+((Mkt!$C$61*sh_oth))*(1+g_oth_nand_lo)^3)+(cap_ts_28*sh_fd+MAX(Mkt!$C$43-cap_ts_25*sh_fd,0)*(1+g_oth_fd)^3)+Mkt!F50*(((cap_sk_28*1000/fx*sh_sk+cap_mu_28*sh_mu_27+cap_ss_28*1000/fx*sh_ss)+(((Mkt!$C$57-Mkt!$C$54+ind_cxmt)*sh_oth))*(1+g_oth_dram)^3+((Mkt!$C$61*sh_oth))*(1+g_oth_nand_lo)^3)+(cap_ts_28*sh_fd+MAX(Mkt!$C$43-cap_ts_25*sh_fd,0)*(1+g_oth_fd)^3))+Mkt!F116+Mkt!F117</f>
        <v>243.205750565692</v>
      </c>
      <c r="E24" s="17" t="n">
        <f aca="false">D24/D$4-1</f>
        <v>-0.0114737694780354</v>
      </c>
      <c r="F24" s="16" t="n">
        <f aca="false">((cap_sk_29*1000/fx*sh_sk+cap_mu_29*sh_mu_27+cap_ss_29*1000/fx*sh_ss)+(((Mkt!$C$57-Mkt!$C$54+ind_cxmt)*sh_oth))*(1+g_oth_dram)^4+((Mkt!$C$61*sh_oth))*(1+g_oth_nand_lo)^4)+(cap_ts_29*sh_fd+MAX(Mkt!$C$43-cap_ts_25*sh_fd,0)*(1+g_oth_fd)^4)+Mkt!G50*(((cap_sk_29*1000/fx*sh_sk+cap_mu_29*sh_mu_27+cap_ss_29*1000/fx*sh_ss)+(((Mkt!$C$57-Mkt!$C$54+ind_cxmt)*sh_oth))*(1+g_oth_dram)^4+((Mkt!$C$61*sh_oth))*(1+g_oth_nand_lo)^4)+(cap_ts_29*sh_fd+MAX(Mkt!$C$43-cap_ts_25*sh_fd,0)*(1+g_oth_fd)^4))+Mkt!G116+Mkt!G117</f>
        <v>256.534502201812</v>
      </c>
      <c r="G24" s="17" t="n">
        <f aca="false">F24/F$4-1</f>
        <v>-0.0158108335135387</v>
      </c>
    </row>
    <row r="25" customFormat="false" ht="15" hidden="false" customHeight="false" outlineLevel="0" collapsed="false">
      <c r="A25" s="8" t="s">
        <v>572</v>
      </c>
      <c r="B25" s="16" t="n">
        <f aca="false">((cap_sk_27*1000/fx*sh_sk+cap_mu_27*sh_mu_27+cap_ss_27*1000/fx*sh_ss)+(((Mkt!$C$57-Mkt!$C$54+ind_cxmt)*sh_oth))*(1+g_oth_dram)^2+((Mkt!$C$61*sh_oth))*(1+g_oth_nand_hi)^2)+(cap_ts_27*sh_fd+MAX(Mkt!$C$43-cap_ts_25*sh_fd,0)*(1+g_oth_fd)^2)+Mkt!E50*(((cap_sk_27*1000/fx*sh_sk+cap_mu_27*sh_mu_27+cap_ss_27*1000/fx*sh_ss)+(((Mkt!$C$57-Mkt!$C$54+ind_cxmt)*sh_oth))*(1+g_oth_dram)^2+((Mkt!$C$61*sh_oth))*(1+g_oth_nand_hi)^2)+(cap_ts_27*sh_fd+MAX(Mkt!$C$43-cap_ts_25*sh_fd,0)*(1+g_oth_fd)^2))+Mkt!E116+Mkt!E117</f>
        <v>223.351236686068</v>
      </c>
      <c r="C25" s="17" t="n">
        <f aca="false">B25/B$4-1</f>
        <v>0.0234880895497975</v>
      </c>
      <c r="D25" s="16" t="n">
        <f aca="false">((cap_sk_28*1000/fx*sh_sk+cap_mu_28*sh_mu_27+cap_ss_28*1000/fx*sh_ss)+(((Mkt!$C$57-Mkt!$C$54+ind_cxmt)*sh_oth))*(1+g_oth_dram)^3+((Mkt!$C$61*sh_oth))*(1+g_oth_nand_hi)^3)+(cap_ts_28*sh_fd+MAX(Mkt!$C$43-cap_ts_25*sh_fd,0)*(1+g_oth_fd)^3)+Mkt!F50*(((cap_sk_28*1000/fx*sh_sk+cap_mu_28*sh_mu_27+cap_ss_28*1000/fx*sh_ss)+(((Mkt!$C$57-Mkt!$C$54+ind_cxmt)*sh_oth))*(1+g_oth_dram)^3+((Mkt!$C$61*sh_oth))*(1+g_oth_nand_hi)^3)+(cap_ts_28*sh_fd+MAX(Mkt!$C$43-cap_ts_25*sh_fd,0)*(1+g_oth_fd)^3))+Mkt!F116+Mkt!F117</f>
        <v>256.797023319075</v>
      </c>
      <c r="E25" s="17" t="n">
        <f aca="false">D25/D$4-1</f>
        <v>0.0437688783279802</v>
      </c>
      <c r="F25" s="16" t="n">
        <f aca="false">((cap_sk_29*1000/fx*sh_sk+cap_mu_29*sh_mu_27+cap_ss_29*1000/fx*sh_ss)+(((Mkt!$C$57-Mkt!$C$54+ind_cxmt)*sh_oth))*(1+g_oth_dram)^4+((Mkt!$C$61*sh_oth))*(1+g_oth_nand_hi)^4)+(cap_ts_29*sh_fd+MAX(Mkt!$C$43-cap_ts_25*sh_fd,0)*(1+g_oth_fd)^4)+Mkt!G50*(((cap_sk_29*1000/fx*sh_sk+cap_mu_29*sh_mu_27+cap_ss_29*1000/fx*sh_ss)+(((Mkt!$C$57-Mkt!$C$54+ind_cxmt)*sh_oth))*(1+g_oth_dram)^4+((Mkt!$C$61*sh_oth))*(1+g_oth_nand_hi)^4)+(cap_ts_29*sh_fd+MAX(Mkt!$C$43-cap_ts_25*sh_fd,0)*(1+g_oth_fd)^4))+Mkt!G116+Mkt!G117</f>
        <v>280.91450619509</v>
      </c>
      <c r="G25" s="17" t="n">
        <f aca="false">F25/F$4-1</f>
        <v>0.0777225337455971</v>
      </c>
    </row>
    <row r="26" customFormat="false" ht="15" hidden="false" customHeight="false" outlineLevel="0" collapsed="false">
      <c r="A26" s="8" t="s">
        <v>573</v>
      </c>
      <c r="B26" s="16" t="n">
        <f aca="false">((cap_sk_27*1000/fx*sh_sk+cap_mu_27*sh_mu_27+cap_ss_27*1000/fx*sh_ss)+(((Mkt!$C$57-Mkt!$C$54+ind_cxmt)*sh_oth))*(1+g_oth_dram)^2+((Mkt!$C$61*sh_oth))*(1+g_oth_nand)^2)+(cap_ts_27*sh_fd+MAX(Mkt!$C$43-cap_ts_25*sh_fd,0)*(1+g_oth_fd_lo)^2)+Mkt!E50*(((cap_sk_27*1000/fx*sh_sk+cap_mu_27*sh_mu_27+cap_ss_27*1000/fx*sh_ss)+(((Mkt!$C$57-Mkt!$C$54+ind_cxmt)*sh_oth))*(1+g_oth_dram)^2+((Mkt!$C$61*sh_oth))*(1+g_oth_nand)^2)+(cap_ts_27*sh_fd+MAX(Mkt!$C$43-cap_ts_25*sh_fd,0)*(1+g_oth_fd_lo)^2))+Mkt!E116+Mkt!E117</f>
        <v>210.862243111397</v>
      </c>
      <c r="C26" s="17" t="n">
        <f aca="false">B26/B$4-1</f>
        <v>-0.0337416637472762</v>
      </c>
      <c r="D26" s="16" t="n">
        <f aca="false">((cap_sk_28*1000/fx*sh_sk+cap_mu_28*sh_mu_27+cap_ss_28*1000/fx*sh_ss)+(((Mkt!$C$57-Mkt!$C$54+ind_cxmt)*sh_oth))*(1+g_oth_dram)^3+((Mkt!$C$61*sh_oth))*(1+g_oth_nand)^3)+(cap_ts_28*sh_fd+MAX(Mkt!$C$43-cap_ts_25*sh_fd,0)*(1+g_oth_fd_lo)^3)+Mkt!F50*(((cap_sk_28*1000/fx*sh_sk+cap_mu_28*sh_mu_27+cap_ss_28*1000/fx*sh_ss)+(((Mkt!$C$57-Mkt!$C$54+ind_cxmt)*sh_oth))*(1+g_oth_dram)^3+((Mkt!$C$61*sh_oth))*(1+g_oth_nand)^3)+(cap_ts_28*sh_fd+MAX(Mkt!$C$43-cap_ts_25*sh_fd,0)*(1+g_oth_fd_lo)^3))+Mkt!F116+Mkt!F117</f>
        <v>234.53622570574</v>
      </c>
      <c r="E26" s="17" t="n">
        <f aca="false">D26/D$4-1</f>
        <v>-0.0467116399243164</v>
      </c>
      <c r="F26" s="16" t="n">
        <f aca="false">((cap_sk_29*1000/fx*sh_sk+cap_mu_29*sh_mu_27+cap_ss_29*1000/fx*sh_ss)+(((Mkt!$C$57-Mkt!$C$54+ind_cxmt)*sh_oth))*(1+g_oth_dram)^4+((Mkt!$C$61*sh_oth))*(1+g_oth_nand)^4)+(cap_ts_29*sh_fd+MAX(Mkt!$C$43-cap_ts_25*sh_fd,0)*(1+g_oth_fd_lo)^4)+Mkt!G50*(((cap_sk_29*1000/fx*sh_sk+cap_mu_29*sh_mu_27+cap_ss_29*1000/fx*sh_ss)+(((Mkt!$C$57-Mkt!$C$54+ind_cxmt)*sh_oth))*(1+g_oth_dram)^4+((Mkt!$C$61*sh_oth))*(1+g_oth_nand)^4)+(cap_ts_29*sh_fd+MAX(Mkt!$C$43-cap_ts_25*sh_fd,0)*(1+g_oth_fd_lo)^4))+Mkt!G116+Mkt!G117</f>
        <v>244.703848661113</v>
      </c>
      <c r="G26" s="17" t="n">
        <f aca="false">F26/F$4-1</f>
        <v>-0.0611988844278392</v>
      </c>
    </row>
    <row r="27" customFormat="false" ht="15" hidden="false" customHeight="false" outlineLevel="0" collapsed="false">
      <c r="A27" s="8" t="s">
        <v>574</v>
      </c>
      <c r="B27" s="16" t="n">
        <f aca="false">((cap_sk_27*1000/fx*sh_sk+cap_mu_27*sh_mu_27+cap_ss_27*1000/fx*sh_ss)+(((Mkt!$C$57-Mkt!$C$54+ind_cxmt)*sh_oth))*(1+g_oth_dram)^2+((Mkt!$C$61*sh_oth))*(1+g_oth_nand)^2)+(cap_ts_27*sh_fd+MAX(Mkt!$C$43-cap_ts_25*sh_fd,0)*(1+g_oth_fd_hi)^2)+Mkt!E50*(((cap_sk_27*1000/fx*sh_sk+cap_mu_27*sh_mu_27+cap_ss_27*1000/fx*sh_ss)+(((Mkt!$C$57-Mkt!$C$54+ind_cxmt)*sh_oth))*(1+g_oth_dram)^2+((Mkt!$C$61*sh_oth))*(1+g_oth_nand)^2)+(cap_ts_27*sh_fd+MAX(Mkt!$C$43-cap_ts_25*sh_fd,0)*(1+g_oth_fd_hi)^2))+Mkt!E116+Mkt!E117</f>
        <v>230.332488095903</v>
      </c>
      <c r="C27" s="17" t="n">
        <f aca="false">B27/B$4-1</f>
        <v>0.05547908173831</v>
      </c>
      <c r="D27" s="16" t="n">
        <f aca="false">((cap_sk_28*1000/fx*sh_sk+cap_mu_28*sh_mu_27+cap_ss_28*1000/fx*sh_ss)+(((Mkt!$C$57-Mkt!$C$54+ind_cxmt)*sh_oth))*(1+g_oth_dram)^3+((Mkt!$C$61*sh_oth))*(1+g_oth_nand)^3)+(cap_ts_28*sh_fd+MAX(Mkt!$C$43-cap_ts_25*sh_fd,0)*(1+g_oth_fd_hi)^3)+Mkt!F50*(((cap_sk_28*1000/fx*sh_sk+cap_mu_28*sh_mu_27+cap_ss_28*1000/fx*sh_ss)+(((Mkt!$C$57-Mkt!$C$54+ind_cxmt)*sh_oth))*(1+g_oth_dram)^3+((Mkt!$C$61*sh_oth))*(1+g_oth_nand)^3)+(cap_ts_28*sh_fd+MAX(Mkt!$C$43-cap_ts_25*sh_fd,0)*(1+g_oth_fd_hi)^3))+Mkt!F116+Mkt!F117</f>
        <v>266.750631043741</v>
      </c>
      <c r="E27" s="17" t="n">
        <f aca="false">D27/D$4-1</f>
        <v>0.0842259904697442</v>
      </c>
      <c r="F27" s="16" t="n">
        <f aca="false">((cap_sk_29*1000/fx*sh_sk+cap_mu_29*sh_mu_27+cap_ss_29*1000/fx*sh_ss)+(((Mkt!$C$57-Mkt!$C$54+ind_cxmt)*sh_oth))*(1+g_oth_dram)^4+((Mkt!$C$61*sh_oth))*(1+g_oth_nand)^4)+(cap_ts_29*sh_fd+MAX(Mkt!$C$43-cap_ts_25*sh_fd,0)*(1+g_oth_fd_hi)^4)+Mkt!G50*(((cap_sk_29*1000/fx*sh_sk+cap_mu_29*sh_mu_27+cap_ss_29*1000/fx*sh_ss)+(((Mkt!$C$57-Mkt!$C$54+ind_cxmt)*sh_oth))*(1+g_oth_dram)^4+((Mkt!$C$61*sh_oth))*(1+g_oth_nand)^4)+(cap_ts_29*sh_fd+MAX(Mkt!$C$43-cap_ts_25*sh_fd,0)*(1+g_oth_fd_hi)^4))+Mkt!G116+Mkt!G117</f>
        <v>292.211246423307</v>
      </c>
      <c r="G27" s="17" t="n">
        <f aca="false">F27/F$4-1</f>
        <v>0.121062237581911</v>
      </c>
    </row>
    <row r="28" customFormat="false" ht="15" hidden="false" customHeight="false" outlineLevel="0" collapsed="false">
      <c r="A28" s="8" t="s">
        <v>575</v>
      </c>
      <c r="B28" s="22" t="n">
        <f aca="false">B4-Mkt!E129</f>
        <v>0</v>
      </c>
      <c r="D28" s="22" t="n">
        <f aca="false">D4-Mkt!F129</f>
        <v>0</v>
      </c>
      <c r="F28" s="22" t="n">
        <f aca="false">F4-Mkt!G129</f>
        <v>0</v>
      </c>
    </row>
    <row r="30" customFormat="false" ht="15" hidden="false" customHeight="false" outlineLevel="0" collapsed="false">
      <c r="A30" s="4" t="s">
        <v>576</v>
      </c>
      <c r="B30" s="24" t="s">
        <v>577</v>
      </c>
      <c r="C30" s="4" t="s">
        <v>578</v>
      </c>
      <c r="D30" s="24" t="s">
        <v>579</v>
      </c>
      <c r="E30" s="4" t="s">
        <v>580</v>
      </c>
      <c r="F30" s="4"/>
      <c r="G30" s="4"/>
      <c r="H30" s="4" t="s">
        <v>369</v>
      </c>
    </row>
    <row r="31" customFormat="false" ht="15" hidden="false" customHeight="false" outlineLevel="0" collapsed="false">
      <c r="A31" s="0" t="s">
        <v>581</v>
      </c>
      <c r="B31" s="16" t="n">
        <f aca="false">Mkt!E148*ck_B_28_lo</f>
        <v>207.314258972078</v>
      </c>
      <c r="C31" s="17" t="n">
        <f aca="false">B31/Mkt!E148-1</f>
        <v>-0.05</v>
      </c>
      <c r="D31" s="16" t="n">
        <f aca="false">B31*ck_B_29_lo</f>
        <v>186.58283307487</v>
      </c>
      <c r="E31" s="17" t="n">
        <f aca="false">D31/B31-1</f>
        <v>-0.1</v>
      </c>
    </row>
    <row r="32" customFormat="false" ht="15" hidden="false" customHeight="false" outlineLevel="0" collapsed="false">
      <c r="A32" s="0" t="s">
        <v>582</v>
      </c>
      <c r="B32" s="16" t="n">
        <f aca="false">Mkt!E148*ck_B_28</f>
        <v>218.225535760082</v>
      </c>
      <c r="C32" s="17" t="n">
        <f aca="false">B32/Mkt!E148-1</f>
        <v>0</v>
      </c>
      <c r="D32" s="16" t="n">
        <f aca="false">B32*ck_B_29</f>
        <v>207.314258972078</v>
      </c>
      <c r="E32" s="17" t="n">
        <f aca="false">D32/B32-1</f>
        <v>-0.05</v>
      </c>
    </row>
    <row r="33" customFormat="false" ht="15" hidden="false" customHeight="false" outlineLevel="0" collapsed="false">
      <c r="A33" s="0" t="s">
        <v>583</v>
      </c>
      <c r="B33" s="16" t="n">
        <f aca="false">Mkt!E148*ck_B_28_hi</f>
        <v>229.136812548087</v>
      </c>
      <c r="C33" s="17" t="n">
        <f aca="false">B33/Mkt!E148-1</f>
        <v>0.05</v>
      </c>
      <c r="D33" s="16" t="n">
        <f aca="false">B33*ck_B_29_hi</f>
        <v>240.593653175491</v>
      </c>
      <c r="E33" s="17" t="n">
        <f aca="false">D33/B33-1</f>
        <v>0.05</v>
      </c>
    </row>
    <row r="34" customFormat="false" ht="15" hidden="false" customHeight="false" outlineLevel="0" collapsed="false">
      <c r="A34" s="0" t="s">
        <v>584</v>
      </c>
      <c r="B34" s="16" t="n">
        <f aca="false">Mkt!E167*ck_C_28_lo</f>
        <v>163.669151820062</v>
      </c>
      <c r="C34" s="17" t="n">
        <f aca="false">B34/Mkt!E167-1</f>
        <v>-0.25</v>
      </c>
      <c r="D34" s="16" t="n">
        <f aca="false">B34*ck_C_29_lo</f>
        <v>147.302236638056</v>
      </c>
      <c r="E34" s="17" t="n">
        <f aca="false">D34/B34-1</f>
        <v>-0.1</v>
      </c>
    </row>
    <row r="35" customFormat="false" ht="15" hidden="false" customHeight="false" outlineLevel="0" collapsed="false">
      <c r="A35" s="0" t="s">
        <v>585</v>
      </c>
      <c r="B35" s="16" t="n">
        <f aca="false">Mkt!E167*ck_C_28</f>
        <v>174.580428608066</v>
      </c>
      <c r="C35" s="17" t="n">
        <f aca="false">B35/Mkt!E167-1</f>
        <v>-0.2</v>
      </c>
      <c r="D35" s="16" t="n">
        <f aca="false">B35*ck_C_29</f>
        <v>174.580428608066</v>
      </c>
      <c r="E35" s="17" t="n">
        <f aca="false">D35/B35-1</f>
        <v>0</v>
      </c>
    </row>
    <row r="36" customFormat="false" ht="15" hidden="false" customHeight="false" outlineLevel="0" collapsed="false">
      <c r="A36" s="0" t="s">
        <v>586</v>
      </c>
      <c r="B36" s="16" t="n">
        <f aca="false">Mkt!E167*ck_C_28_hi</f>
        <v>185.49170539607</v>
      </c>
      <c r="C36" s="17" t="n">
        <f aca="false">B36/Mkt!E167-1</f>
        <v>-0.15</v>
      </c>
      <c r="D36" s="16" t="n">
        <f aca="false">B36*ck_C_29_hi</f>
        <v>204.040875935677</v>
      </c>
      <c r="E36" s="17" t="n">
        <f aca="false">D36/B36-1</f>
        <v>0.1</v>
      </c>
    </row>
    <row r="37" customFormat="false" ht="15" hidden="false" customHeight="false" outlineLevel="0" collapsed="false">
      <c r="A37" s="8" t="s">
        <v>587</v>
      </c>
    </row>
    <row r="39" customFormat="false" ht="15" hidden="false" customHeight="false" outlineLevel="0" collapsed="false">
      <c r="A39" s="7" t="s">
        <v>588</v>
      </c>
    </row>
    <row r="40" customFormat="false" ht="15" hidden="false" customHeight="false" outlineLevel="0" collapsed="false">
      <c r="A40" s="4" t="s">
        <v>589</v>
      </c>
      <c r="B40" s="24" t="s">
        <v>590</v>
      </c>
      <c r="C40" s="24" t="s">
        <v>591</v>
      </c>
      <c r="D40" s="24" t="s">
        <v>592</v>
      </c>
      <c r="E40" s="24" t="s">
        <v>593</v>
      </c>
      <c r="F40" s="24" t="s">
        <v>594</v>
      </c>
      <c r="G40" s="4" t="s">
        <v>595</v>
      </c>
      <c r="H40" s="4" t="s">
        <v>369</v>
      </c>
    </row>
    <row r="41" customFormat="false" ht="15" hidden="false" customHeight="false" outlineLevel="0" collapsed="false">
      <c r="A41" s="8" t="s">
        <v>596</v>
      </c>
      <c r="B41" s="16" t="n">
        <f aca="false">((cap_sk_25*1000/fx*sh_sk+cap_mu_25*sh_mu_25+cap_ssds_25*ss_mem*1000/fx*sh_ss)+(((Mkt!$C$57-Mkt!$C$54+ind_cxmt)*sh_oth))*(1+g_oth_dram)^0+((Mkt!$C$61*sh_oth))*(1+g_oth_nand)^0)+(cap_ts_25*sh_fd+MAX(Mkt!$C$43-cap_ts_25*sh_fd,0)*(1+g_oth_fd)^0)+Mkt!C50*(((cap_sk_25*1000/fx*sh_sk+cap_mu_25*sh_mu_25+cap_ssds_25*ss_mem*1000/fx*sh_ss)+(((Mkt!$C$57-Mkt!$C$54+ind_cxmt)*sh_oth))*(1+g_oth_dram)^0+((Mkt!$C$61*sh_oth))*(1+g_oth_nand)^0)+(cap_ts_25*sh_fd+MAX(Mkt!$C$43-cap_ts_25*sh_fd,0)*(1+g_oth_fd)^0))+Mkt!C116+Mkt!C117</f>
        <v>134.689359843138</v>
      </c>
      <c r="C41" s="16" t="n">
        <f aca="false">((cap_sk_26*1000/fx*sh_sk+cap_mu_26*sh_mu_26+cap_ss_26*1000/fx*sh_ss)+(((Mkt!$C$57-Mkt!$C$54+ind_cxmt)*sh_oth))*(1+g_oth_dram)^1+((Mkt!$C$61*sh_oth))*(1+g_oth_nand)^1)+(cap_ts_26*sh_fd+MAX(Mkt!$C$43-cap_ts_25*sh_fd,0)*(1+g_oth_fd)^1)+Mkt!D50*(((cap_sk_26*1000/fx*sh_sk+cap_mu_26*sh_mu_26+cap_ss_26*1000/fx*sh_ss)+(((Mkt!$C$57-Mkt!$C$54+ind_cxmt)*sh_oth))*(1+g_oth_dram)^1+((Mkt!$C$61*sh_oth))*(1+g_oth_nand)^1)+(cap_ts_26*sh_fd+MAX(Mkt!$C$43-cap_ts_25*sh_fd,0)*(1+g_oth_fd)^1))+Mkt!D116+Mkt!D117</f>
        <v>178.157050570127</v>
      </c>
      <c r="D41" s="16" t="n">
        <f aca="false">((cap_sk_27*1000/fx*sh_sk+cap_mu_27*sh_mu_27+cap_ss_27*1000/fx*sh_ss)+(((Mkt!$C$57-Mkt!$C$54+ind_cxmt)*sh_oth))*(1+g_oth_dram)^2+((Mkt!$C$61*sh_oth))*(1+g_oth_nand)^2)+(cap_ts_27*sh_fd+MAX(Mkt!$C$43-cap_ts_25*sh_fd,0)*(1+g_oth_fd)^2)+Mkt!E50*(((cap_sk_27*1000/fx*sh_sk+cap_mu_27*sh_mu_27+cap_ss_27*1000/fx*sh_ss)+(((Mkt!$C$57-Mkt!$C$54+ind_cxmt)*sh_oth))*(1+g_oth_dram)^2+((Mkt!$C$61*sh_oth))*(1+g_oth_nand)^2)+(cap_ts_27*sh_fd+MAX(Mkt!$C$43-cap_ts_25*sh_fd,0)*(1+g_oth_fd)^2))+Mkt!E116+Mkt!E117</f>
        <v>218.225535760082</v>
      </c>
      <c r="E41" s="16" t="n">
        <f aca="false">((cap_sk_28*1000/fx*sh_sk+cap_mu_28*sh_mu_27+cap_ss_28*1000/fx*sh_ss)+(((Mkt!$C$57-Mkt!$C$54+ind_cxmt)*sh_oth))*(1+g_oth_dram)^3+((Mkt!$C$61*sh_oth))*(1+g_oth_nand)^3)+(cap_ts_28*sh_fd+MAX(Mkt!$C$43-cap_ts_25*sh_fd,0)*(1+g_oth_fd)^3)+Mkt!F50*(((cap_sk_28*1000/fx*sh_sk+cap_mu_28*sh_mu_27+cap_ss_28*1000/fx*sh_ss)+(((Mkt!$C$57-Mkt!$C$54+ind_cxmt)*sh_oth))*(1+g_oth_dram)^3+((Mkt!$C$61*sh_oth))*(1+g_oth_nand)^3)+(cap_ts_28*sh_fd+MAX(Mkt!$C$43-cap_ts_25*sh_fd,0)*(1+g_oth_fd)^3))+Mkt!F116+Mkt!F117</f>
        <v>246.028626308958</v>
      </c>
      <c r="F41" s="16" t="n">
        <f aca="false">((cap_sk_29*1000/fx*sh_sk+cap_mu_29*sh_mu_27+cap_ss_29*1000/fx*sh_ss)+(((Mkt!$C$57-Mkt!$C$54+ind_cxmt)*sh_oth))*(1+g_oth_dram)^4+((Mkt!$C$61*sh_oth))*(1+g_oth_nand)^4)+(cap_ts_29*sh_fd+MAX(Mkt!$C$43-cap_ts_25*sh_fd,0)*(1+g_oth_fd)^4)+Mkt!G50*(((cap_sk_29*1000/fx*sh_sk+cap_mu_29*sh_mu_27+cap_ss_29*1000/fx*sh_ss)+(((Mkt!$C$57-Mkt!$C$54+ind_cxmt)*sh_oth))*(1+g_oth_dram)^4+((Mkt!$C$61*sh_oth))*(1+g_oth_nand)^4)+(cap_ts_29*sh_fd+MAX(Mkt!$C$43-cap_ts_25*sh_fd,0)*(1+g_oth_fd)^4))+Mkt!G116+Mkt!G117</f>
        <v>260.655685855226</v>
      </c>
      <c r="G41" s="19" t="n">
        <f aca="false">IF(ROUND(F41,9)=ROUND(MAX(B41:F41),9),2029,IF(ROUND(E41,9)=ROUND(MAX(B41:F41),9),2028,IF(ROUND(D41,9)=ROUND(MAX(B41:F41),9),2027,IF(ROUND(C41,9)=ROUND(MAX(B41:F41),9),2026,2025))))</f>
        <v>2029</v>
      </c>
    </row>
    <row r="42" customFormat="false" ht="15" hidden="false" customHeight="false" outlineLevel="0" collapsed="false">
      <c r="A42" s="8" t="s">
        <v>597</v>
      </c>
      <c r="B42" s="16" t="n">
        <f aca="false">((cap_sk_25*1000/fx*sh_sk+cap_mu_25*sh_mu_25+cap_ssds_25*ss_mem*1000/fx*sh_ss)+(((Mkt!$C$57-Mkt!$C$54+ind_cxmt)*sh_oth))*(1+g_oth_dram)^0+((Mkt!$C$61*sh_oth))*(1+g_oth_nand)^0)+(cap_ts_25*sh_fd+MAX(Mkt!$C$43-cap_ts_25*sh_fd,0)*(1+g_oth_fd)^0)+Mkt!C50*(((cap_sk_25*1000/fx*sh_sk+cap_mu_25*sh_mu_25+cap_ssds_25*ss_mem*1000/fx*sh_ss)+(((Mkt!$C$57-Mkt!$C$54+ind_cxmt)*sh_oth))*(1+g_oth_dram)^0+((Mkt!$C$61*sh_oth))*(1+g_oth_nand)^0)+(cap_ts_25*sh_fd+MAX(Mkt!$C$43-cap_ts_25*sh_fd,0)*(1+g_oth_fd)^0))+Mkt!C116+Mkt!C117</f>
        <v>134.689359843138</v>
      </c>
      <c r="C42" s="16" t="n">
        <f aca="false">((cap_sk_26*1000/fx*sh_sk+cap_mu_26*sh_mu_26+cap_ss_26*1000/fx*sh_ss)+(((Mkt!$C$57-Mkt!$C$54+ind_cxmt)*sh_oth))*(1+g_oth_dram)^1+((Mkt!$C$61*sh_oth))*(1+g_oth_nand)^1)+(cap_ts_26*sh_fd+MAX(Mkt!$C$43-cap_ts_25*sh_fd,0)*(1+g_oth_fd)^1)+Mkt!D50*(((cap_sk_26*1000/fx*sh_sk+cap_mu_26*sh_mu_26+cap_ss_26*1000/fx*sh_ss)+(((Mkt!$C$57-Mkt!$C$54+ind_cxmt)*sh_oth))*(1+g_oth_dram)^1+((Mkt!$C$61*sh_oth))*(1+g_oth_nand)^1)+(cap_ts_26*sh_fd+MAX(Mkt!$C$43-cap_ts_25*sh_fd,0)*(1+g_oth_fd)^1))+Mkt!D116+Mkt!D117</f>
        <v>178.157050570127</v>
      </c>
      <c r="D42" s="16" t="n">
        <f aca="false">((cap_sk_27*1000/fx*sh_sk+cap_mu_27*sh_mu_27+cap_ss_27*1000/fx*sh_ss)+(((Mkt!$C$57-Mkt!$C$54+ind_cxmt)*sh_oth))*(1+g_oth_dram)^2+((Mkt!$C$61*sh_oth))*(1+g_oth_nand)^2)+(cap_ts_27*sh_fd+MAX(Mkt!$C$43-cap_ts_25*sh_fd,0)*(1+g_oth_fd)^2)+Mkt!E50*(((cap_sk_27*1000/fx*sh_sk+cap_mu_27*sh_mu_27+cap_ss_27*1000/fx*sh_ss)+(((Mkt!$C$57-Mkt!$C$54+ind_cxmt)*sh_oth))*(1+g_oth_dram)^2+((Mkt!$C$61*sh_oth))*(1+g_oth_nand)^2)+(cap_ts_27*sh_fd+MAX(Mkt!$C$43-cap_ts_25*sh_fd,0)*(1+g_oth_fd)^2))+Mkt!E116+Mkt!E117</f>
        <v>218.225535760082</v>
      </c>
      <c r="E42" s="16" t="n">
        <f aca="false">D42*ck_B_28</f>
        <v>218.225535760082</v>
      </c>
      <c r="F42" s="16" t="n">
        <f aca="false">E42*ck_B_29</f>
        <v>207.314258972078</v>
      </c>
      <c r="G42" s="19" t="n">
        <f aca="false">IF(ROUND(F42,9)=ROUND(MAX(B42:F42),9),2029,IF(ROUND(E42,9)=ROUND(MAX(B42:F42),9),2028,IF(ROUND(D42,9)=ROUND(MAX(B42:F42),9),2027,IF(ROUND(C42,9)=ROUND(MAX(B42:F42),9),2026,2025))))</f>
        <v>2028</v>
      </c>
    </row>
    <row r="43" customFormat="false" ht="15" hidden="false" customHeight="false" outlineLevel="0" collapsed="false">
      <c r="A43" s="8" t="s">
        <v>598</v>
      </c>
      <c r="B43" s="16" t="n">
        <f aca="false">((cap_sk_25*1000/fx*sh_sk+cap_mu_25*sh_mu_25+cap_ssds_25*ss_mem*1000/fx*sh_ss)+(((Mkt!$C$57-Mkt!$C$54+ind_cxmt)*sh_oth))*(1+g_oth_dram)^0+((Mkt!$C$61*sh_oth))*(1+g_oth_nand)^0)+(cap_ts_25*sh_fd+MAX(Mkt!$C$43-cap_ts_25*sh_fd,0)*(1+g_oth_fd)^0)+Mkt!C50*(((cap_sk_25*1000/fx*sh_sk+cap_mu_25*sh_mu_25+cap_ssds_25*ss_mem*1000/fx*sh_ss)+(((Mkt!$C$57-Mkt!$C$54+ind_cxmt)*sh_oth))*(1+g_oth_dram)^0+((Mkt!$C$61*sh_oth))*(1+g_oth_nand)^0)+(cap_ts_25*sh_fd+MAX(Mkt!$C$43-cap_ts_25*sh_fd,0)*(1+g_oth_fd)^0))+Mkt!C116+Mkt!C117</f>
        <v>134.689359843138</v>
      </c>
      <c r="C43" s="16" t="n">
        <f aca="false">((cap_sk_26*1000/fx*sh_sk+cap_mu_26*sh_mu_26+cap_ss_26*1000/fx*sh_ss)+(((Mkt!$C$57-Mkt!$C$54+ind_cxmt)*sh_oth))*(1+g_oth_dram)^1+((Mkt!$C$61*sh_oth))*(1+g_oth_nand)^1)+(cap_ts_26*sh_fd+MAX(Mkt!$C$43-cap_ts_25*sh_fd,0)*(1+g_oth_fd)^1)+Mkt!D50*(((cap_sk_26*1000/fx*sh_sk+cap_mu_26*sh_mu_26+cap_ss_26*1000/fx*sh_ss)+(((Mkt!$C$57-Mkt!$C$54+ind_cxmt)*sh_oth))*(1+g_oth_dram)^1+((Mkt!$C$61*sh_oth))*(1+g_oth_nand)^1)+(cap_ts_26*sh_fd+MAX(Mkt!$C$43-cap_ts_25*sh_fd,0)*(1+g_oth_fd)^1))+Mkt!D116+Mkt!D117</f>
        <v>178.157050570127</v>
      </c>
      <c r="D43" s="16" t="n">
        <f aca="false">((cap_sk_27*1000/fx*sh_sk+cap_mu_27*sh_mu_27+cap_ss_27*1000/fx*sh_ss)+(((Mkt!$C$57-Mkt!$C$54+ind_cxmt)*sh_oth))*(1+g_oth_dram)^2+((Mkt!$C$61*sh_oth))*(1+g_oth_nand)^2)+(cap_ts_27*sh_fd+MAX(Mkt!$C$43-cap_ts_25*sh_fd,0)*(1+g_oth_fd)^2)+Mkt!E50*(((cap_sk_27*1000/fx*sh_sk+cap_mu_27*sh_mu_27+cap_ss_27*1000/fx*sh_ss)+(((Mkt!$C$57-Mkt!$C$54+ind_cxmt)*sh_oth))*(1+g_oth_dram)^2+((Mkt!$C$61*sh_oth))*(1+g_oth_nand)^2)+(cap_ts_27*sh_fd+MAX(Mkt!$C$43-cap_ts_25*sh_fd,0)*(1+g_oth_fd)^2))+Mkt!E116+Mkt!E117</f>
        <v>218.225535760082</v>
      </c>
      <c r="E43" s="16" t="n">
        <f aca="false">D43*ck_C_28</f>
        <v>174.580428608066</v>
      </c>
      <c r="F43" s="16" t="n">
        <f aca="false">E43*ck_C_29</f>
        <v>174.580428608066</v>
      </c>
      <c r="G43" s="19" t="n">
        <f aca="false">IF(ROUND(F43,9)=ROUND(MAX(B43:F43),9),2029,IF(ROUND(E43,9)=ROUND(MAX(B43:F43),9),2028,IF(ROUND(D43,9)=ROUND(MAX(B43:F43),9),2027,IF(ROUND(C43,9)=ROUND(MAX(B43:F43),9),2026,2025))))</f>
        <v>2027</v>
      </c>
    </row>
    <row r="44" customFormat="false" ht="15" hidden="false" customHeight="false" outlineLevel="0" collapsed="false">
      <c r="A44" s="8" t="s">
        <v>599</v>
      </c>
      <c r="B44" s="16" t="n">
        <f aca="false">((cap_sk_25*1000/fx*sh_oth+cap_mu_25*sh_mu_25+cap_ssds_25*ss_mem*1000/fx*sh_oth)+(((Mkt!$C$57-Mkt!$C$54+ind_cxmt)*sh_oth))*(1+g_oth_dram)^0+((Mkt!$C$61*sh_oth))*(1+g_oth_nand)^0)+(cap_ts_25*sh_fd+MAX(Mkt!$C$43-cap_ts_25*sh_fd,0)*(1+g_oth_fd)^0)+Mkt!C50*(((cap_sk_25*1000/fx*sh_oth+cap_mu_25*sh_mu_25+cap_ssds_25*ss_mem*1000/fx*sh_oth)+(((Mkt!$C$57-Mkt!$C$54+ind_cxmt)*sh_oth))*(1+g_oth_dram)^0+((Mkt!$C$61*sh_oth))*(1+g_oth_nand)^0)+(cap_ts_25*sh_fd+MAX(Mkt!$C$43-cap_ts_25*sh_fd,0)*(1+g_oth_fd)^0))+Mkt!C116+Mkt!C117</f>
        <v>144.29116158316</v>
      </c>
      <c r="C44" s="16" t="n">
        <f aca="false">((cap_sk_26*1000/fx*sh_oth+cap_mu_26*sh_mu_26+cap_ss_26*1000/fx*sh_oth)+(((Mkt!$C$57-Mkt!$C$54+ind_cxmt)*sh_oth))*(1+g_oth_dram)^1+((Mkt!$C$61*sh_oth))*(1+g_oth_nand)^1)+(cap_ts_26*sh_fd+MAX(Mkt!$C$43-cap_ts_25*sh_fd,0)*(1+g_oth_fd)^1)+Mkt!D50*(((cap_sk_26*1000/fx*sh_oth+cap_mu_26*sh_mu_26+cap_ss_26*1000/fx*sh_oth)+(((Mkt!$C$57-Mkt!$C$54+ind_cxmt)*sh_oth))*(1+g_oth_dram)^1+((Mkt!$C$61*sh_oth))*(1+g_oth_nand)^1)+(cap_ts_26*sh_fd+MAX(Mkt!$C$43-cap_ts_25*sh_fd,0)*(1+g_oth_fd)^1))+Mkt!D116+Mkt!D117</f>
        <v>192.918954650496</v>
      </c>
      <c r="D44" s="16" t="n">
        <f aca="false">((cap_sk_27*1000/fx*sh_oth+cap_mu_27*sh_mu_27+cap_ss_27*1000/fx*sh_oth)+(((Mkt!$C$57-Mkt!$C$54+ind_cxmt)*sh_oth))*(1+g_oth_dram)^2+((Mkt!$C$61*sh_oth))*(1+g_oth_nand)^2)+(cap_ts_27*sh_fd+MAX(Mkt!$C$43-cap_ts_25*sh_fd,0)*(1+g_oth_fd)^2)+Mkt!E50*(((cap_sk_27*1000/fx*sh_oth+cap_mu_27*sh_mu_27+cap_ss_27*1000/fx*sh_oth)+(((Mkt!$C$57-Mkt!$C$54+ind_cxmt)*sh_oth))*(1+g_oth_dram)^2+((Mkt!$C$61*sh_oth))*(1+g_oth_nand)^2)+(cap_ts_27*sh_fd+MAX(Mkt!$C$43-cap_ts_25*sh_fd,0)*(1+g_oth_fd)^2))+Mkt!E116+Mkt!E117</f>
        <v>236.065267667485</v>
      </c>
      <c r="E44" s="16" t="n">
        <f aca="false">((cap_sk_28*1000/fx*sh_oth+cap_mu_28*sh_mu_27+cap_ss_28*1000/fx*sh_oth)+(((Mkt!$C$57-Mkt!$C$54+ind_cxmt)*sh_oth))*(1+g_oth_dram)^3+((Mkt!$C$61*sh_oth))*(1+g_oth_nand)^3)+(cap_ts_28*sh_fd+MAX(Mkt!$C$43-cap_ts_25*sh_fd,0)*(1+g_oth_fd)^3)+Mkt!F50*(((cap_sk_28*1000/fx*sh_oth+cap_mu_28*sh_mu_27+cap_ss_28*1000/fx*sh_oth)+(((Mkt!$C$57-Mkt!$C$54+ind_cxmt)*sh_oth))*(1+g_oth_dram)^3+((Mkt!$C$61*sh_oth))*(1+g_oth_nand)^3)+(cap_ts_28*sh_fd+MAX(Mkt!$C$43-cap_ts_25*sh_fd,0)*(1+g_oth_fd)^3))+Mkt!F116+Mkt!F117</f>
        <v>266.041800615546</v>
      </c>
      <c r="F44" s="16" t="n">
        <f aca="false">((cap_sk_29*1000/fx*sh_oth+cap_mu_29*sh_mu_27+cap_ss_29*1000/fx*sh_oth)+(((Mkt!$C$57-Mkt!$C$54+ind_cxmt)*sh_oth))*(1+g_oth_dram)^4+((Mkt!$C$61*sh_oth))*(1+g_oth_nand)^4)+(cap_ts_29*sh_fd+MAX(Mkt!$C$43-cap_ts_25*sh_fd,0)*(1+g_oth_fd)^4)+Mkt!G50*(((cap_sk_29*1000/fx*sh_oth+cap_mu_29*sh_mu_27+cap_ss_29*1000/fx*sh_oth)+(((Mkt!$C$57-Mkt!$C$54+ind_cxmt)*sh_oth))*(1+g_oth_dram)^4+((Mkt!$C$61*sh_oth))*(1+g_oth_nand)^4)+(cap_ts_29*sh_fd+MAX(Mkt!$C$43-cap_ts_25*sh_fd,0)*(1+g_oth_fd)^4))+Mkt!G116+Mkt!G117</f>
        <v>281.223160907914</v>
      </c>
      <c r="G44" s="19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5" hidden="false" customHeight="false" outlineLevel="0" collapsed="false">
      <c r="A45" s="8" t="s">
        <v>600</v>
      </c>
      <c r="B45" s="16" t="n">
        <f aca="false">((cap_sk_25*1000/fx*sh_oth+cap_mu_25*sh_mu_25+cap_ssds_25*ss_mem*1000/fx*sh_oth)+(((Mkt!$C$57-Mkt!$C$54+ind_cxmt)*sh_oth))*(1+g_oth_dram)^0+((Mkt!$C$61*sh_oth))*(1+g_oth_nand)^0)+(cap_ts_25*sh_fd+MAX(Mkt!$C$43-cap_ts_25*sh_fd,0)*(1+g_oth_fd)^0)+Mkt!C50*(((cap_sk_25*1000/fx*sh_oth+cap_mu_25*sh_mu_25+cap_ssds_25*ss_mem*1000/fx*sh_oth)+(((Mkt!$C$57-Mkt!$C$54+ind_cxmt)*sh_oth))*(1+g_oth_dram)^0+((Mkt!$C$61*sh_oth))*(1+g_oth_nand)^0)+(cap_ts_25*sh_fd+MAX(Mkt!$C$43-cap_ts_25*sh_fd,0)*(1+g_oth_fd)^0))+Mkt!C116+Mkt!C117</f>
        <v>144.29116158316</v>
      </c>
      <c r="C45" s="16" t="n">
        <f aca="false">((cap_sk_26*1000/fx*sh_oth+cap_mu_26*sh_mu_26+cap_ss_26*1000/fx*sh_oth)+(((Mkt!$C$57-Mkt!$C$54+ind_cxmt)*sh_oth))*(1+g_oth_dram)^1+((Mkt!$C$61*sh_oth))*(1+g_oth_nand)^1)+(cap_ts_26*sh_fd+MAX(Mkt!$C$43-cap_ts_25*sh_fd,0)*(1+g_oth_fd)^1)+Mkt!D50*(((cap_sk_26*1000/fx*sh_oth+cap_mu_26*sh_mu_26+cap_ss_26*1000/fx*sh_oth)+(((Mkt!$C$57-Mkt!$C$54+ind_cxmt)*sh_oth))*(1+g_oth_dram)^1+((Mkt!$C$61*sh_oth))*(1+g_oth_nand)^1)+(cap_ts_26*sh_fd+MAX(Mkt!$C$43-cap_ts_25*sh_fd,0)*(1+g_oth_fd)^1))+Mkt!D116+Mkt!D117</f>
        <v>192.918954650496</v>
      </c>
      <c r="D45" s="16" t="n">
        <f aca="false">((cap_sk_27*1000/fx*sh_oth+cap_mu_27*sh_mu_27+cap_ss_27*1000/fx*sh_oth)+(((Mkt!$C$57-Mkt!$C$54+ind_cxmt)*sh_oth))*(1+g_oth_dram)^2+((Mkt!$C$61*sh_oth))*(1+g_oth_nand)^2)+(cap_ts_27*sh_fd+MAX(Mkt!$C$43-cap_ts_25*sh_fd,0)*(1+g_oth_fd)^2)+Mkt!E50*(((cap_sk_27*1000/fx*sh_oth+cap_mu_27*sh_mu_27+cap_ss_27*1000/fx*sh_oth)+(((Mkt!$C$57-Mkt!$C$54+ind_cxmt)*sh_oth))*(1+g_oth_dram)^2+((Mkt!$C$61*sh_oth))*(1+g_oth_nand)^2)+(cap_ts_27*sh_fd+MAX(Mkt!$C$43-cap_ts_25*sh_fd,0)*(1+g_oth_fd)^2))+Mkt!E116+Mkt!E117</f>
        <v>236.065267667485</v>
      </c>
      <c r="E45" s="16" t="n">
        <f aca="false">D45*ck_B_28</f>
        <v>236.065267667485</v>
      </c>
      <c r="F45" s="16" t="n">
        <f aca="false">E45*ck_B_29</f>
        <v>224.262004284111</v>
      </c>
      <c r="G45" s="19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5" hidden="false" customHeight="false" outlineLevel="0" collapsed="false">
      <c r="A46" s="8" t="s">
        <v>601</v>
      </c>
      <c r="B46" s="16" t="n">
        <f aca="false">((cap_sk_25*1000/fx*sh_oth+cap_mu_25*sh_mu_25+cap_ssds_25*ss_mem*1000/fx*sh_oth)+(((Mkt!$C$57-Mkt!$C$54+ind_cxmt)*sh_oth))*(1+g_oth_dram)^0+((Mkt!$C$61*sh_oth))*(1+g_oth_nand)^0)+(cap_ts_25*sh_fd+MAX(Mkt!$C$43-cap_ts_25*sh_fd,0)*(1+g_oth_fd)^0)+Mkt!C50*(((cap_sk_25*1000/fx*sh_oth+cap_mu_25*sh_mu_25+cap_ssds_25*ss_mem*1000/fx*sh_oth)+(((Mkt!$C$57-Mkt!$C$54+ind_cxmt)*sh_oth))*(1+g_oth_dram)^0+((Mkt!$C$61*sh_oth))*(1+g_oth_nand)^0)+(cap_ts_25*sh_fd+MAX(Mkt!$C$43-cap_ts_25*sh_fd,0)*(1+g_oth_fd)^0))+Mkt!C116+Mkt!C117</f>
        <v>144.29116158316</v>
      </c>
      <c r="C46" s="16" t="n">
        <f aca="false">((cap_sk_26*1000/fx*sh_oth+cap_mu_26*sh_mu_26+cap_ss_26*1000/fx*sh_oth)+(((Mkt!$C$57-Mkt!$C$54+ind_cxmt)*sh_oth))*(1+g_oth_dram)^1+((Mkt!$C$61*sh_oth))*(1+g_oth_nand)^1)+(cap_ts_26*sh_fd+MAX(Mkt!$C$43-cap_ts_25*sh_fd,0)*(1+g_oth_fd)^1)+Mkt!D50*(((cap_sk_26*1000/fx*sh_oth+cap_mu_26*sh_mu_26+cap_ss_26*1000/fx*sh_oth)+(((Mkt!$C$57-Mkt!$C$54+ind_cxmt)*sh_oth))*(1+g_oth_dram)^1+((Mkt!$C$61*sh_oth))*(1+g_oth_nand)^1)+(cap_ts_26*sh_fd+MAX(Mkt!$C$43-cap_ts_25*sh_fd,0)*(1+g_oth_fd)^1))+Mkt!D116+Mkt!D117</f>
        <v>192.918954650496</v>
      </c>
      <c r="D46" s="16" t="n">
        <f aca="false">((cap_sk_27*1000/fx*sh_oth+cap_mu_27*sh_mu_27+cap_ss_27*1000/fx*sh_oth)+(((Mkt!$C$57-Mkt!$C$54+ind_cxmt)*sh_oth))*(1+g_oth_dram)^2+((Mkt!$C$61*sh_oth))*(1+g_oth_nand)^2)+(cap_ts_27*sh_fd+MAX(Mkt!$C$43-cap_ts_25*sh_fd,0)*(1+g_oth_fd)^2)+Mkt!E50*(((cap_sk_27*1000/fx*sh_oth+cap_mu_27*sh_mu_27+cap_ss_27*1000/fx*sh_oth)+(((Mkt!$C$57-Mkt!$C$54+ind_cxmt)*sh_oth))*(1+g_oth_dram)^2+((Mkt!$C$61*sh_oth))*(1+g_oth_nand)^2)+(cap_ts_27*sh_fd+MAX(Mkt!$C$43-cap_ts_25*sh_fd,0)*(1+g_oth_fd)^2))+Mkt!E116+Mkt!E117</f>
        <v>236.065267667485</v>
      </c>
      <c r="E46" s="16" t="n">
        <f aca="false">D46*ck_C_28</f>
        <v>188.852214133988</v>
      </c>
      <c r="F46" s="16" t="n">
        <f aca="false">E46*ck_C_29</f>
        <v>188.852214133988</v>
      </c>
      <c r="G46" s="19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5" hidden="false" customHeight="false" outlineLevel="0" collapsed="false">
      <c r="A47" s="8" t="s">
        <v>602</v>
      </c>
      <c r="B47" s="17" t="n">
        <f aca="false">B44/B41-1</f>
        <v>0.0712884948833761</v>
      </c>
      <c r="C47" s="17" t="n">
        <f aca="false">C44/C41-1</f>
        <v>0.0828589384092797</v>
      </c>
      <c r="D47" s="17" t="n">
        <f aca="false">D44/D41-1</f>
        <v>0.0817490576676401</v>
      </c>
      <c r="E47" s="17" t="n">
        <f aca="false">E44/E41-1</f>
        <v>0.0813449012289131</v>
      </c>
      <c r="F47" s="17" t="n">
        <f aca="false">F44/F41-1</f>
        <v>0.0789066809926098</v>
      </c>
    </row>
    <row r="48" customFormat="false" ht="15" hidden="false" customHeight="false" outlineLevel="0" collapsed="false">
      <c r="A48" s="8" t="s">
        <v>603</v>
      </c>
      <c r="B48" s="17" t="n">
        <f aca="false">B45/B42-1</f>
        <v>0.0712884948833761</v>
      </c>
      <c r="C48" s="17" t="n">
        <f aca="false">C45/C42-1</f>
        <v>0.0828589384092797</v>
      </c>
      <c r="D48" s="17" t="n">
        <f aca="false">D45/D42-1</f>
        <v>0.0817490576676401</v>
      </c>
      <c r="E48" s="17" t="n">
        <f aca="false">E45/E42-1</f>
        <v>0.0817490576676401</v>
      </c>
      <c r="F48" s="17" t="n">
        <f aca="false">F45/F42-1</f>
        <v>0.0817490576676401</v>
      </c>
    </row>
    <row r="49" customFormat="false" ht="15" hidden="false" customHeight="false" outlineLevel="0" collapsed="false">
      <c r="A49" s="8" t="s">
        <v>604</v>
      </c>
      <c r="B49" s="17" t="n">
        <f aca="false">B46/B43-1</f>
        <v>0.0712884948833761</v>
      </c>
      <c r="C49" s="17" t="n">
        <f aca="false">C46/C43-1</f>
        <v>0.0828589384092797</v>
      </c>
      <c r="D49" s="17" t="n">
        <f aca="false">D46/D43-1</f>
        <v>0.0817490576676401</v>
      </c>
      <c r="E49" s="17" t="n">
        <f aca="false">E46/E43-1</f>
        <v>0.0817490576676399</v>
      </c>
      <c r="F49" s="17" t="n">
        <f aca="false">F46/F43-1</f>
        <v>0.0817490576676399</v>
      </c>
    </row>
    <row r="50" customFormat="false" ht="15" hidden="false" customHeight="false" outlineLevel="0" collapsed="false">
      <c r="A50" s="8" t="s">
        <v>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7" t="s">
        <v>19</v>
      </c>
    </row>
    <row r="2" customFormat="false" ht="15" hidden="false" customHeight="false" outlineLevel="0" collapsed="false">
      <c r="A2" s="4" t="s">
        <v>19</v>
      </c>
      <c r="B2" s="4" t="s">
        <v>606</v>
      </c>
      <c r="C2" s="4" t="s">
        <v>607</v>
      </c>
      <c r="D2" s="4" t="s">
        <v>20</v>
      </c>
    </row>
    <row r="3" customFormat="false" ht="15" hidden="false" customHeight="false" outlineLevel="0" collapsed="false">
      <c r="A3" s="0" t="s">
        <v>608</v>
      </c>
      <c r="B3" s="0" t="s">
        <v>609</v>
      </c>
      <c r="C3" s="0" t="s">
        <v>610</v>
      </c>
      <c r="D3" s="8" t="s">
        <v>611</v>
      </c>
    </row>
    <row r="4" customFormat="false" ht="15" hidden="false" customHeight="false" outlineLevel="0" collapsed="false">
      <c r="A4" s="0" t="s">
        <v>612</v>
      </c>
      <c r="B4" s="0" t="s">
        <v>613</v>
      </c>
      <c r="C4" s="8" t="s">
        <v>614</v>
      </c>
      <c r="D4" s="8" t="s">
        <v>615</v>
      </c>
    </row>
    <row r="5" customFormat="false" ht="15" hidden="false" customHeight="false" outlineLevel="0" collapsed="false">
      <c r="A5" s="0" t="s">
        <v>616</v>
      </c>
      <c r="B5" s="0" t="s">
        <v>617</v>
      </c>
      <c r="C5" s="8" t="s">
        <v>355</v>
      </c>
      <c r="D5" s="8" t="s">
        <v>615</v>
      </c>
    </row>
    <row r="6" customFormat="false" ht="15" hidden="false" customHeight="false" outlineLevel="0" collapsed="false">
      <c r="A6" s="0" t="s">
        <v>618</v>
      </c>
      <c r="B6" s="0" t="s">
        <v>619</v>
      </c>
      <c r="C6" s="0" t="s">
        <v>620</v>
      </c>
      <c r="D6" s="8" t="s">
        <v>615</v>
      </c>
    </row>
    <row r="7" customFormat="false" ht="15" hidden="false" customHeight="false" outlineLevel="0" collapsed="false">
      <c r="A7" s="0" t="s">
        <v>621</v>
      </c>
      <c r="B7" s="0" t="s">
        <v>622</v>
      </c>
      <c r="C7" s="8" t="s">
        <v>623</v>
      </c>
      <c r="D7" s="8" t="s">
        <v>624</v>
      </c>
    </row>
    <row r="8" customFormat="false" ht="15" hidden="false" customHeight="false" outlineLevel="0" collapsed="false">
      <c r="A8" s="0" t="s">
        <v>625</v>
      </c>
      <c r="B8" s="0" t="s">
        <v>626</v>
      </c>
      <c r="C8" s="8" t="s">
        <v>627</v>
      </c>
      <c r="D8" s="8" t="s">
        <v>628</v>
      </c>
    </row>
    <row r="9" customFormat="false" ht="15" hidden="false" customHeight="false" outlineLevel="0" collapsed="false">
      <c r="A9" s="0" t="s">
        <v>629</v>
      </c>
      <c r="B9" s="0" t="s">
        <v>630</v>
      </c>
      <c r="C9" s="0" t="s">
        <v>631</v>
      </c>
      <c r="D9" s="8" t="s">
        <v>632</v>
      </c>
    </row>
    <row r="10" customFormat="false" ht="15" hidden="false" customHeight="false" outlineLevel="0" collapsed="false">
      <c r="A10" s="0" t="s">
        <v>633</v>
      </c>
      <c r="B10" s="0" t="s">
        <v>634</v>
      </c>
      <c r="C10" s="8" t="s">
        <v>635</v>
      </c>
      <c r="D10" s="8" t="s">
        <v>636</v>
      </c>
    </row>
    <row r="11" customFormat="false" ht="15" hidden="false" customHeight="false" outlineLevel="0" collapsed="false">
      <c r="A11" s="8" t="s">
        <v>637</v>
      </c>
      <c r="B11" s="0" t="s">
        <v>638</v>
      </c>
      <c r="C11" s="0" t="s">
        <v>639</v>
      </c>
      <c r="D11" s="8" t="s">
        <v>640</v>
      </c>
    </row>
    <row r="12" customFormat="false" ht="15" hidden="false" customHeight="false" outlineLevel="0" collapsed="false">
      <c r="A12" s="8" t="s">
        <v>641</v>
      </c>
      <c r="B12" s="0" t="s">
        <v>642</v>
      </c>
      <c r="C12" s="0" t="s">
        <v>643</v>
      </c>
      <c r="D12" s="8" t="s">
        <v>644</v>
      </c>
    </row>
    <row r="13" customFormat="false" ht="15" hidden="false" customHeight="false" outlineLevel="0" collapsed="false">
      <c r="A13" s="0" t="s">
        <v>645</v>
      </c>
      <c r="B13" s="0" t="s">
        <v>646</v>
      </c>
      <c r="C13" s="8" t="s">
        <v>647</v>
      </c>
      <c r="D13" s="8" t="s">
        <v>615</v>
      </c>
    </row>
    <row r="14" customFormat="false" ht="15" hidden="false" customHeight="false" outlineLevel="0" collapsed="false">
      <c r="A14" s="0" t="s">
        <v>648</v>
      </c>
      <c r="B14" s="0" t="s">
        <v>649</v>
      </c>
      <c r="C14" s="0" t="s">
        <v>650</v>
      </c>
      <c r="D14" s="8" t="s">
        <v>636</v>
      </c>
    </row>
    <row r="15" customFormat="false" ht="15" hidden="false" customHeight="false" outlineLevel="0" collapsed="false">
      <c r="A15" s="0" t="s">
        <v>651</v>
      </c>
      <c r="B15" s="0" t="s">
        <v>652</v>
      </c>
      <c r="C15" s="8" t="s">
        <v>653</v>
      </c>
      <c r="D15" s="8" t="s">
        <v>615</v>
      </c>
    </row>
    <row r="16" customFormat="false" ht="15" hidden="false" customHeight="false" outlineLevel="0" collapsed="false">
      <c r="A16" s="0" t="s">
        <v>654</v>
      </c>
      <c r="B16" s="0" t="s">
        <v>655</v>
      </c>
      <c r="C16" s="8" t="s">
        <v>656</v>
      </c>
      <c r="D16" s="8" t="s">
        <v>615</v>
      </c>
    </row>
    <row r="17" customFormat="false" ht="15" hidden="false" customHeight="false" outlineLevel="0" collapsed="false">
      <c r="A17" s="0" t="s">
        <v>657</v>
      </c>
      <c r="B17" s="0" t="s">
        <v>658</v>
      </c>
      <c r="C17" s="8" t="s">
        <v>656</v>
      </c>
      <c r="D17" s="8" t="s">
        <v>636</v>
      </c>
    </row>
    <row r="18" customFormat="false" ht="15" hidden="false" customHeight="false" outlineLevel="0" collapsed="false">
      <c r="A18" s="0" t="s">
        <v>659</v>
      </c>
      <c r="B18" s="0" t="s">
        <v>660</v>
      </c>
      <c r="C18" s="0" t="s">
        <v>661</v>
      </c>
      <c r="D18" s="8" t="s">
        <v>662</v>
      </c>
    </row>
    <row r="19" customFormat="false" ht="15" hidden="false" customHeight="false" outlineLevel="0" collapsed="false">
      <c r="A19" s="0" t="s">
        <v>663</v>
      </c>
      <c r="B19" s="0" t="s">
        <v>664</v>
      </c>
      <c r="C19" s="0" t="s">
        <v>665</v>
      </c>
      <c r="D19" s="8" t="s">
        <v>615</v>
      </c>
    </row>
    <row r="20" customFormat="false" ht="15" hidden="false" customHeight="false" outlineLevel="0" collapsed="false">
      <c r="A20" s="0" t="s">
        <v>666</v>
      </c>
      <c r="B20" s="0" t="s">
        <v>667</v>
      </c>
      <c r="C20" s="0" t="s">
        <v>668</v>
      </c>
      <c r="D20" s="8" t="s">
        <v>615</v>
      </c>
    </row>
    <row r="21" customFormat="false" ht="15" hidden="false" customHeight="false" outlineLevel="0" collapsed="false">
      <c r="A21" s="0" t="s">
        <v>669</v>
      </c>
      <c r="B21" s="0" t="s">
        <v>670</v>
      </c>
      <c r="C21" s="0" t="s">
        <v>671</v>
      </c>
      <c r="D21" s="8" t="s">
        <v>672</v>
      </c>
    </row>
    <row r="22" customFormat="false" ht="15" hidden="false" customHeight="false" outlineLevel="0" collapsed="false">
      <c r="A22" s="0" t="s">
        <v>673</v>
      </c>
      <c r="B22" s="0" t="s">
        <v>674</v>
      </c>
      <c r="C22" s="8" t="s">
        <v>675</v>
      </c>
      <c r="D22" s="8" t="s">
        <v>676</v>
      </c>
    </row>
    <row r="23" customFormat="false" ht="15" hidden="false" customHeight="false" outlineLevel="0" collapsed="false">
      <c r="A23" s="0" t="s">
        <v>677</v>
      </c>
      <c r="B23" s="0" t="s">
        <v>678</v>
      </c>
      <c r="C23" s="0" t="s">
        <v>679</v>
      </c>
      <c r="D23" s="8" t="s">
        <v>615</v>
      </c>
    </row>
    <row r="24" customFormat="false" ht="15" hidden="false" customHeight="false" outlineLevel="0" collapsed="false">
      <c r="A24" s="0" t="s">
        <v>680</v>
      </c>
      <c r="B24" s="0" t="s">
        <v>358</v>
      </c>
      <c r="C24" s="0" t="s">
        <v>681</v>
      </c>
      <c r="D24" s="8" t="s">
        <v>672</v>
      </c>
    </row>
    <row r="25" customFormat="false" ht="15" hidden="false" customHeight="false" outlineLevel="0" collapsed="false">
      <c r="A25" s="0" t="s">
        <v>682</v>
      </c>
      <c r="B25" s="0" t="s">
        <v>683</v>
      </c>
      <c r="C25" s="8" t="s">
        <v>684</v>
      </c>
      <c r="D25" s="8" t="s">
        <v>685</v>
      </c>
    </row>
    <row r="26" customFormat="false" ht="15" hidden="false" customHeight="false" outlineLevel="0" collapsed="false">
      <c r="A26" s="0" t="s">
        <v>686</v>
      </c>
      <c r="B26" s="0" t="s">
        <v>687</v>
      </c>
      <c r="C26" s="8" t="s">
        <v>635</v>
      </c>
      <c r="D26" s="8" t="s">
        <v>636</v>
      </c>
    </row>
    <row r="27" customFormat="false" ht="15" hidden="false" customHeight="false" outlineLevel="0" collapsed="false">
      <c r="A27" s="0" t="s">
        <v>688</v>
      </c>
      <c r="B27" s="0" t="s">
        <v>689</v>
      </c>
      <c r="C27" s="0" t="s">
        <v>690</v>
      </c>
      <c r="D27" s="8" t="s">
        <v>662</v>
      </c>
    </row>
    <row r="28" customFormat="false" ht="15" hidden="false" customHeight="false" outlineLevel="0" collapsed="false">
      <c r="A28" s="0" t="s">
        <v>691</v>
      </c>
      <c r="B28" s="0" t="s">
        <v>692</v>
      </c>
      <c r="C28" s="8" t="s">
        <v>693</v>
      </c>
      <c r="D28" s="8" t="s">
        <v>694</v>
      </c>
    </row>
    <row r="29" customFormat="false" ht="15" hidden="false" customHeight="false" outlineLevel="0" collapsed="false">
      <c r="A29" s="0" t="s">
        <v>695</v>
      </c>
      <c r="B29" s="0" t="s">
        <v>696</v>
      </c>
      <c r="C29" s="8" t="s">
        <v>697</v>
      </c>
      <c r="D29" s="8" t="s">
        <v>615</v>
      </c>
    </row>
    <row r="30" customFormat="false" ht="15" hidden="false" customHeight="false" outlineLevel="0" collapsed="false">
      <c r="A30" s="0" t="s">
        <v>698</v>
      </c>
      <c r="B30" s="0" t="s">
        <v>699</v>
      </c>
      <c r="C30" s="8" t="s">
        <v>700</v>
      </c>
      <c r="D30" s="8" t="s">
        <v>615</v>
      </c>
    </row>
    <row r="31" customFormat="false" ht="15" hidden="false" customHeight="false" outlineLevel="0" collapsed="false">
      <c r="A31" s="0" t="s">
        <v>701</v>
      </c>
      <c r="B31" s="0" t="s">
        <v>702</v>
      </c>
      <c r="C31" s="8" t="s">
        <v>703</v>
      </c>
      <c r="D31" s="8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2026-10-22T08:08:08Z</dcterms:created>
  <dc:creator>openpyxl</dc:creator>
  <dc:description/>
  <dc:language>en-US</dc:language>
  <cp:lastModifiedBy/>
  <dcterms:modified xsi:type="dcterms:W3CDTF">2026-10-22T08:08:08Z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