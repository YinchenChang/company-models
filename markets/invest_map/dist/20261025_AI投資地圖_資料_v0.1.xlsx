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參數" sheetId="2" state="visible" r:id="rId2"/>
    <sheet xmlns:r="http://schemas.openxmlformats.org/officeDocument/2006/relationships" name="每GW" sheetId="3" state="visible" r:id="rId3"/>
    <sheet xmlns:r="http://schemas.openxmlformats.org/officeDocument/2006/relationships" name="價值鏈" sheetId="4" state="visible" r:id="rId4"/>
    <sheet xmlns:r="http://schemas.openxmlformats.org/officeDocument/2006/relationships" name="地位" sheetId="5" state="visible" r:id="rId5"/>
    <sheet xmlns:r="http://schemas.openxmlformats.org/officeDocument/2006/relationships" name="價格" sheetId="6" state="visible" r:id="rId6"/>
    <sheet xmlns:r="http://schemas.openxmlformats.org/officeDocument/2006/relationships" name="估值" sheetId="7" state="visible" r:id="rId7"/>
    <sheet xmlns:r="http://schemas.openxmlformats.org/officeDocument/2006/relationships" name="地圖節點" sheetId="8" state="visible" r:id="rId8"/>
  </sheets>
  <definedNames>
    <definedName name="tier_center">參數!$B$2</definedName>
    <definedName name="tier_bear">參數!$B$3</definedName>
    <definedName name="tier_rich">參數!$B$4</definedName>
    <definedName name="w_irr">參數!$B$5</definedName>
    <definedName name="w_pos">參數!$B$6</definedName>
    <definedName name="w_vc">參數!$B$7</definedName>
    <definedName name="s_irr1">參數!$B$8</definedName>
    <definedName name="s_irr2">參數!$B$9</definedName>
    <definedName name="s_irr3">參數!$B$10</definedName>
    <definedName name="s_pos1">參數!$B$11</definedName>
    <definedName name="s_pos2">參數!$B$12</definedName>
    <definedName name="s_pos3">參數!$B$13</definedName>
    <definedName name="s_pos4">參數!$B$14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000CC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AI 投資地圖 資料活頁簿 v0.1（20261025）</t>
        </is>
      </c>
    </row>
    <row r="2">
      <c r="A2" s="1" t="inlineStr">
        <is>
          <t>用途：AI 投資地圖網站（markets/invest_map/dist/index.html）的唯一數字來源。網站只呈現本活頁簿重算後的值。</t>
        </is>
      </c>
    </row>
    <row r="3">
      <c r="A3" s="1" t="inlineStr">
        <is>
          <t>三個視角：(1) 供應鏈地圖＝「價值鏈」頁＋Tokenomics 每 GW 金額；(2) 產業地位＝「地位」頁；(3) 可投資性＝「估值」頁。</t>
        </is>
      </c>
    </row>
    <row r="4">
      <c r="A4" s="1" t="inlineStr">
        <is>
          <t>黃底＝判斷輸入（Andy 可直接改；重建時讀回，不被程式覆寫）。藍字＝自各模型或 Tokenomics 抄錄的值，旁欄註明來源儲存格。其餘為公式。</t>
        </is>
      </c>
    </row>
    <row r="5">
      <c r="A5" s="1" t="inlineStr">
        <is>
          <t>Tokenomics：20261024_Tokenomics_v21.4.xlsx（commit 3ac70ac；擷取 2026-10-25）</t>
        </is>
      </c>
    </row>
    <row r="6">
      <c r="A6" s="1" t="inlineStr">
        <is>
          <t>公司模型：company-models 各公司 dist/*.xlsx（extract_models.py 抽數；AVGO 讀 PR #93 分支，未合併）。</t>
        </is>
      </c>
    </row>
    <row r="7">
      <c r="A7" s="1" t="inlineStr">
        <is>
          <t>AI半導體 候選母體 v0.2.2（2026-10-24）：次產業排序、公司重要性、市場地位文字。權威在 AI半導體 Project。</t>
        </is>
      </c>
    </row>
    <row r="8">
      <c r="A8" s="1" t="inlineStr">
        <is>
          <t>收支關卡（Andy 2026-10-25 10:48）：先看收支、再看評價。模型期間（2026 起約五年）現金收支合計為負＝入不敷出、有資金缺口，不論估值空間多大，最終分級一律為「收支不足」。口徑：有自由現金流列者用自由現金流；雲端／neocloud 模板無此列者用「營運缺口（不含融資、不含還本）」；只有損益的半導體模型以「各情境淨利皆為正」判定（現金流本專案未建立）。</t>
        </is>
      </c>
    </row>
    <row r="9">
      <c r="A9" s="1" t="inlineStr">
        <is>
          <t>可投資性口徑（預設，Andy 可改）：中心價＝各模型主口徑；半導體 P/E 類取「十年倍數規則值」與「Andy 先驗合理 P/E」兩者較低者；規則值不適用者（NVDA、AVGO、Ibiden）只用 Andy 合理 P/E，標「替代口徑」；記憶體以 P/B 規則值為主、P/E 規則值為對照；雲端與 neocloud 用模型加權目標價與情境下緣；MiniMax 用反向檢驗折現價值。空間＝隱含價 ÷ 10-23 收盤價 − 1，未折現。</t>
        </is>
      </c>
    </row>
    <row r="10">
      <c r="A10" s="1" t="inlineStr">
        <is>
          <t>分級：中心空間 ≥ 參數 tier_center 且下檔 ≥ tier_bear → 機會；中心 &lt; tier_rich → 偏貴；其餘 → 觀察。</t>
        </is>
      </c>
    </row>
    <row r="11">
      <c r="A11" s="1" t="inlineStr">
        <is>
          <t>本活頁簿是研究整理，不是投資建議；各模型的方法與假設見各自 README 與 Val／摘要頁。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0" customWidth="1" min="2" max="2"/>
    <col width="50" customWidth="1" min="3" max="3"/>
  </cols>
  <sheetData>
    <row r="1">
      <c r="A1" s="2" t="inlineStr">
        <is>
          <t>名稱</t>
        </is>
      </c>
      <c r="B1" s="2" t="inlineStr">
        <is>
          <t>值</t>
        </is>
      </c>
      <c r="C1" s="2" t="inlineStr">
        <is>
          <t>說明</t>
        </is>
      </c>
    </row>
    <row r="2">
      <c r="A2" t="inlineStr">
        <is>
          <t>tier_center</t>
        </is>
      </c>
      <c r="B2" s="3" t="n">
        <v>0.2</v>
      </c>
      <c r="C2" t="inlineStr">
        <is>
          <t>「機會」：中心空間至少</t>
        </is>
      </c>
    </row>
    <row r="3">
      <c r="A3" t="inlineStr">
        <is>
          <t>tier_bear</t>
        </is>
      </c>
      <c r="B3" s="3" t="n">
        <v>-0.25</v>
      </c>
      <c r="C3" t="inlineStr">
        <is>
          <t>「機會」：下檔空間不低於</t>
        </is>
      </c>
    </row>
    <row r="4">
      <c r="A4" t="inlineStr">
        <is>
          <t>tier_rich</t>
        </is>
      </c>
      <c r="B4" s="3" t="n">
        <v>-0.1</v>
      </c>
      <c r="C4" t="inlineStr">
        <is>
          <t>「偏貴」：中心空間低於</t>
        </is>
      </c>
    </row>
    <row r="5">
      <c r="A5" t="inlineStr">
        <is>
          <t>w_irr</t>
        </is>
      </c>
      <c r="B5" s="3" t="n">
        <v>0.4</v>
      </c>
      <c r="C5" t="inlineStr">
        <is>
          <t>地位分數權重：不可替代性</t>
        </is>
      </c>
    </row>
    <row r="6">
      <c r="A6" t="inlineStr">
        <is>
          <t>w_pos</t>
        </is>
      </c>
      <c r="B6" s="3" t="n">
        <v>0.35</v>
      </c>
      <c r="C6" t="inlineStr">
        <is>
          <t>地位分數權重：市場位置</t>
        </is>
      </c>
    </row>
    <row r="7">
      <c r="A7" t="inlineStr">
        <is>
          <t>w_vc</t>
        </is>
      </c>
      <c r="B7" s="3" t="n">
        <v>0.25</v>
      </c>
      <c r="C7" t="inlineStr">
        <is>
          <t>地位分數權重：價值鏈分量</t>
        </is>
      </c>
    </row>
    <row r="8">
      <c r="A8" t="inlineStr">
        <is>
          <t>s_irr1</t>
        </is>
      </c>
      <c r="B8" s="3" t="n">
        <v>100</v>
      </c>
      <c r="C8" t="inlineStr">
        <is>
          <t>不可替代性／重要性 1 → 分數</t>
        </is>
      </c>
    </row>
    <row r="9">
      <c r="A9" t="inlineStr">
        <is>
          <t>s_irr2</t>
        </is>
      </c>
      <c r="B9" s="3" t="n">
        <v>60</v>
      </c>
      <c r="C9" t="inlineStr">
        <is>
          <t>2 → 分數</t>
        </is>
      </c>
    </row>
    <row r="10">
      <c r="A10" t="inlineStr">
        <is>
          <t>s_irr3</t>
        </is>
      </c>
      <c r="B10" s="3" t="n">
        <v>30</v>
      </c>
      <c r="C10" t="inlineStr">
        <is>
          <t>3 → 分數</t>
        </is>
      </c>
    </row>
    <row r="11">
      <c r="A11" t="inlineStr">
        <is>
          <t>s_pos1</t>
        </is>
      </c>
      <c r="B11" s="3" t="n">
        <v>100</v>
      </c>
      <c r="C11" t="inlineStr">
        <is>
          <t>市場位置 1 龍頭 → 分數</t>
        </is>
      </c>
    </row>
    <row r="12">
      <c r="A12" t="inlineStr">
        <is>
          <t>s_pos2</t>
        </is>
      </c>
      <c r="B12" s="3" t="n">
        <v>75</v>
      </c>
      <c r="C12" t="inlineStr">
        <is>
          <t>2 前二或寡占 → 分數</t>
        </is>
      </c>
    </row>
    <row r="13">
      <c r="A13" t="inlineStr">
        <is>
          <t>s_pos3</t>
        </is>
      </c>
      <c r="B13" s="3" t="n">
        <v>50</v>
      </c>
      <c r="C13" t="inlineStr">
        <is>
          <t>3 主要參與者 → 分數</t>
        </is>
      </c>
    </row>
    <row r="14">
      <c r="A14" t="inlineStr">
        <is>
          <t>s_pos4</t>
        </is>
      </c>
      <c r="B14" s="3" t="n">
        <v>25</v>
      </c>
      <c r="C14" t="inlineStr">
        <is>
          <t>4 追隨者 → 分數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4" customWidth="1" min="6" max="6"/>
    <col width="26" customWidth="1" min="7" max="7"/>
    <col width="40" customWidth="1" min="8" max="8"/>
  </cols>
  <sheetData>
    <row r="1">
      <c r="A1" s="2" t="inlineStr">
        <is>
          <t>項目</t>
        </is>
      </c>
      <c r="B1" s="2" t="inlineStr">
        <is>
          <t>世代</t>
        </is>
      </c>
      <c r="C1" s="2" t="inlineStr">
        <is>
          <t>低</t>
        </is>
      </c>
      <c r="D1" s="2" t="inlineStr">
        <is>
          <t>基準</t>
        </is>
      </c>
      <c r="E1" s="2" t="inlineStr">
        <is>
          <t>高</t>
        </is>
      </c>
      <c r="F1" s="2" t="inlineStr">
        <is>
          <t>單位</t>
        </is>
      </c>
      <c r="G1" s="2" t="inlineStr">
        <is>
          <t>Tokenomics 名稱</t>
        </is>
      </c>
      <c r="H1" s="2" t="inlineStr">
        <is>
          <t>來源儲存格（基準）</t>
        </is>
      </c>
    </row>
    <row r="2">
      <c r="A2" t="inlineStr">
        <is>
          <t>每 GW 資本支出：IT 設備</t>
        </is>
      </c>
      <c r="B2" t="inlineStr">
        <is>
          <t>GB300</t>
        </is>
      </c>
      <c r="C2" s="4" t="n">
        <v>28.5549024</v>
      </c>
      <c r="D2" s="4" t="n">
        <v>32.237224</v>
      </c>
      <c r="E2" s="4" t="n">
        <v>39.2826064</v>
      </c>
      <c r="F2" t="inlineStr">
        <is>
          <t>$B</t>
        </is>
      </c>
      <c r="G2" t="inlineStr">
        <is>
          <t>IF_CapexIT</t>
        </is>
      </c>
      <c r="H2" t="inlineStr">
        <is>
          <t>Interface!J9</t>
        </is>
      </c>
    </row>
    <row r="3">
      <c r="A3" t="inlineStr">
        <is>
          <t>每 GW 資本支出：IT 設備</t>
        </is>
      </c>
      <c r="B3" t="inlineStr">
        <is>
          <t>VR200</t>
        </is>
      </c>
      <c r="C3" s="4" t="n">
        <v>31.9970232</v>
      </c>
      <c r="D3" s="4" t="n">
        <v>37.586352</v>
      </c>
      <c r="E3" s="4" t="n">
        <v>42.6375752</v>
      </c>
      <c r="F3" t="inlineStr">
        <is>
          <t>$B</t>
        </is>
      </c>
      <c r="G3" t="inlineStr">
        <is>
          <t>IF_CapexIT</t>
        </is>
      </c>
      <c r="H3" t="inlineStr">
        <is>
          <t>Interface!M9</t>
        </is>
      </c>
    </row>
    <row r="4">
      <c r="A4" t="inlineStr">
        <is>
          <t>每 GW 資本支出：設施（電力、機房、冷卻）</t>
        </is>
      </c>
      <c r="B4" t="inlineStr">
        <is>
          <t>GB300</t>
        </is>
      </c>
      <c r="C4" s="4" t="n">
        <v>10.212</v>
      </c>
      <c r="D4" s="4" t="n">
        <v>12.67</v>
      </c>
      <c r="E4" s="4" t="n">
        <v>16.186</v>
      </c>
      <c r="F4" t="inlineStr">
        <is>
          <t>$B</t>
        </is>
      </c>
      <c r="G4" t="inlineStr">
        <is>
          <t>IF_CapexFacility</t>
        </is>
      </c>
      <c r="H4" t="inlineStr">
        <is>
          <t>Interface!J10</t>
        </is>
      </c>
    </row>
    <row r="5">
      <c r="A5" t="inlineStr">
        <is>
          <t>每 GW 資本支出：設施（電力、機房、冷卻）</t>
        </is>
      </c>
      <c r="B5" t="inlineStr">
        <is>
          <t>VR200</t>
        </is>
      </c>
      <c r="C5" s="4" t="n">
        <v>10.212</v>
      </c>
      <c r="D5" s="4" t="n">
        <v>12.67</v>
      </c>
      <c r="E5" s="4" t="n">
        <v>16.186</v>
      </c>
      <c r="F5" t="inlineStr">
        <is>
          <t>$B</t>
        </is>
      </c>
      <c r="G5" t="inlineStr">
        <is>
          <t>IF_CapexFacility</t>
        </is>
      </c>
      <c r="H5" t="inlineStr">
        <is>
          <t>Interface!M10</t>
        </is>
      </c>
    </row>
    <row r="6">
      <c r="A6" t="inlineStr">
        <is>
          <t>每 GW 資本支出：合計</t>
        </is>
      </c>
      <c r="B6" t="inlineStr">
        <is>
          <t>GB300</t>
        </is>
      </c>
      <c r="C6" s="4" t="n">
        <v>38.7669024</v>
      </c>
      <c r="D6" s="4" t="n">
        <v>44.907224</v>
      </c>
      <c r="E6" s="4" t="n">
        <v>55.4686064</v>
      </c>
      <c r="F6" t="inlineStr">
        <is>
          <t>$B</t>
        </is>
      </c>
      <c r="G6" t="inlineStr">
        <is>
          <t>IF_CapexTotal</t>
        </is>
      </c>
      <c r="H6" t="inlineStr">
        <is>
          <t>Interface!J11</t>
        </is>
      </c>
    </row>
    <row r="7">
      <c r="A7" t="inlineStr">
        <is>
          <t>每 GW 資本支出：合計</t>
        </is>
      </c>
      <c r="B7" t="inlineStr">
        <is>
          <t>VR200</t>
        </is>
      </c>
      <c r="C7" s="4" t="n">
        <v>42.2090232</v>
      </c>
      <c r="D7" s="4" t="n">
        <v>50.256352</v>
      </c>
      <c r="E7" s="4" t="n">
        <v>58.8235752</v>
      </c>
      <c r="F7" t="inlineStr">
        <is>
          <t>$B</t>
        </is>
      </c>
      <c r="G7" t="inlineStr">
        <is>
          <t>IF_CapexTotal</t>
        </is>
      </c>
      <c r="H7" t="inlineStr">
        <is>
          <t>Interface!M11</t>
        </is>
      </c>
    </row>
    <row r="8">
      <c r="A8" t="inlineStr">
        <is>
          <t>每 GW 年經濟持有成本</t>
        </is>
      </c>
      <c r="B8" t="inlineStr">
        <is>
          <t>GB300</t>
        </is>
      </c>
      <c r="C8" s="4" t="n">
        <v>8.42889912085495</v>
      </c>
      <c r="D8" s="4" t="n">
        <v>10.8864110021101</v>
      </c>
      <c r="E8" s="4" t="n">
        <v>18.5346455040469</v>
      </c>
      <c r="F8" t="inlineStr">
        <is>
          <t>$B/GW/年</t>
        </is>
      </c>
      <c r="G8" t="inlineStr">
        <is>
          <t>IF_HoldEcon</t>
        </is>
      </c>
      <c r="H8" t="inlineStr">
        <is>
          <t>Interface!J13</t>
        </is>
      </c>
    </row>
    <row r="9">
      <c r="A9" t="inlineStr">
        <is>
          <t>每 GW 年經濟持有成本</t>
        </is>
      </c>
      <c r="B9" t="inlineStr">
        <is>
          <t>VR200</t>
        </is>
      </c>
      <c r="C9" s="4" t="n">
        <v>9.219071462815959</v>
      </c>
      <c r="D9" s="4" t="n">
        <v>12.2254710045841</v>
      </c>
      <c r="E9" s="4" t="n">
        <v>19.7506269894487</v>
      </c>
      <c r="F9" t="inlineStr">
        <is>
          <t>$B/GW/年</t>
        </is>
      </c>
      <c r="G9" t="inlineStr">
        <is>
          <t>IF_HoldEcon</t>
        </is>
      </c>
      <c r="H9" t="inlineStr">
        <is>
          <t>Interface!M13</t>
        </is>
      </c>
    </row>
    <row r="10">
      <c r="A10" t="inlineStr">
        <is>
          <t>VR200 每 GW 營收 P×Q：第一年（m＝2026 Q2）</t>
        </is>
      </c>
      <c r="B10" t="inlineStr">
        <is>
          <t>VR200</t>
        </is>
      </c>
      <c r="C10" s="4" t="n">
        <v>36.2295980753679</v>
      </c>
      <c r="D10" s="4" t="n">
        <v>49.5137840363362</v>
      </c>
      <c r="E10" s="4" t="n">
        <v>78.4974624966305</v>
      </c>
      <c r="F10" t="inlineStr">
        <is>
          <t>$B/GW/年</t>
        </is>
      </c>
      <c r="G10" t="inlineStr">
        <is>
          <t>L1_RevGW_PQ_VR200</t>
        </is>
      </c>
      <c r="H10" t="inlineStr">
        <is>
          <t>L1!D129</t>
        </is>
      </c>
    </row>
    <row r="11">
      <c r="A11" t="inlineStr">
        <is>
          <t>VR200 每 GW 營收 P×Q：壽命期平均（含 L）</t>
        </is>
      </c>
      <c r="B11" t="inlineStr">
        <is>
          <t>VR200</t>
        </is>
      </c>
      <c r="C11" s="4" t="n">
        <v>16.1583510983491</v>
      </c>
      <c r="D11" s="4" t="n">
        <v>34.6024369655691</v>
      </c>
      <c r="E11" s="4" t="n">
        <v>85.88756004396591</v>
      </c>
      <c r="F11" t="inlineStr">
        <is>
          <t>$B/GW/年</t>
        </is>
      </c>
      <c r="G11" t="inlineStr">
        <is>
          <t>L1_RevGW_PQ_VR200_Life</t>
        </is>
      </c>
      <c r="H11" t="inlineStr">
        <is>
          <t>L1!D131</t>
        </is>
      </c>
    </row>
    <row r="12">
      <c r="A12" t="inlineStr">
        <is>
          <t>實際 L（機隊、折現）</t>
        </is>
      </c>
      <c r="B12" t="inlineStr">
        <is>
          <t>機隊</t>
        </is>
      </c>
      <c r="C12" s="4" t="n">
        <v>0.479441891854564</v>
      </c>
      <c r="D12" s="4" t="n">
        <v>0.758597367273996</v>
      </c>
      <c r="E12" s="4" t="n">
        <v>1.13827219966509</v>
      </c>
      <c r="F12" t="inlineStr">
        <is>
          <t>x</t>
        </is>
      </c>
      <c r="G12" t="inlineStr">
        <is>
          <t>L1_LTotalFleetVDisc</t>
        </is>
      </c>
      <c r="H12" t="inlineStr">
        <is>
          <t>L1!D116</t>
        </is>
      </c>
    </row>
    <row r="13">
      <c r="A13" t="inlineStr">
        <is>
          <t>回本所需 L（全部算力持有成本口徑）</t>
        </is>
      </c>
      <c r="B13" t="inlineStr">
        <is>
          <t>機隊</t>
        </is>
      </c>
      <c r="C13" s="4" t="n">
        <v>0.715617337265177</v>
      </c>
      <c r="D13" s="4" t="n">
        <v>0.807078229832035</v>
      </c>
      <c r="E13" s="4" t="n">
        <v>0.894521671581471</v>
      </c>
      <c r="F13" t="inlineStr">
        <is>
          <t>x</t>
        </is>
      </c>
      <c r="G13" t="inlineStr">
        <is>
          <t>L1_LReqFleet_Full</t>
        </is>
      </c>
      <c r="H13" t="inlineStr">
        <is>
          <t>L1!D140</t>
        </is>
      </c>
    </row>
    <row r="14">
      <c r="A14" t="inlineStr">
        <is>
          <t>回本比值（實際 L ÷ 所需 L）</t>
        </is>
      </c>
      <c r="B14" t="inlineStr">
        <is>
          <t>機隊</t>
        </is>
      </c>
      <c r="D14">
        <f>D12/D13</f>
        <v/>
      </c>
      <c r="F14" t="inlineStr">
        <is>
          <t>倍</t>
        </is>
      </c>
      <c r="G14" t="inlineStr">
        <is>
          <t>[Derived]</t>
        </is>
      </c>
      <c r="H14" t="inlineStr">
        <is>
          <t>Tokenomics 交接：0.940，「未定」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30" customWidth="1" min="3" max="3"/>
    <col width="10" customWidth="1" min="4" max="4"/>
    <col width="14" customWidth="1" min="5" max="5"/>
    <col width="12" customWidth="1" min="6" max="6"/>
    <col width="12" customWidth="1" min="7" max="7"/>
    <col width="70" customWidth="1" min="8" max="8"/>
  </cols>
  <sheetData>
    <row r="1">
      <c r="A1" s="2" t="inlineStr">
        <is>
          <t>層級</t>
        </is>
      </c>
      <c r="B1" s="2" t="inlineStr">
        <is>
          <t>次產業</t>
        </is>
      </c>
      <c r="C1" s="2" t="inlineStr">
        <is>
          <t>占 AI IT 資本支出</t>
        </is>
      </c>
      <c r="D1" s="2" t="inlineStr">
        <is>
          <t>比例中值</t>
        </is>
      </c>
      <c r="E1" s="2" t="inlineStr">
        <is>
          <t>每 GW 金額（GB300，$B）</t>
        </is>
      </c>
      <c r="F1" s="2" t="inlineStr">
        <is>
          <t>不可替代性（1–3）</t>
        </is>
      </c>
      <c r="G1" s="2" t="inlineStr">
        <is>
          <t>價值鏈分量分</t>
        </is>
      </c>
      <c r="H1" s="2" t="inlineStr">
        <is>
          <t>依據</t>
        </is>
      </c>
    </row>
    <row r="2">
      <c r="A2" t="inlineStr">
        <is>
          <t>L5 模型商</t>
        </is>
      </c>
      <c r="B2" t="inlineStr">
        <is>
          <t>AI 模型商</t>
        </is>
      </c>
      <c r="C2" t="inlineStr">
        <is>
          <t>營收端（P×Q）</t>
        </is>
      </c>
      <c r="F2" s="3" t="n">
        <v>2</v>
      </c>
      <c r="G2" s="3" t="n">
        <v>75</v>
      </c>
      <c r="H2" s="1" t="inlineStr">
        <is>
          <t>收入池最上游：每 GW 第一年 P×Q 營收高於持有成本，但回本比值約 0.94，未定 [Derived]；分量分為判斷</t>
        </is>
      </c>
    </row>
    <row r="3">
      <c r="A3" t="inlineStr">
        <is>
          <t>L4 算力平台</t>
        </is>
      </c>
      <c r="B3" t="inlineStr">
        <is>
          <t>AI 雲端平台</t>
        </is>
      </c>
      <c r="C3" t="inlineStr">
        <is>
          <t>持有算力資產</t>
        </is>
      </c>
      <c r="F3" s="3" t="n">
        <v>2</v>
      </c>
      <c r="G3" s="3" t="n">
        <v>100</v>
      </c>
      <c r="H3" s="1" t="inlineStr">
        <is>
          <t>持有並出租算力；年持有成本由此層支付，是上游資本支出的付款方 [判斷]</t>
        </is>
      </c>
    </row>
    <row r="4">
      <c r="A4" t="inlineStr">
        <is>
          <t>L4 算力平台</t>
        </is>
      </c>
      <c r="B4" t="inlineStr">
        <is>
          <t>Neocloud（GPU 租賃）</t>
        </is>
      </c>
      <c r="C4" t="inlineStr">
        <is>
          <t>持有算力資產</t>
        </is>
      </c>
      <c r="F4" s="3" t="n">
        <v>3</v>
      </c>
      <c r="G4" s="3" t="n">
        <v>50</v>
      </c>
      <c r="H4" s="1" t="inlineStr">
        <is>
          <t>同為算力持有者，但客戶集中、融資依賴高、可替代 [判斷]</t>
        </is>
      </c>
    </row>
    <row r="5">
      <c r="A5" t="inlineStr">
        <is>
          <t>L3 IT 設備</t>
        </is>
      </c>
      <c r="B5" t="inlineStr">
        <is>
          <t>運算</t>
        </is>
      </c>
      <c r="C5" t="inlineStr">
        <is>
          <t>約 43%</t>
        </is>
      </c>
      <c r="D5" s="4" t="n">
        <v>0.43</v>
      </c>
      <c r="E5">
        <f>D5*每GW!$D$2</f>
        <v/>
      </c>
      <c r="F5" s="3" t="n">
        <v>1</v>
      </c>
      <c r="G5" s="3" t="n">
        <v>100</v>
      </c>
      <c r="H5" s="1" t="inlineStr">
        <is>
          <t>AI半導體 次產業排序 v0.2.2</t>
        </is>
      </c>
    </row>
    <row r="6">
      <c r="A6" t="inlineStr">
        <is>
          <t>L3 IT 設備</t>
        </is>
      </c>
      <c r="B6" t="inlineStr">
        <is>
          <t>記憶體</t>
        </is>
      </c>
      <c r="C6" t="inlineStr">
        <is>
          <t>約 23%</t>
        </is>
      </c>
      <c r="D6" s="4" t="n">
        <v>0.23</v>
      </c>
      <c r="E6">
        <f>D6*每GW!$D$2</f>
        <v/>
      </c>
      <c r="F6" s="3" t="n">
        <v>1</v>
      </c>
      <c r="G6" s="3" t="n">
        <v>100</v>
      </c>
      <c r="H6" s="1" t="inlineStr">
        <is>
          <t>同上</t>
        </is>
      </c>
    </row>
    <row r="7">
      <c r="A7" t="inlineStr">
        <is>
          <t>L3 IT 設備</t>
        </is>
      </c>
      <c r="B7" t="inlineStr">
        <is>
          <t>網通</t>
        </is>
      </c>
      <c r="C7" t="inlineStr">
        <is>
          <t>約 19%</t>
        </is>
      </c>
      <c r="D7" s="4" t="n">
        <v>0.19</v>
      </c>
      <c r="E7">
        <f>D7*每GW!$D$2</f>
        <v/>
      </c>
      <c r="F7" s="3" t="n">
        <v>2</v>
      </c>
      <c r="G7" s="3" t="n">
        <v>75</v>
      </c>
      <c r="H7" s="1" t="inlineStr">
        <is>
          <t>同上</t>
        </is>
      </c>
    </row>
    <row r="8">
      <c r="A8" t="inlineStr">
        <is>
          <t>L3 IT 設備</t>
        </is>
      </c>
      <c r="B8" t="inlineStr">
        <is>
          <t>電源與散熱</t>
        </is>
      </c>
      <c r="C8" t="inlineStr">
        <is>
          <t>約 3–5%</t>
        </is>
      </c>
      <c r="D8" s="4" t="n">
        <v>0.04</v>
      </c>
      <c r="E8">
        <f>D8*每GW!$D$2</f>
        <v/>
      </c>
      <c r="F8" s="3" t="n">
        <v>2</v>
      </c>
      <c r="G8" s="3" t="n">
        <v>25</v>
      </c>
      <c r="H8" s="1" t="inlineStr">
        <is>
          <t>同上；[Assumed] 區間</t>
        </is>
      </c>
    </row>
    <row r="9">
      <c r="A9" t="inlineStr">
        <is>
          <t>L3 IT 設備</t>
        </is>
      </c>
      <c r="B9" t="inlineStr">
        <is>
          <t>伺服器組裝</t>
        </is>
      </c>
      <c r="C9" t="inlineStr">
        <is>
          <t>附加價值約 1–3%</t>
        </is>
      </c>
      <c r="D9" s="4" t="n">
        <v>0.02</v>
      </c>
      <c r="E9">
        <f>D9*每GW!$D$2</f>
        <v/>
      </c>
      <c r="F9" s="3" t="n">
        <v>3</v>
      </c>
      <c r="G9" s="3" t="n">
        <v>25</v>
      </c>
      <c r="H9" s="1" t="inlineStr">
        <is>
          <t>同上；營收流量大、附加價值小</t>
        </is>
      </c>
    </row>
    <row r="10">
      <c r="A10" t="inlineStr">
        <is>
          <t>L3 IT 設備</t>
        </is>
      </c>
      <c r="B10" t="inlineStr">
        <is>
          <t>載板與 PCB</t>
        </is>
      </c>
      <c r="C10" t="inlineStr">
        <is>
          <t>ABF 約 0.3%＋PCB／CCL 未拆</t>
        </is>
      </c>
      <c r="D10" s="4" t="n">
        <v>0.003</v>
      </c>
      <c r="E10">
        <f>D10*每GW!$D$2</f>
        <v/>
      </c>
      <c r="F10" s="3" t="n">
        <v>2</v>
      </c>
      <c r="G10" s="3" t="n">
        <v>25</v>
      </c>
      <c r="H10" s="1" t="inlineStr">
        <is>
          <t>同上；[Assumed] 區間</t>
        </is>
      </c>
    </row>
    <row r="11">
      <c r="A11" t="inlineStr">
        <is>
          <t>L2 半導體製造</t>
        </is>
      </c>
      <c r="B11" t="inlineStr">
        <is>
          <t>代工與封測</t>
        </is>
      </c>
      <c r="C11" t="inlineStr">
        <is>
          <t>軸 A 可見約 3%（藏在晶片成本）</t>
        </is>
      </c>
      <c r="D11" s="4" t="n">
        <v>0.03</v>
      </c>
      <c r="F11" s="3" t="n">
        <v>1</v>
      </c>
      <c r="G11" s="3" t="n">
        <v>75</v>
      </c>
      <c r="H11" s="1" t="inlineStr">
        <is>
          <t>例外：軸 A 只見 3%，但先進製程與 CoWoS 的價值藏在運算 43% 的成本內，給 75 [判斷]</t>
        </is>
      </c>
    </row>
    <row r="12">
      <c r="A12" t="inlineStr">
        <is>
          <t>L2 半導體製造</t>
        </is>
      </c>
      <c r="B12" t="inlineStr">
        <is>
          <t>設備與材料</t>
        </is>
      </c>
      <c r="C12" t="inlineStr">
        <is>
          <t>約 7.5%（軸 B，不可與軸 A 相加）</t>
        </is>
      </c>
      <c r="D12" s="4" t="n">
        <v>0.075</v>
      </c>
      <c r="F12" s="3" t="n">
        <v>1</v>
      </c>
      <c r="G12" s="3" t="n">
        <v>50</v>
      </c>
      <c r="H12" s="1" t="inlineStr">
        <is>
          <t>同上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20" customWidth="1" min="4" max="4"/>
    <col width="10" customWidth="1" min="5" max="5"/>
    <col width="10" customWidth="1" min="6" max="6"/>
    <col width="56" customWidth="1" min="7" max="7"/>
    <col width="8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7" customWidth="1" min="14" max="14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公司重要性（1–3）</t>
        </is>
      </c>
      <c r="F1" s="2" t="inlineStr">
        <is>
          <t>市場位置（1–4）</t>
        </is>
      </c>
      <c r="G1" s="2" t="inlineStr">
        <is>
          <t>地位依據</t>
        </is>
      </c>
      <c r="H1" s="2" t="inlineStr">
        <is>
          <t>標記</t>
        </is>
      </c>
      <c r="I1" s="2" t="inlineStr">
        <is>
          <t>次產業不可替代性</t>
        </is>
      </c>
      <c r="J1" s="2" t="inlineStr">
        <is>
          <t>價值鏈分量分</t>
        </is>
      </c>
      <c r="K1" s="2" t="inlineStr">
        <is>
          <t>不可替代性分</t>
        </is>
      </c>
      <c r="L1" s="2" t="inlineStr">
        <is>
          <t>市場位置分</t>
        </is>
      </c>
      <c r="M1" s="2" t="inlineStr">
        <is>
          <t>地位分數</t>
        </is>
      </c>
      <c r="N1" s="2" t="inlineStr">
        <is>
          <t>排名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s="3" t="n">
        <v>1</v>
      </c>
      <c r="F2" s="3" t="n">
        <v>1</v>
      </c>
      <c r="G2" s="1" t="inlineStr">
        <is>
          <t>AI 加速器金額份額 CY2027 約 75–82%（本專案推導）</t>
        </is>
      </c>
      <c r="H2" t="inlineStr">
        <is>
          <t>[D]</t>
        </is>
      </c>
      <c r="I2">
        <f>價值鏈!F5</f>
        <v/>
      </c>
      <c r="J2">
        <f>價值鏈!G5</f>
        <v/>
      </c>
      <c r="K2">
        <f>(CHOOSE(I2,s_irr1,s_irr2,s_irr3)+CHOOSE(E2,s_irr1,s_irr2,s_irr3))/2</f>
        <v/>
      </c>
      <c r="L2">
        <f>CHOOSE(F2,s_pos1,s_pos2,s_pos3,s_pos4)</f>
        <v/>
      </c>
      <c r="M2">
        <f>w_irr*K2+w_pos*L2+w_vc*J2</f>
        <v/>
      </c>
      <c r="N2">
        <f>RANK(M2,$M$2:$M$23,0)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s="3" t="n">
        <v>1</v>
      </c>
      <c r="F3" s="3" t="n">
        <v>2</v>
      </c>
      <c r="G3" s="1" t="inlineStr">
        <is>
          <t>客製 ASIC 約 80–85%（JPMorgan）；運算整體第二</t>
        </is>
      </c>
      <c r="H3" t="inlineStr">
        <is>
          <t>[IP]</t>
        </is>
      </c>
      <c r="I3">
        <f>價值鏈!F5</f>
        <v/>
      </c>
      <c r="J3">
        <f>價值鏈!G5</f>
        <v/>
      </c>
      <c r="K3">
        <f>(CHOOSE(I3,s_irr1,s_irr2,s_irr3)+CHOOSE(E3,s_irr1,s_irr2,s_irr3))/2</f>
        <v/>
      </c>
      <c r="L3">
        <f>CHOOSE(F3,s_pos1,s_pos2,s_pos3,s_pos4)</f>
        <v/>
      </c>
      <c r="M3">
        <f>w_irr*K3+w_pos*L3+w_vc*J3</f>
        <v/>
      </c>
      <c r="N3">
        <f>RANK(M3,$M$2:$M$23,0)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s="3" t="n">
        <v>1</v>
      </c>
      <c r="F4" s="3" t="n">
        <v>1</v>
      </c>
      <c r="G4" s="1" t="inlineStr">
        <is>
          <t>2026 HBM 市占 52–55%（本專案）</t>
        </is>
      </c>
      <c r="H4" t="inlineStr">
        <is>
          <t>[D]</t>
        </is>
      </c>
      <c r="I4">
        <f>價值鏈!F6</f>
        <v/>
      </c>
      <c r="J4">
        <f>價值鏈!G6</f>
        <v/>
      </c>
      <c r="K4">
        <f>(CHOOSE(I4,s_irr1,s_irr2,s_irr3)+CHOOSE(E4,s_irr1,s_irr2,s_irr3))/2</f>
        <v/>
      </c>
      <c r="L4">
        <f>CHOOSE(F4,s_pos1,s_pos2,s_pos3,s_pos4)</f>
        <v/>
      </c>
      <c r="M4">
        <f>w_irr*K4+w_pos*L4+w_vc*J4</f>
        <v/>
      </c>
      <c r="N4">
        <f>RANK(M4,$M$2:$M$23,0)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s="3" t="n">
        <v>1</v>
      </c>
      <c r="F5" s="3" t="n">
        <v>2</v>
      </c>
      <c r="G5" s="1" t="inlineStr">
        <is>
          <t>2026 HBM 市占 28–32%（本專案）</t>
        </is>
      </c>
      <c r="H5" t="inlineStr">
        <is>
          <t>[D]</t>
        </is>
      </c>
      <c r="I5">
        <f>價值鏈!F6</f>
        <v/>
      </c>
      <c r="J5">
        <f>價值鏈!G6</f>
        <v/>
      </c>
      <c r="K5">
        <f>(CHOOSE(I5,s_irr1,s_irr2,s_irr3)+CHOOSE(E5,s_irr1,s_irr2,s_irr3))/2</f>
        <v/>
      </c>
      <c r="L5">
        <f>CHOOSE(F5,s_pos1,s_pos2,s_pos3,s_pos4)</f>
        <v/>
      </c>
      <c r="M5">
        <f>w_irr*K5+w_pos*L5+w_vc*J5</f>
        <v/>
      </c>
      <c r="N5">
        <f>RANK(M5,$M$2:$M$23,0)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s="3" t="n">
        <v>1</v>
      </c>
      <c r="F6" s="3" t="n">
        <v>3</v>
      </c>
      <c r="G6" s="1" t="inlineStr">
        <is>
          <t>2026 HBM 市占 18–20%（本專案）</t>
        </is>
      </c>
      <c r="H6" t="inlineStr">
        <is>
          <t>[D]</t>
        </is>
      </c>
      <c r="I6">
        <f>價值鏈!F6</f>
        <v/>
      </c>
      <c r="J6">
        <f>價值鏈!G6</f>
        <v/>
      </c>
      <c r="K6">
        <f>(CHOOSE(I6,s_irr1,s_irr2,s_irr3)+CHOOSE(E6,s_irr1,s_irr2,s_irr3))/2</f>
        <v/>
      </c>
      <c r="L6">
        <f>CHOOSE(F6,s_pos1,s_pos2,s_pos3,s_pos4)</f>
        <v/>
      </c>
      <c r="M6">
        <f>w_irr*K6+w_pos*L6+w_vc*J6</f>
        <v/>
      </c>
      <c r="N6">
        <f>RANK(M6,$M$2:$M$23,0)</f>
        <v/>
      </c>
    </row>
    <row r="7">
      <c r="A7" t="inlineStr">
        <is>
          <t>ANET</t>
        </is>
      </c>
      <c r="B7" t="inlineStr">
        <is>
          <t>Arista</t>
        </is>
      </c>
      <c r="C7">
        <f>價值鏈!A7</f>
        <v/>
      </c>
      <c r="D7" t="inlineStr">
        <is>
          <t>網通</t>
        </is>
      </c>
      <c r="E7" s="3" t="n">
        <v>1</v>
      </c>
      <c r="F7" s="3" t="n">
        <v>2</v>
      </c>
      <c r="G7" s="1" t="inlineStr">
        <is>
          <t>AI 後端乙太網路交換器份額約 18.7%（本專案 Arista 比對）；NVIDIA、白牌競爭</t>
        </is>
      </c>
      <c r="H7" t="inlineStr">
        <is>
          <t>[D]</t>
        </is>
      </c>
      <c r="I7">
        <f>價值鏈!F7</f>
        <v/>
      </c>
      <c r="J7">
        <f>價值鏈!G7</f>
        <v/>
      </c>
      <c r="K7">
        <f>(CHOOSE(I7,s_irr1,s_irr2,s_irr3)+CHOOSE(E7,s_irr1,s_irr2,s_irr3))/2</f>
        <v/>
      </c>
      <c r="L7">
        <f>CHOOSE(F7,s_pos1,s_pos2,s_pos3,s_pos4)</f>
        <v/>
      </c>
      <c r="M7">
        <f>w_irr*K7+w_pos*L7+w_vc*J7</f>
        <v/>
      </c>
      <c r="N7">
        <f>RANK(M7,$M$2:$M$23,0)</f>
        <v/>
      </c>
    </row>
    <row r="8">
      <c r="A8" t="inlineStr">
        <is>
          <t>300308</t>
        </is>
      </c>
      <c r="B8" t="inlineStr">
        <is>
          <t>中際旭創</t>
        </is>
      </c>
      <c r="C8">
        <f>價值鏈!A7</f>
        <v/>
      </c>
      <c r="D8" t="inlineStr">
        <is>
          <t>網通</t>
        </is>
      </c>
      <c r="E8" s="3" t="n">
        <v>1</v>
      </c>
      <c r="F8" s="3" t="n">
        <v>1</v>
      </c>
      <c r="G8" s="1" t="inlineStr">
        <is>
          <t>高速光模組出貨領先（媒體與券商）</t>
        </is>
      </c>
      <c r="H8" t="inlineStr">
        <is>
          <t>[IP]</t>
        </is>
      </c>
      <c r="I8">
        <f>價值鏈!F7</f>
        <v/>
      </c>
      <c r="J8">
        <f>價值鏈!G7</f>
        <v/>
      </c>
      <c r="K8">
        <f>(CHOOSE(I8,s_irr1,s_irr2,s_irr3)+CHOOSE(E8,s_irr1,s_irr2,s_irr3))/2</f>
        <v/>
      </c>
      <c r="L8">
        <f>CHOOSE(F8,s_pos1,s_pos2,s_pos3,s_pos4)</f>
        <v/>
      </c>
      <c r="M8">
        <f>w_irr*K8+w_pos*L8+w_vc*J8</f>
        <v/>
      </c>
      <c r="N8">
        <f>RANK(M8,$M$2:$M$23,0)</f>
        <v/>
      </c>
    </row>
    <row r="9">
      <c r="A9" t="inlineStr">
        <is>
          <t>2330</t>
        </is>
      </c>
      <c r="B9" t="inlineStr">
        <is>
          <t>台積電</t>
        </is>
      </c>
      <c r="C9">
        <f>價值鏈!A11</f>
        <v/>
      </c>
      <c r="D9" t="inlineStr">
        <is>
          <t>代工與封測</t>
        </is>
      </c>
      <c r="E9" s="3" t="n">
        <v>1</v>
      </c>
      <c r="F9" s="3" t="n">
        <v>1</v>
      </c>
      <c r="G9" s="1" t="inlineStr">
        <is>
          <t>先進製程晶圓與 CoWoS 接近獨占</t>
        </is>
      </c>
      <c r="H9" t="inlineStr">
        <is>
          <t>[判斷]</t>
        </is>
      </c>
      <c r="I9">
        <f>價值鏈!F11</f>
        <v/>
      </c>
      <c r="J9">
        <f>價值鏈!G11</f>
        <v/>
      </c>
      <c r="K9">
        <f>(CHOOSE(I9,s_irr1,s_irr2,s_irr3)+CHOOSE(E9,s_irr1,s_irr2,s_irr3))/2</f>
        <v/>
      </c>
      <c r="L9">
        <f>CHOOSE(F9,s_pos1,s_pos2,s_pos3,s_pos4)</f>
        <v/>
      </c>
      <c r="M9">
        <f>w_irr*K9+w_pos*L9+w_vc*J9</f>
        <v/>
      </c>
      <c r="N9">
        <f>RANK(M9,$M$2:$M$23,0)</f>
        <v/>
      </c>
    </row>
    <row r="10">
      <c r="A10" t="inlineStr">
        <is>
          <t>4062</t>
        </is>
      </c>
      <c r="B10" t="inlineStr">
        <is>
          <t>Ibiden</t>
        </is>
      </c>
      <c r="C10">
        <f>價值鏈!A10</f>
        <v/>
      </c>
      <c r="D10" t="inlineStr">
        <is>
          <t>載板與 PCB</t>
        </is>
      </c>
      <c r="E10" s="3" t="n">
        <v>1</v>
      </c>
      <c r="F10" s="3" t="n">
        <v>1</v>
      </c>
      <c r="G10" s="1" t="inlineStr">
        <is>
          <t>高階 AI 載板主要供應者</t>
        </is>
      </c>
      <c r="H10" t="inlineStr">
        <is>
          <t>[判斷]</t>
        </is>
      </c>
      <c r="I10">
        <f>價值鏈!F10</f>
        <v/>
      </c>
      <c r="J10">
        <f>價值鏈!G10</f>
        <v/>
      </c>
      <c r="K10">
        <f>(CHOOSE(I10,s_irr1,s_irr2,s_irr3)+CHOOSE(E10,s_irr1,s_irr2,s_irr3))/2</f>
        <v/>
      </c>
      <c r="L10">
        <f>CHOOSE(F10,s_pos1,s_pos2,s_pos3,s_pos4)</f>
        <v/>
      </c>
      <c r="M10">
        <f>w_irr*K10+w_pos*L10+w_vc*J10</f>
        <v/>
      </c>
      <c r="N10">
        <f>RANK(M10,$M$2:$M$23,0)</f>
        <v/>
      </c>
    </row>
    <row r="11">
      <c r="A11" t="inlineStr">
        <is>
          <t>2308</t>
        </is>
      </c>
      <c r="B11" t="inlineStr">
        <is>
          <t>台達電</t>
        </is>
      </c>
      <c r="C11">
        <f>價值鏈!A8</f>
        <v/>
      </c>
      <c r="D11" t="inlineStr">
        <is>
          <t>電源與散熱</t>
        </is>
      </c>
      <c r="E11" s="3" t="n">
        <v>1</v>
      </c>
      <c r="F11" s="3" t="n">
        <v>1</v>
      </c>
      <c r="G11" s="1" t="inlineStr">
        <is>
          <t>伺服器電源龍頭</t>
        </is>
      </c>
      <c r="H11" t="inlineStr">
        <is>
          <t>[判斷]</t>
        </is>
      </c>
      <c r="I11">
        <f>價值鏈!F8</f>
        <v/>
      </c>
      <c r="J11">
        <f>價值鏈!G8</f>
        <v/>
      </c>
      <c r="K11">
        <f>(CHOOSE(I11,s_irr1,s_irr2,s_irr3)+CHOOSE(E11,s_irr1,s_irr2,s_irr3))/2</f>
        <v/>
      </c>
      <c r="L11">
        <f>CHOOSE(F11,s_pos1,s_pos2,s_pos3,s_pos4)</f>
        <v/>
      </c>
      <c r="M11">
        <f>w_irr*K11+w_pos*L11+w_vc*J11</f>
        <v/>
      </c>
      <c r="N11">
        <f>RANK(M11,$M$2:$M$23,0)</f>
        <v/>
      </c>
    </row>
    <row r="12">
      <c r="A12" t="inlineStr">
        <is>
          <t>2382</t>
        </is>
      </c>
      <c r="B12" t="inlineStr">
        <is>
          <t>廣達</t>
        </is>
      </c>
      <c r="C12">
        <f>價值鏈!A9</f>
        <v/>
      </c>
      <c r="D12" t="inlineStr">
        <is>
          <t>伺服器組裝</t>
        </is>
      </c>
      <c r="E12" s="3" t="n">
        <v>1</v>
      </c>
      <c r="F12" s="3" t="n">
        <v>2</v>
      </c>
      <c r="G12" s="1" t="inlineStr">
        <is>
          <t>雲端與 NVIDIA 整櫃主要 ODM；鴻海為最大組裝廠</t>
        </is>
      </c>
      <c r="H12" t="inlineStr">
        <is>
          <t>[判斷]</t>
        </is>
      </c>
      <c r="I12">
        <f>價值鏈!F9</f>
        <v/>
      </c>
      <c r="J12">
        <f>價值鏈!G9</f>
        <v/>
      </c>
      <c r="K12">
        <f>(CHOOSE(I12,s_irr1,s_irr2,s_irr3)+CHOOSE(E12,s_irr1,s_irr2,s_irr3))/2</f>
        <v/>
      </c>
      <c r="L12">
        <f>CHOOSE(F12,s_pos1,s_pos2,s_pos3,s_pos4)</f>
        <v/>
      </c>
      <c r="M12">
        <f>w_irr*K12+w_pos*L12+w_vc*J12</f>
        <v/>
      </c>
      <c r="N12">
        <f>RANK(M12,$M$2:$M$23,0)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s="3" t="n">
        <v>1</v>
      </c>
      <c r="F13" s="3" t="n">
        <v>1</v>
      </c>
      <c r="G13" s="1" t="inlineStr">
        <is>
          <t>SoC 測試市占 66%（公司自估 CY2025）</t>
        </is>
      </c>
      <c r="H13" t="inlineStr">
        <is>
          <t>[IP]</t>
        </is>
      </c>
      <c r="I13">
        <f>價值鏈!F12</f>
        <v/>
      </c>
      <c r="J13">
        <f>價值鏈!G12</f>
        <v/>
      </c>
      <c r="K13">
        <f>(CHOOSE(I13,s_irr1,s_irr2,s_irr3)+CHOOSE(E13,s_irr1,s_irr2,s_irr3))/2</f>
        <v/>
      </c>
      <c r="L13">
        <f>CHOOSE(F13,s_pos1,s_pos2,s_pos3,s_pos4)</f>
        <v/>
      </c>
      <c r="M13">
        <f>w_irr*K13+w_pos*L13+w_vc*J13</f>
        <v/>
      </c>
      <c r="N13">
        <f>RANK(M13,$M$2:$M$23,0)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s="3" t="n">
        <v>2</v>
      </c>
      <c r="F14" s="3" t="n">
        <v>1</v>
      </c>
      <c r="G14" s="1" t="inlineStr">
        <is>
          <t>研削與切割市占 60–80%（兩來源）</t>
        </is>
      </c>
      <c r="H14" t="inlineStr">
        <is>
          <t>[IP]</t>
        </is>
      </c>
      <c r="I14">
        <f>價值鏈!F12</f>
        <v/>
      </c>
      <c r="J14">
        <f>價值鏈!G12</f>
        <v/>
      </c>
      <c r="K14">
        <f>(CHOOSE(I14,s_irr1,s_irr2,s_irr3)+CHOOSE(E14,s_irr1,s_irr2,s_irr3))/2</f>
        <v/>
      </c>
      <c r="L14">
        <f>CHOOSE(F14,s_pos1,s_pos2,s_pos3,s_pos4)</f>
        <v/>
      </c>
      <c r="M14">
        <f>w_irr*K14+w_pos*L14+w_vc*J14</f>
        <v/>
      </c>
      <c r="N14">
        <f>RANK(M14,$M$2:$M$23,0)</f>
        <v/>
      </c>
    </row>
    <row r="15">
      <c r="A15" t="inlineStr">
        <is>
          <t>AMZN</t>
        </is>
      </c>
      <c r="B15" t="inlineStr">
        <is>
          <t>Amazon</t>
        </is>
      </c>
      <c r="C15">
        <f>價值鏈!A3</f>
        <v/>
      </c>
      <c r="D15" t="inlineStr">
        <is>
          <t>AI 雲端平台</t>
        </is>
      </c>
      <c r="E15" s="3" t="n">
        <v>1</v>
      </c>
      <c r="F15" s="3" t="n">
        <v>1</v>
      </c>
      <c r="G15" s="1" t="inlineStr">
        <is>
          <t>AWS 為最大公有雲；自研 Trainium</t>
        </is>
      </c>
      <c r="H15" t="inlineStr">
        <is>
          <t>[判斷]</t>
        </is>
      </c>
      <c r="I15">
        <f>價值鏈!F3</f>
        <v/>
      </c>
      <c r="J15">
        <f>價值鏈!G3</f>
        <v/>
      </c>
      <c r="K15">
        <f>(CHOOSE(I15,s_irr1,s_irr2,s_irr3)+CHOOSE(E15,s_irr1,s_irr2,s_irr3))/2</f>
        <v/>
      </c>
      <c r="L15">
        <f>CHOOSE(F15,s_pos1,s_pos2,s_pos3,s_pos4)</f>
        <v/>
      </c>
      <c r="M15">
        <f>w_irr*K15+w_pos*L15+w_vc*J15</f>
        <v/>
      </c>
      <c r="N15">
        <f>RANK(M15,$M$2:$M$23,0)</f>
        <v/>
      </c>
    </row>
    <row r="16">
      <c r="A16" t="inlineStr">
        <is>
          <t>MSFT</t>
        </is>
      </c>
      <c r="B16" t="inlineStr">
        <is>
          <t>Microsoft</t>
        </is>
      </c>
      <c r="C16">
        <f>價值鏈!A3</f>
        <v/>
      </c>
      <c r="D16" t="inlineStr">
        <is>
          <t>AI 雲端平台</t>
        </is>
      </c>
      <c r="E16" s="3" t="n">
        <v>1</v>
      </c>
      <c r="F16" s="3" t="n">
        <v>2</v>
      </c>
      <c r="G16" s="1" t="inlineStr">
        <is>
          <t>Azure 第二大公有雲；OpenAI 主要算力夥伴</t>
        </is>
      </c>
      <c r="H16" t="inlineStr">
        <is>
          <t>[判斷]</t>
        </is>
      </c>
      <c r="I16">
        <f>價值鏈!F3</f>
        <v/>
      </c>
      <c r="J16">
        <f>價值鏈!G3</f>
        <v/>
      </c>
      <c r="K16">
        <f>(CHOOSE(I16,s_irr1,s_irr2,s_irr3)+CHOOSE(E16,s_irr1,s_irr2,s_irr3))/2</f>
        <v/>
      </c>
      <c r="L16">
        <f>CHOOSE(F16,s_pos1,s_pos2,s_pos3,s_pos4)</f>
        <v/>
      </c>
      <c r="M16">
        <f>w_irr*K16+w_pos*L16+w_vc*J16</f>
        <v/>
      </c>
      <c r="N16">
        <f>RANK(M16,$M$2:$M$23,0)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s="3" t="n">
        <v>1</v>
      </c>
      <c r="F17" s="3" t="n">
        <v>2</v>
      </c>
      <c r="G17" s="1" t="inlineStr">
        <is>
          <t>TPU＋Gemini 垂直整合；雲端第三</t>
        </is>
      </c>
      <c r="H17" t="inlineStr">
        <is>
          <t>[判斷]</t>
        </is>
      </c>
      <c r="I17">
        <f>價值鏈!F3</f>
        <v/>
      </c>
      <c r="J17">
        <f>價值鏈!G3</f>
        <v/>
      </c>
      <c r="K17">
        <f>(CHOOSE(I17,s_irr1,s_irr2,s_irr3)+CHOOSE(E17,s_irr1,s_irr2,s_irr3))/2</f>
        <v/>
      </c>
      <c r="L17">
        <f>CHOOSE(F17,s_pos1,s_pos2,s_pos3,s_pos4)</f>
        <v/>
      </c>
      <c r="M17">
        <f>w_irr*K17+w_pos*L17+w_vc*J17</f>
        <v/>
      </c>
      <c r="N17">
        <f>RANK(M17,$M$2:$M$23,0)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s="3" t="n">
        <v>2</v>
      </c>
      <c r="F18" s="3" t="n">
        <v>3</v>
      </c>
      <c r="G18" s="1" t="inlineStr">
        <is>
          <t>OCI 規模較小；Stargate 主要承建方，客戶集中</t>
        </is>
      </c>
      <c r="H18" t="inlineStr">
        <is>
          <t>[判斷]</t>
        </is>
      </c>
      <c r="I18">
        <f>價值鏈!F3</f>
        <v/>
      </c>
      <c r="J18">
        <f>價值鏈!G3</f>
        <v/>
      </c>
      <c r="K18">
        <f>(CHOOSE(I18,s_irr1,s_irr2,s_irr3)+CHOOSE(E18,s_irr1,s_irr2,s_irr3))/2</f>
        <v/>
      </c>
      <c r="L18">
        <f>CHOOSE(F18,s_pos1,s_pos2,s_pos3,s_pos4)</f>
        <v/>
      </c>
      <c r="M18">
        <f>w_irr*K18+w_pos*L18+w_vc*J18</f>
        <v/>
      </c>
      <c r="N18">
        <f>RANK(M18,$M$2:$M$23,0)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s="3" t="n">
        <v>2</v>
      </c>
      <c r="F19" s="3" t="n">
        <v>1</v>
      </c>
      <c r="G19" s="1" t="inlineStr">
        <is>
          <t>最大 neocloud；客戶集中於 Microsoft、OpenAI</t>
        </is>
      </c>
      <c r="H19" t="inlineStr">
        <is>
          <t>[判斷]</t>
        </is>
      </c>
      <c r="I19">
        <f>價值鏈!F4</f>
        <v/>
      </c>
      <c r="J19">
        <f>價值鏈!G4</f>
        <v/>
      </c>
      <c r="K19">
        <f>(CHOOSE(I19,s_irr1,s_irr2,s_irr3)+CHOOSE(E19,s_irr1,s_irr2,s_irr3))/2</f>
        <v/>
      </c>
      <c r="L19">
        <f>CHOOSE(F19,s_pos1,s_pos2,s_pos3,s_pos4)</f>
        <v/>
      </c>
      <c r="M19">
        <f>w_irr*K19+w_pos*L19+w_vc*J19</f>
        <v/>
      </c>
      <c r="N19">
        <f>RANK(M19,$M$2:$M$23,0)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s="3" t="n">
        <v>2</v>
      </c>
      <c r="F20" s="3" t="n">
        <v>2</v>
      </c>
      <c r="G20" s="1" t="inlineStr">
        <is>
          <t>歐洲為主的 neocloud；Microsoft 長約</t>
        </is>
      </c>
      <c r="H20" t="inlineStr">
        <is>
          <t>[判斷]</t>
        </is>
      </c>
      <c r="I20">
        <f>價值鏈!F4</f>
        <v/>
      </c>
      <c r="J20">
        <f>價值鏈!G4</f>
        <v/>
      </c>
      <c r="K20">
        <f>(CHOOSE(I20,s_irr1,s_irr2,s_irr3)+CHOOSE(E20,s_irr1,s_irr2,s_irr3))/2</f>
        <v/>
      </c>
      <c r="L20">
        <f>CHOOSE(F20,s_pos1,s_pos2,s_pos3,s_pos4)</f>
        <v/>
      </c>
      <c r="M20">
        <f>w_irr*K20+w_pos*L20+w_vc*J20</f>
        <v/>
      </c>
      <c r="N20">
        <f>RANK(M20,$M$2:$M$23,0)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s="3" t="n">
        <v>3</v>
      </c>
      <c r="F21" s="3" t="n">
        <v>4</v>
      </c>
      <c r="G21" s="1" t="inlineStr">
        <is>
          <t>小型 neocloud＋託管</t>
        </is>
      </c>
      <c r="H21" t="inlineStr">
        <is>
          <t>[判斷]</t>
        </is>
      </c>
      <c r="I21">
        <f>價值鏈!F4</f>
        <v/>
      </c>
      <c r="J21">
        <f>價值鏈!G4</f>
        <v/>
      </c>
      <c r="K21">
        <f>(CHOOSE(I21,s_irr1,s_irr2,s_irr3)+CHOOSE(E21,s_irr1,s_irr2,s_irr3))/2</f>
        <v/>
      </c>
      <c r="L21">
        <f>CHOOSE(F21,s_pos1,s_pos2,s_pos3,s_pos4)</f>
        <v/>
      </c>
      <c r="M21">
        <f>w_irr*K21+w_pos*L21+w_vc*J21</f>
        <v/>
      </c>
      <c r="N21">
        <f>RANK(M21,$M$2:$M$23,0)</f>
        <v/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s="3" t="n">
        <v>3</v>
      </c>
      <c r="F22" s="3" t="n">
        <v>3</v>
      </c>
      <c r="G22" s="1" t="inlineStr">
        <is>
          <t>中國第二梯隊模型商；多模態、海外營收占比高</t>
        </is>
      </c>
      <c r="H22" t="inlineStr">
        <is>
          <t>[判斷]</t>
        </is>
      </c>
      <c r="I22">
        <f>價值鏈!F2</f>
        <v/>
      </c>
      <c r="J22">
        <f>價值鏈!G2</f>
        <v/>
      </c>
      <c r="K22">
        <f>(CHOOSE(I22,s_irr1,s_irr2,s_irr3)+CHOOSE(E22,s_irr1,s_irr2,s_irr3))/2</f>
        <v/>
      </c>
      <c r="L22">
        <f>CHOOSE(F22,s_pos1,s_pos2,s_pos3,s_pos4)</f>
        <v/>
      </c>
      <c r="M22">
        <f>w_irr*K22+w_pos*L22+w_vc*J22</f>
        <v/>
      </c>
      <c r="N22">
        <f>RANK(M22,$M$2:$M$23,0)</f>
        <v/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s="3" t="n">
        <v>3</v>
      </c>
      <c r="F23" s="3" t="n">
        <v>3</v>
      </c>
      <c r="G23" s="1" t="inlineStr">
        <is>
          <t>中國第二梯隊模型商；政企本地化部署</t>
        </is>
      </c>
      <c r="H23" t="inlineStr">
        <is>
          <t>[判斷]</t>
        </is>
      </c>
      <c r="I23">
        <f>價值鏈!F2</f>
        <v/>
      </c>
      <c r="J23">
        <f>價值鏈!G2</f>
        <v/>
      </c>
      <c r="K23">
        <f>(CHOOSE(I23,s_irr1,s_irr2,s_irr3)+CHOOSE(E23,s_irr1,s_irr2,s_irr3))/2</f>
        <v/>
      </c>
      <c r="L23">
        <f>CHOOSE(F23,s_pos1,s_pos2,s_pos3,s_pos4)</f>
        <v/>
      </c>
      <c r="M23">
        <f>w_irr*K23+w_pos*L23+w_vc*J23</f>
        <v/>
      </c>
      <c r="N23">
        <f>RANK(M23,$M$2:$M$23,0)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2" customWidth="1" min="3" max="3"/>
    <col width="12" customWidth="1" min="4" max="4"/>
    <col width="52" customWidth="1" min="5" max="5"/>
    <col width="12" customWidth="1" min="6" max="6"/>
    <col width="52" customWidth="1" min="7" max="7"/>
    <col width="12" customWidth="1" min="8" max="8"/>
  </cols>
  <sheetData>
    <row r="1">
      <c r="A1" s="2" t="inlineStr">
        <is>
          <t>代號</t>
        </is>
      </c>
      <c r="B1" s="2" t="inlineStr">
        <is>
          <t>幣別</t>
        </is>
      </c>
      <c r="C1" s="2" t="inlineStr">
        <is>
          <t>模型內現價</t>
        </is>
      </c>
      <c r="D1" s="2" t="inlineStr">
        <is>
          <t>模型價日期</t>
        </is>
      </c>
      <c r="E1" s="2" t="inlineStr">
        <is>
          <t>模型價來源</t>
        </is>
      </c>
      <c r="F1" s="2" t="inlineStr">
        <is>
          <t>10-23 收盤</t>
        </is>
      </c>
      <c r="G1" s="2" t="inlineStr">
        <is>
          <t>收盤來源</t>
        </is>
      </c>
      <c r="H1" s="2" t="inlineStr">
        <is>
          <t>採用價</t>
        </is>
      </c>
    </row>
    <row r="2">
      <c r="A2" t="inlineStr">
        <is>
          <t>NVDA</t>
        </is>
      </c>
      <c r="B2" t="inlineStr">
        <is>
          <t>USD</t>
        </is>
      </c>
      <c r="C2" s="4" t="n">
        <v>212.21</v>
      </c>
      <c r="D2" t="inlineStr">
        <is>
          <t>2026-10-22</t>
        </is>
      </c>
      <c r="E2" t="inlineStr">
        <is>
          <t>nvidia/dist/20261023_NVIDIA模型_v0.1.1.xlsx Val!B6</t>
        </is>
      </c>
      <c r="F2" s="4" t="n">
        <v>210.96</v>
      </c>
      <c r="G2" t="inlineStr">
        <is>
          <t>2026-10-23｜tipranks；bullfincher</t>
        </is>
      </c>
      <c r="H2">
        <f>IF(ISNUMBER(F2),F2,C2)</f>
        <v/>
      </c>
    </row>
    <row r="3">
      <c r="A3" t="inlineStr">
        <is>
          <t>AVGO</t>
        </is>
      </c>
      <c r="B3" t="inlineStr">
        <is>
          <t>USD</t>
        </is>
      </c>
      <c r="C3" s="4" t="n">
        <v>323.24</v>
      </c>
      <c r="D3" t="inlineStr">
        <is>
          <t>2026-10-22</t>
        </is>
      </c>
      <c r="E3" t="inlineStr">
        <is>
          <t>../../../tmp/claude-0/avgo/avgo/dist/20261023_Broadcom模型_v0.1.xlsx Val!B6</t>
        </is>
      </c>
      <c r="F3" s="4" t="n">
        <v>321.68</v>
      </c>
      <c r="G3" t="inlineStr">
        <is>
          <t>2026-10-23｜bullfincher；stockscan</t>
        </is>
      </c>
      <c r="H3">
        <f>IF(ISNUMBER(F3),F3,C3)</f>
        <v/>
      </c>
    </row>
    <row r="4">
      <c r="A4" t="inlineStr">
        <is>
          <t>000660</t>
        </is>
      </c>
      <c r="B4" t="inlineStr">
        <is>
          <t>KRW</t>
        </is>
      </c>
      <c r="C4" s="4" t="n">
        <v>1723000</v>
      </c>
      <c r="D4" t="inlineStr">
        <is>
          <t>2026-10-07</t>
        </is>
      </c>
      <c r="E4" t="inlineStr">
        <is>
          <t>skhynix/dist/20261023_SK海力士模型_v0.4.1.xlsx In!E6</t>
        </is>
      </c>
      <c r="F4" s="4" t="n">
        <v>1277000</v>
      </c>
      <c r="G4" t="inlineStr">
        <is>
          <t>2026-10-23｜tradersunion；digrin；stockhub（Yonhap +4.4%）</t>
        </is>
      </c>
      <c r="H4">
        <f>IF(ISNUMBER(F4),F4,C4)</f>
        <v/>
      </c>
    </row>
    <row r="5">
      <c r="A5" t="inlineStr">
        <is>
          <t>005930</t>
        </is>
      </c>
      <c r="B5" t="inlineStr">
        <is>
          <t>KRW</t>
        </is>
      </c>
      <c r="C5" s="4" t="n">
        <v>262000</v>
      </c>
      <c r="D5" t="inlineStr">
        <is>
          <t>2026-10-08</t>
        </is>
      </c>
      <c r="E5" t="inlineStr">
        <is>
          <t>samsung/dist/20261023_三星電子模型_v0.2.1.xlsx In!E6</t>
        </is>
      </c>
      <c r="F5" s="4" t="n">
        <v>215500</v>
      </c>
      <c r="G5" t="inlineStr">
        <is>
          <t>2026-10-23｜tradersunion</t>
        </is>
      </c>
      <c r="H5">
        <f>IF(ISNUMBER(F5),F5,C5)</f>
        <v/>
      </c>
    </row>
    <row r="6">
      <c r="A6" t="inlineStr">
        <is>
          <t>MU</t>
        </is>
      </c>
      <c r="B6" t="inlineStr">
        <is>
          <t>USD</t>
        </is>
      </c>
      <c r="C6" s="4" t="n">
        <v>1088</v>
      </c>
      <c r="D6" t="inlineStr">
        <is>
          <t>2026-10-07</t>
        </is>
      </c>
      <c r="E6" t="inlineStr">
        <is>
          <t>micron/dist/20261023_美光模型_v0.3.1.xlsx In!E5</t>
        </is>
      </c>
      <c r="F6" s="4" t="n">
        <v>877.55</v>
      </c>
      <c r="G6" t="inlineStr">
        <is>
          <t>2026-10-23｜stockscan；bullfincher</t>
        </is>
      </c>
      <c r="H6">
        <f>IF(ISNUMBER(F6),F6,C6)</f>
        <v/>
      </c>
    </row>
    <row r="7">
      <c r="A7" t="inlineStr">
        <is>
          <t>2330</t>
        </is>
      </c>
      <c r="B7" t="inlineStr">
        <is>
          <t>TWD</t>
        </is>
      </c>
      <c r="C7" s="4" t="n">
        <v>2585</v>
      </c>
      <c r="D7" t="inlineStr">
        <is>
          <t>2026-10-07</t>
        </is>
      </c>
      <c r="E7" t="inlineStr">
        <is>
          <t>tsmc/dist/20261023_台積電模型_v0.2.1.xlsx In!E135</t>
        </is>
      </c>
      <c r="F7" s="4" t="n">
        <v>2385</v>
      </c>
      <c r="G7" t="inlineStr">
        <is>
          <t>2026-10-22｜Yahoo 股市；永豐；鉅亨（10-23 收盤未取得）</t>
        </is>
      </c>
      <c r="H7">
        <f>IF(ISNUMBER(F7),F7,C7)</f>
        <v/>
      </c>
    </row>
    <row r="8">
      <c r="A8" t="inlineStr">
        <is>
          <t>ANET</t>
        </is>
      </c>
      <c r="B8" t="inlineStr">
        <is>
          <t>USD</t>
        </is>
      </c>
      <c r="C8" s="4" t="n">
        <v>172.37</v>
      </c>
      <c r="D8" t="inlineStr">
        <is>
          <t>2026-10-23</t>
        </is>
      </c>
      <c r="E8" t="inlineStr">
        <is>
          <t>arista/dist/20261024_Arista模型_v0.1.xlsx Val!B6</t>
        </is>
      </c>
      <c r="F8" s="4" t="n">
        <v>172.37</v>
      </c>
      <c r="G8" t="inlineStr">
        <is>
          <t>2026-10-23｜stockscan；bullfincher</t>
        </is>
      </c>
      <c r="H8">
        <f>IF(ISNUMBER(F8),F8,C8)</f>
        <v/>
      </c>
    </row>
    <row r="9">
      <c r="A9" t="inlineStr">
        <is>
          <t>300308</t>
        </is>
      </c>
      <c r="B9" t="inlineStr">
        <is>
          <t>CNY</t>
        </is>
      </c>
      <c r="C9" s="4" t="n">
        <v>612.63</v>
      </c>
      <c r="D9" t="inlineStr">
        <is>
          <t>2026-10-23</t>
        </is>
      </c>
      <c r="E9" t="inlineStr">
        <is>
          <t>innolight/dist/20261024_中際旭創模型_v0.1.xlsx Val!B6</t>
        </is>
      </c>
      <c r="F9" s="4" t="n">
        <v>612.63</v>
      </c>
      <c r="G9" t="inlineStr">
        <is>
          <t>2026-10-23｜etnet</t>
        </is>
      </c>
      <c r="H9">
        <f>IF(ISNUMBER(F9),F9,C9)</f>
        <v/>
      </c>
    </row>
    <row r="10">
      <c r="A10" t="inlineStr">
        <is>
          <t>2308</t>
        </is>
      </c>
      <c r="B10" t="inlineStr">
        <is>
          <t>TWD</t>
        </is>
      </c>
      <c r="C10" s="4" t="n">
        <v>1605</v>
      </c>
      <c r="D10" t="inlineStr">
        <is>
          <t>2026-10-23</t>
        </is>
      </c>
      <c r="E10" t="inlineStr">
        <is>
          <t>delta/dist/20261024_台達電模型_v0.1.xlsx Val!B6</t>
        </is>
      </c>
      <c r="F10" s="4" t="n">
        <v>1605</v>
      </c>
      <c r="G10" t="inlineStr">
        <is>
          <t>2026-10-23｜台達電模型 In!E70（Yahoo 股市 10-24 頁面「昨收」）；10-22 收盤 1</t>
        </is>
      </c>
      <c r="H10">
        <f>IF(ISNUMBER(F10),F10,C10)</f>
        <v/>
      </c>
    </row>
    <row r="11">
      <c r="A11" t="inlineStr">
        <is>
          <t>2382</t>
        </is>
      </c>
      <c r="B11" t="inlineStr">
        <is>
          <t>TWD</t>
        </is>
      </c>
      <c r="C11" s="4" t="n">
        <v>322</v>
      </c>
      <c r="D11" t="inlineStr">
        <is>
          <t>2026-10-22</t>
        </is>
      </c>
      <c r="E11" t="inlineStr">
        <is>
          <t>quanta/dist/20261024_廣達模型_v0.1.xlsx Val!B6</t>
        </is>
      </c>
      <c r="F11" s="4" t="n">
        <v>322</v>
      </c>
      <c r="G11" t="inlineStr">
        <is>
          <t>2026-10-22｜財報狗（10-23 收盤未取得）</t>
        </is>
      </c>
      <c r="H11">
        <f>IF(ISNUMBER(F11),F11,C11)</f>
        <v/>
      </c>
    </row>
    <row r="12">
      <c r="A12" t="inlineStr">
        <is>
          <t>4062</t>
        </is>
      </c>
      <c r="B12" t="inlineStr">
        <is>
          <t>JPY</t>
        </is>
      </c>
      <c r="C12" s="4" t="n">
        <v>9764</v>
      </c>
      <c r="D12" t="inlineStr">
        <is>
          <t>2026-10-16</t>
        </is>
      </c>
      <c r="E12" t="inlineStr">
        <is>
          <t>ibiden/dist/20261024_Ibiden模型_v0.1.xlsx Val!B6</t>
        </is>
      </c>
      <c r="F12" s="4" t="n">
        <v>8512</v>
      </c>
      <c r="G12" t="inlineStr">
        <is>
          <t>2026-10-23｜株探；松井證券</t>
        </is>
      </c>
      <c r="H12">
        <f>IF(ISNUMBER(F12),F12,C12)</f>
        <v/>
      </c>
    </row>
    <row r="13">
      <c r="A13" t="inlineStr">
        <is>
          <t>6857</t>
        </is>
      </c>
      <c r="B13" t="inlineStr">
        <is>
          <t>JPY</t>
        </is>
      </c>
      <c r="C13" s="4" t="n">
        <v>34440</v>
      </c>
      <c r="D13" t="inlineStr">
        <is>
          <t>2026-10-21</t>
        </is>
      </c>
      <c r="E13" t="inlineStr">
        <is>
          <t>advantest/dist/20261023_Advantest模型_v0.2.2.xlsx Val!B92</t>
        </is>
      </c>
      <c r="F13" s="4" t="n">
        <v>32340</v>
      </c>
      <c r="G13" t="inlineStr">
        <is>
          <t>2026-10-23｜Yahoo!ファイナンス；株探</t>
        </is>
      </c>
      <c r="H13">
        <f>IF(ISNUMBER(F13),F13,C13)</f>
        <v/>
      </c>
    </row>
    <row r="14">
      <c r="A14" t="inlineStr">
        <is>
          <t>6146</t>
        </is>
      </c>
      <c r="B14" t="inlineStr">
        <is>
          <t>JPY</t>
        </is>
      </c>
      <c r="C14" s="4" t="n">
        <v>51230</v>
      </c>
      <c r="D14" t="inlineStr">
        <is>
          <t>2026-10-22</t>
        </is>
      </c>
      <c r="E14" t="inlineStr">
        <is>
          <t>disco/dist/20261023_Disco模型_v0.1.3.xlsx Val!B53</t>
        </is>
      </c>
      <c r="F14" s="4" t="n">
        <v>49290</v>
      </c>
      <c r="G14" t="inlineStr">
        <is>
          <t>2026-10-23｜株探；kabutore</t>
        </is>
      </c>
      <c r="H14">
        <f>IF(ISNUMBER(F14),F14,C14)</f>
        <v/>
      </c>
    </row>
    <row r="15">
      <c r="A15" t="inlineStr">
        <is>
          <t>MSFT</t>
        </is>
      </c>
      <c r="B15" t="inlineStr">
        <is>
          <t>USD</t>
        </is>
      </c>
      <c r="C15" s="4" t="n">
        <v>529.76</v>
      </c>
      <c r="D15" t="inlineStr">
        <is>
          <t>2026-10-07</t>
        </is>
      </c>
      <c r="E15" t="inlineStr">
        <is>
          <t>microsoft/dist/20261025_Microsoft收支模型_v0_2_2.xlsx 輸入與假設!C345</t>
        </is>
      </c>
      <c r="F15" s="4" t="n">
        <v>524.51</v>
      </c>
      <c r="G15" t="inlineStr">
        <is>
          <t>2026-10-23｜stockscan；bullfincher</t>
        </is>
      </c>
      <c r="H15">
        <f>IF(ISNUMBER(F15),F15,C15)</f>
        <v/>
      </c>
    </row>
    <row r="16">
      <c r="A16" t="inlineStr">
        <is>
          <t>AMZN</t>
        </is>
      </c>
      <c r="B16" t="inlineStr">
        <is>
          <t>USD</t>
        </is>
      </c>
      <c r="C16" s="4" t="n">
        <v>259.92</v>
      </c>
      <c r="D16" t="inlineStr">
        <is>
          <t>2026-10-07</t>
        </is>
      </c>
      <c r="E16" t="inlineStr">
        <is>
          <t>amazon/dist/20261025_Amazon收支模型_v0_2_2.xlsx 輸入與假設!C328</t>
        </is>
      </c>
      <c r="F16" s="4" t="n">
        <v>248</v>
      </c>
      <c r="G16" t="inlineStr">
        <is>
          <t>2026-10-23｜stockanalysis；stockscan</t>
        </is>
      </c>
      <c r="H16">
        <f>IF(ISNUMBER(F16),F16,C16)</f>
        <v/>
      </c>
    </row>
    <row r="17">
      <c r="A17" t="inlineStr">
        <is>
          <t>GOOGL</t>
        </is>
      </c>
      <c r="B17" t="inlineStr">
        <is>
          <t>USD</t>
        </is>
      </c>
      <c r="C17" s="4" t="n">
        <v>350.5</v>
      </c>
      <c r="D17" t="inlineStr">
        <is>
          <t>2026-10-07</t>
        </is>
      </c>
      <c r="E17" t="inlineStr">
        <is>
          <t>alphabet/dist/20261025_Alphabet收支模型_v0_2_2.xlsx 輸入與假設!C374</t>
        </is>
      </c>
      <c r="F17" s="4" t="n">
        <v>320.21</v>
      </c>
      <c r="G17" t="inlineStr">
        <is>
          <t>2026-10-23｜stockscan；bullfincher</t>
        </is>
      </c>
      <c r="H17">
        <f>IF(ISNUMBER(F17),F17,C17)</f>
        <v/>
      </c>
    </row>
    <row r="18">
      <c r="A18" t="inlineStr">
        <is>
          <t>ORCL</t>
        </is>
      </c>
      <c r="B18" t="inlineStr">
        <is>
          <t>USD</t>
        </is>
      </c>
      <c r="C18" s="4" t="n">
        <v>129.13</v>
      </c>
      <c r="D18" t="inlineStr">
        <is>
          <t>2026-10-21</t>
        </is>
      </c>
      <c r="E18" t="inlineStr">
        <is>
          <t>oracle/dist/20261022_Oracle收支模型_v0_3_1.xlsx 輸入與假設!C175</t>
        </is>
      </c>
      <c r="F18" s="4" t="n">
        <v>126.16</v>
      </c>
      <c r="G18" t="inlineStr">
        <is>
          <t>2026-10-23｜stockanalysis；stockscan</t>
        </is>
      </c>
      <c r="H18">
        <f>IF(ISNUMBER(F18),F18,C18)</f>
        <v/>
      </c>
    </row>
    <row r="19">
      <c r="A19" t="inlineStr">
        <is>
          <t>CRWV</t>
        </is>
      </c>
      <c r="B19" t="inlineStr">
        <is>
          <t>USD</t>
        </is>
      </c>
      <c r="C19" s="4" t="n">
        <v>90.13</v>
      </c>
      <c r="D19" t="inlineStr">
        <is>
          <t>2026-09-24</t>
        </is>
      </c>
      <c r="E19" t="inlineStr">
        <is>
          <t>coreweave/dist/20261021_CoreWeave收支模型_v4_12.xlsx 輸入與假設!C221</t>
        </is>
      </c>
      <c r="F19" s="4" t="n">
        <v>54.23</v>
      </c>
      <c r="G19" t="inlineStr">
        <is>
          <t>2026-10-23｜stockscan；digrin</t>
        </is>
      </c>
      <c r="H19">
        <f>IF(ISNUMBER(F19),F19,C19)</f>
        <v/>
      </c>
    </row>
    <row r="20">
      <c r="A20" t="inlineStr">
        <is>
          <t>NBIS</t>
        </is>
      </c>
      <c r="B20" t="inlineStr">
        <is>
          <t>USD</t>
        </is>
      </c>
      <c r="C20" s="4" t="n">
        <v>249.87</v>
      </c>
      <c r="D20" t="inlineStr">
        <is>
          <t>2026-10-06</t>
        </is>
      </c>
      <c r="E20" t="inlineStr">
        <is>
          <t>nebius/dist/20261022_Nebius收支模型_v0_5.xlsx 輸入與假設!C125</t>
        </is>
      </c>
      <c r="F20" s="4" t="n">
        <v>158.74</v>
      </c>
      <c r="G20" t="inlineStr">
        <is>
          <t>2026-10-23｜stockscan（digrin 158.64）</t>
        </is>
      </c>
      <c r="H20">
        <f>IF(ISNUMBER(F20),F20,C20)</f>
        <v/>
      </c>
    </row>
    <row r="21">
      <c r="A21" t="inlineStr">
        <is>
          <t>WYFI</t>
        </is>
      </c>
      <c r="B21" t="inlineStr">
        <is>
          <t>USD</t>
        </is>
      </c>
      <c r="C21" s="4" t="n">
        <v>16.83</v>
      </c>
      <c r="D21" t="inlineStr">
        <is>
          <t>2026-10-07</t>
        </is>
      </c>
      <c r="E21" t="inlineStr">
        <is>
          <t>whitefiber/dist/20261022_WhiteFiber收支模型_v0_2.xlsx 輸入與假設!C228</t>
        </is>
      </c>
      <c r="F21" s="4" t="n">
        <v>9.98</v>
      </c>
      <c r="G21" t="inlineStr">
        <is>
          <t>2026-10-23｜stockscan；digrin</t>
        </is>
      </c>
      <c r="H21">
        <f>IF(ISNUMBER(F21),F21,C21)</f>
        <v/>
      </c>
    </row>
    <row r="22">
      <c r="A22" t="inlineStr">
        <is>
          <t>00100</t>
        </is>
      </c>
      <c r="B22" t="inlineStr">
        <is>
          <t>HKD</t>
        </is>
      </c>
      <c r="C22" s="4" t="n">
        <v>171.9</v>
      </c>
      <c r="D22" t="inlineStr">
        <is>
          <t>2026-10-21</t>
        </is>
      </c>
      <c r="E22" t="inlineStr">
        <is>
          <t>minimax/dist/20261022_MiniMax收支模型_v0_2.xlsx Valuation!D7</t>
        </is>
      </c>
      <c r="F22" s="4" t="n">
        <v>187.6</v>
      </c>
      <c r="G22" t="inlineStr">
        <is>
          <t>2026-10-23｜etnet；老虎</t>
        </is>
      </c>
      <c r="H22">
        <f>IF(ISNUMBER(F22),F22,C22)</f>
        <v/>
      </c>
    </row>
    <row r="23">
      <c r="A23" t="inlineStr">
        <is>
          <t>02513</t>
        </is>
      </c>
      <c r="B23" t="inlineStr">
        <is>
          <t>HKD</t>
        </is>
      </c>
      <c r="D23" t="inlineStr"/>
      <c r="E23" t="inlineStr"/>
      <c r="F23" s="4" t="n">
        <v>499</v>
      </c>
      <c r="G23" t="inlineStr">
        <is>
          <t>2026-10-23｜老虎</t>
        </is>
      </c>
      <c r="H23">
        <f>IF(ISNUMBER(F23),F23,C23)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I2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2" customWidth="1" min="2" max="2"/>
    <col width="14" customWidth="1" min="3" max="3"/>
    <col width="18" customWidth="1" min="4" max="4"/>
    <col width="24" customWidth="1" min="5" max="5"/>
    <col width="12" customWidth="1" min="6" max="6"/>
    <col width="40" customWidth="1" min="7" max="7"/>
    <col width="12" customWidth="1" min="8" max="8"/>
    <col width="40" customWidth="1" min="9" max="9"/>
    <col width="12" customWidth="1" min="10" max="10"/>
    <col width="40" customWidth="1" min="11" max="11"/>
    <col width="12" customWidth="1" min="12" max="12"/>
    <col width="40" customWidth="1" min="13" max="13"/>
    <col width="11" customWidth="1" min="14" max="14"/>
    <col width="11" customWidth="1" min="15" max="15"/>
    <col width="11" customWidth="1" min="16" max="16"/>
    <col width="9" customWidth="1" min="17" max="17"/>
    <col width="9" customWidth="1" min="18" max="18"/>
    <col width="8" customWidth="1" min="19" max="19"/>
    <col width="10" customWidth="1" min="20" max="20"/>
    <col width="30" customWidth="1" min="21" max="21"/>
    <col width="22" customWidth="1" min="22" max="22"/>
    <col width="60" customWidth="1" min="23" max="23"/>
    <col width="10" customWidth="1" min="24" max="24"/>
    <col width="10" customWidth="1" min="25" max="25"/>
    <col width="10" customWidth="1" min="26" max="26"/>
    <col width="18" customWidth="1" min="27" max="27"/>
    <col width="9" customWidth="1" min="28" max="28"/>
    <col width="30" customWidth="1" min="29" max="29"/>
    <col width="46" customWidth="1" min="30" max="30"/>
    <col width="10" customWidth="1" min="31" max="31"/>
    <col width="10" customWidth="1" min="32" max="32"/>
    <col width="44" customWidth="1" min="33" max="33"/>
    <col width="14" customWidth="1" min="34" max="34"/>
    <col width="12" customWidth="1" min="35" max="35"/>
  </cols>
  <sheetData>
    <row r="1">
      <c r="A1" s="2" t="inlineStr">
        <is>
          <t>代號</t>
        </is>
      </c>
      <c r="B1" s="2" t="inlineStr">
        <is>
          <t>公司</t>
        </is>
      </c>
      <c r="C1" s="2" t="inlineStr">
        <is>
          <t>層級</t>
        </is>
      </c>
      <c r="D1" s="2" t="inlineStr">
        <is>
          <t>次產業</t>
        </is>
      </c>
      <c r="E1" s="2" t="inlineStr">
        <is>
          <t>方法</t>
        </is>
      </c>
      <c r="F1" s="2" t="inlineStr">
        <is>
          <t>中心候選 1</t>
        </is>
      </c>
      <c r="G1" s="2" t="inlineStr">
        <is>
          <t>中心候選 1 來源</t>
        </is>
      </c>
      <c r="H1" s="2" t="inlineStr">
        <is>
          <t>中心候選 2</t>
        </is>
      </c>
      <c r="I1" s="2" t="inlineStr">
        <is>
          <t>中心候選 2 來源</t>
        </is>
      </c>
      <c r="J1" s="2" t="inlineStr">
        <is>
          <t>下檔候選 1</t>
        </is>
      </c>
      <c r="K1" s="2" t="inlineStr">
        <is>
          <t>下檔候選 1 來源</t>
        </is>
      </c>
      <c r="L1" s="2" t="inlineStr">
        <is>
          <t>下檔候選 2</t>
        </is>
      </c>
      <c r="M1" s="2" t="inlineStr">
        <is>
          <t>下檔候選 2 來源</t>
        </is>
      </c>
      <c r="N1" s="2" t="inlineStr">
        <is>
          <t>採用價</t>
        </is>
      </c>
      <c r="O1" s="2" t="inlineStr">
        <is>
          <t>中心價</t>
        </is>
      </c>
      <c r="P1" s="2" t="inlineStr">
        <is>
          <t>下檔價</t>
        </is>
      </c>
      <c r="Q1" s="2" t="inlineStr">
        <is>
          <t>中心空間</t>
        </is>
      </c>
      <c r="R1" s="2" t="inlineStr">
        <is>
          <t>下檔空間</t>
        </is>
      </c>
      <c r="S1" s="2" t="inlineStr">
        <is>
          <t>分級</t>
        </is>
      </c>
      <c r="T1" s="2" t="inlineStr">
        <is>
          <t>對照口徑空間</t>
        </is>
      </c>
      <c r="U1" s="2" t="inlineStr">
        <is>
          <t>對照口徑</t>
        </is>
      </c>
      <c r="V1" s="2" t="inlineStr">
        <is>
          <t>現價 ÷ 模型 FY2028 EPS（A／B／C）</t>
        </is>
      </c>
      <c r="W1" s="2" t="inlineStr">
        <is>
          <t>註記</t>
        </is>
      </c>
      <c r="X1" s="2" t="inlineStr">
        <is>
          <t>輔助 1</t>
        </is>
      </c>
      <c r="Y1" s="2" t="inlineStr">
        <is>
          <t>輔助 2</t>
        </is>
      </c>
      <c r="Z1" s="2" t="inlineStr">
        <is>
          <t>模型價日以來漲跌</t>
        </is>
      </c>
      <c r="AA1" s="2" t="inlineStr">
        <is>
          <t>價格變動旗標</t>
        </is>
      </c>
      <c r="AB1" s="2" t="inlineStr">
        <is>
          <t>收支口徑</t>
        </is>
      </c>
      <c r="AC1" s="2" t="inlineStr">
        <is>
          <t>收支列（模型）</t>
        </is>
      </c>
      <c r="AD1" s="2" t="inlineStr">
        <is>
          <t>收支序列</t>
        </is>
      </c>
      <c r="AE1" s="2" t="inlineStr">
        <is>
          <t>期間合計</t>
        </is>
      </c>
      <c r="AF1" s="2" t="inlineStr">
        <is>
          <t>最小值</t>
        </is>
      </c>
      <c r="AG1" s="2" t="inlineStr">
        <is>
          <t>收支來源</t>
        </is>
      </c>
      <c r="AH1" s="2" t="inlineStr">
        <is>
          <t>收支關卡</t>
        </is>
      </c>
      <c r="AI1" s="2" t="inlineStr">
        <is>
          <t>最終分級</t>
        </is>
      </c>
    </row>
    <row r="2">
      <c r="A2" t="inlineStr">
        <is>
          <t>NVDA</t>
        </is>
      </c>
      <c r="B2" t="inlineStr">
        <is>
          <t>NVIDIA</t>
        </is>
      </c>
      <c r="C2">
        <f>價值鏈!A5</f>
        <v/>
      </c>
      <c r="D2" t="inlineStr">
        <is>
          <t>運算</t>
        </is>
      </c>
      <c r="E2" t="inlineStr">
        <is>
          <t>替代口徑：Andy 合理 P/E</t>
        </is>
      </c>
      <c r="F2">
        <f>25*X2</f>
        <v/>
      </c>
      <c r="G2" t="inlineStr">
        <is>
          <t>Andy 先驗 25x × FY2028 EPS（A）nvidia/dist/20261023_NVIDIA模型_v0.1.1.xlsx Val!C27</t>
        </is>
      </c>
      <c r="J2">
        <f>25*Y2</f>
        <v/>
      </c>
      <c r="K2" t="inlineStr">
        <is>
          <t>25x × FY2029 EPS（C）nvidia/dist/20261023_NVIDIA模型_v0.1.1.xlsx Val!C41</t>
        </is>
      </c>
      <c r="N2">
        <f>價格!H2</f>
        <v/>
      </c>
      <c r="O2">
        <f>MIN(F2,H2)</f>
        <v/>
      </c>
      <c r="P2">
        <f>MIN(J2,L2)</f>
        <v/>
      </c>
      <c r="Q2">
        <f>O2/N2-1</f>
        <v/>
      </c>
      <c r="R2">
        <f>P2/N2-1</f>
        <v/>
      </c>
      <c r="S2">
        <f>IF(AND(Q2&gt;=tier_center,R2&gt;=tier_bear),"機會",IF(Q2&lt;tier_rich,"偏貴","觀察"))</f>
        <v/>
      </c>
      <c r="V2" t="inlineStr">
        <is>
          <t>14.4 ／ 14.4 ／ 14.4</t>
        </is>
      </c>
      <c r="W2" s="1" t="inlineStr">
        <is>
          <t>規則值不適用（落後倍數含高成長期溢價；模型 Val 第 3 節）；先驗 25x 為近 12 月口徑，套在前瞻 EPS 偏保守</t>
        </is>
      </c>
      <c r="X2" s="4" t="n">
        <v>14.7153352636455</v>
      </c>
      <c r="Y2" s="4" t="n">
        <v>9.923399853859801</v>
      </c>
      <c r="Z2">
        <f>IF(ISNUMBER(價格!C2),價格!H2/價格!C2-1,"")</f>
        <v/>
      </c>
      <c r="AA2">
        <f>IF(Z2="","",IF(ABS(Z2)&gt;0.2,"模型尚未反映期間變化",""))</f>
        <v/>
      </c>
      <c r="AB2" t="inlineStr">
        <is>
          <t>淨利</t>
        </is>
      </c>
      <c r="AC2" t="inlineStr">
        <is>
          <t>PL 頁各情境淨利</t>
        </is>
      </c>
      <c r="AD2" t="inlineStr">
        <is>
          <t>35 個情境年度淨利，全部 為正</t>
        </is>
      </c>
      <c r="AE2" s="4" t="n">
        <v>9831.987212663698</v>
      </c>
      <c r="AF2" s="4" t="n">
        <v>112.494809527772</v>
      </c>
      <c r="AG2" t="inlineStr">
        <is>
          <t>[Derived] nvidia/dist/20261023_NVIDIA模型_v0.1.1.xlsx PL!C12…PL!G292</t>
        </is>
      </c>
      <c r="AH2">
        <f>IF(AB2="淨利",IF(AF2&gt;0,"通過（淨利）","不通過"),IF(AE2&lt;0,"不通過","通過（現金流）"))</f>
        <v/>
      </c>
      <c r="AI2">
        <f>IF(AH2="不通過","收支不足",S2)</f>
        <v/>
      </c>
    </row>
    <row r="3">
      <c r="A3" t="inlineStr">
        <is>
          <t>AVGO</t>
        </is>
      </c>
      <c r="B3" t="inlineStr">
        <is>
          <t>Broadcom</t>
        </is>
      </c>
      <c r="C3">
        <f>價值鏈!A5</f>
        <v/>
      </c>
      <c r="D3" t="inlineStr">
        <is>
          <t>運算</t>
        </is>
      </c>
      <c r="E3" t="inlineStr">
        <is>
          <t>替代口徑：Andy 合理 P/E</t>
        </is>
      </c>
      <c r="F3" s="4" t="n">
        <v>451.946157912072</v>
      </c>
      <c r="G3" t="inlineStr">
        <is>
          <t>../../../tmp/claude-0/avgo/avgo/dist/20261023_Broadcom模型_v0.1.xlsx Val!C33</t>
        </is>
      </c>
      <c r="J3" s="4" t="n">
        <v>370.503465385049</v>
      </c>
      <c r="K3" t="inlineStr">
        <is>
          <t>../../../tmp/claude-0/avgo/avgo/dist/20261023_Broadcom模型_v0.1.xlsx Val!F35</t>
        </is>
      </c>
      <c r="N3">
        <f>價格!H3</f>
        <v/>
      </c>
      <c r="O3">
        <f>MIN(F3,H3)</f>
        <v/>
      </c>
      <c r="P3">
        <f>MIN(J3,L3)</f>
        <v/>
      </c>
      <c r="Q3">
        <f>O3/N3-1</f>
        <v/>
      </c>
      <c r="R3">
        <f>P3/N3-1</f>
        <v/>
      </c>
      <c r="S3">
        <f>IF(AND(Q3&gt;=tier_center,R3&gt;=tier_bear),"機會",IF(Q3&lt;tier_rich,"偏貴","觀察"))</f>
        <v/>
      </c>
      <c r="V3" t="inlineStr">
        <is>
          <t>15.4 ／ 18.1 ／ 21.8</t>
        </is>
      </c>
      <c r="W3" s="1" t="inlineStr">
        <is>
          <t>十年倍數待前瞻 P/E 歷史（Bloomberg）；規則值未算；模型在 PR #93，未合併</t>
        </is>
      </c>
      <c r="Z3">
        <f>IF(ISNUMBER(價格!C3),價格!H3/價格!C3-1,"")</f>
        <v/>
      </c>
      <c r="AA3">
        <f>IF(Z3="","",IF(ABS(Z3)&gt;0.2,"模型尚未反映期間變化",""))</f>
        <v/>
      </c>
      <c r="AB3" t="inlineStr">
        <is>
          <t>淨利</t>
        </is>
      </c>
      <c r="AC3" t="inlineStr">
        <is>
          <t>PL 頁各情境淨利</t>
        </is>
      </c>
      <c r="AD3" t="inlineStr">
        <is>
          <t>30 個情境年度淨利，全部 為正</t>
        </is>
      </c>
      <c r="AE3" s="4" t="n">
        <v>2210.188539951681</v>
      </c>
      <c r="AF3" s="4" t="n">
        <v>33.728</v>
      </c>
      <c r="AG3" t="inlineStr">
        <is>
          <t>[Derived] ../../../tmp/claude-0/avgo/avgo/dist/20261023_Broadcom模型_v0.1.xlsx PL!C13…PL!G229</t>
        </is>
      </c>
      <c r="AH3">
        <f>IF(AB3="淨利",IF(AF3&gt;0,"通過（淨利）","不通過"),IF(AE3&lt;0,"不通過","通過（現金流）"))</f>
        <v/>
      </c>
      <c r="AI3">
        <f>IF(AH3="不通過","收支不足",S3)</f>
        <v/>
      </c>
    </row>
    <row r="4">
      <c r="A4" t="inlineStr">
        <is>
          <t>000660</t>
        </is>
      </c>
      <c r="B4" t="inlineStr">
        <is>
          <t>SK 海力士</t>
        </is>
      </c>
      <c r="C4">
        <f>價值鏈!A6</f>
        <v/>
      </c>
      <c r="D4" t="inlineStr">
        <is>
          <t>記憶體</t>
        </is>
      </c>
      <c r="E4" t="inlineStr">
        <is>
          <t>P/B 規則值（主）</t>
        </is>
      </c>
      <c r="F4" s="4" t="n">
        <v>1252559.889355</v>
      </c>
      <c r="G4" t="inlineStr">
        <is>
          <t>skhynix/dist/20261023_SK海力士模型_v0.4.1.xlsx Val!F91</t>
        </is>
      </c>
      <c r="J4" s="4" t="n">
        <v>1252559.889355</v>
      </c>
      <c r="K4" t="inlineStr">
        <is>
          <t>skhynix/dist/20261023_SK海力士模型_v0.4.1.xlsx Val!F91</t>
        </is>
      </c>
      <c r="L4" s="4" t="n">
        <v>1762454.87048227</v>
      </c>
      <c r="M4" t="inlineStr">
        <is>
          <t>skhynix/dist/20261023_SK海力士模型_v0.4.1.xlsx Val!F93</t>
        </is>
      </c>
      <c r="N4">
        <f>價格!H4</f>
        <v/>
      </c>
      <c r="O4">
        <f>MIN(F4,H4)</f>
        <v/>
      </c>
      <c r="P4">
        <f>MIN(J4,L4)</f>
        <v/>
      </c>
      <c r="Q4">
        <f>O4/N4-1</f>
        <v/>
      </c>
      <c r="R4">
        <f>P4/N4-1</f>
        <v/>
      </c>
      <c r="S4">
        <f>IF(AND(Q4&gt;=tier_center,R4&gt;=tier_bear),"機會",IF(Q4&lt;tier_rich,"偏貴","觀察"))</f>
        <v/>
      </c>
      <c r="T4">
        <f>3294714.30031091/N4-1</f>
        <v/>
      </c>
      <c r="U4" t="inlineStr">
        <is>
          <t>P/E 規則值：見頂（Val!F121）</t>
        </is>
      </c>
      <c r="W4" s="1" t="inlineStr">
        <is>
          <t>方法衝突：P/B 假設 ROE 回到歷史；P/E 假設高峰盈餘以歷史倍數計價（overview README v0.3）</t>
        </is>
      </c>
      <c r="Z4">
        <f>IF(ISNUMBER(價格!C4),價格!H4/價格!C4-1,"")</f>
        <v/>
      </c>
      <c r="AA4">
        <f>IF(Z4="","",IF(ABS(Z4)&gt;0.2,"模型尚未反映期間變化",""))</f>
        <v/>
      </c>
      <c r="AB4" t="inlineStr">
        <is>
          <t>現金流</t>
        </is>
      </c>
      <c r="AC4" t="inlineStr">
        <is>
          <t>自由現金流（淨利＋折舊 − 資本支出）</t>
        </is>
      </c>
      <c r="AD4" t="inlineStr">
        <is>
          <t>2026（基準） 232.9、2027 A 301.3、2028 A 334.4、2029 A 360.3、2027 B 293.3、2028 B 151.6、2029 B 327.4、2027 C 293.3、2028 C 77.1、2029 C 210.7</t>
        </is>
      </c>
      <c r="AE4" s="4" t="n">
        <v>2582.300494403294</v>
      </c>
      <c r="AF4" s="4" t="n">
        <v>77.12752837628589</v>
      </c>
      <c r="AG4" t="inlineStr">
        <is>
          <t>[Derived] skhynix/dist/20261023_SK海力士模型_v0.4.1.xlsx Y!C22…Y!L22</t>
        </is>
      </c>
      <c r="AH4">
        <f>IF(AB4="淨利",IF(AF4&gt;0,"通過（淨利）","不通過"),IF(AE4&lt;0,"不通過","通過（現金流）"))</f>
        <v/>
      </c>
      <c r="AI4">
        <f>IF(AH4="不通過","收支不足",S4)</f>
        <v/>
      </c>
    </row>
    <row r="5">
      <c r="A5" t="inlineStr">
        <is>
          <t>005930</t>
        </is>
      </c>
      <c r="B5" t="inlineStr">
        <is>
          <t>三星電子</t>
        </is>
      </c>
      <c r="C5">
        <f>價值鏈!A6</f>
        <v/>
      </c>
      <c r="D5" t="inlineStr">
        <is>
          <t>記憶體</t>
        </is>
      </c>
      <c r="E5" t="inlineStr">
        <is>
          <t>P/B 規則值（主）</t>
        </is>
      </c>
      <c r="F5" s="4" t="n">
        <v>196861.777994851</v>
      </c>
      <c r="G5" t="inlineStr">
        <is>
          <t>samsung/dist/20261023_三星電子模型_v0.2.1.xlsx Val!F91</t>
        </is>
      </c>
      <c r="J5" s="4" t="n">
        <v>196861.777994851</v>
      </c>
      <c r="K5" t="inlineStr">
        <is>
          <t>samsung/dist/20261023_三星電子模型_v0.2.1.xlsx Val!F91</t>
        </is>
      </c>
      <c r="L5" s="4" t="n">
        <v>352474.36400347</v>
      </c>
      <c r="M5" t="inlineStr">
        <is>
          <t>samsung/dist/20261023_三星電子模型_v0.2.1.xlsx Val!F93</t>
        </is>
      </c>
      <c r="N5">
        <f>價格!H5</f>
        <v/>
      </c>
      <c r="O5">
        <f>MIN(F5,H5)</f>
        <v/>
      </c>
      <c r="P5">
        <f>MIN(J5,L5)</f>
        <v/>
      </c>
      <c r="Q5">
        <f>O5/N5-1</f>
        <v/>
      </c>
      <c r="R5">
        <f>P5/N5-1</f>
        <v/>
      </c>
      <c r="S5">
        <f>IF(AND(Q5&gt;=tier_center,R5&gt;=tier_bear),"機會",IF(Q5&lt;tier_rich,"偏貴","觀察"))</f>
        <v/>
      </c>
      <c r="T5">
        <f>718682.078159864/N5-1</f>
        <v/>
      </c>
      <c r="U5" t="inlineStr">
        <is>
          <t>P/E 規則值：見頂（Val!F121）</t>
        </is>
      </c>
      <c r="W5" s="1" t="inlineStr">
        <is>
          <t>方法衝突：P/B 假設 ROE 回到歷史；P/E 假設高峰盈餘以歷史倍數計價（overview README v0.3）</t>
        </is>
      </c>
      <c r="Z5">
        <f>IF(ISNUMBER(價格!C5),價格!H5/價格!C5-1,"")</f>
        <v/>
      </c>
      <c r="AA5">
        <f>IF(Z5="","",IF(ABS(Z5)&gt;0.2,"模型尚未反映期間變化",""))</f>
        <v/>
      </c>
      <c r="AB5" t="inlineStr">
        <is>
          <t>現金流</t>
        </is>
      </c>
      <c r="AC5" t="inlineStr">
        <is>
          <t>自由現金流（淨利＋折舊 − 資本支出）</t>
        </is>
      </c>
      <c r="AD5" t="inlineStr">
        <is>
          <t>2026（基準） 291.2、2027 A 506.0、2028 A 561.3、2029 A 588.0、2027 B 492.5、2028 B 274.2、2029 B 555.8、2027 C 492.5、2028 C 165.3、2029 C 384.4</t>
        </is>
      </c>
      <c r="AE5" s="4" t="n">
        <v>4311.223913548546</v>
      </c>
      <c r="AF5" s="4" t="n">
        <v>165.264961736399</v>
      </c>
      <c r="AG5" t="inlineStr">
        <is>
          <t>[Derived] samsung/dist/20261023_三星電子模型_v0.2.1.xlsx Y!C22…Y!L22</t>
        </is>
      </c>
      <c r="AH5">
        <f>IF(AB5="淨利",IF(AF5&gt;0,"通過（淨利）","不通過"),IF(AE5&lt;0,"不通過","通過（現金流）"))</f>
        <v/>
      </c>
      <c r="AI5">
        <f>IF(AH5="不通過","收支不足",S5)</f>
        <v/>
      </c>
    </row>
    <row r="6">
      <c r="A6" t="inlineStr">
        <is>
          <t>MU</t>
        </is>
      </c>
      <c r="B6" t="inlineStr">
        <is>
          <t>美光</t>
        </is>
      </c>
      <c r="C6">
        <f>價值鏈!A6</f>
        <v/>
      </c>
      <c r="D6" t="inlineStr">
        <is>
          <t>記憶體</t>
        </is>
      </c>
      <c r="E6" t="inlineStr">
        <is>
          <t>P/B 規則值（主）</t>
        </is>
      </c>
      <c r="F6" s="4" t="n">
        <v>269.113458198834</v>
      </c>
      <c r="G6" t="inlineStr">
        <is>
          <t>micron/dist/20261023_美光模型_v0.3.1.xlsx Val!F108</t>
        </is>
      </c>
      <c r="J6" s="4" t="n">
        <v>269.113458198834</v>
      </c>
      <c r="K6" t="inlineStr">
        <is>
          <t>micron/dist/20261023_美光模型_v0.3.1.xlsx Val!F108</t>
        </is>
      </c>
      <c r="L6" s="4" t="n">
        <v>489.084356171092</v>
      </c>
      <c r="M6" t="inlineStr">
        <is>
          <t>micron/dist/20261023_美光模型_v0.3.1.xlsx Val!F110</t>
        </is>
      </c>
      <c r="N6">
        <f>價格!H6</f>
        <v/>
      </c>
      <c r="O6">
        <f>MIN(F6,H6)</f>
        <v/>
      </c>
      <c r="P6">
        <f>MIN(J6,L6)</f>
        <v/>
      </c>
      <c r="Q6">
        <f>O6/N6-1</f>
        <v/>
      </c>
      <c r="R6">
        <f>P6/N6-1</f>
        <v/>
      </c>
      <c r="S6">
        <f>IF(AND(Q6&gt;=tier_center,R6&gt;=tier_bear),"機會",IF(Q6&lt;tier_rich,"偏貴","觀察"))</f>
        <v/>
      </c>
      <c r="T6">
        <f>1312.19524660809/N6-1</f>
        <v/>
      </c>
      <c r="U6" t="inlineStr">
        <is>
          <t>P/E 規則值：見頂（Val!F138）</t>
        </is>
      </c>
      <c r="W6" s="1" t="inlineStr">
        <is>
          <t>方法衝突：P/B 假設 ROE 回到歷史；P/E 假設高峰盈餘以歷史倍數計價（overview README v0.3）</t>
        </is>
      </c>
      <c r="Z6">
        <f>IF(ISNUMBER(價格!C6),價格!H6/價格!C6-1,"")</f>
        <v/>
      </c>
      <c r="AA6">
        <f>IF(Z6="","",IF(ABS(Z6)&gt;0.2,"模型尚未反映期間變化",""))</f>
        <v/>
      </c>
      <c r="AB6" t="inlineStr">
        <is>
          <t>現金流</t>
        </is>
      </c>
      <c r="AC6" t="inlineStr">
        <is>
          <t>自由現金流（淨利＋折舊 − 資本支出）</t>
        </is>
      </c>
      <c r="AD6" t="inlineStr">
        <is>
          <t>FY2026（基準） 67.1、FY2027 A 152.2、FY2028 A 172.3、FY2029 A 179.4、FY2027 B 154.2、FY2028 B 87.7、FY2029 B 132.0、FY2027 C 154.2、FY2028 C 59.6、FY2029 C 54.1</t>
        </is>
      </c>
      <c r="AE6" s="4" t="n">
        <v>1212.84680356464</v>
      </c>
      <c r="AF6" s="4" t="n">
        <v>54.0750248819423</v>
      </c>
      <c r="AG6" t="inlineStr">
        <is>
          <t>[Derived] micron/dist/20261023_美光模型_v0.3.1.xlsx Y!C22…Y!L22</t>
        </is>
      </c>
      <c r="AH6">
        <f>IF(AB6="淨利",IF(AF6&gt;0,"通過（淨利）","不通過"),IF(AE6&lt;0,"不通過","通過（現金流）"))</f>
        <v/>
      </c>
      <c r="AI6">
        <f>IF(AH6="不通過","收支不足",S6)</f>
        <v/>
      </c>
    </row>
    <row r="7">
      <c r="A7" t="inlineStr">
        <is>
          <t>2330</t>
        </is>
      </c>
      <c r="B7" t="inlineStr">
        <is>
          <t>台積電</t>
        </is>
      </c>
      <c r="C7">
        <f>價值鏈!A11</f>
        <v/>
      </c>
      <c r="D7" t="inlineStr">
        <is>
          <t>代工與封測</t>
        </is>
      </c>
      <c r="E7" t="inlineStr">
        <is>
          <t>P/E：規則值與 Andy 合理 P/E 取低</t>
        </is>
      </c>
      <c r="F7" s="4" t="n">
        <v>3022.97680876707</v>
      </c>
      <c r="G7" t="inlineStr">
        <is>
          <t>tsmc/dist/20261023_台積電模型_v0.2.1.xlsx Val!F54</t>
        </is>
      </c>
      <c r="H7">
        <f>35*X7</f>
        <v/>
      </c>
      <c r="I7" t="inlineStr">
        <is>
          <t>Andy 先驗 35x × 2027 EPS（A）tsmc/dist/20261023_台積電模型_v0.2.1.xlsx Val!E54</t>
        </is>
      </c>
      <c r="J7" s="4" t="n">
        <v>2124.47710183721</v>
      </c>
      <c r="K7" t="inlineStr">
        <is>
          <t>tsmc/dist/20261023_台積電模型_v0.2.1.xlsx Val!F55</t>
        </is>
      </c>
      <c r="L7">
        <f>35*Y7</f>
        <v/>
      </c>
      <c r="M7" t="inlineStr">
        <is>
          <t>35x × 2028 EPS（C）tsmc/dist/20261023_台積電模型_v0.2.1.xlsx Val!E57</t>
        </is>
      </c>
      <c r="N7">
        <f>價格!H7</f>
        <v/>
      </c>
      <c r="O7">
        <f>MIN(F7,H7)</f>
        <v/>
      </c>
      <c r="P7">
        <f>MIN(J7,L7)</f>
        <v/>
      </c>
      <c r="Q7">
        <f>O7/N7-1</f>
        <v/>
      </c>
      <c r="R7">
        <f>P7/N7-1</f>
        <v/>
      </c>
      <c r="S7">
        <f>IF(AND(Q7&gt;=tier_center,R7&gt;=tier_bear),"機會",IF(Q7&lt;tier_rich,"偏貴","觀察"))</f>
        <v/>
      </c>
      <c r="W7" s="1" t="inlineStr">
        <is>
          <t>Andy 35x 高於十年最高值（先驗比對 T7b），取低後由規則值決定</t>
        </is>
      </c>
      <c r="X7" s="4" t="n">
        <v>137.595667217436</v>
      </c>
      <c r="Y7" s="4" t="n">
        <v>106.34571226785</v>
      </c>
      <c r="Z7">
        <f>IF(ISNUMBER(價格!C7),價格!H7/價格!C7-1,"")</f>
        <v/>
      </c>
      <c r="AA7">
        <f>IF(Z7="","",IF(ABS(Z7)&gt;0.2,"模型尚未反映期間變化",""))</f>
        <v/>
      </c>
      <c r="AB7" t="inlineStr">
        <is>
          <t>淨利</t>
        </is>
      </c>
      <c r="AC7" t="inlineStr">
        <is>
          <t>PL 頁各情境淨利</t>
        </is>
      </c>
      <c r="AD7" t="inlineStr">
        <is>
          <t>10 個情境年度淨利，全部 為正</t>
        </is>
      </c>
      <c r="AE7" s="4" t="n">
        <v>1080.720589729756</v>
      </c>
      <c r="AF7" s="4" t="n">
        <v>84.633409367754</v>
      </c>
      <c r="AG7" t="inlineStr">
        <is>
          <t>[Derived] tsmc/dist/20261023_台積電模型_v0.2.1.xlsx PL!B12…PL!K12</t>
        </is>
      </c>
      <c r="AH7">
        <f>IF(AB7="淨利",IF(AF7&gt;0,"通過（淨利）","不通過"),IF(AE7&lt;0,"不通過","通過（現金流）"))</f>
        <v/>
      </c>
      <c r="AI7">
        <f>IF(AH7="不通過","收支不足",S7)</f>
        <v/>
      </c>
    </row>
    <row r="8">
      <c r="A8" t="inlineStr">
        <is>
          <t>ANET</t>
        </is>
      </c>
      <c r="B8" t="inlineStr">
        <is>
          <t>Arista</t>
        </is>
      </c>
      <c r="C8">
        <f>價值鏈!A7</f>
        <v/>
      </c>
      <c r="D8" t="inlineStr">
        <is>
          <t>網通</t>
        </is>
      </c>
      <c r="E8" t="inlineStr">
        <is>
          <t>P/E：規則值與 Andy 合理 P/E 取低</t>
        </is>
      </c>
      <c r="F8" s="4" t="n">
        <v>181.312183514024</v>
      </c>
      <c r="G8" t="inlineStr">
        <is>
          <t>arista/dist/20261024_Arista模型_v0.1.xlsx Val!E23</t>
        </is>
      </c>
      <c r="H8" s="4" t="n">
        <v>136.629331701888</v>
      </c>
      <c r="I8" t="inlineStr">
        <is>
          <t>arista/dist/20261024_Arista模型_v0.1.xlsx Val!C37</t>
        </is>
      </c>
      <c r="J8" s="4" t="n">
        <v>145.130712341116</v>
      </c>
      <c r="K8" t="inlineStr">
        <is>
          <t>arista/dist/20261024_Arista模型_v0.1.xlsx Val!E25</t>
        </is>
      </c>
      <c r="L8" s="4" t="n">
        <v>124.169104273114</v>
      </c>
      <c r="M8" t="inlineStr">
        <is>
          <t>arista/dist/20261024_Arista模型_v0.1.xlsx Val!F39</t>
        </is>
      </c>
      <c r="N8">
        <f>價格!H8</f>
        <v/>
      </c>
      <c r="O8">
        <f>MIN(F8,H8)</f>
        <v/>
      </c>
      <c r="P8">
        <f>MIN(J8,L8)</f>
        <v/>
      </c>
      <c r="Q8">
        <f>O8/N8-1</f>
        <v/>
      </c>
      <c r="R8">
        <f>P8/N8-1</f>
        <v/>
      </c>
      <c r="S8">
        <f>IF(AND(Q8&gt;=tier_center,R8&gt;=tier_bear),"機會",IF(Q8&lt;tier_rich,"偏貴","觀察"))</f>
        <v/>
      </c>
      <c r="V8" t="inlineStr">
        <is>
          <t>28.8 ／ 31.3 ／ 34.7</t>
        </is>
      </c>
      <c r="W8" s="1" t="inlineStr"/>
      <c r="Z8">
        <f>IF(ISNUMBER(價格!C8),價格!H8/價格!C8-1,"")</f>
        <v/>
      </c>
      <c r="AA8">
        <f>IF(Z8="","",IF(ABS(Z8)&gt;0.2,"模型尚未反映期間變化",""))</f>
        <v/>
      </c>
      <c r="AB8" t="inlineStr">
        <is>
          <t>淨利</t>
        </is>
      </c>
      <c r="AC8" t="inlineStr">
        <is>
          <t>PL 頁各情境淨利</t>
        </is>
      </c>
      <c r="AD8" t="inlineStr">
        <is>
          <t>30 個情境年度淨利，全部 為正</t>
        </is>
      </c>
      <c r="AE8" s="4" t="n">
        <v>184.2094367559607</v>
      </c>
      <c r="AF8" s="4" t="n">
        <v>3.806</v>
      </c>
      <c r="AG8" t="inlineStr">
        <is>
          <t>[Derived] arista/dist/20261024_Arista模型_v0.1.xlsx PL!C12…PL!G147</t>
        </is>
      </c>
      <c r="AH8">
        <f>IF(AB8="淨利",IF(AF8&gt;0,"通過（淨利）","不通過"),IF(AE8&lt;0,"不通過","通過（現金流）"))</f>
        <v/>
      </c>
      <c r="AI8">
        <f>IF(AH8="不通過","收支不足",S8)</f>
        <v/>
      </c>
    </row>
    <row r="9">
      <c r="A9" t="inlineStr">
        <is>
          <t>300308</t>
        </is>
      </c>
      <c r="B9" t="inlineStr">
        <is>
          <t>中際旭創</t>
        </is>
      </c>
      <c r="C9">
        <f>價值鏈!A7</f>
        <v/>
      </c>
      <c r="D9" t="inlineStr">
        <is>
          <t>網通</t>
        </is>
      </c>
      <c r="E9" t="inlineStr">
        <is>
          <t>P/E：規則值與 Andy 合理 P/E 取低</t>
        </is>
      </c>
      <c r="F9" s="4" t="n">
        <v>2493.26211088245</v>
      </c>
      <c r="G9" t="inlineStr">
        <is>
          <t>innolight/dist/20261024_中際旭創模型_v0.1.xlsx Val!D23</t>
        </is>
      </c>
      <c r="H9" s="4" t="n">
        <v>1417.96897301371</v>
      </c>
      <c r="I9" t="inlineStr">
        <is>
          <t>innolight/dist/20261024_中際旭創模型_v0.1.xlsx Val!C37</t>
        </is>
      </c>
      <c r="J9" s="4" t="n">
        <v>1355.57833820111</v>
      </c>
      <c r="K9" t="inlineStr">
        <is>
          <t>innolight/dist/20261024_中際旭創模型_v0.1.xlsx Val!D25</t>
        </is>
      </c>
      <c r="L9" s="4" t="n">
        <v>875.1517923539431</v>
      </c>
      <c r="M9" t="inlineStr">
        <is>
          <t>innolight/dist/20261024_中際旭創模型_v0.1.xlsx Val!F39</t>
        </is>
      </c>
      <c r="N9">
        <f>價格!H9</f>
        <v/>
      </c>
      <c r="O9">
        <f>MIN(F9,H9)</f>
        <v/>
      </c>
      <c r="P9">
        <f>MIN(J9,L9)</f>
        <v/>
      </c>
      <c r="Q9">
        <f>O9/N9-1</f>
        <v/>
      </c>
      <c r="R9">
        <f>P9/N9-1</f>
        <v/>
      </c>
      <c r="S9">
        <f>IF(AND(Q9&gt;=tier_center,R9&gt;=tier_bear),"機會",IF(Q9&lt;tier_rich,"偏貴","觀察"))</f>
        <v/>
      </c>
      <c r="V9" t="inlineStr">
        <is>
          <t>12.3 ／ 15.5 ／ 21.0</t>
        </is>
      </c>
      <c r="W9" s="1" t="inlineStr">
        <is>
          <t>十年 P/E 中位數 52.75x 含小型股時期，規則值偏高；取低後由 Andy 30x 決定</t>
        </is>
      </c>
      <c r="Z9">
        <f>IF(ISNUMBER(價格!C9),價格!H9/價格!C9-1,"")</f>
        <v/>
      </c>
      <c r="AA9">
        <f>IF(Z9="","",IF(ABS(Z9)&gt;0.2,"模型尚未反映期間變化",""))</f>
        <v/>
      </c>
      <c r="AB9" t="inlineStr">
        <is>
          <t>淨利</t>
        </is>
      </c>
      <c r="AC9" t="inlineStr">
        <is>
          <t>PL 頁各情境淨利</t>
        </is>
      </c>
      <c r="AD9" t="inlineStr">
        <is>
          <t>30 個情境年度淨利，全部 為正</t>
        </is>
      </c>
      <c r="AE9" s="4" t="n">
        <v>1214.705294278893</v>
      </c>
      <c r="AF9" s="4" t="n">
        <v>10.797</v>
      </c>
      <c r="AG9" t="inlineStr">
        <is>
          <t>[Derived] innolight/dist/20261024_中際旭創模型_v0.1.xlsx PL!C12…PL!G149</t>
        </is>
      </c>
      <c r="AH9">
        <f>IF(AB9="淨利",IF(AF9&gt;0,"通過（淨利）","不通過"),IF(AE9&lt;0,"不通過","通過（現金流）"))</f>
        <v/>
      </c>
      <c r="AI9">
        <f>IF(AH9="不通過","收支不足",S9)</f>
        <v/>
      </c>
    </row>
    <row r="10">
      <c r="A10" t="inlineStr">
        <is>
          <t>2308</t>
        </is>
      </c>
      <c r="B10" t="inlineStr">
        <is>
          <t>台達電</t>
        </is>
      </c>
      <c r="C10">
        <f>價值鏈!A8</f>
        <v/>
      </c>
      <c r="D10" t="inlineStr">
        <is>
          <t>電源與散熱</t>
        </is>
      </c>
      <c r="E10" t="inlineStr">
        <is>
          <t>P/E：規則值與 Andy 合理 P/E 取低</t>
        </is>
      </c>
      <c r="F10" s="4" t="n">
        <v>1360.0134167175</v>
      </c>
      <c r="G10" t="inlineStr">
        <is>
          <t>delta/dist/20261024_台達電模型_v0.1.xlsx Val!E23</t>
        </is>
      </c>
      <c r="H10" s="4" t="n">
        <v>1517.87211687221</v>
      </c>
      <c r="I10" t="inlineStr">
        <is>
          <t>delta/dist/20261024_台達電模型_v0.1.xlsx Val!C37</t>
        </is>
      </c>
      <c r="J10" s="4" t="n">
        <v>1360.0134167175</v>
      </c>
      <c r="K10" t="inlineStr">
        <is>
          <t>delta/dist/20261024_台達電模型_v0.1.xlsx Val!E25</t>
        </is>
      </c>
      <c r="L10" s="4" t="n">
        <v>1260.88220934176</v>
      </c>
      <c r="M10" t="inlineStr">
        <is>
          <t>delta/dist/20261024_台達電模型_v0.1.xlsx Val!F39</t>
        </is>
      </c>
      <c r="N10">
        <f>價格!H10</f>
        <v/>
      </c>
      <c r="O10">
        <f>MIN(F10,H10)</f>
        <v/>
      </c>
      <c r="P10">
        <f>MIN(J10,L10)</f>
        <v/>
      </c>
      <c r="Q10">
        <f>O10/N10-1</f>
        <v/>
      </c>
      <c r="R10">
        <f>P10/N10-1</f>
        <v/>
      </c>
      <c r="S10">
        <f>IF(AND(Q10&gt;=tier_center,R10&gt;=tier_bear),"機會",IF(Q10&lt;tier_rich,"偏貴","觀察"))</f>
        <v/>
      </c>
      <c r="V10" t="inlineStr">
        <is>
          <t>20.8 ／ 24.5 ／ 31.8</t>
        </is>
      </c>
      <c r="W10" s="1" t="inlineStr"/>
      <c r="Z10">
        <f>IF(ISNUMBER(價格!C10),價格!H10/價格!C10-1,"")</f>
        <v/>
      </c>
      <c r="AA10">
        <f>IF(Z10="","",IF(ABS(Z10)&gt;0.2,"模型尚未反映期間變化",""))</f>
        <v/>
      </c>
      <c r="AB10" t="inlineStr">
        <is>
          <t>淨利</t>
        </is>
      </c>
      <c r="AC10" t="inlineStr">
        <is>
          <t>PL 頁各情境淨利</t>
        </is>
      </c>
      <c r="AD10" t="inlineStr">
        <is>
          <t>30 個情境年度淨利，全部 為正</t>
        </is>
      </c>
      <c r="AE10" s="4" t="n">
        <v>4047.392536240182</v>
      </c>
      <c r="AF10" s="4" t="n">
        <v>60.108</v>
      </c>
      <c r="AG10" t="inlineStr">
        <is>
          <t>[Derived] delta/dist/20261024_台達電模型_v0.1.xlsx PL!C13…PL!G171</t>
        </is>
      </c>
      <c r="AH10">
        <f>IF(AB10="淨利",IF(AF10&gt;0,"通過（淨利）","不通過"),IF(AE10&lt;0,"不通過","通過（現金流）"))</f>
        <v/>
      </c>
      <c r="AI10">
        <f>IF(AH10="不通過","收支不足",S10)</f>
        <v/>
      </c>
    </row>
    <row r="11">
      <c r="A11" t="inlineStr">
        <is>
          <t>2382</t>
        </is>
      </c>
      <c r="B11" t="inlineStr">
        <is>
          <t>廣達</t>
        </is>
      </c>
      <c r="C11">
        <f>價值鏈!A9</f>
        <v/>
      </c>
      <c r="D11" t="inlineStr">
        <is>
          <t>伺服器組裝</t>
        </is>
      </c>
      <c r="E11" t="inlineStr">
        <is>
          <t>P/E：規則值與 Andy 合理 P/E 取低</t>
        </is>
      </c>
      <c r="F11" s="4" t="n">
        <v>535.1196851143731</v>
      </c>
      <c r="G11" t="inlineStr">
        <is>
          <t>quanta/dist/20261024_廣達模型_v0.1.xlsx Val!E23</t>
        </is>
      </c>
      <c r="H11" s="4" t="n">
        <v>654.1805441496</v>
      </c>
      <c r="I11" t="inlineStr">
        <is>
          <t>quanta/dist/20261024_廣達模型_v0.1.xlsx Val!C37</t>
        </is>
      </c>
      <c r="J11" s="4" t="n">
        <v>471.446112150478</v>
      </c>
      <c r="K11" t="inlineStr">
        <is>
          <t>quanta/dist/20261024_廣達模型_v0.1.xlsx Val!E25</t>
        </is>
      </c>
      <c r="L11" s="4" t="n">
        <v>473.467488733982</v>
      </c>
      <c r="M11" t="inlineStr">
        <is>
          <t>quanta/dist/20261024_廣達模型_v0.1.xlsx Val!F39</t>
        </is>
      </c>
      <c r="N11">
        <f>價格!H11</f>
        <v/>
      </c>
      <c r="O11">
        <f>MIN(F11,H11)</f>
        <v/>
      </c>
      <c r="P11">
        <f>MIN(J11,L11)</f>
        <v/>
      </c>
      <c r="Q11">
        <f>O11/N11-1</f>
        <v/>
      </c>
      <c r="R11">
        <f>P11/N11-1</f>
        <v/>
      </c>
      <c r="S11">
        <f>IF(AND(Q11&gt;=tier_center,R11&gt;=tier_bear),"機會",IF(Q11&lt;tier_rich,"偏貴","觀察"))</f>
        <v/>
      </c>
      <c r="V11" t="inlineStr">
        <is>
          <t>6.2 ／ 7.7 ／ 10.2</t>
        </is>
      </c>
      <c r="W11" s="1" t="inlineStr"/>
      <c r="Z11">
        <f>IF(ISNUMBER(價格!C11),價格!H11/價格!C11-1,"")</f>
        <v/>
      </c>
      <c r="AA11">
        <f>IF(Z11="","",IF(ABS(Z11)&gt;0.2,"模型尚未反映期間變化",""))</f>
        <v/>
      </c>
      <c r="AB11" t="inlineStr">
        <is>
          <t>淨利</t>
        </is>
      </c>
      <c r="AC11" t="inlineStr">
        <is>
          <t>PL 頁各情境淨利</t>
        </is>
      </c>
      <c r="AD11" t="inlineStr">
        <is>
          <t>30 個情境年度淨利，全部 為正</t>
        </is>
      </c>
      <c r="AE11" s="4" t="n">
        <v>4153.221447696762</v>
      </c>
      <c r="AF11" s="4" t="n">
        <v>74.98</v>
      </c>
      <c r="AG11" t="inlineStr">
        <is>
          <t>[Derived] quanta/dist/20261024_廣達模型_v0.1.xlsx PL!C13…PL!G171</t>
        </is>
      </c>
      <c r="AH11">
        <f>IF(AB11="淨利",IF(AF11&gt;0,"通過（淨利）","不通過"),IF(AE11&lt;0,"不通過","通過（現金流）"))</f>
        <v/>
      </c>
      <c r="AI11">
        <f>IF(AH11="不通過","收支不足",S11)</f>
        <v/>
      </c>
    </row>
    <row r="12">
      <c r="A12" t="inlineStr">
        <is>
          <t>4062</t>
        </is>
      </c>
      <c r="B12" t="inlineStr">
        <is>
          <t>Ibiden</t>
        </is>
      </c>
      <c r="C12">
        <f>價值鏈!A10</f>
        <v/>
      </c>
      <c r="D12" t="inlineStr">
        <is>
          <t>載板與 PCB</t>
        </is>
      </c>
      <c r="E12" t="inlineStr">
        <is>
          <t>替代口徑：Andy 合理 P/E</t>
        </is>
      </c>
      <c r="F12" s="4" t="n">
        <v>5403.31747792233</v>
      </c>
      <c r="G12" t="inlineStr">
        <is>
          <t>ibiden/dist/20261024_Ibiden模型_v0.1.xlsx Val!C32</t>
        </is>
      </c>
      <c r="J12" s="4" t="n">
        <v>3747.46907732231</v>
      </c>
      <c r="K12" t="inlineStr">
        <is>
          <t>ibiden/dist/20261024_Ibiden模型_v0.1.xlsx Val!F34</t>
        </is>
      </c>
      <c r="N12">
        <f>價格!H12</f>
        <v/>
      </c>
      <c r="O12">
        <f>MIN(F12,H12)</f>
        <v/>
      </c>
      <c r="P12">
        <f>MIN(J12,L12)</f>
        <v/>
      </c>
      <c r="Q12">
        <f>O12/N12-1</f>
        <v/>
      </c>
      <c r="R12">
        <f>P12/N12-1</f>
        <v/>
      </c>
      <c r="S12">
        <f>IF(AND(Q12&gt;=tier_center,R12&gt;=tier_bear),"機會",IF(Q12&lt;tier_rich,"偏貴","觀察"))</f>
        <v/>
      </c>
      <c r="V12" t="inlineStr">
        <is>
          <t>44.6 ／ 52.9 ／ 65.1</t>
        </is>
      </c>
      <c r="W12" s="1" t="inlineStr">
        <is>
          <t>模型未算十年倍數規則值</t>
        </is>
      </c>
      <c r="Z12">
        <f>IF(ISNUMBER(價格!C12),價格!H12/價格!C12-1,"")</f>
        <v/>
      </c>
      <c r="AA12">
        <f>IF(Z12="","",IF(ABS(Z12)&gt;0.2,"模型尚未反映期間變化",""))</f>
        <v/>
      </c>
      <c r="AB12" t="inlineStr">
        <is>
          <t>淨利</t>
        </is>
      </c>
      <c r="AC12" t="inlineStr">
        <is>
          <t>PL 頁各情境淨利</t>
        </is>
      </c>
      <c r="AD12" t="inlineStr">
        <is>
          <t>30 個情境年度淨利，全部 為正</t>
        </is>
      </c>
      <c r="AE12" s="4" t="n">
        <v>2912.837454335999</v>
      </c>
      <c r="AF12" s="4" t="n">
        <v>63.713</v>
      </c>
      <c r="AG12" t="inlineStr">
        <is>
          <t>[Derived] ibiden/dist/20261024_Ibiden模型_v0.1.xlsx PL!C11…PL!G156</t>
        </is>
      </c>
      <c r="AH12">
        <f>IF(AB12="淨利",IF(AF12&gt;0,"通過（淨利）","不通過"),IF(AE12&lt;0,"不通過","通過（現金流）"))</f>
        <v/>
      </c>
      <c r="AI12">
        <f>IF(AH12="不通過","收支不足",S12)</f>
        <v/>
      </c>
    </row>
    <row r="13">
      <c r="A13" t="inlineStr">
        <is>
          <t>6857</t>
        </is>
      </c>
      <c r="B13" t="inlineStr">
        <is>
          <t>Advantest</t>
        </is>
      </c>
      <c r="C13">
        <f>價值鏈!A12</f>
        <v/>
      </c>
      <c r="D13" t="inlineStr">
        <is>
          <t>設備與材料</t>
        </is>
      </c>
      <c r="E13" t="inlineStr">
        <is>
          <t>P/E 規則值（設備股共用循環規則）</t>
        </is>
      </c>
      <c r="F13" s="4" t="n">
        <v>25964.3043713706</v>
      </c>
      <c r="G13" t="inlineStr">
        <is>
          <t>advantest/dist/20261023_Advantest模型_v0.2.2.xlsx Val!F68</t>
        </is>
      </c>
      <c r="J13" s="4" t="n">
        <v>21312.7210727656</v>
      </c>
      <c r="K13" t="inlineStr">
        <is>
          <t>advantest/dist/20261023_Advantest模型_v0.2.2.xlsx Val!F82</t>
        </is>
      </c>
      <c r="N13">
        <f>價格!H13</f>
        <v/>
      </c>
      <c r="O13">
        <f>MIN(F13,H13)</f>
        <v/>
      </c>
      <c r="P13">
        <f>MIN(J13,L13)</f>
        <v/>
      </c>
      <c r="Q13">
        <f>O13/N13-1</f>
        <v/>
      </c>
      <c r="R13">
        <f>P13/N13-1</f>
        <v/>
      </c>
      <c r="S13">
        <f>IF(AND(Q13&gt;=tier_center,R13&gt;=tier_bear),"機會",IF(Q13&lt;tier_rich,"偏貴","觀察"))</f>
        <v/>
      </c>
      <c r="W13" s="1" t="inlineStr"/>
      <c r="Z13">
        <f>IF(ISNUMBER(價格!C13),價格!H13/價格!C13-1,"")</f>
        <v/>
      </c>
      <c r="AA13">
        <f>IF(Z13="","",IF(ABS(Z13)&gt;0.2,"模型尚未反映期間變化",""))</f>
        <v/>
      </c>
      <c r="AB13" t="inlineStr">
        <is>
          <t>淨利</t>
        </is>
      </c>
      <c r="AC13" t="inlineStr">
        <is>
          <t>PL 頁各情境淨利</t>
        </is>
      </c>
      <c r="AD13" t="inlineStr">
        <is>
          <t>30 個情境年度淨利，全部 為正</t>
        </is>
      </c>
      <c r="AE13" s="4" t="n">
        <v>20374.08496527686</v>
      </c>
      <c r="AF13" s="4" t="n">
        <v>375.4</v>
      </c>
      <c r="AG13" t="inlineStr">
        <is>
          <t>[Derived] advantest/dist/20261023_Advantest模型_v0.2.2.xlsx PL!C12…PL!G122</t>
        </is>
      </c>
      <c r="AH13">
        <f>IF(AB13="淨利",IF(AF13&gt;0,"通過（淨利）","不通過"),IF(AE13&lt;0,"不通過","通過（現金流）"))</f>
        <v/>
      </c>
      <c r="AI13">
        <f>IF(AH13="不通過","收支不足",S13)</f>
        <v/>
      </c>
    </row>
    <row r="14">
      <c r="A14" t="inlineStr">
        <is>
          <t>6146</t>
        </is>
      </c>
      <c r="B14" t="inlineStr">
        <is>
          <t>Disco</t>
        </is>
      </c>
      <c r="C14">
        <f>價值鏈!A12</f>
        <v/>
      </c>
      <c r="D14" t="inlineStr">
        <is>
          <t>設備與材料</t>
        </is>
      </c>
      <c r="E14" t="inlineStr">
        <is>
          <t>P/E 規則值（設備股共用循環規則）</t>
        </is>
      </c>
      <c r="F14" s="4" t="n">
        <v>48426.1597690523</v>
      </c>
      <c r="G14" t="inlineStr">
        <is>
          <t>disco/dist/20261023_Disco模型_v0.1.3.xlsx Val!F35</t>
        </is>
      </c>
      <c r="J14" s="4" t="n">
        <v>27773.5675456227</v>
      </c>
      <c r="K14" t="inlineStr">
        <is>
          <t>disco/dist/20261023_Disco模型_v0.1.3.xlsx Val!F45</t>
        </is>
      </c>
      <c r="N14">
        <f>價格!H14</f>
        <v/>
      </c>
      <c r="O14">
        <f>MIN(F14,H14)</f>
        <v/>
      </c>
      <c r="P14">
        <f>MIN(J14,L14)</f>
        <v/>
      </c>
      <c r="Q14">
        <f>O14/N14-1</f>
        <v/>
      </c>
      <c r="R14">
        <f>P14/N14-1</f>
        <v/>
      </c>
      <c r="S14">
        <f>IF(AND(Q14&gt;=tier_center,R14&gt;=tier_bear),"機會",IF(Q14&lt;tier_rich,"偏貴","觀察"))</f>
        <v/>
      </c>
      <c r="W14" s="1" t="inlineStr"/>
      <c r="Z14">
        <f>IF(ISNUMBER(價格!C14),價格!H14/價格!C14-1,"")</f>
        <v/>
      </c>
      <c r="AA14">
        <f>IF(Z14="","",IF(ABS(Z14)&gt;0.2,"模型尚未反映期間變化",""))</f>
        <v/>
      </c>
      <c r="AB14" t="inlineStr">
        <is>
          <t>淨利</t>
        </is>
      </c>
      <c r="AC14" t="inlineStr">
        <is>
          <t>PL 頁各情境淨利</t>
        </is>
      </c>
      <c r="AD14" t="inlineStr">
        <is>
          <t>30 個情境年度淨利，全部 為正</t>
        </is>
      </c>
      <c r="AE14" s="4" t="n">
        <v>5014.645076769742</v>
      </c>
      <c r="AF14" s="4" t="n">
        <v>135.521</v>
      </c>
      <c r="AG14" t="inlineStr">
        <is>
          <t>[Derived] disco/dist/20261023_Disco模型_v0.1.3.xlsx PL!C16…PL!G244</t>
        </is>
      </c>
      <c r="AH14">
        <f>IF(AB14="淨利",IF(AF14&gt;0,"通過（淨利）","不通過"),IF(AE14&lt;0,"不通過","通過（現金流）"))</f>
        <v/>
      </c>
      <c r="AI14">
        <f>IF(AH14="不通過","收支不足",S14)</f>
        <v/>
      </c>
    </row>
    <row r="15">
      <c r="A15" t="inlineStr">
        <is>
          <t>MSFT</t>
        </is>
      </c>
      <c r="B15" t="inlineStr">
        <is>
          <t>Microsoft</t>
        </is>
      </c>
      <c r="C15">
        <f>價值鏈!A3</f>
        <v/>
      </c>
      <c r="D15" t="inlineStr">
        <is>
          <t>AI 雲端平台</t>
        </is>
      </c>
      <c r="E15" t="inlineStr">
        <is>
          <t>模型加權目標價（評等：賣出）</t>
        </is>
      </c>
      <c r="F15" s="4" t="n">
        <v>359.058838816622</v>
      </c>
      <c r="G15" t="inlineStr">
        <is>
          <t>microsoft/dist/20261025_Microsoft收支模型_v0_2_2.xlsx 摘要!C7</t>
        </is>
      </c>
      <c r="J15" s="4" t="n">
        <v>359.058838816622</v>
      </c>
      <c r="K15" t="inlineStr">
        <is>
          <t>microsoft/dist/20261025_Microsoft收支模型_v0_2_2.xlsx 摘要!C7</t>
        </is>
      </c>
      <c r="L15" s="4" t="n">
        <v>360.157606985669</v>
      </c>
      <c r="M15" t="inlineStr">
        <is>
          <t>microsoft/dist/20261025_Microsoft收支模型_v0_2_2.xlsx 摘要!C10</t>
        </is>
      </c>
      <c r="N15">
        <f>價格!H15</f>
        <v/>
      </c>
      <c r="O15">
        <f>MIN(F15,H15)</f>
        <v/>
      </c>
      <c r="P15">
        <f>MIN(J15,L15)</f>
        <v/>
      </c>
      <c r="Q15">
        <f>O15/N15-1</f>
        <v/>
      </c>
      <c r="R15">
        <f>P15/N15-1</f>
        <v/>
      </c>
      <c r="S15">
        <f>IF(AND(Q15&gt;=tier_center,R15&gt;=tier_bear),"機會",IF(Q15&lt;tier_rich,"偏貴","觀察"))</f>
        <v/>
      </c>
      <c r="W15" s="1" t="inlineStr">
        <is>
          <t>賣出：點位 $359.1，較現價 $529.76 低 32%；情境區間 $360.2–$380.6，方法區間 $353.5–$359.1；點位低於賣出門檻 $450.3 達 $91.2。｜MAG 模型終值占 EV 逾 90%，評價口徑待 MAG v0.3</t>
        </is>
      </c>
      <c r="Z15">
        <f>IF(ISNUMBER(價格!C15),價格!H15/價格!C15-1,"")</f>
        <v/>
      </c>
      <c r="AA15">
        <f>IF(Z15="","",IF(ABS(Z15)&gt;0.2,"模型尚未反映期間變化",""))</f>
        <v/>
      </c>
      <c r="AB15" t="inlineStr">
        <is>
          <t>現金流</t>
        </is>
      </c>
      <c r="AC15" t="inlineStr">
        <is>
          <t>自由現金流（FCF＝營運現金 − 現金資本支出）</t>
        </is>
      </c>
      <c r="AD15" t="inlineStr">
        <is>
          <t>FY27 1.2、FY28 37.2、FY29 80.5、FY30 88.3、FY31 23.3</t>
        </is>
      </c>
      <c r="AE15" s="4" t="n">
        <v>230.4767517004849</v>
      </c>
      <c r="AF15" s="4" t="n">
        <v>1.24629259914113</v>
      </c>
      <c r="AG15" t="inlineStr">
        <is>
          <t>[Derived] microsoft/dist/20261025_Microsoft收支模型_v0_2_2.xlsx 各期收支!C44…各期收支!G44</t>
        </is>
      </c>
      <c r="AH15">
        <f>IF(AB15="淨利",IF(AF15&gt;0,"通過（淨利）","不通過"),IF(AE15&lt;0,"不通過","通過（現金流）"))</f>
        <v/>
      </c>
      <c r="AI15">
        <f>IF(AH15="不通過","收支不足",S15)</f>
        <v/>
      </c>
    </row>
    <row r="16">
      <c r="A16" t="inlineStr">
        <is>
          <t>AMZN</t>
        </is>
      </c>
      <c r="B16" t="inlineStr">
        <is>
          <t>Amazon</t>
        </is>
      </c>
      <c r="C16">
        <f>價值鏈!A3</f>
        <v/>
      </c>
      <c r="D16" t="inlineStr">
        <is>
          <t>AI 雲端平台</t>
        </is>
      </c>
      <c r="E16" t="inlineStr">
        <is>
          <t>模型加權目標價（評等：賣出）</t>
        </is>
      </c>
      <c r="F16" s="4" t="n">
        <v>201.7143092677</v>
      </c>
      <c r="G16" t="inlineStr">
        <is>
          <t>amazon/dist/20261025_Amazon收支模型_v0_2_2.xlsx 摘要!C7</t>
        </is>
      </c>
      <c r="J16" s="4" t="n">
        <v>201.7143092677</v>
      </c>
      <c r="K16" t="inlineStr">
        <is>
          <t>amazon/dist/20261025_Amazon收支模型_v0_2_2.xlsx 摘要!C7</t>
        </is>
      </c>
      <c r="L16" s="4" t="n">
        <v>201.136157296701</v>
      </c>
      <c r="M16" t="inlineStr">
        <is>
          <t>amazon/dist/20261025_Amazon收支模型_v0_2_2.xlsx 摘要!C10</t>
        </is>
      </c>
      <c r="N16">
        <f>價格!H16</f>
        <v/>
      </c>
      <c r="O16">
        <f>MIN(F16,H16)</f>
        <v/>
      </c>
      <c r="P16">
        <f>MIN(J16,L16)</f>
        <v/>
      </c>
      <c r="Q16">
        <f>O16/N16-1</f>
        <v/>
      </c>
      <c r="R16">
        <f>P16/N16-1</f>
        <v/>
      </c>
      <c r="S16">
        <f>IF(AND(Q16&gt;=tier_center,R16&gt;=tier_bear),"機會",IF(Q16&lt;tier_rich,"偏貴","觀察"))</f>
        <v/>
      </c>
      <c r="W16" s="1" t="inlineStr">
        <is>
          <t>賣出：點位 $201.7，較現價 $259.92 低 22%；情境區間 $201.1–$212.3，方法區間 $197.5–$201.7；點位低於賣出門檻 $220.9 達 $19.2。｜MAG 模型終值占 EV 逾 90%，評價口徑待 MAG v0.3</t>
        </is>
      </c>
      <c r="Z16">
        <f>IF(ISNUMBER(價格!C16),價格!H16/價格!C16-1,"")</f>
        <v/>
      </c>
      <c r="AA16">
        <f>IF(Z16="","",IF(ABS(Z16)&gt;0.2,"模型尚未反映期間變化",""))</f>
        <v/>
      </c>
      <c r="AB16" t="inlineStr">
        <is>
          <t>現金流</t>
        </is>
      </c>
      <c r="AC16" t="inlineStr">
        <is>
          <t>自由現金流（FCF＝營運現金 − 現金資本支出）</t>
        </is>
      </c>
      <c r="AD16" t="inlineStr">
        <is>
          <t>2026 -60.0、2027 -67.6、2028 -29.8、2029 10.0、2030 -66.4</t>
        </is>
      </c>
      <c r="AE16" s="4" t="n">
        <v>-213.784581805032</v>
      </c>
      <c r="AF16" s="4" t="n">
        <v>-67.6423913811975</v>
      </c>
      <c r="AG16" t="inlineStr">
        <is>
          <t>[Derived] amazon/dist/20261025_Amazon收支模型_v0_2_2.xlsx 各期收支!C44…各期收支!G44</t>
        </is>
      </c>
      <c r="AH16">
        <f>IF(AB16="淨利",IF(AF16&gt;0,"通過（淨利）","不通過"),IF(AE16&lt;0,"不通過","通過（現金流）"))</f>
        <v/>
      </c>
      <c r="AI16">
        <f>IF(AH16="不通過","收支不足",S16)</f>
        <v/>
      </c>
    </row>
    <row r="17">
      <c r="A17" t="inlineStr">
        <is>
          <t>GOOGL</t>
        </is>
      </c>
      <c r="B17" t="inlineStr">
        <is>
          <t>Alphabet</t>
        </is>
      </c>
      <c r="C17">
        <f>價值鏈!A3</f>
        <v/>
      </c>
      <c r="D17" t="inlineStr">
        <is>
          <t>AI 雲端平台</t>
        </is>
      </c>
      <c r="E17" t="inlineStr">
        <is>
          <t>模型加權目標價（評等：賣出）</t>
        </is>
      </c>
      <c r="F17" s="4" t="n">
        <v>146.09287356031</v>
      </c>
      <c r="G17" t="inlineStr">
        <is>
          <t>alphabet/dist/20261025_Alphabet收支模型_v0_2_2.xlsx 摘要!C7</t>
        </is>
      </c>
      <c r="J17" s="4" t="n">
        <v>146.09287356031</v>
      </c>
      <c r="K17" t="inlineStr">
        <is>
          <t>alphabet/dist/20261025_Alphabet收支模型_v0_2_2.xlsx 摘要!C7</t>
        </is>
      </c>
      <c r="L17" s="4" t="n">
        <v>122.889116020962</v>
      </c>
      <c r="M17" t="inlineStr">
        <is>
          <t>alphabet/dist/20261025_Alphabet收支模型_v0_2_2.xlsx 摘要!C10</t>
        </is>
      </c>
      <c r="N17">
        <f>價格!H17</f>
        <v/>
      </c>
      <c r="O17">
        <f>MIN(F17,H17)</f>
        <v/>
      </c>
      <c r="P17">
        <f>MIN(J17,L17)</f>
        <v/>
      </c>
      <c r="Q17">
        <f>O17/N17-1</f>
        <v/>
      </c>
      <c r="R17">
        <f>P17/N17-1</f>
        <v/>
      </c>
      <c r="S17">
        <f>IF(AND(Q17&gt;=tier_center,R17&gt;=tier_bear),"機會",IF(Q17&lt;tier_rich,"偏貴","觀察"))</f>
        <v/>
      </c>
      <c r="W17" s="1" t="inlineStr">
        <is>
          <t>賣出：點位 $146.1，較現價 $350.50 低 58%；情境區間 $122.9–$175.1，方法區間 $144.1–$146.1；點位低於賣出門檻 $297.9 達 $151.8。｜MAG 模型終值占 EV 逾 90%，評價口徑待 MAG v0.3</t>
        </is>
      </c>
      <c r="Z17">
        <f>IF(ISNUMBER(價格!C17),價格!H17/價格!C17-1,"")</f>
        <v/>
      </c>
      <c r="AA17">
        <f>IF(Z17="","",IF(ABS(Z17)&gt;0.2,"模型尚未反映期間變化",""))</f>
        <v/>
      </c>
      <c r="AB17" t="inlineStr">
        <is>
          <t>現金流</t>
        </is>
      </c>
      <c r="AC17" t="inlineStr">
        <is>
          <t>自由現金流（FCF＝營運現金 − 現金資本支出）</t>
        </is>
      </c>
      <c r="AD17" t="inlineStr">
        <is>
          <t>2026 -4.1、2027 -6.4、2028 16.0、2029 28.3、2030 -62.3</t>
        </is>
      </c>
      <c r="AE17" s="4" t="n">
        <v>-28.49105701735244</v>
      </c>
      <c r="AF17" s="4" t="n">
        <v>-62.3373425541111</v>
      </c>
      <c r="AG17" t="inlineStr">
        <is>
          <t>[Derived] alphabet/dist/20261025_Alphabet收支模型_v0_2_2.xlsx 各期收支!C44…各期收支!G44</t>
        </is>
      </c>
      <c r="AH17">
        <f>IF(AB17="淨利",IF(AF17&gt;0,"通過（淨利）","不通過"),IF(AE17&lt;0,"不通過","通過（現金流）"))</f>
        <v/>
      </c>
      <c r="AI17">
        <f>IF(AH17="不通過","收支不足",S17)</f>
        <v/>
      </c>
    </row>
    <row r="18">
      <c r="A18" t="inlineStr">
        <is>
          <t>ORCL</t>
        </is>
      </c>
      <c r="B18" t="inlineStr">
        <is>
          <t>Oracle</t>
        </is>
      </c>
      <c r="C18">
        <f>價值鏈!A3</f>
        <v/>
      </c>
      <c r="D18" t="inlineStr">
        <is>
          <t>AI 雲端平台</t>
        </is>
      </c>
      <c r="E18" t="inlineStr">
        <is>
          <t>模型加權目標價（評等：賣出）</t>
        </is>
      </c>
      <c r="F18" s="4" t="n">
        <v>84.2399682943779</v>
      </c>
      <c r="G18" t="inlineStr">
        <is>
          <t>oracle/dist/20261022_Oracle收支模型_v0_3_1.xlsx 摘要!C7</t>
        </is>
      </c>
      <c r="J18" s="4" t="n">
        <v>84.2399682943779</v>
      </c>
      <c r="K18" t="inlineStr">
        <is>
          <t>oracle/dist/20261022_Oracle收支模型_v0_3_1.xlsx 摘要!C7</t>
        </is>
      </c>
      <c r="L18" s="4" t="n">
        <v>77.41468872947129</v>
      </c>
      <c r="M18" t="inlineStr">
        <is>
          <t>oracle/dist/20261022_Oracle收支模型_v0_3_1.xlsx 摘要!C10</t>
        </is>
      </c>
      <c r="N18">
        <f>價格!H18</f>
        <v/>
      </c>
      <c r="O18">
        <f>MIN(F18,H18)</f>
        <v/>
      </c>
      <c r="P18">
        <f>MIN(J18,L18)</f>
        <v/>
      </c>
      <c r="Q18">
        <f>O18/N18-1</f>
        <v/>
      </c>
      <c r="R18">
        <f>P18/N18-1</f>
        <v/>
      </c>
      <c r="S18">
        <f>IF(AND(Q18&gt;=tier_center,R18&gt;=tier_bear),"機會",IF(Q18&lt;tier_rich,"偏貴","觀察"))</f>
        <v/>
      </c>
      <c r="W18" s="1" t="inlineStr">
        <is>
          <t>賣出：點位 $84.2，較現價 $129.13 低 35%；情境區間 $77.4–$91.9，方法區間 $78.7–$84.2；點位低於賣出門檻 $109.8 達 $25.5。</t>
        </is>
      </c>
      <c r="Z18">
        <f>IF(ISNUMBER(價格!C18),價格!H18/價格!C18-1,"")</f>
        <v/>
      </c>
      <c r="AA18">
        <f>IF(Z18="","",IF(ABS(Z18)&gt;0.2,"模型尚未反映期間變化",""))</f>
        <v/>
      </c>
      <c r="AB18" t="inlineStr">
        <is>
          <t>現金流</t>
        </is>
      </c>
      <c r="AC18" t="inlineStr">
        <is>
          <t>營運缺口（不含融資、不含還本）</t>
        </is>
      </c>
      <c r="AD18" t="inlineStr">
        <is>
          <t>FY27 -32.1、FY28 -27.5、FY29 17.4、FY30 3.6、FY31 2.0</t>
        </is>
      </c>
      <c r="AE18" s="4" t="n">
        <v>-36.65954451431514</v>
      </c>
      <c r="AF18" s="4" t="n">
        <v>-32.1477872210438</v>
      </c>
      <c r="AG18" t="inlineStr">
        <is>
          <t>[Derived] oracle/dist/20261022_Oracle收支模型_v0_3_1.xlsx 各期收支!C50…各期收支!G50</t>
        </is>
      </c>
      <c r="AH18">
        <f>IF(AB18="淨利",IF(AF18&gt;0,"通過（淨利）","不通過"),IF(AE18&lt;0,"不通過","通過（現金流）"))</f>
        <v/>
      </c>
      <c r="AI18">
        <f>IF(AH18="不通過","收支不足",S18)</f>
        <v/>
      </c>
    </row>
    <row r="19">
      <c r="A19" t="inlineStr">
        <is>
          <t>CRWV</t>
        </is>
      </c>
      <c r="B19" t="inlineStr">
        <is>
          <t>CoreWeave</t>
        </is>
      </c>
      <c r="C19">
        <f>價值鏈!A4</f>
        <v/>
      </c>
      <c r="D19" t="inlineStr">
        <is>
          <t>Neocloud（GPU 租賃）</t>
        </is>
      </c>
      <c r="E19" t="inlineStr">
        <is>
          <t>模型加權目標價（評等：賣出）</t>
        </is>
      </c>
      <c r="F19" s="4" t="n">
        <v>31.9865189051237</v>
      </c>
      <c r="G19" t="inlineStr">
        <is>
          <t>coreweave/dist/20261021_CoreWeave收支模型_v4_12.xlsx 摘要!C7</t>
        </is>
      </c>
      <c r="J19" s="4" t="n">
        <v>31.9865189051237</v>
      </c>
      <c r="K19" t="inlineStr">
        <is>
          <t>coreweave/dist/20261021_CoreWeave收支模型_v4_12.xlsx 摘要!C7</t>
        </is>
      </c>
      <c r="L19" s="4" t="n">
        <v>14.7158090153289</v>
      </c>
      <c r="M19" t="inlineStr">
        <is>
          <t>coreweave/dist/20261021_CoreWeave收支模型_v4_12.xlsx 摘要!C10</t>
        </is>
      </c>
      <c r="N19">
        <f>價格!H19</f>
        <v/>
      </c>
      <c r="O19">
        <f>MIN(F19,H19)</f>
        <v/>
      </c>
      <c r="P19">
        <f>MIN(J19,L19)</f>
        <v/>
      </c>
      <c r="Q19">
        <f>O19/N19-1</f>
        <v/>
      </c>
      <c r="R19">
        <f>P19/N19-1</f>
        <v/>
      </c>
      <c r="S19">
        <f>IF(AND(Q19&gt;=tier_center,R19&gt;=tier_bear),"機會",IF(Q19&lt;tier_rich,"偏貴","觀察"))</f>
        <v/>
      </c>
      <c r="W19" s="1" t="inlineStr">
        <is>
          <t>賣出：點位 $32.0，較現價 $90.13 低 65%；情境區間 $14.7–$42.7，方法區間 $19.7–$32.0；點位低於賣出門檻 $76.6 達 $44.6。</t>
        </is>
      </c>
      <c r="Z19">
        <f>IF(ISNUMBER(價格!C19),價格!H19/價格!C19-1,"")</f>
        <v/>
      </c>
      <c r="AA19">
        <f>IF(Z19="","",IF(ABS(Z19)&gt;0.2,"模型尚未反映期間變化",""))</f>
        <v/>
      </c>
      <c r="AB19" t="inlineStr">
        <is>
          <t>現金流</t>
        </is>
      </c>
      <c r="AC19" t="inlineStr">
        <is>
          <t>營運缺口（不含融資、不含還本）</t>
        </is>
      </c>
      <c r="AD19" t="inlineStr">
        <is>
          <t>FY26 -28.0、FY27 -30.4、FY28 -17.6、FY29 -13.4、FY30 -16.3</t>
        </is>
      </c>
      <c r="AE19" s="4" t="n">
        <v>-105.7055627525181</v>
      </c>
      <c r="AF19" s="4" t="n">
        <v>-30.399857894978</v>
      </c>
      <c r="AG19" t="inlineStr">
        <is>
          <t>[Derived] coreweave/dist/20261021_CoreWeave收支模型_v4_12.xlsx 各期收支!C39…各期收支!G39</t>
        </is>
      </c>
      <c r="AH19">
        <f>IF(AB19="淨利",IF(AF19&gt;0,"通過（淨利）","不通過"),IF(AE19&lt;0,"不通過","通過（現金流）"))</f>
        <v/>
      </c>
      <c r="AI19">
        <f>IF(AH19="不通過","收支不足",S19)</f>
        <v/>
      </c>
    </row>
    <row r="20">
      <c r="A20" t="inlineStr">
        <is>
          <t>NBIS</t>
        </is>
      </c>
      <c r="B20" t="inlineStr">
        <is>
          <t>Nebius</t>
        </is>
      </c>
      <c r="C20">
        <f>價值鏈!A4</f>
        <v/>
      </c>
      <c r="D20" t="inlineStr">
        <is>
          <t>Neocloud（GPU 租賃）</t>
        </is>
      </c>
      <c r="E20" t="inlineStr">
        <is>
          <t>模型加權目標價（評等：賣出）</t>
        </is>
      </c>
      <c r="F20" s="4" t="n">
        <v>21.3792054477074</v>
      </c>
      <c r="G20" t="inlineStr">
        <is>
          <t>nebius/dist/20261022_Nebius收支模型_v0_5.xlsx 摘要!C7</t>
        </is>
      </c>
      <c r="J20" s="4" t="n">
        <v>21.3792054477074</v>
      </c>
      <c r="K20" t="inlineStr">
        <is>
          <t>nebius/dist/20261022_Nebius收支模型_v0_5.xlsx 摘要!C7</t>
        </is>
      </c>
      <c r="L20" s="4" t="n">
        <v>19.431647062533</v>
      </c>
      <c r="M20" t="inlineStr">
        <is>
          <t>nebius/dist/20261022_Nebius收支模型_v0_5.xlsx 摘要!C10</t>
        </is>
      </c>
      <c r="N20">
        <f>價格!H20</f>
        <v/>
      </c>
      <c r="O20">
        <f>MIN(F20,H20)</f>
        <v/>
      </c>
      <c r="P20">
        <f>MIN(J20,L20)</f>
        <v/>
      </c>
      <c r="Q20">
        <f>O20/N20-1</f>
        <v/>
      </c>
      <c r="R20">
        <f>P20/N20-1</f>
        <v/>
      </c>
      <c r="S20">
        <f>IF(AND(Q20&gt;=tier_center,R20&gt;=tier_bear),"機會",IF(Q20&lt;tier_rich,"偏貴","觀察"))</f>
        <v/>
      </c>
      <c r="W20" s="1" t="inlineStr">
        <is>
          <t>賣出：點位 $21.4，較現價 $249.87 低 91%；情境區間 $19.4–$29.5，方法區間 $12.5–$21.4；點位低於賣出門檻 $212.4 達 $191.0。</t>
        </is>
      </c>
      <c r="Z20">
        <f>IF(ISNUMBER(價格!C20),價格!H20/價格!C20-1,"")</f>
        <v/>
      </c>
      <c r="AA20">
        <f>IF(Z20="","",IF(ABS(Z20)&gt;0.2,"模型尚未反映期間變化",""))</f>
        <v/>
      </c>
      <c r="AB20" t="inlineStr">
        <is>
          <t>現金流</t>
        </is>
      </c>
      <c r="AC20" t="inlineStr">
        <is>
          <t>營運缺口（不含融資、不含還本）</t>
        </is>
      </c>
      <c r="AD20" t="inlineStr">
        <is>
          <t>FY26 -15.1、FY27 -17.9、FY28 -18.2、FY29 -17.2、FY30 -25.5</t>
        </is>
      </c>
      <c r="AE20" s="4" t="n">
        <v>-94.001644749039</v>
      </c>
      <c r="AF20" s="4" t="n">
        <v>-25.5402170366338</v>
      </c>
      <c r="AG20" t="inlineStr">
        <is>
          <t>[Derived] nebius/dist/20261022_Nebius收支模型_v0_5.xlsx 各期收支!C45…各期收支!G45</t>
        </is>
      </c>
      <c r="AH20">
        <f>IF(AB20="淨利",IF(AF20&gt;0,"通過（淨利）","不通過"),IF(AE20&lt;0,"不通過","通過（現金流）"))</f>
        <v/>
      </c>
      <c r="AI20">
        <f>IF(AH20="不通過","收支不足",S20)</f>
        <v/>
      </c>
    </row>
    <row r="21">
      <c r="A21" t="inlineStr">
        <is>
          <t>WYFI</t>
        </is>
      </c>
      <c r="B21" t="inlineStr">
        <is>
          <t>WhiteFiber</t>
        </is>
      </c>
      <c r="C21">
        <f>價值鏈!A4</f>
        <v/>
      </c>
      <c r="D21" t="inlineStr">
        <is>
          <t>Neocloud（GPU 租賃）</t>
        </is>
      </c>
      <c r="E21" t="inlineStr">
        <is>
          <t>模型加權目標價（評等：中立）</t>
        </is>
      </c>
      <c r="F21" s="4" t="n">
        <v>15.2481184884189</v>
      </c>
      <c r="G21" t="inlineStr">
        <is>
          <t>whitefiber/dist/20261022_WhiteFiber收支模型_v0_2.xlsx 摘要!C7</t>
        </is>
      </c>
      <c r="J21" s="4" t="n">
        <v>15.2481184884189</v>
      </c>
      <c r="K21" t="inlineStr">
        <is>
          <t>whitefiber/dist/20261022_WhiteFiber收支模型_v0_2.xlsx 摘要!C7</t>
        </is>
      </c>
      <c r="L21" s="4" t="n">
        <v>11.4795061690524</v>
      </c>
      <c r="M21" t="inlineStr">
        <is>
          <t>whitefiber/dist/20261022_WhiteFiber收支模型_v0_2.xlsx 摘要!C10</t>
        </is>
      </c>
      <c r="N21">
        <f>價格!H21</f>
        <v/>
      </c>
      <c r="O21">
        <f>MIN(F21,H21)</f>
        <v/>
      </c>
      <c r="P21">
        <f>MIN(J21,L21)</f>
        <v/>
      </c>
      <c r="Q21">
        <f>O21/N21-1</f>
        <v/>
      </c>
      <c r="R21">
        <f>P21/N21-1</f>
        <v/>
      </c>
      <c r="S21">
        <f>IF(AND(Q21&gt;=tier_center,R21&gt;=tier_bear),"機會",IF(Q21&lt;tier_rich,"偏貴","觀察"))</f>
        <v/>
      </c>
      <c r="W21" s="1" t="inlineStr">
        <is>
          <t>中立：點位 $15.2，較現價 $16.83 低 9%；情境區間 $11.5–$25.4，方法區間 $15.1–$15.2；點位高於賣出門檻 $14.3 達 $0.9。</t>
        </is>
      </c>
      <c r="Z21">
        <f>IF(ISNUMBER(價格!C21),價格!H21/價格!C21-1,"")</f>
        <v/>
      </c>
      <c r="AA21">
        <f>IF(Z21="","",IF(ABS(Z21)&gt;0.2,"模型尚未反映期間變化",""))</f>
        <v/>
      </c>
      <c r="AB21" t="inlineStr">
        <is>
          <t>現金流</t>
        </is>
      </c>
      <c r="AC21" t="inlineStr">
        <is>
          <t>營運缺口（不含融資、不含還本）</t>
        </is>
      </c>
      <c r="AD21" t="inlineStr">
        <is>
          <t>FY26 -371.1、FY27 -383.6、FY28 -40.7、FY29 -1.9、FY30 -22.2</t>
        </is>
      </c>
      <c r="AE21" s="4" t="n">
        <v>-819.4510890267885</v>
      </c>
      <c r="AF21" s="4" t="n">
        <v>-383.618038613095</v>
      </c>
      <c r="AG21" t="inlineStr">
        <is>
          <t>[Derived] whitefiber/dist/20261022_WhiteFiber收支模型_v0_2.xlsx 各期收支!C52…各期收支!G52</t>
        </is>
      </c>
      <c r="AH21">
        <f>IF(AB21="淨利",IF(AF21&gt;0,"通過（淨利）","不通過"),IF(AE21&lt;0,"不通過","通過（現金流）"))</f>
        <v/>
      </c>
      <c r="AI21">
        <f>IF(AH21="不通過","收支不足",S21)</f>
        <v/>
      </c>
    </row>
    <row r="22">
      <c r="A22" t="inlineStr">
        <is>
          <t>00100</t>
        </is>
      </c>
      <c r="B22" t="inlineStr">
        <is>
          <t>MiniMax</t>
        </is>
      </c>
      <c r="C22">
        <f>價值鏈!A2</f>
        <v/>
      </c>
      <c r="D22" t="inlineStr">
        <is>
          <t>AI 模型商</t>
        </is>
      </c>
      <c r="E22" t="inlineStr">
        <is>
          <t>反向檢驗：折現價值 ÷ 市值</t>
        </is>
      </c>
      <c r="F22">
        <f>X22*價格!C22</f>
        <v/>
      </c>
      <c r="G22" t="inlineStr">
        <is>
          <t>minimax/dist/20261022_MiniMax收支模型_v0_2.xlsx Valuation!I21 × 模型現價</t>
        </is>
      </c>
      <c r="J22">
        <f>X22*價格!C22</f>
        <v/>
      </c>
      <c r="K22" t="inlineStr">
        <is>
          <t>同中心（模型只有一個情境）</t>
        </is>
      </c>
      <c r="N22">
        <f>價格!H22</f>
        <v/>
      </c>
      <c r="O22">
        <f>MIN(F22,H22)</f>
        <v/>
      </c>
      <c r="P22">
        <f>MIN(J22,L22)</f>
        <v/>
      </c>
      <c r="Q22">
        <f>O22/N22-1</f>
        <v/>
      </c>
      <c r="R22">
        <f>P22/N22-1</f>
        <v/>
      </c>
      <c r="S22">
        <f>IF(AND(Q22&gt;=tier_center,R22&gt;=tier_bear),"機會",IF(Q22&lt;tier_rich,"偏貴","觀察"))</f>
        <v/>
      </c>
      <c r="W22" s="1" t="inlineStr"/>
      <c r="X22" s="4" t="n">
        <v>0.881971351573187</v>
      </c>
      <c r="Z22">
        <f>IF(ISNUMBER(價格!C22),價格!H22/價格!C22-1,"")</f>
        <v/>
      </c>
      <c r="AA22">
        <f>IF(Z22="","",IF(ABS(Z22)&gt;0.2,"模型尚未反映期間變化",""))</f>
        <v/>
      </c>
      <c r="AB22" t="inlineStr">
        <is>
          <t>現金流</t>
        </is>
      </c>
      <c r="AC22" t="inlineStr">
        <is>
          <t>F06</t>
        </is>
      </c>
      <c r="AD22" t="inlineStr">
        <is>
          <t>FY2026 -578.3、FY2027 -826.5、FY2028 -1,129.9、FY2029 -1,433.3、FY2030 -1,693.3</t>
        </is>
      </c>
      <c r="AE22" s="4" t="n">
        <v>-5661.185548552452</v>
      </c>
      <c r="AF22" s="4" t="n">
        <v>-1693.27864140096</v>
      </c>
      <c r="AG22" t="inlineStr">
        <is>
          <t>[Derived] minimax/dist/20261022_MiniMax收支模型_v0_2.xlsx Funding!E13…Funding!I13</t>
        </is>
      </c>
      <c r="AH22">
        <f>IF(AB22="淨利",IF(AF22&gt;0,"通過（淨利）","不通過"),IF(AE22&lt;0,"不通過","通過（現金流）"))</f>
        <v/>
      </c>
      <c r="AI22">
        <f>IF(AH22="不通過","收支不足",S22)</f>
        <v/>
      </c>
    </row>
    <row r="23">
      <c r="A23" t="inlineStr">
        <is>
          <t>02513</t>
        </is>
      </c>
      <c r="B23" t="inlineStr">
        <is>
          <t>智譜</t>
        </is>
      </c>
      <c r="C23">
        <f>價值鏈!A2</f>
        <v/>
      </c>
      <c r="D23" t="inlineStr">
        <is>
          <t>AI 模型商</t>
        </is>
      </c>
      <c r="E23" t="inlineStr">
        <is>
          <t>未估值（反向模式）</t>
        </is>
      </c>
      <c r="N23">
        <f>價格!H23</f>
        <v/>
      </c>
      <c r="S23" t="inlineStr">
        <is>
          <t>未估值</t>
        </is>
      </c>
      <c r="W23" s="1" t="inlineStr">
        <is>
          <t>模型未出隱含價；2028 年共識營收需為正向推估的 2.47 倍（最低共識 1.91 倍；zhipu/dist/20261022_智譜收支模型_v0_1_1.xlsx Reverse!G30）</t>
        </is>
      </c>
      <c r="Z23">
        <f>IF(ISNUMBER(價格!C23),價格!H23/價格!C23-1,"")</f>
        <v/>
      </c>
      <c r="AA23">
        <f>IF(Z23="","",IF(ABS(Z23)&gt;0.2,"模型尚未反映期間變化",""))</f>
        <v/>
      </c>
      <c r="AB23" t="inlineStr">
        <is>
          <t>現金流</t>
        </is>
      </c>
      <c r="AC23" t="inlineStr">
        <is>
          <t>F09</t>
        </is>
      </c>
      <c r="AD23" t="inlineStr">
        <is>
          <t>2026 -41.3、2027 -40.9、2028 -40.5、2029 -59.4、2030 -99.1</t>
        </is>
      </c>
      <c r="AE23" s="4" t="n">
        <v>-281.188184190984</v>
      </c>
      <c r="AF23" s="4" t="n">
        <v>-99.0538108419448</v>
      </c>
      <c r="AG23" t="inlineStr">
        <is>
          <t>[Derived] zhipu/dist/20261022_智譜收支模型_v0_1_1.xlsx Funding!E16…Funding!I16</t>
        </is>
      </c>
      <c r="AH23">
        <f>IF(AB23="淨利",IF(AF23&gt;0,"通過（淨利）","不通過"),IF(AE23&lt;0,"不通過","通過（現金流）"))</f>
        <v/>
      </c>
      <c r="AI23">
        <f>IF(AH23="不通過","收支不足",S23)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6" customWidth="1" min="3" max="3"/>
    <col width="10" customWidth="1" min="4" max="4"/>
    <col width="6" customWidth="1" min="5" max="5"/>
    <col width="40" customWidth="1" min="6" max="6"/>
    <col width="10" customWidth="1" min="7" max="7"/>
    <col width="50" customWidth="1" min="8" max="8"/>
    <col width="10" customWidth="1" min="9" max="9"/>
    <col width="30" customWidth="1" min="10" max="10"/>
  </cols>
  <sheetData>
    <row r="1">
      <c r="A1" s="2" t="inlineStr">
        <is>
          <t>次產業</t>
        </is>
      </c>
      <c r="B1" s="2" t="inlineStr">
        <is>
          <t>次產業內優先序</t>
        </is>
      </c>
      <c r="C1" s="2" t="inlineStr">
        <is>
          <t>公司</t>
        </is>
      </c>
      <c r="D1" s="2" t="inlineStr">
        <is>
          <t>代號</t>
        </is>
      </c>
      <c r="E1" s="2" t="inlineStr">
        <is>
          <t>掛牌</t>
        </is>
      </c>
      <c r="F1" s="2" t="inlineStr">
        <is>
          <t>角色</t>
        </is>
      </c>
      <c r="G1" s="2" t="inlineStr">
        <is>
          <t>供應鏈重要性（1–3）</t>
        </is>
      </c>
      <c r="H1" s="2" t="inlineStr">
        <is>
          <t>市場地位</t>
        </is>
      </c>
      <c r="I1" s="2" t="inlineStr">
        <is>
          <t>標記</t>
        </is>
      </c>
      <c r="J1" s="2" t="inlineStr">
        <is>
          <t>研究狀態</t>
        </is>
      </c>
    </row>
    <row r="2">
      <c r="A2" t="inlineStr">
        <is>
          <t>運算</t>
        </is>
      </c>
      <c r="B2" t="inlineStr">
        <is>
          <t>1</t>
        </is>
      </c>
      <c r="C2" t="inlineStr">
        <is>
          <t>NVIDIA</t>
        </is>
      </c>
      <c r="D2" t="inlineStr">
        <is>
          <t>NVDA</t>
        </is>
      </c>
      <c r="E2" t="inlineStr">
        <is>
          <t>美</t>
        </is>
      </c>
      <c r="F2" t="inlineStr">
        <is>
          <t>GPU、NVLink、整櫃系統</t>
        </is>
      </c>
      <c r="G2" t="inlineStr">
        <is>
          <t>1</t>
        </is>
      </c>
      <c r="H2" t="inlineStr">
        <is>
          <t>AI 加速器金額份額 CY2027 約 75–82%（本專案推導）</t>
        </is>
      </c>
      <c r="I2" t="inlineStr">
        <is>
          <t>[D]</t>
        </is>
      </c>
      <c r="J2" t="inlineStr">
        <is>
          <t>有模型</t>
        </is>
      </c>
    </row>
    <row r="3">
      <c r="A3" t="inlineStr">
        <is>
          <t>運算</t>
        </is>
      </c>
      <c r="B3" t="inlineStr">
        <is>
          <t>2</t>
        </is>
      </c>
      <c r="C3" t="inlineStr">
        <is>
          <t>Broadcom</t>
        </is>
      </c>
      <c r="D3" t="inlineStr">
        <is>
          <t>AVGO</t>
        </is>
      </c>
      <c r="E3" t="inlineStr">
        <is>
          <t>美</t>
        </is>
      </c>
      <c r="F3" t="inlineStr">
        <is>
          <t>客製 ASIC（TPU、MTIA、OpenAI 等 XPU）＋交換器 ASIC</t>
        </is>
      </c>
      <c r="G3" t="inlineStr">
        <is>
          <t>1</t>
        </is>
      </c>
      <c r="H3" t="inlineStr">
        <is>
          <t>客製 ASIC 龍頭：占客製 ASIC 80–85%（JPMorgan）；AI 半導體營收 FY2026 約 US$58B（公司）</t>
        </is>
      </c>
      <c r="I3" t="inlineStr">
        <is>
          <t>[IP]</t>
        </is>
      </c>
      <c r="J3" t="inlineStr">
        <is>
          <t>有模型</t>
        </is>
      </c>
    </row>
    <row r="4">
      <c r="A4" t="inlineStr">
        <is>
          <t>運算</t>
        </is>
      </c>
      <c r="B4" t="inlineStr">
        <is>
          <t>3</t>
        </is>
      </c>
      <c r="C4" t="inlineStr">
        <is>
          <t>AMD</t>
        </is>
      </c>
      <c r="D4" t="inlineStr">
        <is>
          <t>AMD</t>
        </is>
      </c>
      <c r="E4" t="inlineStr">
        <is>
          <t>美</t>
        </is>
      </c>
      <c r="F4" t="inlineStr">
        <is>
          <t>GPU（MI450／Helios 整櫃）</t>
        </is>
      </c>
      <c r="G4" t="inlineStr">
        <is>
          <t>2</t>
        </is>
      </c>
      <c r="H4" t="inlineStr">
        <is>
          <t>AI 加速器金額份額 CY2027 約 3–6%（本專案推導）；2027 資料中心「超過一倍」（公司）</t>
        </is>
      </c>
      <c r="I4" t="inlineStr">
        <is>
          <t>[D]／[IP]</t>
        </is>
      </c>
      <c r="J4" t="inlineStr">
        <is>
          <t>待建</t>
        </is>
      </c>
    </row>
    <row r="5">
      <c r="A5" t="inlineStr">
        <is>
          <t>運算</t>
        </is>
      </c>
      <c r="B5" t="inlineStr">
        <is>
          <t>4</t>
        </is>
      </c>
      <c r="C5" t="inlineStr">
        <is>
          <t>聯發科</t>
        </is>
      </c>
      <c r="D5" t="inlineStr">
        <is>
          <t>2454</t>
        </is>
      </c>
      <c r="E5" t="inlineStr">
        <is>
          <t>台</t>
        </is>
      </c>
      <c r="F5" t="inlineStr">
        <is>
          <t>TPU 部分世代的設計夥伴</t>
        </is>
      </c>
      <c r="G5" t="inlineStr">
        <is>
          <t>2</t>
        </is>
      </c>
      <c r="H5" t="inlineStr">
        <is>
          <t>Google TPU 合作（媒體報導）</t>
        </is>
      </c>
      <c r="I5" t="inlineStr">
        <is>
          <t>[IP]</t>
        </is>
      </c>
      <c r="J5" t="inlineStr">
        <is>
          <t>待建</t>
        </is>
      </c>
    </row>
    <row r="6">
      <c r="A6" t="inlineStr">
        <is>
          <t>運算</t>
        </is>
      </c>
      <c r="B6" t="inlineStr">
        <is>
          <t>5</t>
        </is>
      </c>
      <c r="C6" t="inlineStr">
        <is>
          <t>Marvell</t>
        </is>
      </c>
      <c r="D6" t="inlineStr">
        <is>
          <t>MRVL</t>
        </is>
      </c>
      <c r="E6" t="inlineStr">
        <is>
          <t>美</t>
        </is>
      </c>
      <c r="F6" t="inlineStr">
        <is>
          <t>客製 ASIC（Trainium 部分世代）、光通訊 DSP</t>
        </is>
      </c>
      <c r="G6" t="inlineStr">
        <is>
          <t>2</t>
        </is>
      </c>
      <c r="H6" t="inlineStr">
        <is>
          <t>光 DSP 主要供應商之一</t>
        </is>
      </c>
      <c r="I6" t="inlineStr">
        <is>
          <t>[判斷]</t>
        </is>
      </c>
      <c r="J6" t="inlineStr">
        <is>
          <t>待建</t>
        </is>
      </c>
    </row>
    <row r="7">
      <c r="A7" t="inlineStr">
        <is>
          <t>運算</t>
        </is>
      </c>
      <c r="B7" t="inlineStr">
        <is>
          <t>6</t>
        </is>
      </c>
      <c r="C7" t="inlineStr">
        <is>
          <t>世芯-KY</t>
        </is>
      </c>
      <c r="D7" t="inlineStr">
        <is>
          <t>3661</t>
        </is>
      </c>
      <c r="E7" t="inlineStr">
        <is>
          <t>台</t>
        </is>
      </c>
      <c r="F7" t="inlineStr">
        <is>
          <t>ASIC 設計服務（Trainium）</t>
        </is>
      </c>
      <c r="G7" t="inlineStr">
        <is>
          <t>2</t>
        </is>
      </c>
      <c r="H7" t="inlineStr">
        <is>
          <t>雲端客製晶片設計服務</t>
        </is>
      </c>
      <c r="I7" t="inlineStr">
        <is>
          <t>[判斷]</t>
        </is>
      </c>
      <c r="J7" t="inlineStr">
        <is>
          <t>待建</t>
        </is>
      </c>
    </row>
    <row r="8">
      <c r="A8" t="inlineStr">
        <is>
          <t>運算</t>
        </is>
      </c>
      <c r="B8" t="inlineStr">
        <is>
          <t>7</t>
        </is>
      </c>
      <c r="C8" t="inlineStr">
        <is>
          <t>創意</t>
        </is>
      </c>
      <c r="D8" t="inlineStr">
        <is>
          <t>3443</t>
        </is>
      </c>
      <c r="E8" t="inlineStr">
        <is>
          <t>台</t>
        </is>
      </c>
      <c r="F8" t="inlineStr">
        <is>
          <t>ASIC 設計服務（台積電體系）</t>
        </is>
      </c>
      <c r="G8" t="inlineStr">
        <is>
          <t>3</t>
        </is>
      </c>
      <c r="H8" t="inlineStr">
        <is>
          <t>台積電轉投資的設計服務廠</t>
        </is>
      </c>
      <c r="I8" t="inlineStr">
        <is>
          <t>[判斷]</t>
        </is>
      </c>
      <c r="J8" t="inlineStr">
        <is>
          <t>待建</t>
        </is>
      </c>
    </row>
    <row r="9">
      <c r="A9" t="inlineStr">
        <is>
          <t>記憶體</t>
        </is>
      </c>
      <c r="B9" t="inlineStr">
        <is>
          <t>1</t>
        </is>
      </c>
      <c r="C9" t="inlineStr">
        <is>
          <t>SK 海力士</t>
        </is>
      </c>
      <c r="D9" t="inlineStr">
        <is>
          <t>000660</t>
        </is>
      </c>
      <c r="E9" t="inlineStr">
        <is>
          <t>韓</t>
        </is>
      </c>
      <c r="F9" t="inlineStr">
        <is>
          <t>HBM、DRAM</t>
        </is>
      </c>
      <c r="G9" t="inlineStr">
        <is>
          <t>1</t>
        </is>
      </c>
      <c r="H9" t="inlineStr">
        <is>
          <t>2026 HBM 市占 52–55%（本專案）</t>
        </is>
      </c>
      <c r="I9" t="inlineStr">
        <is>
          <t>[D]</t>
        </is>
      </c>
      <c r="J9" t="inlineStr">
        <is>
          <t>有模型</t>
        </is>
      </c>
    </row>
    <row r="10">
      <c r="A10" t="inlineStr">
        <is>
          <t>記憶體</t>
        </is>
      </c>
      <c r="B10" t="inlineStr">
        <is>
          <t>2</t>
        </is>
      </c>
      <c r="C10" t="inlineStr">
        <is>
          <t>三星電子</t>
        </is>
      </c>
      <c r="D10" t="inlineStr">
        <is>
          <t>005930</t>
        </is>
      </c>
      <c r="E10" t="inlineStr">
        <is>
          <t>韓</t>
        </is>
      </c>
      <c r="F10" t="inlineStr">
        <is>
          <t>HBM、DRAM、NAND</t>
        </is>
      </c>
      <c r="G10" t="inlineStr">
        <is>
          <t>1</t>
        </is>
      </c>
      <c r="H10" t="inlineStr">
        <is>
          <t>2026 HBM 市占 28–32%（本專案）</t>
        </is>
      </c>
      <c r="I10" t="inlineStr">
        <is>
          <t>[D]</t>
        </is>
      </c>
      <c r="J10" t="inlineStr">
        <is>
          <t>有模型</t>
        </is>
      </c>
    </row>
    <row r="11">
      <c r="A11" t="inlineStr">
        <is>
          <t>記憶體</t>
        </is>
      </c>
      <c r="B11" t="inlineStr">
        <is>
          <t>3</t>
        </is>
      </c>
      <c r="C11" t="inlineStr">
        <is>
          <t>美光</t>
        </is>
      </c>
      <c r="D11" t="inlineStr">
        <is>
          <t>MU</t>
        </is>
      </c>
      <c r="E11" t="inlineStr">
        <is>
          <t>美</t>
        </is>
      </c>
      <c r="F11" t="inlineStr">
        <is>
          <t>HBM、DRAM、NAND</t>
        </is>
      </c>
      <c r="G11" t="inlineStr">
        <is>
          <t>1</t>
        </is>
      </c>
      <c r="H11" t="inlineStr">
        <is>
          <t>2026 HBM 市占 18–20%（本專案）</t>
        </is>
      </c>
      <c r="I11" t="inlineStr">
        <is>
          <t>[D]</t>
        </is>
      </c>
      <c r="J11" t="inlineStr">
        <is>
          <t>有模型</t>
        </is>
      </c>
    </row>
    <row r="12">
      <c r="A12" t="inlineStr">
        <is>
          <t>記憶體</t>
        </is>
      </c>
      <c r="B12" t="inlineStr">
        <is>
          <t>4</t>
        </is>
      </c>
      <c r="C12" t="inlineStr">
        <is>
          <t>Kioxia</t>
        </is>
      </c>
      <c r="D12" t="inlineStr">
        <is>
          <t>285A</t>
        </is>
      </c>
      <c r="E12" t="inlineStr">
        <is>
          <t>日</t>
        </is>
      </c>
      <c r="F12" t="inlineStr">
        <is>
          <t>NAND（企業級 SSD）</t>
        </is>
      </c>
      <c r="G12" t="inlineStr">
        <is>
          <t>3</t>
        </is>
      </c>
      <c r="H12" t="inlineStr">
        <is>
          <t>NAND 主要廠之一；10-23 曾因「不能由既有層推得」排除，15:59 已取消該關卡</t>
        </is>
      </c>
      <c r="I12" t="inlineStr">
        <is>
          <t>[判斷]</t>
        </is>
      </c>
      <c r="J12" t="inlineStr">
        <is>
          <t>待建（需 NAND 市場層）</t>
        </is>
      </c>
    </row>
    <row r="13">
      <c r="A13" t="inlineStr">
        <is>
          <t>記憶體</t>
        </is>
      </c>
      <c r="B13" t="inlineStr">
        <is>
          <t>5</t>
        </is>
      </c>
      <c r="C13" t="inlineStr">
        <is>
          <t>SanDisk</t>
        </is>
      </c>
      <c r="D13" t="inlineStr">
        <is>
          <t>SNDK</t>
        </is>
      </c>
      <c r="E13" t="inlineStr">
        <is>
          <t>美</t>
        </is>
      </c>
      <c r="F13" t="inlineStr">
        <is>
          <t>NAND（企業級 SSD）</t>
        </is>
      </c>
      <c r="G13" t="inlineStr">
        <is>
          <t>3</t>
        </is>
      </c>
      <c r="H13" t="inlineStr">
        <is>
          <t>與 Kioxia 合資產能</t>
        </is>
      </c>
      <c r="I13" t="inlineStr">
        <is>
          <t>[判斷]</t>
        </is>
      </c>
      <c r="J13" t="inlineStr">
        <is>
          <t>待建（需 NAND 市場層）</t>
        </is>
      </c>
    </row>
    <row r="14">
      <c r="A14" t="inlineStr">
        <is>
          <t>網通</t>
        </is>
      </c>
      <c r="B14" t="inlineStr">
        <is>
          <t>1</t>
        </is>
      </c>
      <c r="C14" t="inlineStr">
        <is>
          <t>Arista</t>
        </is>
      </c>
      <c r="D14" t="inlineStr">
        <is>
          <t>ANET</t>
        </is>
      </c>
      <c r="E14" t="inlineStr">
        <is>
          <t>美</t>
        </is>
      </c>
      <c r="F14" t="inlineStr">
        <is>
          <t>資料中心乙太網路交換器系統</t>
        </is>
      </c>
      <c r="G14" t="inlineStr">
        <is>
          <t>1</t>
        </is>
      </c>
      <c r="H14" t="inlineStr">
        <is>
          <t>高速資料中心交換器系統主要廠商</t>
        </is>
      </c>
      <c r="I14" t="inlineStr">
        <is>
          <t>[判斷]</t>
        </is>
      </c>
      <c r="J14" t="inlineStr">
        <is>
          <t>有模型</t>
        </is>
      </c>
    </row>
    <row r="15">
      <c r="A15" t="inlineStr">
        <is>
          <t>網通</t>
        </is>
      </c>
      <c r="B15" t="inlineStr">
        <is>
          <t>2</t>
        </is>
      </c>
      <c r="C15" t="inlineStr">
        <is>
          <t>中際旭創</t>
        </is>
      </c>
      <c r="D15" t="inlineStr">
        <is>
          <t>300308</t>
        </is>
      </c>
      <c r="E15" t="inlineStr">
        <is>
          <t>中</t>
        </is>
      </c>
      <c r="F15" t="inlineStr">
        <is>
          <t>800G／1.6T 光模組</t>
        </is>
      </c>
      <c r="G15" t="inlineStr">
        <is>
          <t>1</t>
        </is>
      </c>
      <c r="H15" t="inlineStr">
        <is>
          <t>高速光模組出貨領先（媒體與券商）</t>
        </is>
      </c>
      <c r="I15" t="inlineStr">
        <is>
          <t>[IP]</t>
        </is>
      </c>
      <c r="J15" t="inlineStr">
        <is>
          <t>有模型</t>
        </is>
      </c>
    </row>
    <row r="16">
      <c r="A16" t="inlineStr">
        <is>
          <t>網通</t>
        </is>
      </c>
      <c r="B16" t="inlineStr">
        <is>
          <t>3</t>
        </is>
      </c>
      <c r="C16" t="inlineStr">
        <is>
          <t>Coherent</t>
        </is>
      </c>
      <c r="D16" t="inlineStr">
        <is>
          <t>COHR</t>
        </is>
      </c>
      <c r="E16" t="inlineStr">
        <is>
          <t>美</t>
        </is>
      </c>
      <c r="F16" t="inlineStr">
        <is>
          <t>光模組、雷射與光元件</t>
        </is>
      </c>
      <c r="G16" t="inlineStr">
        <is>
          <t>2</t>
        </is>
      </c>
      <c r="H16" t="inlineStr">
        <is>
          <t>光模組與元件垂直整合廠</t>
        </is>
      </c>
      <c r="I16" t="inlineStr">
        <is>
          <t>[判斷]</t>
        </is>
      </c>
      <c r="J16" t="inlineStr">
        <is>
          <t>待建</t>
        </is>
      </c>
    </row>
    <row r="17">
      <c r="A17" t="inlineStr">
        <is>
          <t>網通</t>
        </is>
      </c>
      <c r="B17" t="inlineStr">
        <is>
          <t>4</t>
        </is>
      </c>
      <c r="C17" t="inlineStr">
        <is>
          <t>Lumentum</t>
        </is>
      </c>
      <c r="D17" t="inlineStr">
        <is>
          <t>LITE</t>
        </is>
      </c>
      <c r="E17" t="inlineStr">
        <is>
          <t>美</t>
        </is>
      </c>
      <c r="F17" t="inlineStr">
        <is>
          <t>EML 雷射、光元件</t>
        </is>
      </c>
      <c r="G17" t="inlineStr">
        <is>
          <t>2</t>
        </is>
      </c>
      <c r="H17" t="inlineStr">
        <is>
          <t>高速 EML 雷射主要供應商之一</t>
        </is>
      </c>
      <c r="I17" t="inlineStr">
        <is>
          <t>[判斷]</t>
        </is>
      </c>
      <c r="J17" t="inlineStr">
        <is>
          <t>待建</t>
        </is>
      </c>
    </row>
    <row r="18">
      <c r="A18" t="inlineStr">
        <is>
          <t>網通</t>
        </is>
      </c>
      <c r="B18" t="inlineStr">
        <is>
          <t>5</t>
        </is>
      </c>
      <c r="C18" t="inlineStr">
        <is>
          <t>新易盛</t>
        </is>
      </c>
      <c r="D18" t="inlineStr">
        <is>
          <t>300502</t>
        </is>
      </c>
      <c r="E18" t="inlineStr">
        <is>
          <t>中</t>
        </is>
      </c>
      <c r="F18" t="inlineStr">
        <is>
          <t>光模組</t>
        </is>
      </c>
      <c r="G18" t="inlineStr">
        <is>
          <t>2</t>
        </is>
      </c>
      <c r="H18" t="inlineStr">
        <is>
          <t>高速光模組第二梯隊領先者</t>
        </is>
      </c>
      <c r="I18" t="inlineStr">
        <is>
          <t>[判斷]</t>
        </is>
      </c>
      <c r="J18" t="inlineStr">
        <is>
          <t>待建</t>
        </is>
      </c>
    </row>
    <row r="19">
      <c r="A19" t="inlineStr">
        <is>
          <t>網通</t>
        </is>
      </c>
      <c r="B19" t="inlineStr">
        <is>
          <t>6</t>
        </is>
      </c>
      <c r="C19" t="inlineStr">
        <is>
          <t>智邦</t>
        </is>
      </c>
      <c r="D19" t="inlineStr">
        <is>
          <t>2345</t>
        </is>
      </c>
      <c r="E19" t="inlineStr">
        <is>
          <t>台</t>
        </is>
      </c>
      <c r="F19" t="inlineStr">
        <is>
          <t>白牌交換器 ODM</t>
        </is>
      </c>
      <c r="G19" t="inlineStr">
        <is>
          <t>2</t>
        </is>
      </c>
      <c r="H19" t="inlineStr">
        <is>
          <t>雲端白牌交換器主要 ODM</t>
        </is>
      </c>
      <c r="I19" t="inlineStr">
        <is>
          <t>[判斷]</t>
        </is>
      </c>
      <c r="J19" t="inlineStr">
        <is>
          <t>待建</t>
        </is>
      </c>
    </row>
    <row r="20">
      <c r="A20" t="inlineStr">
        <is>
          <t>網通</t>
        </is>
      </c>
      <c r="B20" t="inlineStr">
        <is>
          <t>7</t>
        </is>
      </c>
      <c r="C20" t="inlineStr">
        <is>
          <t>Fabrinet</t>
        </is>
      </c>
      <c r="D20" t="inlineStr">
        <is>
          <t>FN</t>
        </is>
      </c>
      <c r="E20" t="inlineStr">
        <is>
          <t>美</t>
        </is>
      </c>
      <c r="F20" t="inlineStr">
        <is>
          <t>光模組代工</t>
        </is>
      </c>
      <c r="G20" t="inlineStr">
        <is>
          <t>2</t>
        </is>
      </c>
      <c r="H20" t="inlineStr">
        <is>
          <t>NVIDIA 光模組主要代工之一</t>
        </is>
      </c>
      <c r="I20" t="inlineStr">
        <is>
          <t>[IP]</t>
        </is>
      </c>
      <c r="J20" t="inlineStr">
        <is>
          <t>待建</t>
        </is>
      </c>
    </row>
    <row r="21">
      <c r="A21" t="inlineStr">
        <is>
          <t>網通</t>
        </is>
      </c>
      <c r="B21" t="inlineStr">
        <is>
          <t>8</t>
        </is>
      </c>
      <c r="C21" t="inlineStr">
        <is>
          <t>Credo</t>
        </is>
      </c>
      <c r="D21" t="inlineStr">
        <is>
          <t>CRDO</t>
        </is>
      </c>
      <c r="E21" t="inlineStr">
        <is>
          <t>美</t>
        </is>
      </c>
      <c r="F21" t="inlineStr">
        <is>
          <t>主動電纜（AEC）、SerDes</t>
        </is>
      </c>
      <c r="G21" t="inlineStr">
        <is>
          <t>2</t>
        </is>
      </c>
      <c r="H21" t="inlineStr">
        <is>
          <t>AEC 主要供應商</t>
        </is>
      </c>
      <c r="I21" t="inlineStr">
        <is>
          <t>[判斷]</t>
        </is>
      </c>
      <c r="J21" t="inlineStr">
        <is>
          <t>待建</t>
        </is>
      </c>
    </row>
    <row r="22">
      <c r="A22" t="inlineStr">
        <is>
          <t>網通</t>
        </is>
      </c>
      <c r="B22" t="inlineStr">
        <is>
          <t>9</t>
        </is>
      </c>
      <c r="C22" t="inlineStr">
        <is>
          <t>Astera Labs</t>
        </is>
      </c>
      <c r="D22" t="inlineStr">
        <is>
          <t>ALAB</t>
        </is>
      </c>
      <c r="E22" t="inlineStr">
        <is>
          <t>美</t>
        </is>
      </c>
      <c r="F22" t="inlineStr">
        <is>
          <t>PCIe／CXL retimer、交換晶片</t>
        </is>
      </c>
      <c r="G22" t="inlineStr">
        <is>
          <t>3</t>
        </is>
      </c>
      <c r="H22" t="inlineStr">
        <is>
          <t>retimer 主要供應商</t>
        </is>
      </c>
      <c r="I22" t="inlineStr">
        <is>
          <t>[判斷]</t>
        </is>
      </c>
      <c r="J22" t="inlineStr">
        <is>
          <t>待建</t>
        </is>
      </c>
    </row>
    <row r="23">
      <c r="A23" t="inlineStr">
        <is>
          <t>代工與封測</t>
        </is>
      </c>
      <c r="B23" t="inlineStr">
        <is>
          <t>1</t>
        </is>
      </c>
      <c r="C23" t="inlineStr">
        <is>
          <t>台積電</t>
        </is>
      </c>
      <c r="D23" t="inlineStr">
        <is>
          <t>2330</t>
        </is>
      </c>
      <c r="E23" t="inlineStr">
        <is>
          <t>台</t>
        </is>
      </c>
      <c r="F23" t="inlineStr">
        <is>
          <t>先進製程晶圓、CoWoS</t>
        </is>
      </c>
      <c r="G23" t="inlineStr">
        <is>
          <t>1</t>
        </is>
      </c>
      <c r="H23" t="inlineStr">
        <is>
          <t>AI 加速器晶圓與 CoWoS 主要供應者</t>
        </is>
      </c>
      <c r="I23" t="inlineStr">
        <is>
          <t>[判斷]</t>
        </is>
      </c>
      <c r="J23" t="inlineStr">
        <is>
          <t>有模型</t>
        </is>
      </c>
    </row>
    <row r="24">
      <c r="A24" t="inlineStr">
        <is>
          <t>代工與封測</t>
        </is>
      </c>
      <c r="B24" t="inlineStr">
        <is>
          <t>2</t>
        </is>
      </c>
      <c r="C24" t="inlineStr">
        <is>
          <t>日月光</t>
        </is>
      </c>
      <c r="D24" t="inlineStr">
        <is>
          <t>3711</t>
        </is>
      </c>
      <c r="E24" t="inlineStr">
        <is>
          <t>台</t>
        </is>
      </c>
      <c r="F24" t="inlineStr">
        <is>
          <t>封測、CoWoS 後段、測試</t>
        </is>
      </c>
      <c r="G24" t="inlineStr">
        <is>
          <t>1</t>
        </is>
      </c>
      <c r="H24" t="inlineStr">
        <is>
          <t>全球最大封測廠</t>
        </is>
      </c>
      <c r="I24" t="inlineStr">
        <is>
          <t>[判斷]</t>
        </is>
      </c>
      <c r="J24" t="inlineStr">
        <is>
          <t>封測樣板（第 3 順位）</t>
        </is>
      </c>
    </row>
    <row r="25">
      <c r="A25" t="inlineStr">
        <is>
          <t>代工與封測</t>
        </is>
      </c>
      <c r="B25" t="inlineStr">
        <is>
          <t>3</t>
        </is>
      </c>
      <c r="C25" t="inlineStr">
        <is>
          <t>京元電</t>
        </is>
      </c>
      <c r="D25" t="inlineStr">
        <is>
          <t>2449</t>
        </is>
      </c>
      <c r="E25" t="inlineStr">
        <is>
          <t>台</t>
        </is>
      </c>
      <c r="F25" t="inlineStr">
        <is>
          <t>晶片測試</t>
        </is>
      </c>
      <c r="G25" t="inlineStr">
        <is>
          <t>2</t>
        </is>
      </c>
      <c r="H25" t="inlineStr">
        <is>
          <t>AI GPU 測試主要代工之一（媒體）</t>
        </is>
      </c>
      <c r="I25" t="inlineStr">
        <is>
          <t>[IP]</t>
        </is>
      </c>
      <c r="J25" t="inlineStr">
        <is>
          <t>待建</t>
        </is>
      </c>
    </row>
    <row r="26">
      <c r="A26" t="inlineStr">
        <is>
          <t>代工與封測</t>
        </is>
      </c>
      <c r="B26" t="inlineStr">
        <is>
          <t>4</t>
        </is>
      </c>
      <c r="C26" t="inlineStr">
        <is>
          <t>Amkor</t>
        </is>
      </c>
      <c r="D26" t="inlineStr">
        <is>
          <t>AMKR</t>
        </is>
      </c>
      <c r="E26" t="inlineStr">
        <is>
          <t>美</t>
        </is>
      </c>
      <c r="F26" t="inlineStr">
        <is>
          <t>封測、美國先進封裝</t>
        </is>
      </c>
      <c r="G26" t="inlineStr">
        <is>
          <t>2</t>
        </is>
      </c>
      <c r="H26" t="inlineStr">
        <is>
          <t>全球第二大封測廠</t>
        </is>
      </c>
      <c r="I26" t="inlineStr">
        <is>
          <t>[判斷]</t>
        </is>
      </c>
      <c r="J26" t="inlineStr">
        <is>
          <t>待建</t>
        </is>
      </c>
    </row>
    <row r="27">
      <c r="A27" t="inlineStr">
        <is>
          <t>代工與封測</t>
        </is>
      </c>
      <c r="B27" t="inlineStr">
        <is>
          <t>5</t>
        </is>
      </c>
      <c r="C27" t="inlineStr">
        <is>
          <t>Intel</t>
        </is>
      </c>
      <c r="D27" t="inlineStr">
        <is>
          <t>INTC</t>
        </is>
      </c>
      <c r="E27" t="inlineStr">
        <is>
          <t>美</t>
        </is>
      </c>
      <c r="F27" t="inlineStr">
        <is>
          <t>晶圓代工（18A）、先進封裝（EMIB）</t>
        </is>
      </c>
      <c r="G27" t="inlineStr">
        <is>
          <t>3</t>
        </is>
      </c>
      <c r="H27" t="inlineStr">
        <is>
          <t>AI 加速器代工份額小；封裝為潛在替代產能</t>
        </is>
      </c>
      <c r="I27" t="inlineStr">
        <is>
          <t>[判斷]</t>
        </is>
      </c>
      <c r="J27" t="inlineStr">
        <is>
          <t>待建</t>
        </is>
      </c>
    </row>
    <row r="28">
      <c r="A28" t="inlineStr">
        <is>
          <t>代工與封測</t>
        </is>
      </c>
      <c r="B28" t="inlineStr">
        <is>
          <t>6</t>
        </is>
      </c>
      <c r="C28" t="inlineStr">
        <is>
          <t>GlobalFoundries</t>
        </is>
      </c>
      <c r="D28" t="inlineStr">
        <is>
          <t>GFS</t>
        </is>
      </c>
      <c r="E28" t="inlineStr">
        <is>
          <t>美</t>
        </is>
      </c>
      <c r="F28" t="inlineStr">
        <is>
          <t>成熟製程、矽光子</t>
        </is>
      </c>
      <c r="G28" t="inlineStr">
        <is>
          <t>3</t>
        </is>
      </c>
      <c r="H28" t="inlineStr">
        <is>
          <t>AI 直接曝險低（矽光子為選擇權）</t>
        </is>
      </c>
      <c r="I28" t="inlineStr">
        <is>
          <t>[判斷]</t>
        </is>
      </c>
      <c r="J28" t="inlineStr">
        <is>
          <t>待建</t>
        </is>
      </c>
    </row>
    <row r="29">
      <c r="A29" t="inlineStr">
        <is>
          <t>載板與 PCB</t>
        </is>
      </c>
      <c r="B29" t="inlineStr">
        <is>
          <t>1</t>
        </is>
      </c>
      <c r="C29" t="inlineStr">
        <is>
          <t>Ibiden</t>
        </is>
      </c>
      <c r="D29" t="inlineStr">
        <is>
          <t>4062</t>
        </is>
      </c>
      <c r="E29" t="inlineStr">
        <is>
          <t>日</t>
        </is>
      </c>
      <c r="F29" t="inlineStr">
        <is>
          <t>ABF 載板</t>
        </is>
      </c>
      <c r="G29" t="inlineStr">
        <is>
          <t>1</t>
        </is>
      </c>
      <c r="H29" t="inlineStr">
        <is>
          <t>高階 AI 載板主要供應者</t>
        </is>
      </c>
      <c r="I29" t="inlineStr">
        <is>
          <t>[判斷]</t>
        </is>
      </c>
      <c r="J29" t="inlineStr">
        <is>
          <t>有模型</t>
        </is>
      </c>
    </row>
    <row r="30">
      <c r="A30" t="inlineStr">
        <is>
          <t>載板與 PCB</t>
        </is>
      </c>
      <c r="B30" t="inlineStr">
        <is>
          <t>2</t>
        </is>
      </c>
      <c r="C30" t="inlineStr">
        <is>
          <t>台光電</t>
        </is>
      </c>
      <c r="D30" t="inlineStr">
        <is>
          <t>2383</t>
        </is>
      </c>
      <c r="E30" t="inlineStr">
        <is>
          <t>台</t>
        </is>
      </c>
      <c r="F30" t="inlineStr">
        <is>
          <t>高速 CCL（銅箔基板）</t>
        </is>
      </c>
      <c r="G30" t="inlineStr">
        <is>
          <t>1</t>
        </is>
      </c>
      <c r="H30" t="inlineStr">
        <is>
          <t>AI 伺服器高速 CCL 主要供應者</t>
        </is>
      </c>
      <c r="I30" t="inlineStr">
        <is>
          <t>[判斷]</t>
        </is>
      </c>
      <c r="J30" t="inlineStr">
        <is>
          <t>待建</t>
        </is>
      </c>
    </row>
    <row r="31">
      <c r="A31" t="inlineStr">
        <is>
          <t>載板與 PCB</t>
        </is>
      </c>
      <c r="B31" t="inlineStr">
        <is>
          <t>3</t>
        </is>
      </c>
      <c r="C31" t="inlineStr">
        <is>
          <t>欣興</t>
        </is>
      </c>
      <c r="D31" t="inlineStr">
        <is>
          <t>3037</t>
        </is>
      </c>
      <c r="E31" t="inlineStr">
        <is>
          <t>台</t>
        </is>
      </c>
      <c r="F31" t="inlineStr">
        <is>
          <t>ABF 載板、PCB</t>
        </is>
      </c>
      <c r="G31" t="inlineStr">
        <is>
          <t>1</t>
        </is>
      </c>
      <c r="H31" t="inlineStr">
        <is>
          <t>ABF 載板主要廠之一</t>
        </is>
      </c>
      <c r="I31" t="inlineStr">
        <is>
          <t>[判斷]</t>
        </is>
      </c>
      <c r="J31" t="inlineStr">
        <is>
          <t>待建</t>
        </is>
      </c>
    </row>
    <row r="32">
      <c r="A32" t="inlineStr">
        <is>
          <t>載板與 PCB</t>
        </is>
      </c>
      <c r="B32" t="inlineStr">
        <is>
          <t>4</t>
        </is>
      </c>
      <c r="C32" t="inlineStr">
        <is>
          <t>味之素</t>
        </is>
      </c>
      <c r="D32" t="inlineStr">
        <is>
          <t>2802</t>
        </is>
      </c>
      <c r="E32" t="inlineStr">
        <is>
          <t>日</t>
        </is>
      </c>
      <c r="F32" t="inlineStr">
        <is>
          <t>ABF 增層膜（材料）</t>
        </is>
      </c>
      <c r="G32" t="inlineStr">
        <is>
          <t>2</t>
        </is>
      </c>
      <c r="H32" t="inlineStr">
        <is>
          <t>ABF 膜接近獨占（普遍認知，待複核）</t>
        </is>
      </c>
      <c r="I32" t="inlineStr">
        <is>
          <t>[判斷]</t>
        </is>
      </c>
      <c r="J32" t="inlineStr">
        <is>
          <t>待建</t>
        </is>
      </c>
    </row>
    <row r="33">
      <c r="A33" t="inlineStr">
        <is>
          <t>載板與 PCB</t>
        </is>
      </c>
      <c r="B33" t="inlineStr">
        <is>
          <t>5</t>
        </is>
      </c>
      <c r="C33" t="inlineStr">
        <is>
          <t>南電</t>
        </is>
      </c>
      <c r="D33" t="inlineStr">
        <is>
          <t>8046</t>
        </is>
      </c>
      <c r="E33" t="inlineStr">
        <is>
          <t>台</t>
        </is>
      </c>
      <c r="F33" t="inlineStr">
        <is>
          <t>ABF 載板</t>
        </is>
      </c>
      <c r="G33" t="inlineStr">
        <is>
          <t>2</t>
        </is>
      </c>
      <c r="H33" t="inlineStr">
        <is>
          <t>ABF 載板主要廠之一</t>
        </is>
      </c>
      <c r="I33" t="inlineStr">
        <is>
          <t>[判斷]</t>
        </is>
      </c>
      <c r="J33" t="inlineStr">
        <is>
          <t>待建</t>
        </is>
      </c>
    </row>
    <row r="34">
      <c r="A34" t="inlineStr">
        <is>
          <t>載板與 PCB</t>
        </is>
      </c>
      <c r="B34" t="inlineStr">
        <is>
          <t>6</t>
        </is>
      </c>
      <c r="C34" t="inlineStr">
        <is>
          <t>金像電</t>
        </is>
      </c>
      <c r="D34" t="inlineStr">
        <is>
          <t>2368</t>
        </is>
      </c>
      <c r="E34" t="inlineStr">
        <is>
          <t>台</t>
        </is>
      </c>
      <c r="F34" t="inlineStr">
        <is>
          <t>伺服器與交換器 PCB</t>
        </is>
      </c>
      <c r="G34" t="inlineStr">
        <is>
          <t>2</t>
        </is>
      </c>
      <c r="H34" t="inlineStr">
        <is>
          <t>雲端伺服器 PCB 主要廠</t>
        </is>
      </c>
      <c r="I34" t="inlineStr">
        <is>
          <t>[判斷]</t>
        </is>
      </c>
      <c r="J34" t="inlineStr">
        <is>
          <t>待建</t>
        </is>
      </c>
    </row>
    <row r="35">
      <c r="A35" t="inlineStr">
        <is>
          <t>載板與 PCB</t>
        </is>
      </c>
      <c r="B35" t="inlineStr">
        <is>
          <t>7</t>
        </is>
      </c>
      <c r="C35" t="inlineStr">
        <is>
          <t>勝宏科技</t>
        </is>
      </c>
      <c r="D35" t="inlineStr">
        <is>
          <t>300476</t>
        </is>
      </c>
      <c r="E35" t="inlineStr">
        <is>
          <t>中</t>
        </is>
      </c>
      <c r="F35" t="inlineStr">
        <is>
          <t>AI 加速卡 PCB</t>
        </is>
      </c>
      <c r="G35" t="inlineStr">
        <is>
          <t>2</t>
        </is>
      </c>
      <c r="H35" t="inlineStr">
        <is>
          <t>NVIDIA 加速卡 PCB 主要供應商之一（媒體）</t>
        </is>
      </c>
      <c r="I35" t="inlineStr">
        <is>
          <t>[IP]</t>
        </is>
      </c>
      <c r="J35" t="inlineStr">
        <is>
          <t>待建</t>
        </is>
      </c>
    </row>
    <row r="36">
      <c r="A36" t="inlineStr">
        <is>
          <t>載板與 PCB</t>
        </is>
      </c>
      <c r="B36" t="inlineStr">
        <is>
          <t>8</t>
        </is>
      </c>
      <c r="C36" t="inlineStr">
        <is>
          <t>景碩</t>
        </is>
      </c>
      <c r="D36" t="inlineStr">
        <is>
          <t>3189</t>
        </is>
      </c>
      <c r="E36" t="inlineStr">
        <is>
          <t>台</t>
        </is>
      </c>
      <c r="F36" t="inlineStr">
        <is>
          <t>ABF／BT 載板</t>
        </is>
      </c>
      <c r="G36" t="inlineStr">
        <is>
          <t>3</t>
        </is>
      </c>
      <c r="H36" t="inlineStr">
        <is>
          <t>載板第二梯隊</t>
        </is>
      </c>
      <c r="I36" t="inlineStr">
        <is>
          <t>[判斷]</t>
        </is>
      </c>
      <c r="J36" t="inlineStr">
        <is>
          <t>待建</t>
        </is>
      </c>
    </row>
    <row r="37">
      <c r="A37" t="inlineStr">
        <is>
          <t>設備與材料</t>
        </is>
      </c>
      <c r="B37" t="inlineStr">
        <is>
          <t>1</t>
        </is>
      </c>
      <c r="C37" t="inlineStr">
        <is>
          <t>ASML</t>
        </is>
      </c>
      <c r="D37" t="inlineStr">
        <is>
          <t>ASML</t>
        </is>
      </c>
      <c r="E37" t="inlineStr">
        <is>
          <t>荷</t>
        </is>
      </c>
      <c r="F37" t="inlineStr">
        <is>
          <t>微影（EUV 唯一供應者）</t>
        </is>
      </c>
      <c r="G37" t="inlineStr">
        <is>
          <t>1</t>
        </is>
      </c>
      <c r="H37" t="inlineStr">
        <is>
          <t>EUV 唯一供應者</t>
        </is>
      </c>
      <c r="I37" t="inlineStr">
        <is>
          <t>[V]</t>
        </is>
      </c>
      <c r="J37" t="inlineStr">
        <is>
          <t>待建</t>
        </is>
      </c>
    </row>
    <row r="38">
      <c r="A38" t="inlineStr">
        <is>
          <t>設備與材料</t>
        </is>
      </c>
      <c r="B38" t="inlineStr">
        <is>
          <t>2</t>
        </is>
      </c>
      <c r="C38" t="inlineStr">
        <is>
          <t>Applied Materials</t>
        </is>
      </c>
      <c r="D38" t="inlineStr">
        <is>
          <t>AMAT</t>
        </is>
      </c>
      <c r="E38" t="inlineStr">
        <is>
          <t>美</t>
        </is>
      </c>
      <c r="F38" t="inlineStr">
        <is>
          <t>沉積、蝕刻、離子植入等</t>
        </is>
      </c>
      <c r="G38" t="inlineStr">
        <is>
          <t>1</t>
        </is>
      </c>
      <c r="H38" t="inlineStr">
        <is>
          <t>全球營收最大的設備商之一</t>
        </is>
      </c>
      <c r="I38" t="inlineStr">
        <is>
          <t>[判斷]</t>
        </is>
      </c>
      <c r="J38" t="inlineStr">
        <is>
          <t>待建</t>
        </is>
      </c>
    </row>
    <row r="39">
      <c r="A39" t="inlineStr">
        <is>
          <t>設備與材料</t>
        </is>
      </c>
      <c r="B39" t="inlineStr">
        <is>
          <t>3</t>
        </is>
      </c>
      <c r="C39" t="inlineStr">
        <is>
          <t>Lam Research</t>
        </is>
      </c>
      <c r="D39" t="inlineStr">
        <is>
          <t>LRCX</t>
        </is>
      </c>
      <c r="E39" t="inlineStr">
        <is>
          <t>美</t>
        </is>
      </c>
      <c r="F39" t="inlineStr">
        <is>
          <t>蝕刻、沉積（記憶體曝險大）</t>
        </is>
      </c>
      <c r="G39" t="inlineStr">
        <is>
          <t>1</t>
        </is>
      </c>
      <c r="H39" t="inlineStr">
        <is>
          <t>記憶體蝕刻主要供應者</t>
        </is>
      </c>
      <c r="I39" t="inlineStr">
        <is>
          <t>[判斷]</t>
        </is>
      </c>
      <c r="J39" t="inlineStr">
        <is>
          <t>待建</t>
        </is>
      </c>
    </row>
    <row r="40">
      <c r="A40" t="inlineStr">
        <is>
          <t>設備與材料</t>
        </is>
      </c>
      <c r="B40" t="inlineStr">
        <is>
          <t>4</t>
        </is>
      </c>
      <c r="C40" t="inlineStr">
        <is>
          <t>TEL</t>
        </is>
      </c>
      <c r="D40" t="inlineStr">
        <is>
          <t>8035</t>
        </is>
      </c>
      <c r="E40" t="inlineStr">
        <is>
          <t>日</t>
        </is>
      </c>
      <c r="F40" t="inlineStr">
        <is>
          <t>塗布顯影、蝕刻、沉積</t>
        </is>
      </c>
      <c r="G40" t="inlineStr">
        <is>
          <t>1</t>
        </is>
      </c>
      <c r="H40" t="inlineStr">
        <is>
          <t>塗布顯影市占 91%（公司自估）；全球第 4</t>
        </is>
      </c>
      <c r="I40" t="inlineStr">
        <is>
          <t>[IP]</t>
        </is>
      </c>
      <c r="J40" t="inlineStr">
        <is>
          <t>另一串進行中</t>
        </is>
      </c>
    </row>
    <row r="41">
      <c r="A41" t="inlineStr">
        <is>
          <t>設備與材料</t>
        </is>
      </c>
      <c r="B41" t="inlineStr">
        <is>
          <t>5</t>
        </is>
      </c>
      <c r="C41" t="inlineStr">
        <is>
          <t>KLA</t>
        </is>
      </c>
      <c r="D41" t="inlineStr">
        <is>
          <t>KLAC</t>
        </is>
      </c>
      <c r="E41" t="inlineStr">
        <is>
          <t>美</t>
        </is>
      </c>
      <c r="F41" t="inlineStr">
        <is>
          <t>量測與檢測</t>
        </is>
      </c>
      <c r="G41" t="inlineStr">
        <is>
          <t>1</t>
        </is>
      </c>
      <c r="H41" t="inlineStr">
        <is>
          <t>製程控制龍頭</t>
        </is>
      </c>
      <c r="I41" t="inlineStr">
        <is>
          <t>[判斷]</t>
        </is>
      </c>
      <c r="J41" t="inlineStr">
        <is>
          <t>待建</t>
        </is>
      </c>
    </row>
    <row r="42">
      <c r="A42" t="inlineStr">
        <is>
          <t>設備與材料</t>
        </is>
      </c>
      <c r="B42" t="inlineStr">
        <is>
          <t>6</t>
        </is>
      </c>
      <c r="C42" t="inlineStr">
        <is>
          <t>Advantest</t>
        </is>
      </c>
      <c r="D42" t="inlineStr">
        <is>
          <t>6857</t>
        </is>
      </c>
      <c r="E42" t="inlineStr">
        <is>
          <t>日</t>
        </is>
      </c>
      <c r="F42" t="inlineStr">
        <is>
          <t>SoC／記憶體測試機</t>
        </is>
      </c>
      <c r="G42" t="inlineStr">
        <is>
          <t>1</t>
        </is>
      </c>
      <c r="H42" t="inlineStr">
        <is>
          <t>SoC 測試市占 66%（公司自估 CY2025）</t>
        </is>
      </c>
      <c r="I42" t="inlineStr">
        <is>
          <t>[IP]</t>
        </is>
      </c>
      <c r="J42" t="inlineStr">
        <is>
          <t>有模型</t>
        </is>
      </c>
    </row>
    <row r="43">
      <c r="A43" t="inlineStr">
        <is>
          <t>設備與材料</t>
        </is>
      </c>
      <c r="B43" t="inlineStr">
        <is>
          <t>7</t>
        </is>
      </c>
      <c r="C43" t="inlineStr">
        <is>
          <t>Disco</t>
        </is>
      </c>
      <c r="D43" t="inlineStr">
        <is>
          <t>6146</t>
        </is>
      </c>
      <c r="E43" t="inlineStr">
        <is>
          <t>日</t>
        </is>
      </c>
      <c r="F43" t="inlineStr">
        <is>
          <t>研削、切割</t>
        </is>
      </c>
      <c r="G43" t="inlineStr">
        <is>
          <t>2</t>
        </is>
      </c>
      <c r="H43" t="inlineStr">
        <is>
          <t>研削與切割市占 60–80%（兩來源）</t>
        </is>
      </c>
      <c r="I43" t="inlineStr">
        <is>
          <t>[IP]</t>
        </is>
      </c>
      <c r="J43" t="inlineStr">
        <is>
          <t>有模型</t>
        </is>
      </c>
    </row>
    <row r="44">
      <c r="A44" t="inlineStr">
        <is>
          <t>設備與材料</t>
        </is>
      </c>
      <c r="B44" t="inlineStr">
        <is>
          <t>8</t>
        </is>
      </c>
      <c r="C44" t="inlineStr">
        <is>
          <t>Hanmi</t>
        </is>
      </c>
      <c r="D44" t="inlineStr">
        <is>
          <t>042700</t>
        </is>
      </c>
      <c r="E44" t="inlineStr">
        <is>
          <t>韓</t>
        </is>
      </c>
      <c r="F44" t="inlineStr">
        <is>
          <t>HBM TC 鍵合機</t>
        </is>
      </c>
      <c r="G44" t="inlineStr">
        <is>
          <t>2</t>
        </is>
      </c>
      <c r="H44" t="inlineStr">
        <is>
          <t>HBM TC 鍵合機約 71%（本專案 HBM 比對）</t>
        </is>
      </c>
      <c r="I44" t="inlineStr">
        <is>
          <t>[IP]</t>
        </is>
      </c>
      <c r="J44" t="inlineStr">
        <is>
          <t>待建</t>
        </is>
      </c>
    </row>
    <row r="45">
      <c r="A45" t="inlineStr">
        <is>
          <t>設備與材料</t>
        </is>
      </c>
      <c r="B45" t="inlineStr">
        <is>
          <t>9</t>
        </is>
      </c>
      <c r="C45" t="inlineStr">
        <is>
          <t>Teradyne</t>
        </is>
      </c>
      <c r="D45" t="inlineStr">
        <is>
          <t>TER</t>
        </is>
      </c>
      <c r="E45" t="inlineStr">
        <is>
          <t>美</t>
        </is>
      </c>
      <c r="F45" t="inlineStr">
        <is>
          <t>SoC 測試機</t>
        </is>
      </c>
      <c r="G45" t="inlineStr">
        <is>
          <t>2</t>
        </is>
      </c>
      <c r="H45" t="inlineStr">
        <is>
          <t>SoC 測試第 2（Advantest 之後）</t>
        </is>
      </c>
      <c r="I45" t="inlineStr">
        <is>
          <t>[IP]</t>
        </is>
      </c>
      <c r="J45" t="inlineStr">
        <is>
          <t>待建</t>
        </is>
      </c>
    </row>
    <row r="46">
      <c r="A46" t="inlineStr">
        <is>
          <t>設備與材料</t>
        </is>
      </c>
      <c r="B46" t="inlineStr">
        <is>
          <t>10</t>
        </is>
      </c>
      <c r="C46" t="inlineStr">
        <is>
          <t>BESI</t>
        </is>
      </c>
      <c r="D46" t="inlineStr">
        <is>
          <t>BESI</t>
        </is>
      </c>
      <c r="E46" t="inlineStr">
        <is>
          <t>荷</t>
        </is>
      </c>
      <c r="F46" t="inlineStr">
        <is>
          <t>混合鍵合機</t>
        </is>
      </c>
      <c r="G46" t="inlineStr">
        <is>
          <t>3</t>
        </is>
      </c>
      <c r="H46" t="inlineStr">
        <is>
          <t>混合鍵合領先者；主流化時點約 2029–30（本專案）</t>
        </is>
      </c>
      <c r="I46" t="inlineStr">
        <is>
          <t>[判斷]</t>
        </is>
      </c>
      <c r="J46" t="inlineStr">
        <is>
          <t>待建</t>
        </is>
      </c>
    </row>
    <row r="47">
      <c r="A47" t="inlineStr">
        <is>
          <t>設備與材料</t>
        </is>
      </c>
      <c r="B47" t="inlineStr">
        <is>
          <t>11</t>
        </is>
      </c>
      <c r="C47" t="inlineStr">
        <is>
          <t>TOWA</t>
        </is>
      </c>
      <c r="D47" t="inlineStr">
        <is>
          <t>6315</t>
        </is>
      </c>
      <c r="E47" t="inlineStr">
        <is>
          <t>日</t>
        </is>
      </c>
      <c r="F47" t="inlineStr">
        <is>
          <t>封膠（molding）</t>
        </is>
      </c>
      <c r="G47" t="inlineStr">
        <is>
          <t>3</t>
        </is>
      </c>
      <c r="H47" t="inlineStr">
        <is>
          <t>市占約 2/3（本專案候選表）</t>
        </is>
      </c>
      <c r="I47" t="inlineStr">
        <is>
          <t>[IP]</t>
        </is>
      </c>
      <c r="J47" t="inlineStr">
        <is>
          <t>候選第三家日本公司之一</t>
        </is>
      </c>
    </row>
    <row r="48">
      <c r="A48" t="inlineStr">
        <is>
          <t>設備與材料</t>
        </is>
      </c>
      <c r="B48" t="inlineStr">
        <is>
          <t>12</t>
        </is>
      </c>
      <c r="C48" t="inlineStr">
        <is>
          <t>東京精密</t>
        </is>
      </c>
      <c r="D48" t="inlineStr">
        <is>
          <t>7729</t>
        </is>
      </c>
      <c r="E48" t="inlineStr">
        <is>
          <t>日</t>
        </is>
      </c>
      <c r="F48" t="inlineStr">
        <is>
          <t>探針台、研削</t>
        </is>
      </c>
      <c r="G48" t="inlineStr">
        <is>
          <t>3</t>
        </is>
      </c>
      <c r="H48" t="inlineStr">
        <is>
          <t>探針台主要廠之一</t>
        </is>
      </c>
      <c r="I48" t="inlineStr">
        <is>
          <t>[判斷]</t>
        </is>
      </c>
      <c r="J48" t="inlineStr">
        <is>
          <t>候選第三家日本公司之一</t>
        </is>
      </c>
    </row>
    <row r="49">
      <c r="A49" t="inlineStr">
        <is>
          <t>伺服器組裝</t>
        </is>
      </c>
      <c r="B49" t="inlineStr">
        <is>
          <t>1</t>
        </is>
      </c>
      <c r="C49" t="inlineStr">
        <is>
          <t>鴻海</t>
        </is>
      </c>
      <c r="D49" t="inlineStr">
        <is>
          <t>2317</t>
        </is>
      </c>
      <c r="E49" t="inlineStr">
        <is>
          <t>台</t>
        </is>
      </c>
      <c r="F49" t="inlineStr">
        <is>
          <t>GB／VR 整櫃組裝（富士康為同一集團）</t>
        </is>
      </c>
      <c r="G49" t="inlineStr">
        <is>
          <t>1</t>
        </is>
      </c>
      <c r="H49" t="inlineStr">
        <is>
          <t>NVIDIA 整櫃最大組裝廠</t>
        </is>
      </c>
      <c r="I49" t="inlineStr">
        <is>
          <t>[判斷]</t>
        </is>
      </c>
      <c r="J49" t="inlineStr">
        <is>
          <t>待建</t>
        </is>
      </c>
    </row>
    <row r="50">
      <c r="A50" t="inlineStr">
        <is>
          <t>伺服器組裝</t>
        </is>
      </c>
      <c r="B50" t="inlineStr">
        <is>
          <t>2</t>
        </is>
      </c>
      <c r="C50" t="inlineStr">
        <is>
          <t>廣達</t>
        </is>
      </c>
      <c r="D50" t="inlineStr">
        <is>
          <t>2382</t>
        </is>
      </c>
      <c r="E50" t="inlineStr">
        <is>
          <t>台</t>
        </is>
      </c>
      <c r="F50" t="inlineStr">
        <is>
          <t>整櫃組裝、雲端 ODM</t>
        </is>
      </c>
      <c r="G50" t="inlineStr">
        <is>
          <t>1</t>
        </is>
      </c>
      <c r="H50" t="inlineStr">
        <is>
          <t>雲端與 NVIDIA 整櫃主要 ODM</t>
        </is>
      </c>
      <c r="I50" t="inlineStr">
        <is>
          <t>[判斷]</t>
        </is>
      </c>
      <c r="J50" t="inlineStr">
        <is>
          <t>有模型</t>
        </is>
      </c>
    </row>
    <row r="51">
      <c r="A51" t="inlineStr">
        <is>
          <t>伺服器組裝</t>
        </is>
      </c>
      <c r="B51" t="inlineStr">
        <is>
          <t>3</t>
        </is>
      </c>
      <c r="C51" t="inlineStr">
        <is>
          <t>緯創</t>
        </is>
      </c>
      <c r="D51" t="inlineStr">
        <is>
          <t>3231</t>
        </is>
      </c>
      <c r="E51" t="inlineStr">
        <is>
          <t>台</t>
        </is>
      </c>
      <c r="F51" t="inlineStr">
        <is>
          <t>GPU 基板、整櫃</t>
        </is>
      </c>
      <c r="G51" t="inlineStr">
        <is>
          <t>1</t>
        </is>
      </c>
      <c r="H51" t="inlineStr">
        <is>
          <t>NVIDIA GPU 基板主要供應者</t>
        </is>
      </c>
      <c r="I51" t="inlineStr">
        <is>
          <t>[判斷]</t>
        </is>
      </c>
      <c r="J51" t="inlineStr">
        <is>
          <t>待建</t>
        </is>
      </c>
    </row>
    <row r="52">
      <c r="A52" t="inlineStr">
        <is>
          <t>伺服器組裝</t>
        </is>
      </c>
      <c r="B52" t="inlineStr">
        <is>
          <t>4</t>
        </is>
      </c>
      <c r="C52" t="inlineStr">
        <is>
          <t>緯穎</t>
        </is>
      </c>
      <c r="D52" t="inlineStr">
        <is>
          <t>6669</t>
        </is>
      </c>
      <c r="E52" t="inlineStr">
        <is>
          <t>台</t>
        </is>
      </c>
      <c r="F52" t="inlineStr">
        <is>
          <t>雲端客戶 ODM（Meta、Microsoft 等）</t>
        </is>
      </c>
      <c r="G52" t="inlineStr">
        <is>
          <t>2</t>
        </is>
      </c>
      <c r="H52" t="inlineStr">
        <is>
          <t>雲端白牌伺服器主要 ODM</t>
        </is>
      </c>
      <c r="I52" t="inlineStr">
        <is>
          <t>[判斷]</t>
        </is>
      </c>
      <c r="J52" t="inlineStr">
        <is>
          <t>待建</t>
        </is>
      </c>
    </row>
    <row r="53">
      <c r="A53" t="inlineStr">
        <is>
          <t>伺服器組裝</t>
        </is>
      </c>
      <c r="B53" t="inlineStr">
        <is>
          <t>5</t>
        </is>
      </c>
      <c r="C53" t="inlineStr">
        <is>
          <t>Dell</t>
        </is>
      </c>
      <c r="D53" t="inlineStr">
        <is>
          <t>DELL</t>
        </is>
      </c>
      <c r="E53" t="inlineStr">
        <is>
          <t>美</t>
        </is>
      </c>
      <c r="F53" t="inlineStr">
        <is>
          <t>企業與新雲 AI 伺服器</t>
        </is>
      </c>
      <c r="G53" t="inlineStr">
        <is>
          <t>2</t>
        </is>
      </c>
      <c r="H53" t="inlineStr">
        <is>
          <t>企業與 neocloud 主要品牌</t>
        </is>
      </c>
      <c r="I53" t="inlineStr">
        <is>
          <t>[判斷]</t>
        </is>
      </c>
      <c r="J53" t="inlineStr">
        <is>
          <t>待建</t>
        </is>
      </c>
    </row>
    <row r="54">
      <c r="A54" t="inlineStr">
        <is>
          <t>伺服器組裝</t>
        </is>
      </c>
      <c r="B54" t="inlineStr">
        <is>
          <t>6</t>
        </is>
      </c>
      <c r="C54" t="inlineStr">
        <is>
          <t>Supermicro</t>
        </is>
      </c>
      <c r="D54" t="inlineStr">
        <is>
          <t>SMCI</t>
        </is>
      </c>
      <c r="E54" t="inlineStr">
        <is>
          <t>美</t>
        </is>
      </c>
      <c r="F54" t="inlineStr">
        <is>
          <t>AI 伺服器</t>
        </is>
      </c>
      <c r="G54" t="inlineStr">
        <is>
          <t>3</t>
        </is>
      </c>
      <c r="H54" t="inlineStr">
        <is>
          <t>品牌伺服器第二梯隊；治理風險</t>
        </is>
      </c>
      <c r="I54" t="inlineStr">
        <is>
          <t>[判斷]</t>
        </is>
      </c>
      <c r="J54" t="inlineStr">
        <is>
          <t>待建</t>
        </is>
      </c>
    </row>
    <row r="55">
      <c r="A55" t="inlineStr">
        <is>
          <t>電源與散熱</t>
        </is>
      </c>
      <c r="B55" t="inlineStr">
        <is>
          <t>1</t>
        </is>
      </c>
      <c r="C55" t="inlineStr">
        <is>
          <t>台達電</t>
        </is>
      </c>
      <c r="D55" t="inlineStr">
        <is>
          <t>2308</t>
        </is>
      </c>
      <c r="E55" t="inlineStr">
        <is>
          <t>台</t>
        </is>
      </c>
      <c r="F55" t="inlineStr">
        <is>
          <t>伺服器電源、HVDC、液冷</t>
        </is>
      </c>
      <c r="G55" t="inlineStr">
        <is>
          <t>1</t>
        </is>
      </c>
      <c r="H55" t="inlineStr">
        <is>
          <t>伺服器電源龍頭</t>
        </is>
      </c>
      <c r="I55" t="inlineStr">
        <is>
          <t>[判斷]</t>
        </is>
      </c>
      <c r="J55" t="inlineStr">
        <is>
          <t>有模型</t>
        </is>
      </c>
    </row>
    <row r="56">
      <c r="A56" t="inlineStr">
        <is>
          <t>電源與散熱</t>
        </is>
      </c>
      <c r="B56" t="inlineStr">
        <is>
          <t>2</t>
        </is>
      </c>
      <c r="C56" t="inlineStr">
        <is>
          <t>奇鋐</t>
        </is>
      </c>
      <c r="D56" t="inlineStr">
        <is>
          <t>3017</t>
        </is>
      </c>
      <c r="E56" t="inlineStr">
        <is>
          <t>台</t>
        </is>
      </c>
      <c r="F56" t="inlineStr">
        <is>
          <t>液冷冷板、散熱模組</t>
        </is>
      </c>
      <c r="G56" t="inlineStr">
        <is>
          <t>1</t>
        </is>
      </c>
      <c r="H56" t="inlineStr">
        <is>
          <t>AI 液冷冷板主要供應者</t>
        </is>
      </c>
      <c r="I56" t="inlineStr">
        <is>
          <t>[判斷]</t>
        </is>
      </c>
      <c r="J56" t="inlineStr">
        <is>
          <t>待建</t>
        </is>
      </c>
    </row>
    <row r="57">
      <c r="A57" t="inlineStr">
        <is>
          <t>電源與散熱</t>
        </is>
      </c>
      <c r="B57" t="inlineStr">
        <is>
          <t>3</t>
        </is>
      </c>
      <c r="C57" t="inlineStr">
        <is>
          <t>光寶</t>
        </is>
      </c>
      <c r="D57" t="inlineStr">
        <is>
          <t>2301</t>
        </is>
      </c>
      <c r="E57" t="inlineStr">
        <is>
          <t>台</t>
        </is>
      </c>
      <c r="F57" t="inlineStr">
        <is>
          <t>伺服器電源</t>
        </is>
      </c>
      <c r="G57" t="inlineStr">
        <is>
          <t>2</t>
        </is>
      </c>
      <c r="H57" t="inlineStr">
        <is>
          <t>伺服器電源第二大</t>
        </is>
      </c>
      <c r="I57" t="inlineStr">
        <is>
          <t>[判斷]</t>
        </is>
      </c>
      <c r="J57" t="inlineStr">
        <is>
          <t>待建</t>
        </is>
      </c>
    </row>
    <row r="58">
      <c r="A58" t="inlineStr">
        <is>
          <t>電源與散熱</t>
        </is>
      </c>
      <c r="B58" t="inlineStr">
        <is>
          <t>4</t>
        </is>
      </c>
      <c r="C58" t="inlineStr">
        <is>
          <t>雙鴻</t>
        </is>
      </c>
      <c r="D58" t="inlineStr">
        <is>
          <t>3324</t>
        </is>
      </c>
      <c r="E58" t="inlineStr">
        <is>
          <t>台</t>
        </is>
      </c>
      <c r="F58" t="inlineStr">
        <is>
          <t>液冷、散熱模組</t>
        </is>
      </c>
      <c r="G58" t="inlineStr">
        <is>
          <t>2</t>
        </is>
      </c>
      <c r="H58" t="inlineStr">
        <is>
          <t>液冷主要廠之一</t>
        </is>
      </c>
      <c r="I58" t="inlineStr">
        <is>
          <t>[判斷]</t>
        </is>
      </c>
      <c r="J58" t="inlineStr">
        <is>
          <t>待建</t>
        </is>
      </c>
    </row>
    <row r="59">
      <c r="A59" t="inlineStr">
        <is>
          <t>電源與散熱</t>
        </is>
      </c>
      <c r="B59" t="inlineStr">
        <is>
          <t>5</t>
        </is>
      </c>
      <c r="C59" t="inlineStr">
        <is>
          <t>Vertiv</t>
        </is>
      </c>
      <c r="D59" t="inlineStr">
        <is>
          <t>VRT</t>
        </is>
      </c>
      <c r="E59" t="inlineStr">
        <is>
          <t>美</t>
        </is>
      </c>
      <c r="F59" t="inlineStr">
        <is>
          <t>機房電力與液冷（CDU）</t>
        </is>
      </c>
      <c r="G59" t="inlineStr">
        <is>
          <t>2</t>
        </is>
      </c>
      <c r="H59" t="inlineStr">
        <is>
          <t>機房層級；與「電力與機房」另案的邊界待定</t>
        </is>
      </c>
      <c r="I59" t="inlineStr">
        <is>
          <t>[判斷]</t>
        </is>
      </c>
      <c r="J59" t="inlineStr">
        <is>
          <t>待建（邊界待定）</t>
        </is>
      </c>
    </row>
    <row r="60">
      <c r="A60" t="inlineStr">
        <is>
          <t>電源與散熱</t>
        </is>
      </c>
      <c r="B60" t="inlineStr">
        <is>
          <t>6</t>
        </is>
      </c>
      <c r="C60" t="inlineStr">
        <is>
          <t>健策</t>
        </is>
      </c>
      <c r="D60" t="inlineStr">
        <is>
          <t>3653</t>
        </is>
      </c>
      <c r="E60" t="inlineStr">
        <is>
          <t>台</t>
        </is>
      </c>
      <c r="F60" t="inlineStr">
        <is>
          <t>均熱片、冷板元件</t>
        </is>
      </c>
      <c r="G60" t="inlineStr">
        <is>
          <t>3</t>
        </is>
      </c>
      <c r="H60" t="inlineStr">
        <is>
          <t>散熱元件</t>
        </is>
      </c>
      <c r="I60" t="inlineStr">
        <is>
          <t>[判斷]</t>
        </is>
      </c>
      <c r="J60" t="inlineStr">
        <is>
          <t>待建</t>
        </is>
      </c>
    </row>
    <row r="61">
      <c r="A61" t="inlineStr">
        <is>
          <t>電源與散熱</t>
        </is>
      </c>
      <c r="B61" t="inlineStr">
        <is>
          <t>7</t>
        </is>
      </c>
      <c r="C61" t="inlineStr">
        <is>
          <t>ABB</t>
        </is>
      </c>
      <c r="D61" t="inlineStr">
        <is>
          <t>ABBN</t>
        </is>
      </c>
      <c r="E61" t="inlineStr">
        <is>
          <t>瑞士</t>
        </is>
      </c>
      <c r="F61" t="inlineStr">
        <is>
          <t>電網與機房配電</t>
        </is>
      </c>
      <c r="G61" t="inlineStr">
        <is>
          <t>3</t>
        </is>
      </c>
      <c r="H61" t="inlineStr">
        <is>
          <t>機房／電網層級；與「電力與機房」另案的邊界待定</t>
        </is>
      </c>
      <c r="I61" t="inlineStr">
        <is>
          <t>[判斷]</t>
        </is>
      </c>
      <c r="J61" t="inlineStr">
        <is>
          <t>待建（邊界待定）</t>
        </is>
      </c>
    </row>
    <row r="62">
      <c r="A62" t="inlineStr">
        <is>
          <t>AI 雲端平台</t>
        </is>
      </c>
      <c r="B62" t="inlineStr"/>
      <c r="C62" t="inlineStr">
        <is>
          <t>Amazon</t>
        </is>
      </c>
      <c r="D62" t="inlineStr">
        <is>
          <t>AMZN</t>
        </is>
      </c>
      <c r="E62" t="inlineStr">
        <is>
          <t>美</t>
        </is>
      </c>
      <c r="F62" t="inlineStr"/>
      <c r="G62" t="n">
        <v>1</v>
      </c>
      <c r="H62" t="inlineStr">
        <is>
          <t>AWS 為最大公有雲；自研 Trainium</t>
        </is>
      </c>
      <c r="I62" t="inlineStr">
        <is>
          <t>[判斷]</t>
        </is>
      </c>
      <c r="J62" t="inlineStr">
        <is>
          <t>有模型</t>
        </is>
      </c>
    </row>
    <row r="63">
      <c r="A63" t="inlineStr">
        <is>
          <t>AI 雲端平台</t>
        </is>
      </c>
      <c r="B63" t="inlineStr"/>
      <c r="C63" t="inlineStr">
        <is>
          <t>Microsoft</t>
        </is>
      </c>
      <c r="D63" t="inlineStr">
        <is>
          <t>MSFT</t>
        </is>
      </c>
      <c r="E63" t="inlineStr">
        <is>
          <t>美</t>
        </is>
      </c>
      <c r="F63" t="inlineStr"/>
      <c r="G63" t="n">
        <v>1</v>
      </c>
      <c r="H63" t="inlineStr">
        <is>
          <t>Azure 第二大公有雲；OpenAI 主要算力夥伴</t>
        </is>
      </c>
      <c r="I63" t="inlineStr">
        <is>
          <t>[判斷]</t>
        </is>
      </c>
      <c r="J63" t="inlineStr">
        <is>
          <t>有模型</t>
        </is>
      </c>
    </row>
    <row r="64">
      <c r="A64" t="inlineStr">
        <is>
          <t>AI 雲端平台</t>
        </is>
      </c>
      <c r="B64" t="inlineStr"/>
      <c r="C64" t="inlineStr">
        <is>
          <t>Alphabet</t>
        </is>
      </c>
      <c r="D64" t="inlineStr">
        <is>
          <t>GOOGL</t>
        </is>
      </c>
      <c r="E64" t="inlineStr">
        <is>
          <t>美</t>
        </is>
      </c>
      <c r="F64" t="inlineStr"/>
      <c r="G64" t="n">
        <v>1</v>
      </c>
      <c r="H64" t="inlineStr">
        <is>
          <t>TPU＋Gemini 垂直整合；雲端第三</t>
        </is>
      </c>
      <c r="I64" t="inlineStr">
        <is>
          <t>[判斷]</t>
        </is>
      </c>
      <c r="J64" t="inlineStr">
        <is>
          <t>有模型</t>
        </is>
      </c>
    </row>
    <row r="65">
      <c r="A65" t="inlineStr">
        <is>
          <t>AI 雲端平台</t>
        </is>
      </c>
      <c r="B65" t="inlineStr"/>
      <c r="C65" t="inlineStr">
        <is>
          <t>Oracle</t>
        </is>
      </c>
      <c r="D65" t="inlineStr">
        <is>
          <t>ORCL</t>
        </is>
      </c>
      <c r="E65" t="inlineStr">
        <is>
          <t>美</t>
        </is>
      </c>
      <c r="F65" t="inlineStr"/>
      <c r="G65" t="n">
        <v>2</v>
      </c>
      <c r="H65" t="inlineStr">
        <is>
          <t>OCI 規模較小；Stargate 主要承建方，客戶集中</t>
        </is>
      </c>
      <c r="I65" t="inlineStr">
        <is>
          <t>[判斷]</t>
        </is>
      </c>
      <c r="J65" t="inlineStr">
        <is>
          <t>有模型</t>
        </is>
      </c>
    </row>
    <row r="66">
      <c r="A66" t="inlineStr">
        <is>
          <t>Neocloud（GPU 租賃）</t>
        </is>
      </c>
      <c r="B66" t="inlineStr"/>
      <c r="C66" t="inlineStr">
        <is>
          <t>CoreWeave</t>
        </is>
      </c>
      <c r="D66" t="inlineStr">
        <is>
          <t>CRWV</t>
        </is>
      </c>
      <c r="E66" t="inlineStr">
        <is>
          <t>美</t>
        </is>
      </c>
      <c r="F66" t="inlineStr"/>
      <c r="G66" t="n">
        <v>2</v>
      </c>
      <c r="H66" t="inlineStr">
        <is>
          <t>最大 neocloud；客戶集中於 Microsoft、OpenAI</t>
        </is>
      </c>
      <c r="I66" t="inlineStr">
        <is>
          <t>[判斷]</t>
        </is>
      </c>
      <c r="J66" t="inlineStr">
        <is>
          <t>有模型</t>
        </is>
      </c>
    </row>
    <row r="67">
      <c r="A67" t="inlineStr">
        <is>
          <t>Neocloud（GPU 租賃）</t>
        </is>
      </c>
      <c r="B67" t="inlineStr"/>
      <c r="C67" t="inlineStr">
        <is>
          <t>Nebius</t>
        </is>
      </c>
      <c r="D67" t="inlineStr">
        <is>
          <t>NBIS</t>
        </is>
      </c>
      <c r="E67" t="inlineStr">
        <is>
          <t>美</t>
        </is>
      </c>
      <c r="F67" t="inlineStr"/>
      <c r="G67" t="n">
        <v>2</v>
      </c>
      <c r="H67" t="inlineStr">
        <is>
          <t>歐洲為主的 neocloud；Microsoft 長約</t>
        </is>
      </c>
      <c r="I67" t="inlineStr">
        <is>
          <t>[判斷]</t>
        </is>
      </c>
      <c r="J67" t="inlineStr">
        <is>
          <t>有模型</t>
        </is>
      </c>
    </row>
    <row r="68">
      <c r="A68" t="inlineStr">
        <is>
          <t>Neocloud（GPU 租賃）</t>
        </is>
      </c>
      <c r="B68" t="inlineStr"/>
      <c r="C68" t="inlineStr">
        <is>
          <t>WhiteFiber</t>
        </is>
      </c>
      <c r="D68" t="inlineStr">
        <is>
          <t>WYFI</t>
        </is>
      </c>
      <c r="E68" t="inlineStr">
        <is>
          <t>美</t>
        </is>
      </c>
      <c r="F68" t="inlineStr"/>
      <c r="G68" t="n">
        <v>3</v>
      </c>
      <c r="H68" t="inlineStr">
        <is>
          <t>小型 neocloud＋託管</t>
        </is>
      </c>
      <c r="I68" t="inlineStr">
        <is>
          <t>[判斷]</t>
        </is>
      </c>
      <c r="J68" t="inlineStr">
        <is>
          <t>有模型</t>
        </is>
      </c>
    </row>
    <row r="69">
      <c r="A69" t="inlineStr">
        <is>
          <t>AI 模型商</t>
        </is>
      </c>
      <c r="B69" t="inlineStr"/>
      <c r="C69" t="inlineStr">
        <is>
          <t>MiniMax</t>
        </is>
      </c>
      <c r="D69" t="inlineStr">
        <is>
          <t>00100</t>
        </is>
      </c>
      <c r="E69" t="inlineStr">
        <is>
          <t>港</t>
        </is>
      </c>
      <c r="F69" t="inlineStr"/>
      <c r="G69" t="n">
        <v>3</v>
      </c>
      <c r="H69" t="inlineStr">
        <is>
          <t>中國第二梯隊模型商；多模態、海外營收占比高</t>
        </is>
      </c>
      <c r="I69" t="inlineStr">
        <is>
          <t>[判斷]</t>
        </is>
      </c>
      <c r="J69" t="inlineStr">
        <is>
          <t>有模型</t>
        </is>
      </c>
    </row>
    <row r="70">
      <c r="A70" t="inlineStr">
        <is>
          <t>AI 模型商</t>
        </is>
      </c>
      <c r="B70" t="inlineStr"/>
      <c r="C70" t="inlineStr">
        <is>
          <t>智譜</t>
        </is>
      </c>
      <c r="D70" t="inlineStr">
        <is>
          <t>02513</t>
        </is>
      </c>
      <c r="E70" t="inlineStr">
        <is>
          <t>港</t>
        </is>
      </c>
      <c r="F70" t="inlineStr"/>
      <c r="G70" t="n">
        <v>3</v>
      </c>
      <c r="H70" t="inlineStr">
        <is>
          <t>中國第二梯隊模型商；政企本地化部署</t>
        </is>
      </c>
      <c r="I70" t="inlineStr">
        <is>
          <t>[判斷]</t>
        </is>
      </c>
      <c r="J70" t="inlineStr">
        <is>
          <t>有模型</t>
        </is>
      </c>
    </row>
    <row r="71">
      <c r="A71" t="inlineStr">
        <is>
          <t>AI 模型商</t>
        </is>
      </c>
      <c r="B71" t="inlineStr"/>
      <c r="C71" t="inlineStr">
        <is>
          <t>OpenAI</t>
        </is>
      </c>
      <c r="D71" t="inlineStr"/>
      <c r="E71" t="inlineStr">
        <is>
          <t>未上市</t>
        </is>
      </c>
      <c r="F71" t="inlineStr"/>
      <c r="G71" t="inlineStr"/>
      <c r="H71" t="inlineStr"/>
      <c r="I71" t="inlineStr"/>
      <c r="J71" t="inlineStr">
        <is>
          <t>company-models openai v0.6.3（P×Q 回本比值）</t>
        </is>
      </c>
    </row>
    <row r="72">
      <c r="A72" t="inlineStr">
        <is>
          <t>AI 模型商</t>
        </is>
      </c>
      <c r="B72" t="inlineStr"/>
      <c r="C72" t="inlineStr">
        <is>
          <t>Anthropic</t>
        </is>
      </c>
      <c r="D72" t="inlineStr"/>
      <c r="E72" t="inlineStr">
        <is>
          <t>未上市</t>
        </is>
      </c>
      <c r="F72" t="inlineStr"/>
      <c r="G72" t="inlineStr"/>
      <c r="H72" t="inlineStr"/>
      <c r="I72" t="inlineStr"/>
      <c r="J72" t="inlineStr">
        <is>
          <t>company-models anthropic v0.1.5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2026-10-25T02:52:30Z</dcterms:created>
  <dcterms:modified xmlns:dcterms="http://purl.org/dc/terms/" xmlns:xsi="http://www.w3.org/2001/XMLSchema-instance" xsi:type="dcterms:W3CDTF">2026-10-25T02:52:30Z</dcterms:modified>
</cp:coreProperties>
</file>