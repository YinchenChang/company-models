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gate_tol">參數!$B$2</definedName>
    <definedName name="w_irr">參數!$B$3</definedName>
    <definedName name="w_pos">參數!$B$4</definedName>
    <definedName name="w_vc">參數!$B$5</definedName>
    <definedName name="s_irr1">參數!$B$6</definedName>
    <definedName name="s_irr2">參數!$B$7</definedName>
    <definedName name="s_irr3">參數!$B$8</definedName>
    <definedName name="s_pos1">參數!$B$9</definedName>
    <definedName name="s_pos2">參數!$B$10</definedName>
    <definedName name="s_pos3">參數!$B$11</definedName>
    <definedName name="s_pos4">參數!$B$12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v0.6.8（20261030）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gate_tol</t>
        </is>
      </c>
      <c r="B2" s="3" t="n">
        <v>50</v>
      </c>
      <c r="C2" t="inlineStr">
        <is>
          <t>收支關卡容忍帶（US$B，只用於 MSFT／GOOGL／AMZN／ORCL／META）：五年合計在 −gate_tol～0 視為 0、不變號（2026-10-29 MAG 串建議預設，待 Andy 決定）</t>
        </is>
      </c>
    </row>
    <row r="3">
      <c r="A3" t="inlineStr">
        <is>
          <t>w_irr</t>
        </is>
      </c>
      <c r="B3" s="3" t="n">
        <v>0.4</v>
      </c>
      <c r="C3" t="inlineStr">
        <is>
          <t>地位分數權重：不可替代性</t>
        </is>
      </c>
    </row>
    <row r="4">
      <c r="A4" t="inlineStr">
        <is>
          <t>w_pos</t>
        </is>
      </c>
      <c r="B4" s="3" t="n">
        <v>0.35</v>
      </c>
      <c r="C4" t="inlineStr">
        <is>
          <t>地位分數權重：市場位置</t>
        </is>
      </c>
    </row>
    <row r="5">
      <c r="A5" t="inlineStr">
        <is>
          <t>w_vc</t>
        </is>
      </c>
      <c r="B5" s="3" t="n">
        <v>0.25</v>
      </c>
      <c r="C5" t="inlineStr">
        <is>
          <t>地位分數權重：價值鏈分量</t>
        </is>
      </c>
    </row>
    <row r="6">
      <c r="A6" t="inlineStr">
        <is>
          <t>s_irr1</t>
        </is>
      </c>
      <c r="B6" s="3" t="n">
        <v>100</v>
      </c>
      <c r="C6" t="inlineStr">
        <is>
          <t>不可替代性／重要性 1 → 分數</t>
        </is>
      </c>
    </row>
    <row r="7">
      <c r="A7" t="inlineStr">
        <is>
          <t>s_irr2</t>
        </is>
      </c>
      <c r="B7" s="3" t="n">
        <v>60</v>
      </c>
      <c r="C7" t="inlineStr">
        <is>
          <t>2 → 分數</t>
        </is>
      </c>
    </row>
    <row r="8">
      <c r="A8" t="inlineStr">
        <is>
          <t>s_irr3</t>
        </is>
      </c>
      <c r="B8" s="3" t="n">
        <v>30</v>
      </c>
      <c r="C8" t="inlineStr">
        <is>
          <t>3 → 分數</t>
        </is>
      </c>
    </row>
    <row r="9">
      <c r="A9" t="inlineStr">
        <is>
          <t>s_pos1</t>
        </is>
      </c>
      <c r="B9" s="3" t="n">
        <v>100</v>
      </c>
      <c r="C9" t="inlineStr">
        <is>
          <t>市場位置 1 龍頭 → 分數</t>
        </is>
      </c>
    </row>
    <row r="10">
      <c r="A10" t="inlineStr">
        <is>
          <t>s_pos2</t>
        </is>
      </c>
      <c r="B10" s="3" t="n">
        <v>75</v>
      </c>
      <c r="C10" t="inlineStr">
        <is>
          <t>2 前二或寡占 → 分數</t>
        </is>
      </c>
    </row>
    <row r="11">
      <c r="A11" t="inlineStr">
        <is>
          <t>s_pos3</t>
        </is>
      </c>
      <c r="B11" s="3" t="n">
        <v>50</v>
      </c>
      <c r="C11" t="inlineStr">
        <is>
          <t>3 主要參與者 → 分數</t>
        </is>
      </c>
    </row>
    <row r="12">
      <c r="A12" t="inlineStr">
        <is>
          <t>s_pos4</t>
        </is>
      </c>
      <c r="B12" s="3" t="n">
        <v>25</v>
      </c>
      <c r="C12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51.6%（VR200 2027 33.2%）</t>
        </is>
      </c>
      <c r="D5" s="4" t="n">
        <v>0.516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v0.2.3：NVIDIA GPU 晶片毛利＋CPU；HBM、台積電、網通晶片不在此塊；只含 NVIDIA 平台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13.5%（VR200 2027 22.8%）</t>
        </is>
      </c>
      <c r="D6" s="4" t="n">
        <v>0.135</v>
      </c>
      <c r="E6">
        <f>D6*每GW!$D$2</f>
        <v/>
      </c>
      <c r="F6" s="3" t="n">
        <v>1</v>
      </c>
      <c r="G6" s="3" t="n">
        <v>100</v>
      </c>
      <c r="H6" s="1" t="inlineStr">
        <is>
          <t>AI半導體 次產業排序 v0.2.3：HBM＋LPDDR5X＋機架內 NAND（NAND 為 Assumed）；2027 HBM 合約價約翻倍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2027 19.0%）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AI半導體 次產業排序 v0.2.3：NVLink 交換晶片＋交換匣其他＋scale-out 機架外＋SuperNIC／DPU [Derived]</t>
        </is>
      </c>
    </row>
    <row r="8">
      <c r="A8" t="inlineStr">
        <is>
          <t>L3 IT 設備</t>
        </is>
      </c>
      <c r="B8" t="inlineStr">
        <is>
          <t>代工與封測</t>
        </is>
      </c>
      <c r="C8" t="inlineStr">
        <is>
          <t>5.4%（VR200 2027 3.0%）</t>
        </is>
      </c>
      <c r="D8" s="4" t="n">
        <v>0.05400000000000001</v>
      </c>
      <c r="E8">
        <f>D8*每GW!$D$2</f>
        <v/>
      </c>
      <c r="F8" s="3" t="n">
        <v>1</v>
      </c>
      <c r="G8" s="3" t="n">
        <v>75</v>
      </c>
      <c r="H8" s="1" t="inlineStr">
        <is>
          <t>AI半導體 次產業排序 v0.2.3：台積電（GPU 晶片＋CoWoS）＋其他製造（測試、良率損失），扣除 ABF；比例小但先進製程與 CoWoS 近獨占，分量分例外給 75 [Derived]／[判斷]</t>
        </is>
      </c>
    </row>
    <row r="9">
      <c r="A9" t="inlineStr">
        <is>
          <t>L3 IT 設備</t>
        </is>
      </c>
      <c r="B9" t="inlineStr">
        <is>
          <t>載板與 PCB</t>
        </is>
      </c>
      <c r="C9" t="inlineStr">
        <is>
          <t>0.3%（VR200 2027 0.3%；ABF，0.2–0.4%；PCB／CCL 在伺服器組裝內）</t>
        </is>
      </c>
      <c r="D9" s="4" t="n">
        <v>0.003</v>
      </c>
      <c r="E9">
        <f>D9*每GW!$D$2</f>
        <v/>
      </c>
      <c r="F9" s="3" t="n">
        <v>2</v>
      </c>
      <c r="G9" s="3" t="n">
        <v>25</v>
      </c>
      <c r="H9" s="1" t="inlineStr">
        <is>
          <t>AI半導體 次產業排序 v0.2.3：ABF 自「其他製造」切出 [Assumed] 區間</t>
        </is>
      </c>
    </row>
    <row r="10">
      <c r="A10" t="inlineStr">
        <is>
          <t>L3 IT 設備</t>
        </is>
      </c>
      <c r="B10" t="inlineStr">
        <is>
          <t>電源與散熱</t>
        </is>
      </c>
      <c r="C10" t="inlineStr">
        <is>
          <t>6.3%（VR200 2027 6.3%；含機構、整合；電源＋散熱約 3–5%）</t>
        </is>
      </c>
      <c r="D10" s="4" t="n">
        <v>0.063</v>
      </c>
      <c r="E10">
        <f>D10*每GW!$D$2</f>
        <v/>
      </c>
      <c r="F10" s="3" t="n">
        <v>2</v>
      </c>
      <c r="G10" s="3" t="n">
        <v>25</v>
      </c>
      <c r="H10" s="1" t="inlineStr">
        <is>
          <t>AI半導體 次產業排序 v0.2.3：非 NVIDIA 機架內容全額；電源＋散熱 3–5% 為判斷，級距依 3–5% 給 25 [Derived]／[Assumed]</t>
        </is>
      </c>
    </row>
    <row r="11">
      <c r="A11" t="inlineStr">
        <is>
          <t>L3 IT 設備</t>
        </is>
      </c>
      <c r="B11" t="inlineStr">
        <is>
          <t>伺服器組裝</t>
        </is>
      </c>
      <c r="C11" t="inlineStr">
        <is>
          <t>4.6%（VR200 2027 14.9%；殘差，未拆；ODM 附加價值約 1–3%）</t>
        </is>
      </c>
      <c r="D11" s="4" t="n">
        <v>0.046</v>
      </c>
      <c r="E11">
        <f>D11*每GW!$D$2</f>
        <v/>
      </c>
      <c r="F11" s="3" t="n">
        <v>3</v>
      </c>
      <c r="G11" s="3" t="n">
        <v>25</v>
      </c>
      <c r="H11" s="1" t="inlineStr">
        <is>
          <t>AI半導體 次產業排序 v0.2.3：橋接表殘差（匣級電路板含 PCB、匣級供電、NVIDIA／ODM 匣級加價），未拆；組裝廠附加價值 1–3% 為判斷 [Derived]</t>
        </is>
      </c>
    </row>
    <row r="12">
      <c r="A12" t="inlineStr">
        <is>
          <t>L3 IT 設備</t>
        </is>
      </c>
      <c r="B12" t="inlineStr">
        <is>
          <t>儲存與管理</t>
        </is>
      </c>
      <c r="C12" t="inlineStr">
        <is>
          <t>0.8%（VR200 2027 0.4%；機架外儲存、管理網路，未拆）</t>
        </is>
      </c>
      <c r="D12" s="4" t="n">
        <v>0.008</v>
      </c>
      <c r="E12">
        <f>D12*每GW!$D$2</f>
        <v/>
      </c>
      <c r="F12" s="3" t="n">
        <v>3</v>
      </c>
      <c r="G12" s="3" t="n">
        <v>25</v>
      </c>
      <c r="H12" s="1" t="inlineStr">
        <is>
          <t>AI半導體 次產業排序 v0.2.3：橋接表儲存與管理列（機架外儲存、管理網路），未拆、不建模；不可替代性 3 為判斷 [Derived]／[判斷]</t>
        </is>
      </c>
    </row>
    <row r="13">
      <c r="A13" t="inlineStr">
        <is>
          <t>L2 半導體製造與設備</t>
        </is>
      </c>
      <c r="B13" t="inlineStr">
        <is>
          <t>設備與材料</t>
        </is>
      </c>
      <c r="C13" t="inlineStr">
        <is>
          <t>約 7.5%（軸 B，不可與軸 A 相加）</t>
        </is>
      </c>
      <c r="D13" s="4" t="n">
        <v>0.075</v>
      </c>
      <c r="F13" s="3" t="n">
        <v>1</v>
      </c>
      <c r="G13" s="3" t="n">
        <v>50</v>
      </c>
      <c r="H13" s="1" t="inlineStr">
        <is>
          <t>AI半導體 次產業排序 v0.2.3（設備模型情境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RANK(M2,$M$2:$M$66,0)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RANK(M3,$M$2:$M$66,0)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RANK(M4,$M$2:$M$66,0)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RANK(M5,$M$2:$M$66,0)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RANK(M6,$M$2:$M$66,0)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RANK(M7,$M$2:$M$66,0)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RANK(M8,$M$2:$M$66,0)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價值鏈!A8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價值鏈!F8</f>
        <v/>
      </c>
      <c r="J9">
        <f>價值鏈!G8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RANK(M9,$M$2:$M$66,0)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價值鏈!A9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價值鏈!F9</f>
        <v/>
      </c>
      <c r="J10">
        <f>價值鏈!G9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RANK(M10,$M$2:$M$66,0)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價值鏈!A10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價值鏈!F10</f>
        <v/>
      </c>
      <c r="J11">
        <f>價值鏈!G10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RANK(M11,$M$2:$M$66,0)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價值鏈!A11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價值鏈!F11</f>
        <v/>
      </c>
      <c r="J12">
        <f>價值鏈!G11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RANK(M12,$M$2:$M$66,0)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價值鏈!F13</f>
        <v/>
      </c>
      <c r="J13">
        <f>價值鏈!G13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RANK(M13,$M$2:$M$66,0)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價值鏈!F13</f>
        <v/>
      </c>
      <c r="J14">
        <f>價值鏈!G13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RANK(M14,$M$2:$M$66,0)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RANK(M15,$M$2:$M$66,0)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RANK(M16,$M$2:$M$66,0)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RANK(M17,$M$2:$M$66,0)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RANK(M18,$M$2:$M$66,0)</f>
        <v/>
      </c>
    </row>
    <row r="19">
      <c r="A19" t="inlineStr">
        <is>
          <t>SPCX</t>
        </is>
      </c>
      <c r="B19" t="inlineStr">
        <is>
          <t>SpaceX</t>
        </is>
      </c>
      <c r="C19">
        <f>價值鏈!A3</f>
        <v/>
      </c>
      <c r="D19" t="inlineStr">
        <is>
          <t>AI 雲端平台</t>
        </is>
      </c>
      <c r="E19" s="3" t="n">
        <v>2</v>
      </c>
      <c r="F19" s="3" t="n">
        <v>3</v>
      </c>
      <c r="G19" s="1" t="inlineStr">
        <is>
          <t>SI 分部（原 xAI）：自建名目算力 1.7 GW（2026-09-30）、對外算力出租＋Grok／Cursor／X；Starlink 現金流支撐（算力收支建議）</t>
        </is>
      </c>
      <c r="H19" t="inlineStr">
        <is>
          <t>[判斷]</t>
        </is>
      </c>
      <c r="I19">
        <f>價值鏈!F3</f>
        <v/>
      </c>
      <c r="J19">
        <f>價值鏈!G3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RANK(M19,$M$2:$M$66,0)</f>
        <v/>
      </c>
    </row>
    <row r="20">
      <c r="A20" t="inlineStr">
        <is>
          <t>META</t>
        </is>
      </c>
      <c r="B20" t="inlineStr">
        <is>
          <t>Meta</t>
        </is>
      </c>
      <c r="C20">
        <f>價值鏈!A2</f>
        <v/>
      </c>
      <c r="D20" t="inlineStr">
        <is>
          <t>AI 模型商</t>
        </is>
      </c>
      <c r="E20" s="3" t="n">
        <v>1</v>
      </c>
      <c r="F20" s="3" t="n">
        <v>3</v>
      </c>
      <c r="G20" s="1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H20" t="inlineStr">
        <is>
          <t>[判斷]</t>
        </is>
      </c>
      <c r="I20">
        <f>價值鏈!F2</f>
        <v/>
      </c>
      <c r="J20">
        <f>價值鏈!G2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RANK(M20,$M$2:$M$66,0)</f>
        <v/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s="3" t="n">
        <v>2</v>
      </c>
      <c r="F21" s="3" t="n">
        <v>1</v>
      </c>
      <c r="G21" s="1" t="inlineStr">
        <is>
          <t>最大 neocloud；客戶集中於 Microsoft、OpenAI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RANK(M21,$M$2:$M$66,0)</f>
        <v/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s="3" t="n">
        <v>2</v>
      </c>
      <c r="F22" s="3" t="n">
        <v>2</v>
      </c>
      <c r="G22" s="1" t="inlineStr">
        <is>
          <t>歐洲為主的 neocloud；Microsoft 長約</t>
        </is>
      </c>
      <c r="H22" t="inlineStr">
        <is>
          <t>[判斷]</t>
        </is>
      </c>
      <c r="I22">
        <f>價值鏈!F4</f>
        <v/>
      </c>
      <c r="J22">
        <f>價值鏈!G4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RANK(M22,$M$2:$M$66,0)</f>
        <v/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s="3" t="n">
        <v>3</v>
      </c>
      <c r="F23" s="3" t="n">
        <v>4</v>
      </c>
      <c r="G23" s="1" t="inlineStr">
        <is>
          <t>小型 neocloud＋託管</t>
        </is>
      </c>
      <c r="H23" t="inlineStr">
        <is>
          <t>[判斷]</t>
        </is>
      </c>
      <c r="I23">
        <f>價值鏈!F4</f>
        <v/>
      </c>
      <c r="J23">
        <f>價值鏈!G4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RANK(M23,$M$2:$M$66,0)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s="3" t="n">
        <v>1</v>
      </c>
      <c r="F24" s="3" t="n">
        <v>1</v>
      </c>
      <c r="G24" s="1" t="inlineStr">
        <is>
          <t>ChatGPT 與 API 用量最大的模型商；算力承諾最大（本專案 OpenAI 模型）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RANK(M24,$M$2:$M$66,0)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s="3" t="n">
        <v>1</v>
      </c>
      <c r="F25" s="3" t="n">
        <v>2</v>
      </c>
      <c r="G25" s="1" t="inlineStr">
        <is>
          <t>企業與程式開發用途為主的前沿模型商（本專案 Anthropic 模型）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RANK(M25,$M$2:$M$66,0)</f>
        <v/>
      </c>
    </row>
    <row r="26">
      <c r="A26" t="inlineStr">
        <is>
          <t>00100</t>
        </is>
      </c>
      <c r="B26" t="inlineStr">
        <is>
          <t>MiniMax</t>
        </is>
      </c>
      <c r="C26">
        <f>價值鏈!A2</f>
        <v/>
      </c>
      <c r="D26" t="inlineStr">
        <is>
          <t>AI 模型商</t>
        </is>
      </c>
      <c r="E26" s="3" t="n">
        <v>3</v>
      </c>
      <c r="F26" s="3" t="n">
        <v>3</v>
      </c>
      <c r="G26" s="1" t="inlineStr">
        <is>
          <t>中國第二梯隊模型商；多模態、海外營收占比高</t>
        </is>
      </c>
      <c r="H26" t="inlineStr">
        <is>
          <t>[判斷]</t>
        </is>
      </c>
      <c r="I26">
        <f>價值鏈!F2</f>
        <v/>
      </c>
      <c r="J26">
        <f>價值鏈!G2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RANK(M26,$M$2:$M$66,0)</f>
        <v/>
      </c>
    </row>
    <row r="27">
      <c r="A27" t="inlineStr">
        <is>
          <t>02513</t>
        </is>
      </c>
      <c r="B27" t="inlineStr">
        <is>
          <t>智譜</t>
        </is>
      </c>
      <c r="C27">
        <f>價值鏈!A2</f>
        <v/>
      </c>
      <c r="D27" t="inlineStr">
        <is>
          <t>AI 模型商</t>
        </is>
      </c>
      <c r="E27" s="3" t="n">
        <v>3</v>
      </c>
      <c r="F27" s="3" t="n">
        <v>3</v>
      </c>
      <c r="G27" s="1" t="inlineStr">
        <is>
          <t>中國第二梯隊模型商；政企本地化部署</t>
        </is>
      </c>
      <c r="H27" t="inlineStr">
        <is>
          <t>[判斷]</t>
        </is>
      </c>
      <c r="I27">
        <f>價值鏈!F2</f>
        <v/>
      </c>
      <c r="J27">
        <f>價值鏈!G2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RANK(M27,$M$2:$M$66,0)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RANK(M28,$M$2:$M$66,0)</f>
        <v/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3</v>
      </c>
      <c r="G29" s="1" t="inlineStr">
        <is>
          <t>Google TPU 合作（媒體報導）（AI半導體 候選母體 v0.2.2；市場位置由次產業內優先序 4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RANK(M29,$M$2:$M$66,0)</f>
        <v/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s="3" t="n">
        <v>2</v>
      </c>
      <c r="F30" s="3" t="n">
        <v>3</v>
      </c>
      <c r="G30" s="1" t="inlineStr">
        <is>
          <t>光 DSP 主要供應商之一（AI半導體 候選母體 v0.2.2；市場位置由次產業內優先序 5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RANK(M30,$M$2:$M$66,0)</f>
        <v/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s="3" t="n">
        <v>2</v>
      </c>
      <c r="F31" s="3" t="n">
        <v>4</v>
      </c>
      <c r="G31" s="1" t="inlineStr">
        <is>
          <t>雲端客製晶片設計服務（AI半導體 候選母體 v0.2.2；市場位置由次產業內優先序 6 換算）</t>
        </is>
      </c>
      <c r="H31" t="inlineStr">
        <is>
          <t>[判斷]</t>
        </is>
      </c>
      <c r="I31">
        <f>價值鏈!F5</f>
        <v/>
      </c>
      <c r="J31">
        <f>價值鏈!G5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RANK(M31,$M$2:$M$66,0)</f>
        <v/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s="3" t="n">
        <v>3</v>
      </c>
      <c r="F32" s="3" t="n">
        <v>4</v>
      </c>
      <c r="G32" s="1" t="inlineStr">
        <is>
          <t>台積電轉投資的設計服務廠（AI半導體 候選母體 v0.2.2；市場位置由次產業內優先序 7 換算）</t>
        </is>
      </c>
      <c r="H32" t="inlineStr">
        <is>
          <t>[判斷]</t>
        </is>
      </c>
      <c r="I32">
        <f>價值鏈!F5</f>
        <v/>
      </c>
      <c r="J32">
        <f>價值鏈!G5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RANK(M32,$M$2:$M$66,0)</f>
        <v/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s="3" t="n">
        <v>3</v>
      </c>
      <c r="F33" s="3" t="n">
        <v>3</v>
      </c>
      <c r="G33" s="1" t="inlineStr">
        <is>
          <t>NAND 主要廠之一；10-23 曾因「不能由既有層推得」排除，15:59 已取消該關卡（AI半導體 候選母體 v0.2.2；市場位置由次產業內優先序 4 換算）</t>
        </is>
      </c>
      <c r="H33" t="inlineStr">
        <is>
          <t>[判斷]</t>
        </is>
      </c>
      <c r="I33">
        <f>價值鏈!F6</f>
        <v/>
      </c>
      <c r="J33">
        <f>價值鏈!G6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RANK(M33,$M$2:$M$66,0)</f>
        <v/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s="3" t="n">
        <v>3</v>
      </c>
      <c r="F34" s="3" t="n">
        <v>3</v>
      </c>
      <c r="G34" s="1" t="inlineStr">
        <is>
          <t>與 Kioxia 合資產能（AI半導體 候選母體 v0.2.2；市場位置由次產業內優先序 5 換算）</t>
        </is>
      </c>
      <c r="H34" t="inlineStr">
        <is>
          <t>[判斷]</t>
        </is>
      </c>
      <c r="I34">
        <f>價值鏈!F6</f>
        <v/>
      </c>
      <c r="J34">
        <f>價值鏈!G6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RANK(M34,$M$2:$M$66,0)</f>
        <v/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光模組與元件垂直整合廠（AI半導體 候選母體 v0.2.2；市場位置由次產業內優先序 3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RANK(M35,$M$2:$M$66,0)</f>
        <v/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3</v>
      </c>
      <c r="G36" s="1" t="inlineStr">
        <is>
          <t>高速 EML 雷射主要供應商之一（AI半導體 候選母體 v0.2.2；市場位置由次產業內優先序 4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RANK(M36,$M$2:$M$66,0)</f>
        <v/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3</v>
      </c>
      <c r="G37" s="1" t="inlineStr">
        <is>
          <t>高速光模組第二梯隊領先者（AI半導體 候選母體 v0.2.2；市場位置由次產業內優先序 5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RANK(M37,$M$2:$M$66,0)</f>
        <v/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雲端白牌交換器主要 ODM（AI半導體 候選母體 v0.2.2；市場位置由次產業內優先序 6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RANK(M38,$M$2:$M$66,0)</f>
        <v/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s="3" t="n">
        <v>2</v>
      </c>
      <c r="F39" s="3" t="n">
        <v>4</v>
      </c>
      <c r="G39" s="1" t="inlineStr">
        <is>
          <t>NVIDIA 光模組主要代工之一（AI半導體 候選母體 v0.2.2；市場位置由次產業內優先序 7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RANK(M39,$M$2:$M$66,0)</f>
        <v/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s="3" t="n">
        <v>2</v>
      </c>
      <c r="F40" s="3" t="n">
        <v>4</v>
      </c>
      <c r="G40" s="1" t="inlineStr">
        <is>
          <t>AEC 主要供應商（AI半導體 候選母體 v0.2.2；市場位置由次產業內優先序 8 換算）</t>
        </is>
      </c>
      <c r="H40" t="inlineStr">
        <is>
          <t>[判斷]</t>
        </is>
      </c>
      <c r="I40">
        <f>價值鏈!F7</f>
        <v/>
      </c>
      <c r="J40">
        <f>價值鏈!G7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RANK(M40,$M$2:$M$66,0)</f>
        <v/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s="3" t="n">
        <v>3</v>
      </c>
      <c r="F41" s="3" t="n">
        <v>4</v>
      </c>
      <c r="G41" s="1" t="inlineStr">
        <is>
          <t>retimer 主要供應商（AI半導體 候選母體 v0.2.2；市場位置由次產業內優先序 9 換算）</t>
        </is>
      </c>
      <c r="H41" t="inlineStr">
        <is>
          <t>[判斷]</t>
        </is>
      </c>
      <c r="I41">
        <f>價值鏈!F7</f>
        <v/>
      </c>
      <c r="J41">
        <f>價值鏈!G7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RANK(M41,$M$2:$M$66,0)</f>
        <v/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s="3" t="n">
        <v>2</v>
      </c>
      <c r="F42" s="3" t="n">
        <v>3</v>
      </c>
      <c r="G42" s="1" t="inlineStr">
        <is>
          <t>AI GPU 測試主要代工之一（媒體）（AI半導體 候選母體 v0.2.2；市場位置由次產業內優先序 3 換算）</t>
        </is>
      </c>
      <c r="H42" t="inlineStr">
        <is>
          <t>[判斷]</t>
        </is>
      </c>
      <c r="I42">
        <f>價值鏈!F8</f>
        <v/>
      </c>
      <c r="J42">
        <f>價值鏈!G8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RANK(M42,$M$2:$M$66,0)</f>
        <v/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s="3" t="n">
        <v>2</v>
      </c>
      <c r="F43" s="3" t="n">
        <v>3</v>
      </c>
      <c r="G43" s="1" t="inlineStr">
        <is>
          <t>全球第二大封測廠（AI半導體 候選母體 v0.2.2；市場位置由次產業內優先序 4 換算）</t>
        </is>
      </c>
      <c r="H43" t="inlineStr">
        <is>
          <t>[判斷]</t>
        </is>
      </c>
      <c r="I43">
        <f>價值鏈!F8</f>
        <v/>
      </c>
      <c r="J43">
        <f>價值鏈!G8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RANK(M43,$M$2:$M$66,0)</f>
        <v/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s="3" t="n">
        <v>1</v>
      </c>
      <c r="F44" s="3" t="n">
        <v>2</v>
      </c>
      <c r="G44" s="1" t="inlineStr">
        <is>
          <t>AI 伺服器高速 CCL 主要供應者（AI半導體 候選母體 v0.2.2；市場位置由次產業內優先序 2 換算）</t>
        </is>
      </c>
      <c r="H44" t="inlineStr">
        <is>
          <t>[判斷]</t>
        </is>
      </c>
      <c r="I44">
        <f>價值鏈!F9</f>
        <v/>
      </c>
      <c r="J44">
        <f>價值鏈!G9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RANK(M44,$M$2:$M$66,0)</f>
        <v/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s="3" t="n">
        <v>1</v>
      </c>
      <c r="F45" s="3" t="n">
        <v>3</v>
      </c>
      <c r="G45" s="1" t="inlineStr">
        <is>
          <t>ABF 載板主要廠之一（AI半導體 候選母體 v0.2.2；市場位置由次產業內優先序 3 換算）</t>
        </is>
      </c>
      <c r="H45" t="inlineStr">
        <is>
          <t>[判斷]</t>
        </is>
      </c>
      <c r="I45">
        <f>價值鏈!F9</f>
        <v/>
      </c>
      <c r="J45">
        <f>價值鏈!G9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RANK(M45,$M$2:$M$66,0)</f>
        <v/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s="3" t="n">
        <v>2</v>
      </c>
      <c r="F46" s="3" t="n">
        <v>3</v>
      </c>
      <c r="G46" s="1" t="inlineStr">
        <is>
          <t>ABF 載板主要廠之一（AI半導體 候選母體 v0.2.2；市場位置由次產業內優先序 5 換算）</t>
        </is>
      </c>
      <c r="H46" t="inlineStr">
        <is>
          <t>[判斷]</t>
        </is>
      </c>
      <c r="I46">
        <f>價值鏈!F9</f>
        <v/>
      </c>
      <c r="J46">
        <f>價值鏈!G9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RANK(M46,$M$2:$M$66,0)</f>
        <v/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s="3" t="n">
        <v>2</v>
      </c>
      <c r="F47" s="3" t="n">
        <v>4</v>
      </c>
      <c r="G47" s="1" t="inlineStr">
        <is>
          <t>雲端伺服器 PCB 主要廠（AI半導體 候選母體 v0.2.2；市場位置由次產業內優先序 6 換算）</t>
        </is>
      </c>
      <c r="H47" t="inlineStr">
        <is>
          <t>[判斷]</t>
        </is>
      </c>
      <c r="I47">
        <f>價值鏈!F9</f>
        <v/>
      </c>
      <c r="J47">
        <f>價值鏈!G9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RANK(M47,$M$2:$M$66,0)</f>
        <v/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s="3" t="n">
        <v>2</v>
      </c>
      <c r="F48" s="3" t="n">
        <v>4</v>
      </c>
      <c r="G48" s="1" t="inlineStr">
        <is>
          <t>NVIDIA 加速卡 PCB 主要供應商之一（媒體）（AI半導體 候選母體 v0.2.2；市場位置由次產業內優先序 7 換算）</t>
        </is>
      </c>
      <c r="H48" t="inlineStr">
        <is>
          <t>[判斷]</t>
        </is>
      </c>
      <c r="I48">
        <f>價值鏈!F9</f>
        <v/>
      </c>
      <c r="J48">
        <f>價值鏈!G9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RANK(M48,$M$2:$M$66,0)</f>
        <v/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s="3" t="n">
        <v>1</v>
      </c>
      <c r="F49" s="3" t="n">
        <v>1</v>
      </c>
      <c r="G49" s="1" t="inlineStr">
        <is>
          <t>EUV 唯一供應者（AI半導體 候選母體 v0.2.2；市場位置由次產業內優先序 1 換算）</t>
        </is>
      </c>
      <c r="H49" t="inlineStr">
        <is>
          <t>[判斷]</t>
        </is>
      </c>
      <c r="I49">
        <f>價值鏈!F13</f>
        <v/>
      </c>
      <c r="J49">
        <f>價值鏈!G13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RANK(M49,$M$2:$M$66,0)</f>
        <v/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s="3" t="n">
        <v>1</v>
      </c>
      <c r="F50" s="3" t="n">
        <v>2</v>
      </c>
      <c r="G50" s="1" t="inlineStr">
        <is>
          <t>全球營收最大的設備商之一（AI半導體 候選母體 v0.2.2；市場位置由次產業內優先序 2 換算）</t>
        </is>
      </c>
      <c r="H50" t="inlineStr">
        <is>
          <t>[判斷]</t>
        </is>
      </c>
      <c r="I50">
        <f>價值鏈!F13</f>
        <v/>
      </c>
      <c r="J50">
        <f>價值鏈!G13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RANK(M50,$M$2:$M$66,0)</f>
        <v/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s="3" t="n">
        <v>1</v>
      </c>
      <c r="F51" s="3" t="n">
        <v>3</v>
      </c>
      <c r="G51" s="1" t="inlineStr">
        <is>
          <t>記憶體蝕刻主要供應者（AI半導體 候選母體 v0.2.2；市場位置由次產業內優先序 3 換算）</t>
        </is>
      </c>
      <c r="H51" t="inlineStr">
        <is>
          <t>[判斷]</t>
        </is>
      </c>
      <c r="I51">
        <f>價值鏈!F13</f>
        <v/>
      </c>
      <c r="J51">
        <f>價值鏈!G13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RANK(M51,$M$2:$M$66,0)</f>
        <v/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s="3" t="n">
        <v>1</v>
      </c>
      <c r="F52" s="3" t="n">
        <v>3</v>
      </c>
      <c r="G52" s="1" t="inlineStr">
        <is>
          <t>製程控制龍頭（AI半導體 候選母體 v0.2.2；市場位置由次產業內優先序 5 換算）</t>
        </is>
      </c>
      <c r="H52" t="inlineStr">
        <is>
          <t>[判斷]</t>
        </is>
      </c>
      <c r="I52">
        <f>價值鏈!F13</f>
        <v/>
      </c>
      <c r="J52">
        <f>價值鏈!G13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RANK(M52,$M$2:$M$66,0)</f>
        <v/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s="3" t="n">
        <v>2</v>
      </c>
      <c r="F53" s="3" t="n">
        <v>4</v>
      </c>
      <c r="G53" s="1" t="inlineStr">
        <is>
          <t>HBM TC 鍵合機約 71%（本專案 HBM 比對）（AI半導體 候選母體 v0.2.2；市場位置由次產業內優先序 8 換算）</t>
        </is>
      </c>
      <c r="H53" t="inlineStr">
        <is>
          <t>[判斷]</t>
        </is>
      </c>
      <c r="I53">
        <f>價值鏈!F13</f>
        <v/>
      </c>
      <c r="J53">
        <f>價值鏈!G13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RANK(M53,$M$2:$M$66,0)</f>
        <v/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s="3" t="n">
        <v>2</v>
      </c>
      <c r="F54" s="3" t="n">
        <v>4</v>
      </c>
      <c r="G54" s="1" t="inlineStr">
        <is>
          <t>SoC 測試第 2（Advantest 之後）（AI半導體 候選母體 v0.2.2；市場位置由次產業內優先序 9 換算）</t>
        </is>
      </c>
      <c r="H54" t="inlineStr">
        <is>
          <t>[判斷]</t>
        </is>
      </c>
      <c r="I54">
        <f>價值鏈!F13</f>
        <v/>
      </c>
      <c r="J54">
        <f>價值鏈!G13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RANK(M54,$M$2:$M$66,0)</f>
        <v/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混合鍵合領先者；主流化時點約 2029–30（本專案）（AI半導體 候選母體 v0.2.2；市場位置由次產業內優先序 10 換算）</t>
        </is>
      </c>
      <c r="H55" t="inlineStr">
        <is>
          <t>[判斷]</t>
        </is>
      </c>
      <c r="I55">
        <f>價值鏈!F13</f>
        <v/>
      </c>
      <c r="J55">
        <f>價值鏈!G13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RANK(M55,$M$2:$M$66,0)</f>
        <v/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s="3" t="n">
        <v>3</v>
      </c>
      <c r="F56" s="3" t="n">
        <v>4</v>
      </c>
      <c r="G56" s="1" t="inlineStr">
        <is>
          <t>市占約 2/3（本專案候選表）（AI半導體 候選母體 v0.2.2；市場位置由次產業內優先序 11 換算）</t>
        </is>
      </c>
      <c r="H56" t="inlineStr">
        <is>
          <t>[判斷]</t>
        </is>
      </c>
      <c r="I56">
        <f>價值鏈!F13</f>
        <v/>
      </c>
      <c r="J56">
        <f>價值鏈!G13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RANK(M56,$M$2:$M$66,0)</f>
        <v/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s="3" t="n">
        <v>3</v>
      </c>
      <c r="F57" s="3" t="n">
        <v>4</v>
      </c>
      <c r="G57" s="1" t="inlineStr">
        <is>
          <t>探針台主要廠之一（AI半導體 候選母體 v0.2.2；市場位置由次產業內優先序 12 換算）</t>
        </is>
      </c>
      <c r="H57" t="inlineStr">
        <is>
          <t>[判斷]</t>
        </is>
      </c>
      <c r="I57">
        <f>價值鏈!F13</f>
        <v/>
      </c>
      <c r="J57">
        <f>價值鏈!G13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RANK(M57,$M$2:$M$66,0)</f>
        <v/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s="3" t="n">
        <v>1</v>
      </c>
      <c r="F58" s="3" t="n">
        <v>1</v>
      </c>
      <c r="G58" s="1" t="inlineStr">
        <is>
          <t>NVIDIA 整櫃最大組裝廠（AI半導體 候選母體 v0.2.2；市場位置由次產業內優先序 1 換算）</t>
        </is>
      </c>
      <c r="H58" t="inlineStr">
        <is>
          <t>[判斷]</t>
        </is>
      </c>
      <c r="I58">
        <f>價值鏈!F11</f>
        <v/>
      </c>
      <c r="J58">
        <f>價值鏈!G11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RANK(M58,$M$2:$M$66,0)</f>
        <v/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s="3" t="n">
        <v>1</v>
      </c>
      <c r="F59" s="3" t="n">
        <v>3</v>
      </c>
      <c r="G59" s="1" t="inlineStr">
        <is>
          <t>NVIDIA GPU 基板主要供應者（AI半導體 候選母體 v0.2.2；市場位置由次產業內優先序 3 換算）</t>
        </is>
      </c>
      <c r="H59" t="inlineStr">
        <is>
          <t>[判斷]</t>
        </is>
      </c>
      <c r="I59">
        <f>價值鏈!F11</f>
        <v/>
      </c>
      <c r="J59">
        <f>價值鏈!G11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RANK(M59,$M$2:$M$66,0)</f>
        <v/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s="3" t="n">
        <v>2</v>
      </c>
      <c r="F60" s="3" t="n">
        <v>3</v>
      </c>
      <c r="G60" s="1" t="inlineStr">
        <is>
          <t>雲端白牌伺服器主要 ODM（AI半導體 候選母體 v0.2.2；市場位置由次產業內優先序 4 換算）</t>
        </is>
      </c>
      <c r="H60" t="inlineStr">
        <is>
          <t>[判斷]</t>
        </is>
      </c>
      <c r="I60">
        <f>價值鏈!F11</f>
        <v/>
      </c>
      <c r="J60">
        <f>價值鏈!G11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RANK(M60,$M$2:$M$66,0)</f>
        <v/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s="3" t="n">
        <v>2</v>
      </c>
      <c r="F61" s="3" t="n">
        <v>3</v>
      </c>
      <c r="G61" s="1" t="inlineStr">
        <is>
          <t>企業與 neocloud 主要品牌（AI半導體 候選母體 v0.2.2；市場位置由次產業內優先序 5 換算）</t>
        </is>
      </c>
      <c r="H61" t="inlineStr">
        <is>
          <t>[判斷]</t>
        </is>
      </c>
      <c r="I61">
        <f>價值鏈!F11</f>
        <v/>
      </c>
      <c r="J61">
        <f>價值鏈!G11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RANK(M61,$M$2:$M$66,0)</f>
        <v/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s="3" t="n">
        <v>3</v>
      </c>
      <c r="F62" s="3" t="n">
        <v>4</v>
      </c>
      <c r="G62" s="1" t="inlineStr">
        <is>
          <t>品牌伺服器第二梯隊；治理風險（AI半導體 候選母體 v0.2.2；市場位置由次產業內優先序 6 換算）</t>
        </is>
      </c>
      <c r="H62" t="inlineStr">
        <is>
          <t>[判斷]</t>
        </is>
      </c>
      <c r="I62">
        <f>價值鏈!F11</f>
        <v/>
      </c>
      <c r="J62">
        <f>價值鏈!G11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RANK(M62,$M$2:$M$66,0)</f>
        <v/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s="3" t="n">
        <v>1</v>
      </c>
      <c r="F63" s="3" t="n">
        <v>2</v>
      </c>
      <c r="G63" s="1" t="inlineStr">
        <is>
          <t>AI 液冷冷板主要供應者（AI半導體 候選母體 v0.2.2；市場位置由次產業內優先序 2 換算）</t>
        </is>
      </c>
      <c r="H63" t="inlineStr">
        <is>
          <t>[判斷]</t>
        </is>
      </c>
      <c r="I63">
        <f>價值鏈!F10</f>
        <v/>
      </c>
      <c r="J63">
        <f>價值鏈!G10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RANK(M63,$M$2:$M$66,0)</f>
        <v/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s="3" t="n">
        <v>2</v>
      </c>
      <c r="F64" s="3" t="n">
        <v>3</v>
      </c>
      <c r="G64" s="1" t="inlineStr">
        <is>
          <t>伺服器電源第二大（AI半導體 候選母體 v0.2.2；市場位置由次產業內優先序 3 換算）</t>
        </is>
      </c>
      <c r="H64" t="inlineStr">
        <is>
          <t>[判斷]</t>
        </is>
      </c>
      <c r="I64">
        <f>價值鏈!F10</f>
        <v/>
      </c>
      <c r="J64">
        <f>價值鏈!G10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RANK(M64,$M$2:$M$66,0)</f>
        <v/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s="3" t="n">
        <v>2</v>
      </c>
      <c r="F65" s="3" t="n">
        <v>3</v>
      </c>
      <c r="G65" s="1" t="inlineStr">
        <is>
          <t>液冷主要廠之一（AI半導體 候選母體 v0.2.2；市場位置由次產業內優先序 4 換算）</t>
        </is>
      </c>
      <c r="H65" t="inlineStr">
        <is>
          <t>[判斷]</t>
        </is>
      </c>
      <c r="I65">
        <f>價值鏈!F10</f>
        <v/>
      </c>
      <c r="J65">
        <f>價值鏈!G10</f>
        <v/>
      </c>
      <c r="K65">
        <f>(CHOOSE(I65,s_irr1,s_irr2,s_irr3)+CHOOSE(E65,s_irr1,s_irr2,s_irr3))/2</f>
        <v/>
      </c>
      <c r="L65">
        <f>CHOOSE(F65,s_pos1,s_pos2,s_pos3,s_pos4)</f>
        <v/>
      </c>
      <c r="M65">
        <f>w_irr*K65+w_pos*L65+w_vc*J65</f>
        <v/>
      </c>
      <c r="N65">
        <f>RANK(M65,$M$2:$M$66,0)</f>
        <v/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s="3" t="n">
        <v>3</v>
      </c>
      <c r="F66" s="3" t="n">
        <v>4</v>
      </c>
      <c r="G66" s="1" t="inlineStr">
        <is>
          <t>散熱元件（AI半導體 候選母體 v0.2.2；市場位置由次產業內優先序 6 換算）</t>
        </is>
      </c>
      <c r="H66" t="inlineStr">
        <is>
          <t>[判斷]</t>
        </is>
      </c>
      <c r="I66">
        <f>價值鏈!F10</f>
        <v/>
      </c>
      <c r="J66">
        <f>價值鏈!G10</f>
        <v/>
      </c>
      <c r="K66">
        <f>(CHOOSE(I66,s_irr1,s_irr2,s_irr3)+CHOOSE(E66,s_irr1,s_irr2,s_irr3))/2</f>
        <v/>
      </c>
      <c r="L66">
        <f>CHOOSE(F66,s_pos1,s_pos2,s_pos3,s_pos4)</f>
        <v/>
      </c>
      <c r="M66">
        <f>w_irr*K66+w_pos*L66+w_vc*J66</f>
        <v/>
      </c>
      <c r="N66">
        <f>RANK(M66,$M$2:$M$66,0)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nvidia/dist/20261030_NVIDIA個股模型_v0.2.3.xlsx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avgo/dist/20261030_Broadcom個股模型_v0.3.1.xlsx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skhynix/dist/20261030_SK海力士個股模型_v0.6.1.xlsx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samsung/dist/20261030_三星電子個股模型_v0.4.xlsx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micron/dist/20261030_美光個股模型_v0.4.3.xlsx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tsmc/dist/20261030_台積電個股模型_v0.4.1.xlsx In!E166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arista/dist/20261030_Arista個股模型_v0.3.1.xlsx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innolight/dist/20261030_中際旭創個股模型_v0.2.4.xlsx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delta/dist/20261030_台達電個股模型_v0.3.1.xlsx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quanta/dist/20261030_廣達個股模型_v0.3.1.xlsx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ibiden/dist/20261030_Ibiden個股模型_v0.3.1.xlsx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advantest/dist/20261028_Advantest個股模型_v0.4.xlsx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disco/dist/20261025_Disco模型_v0.2.2.xlsx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531.01</v>
      </c>
      <c r="D15" t="inlineStr">
        <is>
          <t>2026-10-28</t>
        </is>
      </c>
      <c r="E15" t="inlineStr">
        <is>
          <t>microsoft/dist/20261030_Microsoft個股模型_v0.3.3.xlsx Val!B39</t>
        </is>
      </c>
      <c r="F15" s="4" t="n">
        <v>524.51</v>
      </c>
      <c r="G15" t="inlineStr">
        <is>
          <t>2026-10-23｜stockscan；bullfincher</t>
        </is>
      </c>
      <c r="H15">
        <f>C15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249.09</v>
      </c>
      <c r="D16" t="inlineStr">
        <is>
          <t>2026-10-26</t>
        </is>
      </c>
      <c r="E16" t="inlineStr">
        <is>
          <t>amazon/dist/20261027_Amazon個股模型_v0.3.xlsx Val!B20</t>
        </is>
      </c>
      <c r="F16" s="4" t="n">
        <v>248</v>
      </c>
      <c r="G16" t="inlineStr">
        <is>
          <t>2026-10-23｜stockanalysis；stockscan</t>
        </is>
      </c>
      <c r="H16">
        <f>C16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324.89</v>
      </c>
      <c r="D17" t="inlineStr">
        <is>
          <t>2026-10-28</t>
        </is>
      </c>
      <c r="E17" t="inlineStr">
        <is>
          <t>alphabet/dist/20261030_Alphabet個股模型_v0.3.3.xlsx Val!B9</t>
        </is>
      </c>
      <c r="F17" s="4" t="n">
        <v>320.21</v>
      </c>
      <c r="G17" t="inlineStr">
        <is>
          <t>2026-10-23｜stockscan；bullfincher</t>
        </is>
      </c>
      <c r="H17">
        <f>C17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126.06</v>
      </c>
      <c r="D18" t="inlineStr">
        <is>
          <t>2026-10-26</t>
        </is>
      </c>
      <c r="E18" t="inlineStr">
        <is>
          <t>oracle/dist/20261030_Oracle個股模型_v0.4.2.xlsx Val!C4</t>
        </is>
      </c>
      <c r="F18" s="4" t="n">
        <v>126.16</v>
      </c>
      <c r="G18" t="inlineStr">
        <is>
          <t>2026-10-23｜stockanalysis；stockscan</t>
        </is>
      </c>
      <c r="H18">
        <f>C18</f>
        <v/>
      </c>
    </row>
    <row r="19">
      <c r="A19" t="inlineStr">
        <is>
          <t>META</t>
        </is>
      </c>
      <c r="B19" t="inlineStr">
        <is>
          <t>USD</t>
        </is>
      </c>
      <c r="C19" s="4" t="n">
        <v>612.49</v>
      </c>
      <c r="D19" t="inlineStr">
        <is>
          <t>2026-10-28</t>
        </is>
      </c>
      <c r="E19" t="inlineStr">
        <is>
          <t>meta/dist/20261030_Meta個股模型_v0.1.1.xlsx Val!B9</t>
        </is>
      </c>
      <c r="H19">
        <f>C19</f>
        <v/>
      </c>
    </row>
    <row r="20">
      <c r="A20" t="inlineStr">
        <is>
          <t>SPCX</t>
        </is>
      </c>
      <c r="B20" t="inlineStr">
        <is>
          <t>USD</t>
        </is>
      </c>
      <c r="C20" s="4" t="n">
        <v>143.89</v>
      </c>
      <c r="D20" t="inlineStr">
        <is>
          <t>2026-10-29</t>
        </is>
      </c>
      <c r="E20" t="inlineStr">
        <is>
          <t>spacex/dist/20261030_SpaceX個股模型_v0.1.xlsx Val!B9</t>
        </is>
      </c>
      <c r="H20">
        <f>C20</f>
        <v/>
      </c>
    </row>
    <row r="21">
      <c r="A21" t="inlineStr">
        <is>
          <t>CRWV</t>
        </is>
      </c>
      <c r="B21" t="inlineStr">
        <is>
          <t>USD</t>
        </is>
      </c>
      <c r="C21" s="4" t="n">
        <v>90.13</v>
      </c>
      <c r="D21" t="inlineStr">
        <is>
          <t>2026-09-24</t>
        </is>
      </c>
      <c r="E21" t="inlineStr">
        <is>
          <t>coreweave/dist/20261021_CoreWeave收支模型_v4_12.xlsx 輸入與假設!C221</t>
        </is>
      </c>
      <c r="F21" s="4" t="n">
        <v>54.23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NBIS</t>
        </is>
      </c>
      <c r="B22" t="inlineStr">
        <is>
          <t>USD</t>
        </is>
      </c>
      <c r="C22" s="4" t="n">
        <v>249.87</v>
      </c>
      <c r="D22" t="inlineStr">
        <is>
          <t>2026-10-06</t>
        </is>
      </c>
      <c r="E22" t="inlineStr">
        <is>
          <t>nebius/dist/20261030_Nebius個股模型_v0_5_2.xlsx 輸入與假設!C125</t>
        </is>
      </c>
      <c r="F22" s="4" t="n">
        <v>158.74</v>
      </c>
      <c r="G22" t="inlineStr">
        <is>
          <t>2026-10-23｜stockscan（digrin 158.64）</t>
        </is>
      </c>
      <c r="H22">
        <f>IF(ISNUMBER(F22),F22,C22)</f>
        <v/>
      </c>
    </row>
    <row r="23">
      <c r="A23" t="inlineStr">
        <is>
          <t>WYFI</t>
        </is>
      </c>
      <c r="B23" t="inlineStr">
        <is>
          <t>USD</t>
        </is>
      </c>
      <c r="C23" s="4" t="n">
        <v>16.83</v>
      </c>
      <c r="D23" t="inlineStr">
        <is>
          <t>2026-10-07</t>
        </is>
      </c>
      <c r="E23" t="inlineStr">
        <is>
          <t>whitefiber/dist/20261022_WhiteFiber收支模型_v0_2.xlsx 輸入與假設!C228</t>
        </is>
      </c>
      <c r="F23" s="4" t="n">
        <v>9.98</v>
      </c>
      <c r="G23" t="inlineStr">
        <is>
          <t>2026-10-23｜stockscan；digrin</t>
        </is>
      </c>
      <c r="H23">
        <f>IF(ISNUMBER(F23),F23,C23)</f>
        <v/>
      </c>
    </row>
    <row r="24">
      <c r="A24" t="inlineStr">
        <is>
          <t>00100</t>
        </is>
      </c>
      <c r="B24" t="inlineStr">
        <is>
          <t>HKD</t>
        </is>
      </c>
      <c r="C24" s="4" t="n">
        <v>171.9</v>
      </c>
      <c r="D24" t="inlineStr">
        <is>
          <t>2026-10-21</t>
        </is>
      </c>
      <c r="E24" t="inlineStr">
        <is>
          <t>minimax/dist/20261022_MiniMax收支模型_v0_2.xlsx Valuation!D7</t>
        </is>
      </c>
      <c r="F24" s="4" t="n">
        <v>187.6</v>
      </c>
      <c r="G24" t="inlineStr">
        <is>
          <t>2026-10-23｜etnet；老虎</t>
        </is>
      </c>
      <c r="H24">
        <f>IF(ISNUMBER(F24),F24,C24)</f>
        <v/>
      </c>
    </row>
    <row r="25">
      <c r="A25" t="inlineStr">
        <is>
          <t>02513</t>
        </is>
      </c>
      <c r="B25" t="inlineStr">
        <is>
          <t>HKD</t>
        </is>
      </c>
      <c r="D25" t="inlineStr"/>
      <c r="E25" t="inlineStr"/>
      <c r="F25" s="4" t="n">
        <v>499</v>
      </c>
      <c r="G25" t="inlineStr">
        <is>
          <t>2026-10-23｜老虎</t>
        </is>
      </c>
      <c r="H25">
        <f>IF(ISNUMBER(F25),F25,C25)</f>
        <v/>
      </c>
    </row>
    <row r="26">
      <c r="A26" t="inlineStr">
        <is>
          <t>OpenAI</t>
        </is>
      </c>
      <c r="B26" t="inlineStr">
        <is>
          <t>USD</t>
        </is>
      </c>
      <c r="D26" t="inlineStr"/>
      <c r="E26" t="inlineStr"/>
      <c r="H26" t="inlineStr">
        <is>
          <t>未上市</t>
        </is>
      </c>
    </row>
    <row r="27">
      <c r="A27" t="inlineStr">
        <is>
          <t>Anthropic</t>
        </is>
      </c>
      <c r="B27" t="inlineStr">
        <is>
          <t>USD</t>
        </is>
      </c>
      <c r="D27" t="inlineStr"/>
      <c r="E27" t="inlineStr"/>
      <c r="H27" t="inlineStr">
        <is>
          <t>未上市</t>
        </is>
      </c>
    </row>
    <row r="28">
      <c r="A28" t="inlineStr">
        <is>
          <t>AMD</t>
        </is>
      </c>
      <c r="B28" t="inlineStr">
        <is>
          <t>USD</t>
        </is>
      </c>
      <c r="C28" s="4" t="n">
        <v>516.79</v>
      </c>
      <c r="D28" t="inlineStr">
        <is>
          <t>2026-10-23</t>
        </is>
      </c>
      <c r="E28" t="inlineStr">
        <is>
          <t>amd/dist/20261030_AMD模型_v0.2.3.xlsx Val!B67</t>
        </is>
      </c>
      <c r="H28">
        <f>C28</f>
        <v/>
      </c>
    </row>
    <row r="29">
      <c r="A29" t="inlineStr">
        <is>
          <t>2454</t>
        </is>
      </c>
      <c r="B29" t="inlineStr">
        <is>
          <t>TWD</t>
        </is>
      </c>
      <c r="C29" s="4" t="n">
        <v>4010</v>
      </c>
      <c r="D29" t="inlineStr">
        <is>
          <t>2026-10-22</t>
        </is>
      </c>
      <c r="E29" t="inlineStr">
        <is>
          <t>mediatek/dist/20261030_聯發科個股模型_v0.1.3.xlsx Val!B53</t>
        </is>
      </c>
      <c r="H29">
        <f>C29</f>
        <v/>
      </c>
    </row>
    <row r="30">
      <c r="A30" t="inlineStr">
        <is>
          <t>MRVL</t>
        </is>
      </c>
      <c r="B30" t="inlineStr">
        <is>
          <t>USD</t>
        </is>
      </c>
      <c r="C30" s="4" t="n">
        <v>228.51</v>
      </c>
      <c r="D30" t="inlineStr">
        <is>
          <t>2026-10-23</t>
        </is>
      </c>
      <c r="E30" t="inlineStr">
        <is>
          <t>mrvl/dist/20261030_邁威爾個股模型_v0.2.4.xlsx Val!B68</t>
        </is>
      </c>
      <c r="H30">
        <f>C30</f>
        <v/>
      </c>
    </row>
    <row r="31">
      <c r="A31" t="inlineStr">
        <is>
          <t>3661</t>
        </is>
      </c>
      <c r="B31" t="inlineStr">
        <is>
          <t>TWD</t>
        </is>
      </c>
      <c r="C31" s="4" t="n">
        <v>3495</v>
      </c>
      <c r="D31" t="inlineStr">
        <is>
          <t>2026-10-22</t>
        </is>
      </c>
      <c r="E31" t="inlineStr">
        <is>
          <t>alchip/dist/20261030_世芯-KY個股模型_v0.1.3.xlsx Val!B53</t>
        </is>
      </c>
      <c r="H31">
        <f>C31</f>
        <v/>
      </c>
    </row>
    <row r="32">
      <c r="A32" t="inlineStr">
        <is>
          <t>3443</t>
        </is>
      </c>
      <c r="B32" t="inlineStr">
        <is>
          <t>TWD</t>
        </is>
      </c>
      <c r="C32" s="4" t="n">
        <v>7585</v>
      </c>
      <c r="D32" t="inlineStr">
        <is>
          <t>2026-10-22</t>
        </is>
      </c>
      <c r="E32" t="inlineStr">
        <is>
          <t>guc/dist/20261030_創意個股模型_v0.1.3.xlsx Val!B53</t>
        </is>
      </c>
      <c r="H32">
        <f>C32</f>
        <v/>
      </c>
    </row>
    <row r="33">
      <c r="A33" t="inlineStr">
        <is>
          <t>285A</t>
        </is>
      </c>
      <c r="B33" t="inlineStr">
        <is>
          <t>JPY</t>
        </is>
      </c>
      <c r="C33" s="4" t="n">
        <v>12755</v>
      </c>
      <c r="D33" t="inlineStr">
        <is>
          <t>2026-10-23</t>
        </is>
      </c>
      <c r="E33" t="inlineStr">
        <is>
          <t>kioxia/dist/20261030_Kioxia個股模型_v0.2.1.xlsx Val!B82</t>
        </is>
      </c>
      <c r="H33">
        <f>C33</f>
        <v/>
      </c>
    </row>
    <row r="34">
      <c r="A34" t="inlineStr">
        <is>
          <t>SNDK</t>
        </is>
      </c>
      <c r="B34" t="inlineStr">
        <is>
          <t>USD</t>
        </is>
      </c>
      <c r="C34" s="4" t="n">
        <v>1238.03</v>
      </c>
      <c r="D34" t="inlineStr">
        <is>
          <t>2026-10-23</t>
        </is>
      </c>
      <c r="E34" t="inlineStr">
        <is>
          <t>sndk/dist/20261030_SanDisk個股模型_v0.2.1.xlsx Val!B82</t>
        </is>
      </c>
      <c r="H34">
        <f>C34</f>
        <v/>
      </c>
    </row>
    <row r="35">
      <c r="A35" t="inlineStr">
        <is>
          <t>COHR</t>
        </is>
      </c>
      <c r="B35" t="inlineStr">
        <is>
          <t>USD</t>
        </is>
      </c>
      <c r="C35" s="4" t="n">
        <v>209.17</v>
      </c>
      <c r="D35" t="inlineStr">
        <is>
          <t>2026-10-23</t>
        </is>
      </c>
      <c r="E35" t="inlineStr">
        <is>
          <t>cohr/dist/20261030_Coherent個股模型_v0.2.4.xlsx Val!B64</t>
        </is>
      </c>
      <c r="H35">
        <f>C35</f>
        <v/>
      </c>
    </row>
    <row r="36">
      <c r="A36" t="inlineStr">
        <is>
          <t>LITE</t>
        </is>
      </c>
      <c r="B36" t="inlineStr">
        <is>
          <t>USD</t>
        </is>
      </c>
      <c r="C36" s="4" t="n">
        <v>756.17</v>
      </c>
      <c r="D36" t="inlineStr">
        <is>
          <t>2026-10-23</t>
        </is>
      </c>
      <c r="E36" t="inlineStr">
        <is>
          <t>lite/dist/20261030_Lumentum個股模型_v0.3.1.xlsx Val!B63</t>
        </is>
      </c>
      <c r="H36">
        <f>C36</f>
        <v/>
      </c>
    </row>
    <row r="37">
      <c r="A37" t="inlineStr">
        <is>
          <t>300502</t>
        </is>
      </c>
      <c r="B37" t="inlineStr">
        <is>
          <t>CNY</t>
        </is>
      </c>
      <c r="C37" s="4" t="n">
        <v>261</v>
      </c>
      <c r="D37" t="inlineStr">
        <is>
          <t>2026-10-23</t>
        </is>
      </c>
      <c r="E37" t="inlineStr">
        <is>
          <t>eoptolink/dist/20261028_新易盛個股模型_v0.2.3.xlsx Val!B63</t>
        </is>
      </c>
      <c r="H37">
        <f>C37</f>
        <v/>
      </c>
    </row>
    <row r="38">
      <c r="A38" t="inlineStr">
        <is>
          <t>2345</t>
        </is>
      </c>
      <c r="B38" t="inlineStr">
        <is>
          <t>TWD</t>
        </is>
      </c>
      <c r="C38" s="4" t="n">
        <v>1775</v>
      </c>
      <c r="D38" t="inlineStr">
        <is>
          <t>2026-10-22</t>
        </is>
      </c>
      <c r="E38" t="inlineStr">
        <is>
          <t>accton/dist/20261030_智邦個股模型_v0.3.1.xlsx Val!B66</t>
        </is>
      </c>
      <c r="H38">
        <f>C38</f>
        <v/>
      </c>
    </row>
    <row r="39">
      <c r="A39" t="inlineStr">
        <is>
          <t>FN</t>
        </is>
      </c>
      <c r="B39" t="inlineStr">
        <is>
          <t>USD</t>
        </is>
      </c>
      <c r="C39" s="4" t="n">
        <v>314.94</v>
      </c>
      <c r="D39" t="inlineStr">
        <is>
          <t>2026-10-23</t>
        </is>
      </c>
      <c r="E39" t="inlineStr">
        <is>
          <t>fabrinet/dist/20261030_Fabrinet個股模型_v0.1.4.xlsx Val!B64</t>
        </is>
      </c>
      <c r="H39">
        <f>C39</f>
        <v/>
      </c>
    </row>
    <row r="40">
      <c r="A40" t="inlineStr">
        <is>
          <t>CRDO</t>
        </is>
      </c>
      <c r="B40" t="inlineStr">
        <is>
          <t>USD</t>
        </is>
      </c>
      <c r="C40" s="4" t="n">
        <v>147.29</v>
      </c>
      <c r="D40" t="inlineStr">
        <is>
          <t>2026-10-23</t>
        </is>
      </c>
      <c r="E40" t="inlineStr">
        <is>
          <t>crdo/dist/20261030_Credo個股模型_v0.2.4.xlsx Val!B63</t>
        </is>
      </c>
      <c r="H40">
        <f>C40</f>
        <v/>
      </c>
    </row>
    <row r="41">
      <c r="A41" t="inlineStr">
        <is>
          <t>ALAB</t>
        </is>
      </c>
      <c r="B41" t="inlineStr">
        <is>
          <t>USD</t>
        </is>
      </c>
      <c r="C41" s="4" t="n">
        <v>257.16</v>
      </c>
      <c r="D41" t="inlineStr">
        <is>
          <t>2026-10-23</t>
        </is>
      </c>
      <c r="E41" t="inlineStr">
        <is>
          <t>alab/dist/20261030_Astera Labs個股模型_v0.1.3.xlsx Val!B63</t>
        </is>
      </c>
      <c r="H41">
        <f>C41</f>
        <v/>
      </c>
    </row>
    <row r="42">
      <c r="A42" t="inlineStr">
        <is>
          <t>2449</t>
        </is>
      </c>
      <c r="B42" t="inlineStr">
        <is>
          <t>TWD</t>
        </is>
      </c>
      <c r="C42" s="4" t="n">
        <v>262.5</v>
      </c>
      <c r="D42" t="inlineStr">
        <is>
          <t>2026-10-22</t>
        </is>
      </c>
      <c r="E42" t="inlineStr">
        <is>
          <t>kyec/dist/20261030_京元電個股模型_v0.2.3.xlsx Val!B53</t>
        </is>
      </c>
      <c r="H42">
        <f>C42</f>
        <v/>
      </c>
    </row>
    <row r="43">
      <c r="A43" t="inlineStr">
        <is>
          <t>AMKR</t>
        </is>
      </c>
      <c r="B43" t="inlineStr">
        <is>
          <t>USD</t>
        </is>
      </c>
      <c r="C43" s="4" t="n">
        <v>39.3</v>
      </c>
      <c r="D43" t="inlineStr">
        <is>
          <t>2026-10-23</t>
        </is>
      </c>
      <c r="E43" t="inlineStr">
        <is>
          <t>amkr/dist/20261030_艾克爾個股模型_v0.2.3.xlsx Val!B53</t>
        </is>
      </c>
      <c r="H43">
        <f>C43</f>
        <v/>
      </c>
    </row>
    <row r="44">
      <c r="A44" t="inlineStr">
        <is>
          <t>2383</t>
        </is>
      </c>
      <c r="B44" t="inlineStr">
        <is>
          <t>TWD</t>
        </is>
      </c>
      <c r="C44" s="4" t="n">
        <v>5070</v>
      </c>
      <c r="D44" t="inlineStr">
        <is>
          <t>2026-10-22</t>
        </is>
      </c>
      <c r="E44" t="inlineStr">
        <is>
          <t>emc/dist/20261030_台光電個股模型_v0.3.1.xlsx Val!B6</t>
        </is>
      </c>
      <c r="H44">
        <f>C44</f>
        <v/>
      </c>
    </row>
    <row r="45">
      <c r="A45" t="inlineStr">
        <is>
          <t>3037</t>
        </is>
      </c>
      <c r="B45" t="inlineStr">
        <is>
          <t>TWD</t>
        </is>
      </c>
      <c r="C45" s="4" t="n">
        <v>1085</v>
      </c>
      <c r="D45" t="inlineStr">
        <is>
          <t>2026-10-22</t>
        </is>
      </c>
      <c r="E45" t="inlineStr">
        <is>
          <t>unimicron/dist/20261030_欣興個股模型_v0.2.1.xlsx Val!B53</t>
        </is>
      </c>
      <c r="H45">
        <f>C45</f>
        <v/>
      </c>
    </row>
    <row r="46">
      <c r="A46" t="inlineStr">
        <is>
          <t>8046</t>
        </is>
      </c>
      <c r="B46" t="inlineStr">
        <is>
          <t>TWD</t>
        </is>
      </c>
      <c r="C46" s="4" t="n">
        <v>1265</v>
      </c>
      <c r="D46" t="inlineStr">
        <is>
          <t>2026-10-22</t>
        </is>
      </c>
      <c r="E46" t="inlineStr">
        <is>
          <t>nanya_pcb/dist/20261030_南電個股模型_v0.2.1.xlsx Val!B53</t>
        </is>
      </c>
      <c r="H46">
        <f>C46</f>
        <v/>
      </c>
    </row>
    <row r="47">
      <c r="A47" t="inlineStr">
        <is>
          <t>2368</t>
        </is>
      </c>
      <c r="B47" t="inlineStr">
        <is>
          <t>TWD</t>
        </is>
      </c>
      <c r="C47" s="4" t="n">
        <v>1115</v>
      </c>
      <c r="D47" t="inlineStr">
        <is>
          <t>2026-10-22</t>
        </is>
      </c>
      <c r="E47" t="inlineStr">
        <is>
          <t>gce/dist/20261030_金像電個股模型_v0.2.1.xlsx Val!B53</t>
        </is>
      </c>
      <c r="H47">
        <f>C47</f>
        <v/>
      </c>
    </row>
    <row r="48">
      <c r="A48" t="inlineStr">
        <is>
          <t>300476</t>
        </is>
      </c>
      <c r="B48" t="inlineStr">
        <is>
          <t>CNY</t>
        </is>
      </c>
      <c r="C48" s="4" t="n">
        <v>183.48</v>
      </c>
      <c r="D48" t="inlineStr">
        <is>
          <t>2026-10-23</t>
        </is>
      </c>
      <c r="E48" t="inlineStr">
        <is>
          <t>victory_giant/dist/20261030_勝宏科技個股模型_v0.1.3.xlsx Val!B53</t>
        </is>
      </c>
      <c r="H48">
        <f>C48</f>
        <v/>
      </c>
    </row>
    <row r="49">
      <c r="A49" t="inlineStr">
        <is>
          <t>ASML</t>
        </is>
      </c>
      <c r="B49" t="inlineStr">
        <is>
          <t>EUR</t>
        </is>
      </c>
      <c r="C49" s="4" t="n">
        <v>1407.2</v>
      </c>
      <c r="D49" t="inlineStr">
        <is>
          <t>2026-10-23</t>
        </is>
      </c>
      <c r="E49" t="inlineStr">
        <is>
          <t>asml/dist/20261030_ASML個股模型_v0.2.3.xlsx Val!B16</t>
        </is>
      </c>
      <c r="H49">
        <f>C49</f>
        <v/>
      </c>
    </row>
    <row r="50">
      <c r="A50" t="inlineStr">
        <is>
          <t>AMAT</t>
        </is>
      </c>
      <c r="B50" t="inlineStr">
        <is>
          <t>USD</t>
        </is>
      </c>
      <c r="C50" s="4" t="n">
        <v>377.24</v>
      </c>
      <c r="D50" t="inlineStr">
        <is>
          <t>2026-10-23</t>
        </is>
      </c>
      <c r="E50" t="inlineStr">
        <is>
          <t>amat/dist/20261028_應用材料個股模型_v0.3.xlsx In!E139</t>
        </is>
      </c>
      <c r="H50">
        <f>C50</f>
        <v/>
      </c>
    </row>
    <row r="51">
      <c r="A51" t="inlineStr">
        <is>
          <t>LRCX</t>
        </is>
      </c>
      <c r="B51" t="inlineStr">
        <is>
          <t>USD</t>
        </is>
      </c>
      <c r="C51" s="4" t="n">
        <v>230.1</v>
      </c>
      <c r="D51" t="inlineStr">
        <is>
          <t>2026-10-23</t>
        </is>
      </c>
      <c r="E51" t="inlineStr">
        <is>
          <t>lrcx/dist/20261025_科林研發模型_v0.2.1.xlsx In!E124</t>
        </is>
      </c>
      <c r="H51">
        <f>C51</f>
        <v/>
      </c>
    </row>
    <row r="52">
      <c r="A52" t="inlineStr">
        <is>
          <t>KLAC</t>
        </is>
      </c>
      <c r="B52" t="inlineStr">
        <is>
          <t>USD</t>
        </is>
      </c>
      <c r="C52" s="4" t="n">
        <v>145.61</v>
      </c>
      <c r="D52" t="inlineStr">
        <is>
          <t>2026-10-23</t>
        </is>
      </c>
      <c r="E52" t="inlineStr">
        <is>
          <t>klac/dist/20261030_科磊個股模型_v0.2.3.xlsx In!E55</t>
        </is>
      </c>
      <c r="H52">
        <f>C52</f>
        <v/>
      </c>
    </row>
    <row r="53">
      <c r="A53" t="inlineStr">
        <is>
          <t>042700</t>
        </is>
      </c>
      <c r="B53" t="inlineStr">
        <is>
          <t>KRW</t>
        </is>
      </c>
      <c r="C53" s="4" t="n">
        <v>188500</v>
      </c>
      <c r="D53" t="inlineStr">
        <is>
          <t>2026-10-23</t>
        </is>
      </c>
      <c r="E53" t="inlineStr">
        <is>
          <t>hanmi/dist/20261028_韓美半導體個股模型_v0.2.3.xlsx In!E95</t>
        </is>
      </c>
      <c r="H53">
        <f>C53</f>
        <v/>
      </c>
    </row>
    <row r="54">
      <c r="A54" t="inlineStr">
        <is>
          <t>TER</t>
        </is>
      </c>
      <c r="B54" t="inlineStr">
        <is>
          <t>USD</t>
        </is>
      </c>
      <c r="C54" s="4" t="n">
        <v>308.85</v>
      </c>
      <c r="D54" t="inlineStr">
        <is>
          <t>2026-10-23</t>
        </is>
      </c>
      <c r="E54" t="inlineStr">
        <is>
          <t>ter/dist/20261028_泰瑞達個股模型_v0.2.xlsx Val!B73</t>
        </is>
      </c>
      <c r="H54">
        <f>C54</f>
        <v/>
      </c>
    </row>
    <row r="55">
      <c r="A55" t="inlineStr">
        <is>
          <t>BESI</t>
        </is>
      </c>
      <c r="B55" t="inlineStr">
        <is>
          <t>EUR</t>
        </is>
      </c>
      <c r="C55" s="4" t="n">
        <v>145.1</v>
      </c>
      <c r="D55" t="inlineStr">
        <is>
          <t>2026-10-23</t>
        </is>
      </c>
      <c r="E55" t="inlineStr">
        <is>
          <t>besi/dist/20261025_BESI模型_v0.1.1.xlsx In!E117</t>
        </is>
      </c>
      <c r="H55">
        <f>C55</f>
        <v/>
      </c>
    </row>
    <row r="56">
      <c r="A56" t="inlineStr">
        <is>
          <t>6315</t>
        </is>
      </c>
      <c r="B56" t="inlineStr">
        <is>
          <t>JPY</t>
        </is>
      </c>
      <c r="C56" s="4" t="n">
        <v>1968</v>
      </c>
      <c r="D56" t="inlineStr">
        <is>
          <t>2026-10-23</t>
        </is>
      </c>
      <c r="E56" t="inlineStr">
        <is>
          <t>towa/dist/20261030_TOWA個股模型_v0.2.1.xlsx Val!B110</t>
        </is>
      </c>
      <c r="H56">
        <f>C56</f>
        <v/>
      </c>
    </row>
    <row r="57">
      <c r="A57" t="inlineStr">
        <is>
          <t>7729</t>
        </is>
      </c>
      <c r="B57" t="inlineStr">
        <is>
          <t>JPY</t>
        </is>
      </c>
      <c r="C57" s="4" t="n">
        <v>15520</v>
      </c>
      <c r="D57" t="inlineStr">
        <is>
          <t>2026-10-23</t>
        </is>
      </c>
      <c r="E57" t="inlineStr">
        <is>
          <t>accretech/dist/20261028_東京精密個股模型_v0.1.2.xlsx Val!B53</t>
        </is>
      </c>
      <c r="H57">
        <f>C57</f>
        <v/>
      </c>
    </row>
    <row r="58">
      <c r="A58" t="inlineStr">
        <is>
          <t>2317</t>
        </is>
      </c>
      <c r="B58" t="inlineStr">
        <is>
          <t>TWD</t>
        </is>
      </c>
      <c r="C58" s="4" t="n">
        <v>245</v>
      </c>
      <c r="D58" t="inlineStr">
        <is>
          <t>2026-10-22</t>
        </is>
      </c>
      <c r="E58" t="inlineStr">
        <is>
          <t>foxconn/dist/20261030_鴻海個股模型_v0.3.1.xlsx Val!B6</t>
        </is>
      </c>
      <c r="H58">
        <f>C58</f>
        <v/>
      </c>
    </row>
    <row r="59">
      <c r="A59" t="inlineStr">
        <is>
          <t>3231</t>
        </is>
      </c>
      <c r="B59" t="inlineStr">
        <is>
          <t>TWD</t>
        </is>
      </c>
      <c r="C59" s="4" t="n">
        <v>190</v>
      </c>
      <c r="D59" t="inlineStr">
        <is>
          <t>2026-10-22</t>
        </is>
      </c>
      <c r="E59" t="inlineStr">
        <is>
          <t>wistron/dist/20261030_緯創個股模型_v0.2.1.xlsx Val!B53</t>
        </is>
      </c>
      <c r="H59">
        <f>C59</f>
        <v/>
      </c>
    </row>
    <row r="60">
      <c r="A60" t="inlineStr">
        <is>
          <t>6669</t>
        </is>
      </c>
      <c r="B60" t="inlineStr">
        <is>
          <t>TWD</t>
        </is>
      </c>
      <c r="C60" s="4" t="n">
        <v>1840</v>
      </c>
      <c r="D60" t="inlineStr">
        <is>
          <t>2026-10-22</t>
        </is>
      </c>
      <c r="E60" t="inlineStr">
        <is>
          <t>wiwynn/dist/20261030_緯穎個股模型_v0.1.3.xlsx Val!B53</t>
        </is>
      </c>
      <c r="H60">
        <f>C60</f>
        <v/>
      </c>
    </row>
    <row r="61">
      <c r="A61" t="inlineStr">
        <is>
          <t>DELL</t>
        </is>
      </c>
      <c r="B61" t="inlineStr">
        <is>
          <t>USD</t>
        </is>
      </c>
      <c r="C61" s="4" t="n">
        <v>456.44</v>
      </c>
      <c r="D61" t="inlineStr">
        <is>
          <t>2026-10-23</t>
        </is>
      </c>
      <c r="E61" t="inlineStr">
        <is>
          <t>dell/dist/20261030_戴爾個股模型_v0.1.2.xlsx Val!B55</t>
        </is>
      </c>
      <c r="H61">
        <f>C61</f>
        <v/>
      </c>
    </row>
    <row r="62">
      <c r="A62" t="inlineStr">
        <is>
          <t>SMCI</t>
        </is>
      </c>
      <c r="B62" t="inlineStr">
        <is>
          <t>USD</t>
        </is>
      </c>
      <c r="C62" s="4" t="n">
        <v>32.94</v>
      </c>
      <c r="D62" t="inlineStr">
        <is>
          <t>2026-10-23</t>
        </is>
      </c>
      <c r="E62" t="inlineStr">
        <is>
          <t>smci/dist/20261030_美超微個股模型_v0.1.3.xlsx Val!B53</t>
        </is>
      </c>
      <c r="H62">
        <f>C62</f>
        <v/>
      </c>
    </row>
    <row r="63">
      <c r="A63" t="inlineStr">
        <is>
          <t>3017</t>
        </is>
      </c>
      <c r="B63" t="inlineStr">
        <is>
          <t>TWD</t>
        </is>
      </c>
      <c r="C63" s="4" t="n">
        <v>3145</v>
      </c>
      <c r="D63" t="inlineStr">
        <is>
          <t>2026-10-22</t>
        </is>
      </c>
      <c r="E63" t="inlineStr">
        <is>
          <t>avc/dist/20261030_奇鋐個股模型_v0.2.3.xlsx Val!B6</t>
        </is>
      </c>
      <c r="H63">
        <f>C63</f>
        <v/>
      </c>
    </row>
    <row r="64">
      <c r="A64" t="inlineStr">
        <is>
          <t>2301</t>
        </is>
      </c>
      <c r="B64" t="inlineStr">
        <is>
          <t>TWD</t>
        </is>
      </c>
      <c r="C64" s="4" t="n">
        <v>255.5</v>
      </c>
      <c r="D64" t="inlineStr">
        <is>
          <t>2026-10-22</t>
        </is>
      </c>
      <c r="E64" t="inlineStr">
        <is>
          <t>liteon/dist/20261028_光寶個股模型_v0.2.xlsx Val!B53</t>
        </is>
      </c>
      <c r="H64">
        <f>C64</f>
        <v/>
      </c>
    </row>
    <row r="65">
      <c r="A65" t="inlineStr">
        <is>
          <t>3324</t>
        </is>
      </c>
      <c r="B65" t="inlineStr">
        <is>
          <t>TWD</t>
        </is>
      </c>
      <c r="C65" s="4" t="n">
        <v>1360</v>
      </c>
      <c r="D65" t="inlineStr">
        <is>
          <t>2026-10-22</t>
        </is>
      </c>
      <c r="E65" t="inlineStr">
        <is>
          <t>auras/dist/20261030_雙鴻個股模型_v0.1.3.xlsx Val!B62</t>
        </is>
      </c>
      <c r="H65">
        <f>C65</f>
        <v/>
      </c>
    </row>
    <row r="66">
      <c r="A66" t="inlineStr">
        <is>
          <t>3653</t>
        </is>
      </c>
      <c r="B66" t="inlineStr">
        <is>
          <t>TWD</t>
        </is>
      </c>
      <c r="C66" s="4" t="n">
        <v>6070</v>
      </c>
      <c r="D66" t="inlineStr">
        <is>
          <t>2026-10-22</t>
        </is>
      </c>
      <c r="E66" t="inlineStr">
        <is>
          <t>jentech/dist/20261030_健策個股模型_v0.1.3.xlsx Val!B56</t>
        </is>
      </c>
      <c r="H66">
        <f>C66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354.680258470964</v>
      </c>
      <c r="G2" t="inlineStr">
        <is>
          <t>nvidia/dist/20261030_NVIDIA個股模型_v0.2.3.xlsx Val!B40</t>
        </is>
      </c>
      <c r="J2" s="4" t="n">
        <v>128.622689303977</v>
      </c>
      <c r="K2" t="inlineStr">
        <is>
          <t>nvidia/dist/20261030_NVIDIA個股模型_v0.2.3.xlsx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0.681267816036044</v>
      </c>
      <c r="R2">
        <f>P2/N2-1</f>
        <v/>
      </c>
      <c r="S2" s="4" t="inlineStr">
        <is>
          <t>強力買進</t>
        </is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nvidia/dist/20261030_NVIDIA個股模型_v0.2.3.xlsx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 s="4" t="inlineStr">
        <is>
          <t>大於 50%</t>
        </is>
      </c>
      <c r="AK2" s="1" t="inlineStr">
        <is>
          <t>上檔空間 nvidia/dist/20261030_NVIDIA個股模型_v0.2.3.xlsx Val!B43；投資建議 nvidia/dist/20261030_NVIDIA個股模型_v0.2.3.xlsx Val!B179；級距 nvidia/dist/20261030_NVIDIA個股模型_v0.2.3.xlsx Val!B178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273.107022948192</v>
      </c>
      <c r="G3" t="inlineStr">
        <is>
          <t>avgo/dist/20261030_Broadcom個股模型_v0.3.1.xlsx Val!B40</t>
        </is>
      </c>
      <c r="J3" s="4" t="n">
        <v>221.914547314327</v>
      </c>
      <c r="K3" t="inlineStr">
        <is>
          <t>avgo/dist/20261030_Broadcom個股模型_v0.3.1.xlsx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-0.150997814759414</v>
      </c>
      <c r="R3">
        <f>P3/N3-1</f>
        <v/>
      </c>
      <c r="S3" s="4" t="inlineStr">
        <is>
          <t>中立</t>
        </is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avgo/dist/20261030_Broadcom個股模型_v0.3.1.xlsx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 s="4" t="inlineStr">
        <is>
          <t>0%～−25%</t>
        </is>
      </c>
      <c r="AK3" s="1" t="inlineStr">
        <is>
          <t>上檔空間 avgo/dist/20261030_Broadcom個股模型_v0.3.1.xlsx Val!B43；投資建議 avgo/dist/20261030_Broadcom個股模型_v0.3.1.xlsx Val!B113；級距 avgo/dist/20261030_Broadcom個股模型_v0.3.1.xlsx Val!B112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3362855.89676401</v>
      </c>
      <c r="G4" t="inlineStr">
        <is>
          <t>skhynix/dist/20261030_SK海力士個股模型_v0.6.1.xlsx Val!B161</t>
        </is>
      </c>
      <c r="J4" s="4" t="n">
        <v>1477770.57908316</v>
      </c>
      <c r="K4" t="inlineStr">
        <is>
          <t>skhynix/dist/20261030_SK海力士個股模型_v0.6.1.xlsx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1.6334032081159</v>
      </c>
      <c r="R4">
        <f>P4/N4-1</f>
        <v/>
      </c>
      <c r="S4" s="4" t="inlineStr">
        <is>
          <t>強力買進</t>
        </is>
      </c>
      <c r="T4">
        <f>1373757.68335821/N4-1</f>
        <v/>
      </c>
      <c r="U4" t="inlineStr">
        <is>
          <t>舊法：規則值情境加權價（參考，Val!B176）</t>
        </is>
      </c>
      <c r="W4" s="1" t="inlineStr">
        <is>
          <t>DCF 目標價 4,288,814.4（Val!B146）；Comparable 目標價 2,528,569.1（Val!B162）；市場共識目標價 3,096,288.0（Val!B163，外部、僅供對照）；價格帶 C～A 情境 DCF 1,477,770.6～7,641,482.4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232.0、2027 A 336.6、2028 A 371.0、2029 A 410.5、2027 B 327.5、2028 B 171.3、2029 B 210.0、2027 C 327.5、2028 C 90.1、2029 C 73.7</t>
        </is>
      </c>
      <c r="AE4" s="4" t="n">
        <v>2550.119551886793</v>
      </c>
      <c r="AF4" s="4" t="n">
        <v>73.6799515783446</v>
      </c>
      <c r="AG4" t="inlineStr">
        <is>
          <t>[Derived] skhynix/dist/20261030_SK海力士個股模型_v0.6.1.xlsx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 s="4" t="inlineStr">
        <is>
          <t>大於 50%</t>
        </is>
      </c>
      <c r="AK4" s="1" t="inlineStr">
        <is>
          <t>上檔空間 skhynix/dist/20261030_SK海力士個股模型_v0.6.1.xlsx Val!B164；投資建議 skhynix/dist/20261030_SK海力士個股模型_v0.6.1.xlsx Val!B185；級距 skhynix/dist/20261030_SK海力士個股模型_v0.6.1.xlsx Val!B184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498385.252032642</v>
      </c>
      <c r="G5" t="inlineStr">
        <is>
          <t>samsung/dist/20261030_三星電子個股模型_v0.4.xlsx Val!B161</t>
        </is>
      </c>
      <c r="J5" s="4" t="n">
        <v>225074.605880003</v>
      </c>
      <c r="K5" t="inlineStr">
        <is>
          <t>samsung/dist/20261030_三星電子個股模型_v0.4.xlsx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1.31269258483825</v>
      </c>
      <c r="R5">
        <f>P5/N5-1</f>
        <v/>
      </c>
      <c r="S5" s="4" t="inlineStr">
        <is>
          <t>強力買進</t>
        </is>
      </c>
      <c r="T5">
        <f>256534.436857996/N5-1</f>
        <v/>
      </c>
      <c r="U5" t="inlineStr">
        <is>
          <t>舊法：規則值情境加權價（參考，Val!B176）</t>
        </is>
      </c>
      <c r="W5" s="1" t="inlineStr">
        <is>
          <t>DCF 目標價 506,369.9（Val!B146）；Comparable 目標價 472,621.4（Val!B162）；市場共識目標價 478,906.0（Val!B163，外部、僅供對照）；價格帶 C～A 情境 DCF 225,074.6～858,019.2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275.2、2027 A 521.3、2028 A 577.1、2029 A 627.9、2027 B 507.4、2028 B 281.5、2029 B 332.1、2027 C 507.4、2028 C 169.5、2029 C 141.0</t>
        </is>
      </c>
      <c r="AE5" s="4" t="n">
        <v>3940.342975889151</v>
      </c>
      <c r="AF5" s="4" t="n">
        <v>140.958188559407</v>
      </c>
      <c r="AG5" t="inlineStr">
        <is>
          <t>[Derived] samsung/dist/20261030_三星電子個股模型_v0.4.xlsx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 s="4" t="inlineStr">
        <is>
          <t>大於 50%</t>
        </is>
      </c>
      <c r="AK5" s="1" t="inlineStr">
        <is>
          <t>上檔空間 samsung/dist/20261030_三星電子個股模型_v0.4.xlsx Val!B164；投資建議 samsung/dist/20261030_三星電子個股模型_v0.4.xlsx Val!B185；級距 samsung/dist/20261030_三星電子個股模型_v0.4.xlsx Val!B184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750.197823374767</v>
      </c>
      <c r="G6" t="inlineStr">
        <is>
          <t>micron/dist/20261030_美光個股模型_v0.4.3.xlsx Val!B208</t>
        </is>
      </c>
      <c r="J6" s="4" t="n">
        <v>321.896486338575</v>
      </c>
      <c r="K6" t="inlineStr">
        <is>
          <t>micron/dist/20261030_美光個股模型_v0.4.3.xlsx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-0.145122416529238</v>
      </c>
      <c r="R6">
        <f>P6/N6-1</f>
        <v/>
      </c>
      <c r="S6" s="4" t="inlineStr">
        <is>
          <t>中立</t>
        </is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micron/dist/20261030_美光個股模型_v0.4.3.xlsx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 s="4" t="inlineStr">
        <is>
          <t>0%～−25%</t>
        </is>
      </c>
      <c r="AK6" s="1" t="inlineStr">
        <is>
          <t>上檔空間 micron/dist/20261030_美光個股模型_v0.4.3.xlsx Val!B211；投資建議 micron/dist/20261030_美光個股模型_v0.4.3.xlsx Val!B232；級距 micron/dist/20261030_美光個股模型_v0.4.3.xlsx Val!B231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價值鏈!A8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2803.49822381737</v>
      </c>
      <c r="G7" t="inlineStr">
        <is>
          <t>tsmc/dist/20261030_台積電個股模型_v0.4.1.xlsx Val!B94</t>
        </is>
      </c>
      <c r="J7" s="4" t="n">
        <v>1499.97466657645</v>
      </c>
      <c r="K7" t="inlineStr">
        <is>
          <t>tsmc/dist/20261030_台積電個股模型_v0.4.1.xlsx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0.175470953382545</v>
      </c>
      <c r="R7">
        <f>P7/N7-1</f>
        <v/>
      </c>
      <c r="S7" s="4" t="inlineStr">
        <is>
          <t>中立</t>
        </is>
      </c>
      <c r="T7">
        <f>3024.65959453177/N7-1</f>
        <v/>
      </c>
      <c r="U7" t="inlineStr">
        <is>
          <t>舊法：規則值情境加權價（參考，Val!B107）</t>
        </is>
      </c>
      <c r="W7" s="1" t="inlineStr">
        <is>
          <t>DCF 目標價 2,155.5（Val!B79）；Comparable 目標價 2,745.0（Val!B95）；市場共識目標價 3,390.4（Val!B96，外部、僅供對照）；價格帶 C～A 情境 DCF 1,500.0～2,775.7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2211.222901615743</v>
      </c>
      <c r="AF7" s="4" t="n">
        <v>84.82261563435119</v>
      </c>
      <c r="AG7" t="inlineStr">
        <is>
          <t>[Derived] tsmc/dist/20261030_台積電個股模型_v0.4.1.xlsx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 s="4" t="inlineStr">
        <is>
          <t>0%–25%</t>
        </is>
      </c>
      <c r="AK7" s="1" t="inlineStr">
        <is>
          <t>上檔空間 tsmc/dist/20261030_台積電個股模型_v0.4.1.xlsx Val!B97；投資建議 tsmc/dist/20261030_台積電個股模型_v0.4.1.xlsx Val!B116；級距 tsmc/dist/20261030_台積電個股模型_v0.4.1.xlsx Val!B115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155.303628041274</v>
      </c>
      <c r="G8" t="inlineStr">
        <is>
          <t>arista/dist/20261030_Arista個股模型_v0.3.1.xlsx Val!B40</t>
        </is>
      </c>
      <c r="J8" s="4" t="n">
        <v>66.5504868771763</v>
      </c>
      <c r="K8" t="inlineStr">
        <is>
          <t>arista/dist/20261030_Arista個股模型_v0.3.1.xlsx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-0.0990101059275184</v>
      </c>
      <c r="R8">
        <f>P8/N8-1</f>
        <v/>
      </c>
      <c r="S8" s="4" t="inlineStr">
        <is>
          <t>中立</t>
        </is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arista/dist/20261030_Arista個股模型_v0.3.1.xlsx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 s="4" t="inlineStr">
        <is>
          <t>0%～−25%</t>
        </is>
      </c>
      <c r="AK8" s="1" t="inlineStr">
        <is>
          <t>上檔空間 arista/dist/20261030_Arista個股模型_v0.3.1.xlsx Val!B43；投資建議 arista/dist/20261030_Arista個股模型_v0.3.1.xlsx Val!B53；級距 arista/dist/20261030_Arista個股模型_v0.3.1.xlsx Val!B52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1224.96669455556</v>
      </c>
      <c r="G9" t="inlineStr">
        <is>
          <t>innolight/dist/20261030_中際旭創個股模型_v0.2.4.xlsx Val!B39</t>
        </is>
      </c>
      <c r="J9" s="4" t="n">
        <v>502.868761281007</v>
      </c>
      <c r="K9" t="inlineStr">
        <is>
          <t>innolight/dist/20261030_中際旭創個股模型_v0.2.4.xlsx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0.999521235583564</v>
      </c>
      <c r="R9">
        <f>P9/N9-1</f>
        <v/>
      </c>
      <c r="S9" s="4" t="inlineStr">
        <is>
          <t>強力買進</t>
        </is>
      </c>
      <c r="T9">
        <f>2255.48434680824/N9-1</f>
        <v/>
      </c>
      <c r="U9" t="inlineStr">
        <is>
          <t>舊法：規則值情境加權價（參考，Val!B133）</t>
        </is>
      </c>
      <c r="V9" t="inlineStr">
        <is>
          <t>12.7 ／ 15.5 ／ 20.8</t>
        </is>
      </c>
      <c r="W9" s="1" t="inlineStr">
        <is>
          <t>DCF 目標價 819.6（Val!B24）；Comparable 目標價 1,861.3（Val!B40）；市場共識目標價 1,321.0（Val!B41，外部、僅供對照）；價格帶 C～A 情境 DCF 502.9～1,010.7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19 個情境年度淨利（不含實績），全部為正</t>
        </is>
      </c>
      <c r="AE9" s="4" t="n">
        <v>1131.396490474955</v>
      </c>
      <c r="AF9" s="4" t="n">
        <v>31.8281188474012</v>
      </c>
      <c r="AG9" t="inlineStr">
        <is>
          <t>[Derived] innolight/dist/20261030_中際旭創個股模型_v0.2.4.xlsx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 s="4" t="inlineStr">
        <is>
          <t>大於 50%</t>
        </is>
      </c>
      <c r="AK9" s="1" t="inlineStr">
        <is>
          <t>上檔空間 innolight/dist/20261030_中際旭創個股模型_v0.2.4.xlsx Val!B42；投資建議 innolight/dist/20261030_中際旭創個股模型_v0.2.4.xlsx Val!B50；級距 innolight/dist/20261030_中際旭創個股模型_v0.2.4.xlsx Val!B49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價值鏈!A10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1236.84767309145</v>
      </c>
      <c r="G10" t="inlineStr">
        <is>
          <t>delta/dist/20261030_台達電個股模型_v0.3.1.xlsx Val!B119</t>
        </is>
      </c>
      <c r="J10" s="4" t="n">
        <v>640.554270753996</v>
      </c>
      <c r="K10" t="inlineStr">
        <is>
          <t>delta/dist/20261030_台達電個股模型_v0.3.1.xlsx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-0.22937839682776</v>
      </c>
      <c r="R10">
        <f>P10/N10-1</f>
        <v/>
      </c>
      <c r="S10" s="4" t="inlineStr">
        <is>
          <t>中立</t>
        </is>
      </c>
      <c r="T10">
        <f>1359.88491417879/N10-1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1,000.5（Val!B105）；Comparable 目標價 1,428.7（Val!B120）；市場共識目標價 2,502.4（Val!B121，外部、僅供對照）；價格帶 C～A 情境 DCF 640.6～1,236.2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1331.70135314773</v>
      </c>
      <c r="AF10" s="4" t="n">
        <v>98.429235925</v>
      </c>
      <c r="AG10" t="inlineStr">
        <is>
          <t>[Derived] delta/dist/20261030_台達電個股模型_v0.3.1.xlsx PL!D17…PL!G51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 s="4" t="inlineStr">
        <is>
          <t>0%～−25%</t>
        </is>
      </c>
      <c r="AK10" s="1" t="inlineStr">
        <is>
          <t>上檔空間 delta/dist/20261030_台達電個股模型_v0.3.1.xlsx Val!B122；投資建議 delta/dist/20261030_台達電個股模型_v0.3.1.xlsx Val!B135；級距 delta/dist/20261030_台達電個股模型_v0.3.1.xlsx Val!B134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價值鏈!A11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596.09471950587</v>
      </c>
      <c r="G11" t="inlineStr">
        <is>
          <t>quanta/dist/20261030_廣達個股模型_v0.3.1.xlsx Val!B120</t>
        </is>
      </c>
      <c r="J11" s="4" t="n">
        <v>404.067828743699</v>
      </c>
      <c r="K11" t="inlineStr">
        <is>
          <t>quanta/dist/20261030_廣達個股模型_v0.3.1.xlsx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0.851225836974751</v>
      </c>
      <c r="R11">
        <f>P11/N11-1</f>
        <v/>
      </c>
      <c r="S11" s="4" t="inlineStr">
        <is>
          <t>強力買進</t>
        </is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1294.029322125414</v>
      </c>
      <c r="AF11" s="4" t="n">
        <v>110.713671625</v>
      </c>
      <c r="AG11" t="inlineStr">
        <is>
          <t>[Derived] quanta/dist/20261030_廣達個股模型_v0.3.1.xlsx PL!D16…PL!G48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 s="4" t="inlineStr">
        <is>
          <t>大於 50%</t>
        </is>
      </c>
      <c r="AK11" s="1" t="inlineStr">
        <is>
          <t>上檔空間 quanta/dist/20261030_廣達個股模型_v0.3.1.xlsx Val!B123；投資建議 quanta/dist/20261030_廣達個股模型_v0.3.1.xlsx Val!B136；級距 quanta/dist/20261030_廣達個股模型_v0.3.1.xlsx Val!B135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價值鏈!A9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6498.50902445777</v>
      </c>
      <c r="G12" t="inlineStr">
        <is>
          <t>ibiden/dist/20261030_Ibiden個股模型_v0.3.1.xlsx Val!B96</t>
        </is>
      </c>
      <c r="J12" s="4" t="n">
        <v>1293.75775376326</v>
      </c>
      <c r="K12" t="inlineStr">
        <is>
          <t>ibiden/dist/20261030_Ibiden個股模型_v0.3.1.xlsx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-0.236547342051484</v>
      </c>
      <c r="R12">
        <f>P12/N12-1</f>
        <v/>
      </c>
      <c r="S12" s="4" t="inlineStr">
        <is>
          <t>中立</t>
        </is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ibiden/dist/20261030_Ibiden個股模型_v0.3.1.xlsx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 s="4" t="inlineStr">
        <is>
          <t>0%～−25%</t>
        </is>
      </c>
      <c r="AK12" s="1" t="inlineStr">
        <is>
          <t>上檔空間 ibiden/dist/20261030_Ibiden個股模型_v0.3.1.xlsx Val!B99；投資建議 ibiden/dist/20261030_Ibiden個股模型_v0.3.1.xlsx Val!B110；級距 ibiden/dist/20261030_Ibiden個股模型_v0.3.1.xlsx Val!B109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23855.0679808832</v>
      </c>
      <c r="G13" t="inlineStr">
        <is>
          <t>advantest/dist/20261028_Advantest個股模型_v0.4.xlsx Val!B146</t>
        </is>
      </c>
      <c r="J13" s="4" t="n">
        <v>7869.22693168907</v>
      </c>
      <c r="K13" t="inlineStr">
        <is>
          <t>advantest/dist/20261028_Advantest個股模型_v0.4.xlsx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-0.26236648172903</v>
      </c>
      <c r="R13">
        <f>P13/N13-1</f>
        <v/>
      </c>
      <c r="S13" s="4" t="inlineStr">
        <is>
          <t>放空</t>
        </is>
      </c>
      <c r="T13">
        <f>24455.302282651/N13-1</f>
        <v/>
      </c>
      <c r="U13" t="inlineStr">
        <is>
          <t>舊法：規則值情境加權價（參考，Val!B102）</t>
        </is>
      </c>
      <c r="W13" s="1" t="inlineStr">
        <is>
          <t>DCF 目標價 16,514.9（Val!B131）；Comparable 目標價 29,856.7（Val!B147）；市場共識目標價 42,686.0（Val!B148，外部、僅供對照）；價格帶 C～A 情境 DCF 7,869.2～22,999.6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7823.008196514891</v>
      </c>
      <c r="AF13" s="4" t="n">
        <v>573.473170367163</v>
      </c>
      <c r="AG13" t="inlineStr">
        <is>
          <t>[Derived] advantest/dist/20261028_Advantest個股模型_v0.4.xlsx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 s="4" t="inlineStr">
        <is>
          <t>−25%～−50%</t>
        </is>
      </c>
      <c r="AK13" s="1" t="inlineStr">
        <is>
          <t>上檔空間 advantest/dist/20261028_Advantest個股模型_v0.4.xlsx Val!B149；投資建議 advantest/dist/20261028_Advantest個股模型_v0.4.xlsx Val!B158；級距 advantest/dist/20261028_Advantest個股模型_v0.4.xlsx Val!B157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48039.9712227065</v>
      </c>
      <c r="G14" t="inlineStr">
        <is>
          <t>disco/dist/20261025_Disco模型_v0.2.2.xlsx Val!B107</t>
        </is>
      </c>
      <c r="J14" s="4" t="n">
        <v>16343.6091101662</v>
      </c>
      <c r="K14" t="inlineStr">
        <is>
          <t>disco/dist/20261025_Disco模型_v0.2.2.xlsx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-0.025360697449656</v>
      </c>
      <c r="R14">
        <f>P14/N14-1</f>
        <v/>
      </c>
      <c r="S14" s="4" t="inlineStr">
        <is>
          <t>中立</t>
        </is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disco/dist/20261025_Disco模型_v0.2.2.xlsx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 s="4" t="inlineStr">
        <is>
          <t>0%～−25%</t>
        </is>
      </c>
      <c r="AK14" s="1" t="inlineStr">
        <is>
          <t>上檔空間 disco/dist/20261025_Disco模型_v0.2.2.xlsx Val!B110；投資建議 disco/dist/20261025_Disco模型_v0.2.2.xlsx Val!B119；級距 disco/dist/20261025_Disco模型_v0.2.2.xlsx Val!B118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加權目標價（DCF 50%＋分部加總 50%）</t>
        </is>
      </c>
      <c r="F15" s="4" t="n">
        <v>384.104559856734</v>
      </c>
      <c r="G15" t="inlineStr">
        <is>
          <t>microsoft/dist/20261030_Microsoft個股模型_v0.3.3.xlsx Val!B36</t>
        </is>
      </c>
      <c r="J15" s="4" t="n">
        <v>280.67266317972</v>
      </c>
      <c r="K15" t="inlineStr">
        <is>
          <t>microsoft/dist/20261030_Microsoft個股模型_v0.3.3.xlsx Val!D13</t>
        </is>
      </c>
      <c r="N15">
        <f>價格!H15</f>
        <v/>
      </c>
      <c r="O15">
        <f>MIN(F15,H15)</f>
        <v/>
      </c>
      <c r="P15">
        <f>MIN(J15,L15)</f>
        <v/>
      </c>
      <c r="Q15" s="4" t="n">
        <v>-0.276652869330645</v>
      </c>
      <c r="R15">
        <f>P15/N15-1</f>
        <v/>
      </c>
      <c r="S15" s="4" t="inlineStr">
        <is>
          <t>放空</t>
        </is>
      </c>
      <c r="V15" t="inlineStr">
        <is>
          <t>21.4 ／ 22.6 ／ 24.0</t>
        </is>
      </c>
      <c r="W15" s="1" t="inlineStr">
        <is>
          <t>DCF 目標價 324.4（Val!B14）；Comparable 目標價 443.8（Val!B31）；市場共識目標價 605.1（Val!B38，外部、僅供對照）；價格帶 C～A 情境 DCF 280.7～364.2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自由現金流扣股利五年合計（基準情境 B；A 363.2、C 137.9）</t>
        </is>
      </c>
      <c r="AD15" t="inlineStr">
        <is>
          <t>情境 B 五年合計 259.6</t>
        </is>
      </c>
      <c r="AE15" s="4" t="n">
        <v>259.640219939081</v>
      </c>
      <c r="AF15" s="4" t="n">
        <v>259.640219939081</v>
      </c>
      <c r="AG15" t="inlineStr">
        <is>
          <t>[Derived] microsoft/dist/20261030_Microsoft個股模型_v0.3.3.xlsx CF!C5…CF!C5</t>
        </is>
      </c>
      <c r="AH15">
        <f>IF(AE15&lt;-gate_tol,"不通過",IF(AE15&lt;0,"通過（容忍帶內，接近 0）","通過（現金流）"))</f>
        <v/>
      </c>
      <c r="AI15">
        <f>IF(S15="未上市","未上市",IF(AND(AH15="不通過",OR(S15="強力買進",S15="買進",S15="未估值")),"收支不足",S15))</f>
        <v/>
      </c>
      <c r="AJ15" s="4" t="inlineStr">
        <is>
          <t>−50%～−25%</t>
        </is>
      </c>
      <c r="AK15" s="1" t="inlineStr">
        <is>
          <t>上檔空間 microsoft/dist/20261030_Microsoft個股模型_v0.3.3.xlsx Val!B40；投資建議 microsoft/dist/20261030_Microsoft個股模型_v0.3.3.xlsx Val!B43；級距 microsoft/dist/20261030_Microsoft個股模型_v0.3.3.xlsx Val!B42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加權目標價（DCF 50%＋分部加總 50%）</t>
        </is>
      </c>
      <c r="F16" s="4" t="n">
        <v>215.578882385843</v>
      </c>
      <c r="G16" t="inlineStr">
        <is>
          <t>amazon/dist/20261027_Amazon個股模型_v0.3.xlsx Val!B19</t>
        </is>
      </c>
      <c r="J16" s="4" t="n">
        <v>117.352344636521</v>
      </c>
      <c r="K16" t="inlineStr">
        <is>
          <t>amazon/dist/20261027_Amazon個股模型_v0.3.xlsx Val!D5</t>
        </is>
      </c>
      <c r="N16">
        <f>價格!H16</f>
        <v/>
      </c>
      <c r="O16">
        <f>MIN(F16,H16)</f>
        <v/>
      </c>
      <c r="P16">
        <f>MIN(J16,L16)</f>
        <v/>
      </c>
      <c r="Q16" s="4" t="n">
        <v>-0.134534174853092</v>
      </c>
      <c r="R16">
        <f>P16/N16-1</f>
        <v/>
      </c>
      <c r="S16" s="4" t="inlineStr">
        <is>
          <t>中立</t>
        </is>
      </c>
      <c r="W16" s="1" t="inlineStr">
        <is>
          <t>DCF 目標價 149.6（Val!B17）；Comparable 目標價 281.6（Val!B18）；市場共識目標價 332.2（Val!B25，外部、僅供對照）；價格帶 C～A 情境 DCF 117.4～205.0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自由現金流扣股利五年合計（基準情境 B；A 205.5、C -43.2）</t>
        </is>
      </c>
      <c r="AD16" t="inlineStr">
        <is>
          <t>情境 B 五年合計 19.0</t>
        </is>
      </c>
      <c r="AE16" s="4" t="n">
        <v>19.0072988716234</v>
      </c>
      <c r="AF16" s="4" t="n">
        <v>19.0072988716234</v>
      </c>
      <c r="AG16" t="inlineStr">
        <is>
          <t>[Derived] amazon/dist/20261027_Amazon個股模型_v0.3.xlsx CF!C6…CF!C6</t>
        </is>
      </c>
      <c r="AH16">
        <f>IF(AE16&lt;-gate_tol,"不通過",IF(AE16&lt;0,"通過（容忍帶內，接近 0）","通過（現金流）"))</f>
        <v/>
      </c>
      <c r="AI16">
        <f>IF(S16="未上市","未上市",IF(AND(AH16="不通過",OR(S16="強力買進",S16="買進",S16="未估值")),"收支不足",S16))</f>
        <v/>
      </c>
      <c r="AJ16" s="4" t="inlineStr">
        <is>
          <t>0%～−25%</t>
        </is>
      </c>
      <c r="AK16" s="1" t="inlineStr">
        <is>
          <t>上檔空間 amazon/dist/20261027_Amazon個股模型_v0.3.xlsx Val!B21；投資建議 amazon/dist/20261027_Amazon個股模型_v0.3.xlsx Val!B24；級距 amazon/dist/20261027_Amazon個股模型_v0.3.xlsx Val!B23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加權目標價（DCF 50%＋分部加總 50%）</t>
        </is>
      </c>
      <c r="F17" s="4" t="n">
        <v>258.21002602627</v>
      </c>
      <c r="G17" t="inlineStr">
        <is>
          <t>alphabet/dist/20261030_Alphabet個股模型_v0.3.3.xlsx Val!B8</t>
        </is>
      </c>
      <c r="J17" s="4" t="n">
        <v>149.346874196369</v>
      </c>
      <c r="K17" t="inlineStr">
        <is>
          <t>alphabet/dist/20261030_Alphabet個股模型_v0.3.3.xlsx Val!D109</t>
        </is>
      </c>
      <c r="N17">
        <f>價格!H17</f>
        <v/>
      </c>
      <c r="O17">
        <f>MIN(F17,H17)</f>
        <v/>
      </c>
      <c r="P17">
        <f>MIN(J17,L17)</f>
        <v/>
      </c>
      <c r="Q17" s="4" t="n">
        <v>-0.205238616066146</v>
      </c>
      <c r="R17">
        <f>P17/N17-1</f>
        <v/>
      </c>
      <c r="S17" s="4" t="inlineStr">
        <is>
          <t>中立</t>
        </is>
      </c>
      <c r="W17" s="1" t="inlineStr">
        <is>
          <t>DCF 目標價 189.1（Val!B6）；Comparable 目標價 327.3（Val!B7）；市場共識目標價 429.1（Val!B10，外部、僅供對照）；價格帶 C～A 情境 DCF 149.3～218.8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自由現金流扣股利五年合計（基準情境 B；A 77.7、C -145.8）</t>
        </is>
      </c>
      <c r="AD17" t="inlineStr">
        <is>
          <t>情境 B 五年合計 -0.6</t>
        </is>
      </c>
      <c r="AE17" s="4" t="n">
        <v>-0.648225979925059</v>
      </c>
      <c r="AF17" s="4" t="n">
        <v>-0.648225979925059</v>
      </c>
      <c r="AG17" t="inlineStr">
        <is>
          <t>[Derived] alphabet/dist/20261030_Alphabet個股模型_v0.3.3.xlsx CF!C6…CF!C6</t>
        </is>
      </c>
      <c r="AH17">
        <f>IF(AE17&lt;-gate_tol,"不通過",IF(AE17&lt;0,"通過（容忍帶內，接近 0）","通過（現金流）"))</f>
        <v/>
      </c>
      <c r="AI17">
        <f>IF(S17="未上市","未上市",IF(AND(AH17="不通過",OR(S17="強力買進",S17="買進",S17="未估值")),"收支不足",S17))</f>
        <v/>
      </c>
      <c r="AJ17" s="4" t="inlineStr">
        <is>
          <t>0%～−25%</t>
        </is>
      </c>
      <c r="AK17" s="1" t="inlineStr">
        <is>
          <t>上檔空間 alphabet/dist/20261030_Alphabet個股模型_v0.3.3.xlsx Val!B11；投資建議 alphabet/dist/20261030_Alphabet個股模型_v0.3.3.xlsx Val!B14；級距 alphabet/dist/20261030_Alphabet個股模型_v0.3.3.xlsx Val!B13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加權目標價（DCF 50%＋分部加總 50%）</t>
        </is>
      </c>
      <c r="F18" s="4" t="n">
        <v>73.2244042213954</v>
      </c>
      <c r="G18" t="inlineStr">
        <is>
          <t>oracle/dist/20261030_Oracle個股模型_v0.4.2.xlsx Val!C74</t>
        </is>
      </c>
      <c r="J18" s="4" t="n">
        <v>17.1600249327927</v>
      </c>
      <c r="K18" t="inlineStr">
        <is>
          <t>oracle/dist/20261030_Oracle個股模型_v0.4.2.xlsx Val!E30</t>
        </is>
      </c>
      <c r="N18">
        <f>價格!H18</f>
        <v/>
      </c>
      <c r="O18">
        <f>MIN(F18,H18)</f>
        <v/>
      </c>
      <c r="P18">
        <f>MIN(J18,L18)</f>
        <v/>
      </c>
      <c r="Q18" s="4" t="n">
        <v>-0.419130539255946</v>
      </c>
      <c r="R18">
        <f>P18/N18-1</f>
        <v/>
      </c>
      <c r="S18" s="4" t="inlineStr">
        <is>
          <t>放空</t>
        </is>
      </c>
      <c r="W18" s="1" t="inlineStr">
        <is>
          <t>DCF 目標價 41.7（Val!C72）；Comparable 目標價 104.7（Val!C73）；市場共識目標價 237.4（Val!C76，外部、僅供對照）；價格帶 C～A 情境 DCF 17.2～57.1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自由現金流扣股利五年合計（基準情境 B；A 111.1、C 8.4）</t>
        </is>
      </c>
      <c r="AD18" t="inlineStr">
        <is>
          <t>情境 B 五年合計 72.8</t>
        </is>
      </c>
      <c r="AE18" s="4" t="n">
        <v>72.7635612856036</v>
      </c>
      <c r="AF18" s="4" t="n">
        <v>72.7635612856036</v>
      </c>
      <c r="AG18" t="inlineStr">
        <is>
          <t>[Derived] oracle/dist/20261030_Oracle個股模型_v0.4.2.xlsx CF!D4…CF!D4</t>
        </is>
      </c>
      <c r="AH18">
        <f>IF(AE18&lt;-gate_tol,"不通過",IF(AE18&lt;0,"通過（容忍帶內，接近 0）","通過（現金流）"))</f>
        <v/>
      </c>
      <c r="AI18">
        <f>IF(S18="未上市","未上市",IF(AND(AH18="不通過",OR(S18="強力買進",S18="買進",S18="未估值")),"收支不足",S18))</f>
        <v/>
      </c>
      <c r="AJ18" s="4" t="inlineStr">
        <is>
          <t>−25%～−50%</t>
        </is>
      </c>
      <c r="AK18" s="1" t="inlineStr">
        <is>
          <t>上檔空間 oracle/dist/20261030_Oracle個股模型_v0.4.2.xlsx Val!C77；投資建議 oracle/dist/20261030_Oracle個股模型_v0.4.2.xlsx Val!C80；級距 oracle/dist/20261030_Oracle個股模型_v0.4.2.xlsx Val!C79</t>
        </is>
      </c>
    </row>
    <row r="19">
      <c r="A19" t="inlineStr">
        <is>
          <t>META</t>
        </is>
      </c>
      <c r="B19" t="inlineStr">
        <is>
          <t>Meta</t>
        </is>
      </c>
      <c r="C19">
        <f>價值鏈!A2</f>
        <v/>
      </c>
      <c r="D19" t="inlineStr">
        <is>
          <t>AI 模型商</t>
        </is>
      </c>
      <c r="E19" t="inlineStr">
        <is>
          <t>加權目標價（DCF 50%＋分部加總 50%）</t>
        </is>
      </c>
      <c r="F19" s="4" t="n">
        <v>844.097170627898</v>
      </c>
      <c r="G19" t="inlineStr">
        <is>
          <t>meta/dist/20261030_Meta個股模型_v0.1.1.xlsx Val!B8</t>
        </is>
      </c>
      <c r="J19" s="4" t="n">
        <v>671.066135194957</v>
      </c>
      <c r="K19" t="inlineStr">
        <is>
          <t>meta/dist/20261030_Meta個股模型_v0.1.1.xlsx Val!D106</t>
        </is>
      </c>
      <c r="N19">
        <f>價格!H19</f>
        <v/>
      </c>
      <c r="O19">
        <f>MIN(F19,H19)</f>
        <v/>
      </c>
      <c r="P19">
        <f>MIN(J19,L19)</f>
        <v/>
      </c>
      <c r="Q19" s="4" t="n">
        <v>0.378140329846851</v>
      </c>
      <c r="R19">
        <f>P19/N19-1</f>
        <v/>
      </c>
      <c r="S19" s="4" t="inlineStr">
        <is>
          <t>買進</t>
        </is>
      </c>
      <c r="W19" s="1" t="inlineStr">
        <is>
          <t>DCF 目標價 792.6（Val!B6）；Comparable 目標價 895.6（Val!B7）；市場共識目標價 833.1（Val!B10，外部、僅供對照）；價格帶 C～A 情境 DCF 671.1～914.1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自由現金流扣股利五年合計（基準情境 B；A -19.6、C 49.0）</t>
        </is>
      </c>
      <c r="AD19" t="inlineStr">
        <is>
          <t>情境 B 五年合計 15.0</t>
        </is>
      </c>
      <c r="AE19" s="4" t="n">
        <v>14.9797695854028</v>
      </c>
      <c r="AF19" s="4" t="n">
        <v>14.9797695854028</v>
      </c>
      <c r="AG19" t="inlineStr">
        <is>
          <t>[Derived] meta/dist/20261030_Meta個股模型_v0.1.1.xlsx CF!C6…CF!C6</t>
        </is>
      </c>
      <c r="AH19">
        <f>IF(AE19&lt;-gate_tol,"不通過",IF(AE19&lt;0,"通過（容忍帶內，接近 0）","通過（現金流）"))</f>
        <v/>
      </c>
      <c r="AI19">
        <f>IF(S19="未上市","未上市",IF(AND(AH19="不通過",OR(S19="強力買進",S19="買進",S19="未估值")),"收支不足",S19))</f>
        <v/>
      </c>
      <c r="AJ19" s="4" t="inlineStr">
        <is>
          <t>25%–50%</t>
        </is>
      </c>
      <c r="AK19" s="1" t="inlineStr">
        <is>
          <t>上檔空間 meta/dist/20261030_Meta個股模型_v0.1.1.xlsx Val!B11；投資建議 meta/dist/20261030_Meta個股模型_v0.1.1.xlsx Val!B14；級距 meta/dist/20261030_Meta個股模型_v0.1.1.xlsx Val!B13</t>
        </is>
      </c>
    </row>
    <row r="20">
      <c r="A20" t="inlineStr">
        <is>
          <t>SPCX</t>
        </is>
      </c>
      <c r="B20" t="inlineStr">
        <is>
          <t>SpaceX</t>
        </is>
      </c>
      <c r="C20">
        <f>價值鏈!A3</f>
        <v/>
      </c>
      <c r="D20" t="inlineStr">
        <is>
          <t>AI 雲端平台</t>
        </is>
      </c>
      <c r="E20" t="inlineStr">
        <is>
          <t>加權目標價（DCF 50%＋分部加總 50%）</t>
        </is>
      </c>
      <c r="F20" s="4" t="n">
        <v>28.7577743745996</v>
      </c>
      <c r="G20" t="inlineStr">
        <is>
          <t>spacex/dist/20261030_SpaceX個股模型_v0.1.xlsx Val!B8</t>
        </is>
      </c>
      <c r="J20" s="4" t="n">
        <v>9.797781967046809</v>
      </c>
      <c r="K20" t="inlineStr">
        <is>
          <t>spacex/dist/20261030_SpaceX個股模型_v0.1.xlsx Val!D132</t>
        </is>
      </c>
      <c r="N20">
        <f>價格!H20</f>
        <v/>
      </c>
      <c r="O20">
        <f>MIN(F20,H20)</f>
        <v/>
      </c>
      <c r="P20">
        <f>MIN(J20,L20)</f>
        <v/>
      </c>
      <c r="Q20" s="4" t="n">
        <v>-0.800140563106542</v>
      </c>
      <c r="R20">
        <f>P20/N20-1</f>
        <v/>
      </c>
      <c r="S20" s="4" t="inlineStr">
        <is>
          <t>強力放空</t>
        </is>
      </c>
      <c r="W20" s="1" t="inlineStr">
        <is>
          <t>DCF 目標價 18.8（Val!B6）；Comparable 目標價 38.7（Val!B7）；市場共識目標價 245.0（Val!B10，外部、僅供對照）；價格帶 C～A 情境 DCF 9.8～29.3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自由現金流五年合計（收支關卡口徑）（基準情境 B；A -42.7、C -114.6）</t>
        </is>
      </c>
      <c r="AD20" t="inlineStr">
        <is>
          <t>情境 B 五年合計 -84.1</t>
        </is>
      </c>
      <c r="AE20" s="4" t="n">
        <v>-84.1312698258872</v>
      </c>
      <c r="AF20" s="4" t="n">
        <v>-84.1312698258872</v>
      </c>
      <c r="AG20" t="inlineStr">
        <is>
          <t>[Derived] spacex/dist/20261030_SpaceX個股模型_v0.1.xlsx CF!C6…CF!C6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 s="4" t="inlineStr">
        <is>
          <t>小於 −50%</t>
        </is>
      </c>
      <c r="AK20" s="1" t="inlineStr">
        <is>
          <t>上檔空間 spacex/dist/20261030_SpaceX個股模型_v0.1.xlsx Val!B11；投資建議 spacex/dist/20261030_SpaceX個股模型_v0.1.xlsx Val!B14；級距 spacex/dist/20261030_SpaceX個股模型_v0.1.xlsx Val!B13</t>
        </is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31.9865189051237</v>
      </c>
      <c r="G21" t="inlineStr">
        <is>
          <t>coreweave/dist/20261021_CoreWeave收支模型_v4_12.xlsx 摘要!C7</t>
        </is>
      </c>
      <c r="J21" s="4" t="n">
        <v>31.9865189051237</v>
      </c>
      <c r="K21" t="inlineStr">
        <is>
          <t>coreweave/dist/20261021_CoreWeave收支模型_v4_12.xlsx 摘要!C7</t>
        </is>
      </c>
      <c r="L21" s="4" t="n">
        <v>14.7158090153289</v>
      </c>
      <c r="M21" t="inlineStr">
        <is>
          <t>coreweave/dist/20261021_CoreWeave收支模型_v4_12.xlsx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$32.0（模型日現價 $90.13）；情境區間 $14.7–$42.7，方法區間 $19.7–$32.0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營運缺口（不含融資、不含還本；無股利與回購）</t>
        </is>
      </c>
      <c r="AD21" t="inlineStr">
        <is>
          <t>FY26 -28.0、FY27 -30.4、FY28 -17.6、FY29 -13.4、FY30 -16.3</t>
        </is>
      </c>
      <c r="AE21" s="4" t="n">
        <v>-105.7055627525181</v>
      </c>
      <c r="AF21" s="4" t="n">
        <v>-30.399857894978</v>
      </c>
      <c r="AG21" t="inlineStr">
        <is>
          <t>[Derived] coreweave/dist/20261021_CoreWeave收支模型_v4_12.xlsx 各期收支!C39…各期收支!G39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t="inlineStr">
        <is>
          <t>模型加權目標價</t>
        </is>
      </c>
      <c r="F22" s="4" t="n">
        <v>21.3792054477074</v>
      </c>
      <c r="G22" t="inlineStr">
        <is>
          <t>nebius/dist/20261030_Nebius個股模型_v0_5_2.xlsx 摘要!C7</t>
        </is>
      </c>
      <c r="J22" s="4" t="n">
        <v>21.3792054477074</v>
      </c>
      <c r="K22" t="inlineStr">
        <is>
          <t>nebius/dist/20261030_Nebius個股模型_v0_5_2.xlsx 摘要!C7</t>
        </is>
      </c>
      <c r="L22" s="4" t="n">
        <v>19.431647062533</v>
      </c>
      <c r="M22" t="inlineStr">
        <is>
          <t>nebius/dist/20261030_Nebius個股模型_v0_5_2.xlsx 摘要!C10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>
        <is>
          <t>模型點位 $21.4（模型日現價 $249.87）；情境區間 $19.4–$29.5，方法區間 $12.5–$21.4</t>
        </is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營運缺口（不含融資、不含還本；無股利與回購）</t>
        </is>
      </c>
      <c r="AD22" t="inlineStr">
        <is>
          <t>FY26 -15.1、FY27 -17.9、FY28 -18.2、FY29 -17.2、FY30 -25.5</t>
        </is>
      </c>
      <c r="AE22" s="4" t="n">
        <v>-94.001644749039</v>
      </c>
      <c r="AF22" s="4" t="n">
        <v>-25.5402170366338</v>
      </c>
      <c r="AG22" t="inlineStr">
        <is>
          <t>[Derived] nebius/dist/20261030_Nebius個股模型_v0_5_2.xlsx 各期收支!C45…各期收支!G45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上檔空間＝模型加權目標價 nebius/dist/20261030_Nebius個股模型_v0_5_2.xlsx 摘要!C7 ÷ 外部收盤價 − 1，依本地圖五級規則自算（模型自身評等以模型日價計、級距不同，不採用；原值見模型摘要頁）</t>
        </is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t="inlineStr">
        <is>
          <t>模型加權目標價</t>
        </is>
      </c>
      <c r="F23" s="4" t="n">
        <v>15.2481184884189</v>
      </c>
      <c r="G23" t="inlineStr">
        <is>
          <t>whitefiber/dist/20261022_WhiteFiber收支模型_v0_2.xlsx 摘要!C7</t>
        </is>
      </c>
      <c r="J23" s="4" t="n">
        <v>15.2481184884189</v>
      </c>
      <c r="K23" t="inlineStr">
        <is>
          <t>whitefiber/dist/20261022_WhiteFiber收支模型_v0_2.xlsx 摘要!C7</t>
        </is>
      </c>
      <c r="L23" s="4" t="n">
        <v>11.4795061690524</v>
      </c>
      <c r="M23" t="inlineStr">
        <is>
          <t>whitefiber/dist/20261022_WhiteFiber收支模型_v0_2.xlsx 摘要!C10</t>
        </is>
      </c>
      <c r="N23">
        <f>價格!H23</f>
        <v/>
      </c>
      <c r="O23">
        <f>MIN(F23,H23)</f>
        <v/>
      </c>
      <c r="P23">
        <f>MIN(J23,L23)</f>
        <v/>
      </c>
      <c r="Q23">
        <f>O23/N23-1</f>
        <v/>
      </c>
      <c r="R23">
        <f>P23/N23-1</f>
        <v/>
      </c>
      <c r="S23">
        <f>IF(Q23&gt;0.5,"強力買進",IF(Q23&gt;0.25,"買進",IF(Q23&gt;=-0.25,"中立",IF(Q23&gt;=-0.5,"放空","強力放空"))))</f>
        <v/>
      </c>
      <c r="W23" s="1" t="inlineStr">
        <is>
          <t>模型點位 $15.2（模型日現價 $16.83）；情境區間 $11.5–$25.4，方法區間 $15.1–$15.2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營運缺口＋股利</t>
        </is>
      </c>
      <c r="AD23" t="inlineStr">
        <is>
          <t>FY26 -371.1、FY27 -383.6、FY28 -40.7、FY29 -1.9、FY30 -22.2</t>
        </is>
      </c>
      <c r="AE23" s="4" t="n">
        <v>-819.4510890267885</v>
      </c>
      <c r="AF23" s="4" t="n">
        <v>-383.618038613095</v>
      </c>
      <c r="AG23" t="inlineStr">
        <is>
          <t>[Derived] whitefiber/dist/20261022_WhiteFiber收支模型_v0_2.xlsx 各期收支!C52＋C24…各期收支!G52＋G24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  <c r="AJ23">
        <f>IF(Q23&gt;0.5,"大於 50%",IF(Q23&gt;0.25,"25%–50%",IF(Q23&gt;=0,"0%–25%",IF(Q23&gt;=-0.25,"0%～−25%",IF(Q23&gt;=-0.5,"−25%～−50%","小於 −50%")))))</f>
        <v/>
      </c>
      <c r="AK23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t="inlineStr">
        <is>
          <t>反向檢驗：折現價值 ÷ 市值</t>
        </is>
      </c>
      <c r="F24">
        <f>X24*價格!C24</f>
        <v/>
      </c>
      <c r="G24" t="inlineStr">
        <is>
          <t>minimax/dist/20261022_MiniMax收支模型_v0_2.xlsx Valuation!I21 × 模型現價</t>
        </is>
      </c>
      <c r="J24">
        <f>X24*價格!C24</f>
        <v/>
      </c>
      <c r="K24" t="inlineStr">
        <is>
          <t>同中心（模型只有一個情境）</t>
        </is>
      </c>
      <c r="N24">
        <f>價格!H24</f>
        <v/>
      </c>
      <c r="O24">
        <f>MIN(F24,H24)</f>
        <v/>
      </c>
      <c r="P24">
        <f>MIN(J24,L24)</f>
        <v/>
      </c>
      <c r="Q24">
        <f>O24/N24-1</f>
        <v/>
      </c>
      <c r="R24">
        <f>P24/N24-1</f>
        <v/>
      </c>
      <c r="S24">
        <f>IF(Q24&gt;0.5,"強力買進",IF(Q24&gt;0.25,"買進",IF(Q24&gt;=-0.25,"中立",IF(Q24&gt;=-0.5,"放空","強力放空"))))</f>
        <v/>
      </c>
      <c r="W24" s="1" t="inlineStr"/>
      <c r="X24" s="4" t="n">
        <v>0.881971351573187</v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營運燒錢（經調整淨利）＋F07 算力預付與自建資本支出</t>
        </is>
      </c>
      <c r="AD24" t="inlineStr">
        <is>
          <t>FY2026 -900.3、FY2027 -826.5、FY2028 -1,129.9、FY2029 -1,433.3、FY2030 -1,693.3</t>
        </is>
      </c>
      <c r="AE24" s="4" t="n">
        <v>-5983.185548552452</v>
      </c>
      <c r="AF24" s="4" t="n">
        <v>-1693.27864140096</v>
      </c>
      <c r="AG24" t="inlineStr">
        <is>
          <t>[Derived] minimax/dist/20261022_MiniMax收支模型_v0_2.xlsx Funding!E13＋E14…Funding!I13＋I14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  <c r="AJ24">
        <f>IF(Q24&gt;0.5,"大於 50%",IF(Q24&gt;0.25,"25%–50%",IF(Q24&gt;=0,"0%–25%",IF(Q24&gt;=-0.25,"0%～−25%",IF(Q24&gt;=-0.5,"−25%～−50%","小於 −50%")))))</f>
        <v/>
      </c>
      <c r="AK24" t="inlineStr">
        <is>
          <t>模型無評等；依 AI半導體 固定規則自算</t>
        </is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t="inlineStr">
        <is>
          <t>未估值（反向模式）</t>
        </is>
      </c>
      <c r="N25">
        <f>價格!H25</f>
        <v/>
      </c>
      <c r="S25" t="inlineStr">
        <is>
          <t>未估值</t>
        </is>
      </c>
      <c r="W25" s="1" t="inlineStr">
        <is>
          <t>模型未出隱含價；2028 年共識營收需為正向推估的 2.47 倍（最低共識 1.91 倍；zhipu/dist/20261030_智譜個股模型_v0_1_2.xlsx Reverse!G30）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F09 自由現金流</t>
        </is>
      </c>
      <c r="AD25" t="inlineStr">
        <is>
          <t>2026 -41.3、2027 -40.9、2028 -40.5、2029 -59.4、2030 -99.1</t>
        </is>
      </c>
      <c r="AE25" s="4" t="n">
        <v>-281.188184190984</v>
      </c>
      <c r="AF25" s="4" t="n">
        <v>-99.0538108419448</v>
      </c>
      <c r="AG25" t="inlineStr">
        <is>
          <t>[Derived] zhipu/dist/20261030_智譜個股模型_v0_1_2.xlsx Funding!E16…Funding!I16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OpenAI</t>
        </is>
      </c>
      <c r="B26" t="inlineStr">
        <is>
          <t>OpenAI</t>
        </is>
      </c>
      <c r="C26">
        <f>價值鏈!A2</f>
        <v/>
      </c>
      <c r="D26" t="inlineStr">
        <is>
          <t>AI 模型商</t>
        </is>
      </c>
      <c r="E26" t="inlineStr">
        <is>
          <t>未上市</t>
        </is>
      </c>
      <c r="N26">
        <f>價格!H26</f>
        <v/>
      </c>
      <c r="S26" t="inlineStr">
        <is>
          <t>未上市</t>
        </is>
      </c>
      <c r="W26" s="1" t="inlineStr">
        <is>
          <t>未上市：不評估可投資性；收支關卡結果只作參考。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現金流</t>
        </is>
      </c>
      <c r="AC26" t="inlineStr">
        <is>
          <t>F06 自由現金流</t>
        </is>
      </c>
      <c r="AD26" t="inlineStr">
        <is>
          <t>2026 -39.4、2027 -116.0、2028 -134.9、2029 -137.6、2030 -131.9</t>
        </is>
      </c>
      <c r="AE26" s="4" t="n">
        <v>-559.844811653528</v>
      </c>
      <c r="AF26" s="4" t="n">
        <v>-137.624622192723</v>
      </c>
      <c r="AG26" t="inlineStr">
        <is>
          <t>[Derived] openai/dist/20261029_OpenAI收支模型_v0_6_4.xlsx Funding!E13…Funding!I13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</row>
    <row r="27">
      <c r="A27" t="inlineStr">
        <is>
          <t>Anthropic</t>
        </is>
      </c>
      <c r="B27" t="inlineStr">
        <is>
          <t>Anthropic</t>
        </is>
      </c>
      <c r="C27">
        <f>價值鏈!A2</f>
        <v/>
      </c>
      <c r="D27" t="inlineStr">
        <is>
          <t>AI 模型商</t>
        </is>
      </c>
      <c r="E27" t="inlineStr">
        <is>
          <t>未上市</t>
        </is>
      </c>
      <c r="N27">
        <f>價格!H27</f>
        <v/>
      </c>
      <c r="S27" t="inlineStr">
        <is>
          <t>未上市</t>
        </is>
      </c>
      <c r="W27" s="1" t="inlineStr">
        <is>
          <t>未上市：不評估可投資性；收支關卡結果只作參考。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現金流</t>
        </is>
      </c>
      <c r="AC27" t="inlineStr">
        <is>
          <t>F07 自由現金流</t>
        </is>
      </c>
      <c r="AD27" t="inlineStr">
        <is>
          <t>2026 -2.6、2027 -18.5、2028 -15.0、2029 47.6、2030 96.1</t>
        </is>
      </c>
      <c r="AE27" s="4" t="n">
        <v>107.6782012460332</v>
      </c>
      <c r="AF27" s="4" t="n">
        <v>-18.5037194506051</v>
      </c>
      <c r="AG27" t="inlineStr">
        <is>
          <t>[Derived] anthropic/dist/20261024_Anthropic收支模型_v0_1_5.xlsx Funding!E14…Funding!I14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278.155357740467</v>
      </c>
      <c r="G28" t="inlineStr">
        <is>
          <t>amd/dist/20261030_AMD模型_v0.2.3.xlsx Val!B40</t>
        </is>
      </c>
      <c r="J28" s="4" t="n">
        <v>120.521244989712</v>
      </c>
      <c r="K28" t="inlineStr">
        <is>
          <t>amd/dist/20261030_AMD模型_v0.2.3.xlsx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-0.461763273785354</v>
      </c>
      <c r="R28">
        <f>P28/N28-1</f>
        <v/>
      </c>
      <c r="S28" s="4" t="inlineStr">
        <is>
          <t>放空</t>
        </is>
      </c>
      <c r="T28">
        <f>471.572606000429/N28-1</f>
        <v/>
      </c>
      <c r="U28" t="inlineStr">
        <is>
          <t>舊法：規則值情境加權價（參考，Val!B57）</t>
        </is>
      </c>
      <c r="V28" t="inlineStr">
        <is>
          <t>45.4 ／ 46.5 ／ 52.3</t>
        </is>
      </c>
      <c r="W28" s="1" t="inlineStr">
        <is>
          <t>DCF 目標價 152.1（Val!B23）；Comparable 目標價 202.1（Val!B41）；市場共識目標價 637.6（Val!B42，外部、僅供對照）；價格帶 C～A 情境 DCF 120.5～168.7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8 個情境年度淨利（不含實績），全部為正</t>
        </is>
      </c>
      <c r="AE28" s="4" t="n">
        <v>150.2972904543469</v>
      </c>
      <c r="AF28" s="4" t="n">
        <v>12.11686349532</v>
      </c>
      <c r="AG28" t="inlineStr">
        <is>
          <t>[Derived] amd/dist/20261030_AMD模型_v0.2.3.xlsx PL!D15…PL!G47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 s="4" t="inlineStr">
        <is>
          <t>−25%～−50%</t>
        </is>
      </c>
      <c r="AK28" s="1" t="inlineStr">
        <is>
          <t>上檔空間 amd/dist/20261030_AMD模型_v0.2.3.xlsx Val!B43；投資建議 amd/dist/20261030_AMD模型_v0.2.3.xlsx Val!B177；級距 amd/dist/20261030_AMD模型_v0.2.3.xlsx Val!B176</t>
        </is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1749.18545840553</v>
      </c>
      <c r="G29" t="inlineStr">
        <is>
          <t>mediatek/dist/20261030_聯發科個股模型_v0.1.3.xlsx Val!B39</t>
        </is>
      </c>
      <c r="J29" s="4" t="n">
        <v>1011.80776357573</v>
      </c>
      <c r="K29" t="inlineStr">
        <is>
          <t>mediatek/dist/20261030_聯發科個股模型_v0.1.3.xlsx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-0.56379415002356</v>
      </c>
      <c r="R29">
        <f>P29/N29-1</f>
        <v/>
      </c>
      <c r="S29" s="4" t="inlineStr">
        <is>
          <t>強力放空</t>
        </is>
      </c>
      <c r="V29" t="inlineStr">
        <is>
          <t>26.9 ／ 33.6 ／ 47.0</t>
        </is>
      </c>
      <c r="W29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3774.280334375853</v>
      </c>
      <c r="AF29" s="4" t="n">
        <v>116.644935348433</v>
      </c>
      <c r="AG29" t="inlineStr">
        <is>
          <t>[Derived] mediatek/dist/20261030_聯發科個股模型_v0.1.3.xlsx PL!D13…PL!J41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 s="4" t="inlineStr">
        <is>
          <t>小於 −50%</t>
        </is>
      </c>
      <c r="AK29" s="1" t="inlineStr">
        <is>
          <t>上檔空間 mediatek/dist/20261030_聯發科個股模型_v0.1.3.xlsx Val!B42；投資建議 mediatek/dist/20261030_聯發科個股模型_v0.1.3.xlsx Val!B135；級距 mediatek/dist/20261030_聯發科個股模型_v0.1.3.xlsx Val!B134</t>
        </is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109.670951970983</v>
      </c>
      <c r="G30" t="inlineStr">
        <is>
          <t>mrvl/dist/20261030_邁威爾個股模型_v0.2.4.xlsx Val!B40</t>
        </is>
      </c>
      <c r="J30" s="4" t="n">
        <v>71.8838596724305</v>
      </c>
      <c r="K30" t="inlineStr">
        <is>
          <t>mrvl/dist/20261030_邁威爾個股模型_v0.2.4.xlsx Val!B47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-0.520060601413581</v>
      </c>
      <c r="R30">
        <f>P30/N30-1</f>
        <v/>
      </c>
      <c r="S30" s="4" t="inlineStr">
        <is>
          <t>強力放空</t>
        </is>
      </c>
      <c r="T30">
        <f>202.512511941354/N30-1</f>
        <v/>
      </c>
      <c r="U30" t="inlineStr">
        <is>
          <t>舊法：規則值情境加權價（參考，Val!B57）</t>
        </is>
      </c>
      <c r="V30" t="inlineStr">
        <is>
          <t>35.5 ／ 35.1 ／ 34.8</t>
        </is>
      </c>
      <c r="W30" s="1" t="inlineStr">
        <is>
          <t>DCF 目標價 115.2（Val!B23）；Comparable 目標價 138.8（Val!B41）；市場共識目標價 341.4（Val!B42，外部、僅供對照）；價格帶 C～A 情境 DCF 71.9～142.6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10 個情境年度淨利（不含實績），全部為正</t>
        </is>
      </c>
      <c r="AE30" s="4" t="n">
        <v>64.19063650443796</v>
      </c>
      <c r="AF30" s="4" t="n">
        <v>3.83971098</v>
      </c>
      <c r="AG30" t="inlineStr">
        <is>
          <t>[Derived] mrvl/dist/20261030_邁威爾個股模型_v0.2.4.xlsx PL!D13…PL!G39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 s="4" t="inlineStr">
        <is>
          <t>小於 −50%</t>
        </is>
      </c>
      <c r="AK30" s="1" t="inlineStr">
        <is>
          <t>上檔空間 mrvl/dist/20261030_邁威爾個股模型_v0.2.4.xlsx Val!B43；投資建議 mrvl/dist/20261030_邁威爾個股模型_v0.2.4.xlsx Val!B151；級距 mrvl/dist/20261030_邁威爾個股模型_v0.2.4.xlsx Val!B150</t>
        </is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t="inlineStr">
        <is>
          <t>加權目標價（DCF 50%＋Comparable 50%）</t>
        </is>
      </c>
      <c r="F31" s="4" t="n">
        <v>6112.99845819747</v>
      </c>
      <c r="G31" t="inlineStr">
        <is>
          <t>alchip/dist/20261030_世芯-KY個股模型_v0.1.3.xlsx Val!B39</t>
        </is>
      </c>
      <c r="J31" s="4" t="n">
        <v>1226.24410533878</v>
      </c>
      <c r="K31" t="inlineStr">
        <is>
          <t>alchip/dist/20261030_世芯-KY個股模型_v0.1.3.xlsx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0.7490696589978471</v>
      </c>
      <c r="R31">
        <f>P31/N31-1</f>
        <v/>
      </c>
      <c r="S31" s="4" t="inlineStr">
        <is>
          <t>強力買進</t>
        </is>
      </c>
      <c r="V31" t="inlineStr">
        <is>
          <t>10.3 ／ 17.8 ／ 33.8</t>
        </is>
      </c>
      <c r="W31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19 個情境年度淨利（不含實績），全部為正</t>
        </is>
      </c>
      <c r="AE31" s="4" t="n">
        <v>389.366413778084</v>
      </c>
      <c r="AF31" s="4" t="n">
        <v>8.17984934367048</v>
      </c>
      <c r="AG31" t="inlineStr">
        <is>
          <t>[Derived] alchip/dist/20261030_世芯-KY個股模型_v0.1.3.xlsx PL!D11…PL!J35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alchip/dist/20261030_世芯-KY個股模型_v0.1.3.xlsx Val!B42；投資建議 alchip/dist/20261030_世芯-KY個股模型_v0.1.3.xlsx Val!B135；級距 alchip/dist/20261030_世芯-KY個股模型_v0.1.3.xlsx Val!B134</t>
        </is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t="inlineStr">
        <is>
          <t>加權目標價（DCF 50%＋Comparable 50%）</t>
        </is>
      </c>
      <c r="F32" s="4" t="n">
        <v>3911.30104629894</v>
      </c>
      <c r="G32" t="inlineStr">
        <is>
          <t>guc/dist/20261030_創意個股模型_v0.1.3.xlsx Val!B39</t>
        </is>
      </c>
      <c r="J32" s="4" t="n">
        <v>662.1199432503749</v>
      </c>
      <c r="K32" t="inlineStr">
        <is>
          <t>guc/dist/20261030_創意個股模型_v0.1.3.xlsx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-0.484337370296779</v>
      </c>
      <c r="R32">
        <f>P32/N32-1</f>
        <v/>
      </c>
      <c r="S32" s="4" t="inlineStr">
        <is>
          <t>放空</t>
        </is>
      </c>
      <c r="V32" t="inlineStr">
        <is>
          <t>38.4 ／ 66.9 ／ 150.3</t>
        </is>
      </c>
      <c r="W32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19 個情境年度淨利（不含實績），全部為正</t>
        </is>
      </c>
      <c r="AE32" s="4" t="n">
        <v>342.4490553861288</v>
      </c>
      <c r="AF32" s="4" t="n">
        <v>6.09163501040108</v>
      </c>
      <c r="AG32" t="inlineStr">
        <is>
          <t>[Derived] guc/dist/20261030_創意個股模型_v0.1.3.xlsx PL!D13…PL!J41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−25%～−50%</t>
        </is>
      </c>
      <c r="AK32" s="1" t="inlineStr">
        <is>
          <t>上檔空間 guc/dist/20261030_創意個股模型_v0.1.3.xlsx Val!B42；投資建議 guc/dist/20261030_創意個股模型_v0.1.3.xlsx Val!B135；級距 guc/dist/20261030_創意個股模型_v0.1.3.xlsx Val!B134</t>
        </is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t="inlineStr">
        <is>
          <t>加權目標價（DCF 50%＋Comparable 50%）</t>
        </is>
      </c>
      <c r="F33" s="4" t="n">
        <v>22465.1722139785</v>
      </c>
      <c r="G33" t="inlineStr">
        <is>
          <t>kioxia/dist/20261030_Kioxia個股模型_v0.2.1.xlsx Val!B49</t>
        </is>
      </c>
      <c r="J33" s="4" t="n">
        <v>8833.830738950141</v>
      </c>
      <c r="K33" t="inlineStr">
        <is>
          <t>kioxia/dist/20261030_Kioxia個股模型_v0.2.1.xlsx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0.761283591844647</v>
      </c>
      <c r="R33">
        <f>P33/N33-1</f>
        <v/>
      </c>
      <c r="S33" s="4" t="inlineStr">
        <is>
          <t>強力買進</t>
        </is>
      </c>
      <c r="T33">
        <f>13291.9681066088/N33-1</f>
        <v/>
      </c>
      <c r="U33" t="inlineStr">
        <is>
          <t>舊法：規則值情境加權價（參考，Val!B155）</t>
        </is>
      </c>
      <c r="V33" t="inlineStr">
        <is>
          <t>2.2 ／ 8.8 ／ 21.3</t>
        </is>
      </c>
      <c r="W33" s="1" t="inlineStr">
        <is>
          <t>DCF 目標價 24,568.6（Val!B24）；Comparable 目標價 20,361.8（Val!B50）；市場共識目標價 36,929.2（Val!B51，外部、僅供對照）；價格帶 C～A 情境 DCF 8,833.8～46,431.3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22 個情境年度淨利（不含實績），全部為正</t>
        </is>
      </c>
      <c r="AE33" s="4" t="n">
        <v>76831.5922583466</v>
      </c>
      <c r="AF33" s="4" t="n">
        <v>888.696562503859</v>
      </c>
      <c r="AG33" t="inlineStr">
        <is>
          <t>[Derived] kioxia/dist/20261030_Kioxia個股模型_v0.2.1.xlsx PL!D13…PL!G167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 s="4" t="inlineStr">
        <is>
          <t>大於 50%</t>
        </is>
      </c>
      <c r="AK33" s="1" t="inlineStr">
        <is>
          <t>上檔空間 kioxia/dist/20261030_Kioxia個股模型_v0.2.1.xlsx Val!B52；投資建議 kioxia/dist/20261030_Kioxia個股模型_v0.2.1.xlsx Val!B55；級距 kioxia/dist/20261030_Kioxia個股模型_v0.2.1.xlsx Val!B54</t>
        </is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t="inlineStr">
        <is>
          <t>加權目標價（DCF 50%＋Comparable 50%）</t>
        </is>
      </c>
      <c r="F34" s="4" t="n">
        <v>954.642410125009</v>
      </c>
      <c r="G34" t="inlineStr">
        <is>
          <t>sndk/dist/20261030_SanDisk個股模型_v0.2.1.xlsx Val!B49</t>
        </is>
      </c>
      <c r="J34" s="4" t="n">
        <v>493.729904251831</v>
      </c>
      <c r="K34" t="inlineStr">
        <is>
          <t>sndk/dist/20261030_SanDisk個股模型_v0.2.1.xlsx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-0.228902037814101</v>
      </c>
      <c r="R34">
        <f>P34/N34-1</f>
        <v/>
      </c>
      <c r="S34" s="4" t="inlineStr">
        <is>
          <t>中立</t>
        </is>
      </c>
      <c r="T34">
        <f>456.06461830986/N34-1</f>
        <v/>
      </c>
      <c r="U34" t="inlineStr">
        <is>
          <t>舊法：規則值情境加權價（參考，Val!B155）</t>
        </is>
      </c>
      <c r="V34" t="inlineStr">
        <is>
          <t>3.6 ／ 5.6 ／ 6.3</t>
        </is>
      </c>
      <c r="W34" s="1" t="inlineStr">
        <is>
          <t>DCF 目標價 1,142.4（Val!B24）；Comparable 目標價 766.9（Val!B50）；市場共識目標價 2,144.0（Val!B51，外部、僅供對照）；價格帶 C～A 情境 DCF 493.7～2,279.7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12 個情境年度淨利（不含實績），全部為正</t>
        </is>
      </c>
      <c r="AE34" s="4" t="n">
        <v>288.0673061089713</v>
      </c>
      <c r="AF34" s="4" t="n">
        <v>3.615</v>
      </c>
      <c r="AG34" t="inlineStr">
        <is>
          <t>[Derived] sndk/dist/20261030_SanDisk個股模型_v0.2.1.xlsx PL!E13…PL!G73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 s="4" t="inlineStr">
        <is>
          <t>0%～−25%</t>
        </is>
      </c>
      <c r="AK34" s="1" t="inlineStr">
        <is>
          <t>上檔空間 sndk/dist/20261030_SanDisk個股模型_v0.2.1.xlsx Val!B52；投資建議 sndk/dist/20261030_SanDisk個股模型_v0.2.1.xlsx Val!B55；級距 sndk/dist/20261030_SanDisk個股模型_v0.2.1.xlsx Val!B54</t>
        </is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357.820861878474</v>
      </c>
      <c r="G35" t="inlineStr">
        <is>
          <t>cohr/dist/20261030_Coherent個股模型_v0.2.4.xlsx Val!B39</t>
        </is>
      </c>
      <c r="J35" s="4" t="n">
        <v>126.00352198982</v>
      </c>
      <c r="K35" t="inlineStr">
        <is>
          <t>cohr/dist/20261030_Coherent個股模型_v0.2.4.xlsx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0.7106700859514929</v>
      </c>
      <c r="R35">
        <f>P35/N35-1</f>
        <v/>
      </c>
      <c r="S35" s="4" t="inlineStr">
        <is>
          <t>強力買進</t>
        </is>
      </c>
      <c r="T35">
        <f>319.571046584482/N35-1</f>
        <v/>
      </c>
      <c r="U35" t="inlineStr">
        <is>
          <t>舊法：規則值情境加權價（參考，Val!B53）</t>
        </is>
      </c>
      <c r="V35" t="inlineStr">
        <is>
          <t>14.4 ／ 15.5 ／ 17.0</t>
        </is>
      </c>
      <c r="W35" s="1" t="inlineStr">
        <is>
          <t>DCF 目標價 207.0（Val!B24）；Comparable 目標價 438.0（Val!B40）；市場共識目標價 394.8（Val!B41，外部、僅供對照）；價格帶 C～A 情境 DCF 126.0～275.4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18 個情境年度淨利（不含實績），全部為正</t>
        </is>
      </c>
      <c r="AE35" s="4" t="n">
        <v>55.73323142808181</v>
      </c>
      <c r="AF35" s="4" t="n">
        <v>2.06947608283373</v>
      </c>
      <c r="AG35" t="inlineStr">
        <is>
          <t>[Derived] cohr/dist/20261030_Coherent個股模型_v0.2.4.xlsx PL!E13…PL!J39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 s="4" t="inlineStr">
        <is>
          <t>大於 50%</t>
        </is>
      </c>
      <c r="AK35" s="1" t="inlineStr">
        <is>
          <t>上檔空間 cohr/dist/20261030_Coherent個股模型_v0.2.4.xlsx Val!B42；投資建議 cohr/dist/20261030_Coherent個股模型_v0.2.4.xlsx Val!B50；級距 cohr/dist/20261030_Coherent個股模型_v0.2.4.xlsx Val!B49</t>
        </is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546.450911722919</v>
      </c>
      <c r="G36" t="inlineStr">
        <is>
          <t>lite/dist/20261030_Lumentum個股模型_v0.3.1.xlsx Val!B39</t>
        </is>
      </c>
      <c r="J36" s="4" t="n">
        <v>211.148558750336</v>
      </c>
      <c r="K36" t="inlineStr">
        <is>
          <t>lite/dist/20261030_Lumentum個股模型_v0.3.1.xlsx Val!D23</t>
        </is>
      </c>
      <c r="N36">
        <f>價格!H36</f>
        <v/>
      </c>
      <c r="O36">
        <f>MIN(F36,H36)</f>
        <v/>
      </c>
      <c r="P36">
        <f>MIN(J36,L36)</f>
        <v/>
      </c>
      <c r="Q36" s="4" t="n">
        <v>-0.27734383574736</v>
      </c>
      <c r="R36">
        <f>P36/N36-1</f>
        <v/>
      </c>
      <c r="S36" s="4" t="inlineStr">
        <is>
          <t>放空</t>
        </is>
      </c>
      <c r="T36">
        <f>410.587041312467/N36-1</f>
        <v/>
      </c>
      <c r="U36" t="inlineStr">
        <is>
          <t>舊法：規則值情境加權價（參考，Val!B53）</t>
        </is>
      </c>
      <c r="V36" t="inlineStr">
        <is>
          <t>23.1 ／ 26.6 ／ 30.2</t>
        </is>
      </c>
      <c r="W36" s="1" t="inlineStr">
        <is>
          <t>DCF 目標價 387.1（Val!B24）；Comparable 目標價 859.7（Val!B40）；市場共識目標價 1,165.0（Val!B41，外部、僅供對照）；價格帶 C～A 情境 DCF 211.1～549.9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18 個情境年度淨利（不含實績），全部為正</t>
        </is>
      </c>
      <c r="AE36" s="4" t="n">
        <v>54.05090141367878</v>
      </c>
      <c r="AF36" s="4" t="n">
        <v>1.65482793612448</v>
      </c>
      <c r="AG36" t="inlineStr">
        <is>
          <t>[Derived] lite/dist/20261030_Lumentum個股模型_v0.3.1.xlsx PL!E13…PL!J39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 s="4" t="inlineStr">
        <is>
          <t>−25%～−50%</t>
        </is>
      </c>
      <c r="AK36" s="1" t="inlineStr">
        <is>
          <t>上檔空間 lite/dist/20261030_Lumentum個股模型_v0.3.1.xlsx Val!B42；投資建議 lite/dist/20261030_Lumentum個股模型_v0.3.1.xlsx Val!B50；級距 lite/dist/20261030_Lumentum個股模型_v0.3.1.xlsx Val!B49</t>
        </is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705.6347032810399</v>
      </c>
      <c r="G37" t="inlineStr">
        <is>
          <t>eoptolink/dist/20261028_新易盛個股模型_v0.2.3.xlsx Val!B39</t>
        </is>
      </c>
      <c r="J37" s="4" t="n">
        <v>306.597966415317</v>
      </c>
      <c r="K37" t="inlineStr">
        <is>
          <t>eoptolink/dist/20261028_新易盛個股模型_v0.2.3.xlsx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1.70358123862468</v>
      </c>
      <c r="R37">
        <f>P37/N37-1</f>
        <v/>
      </c>
      <c r="S37" s="4" t="inlineStr">
        <is>
          <t>強力買進</t>
        </is>
      </c>
      <c r="T37">
        <f>1145.94570088063/N37-1</f>
        <v/>
      </c>
      <c r="U37" t="inlineStr">
        <is>
          <t>舊法：規則值情境加權價（參考，Val!B53）</t>
        </is>
      </c>
      <c r="V37" t="inlineStr">
        <is>
          <t>9.3 ／ 11.4 ／ 15.4</t>
        </is>
      </c>
      <c r="W37" s="1" t="inlineStr">
        <is>
          <t>DCF 目標價 510.2（Val!B24）；Comparable 目標價 1,069.0（Val!B40）；市場共識目標價 460.9（Val!B41，外部、僅供對照）；價格帶 C～A 情境 DCF 306.6～634.8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19 個情境年度淨利（不含實績），全部為正</t>
        </is>
      </c>
      <c r="AE37" s="4" t="n">
        <v>785.4126827575913</v>
      </c>
      <c r="AF37" s="4" t="n">
        <v>20.0605180178692</v>
      </c>
      <c r="AG37" t="inlineStr">
        <is>
          <t>[Derived] eoptolink/dist/20261028_新易盛個股模型_v0.2.3.xlsx PL!D12…PL!J36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 s="4" t="inlineStr">
        <is>
          <t>大於 50%</t>
        </is>
      </c>
      <c r="AK37" s="1" t="inlineStr">
        <is>
          <t>上檔空間 eoptolink/dist/20261028_新易盛個股模型_v0.2.3.xlsx Val!B42；投資建議 eoptolink/dist/20261028_新易盛個股模型_v0.2.3.xlsx Val!B50；級距 eoptolink/dist/20261028_新易盛個股模型_v0.2.3.xlsx Val!B49</t>
        </is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2772.28652343754</v>
      </c>
      <c r="G38" t="inlineStr">
        <is>
          <t>accton/dist/20261030_智邦個股模型_v0.3.1.xlsx Val!B39</t>
        </is>
      </c>
      <c r="J38" s="4" t="n">
        <v>1519.31098875966</v>
      </c>
      <c r="K38" t="inlineStr">
        <is>
          <t>accton/dist/20261030_智邦個股模型_v0.3.1.xlsx Val!B46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0.56185156250002</v>
      </c>
      <c r="R38">
        <f>P38/N38-1</f>
        <v/>
      </c>
      <c r="S38" s="4" t="inlineStr">
        <is>
          <t>強力買進</t>
        </is>
      </c>
      <c r="T38">
        <f>3452.51414467191/N38-1</f>
        <v/>
      </c>
      <c r="U38" t="inlineStr">
        <is>
          <t>舊法：規則值情境加權價（參考，Val!B56）</t>
        </is>
      </c>
      <c r="V38" t="inlineStr">
        <is>
          <t>10.5 ／ 13.3 ／ 18.5</t>
        </is>
      </c>
      <c r="W38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8 個情境年度淨利（不含實績），全部為正</t>
        </is>
      </c>
      <c r="AE38" s="4" t="n">
        <v>624.9476316168748</v>
      </c>
      <c r="AF38" s="4" t="n">
        <v>47.8258552</v>
      </c>
      <c r="AG38" t="inlineStr">
        <is>
          <t>[Derived] accton/dist/20261030_智邦個股模型_v0.3.1.xlsx PL!D13…PL!G39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 s="4" t="inlineStr">
        <is>
          <t>大於 50%</t>
        </is>
      </c>
      <c r="AK38" s="1" t="inlineStr">
        <is>
          <t>上檔空間 accton/dist/20261030_智邦個股模型_v0.3.1.xlsx Val!B42；投資建議 accton/dist/20261030_智邦個股模型_v0.3.1.xlsx Val!B52；級距 accton/dist/20261030_智邦個股模型_v0.3.1.xlsx Val!B51</t>
        </is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493.078329761663</v>
      </c>
      <c r="G39" t="inlineStr">
        <is>
          <t>fabrinet/dist/20261030_Fabrinet個股模型_v0.1.4.xlsx Val!B39</t>
        </is>
      </c>
      <c r="J39" s="4" t="n">
        <v>163.840959069597</v>
      </c>
      <c r="K39" t="inlineStr">
        <is>
          <t>fabrinet/dist/20261030_Fabrinet個股模型_v0.1.4.xlsx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0.56562624551236</v>
      </c>
      <c r="R39">
        <f>P39/N39-1</f>
        <v/>
      </c>
      <c r="S39" s="4" t="inlineStr">
        <is>
          <t>強力買進</t>
        </is>
      </c>
      <c r="T39">
        <f>408.001544364806/N39-1</f>
        <v/>
      </c>
      <c r="U39" t="inlineStr">
        <is>
          <t>舊法：規則值情境加權價（參考，Val!B53）</t>
        </is>
      </c>
      <c r="V39" t="inlineStr">
        <is>
          <t>11.3 ／ 14.3 ／ 18.0</t>
        </is>
      </c>
      <c r="W39" s="1" t="inlineStr">
        <is>
          <t>DCF 目標價 349.8（Val!B24）；Comparable 目標價 396.5（Val!B40）；市場共識目標價 687.8（Val!B41，外部、僅供對照）；價格帶 C～A 情境 DCF 163.8～564.3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18 個情境年度淨利（不含實績），全部為正</t>
        </is>
      </c>
      <c r="AE39" s="4" t="n">
        <v>16.45838145404598</v>
      </c>
      <c r="AF39" s="4" t="n">
        <v>0.449392515917191</v>
      </c>
      <c r="AG39" t="inlineStr">
        <is>
          <t>[Derived] fabrinet/dist/20261030_Fabrinet個股模型_v0.1.4.xlsx PL!E15…PL!J45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 s="4" t="inlineStr">
        <is>
          <t>大於 50%</t>
        </is>
      </c>
      <c r="AK39" s="1" t="inlineStr">
        <is>
          <t>上檔空間 fabrinet/dist/20261030_Fabrinet個股模型_v0.1.4.xlsx Val!B42；投資建議 fabrinet/dist/20261030_Fabrinet個股模型_v0.1.4.xlsx Val!B50；級距 fabrinet/dist/20261030_Fabrinet個股模型_v0.1.4.xlsx Val!B49</t>
        </is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t="inlineStr">
        <is>
          <t>加權目標價（DCF 50%＋Comparable 50%）</t>
        </is>
      </c>
      <c r="F40" s="4" t="n">
        <v>194.503855731343</v>
      </c>
      <c r="G40" t="inlineStr">
        <is>
          <t>crdo/dist/20261030_Credo個股模型_v0.2.4.xlsx Val!B39</t>
        </is>
      </c>
      <c r="J40" s="4" t="n">
        <v>53.662353127775</v>
      </c>
      <c r="K40" t="inlineStr">
        <is>
          <t>crdo/dist/20261030_Credo個股模型_v0.2.4.xlsx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0.320550313879711</v>
      </c>
      <c r="R40">
        <f>P40/N40-1</f>
        <v/>
      </c>
      <c r="S40" s="4" t="inlineStr">
        <is>
          <t>買進</t>
        </is>
      </c>
      <c r="T40">
        <f>619.6489358636/N40-1</f>
        <v/>
      </c>
      <c r="U40" t="inlineStr">
        <is>
          <t>舊法：規則值情境加權價（參考，Val!B53）</t>
        </is>
      </c>
      <c r="V40" t="inlineStr">
        <is>
          <t>16.2 ／ 17.3 ／ 18.8</t>
        </is>
      </c>
      <c r="W40" s="1" t="inlineStr">
        <is>
          <t>DCF 目標價 100.2（Val!B24）；Comparable 目標價 288.8（Val!B40）；市場共識目標價 279.1（Val!B41，外部、僅供對照）；價格帶 C～A 情境 DCF 53.7～139.2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16 個情境年度淨利（不含實績），全部為正</t>
        </is>
      </c>
      <c r="AE40" s="4" t="n">
        <v>26.00564440421192</v>
      </c>
      <c r="AF40" s="4" t="n">
        <v>0.801215260866878</v>
      </c>
      <c r="AG40" t="inlineStr">
        <is>
          <t>[Derived] crdo/dist/20261030_Credo個股模型_v0.2.4.xlsx PL!E13…PL!J39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 s="4" t="inlineStr">
        <is>
          <t>25%–50%</t>
        </is>
      </c>
      <c r="AK40" s="1" t="inlineStr">
        <is>
          <t>上檔空間 crdo/dist/20261030_Credo個股模型_v0.2.4.xlsx Val!B42；投資建議 crdo/dist/20261030_Credo個股模型_v0.2.4.xlsx Val!B130；級距 crdo/dist/20261030_Credo個股模型_v0.2.4.xlsx Val!B129</t>
        </is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t="inlineStr">
        <is>
          <t>加權目標價（DCF 50%＋Comparable 50%）</t>
        </is>
      </c>
      <c r="F41" s="4" t="n">
        <v>132.485292978441</v>
      </c>
      <c r="G41" t="inlineStr">
        <is>
          <t>alab/dist/20261030_Astera Labs個股模型_v0.1.3.xlsx Val!B39</t>
        </is>
      </c>
      <c r="J41" s="4" t="n">
        <v>52.3189901504964</v>
      </c>
      <c r="K41" t="inlineStr">
        <is>
          <t>alab/dist/20261030_Astera Labs個股模型_v0.1.3.xlsx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-0.484813761944156</v>
      </c>
      <c r="R41">
        <f>P41/N41-1</f>
        <v/>
      </c>
      <c r="S41" s="4" t="inlineStr">
        <is>
          <t>放空</t>
        </is>
      </c>
      <c r="T41">
        <f>616.322122932452/N41-1</f>
        <v/>
      </c>
      <c r="U41" t="inlineStr">
        <is>
          <t>舊法：規則值情境加權價（參考，Val!B53）</t>
        </is>
      </c>
      <c r="V41" t="inlineStr">
        <is>
          <t>31.7 ／ 42.0 ／ 71.5</t>
        </is>
      </c>
      <c r="W41" s="1" t="inlineStr">
        <is>
          <t>DCF 目標價 105.3（Val!B24）；Comparable 目標價 159.6（Val!B40）；市場共識目標價 388.4（Val!B41，外部、僅供對照）；價格帶 C～A 情境 DCF 52.3～138.7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17 個情境年度淨利（不含實績），全部為正</t>
        </is>
      </c>
      <c r="AE41" s="4" t="n">
        <v>22.82233008952841</v>
      </c>
      <c r="AF41" s="4" t="n">
        <v>0.6816759684871539</v>
      </c>
      <c r="AG41" t="inlineStr">
        <is>
          <t>[Derived] alab/dist/20261030_Astera Labs個股模型_v0.1.3.xlsx PL!D12…PL!J36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 s="4" t="inlineStr">
        <is>
          <t>−25%～−50%</t>
        </is>
      </c>
      <c r="AK41" s="1" t="inlineStr">
        <is>
          <t>上檔空間 alab/dist/20261030_Astera Labs個股模型_v0.1.3.xlsx Val!B42；投資建議 alab/dist/20261030_Astera Labs個股模型_v0.1.3.xlsx Val!B130；級距 alab/dist/20261030_Astera Labs個股模型_v0.1.3.xlsx Val!B129</t>
        </is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t="inlineStr">
        <is>
          <t>加權目標價（DCF 50%＋Comparable 50%）</t>
        </is>
      </c>
      <c r="F42" s="4" t="n">
        <v>170.7624894609</v>
      </c>
      <c r="G42" t="inlineStr">
        <is>
          <t>kyec/dist/20261030_京元電個股模型_v0.2.3.xlsx Val!B39</t>
        </is>
      </c>
      <c r="J42" s="4" t="n">
        <v>85.7331075295227</v>
      </c>
      <c r="K42" t="inlineStr">
        <is>
          <t>kyec/dist/20261030_京元電個股模型_v0.2.3.xlsx Val!D23</t>
        </is>
      </c>
      <c r="N42">
        <f>價格!H42</f>
        <v/>
      </c>
      <c r="O42">
        <f>MIN(F42,H42)</f>
        <v/>
      </c>
      <c r="P42">
        <f>MIN(J42,L42)</f>
        <v/>
      </c>
      <c r="Q42" s="4" t="n">
        <v>-0.349476230625143</v>
      </c>
      <c r="R42">
        <f>P42/N42-1</f>
        <v/>
      </c>
      <c r="S42" s="4" t="inlineStr">
        <is>
          <t>放空</t>
        </is>
      </c>
      <c r="V42" t="inlineStr">
        <is>
          <t>23.7 ／ 29.1 ／ 42.5</t>
        </is>
      </c>
      <c r="W42" s="1" t="inlineStr">
        <is>
          <t>DCF 目標價 138.6（Val!B24）；Comparable 目標價 208.1（Val!B40）；市場共識目標價 340.7（Val!B41，外部、僅供對照）；價格帶 C～A 情境 DCF 85.7～170.6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17 個情境年度淨利（不含實績），全部為正</t>
        </is>
      </c>
      <c r="AE42" s="4" t="n">
        <v>223.5721078945607</v>
      </c>
      <c r="AF42" s="4" t="n">
        <v>7.91566635032308</v>
      </c>
      <c r="AG42" t="inlineStr">
        <is>
          <t>[Derived] kyec/dist/20261030_京元電個股模型_v0.2.3.xlsx PL!D14…PL!J42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 s="4" t="inlineStr">
        <is>
          <t>−25%～−50%</t>
        </is>
      </c>
      <c r="AK42" s="1" t="inlineStr">
        <is>
          <t>上檔空間 kyec/dist/20261030_京元電個股模型_v0.2.3.xlsx Val!B42；投資建議 kyec/dist/20261030_京元電個股模型_v0.2.3.xlsx Val!B50；級距 kyec/dist/20261030_京元電個股模型_v0.2.3.xlsx Val!B49</t>
        </is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t="inlineStr">
        <is>
          <t>加權目標價（DCF 50%＋Comparable 50%）</t>
        </is>
      </c>
      <c r="F43" s="4" t="n">
        <v>66.3976000656303</v>
      </c>
      <c r="G43" t="inlineStr">
        <is>
          <t>amkr/dist/20261030_艾克爾個股模型_v0.2.3.xlsx Val!B39</t>
        </is>
      </c>
      <c r="J43" s="4" t="n">
        <v>22.0213163292156</v>
      </c>
      <c r="K43" t="inlineStr">
        <is>
          <t>amkr/dist/20261030_艾克爾個股模型_v0.2.3.xlsx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0.6895063629931379</v>
      </c>
      <c r="R43">
        <f>P43/N43-1</f>
        <v/>
      </c>
      <c r="S43" s="4" t="inlineStr">
        <is>
          <t>強力買進</t>
        </is>
      </c>
      <c r="V43" t="inlineStr">
        <is>
          <t>9.8 ／ 12.1 ／ 17.0</t>
        </is>
      </c>
      <c r="W43" s="1" t="inlineStr">
        <is>
          <t>DCF 目標價 36.0（Val!B24）；Comparable 目標價 75.3（Val!B40）；市場共識目標價 76.4（Val!B41，外部、僅供對照）；價格帶 C～A 情境 DCF 22.0～48.9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19 個情境年度淨利（不含實績），全部為正</t>
        </is>
      </c>
      <c r="AE43" s="4" t="n">
        <v>17601.2910409353</v>
      </c>
      <c r="AF43" s="4" t="n">
        <v>579.138472970483</v>
      </c>
      <c r="AG43" t="inlineStr">
        <is>
          <t>[Derived] amkr/dist/20261030_艾克爾個股模型_v0.2.3.xlsx PL!D14…PL!J44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 s="4" t="inlineStr">
        <is>
          <t>大於 50%</t>
        </is>
      </c>
      <c r="AK43" s="1" t="inlineStr">
        <is>
          <t>上檔空間 amkr/dist/20261030_艾克爾個股模型_v0.2.3.xlsx Val!B42；投資建議 amkr/dist/20261030_艾克爾個股模型_v0.2.3.xlsx Val!B50；級距 amkr/dist/20261030_艾克爾個股模型_v0.2.3.xlsx Val!B49</t>
        </is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5237.14022971224</v>
      </c>
      <c r="G44" t="inlineStr">
        <is>
          <t>emc/dist/20261030_台光電個股模型_v0.3.1.xlsx Val!B118</t>
        </is>
      </c>
      <c r="J44" s="4" t="n">
        <v>2690.62334592879</v>
      </c>
      <c r="K44" t="inlineStr">
        <is>
          <t>emc/dist/20261030_台光電個股模型_v0.3.1.xlsx Val!D104</t>
        </is>
      </c>
      <c r="N44">
        <f>價格!H44</f>
        <v/>
      </c>
      <c r="O44">
        <f>MIN(F44,H44)</f>
        <v/>
      </c>
      <c r="P44">
        <f>MIN(J44,L44)</f>
        <v/>
      </c>
      <c r="Q44" s="4" t="n">
        <v>0.032966514736142</v>
      </c>
      <c r="R44">
        <f>P44/N44-1</f>
        <v/>
      </c>
      <c r="S44" s="4" t="inlineStr">
        <is>
          <t>中立</t>
        </is>
      </c>
      <c r="T44">
        <f>2904.876796827/N44-1</f>
        <v/>
      </c>
      <c r="U44" t="inlineStr">
        <is>
          <t>舊法：規則值情境加權價（參考，Val!B36）</t>
        </is>
      </c>
      <c r="V44" t="inlineStr">
        <is>
          <t>16.9 ／ 19.2 ／ 24.4</t>
        </is>
      </c>
      <c r="W44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8 個情境年度淨利（不含實績），全部為正</t>
        </is>
      </c>
      <c r="AE44" s="4" t="n">
        <v>691.4638836018763</v>
      </c>
      <c r="AF44" s="4" t="n">
        <v>42.891099295</v>
      </c>
      <c r="AG44" t="inlineStr">
        <is>
          <t>[Derived] emc/dist/20261030_台光電個股模型_v0.3.1.xlsx PL!D12…PL!G36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 s="4" t="inlineStr">
        <is>
          <t>0%–25%</t>
        </is>
      </c>
      <c r="AK44" s="1" t="inlineStr">
        <is>
          <t>上檔空間 emc/dist/20261030_台光電個股模型_v0.3.1.xlsx Val!B121；投資建議 emc/dist/20261030_台光電個股模型_v0.3.1.xlsx Val!B132；級距 emc/dist/20261030_台光電個股模型_v0.3.1.xlsx Val!B131</t>
        </is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664.296882625485</v>
      </c>
      <c r="G45" t="inlineStr">
        <is>
          <t>unimicron/dist/20261030_欣興個股模型_v0.2.1.xlsx Val!B39</t>
        </is>
      </c>
      <c r="J45" s="4" t="n">
        <v>218.045818267173</v>
      </c>
      <c r="K45" t="inlineStr">
        <is>
          <t>unimicron/dist/20261030_欣興個股模型_v0.2.1.xlsx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-0.387744808640106</v>
      </c>
      <c r="R45">
        <f>P45/N45-1</f>
        <v/>
      </c>
      <c r="S45" s="4" t="inlineStr">
        <is>
          <t>放空</t>
        </is>
      </c>
      <c r="V45" t="inlineStr">
        <is>
          <t>35.8 ／ 46.9 ／ 67.9</t>
        </is>
      </c>
      <c r="W45" s="1" t="inlineStr">
        <is>
          <t>DCF 目標價 386.1（Val!B24）；Comparable 目標價 1,062.2（Val!B40）；市場共識目標價 1,317.4（Val!B41，外部、僅供對照）；價格帶 C～A 情境 DCF 218.0～502.5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17 個情境年度淨利（不含實績），全部為正</t>
        </is>
      </c>
      <c r="AE45" s="4" t="n">
        <v>742.8408312462974</v>
      </c>
      <c r="AF45" s="4" t="n">
        <v>26.2249677304969</v>
      </c>
      <c r="AG45" t="inlineStr">
        <is>
          <t>[Derived] unimicron/dist/20261030_欣興個股模型_v0.2.1.xlsx PL!D13…PL!J41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 s="4" t="inlineStr">
        <is>
          <t>−25%～−50%</t>
        </is>
      </c>
      <c r="AK45" s="1" t="inlineStr">
        <is>
          <t>上檔空間 unimicron/dist/20261030_欣興個股模型_v0.2.1.xlsx Val!B42；投資建議 unimicron/dist/20261030_欣興個股模型_v0.2.1.xlsx Val!B134；級距 unimicron/dist/20261030_欣興個股模型_v0.2.1.xlsx Val!B133</t>
        </is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1346.87795869805</v>
      </c>
      <c r="G46" t="inlineStr">
        <is>
          <t>nanya_pcb/dist/20261030_南電個股模型_v0.2.1.xlsx Val!B39</t>
        </is>
      </c>
      <c r="J46" s="4" t="n">
        <v>261.203089981269</v>
      </c>
      <c r="K46" t="inlineStr">
        <is>
          <t>nanya_pcb/dist/20261030_南電個股模型_v0.2.1.xlsx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0.064725659049842</v>
      </c>
      <c r="R46">
        <f>P46/N46-1</f>
        <v/>
      </c>
      <c r="S46" s="4" t="inlineStr">
        <is>
          <t>中立</t>
        </is>
      </c>
      <c r="V46" t="inlineStr">
        <is>
          <t>35.2 ／ 41.4 ／ 54.4</t>
        </is>
      </c>
      <c r="W46" s="1" t="inlineStr">
        <is>
          <t>DCF 目標價 464.3（Val!B24）；Comparable 目標價 1,345.6（Val!B40）；市場共識目標價 1,651.3（Val!B41，外部、僅供對照）；價格帶 C～A 情境 DCF 261.2～618.6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19 個情境年度淨利（不含實績），全部為正</t>
        </is>
      </c>
      <c r="AE46" s="4" t="n">
        <v>382.1897642771631</v>
      </c>
      <c r="AF46" s="4" t="n">
        <v>11.509862075</v>
      </c>
      <c r="AG46" t="inlineStr">
        <is>
          <t>[Derived] nanya_pcb/dist/20261030_南電個股模型_v0.2.1.xlsx PL!D13…PL!J41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 s="4" t="inlineStr">
        <is>
          <t>0%–25%</t>
        </is>
      </c>
      <c r="AK46" s="1" t="inlineStr">
        <is>
          <t>上檔空間 nanya_pcb/dist/20261030_南電個股模型_v0.2.1.xlsx Val!B42；投資建議 nanya_pcb/dist/20261030_南電個股模型_v0.2.1.xlsx Val!B134；級距 nanya_pcb/dist/20261030_南電個股模型_v0.2.1.xlsx Val!B133</t>
        </is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t="inlineStr">
        <is>
          <t>加權目標價（DCF 50%＋Comparable 50%）</t>
        </is>
      </c>
      <c r="F47" s="4" t="n">
        <v>1724.01557874675</v>
      </c>
      <c r="G47" t="inlineStr">
        <is>
          <t>gce/dist/20261030_金像電個股模型_v0.2.1.xlsx Val!B40</t>
        </is>
      </c>
      <c r="J47" s="4" t="n">
        <v>559.015397539127</v>
      </c>
      <c r="K47" t="inlineStr">
        <is>
          <t>gce/dist/20261030_金像電個股模型_v0.2.1.xlsx Val!D23</t>
        </is>
      </c>
      <c r="N47">
        <f>價格!H47</f>
        <v/>
      </c>
      <c r="O47">
        <f>MIN(F47,H47)</f>
        <v/>
      </c>
      <c r="P47">
        <f>MIN(J47,L47)</f>
        <v/>
      </c>
      <c r="Q47" s="4" t="n">
        <v>0.546202312777358</v>
      </c>
      <c r="R47">
        <f>P47/N47-1</f>
        <v/>
      </c>
      <c r="S47" s="4" t="inlineStr">
        <is>
          <t>強力買進</t>
        </is>
      </c>
      <c r="V47" t="inlineStr">
        <is>
          <t>12.4 ／ 14.6 ／ 24.6</t>
        </is>
      </c>
      <c r="W47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19 個情境年度淨利（不含實績），全部為正</t>
        </is>
      </c>
      <c r="AE47" s="4" t="n">
        <v>777.5639942335223</v>
      </c>
      <c r="AF47" s="4" t="n">
        <v>19.6977289395284</v>
      </c>
      <c r="AG47" t="inlineStr">
        <is>
          <t>[Derived] gce/dist/20261030_金像電個股模型_v0.2.1.xlsx PL!D12…PL!J38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 s="4" t="inlineStr">
        <is>
          <t>大於 50%</t>
        </is>
      </c>
      <c r="AK47" s="1" t="inlineStr">
        <is>
          <t>上檔空間 gce/dist/20261030_金像電個股模型_v0.2.1.xlsx Val!B43；投資建議 gce/dist/20261030_金像電個股模型_v0.2.1.xlsx Val!B119；級距 gce/dist/20261030_金像電個股模型_v0.2.1.xlsx Val!B118</t>
        </is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t="inlineStr">
        <is>
          <t>加權目標價（DCF 50%＋Comparable 50%）</t>
        </is>
      </c>
      <c r="F48" s="4" t="n">
        <v>303.23769506379</v>
      </c>
      <c r="G48" t="inlineStr">
        <is>
          <t>victory_giant/dist/20261030_勝宏科技個股模型_v0.1.3.xlsx Val!B39</t>
        </is>
      </c>
      <c r="J48" s="4" t="n">
        <v>98.54908044337679</v>
      </c>
      <c r="K48" t="inlineStr">
        <is>
          <t>victory_giant/dist/20261030_勝宏科技個股模型_v0.1.3.xlsx Val!D23</t>
        </is>
      </c>
      <c r="N48">
        <f>價格!H48</f>
        <v/>
      </c>
      <c r="O48">
        <f>MIN(F48,H48)</f>
        <v/>
      </c>
      <c r="P48">
        <f>MIN(J48,L48)</f>
        <v/>
      </c>
      <c r="Q48" s="4" t="n">
        <v>0.652701629953071</v>
      </c>
      <c r="R48">
        <f>P48/N48-1</f>
        <v/>
      </c>
      <c r="S48" s="4" t="inlineStr">
        <is>
          <t>強力買進</t>
        </is>
      </c>
      <c r="V48" t="inlineStr">
        <is>
          <t>10.3 ／ 12.7 ／ 16.9</t>
        </is>
      </c>
      <c r="W48" s="1" t="inlineStr">
        <is>
          <t>DCF 目標價 202.7（Val!B24）；Comparable 目標價 443.0（Val!B40）；市場共識目標價 388.3（Val!B41，外部、僅供對照）；價格帶 C～A 情境 DCF 98.5～287.4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17 個情境年度淨利（不含實績），全部為正</t>
        </is>
      </c>
      <c r="AE48" s="4" t="n">
        <v>253.1375330231432</v>
      </c>
      <c r="AF48" s="4" t="n">
        <v>6.5441924845173</v>
      </c>
      <c r="AG48" t="inlineStr">
        <is>
          <t>[Derived] victory_giant/dist/20261030_勝宏科技個股模型_v0.1.3.xlsx PL!D12…PL!J38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 s="4" t="inlineStr">
        <is>
          <t>大於 50%</t>
        </is>
      </c>
      <c r="AK48" s="1" t="inlineStr">
        <is>
          <t>上檔空間 victory_giant/dist/20261030_勝宏科技個股模型_v0.1.3.xlsx Val!B42；投資建議 victory_giant/dist/20261030_勝宏科技個股模型_v0.1.3.xlsx Val!B119；級距 victory_giant/dist/20261030_勝宏科技個股模型_v0.1.3.xlsx Val!B118</t>
        </is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1571.8365227244</v>
      </c>
      <c r="G49" t="inlineStr">
        <is>
          <t>asml/dist/20261030_ASML個股模型_v0.2.3.xlsx Val!B115</t>
        </is>
      </c>
      <c r="J49" s="4" t="n">
        <v>495.558277249864</v>
      </c>
      <c r="K49" t="inlineStr">
        <is>
          <t>asml/dist/20261030_ASML個股模型_v0.2.3.xlsx Val!D99</t>
        </is>
      </c>
      <c r="N49">
        <f>價格!H49</f>
        <v/>
      </c>
      <c r="O49">
        <f>MIN(F49,H49)</f>
        <v/>
      </c>
      <c r="P49">
        <f>MIN(J49,L49)</f>
        <v/>
      </c>
      <c r="Q49" s="4" t="n">
        <v>0.116995823425529</v>
      </c>
      <c r="R49">
        <f>P49/N49-1</f>
        <v/>
      </c>
      <c r="S49" s="4" t="inlineStr">
        <is>
          <t>中立</t>
        </is>
      </c>
      <c r="T49">
        <f>1782.37911745064/N49-1</f>
        <v/>
      </c>
      <c r="U49" t="inlineStr">
        <is>
          <t>舊法：規則值情境加權價（參考，Val!B6）</t>
        </is>
      </c>
      <c r="V49" t="inlineStr">
        <is>
          <t>22.2 ／ 26.1 ／ 35.0</t>
        </is>
      </c>
      <c r="W49" s="1" t="inlineStr">
        <is>
          <t>DCF 目標價 817.7（Val!B100）；Comparable 目標價 1,380.2（Val!B116）；市場共識目標價 2,108.0（Val!B117，外部、僅供對照）；價格帶 C～A 情境 DCF 495.6～1,189.8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10 個情境年度淨利（不含實績），全部為正</t>
        </is>
      </c>
      <c r="AE49" s="4" t="n">
        <v>194.9896237025285</v>
      </c>
      <c r="AF49" s="4" t="n">
        <v>15.0254810768311</v>
      </c>
      <c r="AG49" t="inlineStr">
        <is>
          <t>[Derived] asml/dist/20261030_ASML個股模型_v0.2.3.xlsx PL!D12…PL!G34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 s="4" t="inlineStr">
        <is>
          <t>0%–25%</t>
        </is>
      </c>
      <c r="AK49" s="1" t="inlineStr">
        <is>
          <t>上檔空間 asml/dist/20261030_ASML個股模型_v0.2.3.xlsx Val!B118；投資建議 asml/dist/20261030_ASML個股模型_v0.2.3.xlsx Val!B126；級距 asml/dist/20261030_ASML個股模型_v0.2.3.xlsx Val!B125</t>
        </is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307.901982299436</v>
      </c>
      <c r="G50" t="inlineStr">
        <is>
          <t>amat/dist/20261028_應用材料個股模型_v0.3.xlsx Val!B136</t>
        </is>
      </c>
      <c r="J50" s="4" t="n">
        <v>157.851750497325</v>
      </c>
      <c r="K50" t="inlineStr">
        <is>
          <t>amat/dist/20261028_應用材料個股模型_v0.3.xlsx Val!D121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-0.18380346119331</v>
      </c>
      <c r="R50">
        <f>P50/N50-1</f>
        <v/>
      </c>
      <c r="S50" s="4" t="inlineStr">
        <is>
          <t>中立</t>
        </is>
      </c>
      <c r="T50">
        <f>303.775381503787/N50-1</f>
        <v/>
      </c>
      <c r="U50" t="inlineStr">
        <is>
          <t>舊法：規則值情境加權價（參考，Val!B47）</t>
        </is>
      </c>
      <c r="V50" t="inlineStr">
        <is>
          <t>19.4 ／ 21.9 ／ 27.7</t>
        </is>
      </c>
      <c r="W50" s="1" t="inlineStr">
        <is>
          <t>DCF 目標價 247.8（Val!B122）；Comparable 目標價 440.8（Val!B137）；市場共識目標價 627.8（Val!B138，外部、僅供對照）；價格帶 C～A 情境 DCF 157.9～347.7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10 個情境年度淨利（不含實績），全部為正</t>
        </is>
      </c>
      <c r="AE50" s="4" t="n">
        <v>127876.4214579525</v>
      </c>
      <c r="AF50" s="4" t="n">
        <v>10179.92</v>
      </c>
      <c r="AG50" t="inlineStr">
        <is>
          <t>[Derived] amat/dist/20261028_應用材料個股模型_v0.3.xlsx PL!D11…PL!G31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 s="4" t="inlineStr">
        <is>
          <t>0%～−25%</t>
        </is>
      </c>
      <c r="AK50" s="1" t="inlineStr">
        <is>
          <t>上檔空間 amat/dist/20261028_應用材料個股模型_v0.3.xlsx Val!B139；投資建議 amat/dist/20261028_應用材料個股模型_v0.3.xlsx Val!B147；級距 amat/dist/20261028_應用材料個股模型_v0.3.xlsx Val!B146</t>
        </is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190.787682307904</v>
      </c>
      <c r="G51" t="inlineStr">
        <is>
          <t>lrcx/dist/20261025_科林研發模型_v0.2.1.xlsx Val!B128</t>
        </is>
      </c>
      <c r="J51" s="4" t="n">
        <v>84.2738802564408</v>
      </c>
      <c r="K51" t="inlineStr">
        <is>
          <t>lrcx/dist/20261025_科林研發模型_v0.2.1.xlsx Val!D113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-0.170848838296812</v>
      </c>
      <c r="R51">
        <f>P51/N51-1</f>
        <v/>
      </c>
      <c r="S51" s="4" t="inlineStr">
        <is>
          <t>中立</t>
        </is>
      </c>
      <c r="T51">
        <f>152.365701845981/N51-1</f>
        <v/>
      </c>
      <c r="U51" t="inlineStr">
        <is>
          <t>舊法：規則值情境加權價（參考，Val!B6）</t>
        </is>
      </c>
      <c r="V51" t="inlineStr">
        <is>
          <t>22.1 ／ 23.5 ／ 26.9</t>
        </is>
      </c>
      <c r="W51" s="1" t="inlineStr">
        <is>
          <t>DCF 目標價 143.8（Val!B114）；Comparable 目標價 252.8（Val!B129）；市場共識目標價 364.0（Val!B130，外部、僅供對照）；價格帶 C～A 情境 DCF 84.3～200.2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7 個情境年度淨利（不含實績），全部為正</t>
        </is>
      </c>
      <c r="AE51" s="4" t="n">
        <v>82.8563330424691</v>
      </c>
      <c r="AF51" s="4" t="n">
        <v>9.09094947166281</v>
      </c>
      <c r="AG51" t="inlineStr">
        <is>
          <t>[Derived] lrcx/dist/20261025_科林研發模型_v0.2.1.xlsx PL!E11…PL!G31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 s="4" t="inlineStr">
        <is>
          <t>0%～−25%</t>
        </is>
      </c>
      <c r="AK51" s="1" t="inlineStr">
        <is>
          <t>上檔空間 lrcx/dist/20261025_科林研發模型_v0.2.1.xlsx Val!B131；投資建議 lrcx/dist/20261025_科林研發模型_v0.2.1.xlsx Val!B139；級距 lrcx/dist/20261025_科林研發模型_v0.2.1.xlsx Val!B138</t>
        </is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115.214159960343</v>
      </c>
      <c r="G52" t="inlineStr">
        <is>
          <t>klac/dist/20261030_科磊個股模型_v0.2.3.xlsx Val!B129</t>
        </is>
      </c>
      <c r="J52" s="4" t="n">
        <v>56.7108361314931</v>
      </c>
      <c r="K52" t="inlineStr">
        <is>
          <t>klac/dist/20261030_科磊個股模型_v0.2.3.xlsx Val!D113</t>
        </is>
      </c>
      <c r="N52">
        <f>價格!H52</f>
        <v/>
      </c>
      <c r="O52">
        <f>MIN(F52,H52)</f>
        <v/>
      </c>
      <c r="P52">
        <f>MIN(J52,L52)</f>
        <v/>
      </c>
      <c r="Q52" s="4" t="n">
        <v>-0.208748300526457</v>
      </c>
      <c r="R52">
        <f>P52/N52-1</f>
        <v/>
      </c>
      <c r="S52" s="4" t="inlineStr">
        <is>
          <t>中立</t>
        </is>
      </c>
      <c r="T52">
        <f>100.795455288212/N52-1</f>
        <v/>
      </c>
      <c r="U52" t="inlineStr">
        <is>
          <t>舊法：規則值情境加權價（參考，Val!B6）</t>
        </is>
      </c>
      <c r="V52" t="inlineStr">
        <is>
          <t>23.4 ／ 25.3 ／ 29.0</t>
        </is>
      </c>
      <c r="W52" s="1" t="inlineStr">
        <is>
          <t>DCF 目標價 92.2（Val!B114）；Comparable 目標價 145.2（Val!B130）；市場共識目標價 232.4（Val!B131，外部、僅供對照）；價格帶 C～A 情境 DCF 56.7～128.5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9 個情境年度淨利（不含實績），全部為正</t>
        </is>
      </c>
      <c r="AE52" s="4" t="n">
        <v>65343.49525844767</v>
      </c>
      <c r="AF52" s="4" t="n">
        <v>5998.2322195524</v>
      </c>
      <c r="AG52" t="inlineStr">
        <is>
          <t>[Derived] klac/dist/20261030_科磊個股模型_v0.2.3.xlsx PL!E12…PL!G34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 s="4" t="inlineStr">
        <is>
          <t>0%～−25%</t>
        </is>
      </c>
      <c r="AK52" s="1" t="inlineStr">
        <is>
          <t>上檔空間 klac/dist/20261030_科磊個股模型_v0.2.3.xlsx Val!B132；投資建議 klac/dist/20261030_科磊個股模型_v0.2.3.xlsx Val!B140；級距 klac/dist/20261030_科磊個股模型_v0.2.3.xlsx Val!B139</t>
        </is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36848.0931174305</v>
      </c>
      <c r="G53" t="inlineStr">
        <is>
          <t>hanmi/dist/20261028_韓美半導體個股模型_v0.2.3.xlsx Val!B111</t>
        </is>
      </c>
      <c r="J53" s="4" t="n">
        <v>16072.8325490973</v>
      </c>
      <c r="K53" t="inlineStr">
        <is>
          <t>hanmi/dist/20261028_韓美半導體個股模型_v0.2.3.xlsx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-0.804519399907531</v>
      </c>
      <c r="R53">
        <f>P53/N53-1</f>
        <v/>
      </c>
      <c r="S53" s="4" t="inlineStr">
        <is>
          <t>強力放空</t>
        </is>
      </c>
      <c r="T53">
        <f>64078.0210298826/N53-1</f>
        <v/>
      </c>
      <c r="U53" t="inlineStr">
        <is>
          <t>舊法：規則值情境加權價（參考，Val!B6）</t>
        </is>
      </c>
      <c r="V53" t="inlineStr">
        <is>
          <t>79.8 ／ 64.4 ／ 93.6</t>
        </is>
      </c>
      <c r="W53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8 個情境年度淨利（不含實績），全部為正</t>
        </is>
      </c>
      <c r="AE53" s="4" t="n">
        <v>18743.41232250685</v>
      </c>
      <c r="AF53" s="4" t="n">
        <v>1335.38902964754</v>
      </c>
      <c r="AG53" t="inlineStr">
        <is>
          <t>[Derived] hanmi/dist/20261028_韓美半導體個股模型_v0.2.3.xlsx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 s="4" t="inlineStr">
        <is>
          <t>小於 −50%</t>
        </is>
      </c>
      <c r="AK53" s="1" t="inlineStr">
        <is>
          <t>上檔空間 hanmi/dist/20261028_韓美半導體個股模型_v0.2.3.xlsx Val!B114；投資建議 hanmi/dist/20261028_韓美半導體個股模型_v0.2.3.xlsx Val!B123；級距 hanmi/dist/20261028_韓美半導體個股模型_v0.2.3.xlsx Val!B122</t>
        </is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354.251953735619</v>
      </c>
      <c r="G54" t="inlineStr">
        <is>
          <t>ter/dist/20261028_泰瑞達個股模型_v0.2.xlsx Val!B126</t>
        </is>
      </c>
      <c r="J54" s="4" t="n">
        <v>153.311331405361</v>
      </c>
      <c r="K54" t="inlineStr">
        <is>
          <t>ter/dist/20261028_泰瑞達個股模型_v0.2.xlsx Val!D110</t>
        </is>
      </c>
      <c r="N54">
        <f>價格!H54</f>
        <v/>
      </c>
      <c r="O54">
        <f>MIN(F54,H54)</f>
        <v/>
      </c>
      <c r="P54">
        <f>MIN(J54,L54)</f>
        <v/>
      </c>
      <c r="Q54" s="4" t="n">
        <v>0.147003249912964</v>
      </c>
      <c r="R54">
        <f>P54/N54-1</f>
        <v/>
      </c>
      <c r="S54" s="4" t="inlineStr">
        <is>
          <t>中立</t>
        </is>
      </c>
      <c r="T54">
        <f>385.982075792829/N54-1</f>
        <v/>
      </c>
      <c r="U54" t="inlineStr">
        <is>
          <t>舊法：規則值情境加權價（參考，Val!B82）</t>
        </is>
      </c>
      <c r="V54" t="inlineStr">
        <is>
          <t>18.7 ／ 22.0 ／ 25.2</t>
        </is>
      </c>
      <c r="W54" s="1" t="inlineStr">
        <is>
          <t>DCF 目標價 218.3（Val!B111）；Comparable 目標價 402.6（Val!B127）；市場共識目標價 446.5（Val!B128，外部、僅供對照）；價格帶 C～A 情境 DCF 153.3～284.7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22355.79870471855</v>
      </c>
      <c r="AF54" s="4" t="n">
        <v>1385.276</v>
      </c>
      <c r="AG54" t="inlineStr">
        <is>
          <t>[Derived] ter/dist/20261028_泰瑞達個股模型_v0.2.xlsx PL!D12…PL!G34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 s="4" t="inlineStr">
        <is>
          <t>0%–25%</t>
        </is>
      </c>
      <c r="AK54" s="1" t="inlineStr">
        <is>
          <t>上檔空間 ter/dist/20261028_泰瑞達個股模型_v0.2.xlsx Val!B129；投資建議 ter/dist/20261028_泰瑞達個股模型_v0.2.xlsx Val!B138；級距 ter/dist/20261028_泰瑞達個股模型_v0.2.xlsx Val!B137</t>
        </is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157.284742099862</v>
      </c>
      <c r="G55" t="inlineStr">
        <is>
          <t>besi/dist/20261025_BESI模型_v0.1.1.xlsx Val!B112</t>
        </is>
      </c>
      <c r="J55" s="4" t="n">
        <v>43.9240158537741</v>
      </c>
      <c r="K55" t="inlineStr">
        <is>
          <t>besi/dist/20261025_BESI模型_v0.1.1.xlsx Val!D96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0.08397479048836901</v>
      </c>
      <c r="R55">
        <f>P55/N55-1</f>
        <v/>
      </c>
      <c r="S55" s="4" t="inlineStr">
        <is>
          <t>中立</t>
        </is>
      </c>
      <c r="T55">
        <f>184.838050297798/N55-1</f>
        <v/>
      </c>
      <c r="U55" t="inlineStr">
        <is>
          <t>舊法：規則值情境加權價（參考，Val!B6）</t>
        </is>
      </c>
      <c r="V55" t="inlineStr">
        <is>
          <t>15.7 ／ 22.4 ／ 45.8</t>
        </is>
      </c>
      <c r="W55" s="1" t="inlineStr">
        <is>
          <t>DCF 目標價 96.2（Val!B97）；Comparable 目標價 166.8（Val!B113）；市場共識目標價 270.6（Val!B114，外部、僅供對照）；價格帶 C～A 情境 DCF 43.9～156.3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4711.873322354987</v>
      </c>
      <c r="AF55" s="4" t="n">
        <v>255.463532941025</v>
      </c>
      <c r="AG55" t="inlineStr">
        <is>
          <t>[Derived] besi/dist/20261025_BESI模型_v0.1.1.xlsx PL!D11…PL!G31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 s="4" t="inlineStr">
        <is>
          <t>0%–25%</t>
        </is>
      </c>
      <c r="AK55" s="1" t="inlineStr">
        <is>
          <t>上檔空間 besi/dist/20261025_BESI模型_v0.1.1.xlsx Val!B115；投資建議 besi/dist/20261025_BESI模型_v0.1.1.xlsx Val!B124；級距 besi/dist/20261025_BESI模型_v0.1.1.xlsx Val!B123</t>
        </is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t="inlineStr">
        <is>
          <t>加權目標價（DCF 50%＋Comparable 50%）</t>
        </is>
      </c>
      <c r="F56" s="4" t="n">
        <v>1377.48046554632</v>
      </c>
      <c r="G56" t="inlineStr">
        <is>
          <t>towa/dist/20261030_TOWA個股模型_v0.2.1.xlsx Val!B39</t>
        </is>
      </c>
      <c r="J56" s="4" t="n">
        <v>757.998326497299</v>
      </c>
      <c r="K56" t="inlineStr">
        <is>
          <t>towa/dist/20261030_TOWA個股模型_v0.2.1.xlsx Val!D23</t>
        </is>
      </c>
      <c r="N56">
        <f>價格!H56</f>
        <v/>
      </c>
      <c r="O56">
        <f>MIN(F56,H56)</f>
        <v/>
      </c>
      <c r="P56">
        <f>MIN(J56,L56)</f>
        <v/>
      </c>
      <c r="Q56" s="4" t="n">
        <v>-0.300060739051667</v>
      </c>
      <c r="R56">
        <f>P56/N56-1</f>
        <v/>
      </c>
      <c r="S56" s="4" t="inlineStr">
        <is>
          <t>放空</t>
        </is>
      </c>
      <c r="T56">
        <f>1473.42675059458/N56-1</f>
        <v/>
      </c>
      <c r="U56" t="inlineStr">
        <is>
          <t>舊法：規則值情境加權價（參考，Val!B120）</t>
        </is>
      </c>
      <c r="V56" t="inlineStr">
        <is>
          <t>17.2 ／ 20.4 ／ 27.7</t>
        </is>
      </c>
      <c r="W56" s="1" t="inlineStr">
        <is>
          <t>DCF 目標價 1,012.6（Val!B24）；Comparable 目標價 2,428.7（Val!B40）；市場共識目標價 3,300.0（Val!B41，外部、僅供對照）；價格帶 C～A 情境 DCF 758.0～1,349.5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10 個情境年度淨利（不含實績），全部為正</t>
        </is>
      </c>
      <c r="AE56" s="4" t="n">
        <v>69.76589187756375</v>
      </c>
      <c r="AF56" s="4" t="n">
        <v>5.3383429272305</v>
      </c>
      <c r="AG56" t="inlineStr">
        <is>
          <t>[Derived] towa/dist/20261030_TOWA個股模型_v0.2.1.xlsx PL!D16…PL!G48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 s="4" t="inlineStr">
        <is>
          <t>−25%～−50%</t>
        </is>
      </c>
      <c r="AK56" s="1" t="inlineStr">
        <is>
          <t>上檔空間 towa/dist/20261030_TOWA個股模型_v0.2.1.xlsx Val!B42；投資建議 towa/dist/20261030_TOWA個股模型_v0.2.1.xlsx Val!B125；級距 towa/dist/20261030_TOWA個股模型_v0.2.1.xlsx Val!B124</t>
        </is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t="inlineStr">
        <is>
          <t>加權目標價（DCF 50%＋Comparable 50%）</t>
        </is>
      </c>
      <c r="F57" s="4" t="n">
        <v>13008.3632132389</v>
      </c>
      <c r="G57" t="inlineStr">
        <is>
          <t>accretech/dist/20261028_東京精密個股模型_v0.1.2.xlsx Val!B40</t>
        </is>
      </c>
      <c r="J57" s="4" t="n">
        <v>6131.42686806188</v>
      </c>
      <c r="K57" t="inlineStr">
        <is>
          <t>accretech/dist/20261028_東京精密個股模型_v0.1.2.xlsx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-0.161832267188213</v>
      </c>
      <c r="R57">
        <f>P57/N57-1</f>
        <v/>
      </c>
      <c r="S57" s="4" t="inlineStr">
        <is>
          <t>中立</t>
        </is>
      </c>
      <c r="T57">
        <f>11621.0367392957/N57-1</f>
        <v/>
      </c>
      <c r="U57" t="inlineStr">
        <is>
          <t>舊法：規則值情境加權價（參考，Val!B111）</t>
        </is>
      </c>
      <c r="V57" t="inlineStr">
        <is>
          <t>14.4 ／ 18.7 ／ 27.7</t>
        </is>
      </c>
      <c r="W57" s="1" t="inlineStr">
        <is>
          <t>DCF 目標價 10,179.9（Val!B24）；Comparable 目標價 28,838.1（Val!B41）；市場共識目標價 20,900.0（Val!B42，外部、僅供對照）；價格帶 C～A 情境 DCF 6,131.4～15,085.3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10 個情境年度淨利（不含實績），全部為正</t>
        </is>
      </c>
      <c r="AE57" s="4" t="n">
        <v>335.3511240112178</v>
      </c>
      <c r="AF57" s="4" t="n">
        <v>22.1561985937445</v>
      </c>
      <c r="AG57" t="inlineStr">
        <is>
          <t>[Derived] accretech/dist/20261028_東京精密個股模型_v0.1.2.xlsx PL!D12…PL!G34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 s="4" t="inlineStr">
        <is>
          <t>0%～−25%</t>
        </is>
      </c>
      <c r="AK57" s="1" t="inlineStr">
        <is>
          <t>上檔空間 accretech/dist/20261028_東京精密個股模型_v0.1.2.xlsx Val!B43；投資建議 accretech/dist/20261028_東京精密個股模型_v0.1.2.xlsx Val!B116；級距 accretech/dist/20261028_東京精密個股模型_v0.1.2.xlsx Val!B115</t>
        </is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339.099436397115</v>
      </c>
      <c r="G58" t="inlineStr">
        <is>
          <t>foxconn/dist/20261030_鴻海個股模型_v0.3.1.xlsx Val!B120</t>
        </is>
      </c>
      <c r="J58" s="4" t="n">
        <v>209.885963820218</v>
      </c>
      <c r="K58" t="inlineStr">
        <is>
          <t>foxconn/dist/20261030_鴻海個股模型_v0.3.1.xlsx Val!D104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0.384079332233124</v>
      </c>
      <c r="R58">
        <f>P58/N58-1</f>
        <v/>
      </c>
      <c r="S58" s="4" t="inlineStr">
        <is>
          <t>買進</t>
        </is>
      </c>
      <c r="T58">
        <f>261.429965980012/N58-1</f>
        <v/>
      </c>
      <c r="U58" t="inlineStr">
        <is>
          <t>舊法：規則值情境加權價（參考，Val!B38）</t>
        </is>
      </c>
      <c r="V58" t="inlineStr">
        <is>
          <t>7.8 ／ 8.8 ／ 10.4</t>
        </is>
      </c>
      <c r="W58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8 個情境年度淨利（不含實績），全部為正</t>
        </is>
      </c>
      <c r="AE58" s="4" t="n">
        <v>3063.319471023561</v>
      </c>
      <c r="AF58" s="4" t="n">
        <v>275.25708735</v>
      </c>
      <c r="AG58" t="inlineStr">
        <is>
          <t>[Derived] foxconn/dist/20261030_鴻海個股模型_v0.3.1.xlsx PL!D17…PL!G51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 s="4" t="inlineStr">
        <is>
          <t>25%–50%</t>
        </is>
      </c>
      <c r="AK58" s="1" t="inlineStr">
        <is>
          <t>上檔空間 foxconn/dist/20261030_鴻海個股模型_v0.3.1.xlsx Val!B123；投資建議 foxconn/dist/20261030_鴻海個股模型_v0.3.1.xlsx Val!B136；級距 foxconn/dist/20261030_鴻海個股模型_v0.3.1.xlsx Val!B135</t>
        </is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332.773387914471</v>
      </c>
      <c r="G59" t="inlineStr">
        <is>
          <t>wistron/dist/20261030_緯創個股模型_v0.2.1.xlsx Val!B39</t>
        </is>
      </c>
      <c r="J59" s="4" t="n">
        <v>250.722079146534</v>
      </c>
      <c r="K59" t="inlineStr">
        <is>
          <t>wistron/dist/20261030_緯創個股模型_v0.2.1.xlsx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0.751438883760374</v>
      </c>
      <c r="R59">
        <f>P59/N59-1</f>
        <v/>
      </c>
      <c r="S59" s="4" t="inlineStr">
        <is>
          <t>強力買進</t>
        </is>
      </c>
      <c r="V59" t="inlineStr">
        <is>
          <t>5.8 ／ 7.1 ／ 9.3</t>
        </is>
      </c>
      <c r="W59" s="1" t="inlineStr">
        <is>
          <t>DCF 目標價 390.0（Val!B24）；Comparable 目標價 308.8（Val!B40）；市場共識目標價 268.7（Val!B41，外部、僅供對照）；價格帶 C～A 情境 DCF 250.7～485.5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17 個情境年度淨利（不含實績），全部為正</t>
        </is>
      </c>
      <c r="AE59" s="4" t="n">
        <v>1660.535735525453</v>
      </c>
      <c r="AF59" s="4" t="n">
        <v>59.6707048338912</v>
      </c>
      <c r="AG59" t="inlineStr">
        <is>
          <t>[Derived] wistron/dist/20261030_緯創個股模型_v0.2.1.xlsx PL!D13…PL!J41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大於 50%</t>
        </is>
      </c>
      <c r="AK59" s="1" t="inlineStr">
        <is>
          <t>上檔空間 wistron/dist/20261030_緯創個股模型_v0.2.1.xlsx Val!B42；投資建議 wistron/dist/20261030_緯創個股模型_v0.2.1.xlsx Val!B136；級距 wistron/dist/20261030_緯創個股模型_v0.2.1.xlsx Val!B135</t>
        </is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3732.27599601615</v>
      </c>
      <c r="G60" t="inlineStr">
        <is>
          <t>wiwynn/dist/20261030_緯穎個股模型_v0.1.3.xlsx Val!B39</t>
        </is>
      </c>
      <c r="J60" s="4" t="n">
        <v>2411.99384333378</v>
      </c>
      <c r="K60" t="inlineStr">
        <is>
          <t>wiwynn/dist/20261030_緯穎個股模型_v0.1.3.xlsx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1.02841086740008</v>
      </c>
      <c r="R60">
        <f>P60/N60-1</f>
        <v/>
      </c>
      <c r="S60" s="4" t="inlineStr">
        <is>
          <t>強力買進</t>
        </is>
      </c>
      <c r="V60" t="inlineStr">
        <is>
          <t>6.3 ／ 7.4 ／ 9.3</t>
        </is>
      </c>
      <c r="W60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17 個情境年度淨利（不含實績），全部為正</t>
        </is>
      </c>
      <c r="AE60" s="4" t="n">
        <v>2434.816945249128</v>
      </c>
      <c r="AF60" s="4" t="n">
        <v>77.0324485376</v>
      </c>
      <c r="AG60" t="inlineStr">
        <is>
          <t>[Derived] wiwynn/dist/20261030_緯穎個股模型_v0.1.3.xlsx PL!D12…PL!J38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 s="4" t="inlineStr">
        <is>
          <t>大於 50%</t>
        </is>
      </c>
      <c r="AK60" s="1" t="inlineStr">
        <is>
          <t>上檔空間 wiwynn/dist/20261030_緯穎個股模型_v0.1.3.xlsx Val!B42；投資建議 wiwynn/dist/20261030_緯穎個股模型_v0.1.3.xlsx Val!B136；級距 wiwynn/dist/20261030_緯穎個股模型_v0.1.3.xlsx Val!B135</t>
        </is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t="inlineStr">
        <is>
          <t>加權目標價（DCF 50%＋Comparable 50%）</t>
        </is>
      </c>
      <c r="F61" s="4" t="n">
        <v>334.494549246525</v>
      </c>
      <c r="G61" t="inlineStr">
        <is>
          <t>dell/dist/20261030_戴爾個股模型_v0.1.2.xlsx Val!B39</t>
        </is>
      </c>
      <c r="J61" s="4" t="n">
        <v>294.174960847299</v>
      </c>
      <c r="K61" t="inlineStr">
        <is>
          <t>dell/dist/20261030_戴爾個股模型_v0.1.2.xlsx Val!D23</t>
        </is>
      </c>
      <c r="N61">
        <f>價格!H61</f>
        <v/>
      </c>
      <c r="O61">
        <f>MIN(F61,H61)</f>
        <v/>
      </c>
      <c r="P61">
        <f>MIN(J61,L61)</f>
        <v/>
      </c>
      <c r="Q61" s="4" t="n">
        <v>-0.26716644192769</v>
      </c>
      <c r="R61">
        <f>P61/N61-1</f>
        <v/>
      </c>
      <c r="S61" s="4" t="inlineStr">
        <is>
          <t>放空</t>
        </is>
      </c>
      <c r="V61" t="inlineStr">
        <is>
          <t>14.6 ／ 14.6 ／ 14.6</t>
        </is>
      </c>
      <c r="W61" s="1" t="inlineStr">
        <is>
          <t>DCF 目標價 425.0（Val!B24）；Comparable 目標價 331.3（Val!B40）；市場共識目標價 593.0（Val!B41，外部、僅供對照）；價格帶 C～A 情境 DCF 294.2～529.2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14 個情境年度淨利（不含實績），全部為正</t>
        </is>
      </c>
      <c r="AE61" s="4" t="n">
        <v>252.4599787054823</v>
      </c>
      <c r="AF61" s="4" t="n">
        <v>12.345214564461</v>
      </c>
      <c r="AG61" t="inlineStr">
        <is>
          <t>[Derived] dell/dist/20261030_戴爾個股模型_v0.1.2.xlsx PL!D13…PL!I41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 s="4" t="inlineStr">
        <is>
          <t>−25%～−50%</t>
        </is>
      </c>
      <c r="AK61" s="1" t="inlineStr">
        <is>
          <t>上檔空間 dell/dist/20261030_戴爾個股模型_v0.1.2.xlsx Val!B42；投資建議 dell/dist/20261030_戴爾個股模型_v0.1.2.xlsx Val!B49；級距 dell/dist/20261030_戴爾個股模型_v0.1.2.xlsx Val!B48</t>
        </is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t="inlineStr">
        <is>
          <t>加權目標價（DCF 50%＋Comparable 50%）</t>
        </is>
      </c>
      <c r="F62" s="4" t="n">
        <v>74.00467510096971</v>
      </c>
      <c r="G62" t="inlineStr">
        <is>
          <t>smci/dist/20261030_美超微個股模型_v0.1.3.xlsx Val!B39</t>
        </is>
      </c>
      <c r="J62" s="4" t="n">
        <v>31.419993199526</v>
      </c>
      <c r="K62" t="inlineStr">
        <is>
          <t>smci/dist/20261030_美超微個股模型_v0.1.3.xlsx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1.24665073166271</v>
      </c>
      <c r="R62">
        <f>P62/N62-1</f>
        <v/>
      </c>
      <c r="S62" s="4" t="inlineStr">
        <is>
          <t>強力買進</t>
        </is>
      </c>
      <c r="V62" t="inlineStr">
        <is>
          <t>3.8 ／ 5.4 ／ 9.2</t>
        </is>
      </c>
      <c r="W62" s="1" t="inlineStr">
        <is>
          <t>DCF 目標價 78.0（Val!B24）；Comparable 目標價 75.2（Val!B40）；市場共識目標價 43.3（Val!B41，外部、僅供對照）；價格帶 C～A 情境 DCF 31.4～128.1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18 個情境年度淨利（不含實績），全部為正</t>
        </is>
      </c>
      <c r="AE62" s="4" t="n">
        <v>87.28958129908457</v>
      </c>
      <c r="AF62" s="4" t="n">
        <v>2.01201595667954</v>
      </c>
      <c r="AG62" t="inlineStr">
        <is>
          <t>[Derived] smci/dist/20261030_美超微個股模型_v0.1.3.xlsx PL!E12…PL!J38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 s="4" t="inlineStr">
        <is>
          <t>大於 50%</t>
        </is>
      </c>
      <c r="AK62" s="1" t="inlineStr">
        <is>
          <t>上檔空間 smci/dist/20261030_美超微個股模型_v0.1.3.xlsx Val!B42；投資建議 smci/dist/20261030_美超微個股模型_v0.1.3.xlsx Val!B136；級距 smci/dist/20261030_美超微個股模型_v0.1.3.xlsx Val!B135</t>
        </is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2961.50906624021</v>
      </c>
      <c r="G63" t="inlineStr">
        <is>
          <t>avc/dist/20261030_奇鋐個股模型_v0.2.3.xlsx Val!B119</t>
        </is>
      </c>
      <c r="J63" s="4" t="n">
        <v>1834.66717881609</v>
      </c>
      <c r="K63" t="inlineStr">
        <is>
          <t>avc/dist/20261030_奇鋐個股模型_v0.2.3.xlsx Val!D104</t>
        </is>
      </c>
      <c r="N63">
        <f>價格!H63</f>
        <v/>
      </c>
      <c r="O63">
        <f>MIN(F63,H63)</f>
        <v/>
      </c>
      <c r="P63">
        <f>MIN(J63,L63)</f>
        <v/>
      </c>
      <c r="Q63" s="4" t="n">
        <v>-0.0583436991287094</v>
      </c>
      <c r="R63">
        <f>P63/N63-1</f>
        <v/>
      </c>
      <c r="S63" s="4" t="inlineStr">
        <is>
          <t>中立</t>
        </is>
      </c>
      <c r="T63">
        <f>2031.07059401483/N63-1</f>
        <v/>
      </c>
      <c r="U63" t="inlineStr">
        <is>
          <t>舊法：規則值情境加權價（參考，Val!B75）</t>
        </is>
      </c>
      <c r="V63" t="inlineStr">
        <is>
          <t>14.0 ／ 17.7 ／ 24.1</t>
        </is>
      </c>
      <c r="W63" s="1" t="inlineStr">
        <is>
          <t>DCF 目標價 3,002.5（Val!B105）；Comparable 目標價 4,928.5（Val!B120）；市場共識目標價 4,130.0（Val!B121，外部、僅供對照）；價格帶 C～A 情境 DCF 1,834.7～3,745.5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671.2521938360476</v>
      </c>
      <c r="AF63" s="4" t="n">
        <v>41.5923093275</v>
      </c>
      <c r="AG63" t="inlineStr">
        <is>
          <t>[Derived] avc/dist/20261030_奇鋐個股模型_v0.2.3.xlsx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 s="4" t="inlineStr">
        <is>
          <t>0%～−25%</t>
        </is>
      </c>
      <c r="AK63" s="1" t="inlineStr">
        <is>
          <t>上檔空間 avc/dist/20261030_奇鋐個股模型_v0.2.3.xlsx Val!B122；投資建議 avc/dist/20261030_奇鋐個股模型_v0.2.3.xlsx Val!B135；級距 avc/dist/20261030_奇鋐個股模型_v0.2.3.xlsx Val!B134</t>
        </is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319.137160914582</v>
      </c>
      <c r="G64" t="inlineStr">
        <is>
          <t>liteon/dist/20261028_光寶個股模型_v0.2.xlsx Val!B40</t>
        </is>
      </c>
      <c r="J64" s="4" t="n">
        <v>120.655384312938</v>
      </c>
      <c r="K64" t="inlineStr">
        <is>
          <t>liteon/dist/20261028_光寶個股模型_v0.2.xlsx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0.249069122953353</v>
      </c>
      <c r="R64">
        <f>P64/N64-1</f>
        <v/>
      </c>
      <c r="S64" s="4" t="inlineStr">
        <is>
          <t>中立</t>
        </is>
      </c>
      <c r="V64" t="inlineStr">
        <is>
          <t>8.5 ／ 12.2 ／ 18.7</t>
        </is>
      </c>
      <c r="W64" s="1" t="inlineStr">
        <is>
          <t>DCF 目標價 318.4（Val!B24）；Comparable 目標價 528.7（Val!B41）；市場共識目標價 314.2（Val!B42，外部、僅供對照）；價格帶 C～A 情境 DCF 120.7～530.4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1036.70410106156</v>
      </c>
      <c r="AF64" s="4" t="n">
        <v>20.4329207236288</v>
      </c>
      <c r="AG64" t="inlineStr">
        <is>
          <t>[Derived] liteon/dist/20261028_光寶個股模型_v0.2.xlsx PL!D16…PL!J50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0%–25%</t>
        </is>
      </c>
      <c r="AK64" s="1" t="inlineStr">
        <is>
          <t>上檔空間 liteon/dist/20261028_光寶個股模型_v0.2.xlsx Val!B43；投資建議 liteon/dist/20261028_光寶個股模型_v0.2.xlsx Val!B119；級距 liteon/dist/20261028_光寶個股模型_v0.2.xlsx Val!B118</t>
        </is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t="inlineStr">
        <is>
          <t>加權目標價（DCF 50%＋Comparable 50%）</t>
        </is>
      </c>
      <c r="F65" s="4" t="n">
        <v>2290.21860398203</v>
      </c>
      <c r="G65" t="inlineStr">
        <is>
          <t>auras/dist/20261030_雙鴻個股模型_v0.1.3.xlsx Val!B39</t>
        </is>
      </c>
      <c r="J65" s="4" t="n">
        <v>700.0594830373281</v>
      </c>
      <c r="K65" t="inlineStr">
        <is>
          <t>auras/dist/20261030_雙鴻個股模型_v0.1.3.xlsx Val!D23</t>
        </is>
      </c>
      <c r="N65">
        <f>價格!H65</f>
        <v/>
      </c>
      <c r="O65">
        <f>MIN(F65,H65)</f>
        <v/>
      </c>
      <c r="P65">
        <f>MIN(J65,L65)</f>
        <v/>
      </c>
      <c r="Q65" s="4" t="n">
        <v>0.683984267633848</v>
      </c>
      <c r="R65">
        <f>P65/N65-1</f>
        <v/>
      </c>
      <c r="S65" s="4" t="inlineStr">
        <is>
          <t>強力買進</t>
        </is>
      </c>
      <c r="V65" t="inlineStr">
        <is>
          <t>7.2 ／ 11.5 ／ 22.2</t>
        </is>
      </c>
      <c r="W65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5">
        <f>IF(ISNUMBER(價格!C65),價格!H65/價格!C65-1,"")</f>
        <v/>
      </c>
      <c r="AA65">
        <f>IF(Z65="","",IF(ABS(Z65)&gt;0.2,"模型尚未反映期間變化",""))</f>
        <v/>
      </c>
      <c r="AB65" t="inlineStr">
        <is>
          <t>淨利</t>
        </is>
      </c>
      <c r="AC65" t="inlineStr">
        <is>
          <t>PL 頁各情境模型年度淨利（不含實績）</t>
        </is>
      </c>
      <c r="AD65" t="inlineStr">
        <is>
          <t>10 個情境年度淨利（不含實績），全部為正</t>
        </is>
      </c>
      <c r="AE65" s="4" t="n">
        <v>106.7851434762806</v>
      </c>
      <c r="AF65" s="4" t="n">
        <v>4.923841117248</v>
      </c>
      <c r="AG65" t="inlineStr">
        <is>
          <t>[Derived] auras/dist/20261030_雙鴻個股模型_v0.1.3.xlsx PL!D14…PL!G42</t>
        </is>
      </c>
      <c r="AH65">
        <f>IF(AB65="淨利",IF(AF65&gt;0,"通過（淨利）","不通過"),IF(AE65&lt;0,"不通過","通過（現金流）"))</f>
        <v/>
      </c>
      <c r="AI65">
        <f>IF(S65="未上市","未上市",IF(AND(AH65="不通過",OR(S65="強力買進",S65="買進",S65="未估值")),"收支不足",S65))</f>
        <v/>
      </c>
      <c r="AJ65" s="4" t="inlineStr">
        <is>
          <t>大於 50%</t>
        </is>
      </c>
      <c r="AK65" s="1" t="inlineStr">
        <is>
          <t>上檔空間 auras/dist/20261030_雙鴻個股模型_v0.1.3.xlsx Val!B42；投資建議 auras/dist/20261030_雙鴻個股模型_v0.1.3.xlsx Val!B130；級距 auras/dist/20261030_雙鴻個股模型_v0.1.3.xlsx Val!B129</t>
        </is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t="inlineStr">
        <is>
          <t>加權目標價（DCF 50%＋Comparable 50%）</t>
        </is>
      </c>
      <c r="F66" s="4" t="n">
        <v>5110.76313659291</v>
      </c>
      <c r="G66" t="inlineStr">
        <is>
          <t>jentech/dist/20261030_健策個股模型_v0.1.3.xlsx Val!B40</t>
        </is>
      </c>
      <c r="J66" s="4" t="n">
        <v>1351.67225447468</v>
      </c>
      <c r="K66" t="inlineStr">
        <is>
          <t>jentech/dist/20261030_健策個股模型_v0.1.3.xlsx Val!D23</t>
        </is>
      </c>
      <c r="N66">
        <f>價格!H66</f>
        <v/>
      </c>
      <c r="O66">
        <f>MIN(F66,H66)</f>
        <v/>
      </c>
      <c r="P66">
        <f>MIN(J66,L66)</f>
        <v/>
      </c>
      <c r="Q66" s="4" t="n">
        <v>-0.158029137299357</v>
      </c>
      <c r="R66">
        <f>P66/N66-1</f>
        <v/>
      </c>
      <c r="S66" s="4" t="inlineStr">
        <is>
          <t>中立</t>
        </is>
      </c>
      <c r="V66" t="inlineStr">
        <is>
          <t>23.4 ／ 36.4 ／ 60.3</t>
        </is>
      </c>
      <c r="W66" s="1" t="inlineStr">
        <is>
          <t>DCF 目標價 3,247.2（Val!B24）；Comparable 目標價 4,558.5（Val!B41）；市場共識目標價 7,204.0（Val!B42，外部、僅供對照）；價格帶 C～A 情境 DCF 1,351.7～5,032.8</t>
        </is>
      </c>
      <c r="Z66">
        <f>IF(ISNUMBER(價格!C66),價格!H66/價格!C66-1,"")</f>
        <v/>
      </c>
      <c r="AA66">
        <f>IF(Z66="","",IF(ABS(Z66)&gt;0.2,"模型尚未反映期間變化",""))</f>
        <v/>
      </c>
      <c r="AB66" t="inlineStr">
        <is>
          <t>淨利</t>
        </is>
      </c>
      <c r="AC66" t="inlineStr">
        <is>
          <t>PL 頁各情境模型年度淨利（不含實績）</t>
        </is>
      </c>
      <c r="AD66" t="inlineStr">
        <is>
          <t>19 個情境年度淨利（不含實績），全部為正</t>
        </is>
      </c>
      <c r="AE66" s="4" t="n">
        <v>569.3703689419929</v>
      </c>
      <c r="AF66" s="4" t="n">
        <v>10.3442061825</v>
      </c>
      <c r="AG66" t="inlineStr">
        <is>
          <t>[Derived] jentech/dist/20261030_健策個股模型_v0.1.3.xlsx PL!D13…PL!J41</t>
        </is>
      </c>
      <c r="AH66">
        <f>IF(AB66="淨利",IF(AF66&gt;0,"通過（淨利）","不通過"),IF(AE66&lt;0,"不通過","通過（現金流）"))</f>
        <v/>
      </c>
      <c r="AI66">
        <f>IF(S66="未上市","未上市",IF(AND(AH66="不通過",OR(S66="強力買進",S66="買進",S66="未估值")),"收支不足",S66))</f>
        <v/>
      </c>
      <c r="AJ66" s="4" t="inlineStr">
        <is>
          <t>0%～−25%</t>
        </is>
      </c>
      <c r="AK66" s="1" t="inlineStr">
        <is>
          <t>上檔空間 jentech/dist/20261030_健策個股模型_v0.1.3.xlsx Val!B43；投資建議 jentech/dist/20261030_健策個股模型_v0.1.3.xlsx Val!B46；級距 jentech/dist/20261030_健策個股模型_v0.1.3.xlsx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AI 雲端平台</t>
        </is>
      </c>
      <c r="B66" t="inlineStr"/>
      <c r="C66" t="inlineStr">
        <is>
          <t>SpaceX</t>
        </is>
      </c>
      <c r="D66" t="inlineStr">
        <is>
          <t>SPCX</t>
        </is>
      </c>
      <c r="E66" t="inlineStr">
        <is>
          <t>美</t>
        </is>
      </c>
      <c r="F66" t="inlineStr"/>
      <c r="G66" t="n">
        <v>2</v>
      </c>
      <c r="H66" t="inlineStr">
        <is>
          <t>SI 分部（原 xAI）：自建名目算力 1.7 GW（2026-09-30）、對外算力出租＋Grok／Cursor／X；Starlink 現金流支撐（算力收支建議）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AI 模型商</t>
        </is>
      </c>
      <c r="B67" t="inlineStr"/>
      <c r="C67" t="inlineStr">
        <is>
          <t>Meta</t>
        </is>
      </c>
      <c r="D67" t="inlineStr">
        <is>
          <t>META</t>
        </is>
      </c>
      <c r="E67" t="inlineStr">
        <is>
          <t>美</t>
        </is>
      </c>
      <c r="F67" t="inlineStr"/>
      <c r="G67" t="n">
        <v>1</v>
      </c>
      <c r="H67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CoreWeave</t>
        </is>
      </c>
      <c r="D68" t="inlineStr">
        <is>
          <t>CRWV</t>
        </is>
      </c>
      <c r="E68" t="inlineStr">
        <is>
          <t>美</t>
        </is>
      </c>
      <c r="F68" t="inlineStr"/>
      <c r="G68" t="n">
        <v>2</v>
      </c>
      <c r="H68" t="inlineStr">
        <is>
          <t>最大 neocloud；客戶集中於 Microsoft、OpenAI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Neocloud（GPU 租賃）</t>
        </is>
      </c>
      <c r="B69" t="inlineStr"/>
      <c r="C69" t="inlineStr">
        <is>
          <t>Nebius</t>
        </is>
      </c>
      <c r="D69" t="inlineStr">
        <is>
          <t>NBIS</t>
        </is>
      </c>
      <c r="E69" t="inlineStr">
        <is>
          <t>美</t>
        </is>
      </c>
      <c r="F69" t="inlineStr"/>
      <c r="G69" t="n">
        <v>2</v>
      </c>
      <c r="H69" t="inlineStr">
        <is>
          <t>歐洲為主的 neocloud；Microsoft 長約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Neocloud（GPU 租賃）</t>
        </is>
      </c>
      <c r="B70" t="inlineStr"/>
      <c r="C70" t="inlineStr">
        <is>
          <t>WhiteFiber</t>
        </is>
      </c>
      <c r="D70" t="inlineStr">
        <is>
          <t>WYFI</t>
        </is>
      </c>
      <c r="E70" t="inlineStr">
        <is>
          <t>美</t>
        </is>
      </c>
      <c r="F70" t="inlineStr"/>
      <c r="G70" t="n">
        <v>3</v>
      </c>
      <c r="H70" t="inlineStr">
        <is>
          <t>小型 neocloud＋託管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OpenAI</t>
        </is>
      </c>
      <c r="D71" t="inlineStr">
        <is>
          <t>OpenAI</t>
        </is>
      </c>
      <c r="E71" t="inlineStr">
        <is>
          <t>未上市</t>
        </is>
      </c>
      <c r="F71" t="inlineStr"/>
      <c r="G71" t="n">
        <v>1</v>
      </c>
      <c r="H71" t="inlineStr">
        <is>
          <t>ChatGPT 與 API 用量最大的模型商；算力承諾最大（本專案 OpenAI 模型）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Anthropic</t>
        </is>
      </c>
      <c r="D72" t="inlineStr">
        <is>
          <t>Anthropic</t>
        </is>
      </c>
      <c r="E72" t="inlineStr">
        <is>
          <t>未上市</t>
        </is>
      </c>
      <c r="F72" t="inlineStr"/>
      <c r="G72" t="n">
        <v>1</v>
      </c>
      <c r="H72" t="inlineStr">
        <is>
          <t>企業與程式開發用途為主的前沿模型商（本專案 Anthropic 模型）</t>
        </is>
      </c>
      <c r="I72" t="inlineStr">
        <is>
          <t>[判斷]</t>
        </is>
      </c>
      <c r="J72" t="inlineStr">
        <is>
          <t>有模型</t>
        </is>
      </c>
    </row>
    <row r="73">
      <c r="A73" t="inlineStr">
        <is>
          <t>AI 模型商</t>
        </is>
      </c>
      <c r="B73" t="inlineStr"/>
      <c r="C73" t="inlineStr">
        <is>
          <t>MiniMax</t>
        </is>
      </c>
      <c r="D73" t="inlineStr">
        <is>
          <t>00100</t>
        </is>
      </c>
      <c r="E73" t="inlineStr">
        <is>
          <t>港</t>
        </is>
      </c>
      <c r="F73" t="inlineStr"/>
      <c r="G73" t="n">
        <v>3</v>
      </c>
      <c r="H73" t="inlineStr">
        <is>
          <t>中國第二梯隊模型商；多模態、海外營收占比高</t>
        </is>
      </c>
      <c r="I73" t="inlineStr">
        <is>
          <t>[判斷]</t>
        </is>
      </c>
      <c r="J73" t="inlineStr">
        <is>
          <t>有模型</t>
        </is>
      </c>
    </row>
    <row r="74">
      <c r="A74" t="inlineStr">
        <is>
          <t>AI 模型商</t>
        </is>
      </c>
      <c r="B74" t="inlineStr"/>
      <c r="C74" t="inlineStr">
        <is>
          <t>智譜</t>
        </is>
      </c>
      <c r="D74" t="inlineStr">
        <is>
          <t>02513</t>
        </is>
      </c>
      <c r="E74" t="inlineStr">
        <is>
          <t>港</t>
        </is>
      </c>
      <c r="F74" t="inlineStr"/>
      <c r="G74" t="n">
        <v>3</v>
      </c>
      <c r="H74" t="inlineStr">
        <is>
          <t>中國第二梯隊模型商；政企本地化部署</t>
        </is>
      </c>
      <c r="I74" t="inlineStr">
        <is>
          <t>[判斷]</t>
        </is>
      </c>
      <c r="J74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2026-10-30T07:48:02Z</dcterms:created>
  <dcterms:modified xmlns:dcterms="http://purl.org/dc/terms/" xmlns:xsi="http://www.w3.org/2001/XMLSchema-instance" xsi:type="dcterms:W3CDTF">2026-10-30T07:48:02Z</dcterms:modified>
</cp:coreProperties>
</file>