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v0.6（20261027）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nvidia/dist/20261025_NVIDIA模型_v0.2.1.xlsx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samsung/dist/20261025_三星電子模型_v0.3.1.xlsx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micron/dist/20261025_美光模型_v0.4.1.xlsx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tsmc/dist/20261025_台積電模型_v0.3.1.xlsx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innolight/dist/20261026_中際旭創模型_v0.2.2.xlsx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532.6</v>
      </c>
      <c r="D15" t="inlineStr">
        <is>
          <t>2026-10-26</t>
        </is>
      </c>
      <c r="E15" t="inlineStr">
        <is>
          <t>microsoft/dist/20261027_Microsoft個股模型_v0.3.xlsx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316.8</v>
      </c>
      <c r="D17" t="inlineStr">
        <is>
          <t>2026-10-26</t>
        </is>
      </c>
      <c r="E17" t="inlineStr">
        <is>
          <t>alphabet/dist/20261027_Alphabet個股模型_v0.3.xlsx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mrvl/dist/20261026_邁威爾模型_v0.2.2.xlsx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cohr/dist/20261026_Coherent模型_v0.2.2.xlsx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lite/dist/20261026_Lumentum模型_v0.2.2.xlsx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eoptolink/dist/20261026_新易盛模型_v0.2.2.xlsx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fabrinet/dist/20261026_Fabrinet模型_v0.1.2.xlsx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crdo/dist/20261026_Credo模型_v0.2.2.xlsx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kyec/dist/20261025_京元電模型_v0.2.1.xlsx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amkr/dist/20261025_艾克爾模型_v0.2.1.xlsx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asml/dist/20261025_ASML模型_v0.2.1.xlsx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amat/dist/20261025_應用材料模型_v0.2.1.xlsx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klac/dist/20261025_科磊模型_v0.2.1.xlsx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hanmi/dist/20261025_韓美半導體模型_v0.2.2.xlsx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foxconn/dist/20261025_鴻海模型_v0.2.1.xlsx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avc/dist/20261025_奇鋐模型_v0.2.1.xlsx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nvidia/dist/20261025_NVIDIA模型_v0.2.1.xlsx Val!B40</t>
        </is>
      </c>
      <c r="J2" s="4" t="n">
        <v>128.622689303977</v>
      </c>
      <c r="K2" t="inlineStr">
        <is>
          <t>nvidia/dist/20261025_NVIDIA模型_v0.2.1.xlsx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nvidia/dist/20261025_NVIDIA模型_v0.2.1.xlsx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nvidia/dist/20261025_NVIDIA模型_v0.2.1.xlsx Val!B43；投資建議 nvidia/dist/20261025_NVIDIA模型_v0.2.1.xlsx Val!B179；級距 nvidia/dist/20261025_NVIDIA模型_v0.2.1.xlsx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avgo/dist/20261025_Broadcom模型_v0.2.1.xlsx Val!B40</t>
        </is>
      </c>
      <c r="J3" s="4" t="n">
        <v>221.914547314327</v>
      </c>
      <c r="K3" t="inlineStr">
        <is>
          <t>avgo/dist/20261025_Broadcom模型_v0.2.1.xlsx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avgo/dist/20261025_Broadcom模型_v0.2.1.xlsx Val!B43；投資建議 avgo/dist/20261025_Broadcom模型_v0.2.1.xlsx Val!B113；級距 avgo/dist/20261025_Broadcom模型_v0.2.1.xlsx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samsung/dist/20261025_三星電子模型_v0.3.1.xlsx Val!B161</t>
        </is>
      </c>
      <c r="J5" s="4" t="n">
        <v>218882.499300042</v>
      </c>
      <c r="K5" t="inlineStr">
        <is>
          <t>samsung/dist/20261025_三星電子模型_v0.3.1.xlsx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samsung/dist/20261025_三星電子模型_v0.3.1.xlsx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samsung/dist/20261025_三星電子模型_v0.3.1.xlsx Val!B164；投資建議 samsung/dist/20261025_三星電子模型_v0.3.1.xlsx Val!B185；級距 samsung/dist/20261025_三星電子模型_v0.3.1.xlsx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micron/dist/20261025_美光模型_v0.4.1.xlsx Val!B208</t>
        </is>
      </c>
      <c r="J6" s="4" t="n">
        <v>321.896486338575</v>
      </c>
      <c r="K6" t="inlineStr">
        <is>
          <t>micron/dist/20261025_美光模型_v0.4.1.xlsx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micron/dist/20261025_美光模型_v0.4.1.xlsx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micron/dist/20261025_美光模型_v0.4.1.xlsx Val!B211；投資建議 micron/dist/20261025_美光模型_v0.4.1.xlsx Val!B232；級距 micron/dist/20261025_美光模型_v0.4.1.xlsx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tsmc/dist/20261025_台積電模型_v0.3.1.xlsx Val!B94</t>
        </is>
      </c>
      <c r="J7" s="4" t="n">
        <v>1495.88897703241</v>
      </c>
      <c r="K7" t="inlineStr">
        <is>
          <t>tsmc/dist/20261025_台積電模型_v0.3.1.xlsx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 s="4" t="inlineStr">
        <is>
          <t>中立</t>
        </is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tsmc/dist/20261025_台積電模型_v0.3.1.xlsx Val!B97；投資建議 tsmc/dist/20261025_台積電模型_v0.3.1.xlsx Val!B116；級距 tsmc/dist/20261025_台積電模型_v0.3.1.xlsx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arista/dist/20261025_Arista模型_v0.2.1.xlsx Val!B40</t>
        </is>
      </c>
      <c r="J8" s="4" t="n">
        <v>66.5504868771763</v>
      </c>
      <c r="K8" t="inlineStr">
        <is>
          <t>arista/dist/20261025_Arista模型_v0.2.1.xlsx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arista/dist/20261025_Arista模型_v0.2.1.xlsx Val!B43；投資建議 arista/dist/20261025_Arista模型_v0.2.1.xlsx Val!B53；級距 arista/dist/20261025_Arista模型_v0.2.1.xlsx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1343.19997585911</v>
      </c>
      <c r="G9" t="inlineStr">
        <is>
          <t>innolight/dist/20261026_中際旭創模型_v0.2.2.xlsx Val!B39</t>
        </is>
      </c>
      <c r="J9" s="4" t="n">
        <v>503.748980706021</v>
      </c>
      <c r="K9" t="inlineStr">
        <is>
          <t>innolight/dist/20261026_中際旭創模型_v0.2.2.xlsx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1.19251420246985</v>
      </c>
      <c r="R9">
        <f>P9/N9-1</f>
        <v/>
      </c>
      <c r="S9" s="4" t="inlineStr">
        <is>
          <t>強力買進</t>
        </is>
      </c>
      <c r="T9">
        <f>2256.55339542562/N9-1</f>
        <v/>
      </c>
      <c r="U9" t="inlineStr">
        <is>
          <t>舊法：規則值情境加權價（參考，Val!B133）</t>
        </is>
      </c>
      <c r="V9" t="inlineStr">
        <is>
          <t>12.7 ／ 15.5 ／ 20.7</t>
        </is>
      </c>
      <c r="W9" s="1" t="inlineStr">
        <is>
          <t>DCF 目標價 822.8（Val!B24）；Comparable 目標價 1,863.6（Val!B40）；市場共識目標價 1,321.0（Val!B41，外部、僅供對照）；價格帶 C～A 情境 DCF 503.7～1,016.9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1134.801727141911</v>
      </c>
      <c r="AF9" s="4" t="n">
        <v>31.8281188474012</v>
      </c>
      <c r="AG9" t="inlineStr">
        <is>
          <t>[Derived] innolight/dist/20261026_中際旭創模型_v0.2.2.xlsx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innolight/dist/20261026_中際旭創模型_v0.2.2.xlsx Val!B42；投資建議 innolight/dist/20261026_中際旭創模型_v0.2.2.xlsx Val!B50；級距 innolight/dist/20261026_中際旭創模型_v0.2.2.xlsx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delta/dist/20261025_台達電模型_v0.2.1.xlsx Val!B119</t>
        </is>
      </c>
      <c r="J10" s="4" t="n">
        <v>639.329478515099</v>
      </c>
      <c r="K10" t="inlineStr">
        <is>
          <t>delta/dist/20261025_台達電模型_v0.2.1.xlsx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 s="4" t="inlineStr">
        <is>
          <t>中立</t>
        </is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delta/dist/20261025_台達電模型_v0.2.1.xlsx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delta/dist/20261025_台達電模型_v0.2.1.xlsx Val!B122；投資建議 delta/dist/20261025_台達電模型_v0.2.1.xlsx Val!B135；級距 delta/dist/20261025_台達電模型_v0.2.1.xlsx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quanta/dist/20261025_廣達模型_v0.2.1.xlsx Val!B120</t>
        </is>
      </c>
      <c r="J11" s="4" t="n">
        <v>404.067828743699</v>
      </c>
      <c r="K11" t="inlineStr">
        <is>
          <t>quanta/dist/20261025_廣達模型_v0.2.1.xlsx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quanta/dist/20261025_廣達模型_v0.2.1.xlsx Val!B123；投資建議 quanta/dist/20261025_廣達模型_v0.2.1.xlsx Val!B136；級距 quanta/dist/20261025_廣達模型_v0.2.1.xlsx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ibiden/dist/20261025_Ibiden模型_v0.2.1.xlsx Val!B96</t>
        </is>
      </c>
      <c r="J12" s="4" t="n">
        <v>1293.75775376326</v>
      </c>
      <c r="K12" t="inlineStr">
        <is>
          <t>ibiden/dist/20261025_Ibiden模型_v0.2.1.xlsx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ibiden/dist/20261025_Ibiden模型_v0.2.1.xlsx Val!B99；投資建議 ibiden/dist/20261025_Ibiden模型_v0.2.1.xlsx Val!B110；級距 ibiden/dist/20261025_Ibiden模型_v0.2.1.xlsx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advantest/dist/20261025_Advantest模型_v0.3.1.xlsx Val!B146</t>
        </is>
      </c>
      <c r="J13" s="4" t="n">
        <v>7893.3662518531</v>
      </c>
      <c r="K13" t="inlineStr">
        <is>
          <t>advantest/dist/20261025_Advantest模型_v0.3.1.xlsx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advantest/dist/20261025_Advantest模型_v0.3.1.xlsx Val!B149；投資建議 advantest/dist/20261025_Advantest模型_v0.3.1.xlsx Val!B158；級距 advantest/dist/20261025_Advantest模型_v0.3.1.xlsx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385.56245022499</v>
      </c>
      <c r="G15" t="inlineStr">
        <is>
          <t>microsoft/dist/20261027_Microsoft個股模型_v0.3.xlsx Val!B36</t>
        </is>
      </c>
      <c r="J15" s="4" t="n">
        <v>283.645287089587</v>
      </c>
      <c r="K15" t="inlineStr">
        <is>
          <t>microsoft/dist/20261027_Microsoft個股模型_v0.3.xlsx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-0.276075008965471</v>
      </c>
      <c r="R15">
        <f>P15/N15-1</f>
        <v/>
      </c>
      <c r="S15" s="4" t="inlineStr">
        <is>
          <t>放空</t>
        </is>
      </c>
      <c r="V15" t="inlineStr">
        <is>
          <t>21.4 ／ 22.6 ／ 24.2</t>
        </is>
      </c>
      <c r="W15" s="1" t="inlineStr">
        <is>
          <t>DCF 目標價 327.6（Val!B14）；Comparable 目標價 443.6（Val!B31）；市場共識目標價 603.4（Val!B38，外部、僅供對照）；價格帶 C～A 情境 DCF 283.6～367.6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375.6、C 148.3）</t>
        </is>
      </c>
      <c r="AD15" t="inlineStr">
        <is>
          <t>情境 B 五年合計 270.9</t>
        </is>
      </c>
      <c r="AE15" s="4" t="n">
        <v>270.92548377809</v>
      </c>
      <c r="AF15" s="4" t="n">
        <v>270.92548377809</v>
      </c>
      <c r="AG15" t="inlineStr">
        <is>
          <t>[Derived] microsoft/dist/20261027_Microsoft個股模型_v0.3.xlsx CF!C5…CF!C5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microsoft/dist/20261027_Microsoft個股模型_v0.3.xlsx Val!B40；投資建議 microsoft/dist/20261027_Microsoft個股模型_v0.3.xlsx Val!B43；級距 microsoft/dist/20261027_Microsoft個股模型_v0.3.xlsx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258.700923108513</v>
      </c>
      <c r="G17" t="inlineStr">
        <is>
          <t>alphabet/dist/20261027_Alphabet個股模型_v0.3.xlsx Val!B8</t>
        </is>
      </c>
      <c r="J17" s="4" t="n">
        <v>159.056504163638</v>
      </c>
      <c r="K17" t="inlineStr">
        <is>
          <t>alphabet/dist/20261027_Alphabet個股模型_v0.3.xlsx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-0.183393550793835</v>
      </c>
      <c r="R17">
        <f>P17/N17-1</f>
        <v/>
      </c>
      <c r="S17" s="4" t="inlineStr">
        <is>
          <t>中立</t>
        </is>
      </c>
      <c r="W17" s="1" t="inlineStr">
        <is>
          <t>DCF 目標價 200.4（Val!B6）；Comparable 目標價 317.0（Val!B7）；市場共識目標價 429.1（Val!B10，外部、僅供對照）；價格帶 C～A 情境 DCF 159.1～231.3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261.2、C 29.8）</t>
        </is>
      </c>
      <c r="AD17" t="inlineStr">
        <is>
          <t>情境 B 五年合計 180.1</t>
        </is>
      </c>
      <c r="AE17" s="4" t="n">
        <v>180.050215907833</v>
      </c>
      <c r="AF17" s="4" t="n">
        <v>180.050215907833</v>
      </c>
      <c r="AG17" t="inlineStr">
        <is>
          <t>[Derived] alphabet/dist/20261027_Alphabet個股模型_v0.3.xlsx CF!C6…CF!C6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alphabet/dist/20261027_Alphabet個股模型_v0.3.xlsx Val!B11；投資建議 alphabet/dist/20261027_Alphabet個股模型_v0.3.xlsx Val!B14；級距 alphabet/dist/20261027_Alphabet個股模型_v0.3.xlsx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oracle/dist/20261027_Oracle個股模型_v0.4.xlsx CF!D4…CF!D4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mediatek/dist/20261025_聯發科模型_v0.1.1.xlsx Val!B39</t>
        </is>
      </c>
      <c r="J27" s="4" t="n">
        <v>1011.80776357573</v>
      </c>
      <c r="K27" t="inlineStr">
        <is>
          <t>mediatek/dist/20261025_聯發科模型_v0.1.1.xlsx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mediatek/dist/20261025_聯發科模型_v0.1.1.xlsx Val!B42；投資建議 mediatek/dist/20261025_聯發科模型_v0.1.1.xlsx Val!B135；級距 mediatek/dist/20261025_聯發科模型_v0.1.1.xlsx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mrvl/dist/20261026_邁威爾模型_v0.2.2.xlsx Val!B40</t>
        </is>
      </c>
      <c r="J28" s="4" t="n">
        <v>71.8838596724305</v>
      </c>
      <c r="K28" t="inlineStr">
        <is>
          <t>mrvl/dist/20261026_邁威爾模型_v0.2.2.xlsx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mrvl/dist/20261026_邁威爾模型_v0.2.2.xlsx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mrvl/dist/20261026_邁威爾模型_v0.2.2.xlsx Val!B43；投資建議 mrvl/dist/20261026_邁威爾模型_v0.2.2.xlsx Val!B151；級距 mrvl/dist/20261026_邁威爾模型_v0.2.2.xlsx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alchip/dist/20261025_世芯-KY模型_v0.1.1.xlsx Val!B39</t>
        </is>
      </c>
      <c r="J29" s="4" t="n">
        <v>1226.24410533878</v>
      </c>
      <c r="K29" t="inlineStr">
        <is>
          <t>alchip/dist/20261025_世芯-KY模型_v0.1.1.xlsx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alchip/dist/20261025_世芯-KY模型_v0.1.1.xlsx Val!B42；投資建議 alchip/dist/20261025_世芯-KY模型_v0.1.1.xlsx Val!B135；級距 alchip/dist/20261025_世芯-KY模型_v0.1.1.xlsx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guc/dist/20261025_創意模型_v0.1.1.xlsx Val!B39</t>
        </is>
      </c>
      <c r="J30" s="4" t="n">
        <v>662.1199432503749</v>
      </c>
      <c r="K30" t="inlineStr">
        <is>
          <t>guc/dist/20261025_創意模型_v0.1.1.xlsx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guc/dist/20261025_創意模型_v0.1.1.xlsx Val!B42；投資建議 guc/dist/20261025_創意模型_v0.1.1.xlsx Val!B135；級距 guc/dist/20261025_創意模型_v0.1.1.xlsx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cohr/dist/20261026_Coherent模型_v0.2.2.xlsx Val!B39</t>
        </is>
      </c>
      <c r="J33" s="4" t="n">
        <v>126.00352198982</v>
      </c>
      <c r="K33" t="inlineStr">
        <is>
          <t>cohr/dist/20261026_Coherent模型_v0.2.2.xlsx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cohr/dist/20261026_Coherent模型_v0.2.2.xlsx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cohr/dist/20261026_Coherent模型_v0.2.2.xlsx Val!B42；投資建議 cohr/dist/20261026_Coherent模型_v0.2.2.xlsx Val!B50；級距 cohr/dist/20261026_Coherent模型_v0.2.2.xlsx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lite/dist/20261026_Lumentum模型_v0.2.2.xlsx Val!B39</t>
        </is>
      </c>
      <c r="J34" s="4" t="n">
        <v>211.148558750336</v>
      </c>
      <c r="K34" t="inlineStr">
        <is>
          <t>lite/dist/20261026_Lumentum模型_v0.2.2.xlsx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lite/dist/20261026_Lumentum模型_v0.2.2.xlsx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lite/dist/20261026_Lumentum模型_v0.2.2.xlsx Val!B42；投資建議 lite/dist/20261026_Lumentum模型_v0.2.2.xlsx Val!B50；級距 lite/dist/20261026_Lumentum模型_v0.2.2.xlsx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791.558609426747</v>
      </c>
      <c r="G35" t="inlineStr">
        <is>
          <t>eoptolink/dist/20261026_新易盛模型_v0.2.2.xlsx Val!B39</t>
        </is>
      </c>
      <c r="J35" s="4" t="n">
        <v>307.265758949729</v>
      </c>
      <c r="K35" t="inlineStr">
        <is>
          <t>eoptolink/dist/20261026_新易盛模型_v0.2.2.xlsx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2.03279160699903</v>
      </c>
      <c r="R35">
        <f>P35/N35-1</f>
        <v/>
      </c>
      <c r="S35" s="4" t="inlineStr">
        <is>
          <t>強力買進</t>
        </is>
      </c>
      <c r="T35">
        <f>1146.39392147938/N35-1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512.7（Val!B24）；Comparable 目標價 1,070.4（Val!B40）；市場共識目標價 460.9（Val!B41，外部、僅供對照）；價格帶 C～A 情境 DCF 307.3～639.5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788.309493718513</v>
      </c>
      <c r="AF35" s="4" t="n">
        <v>20.0605180178692</v>
      </c>
      <c r="AG35" t="inlineStr">
        <is>
          <t>[Derived] eoptolink/dist/20261026_新易盛模型_v0.2.2.xlsx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eoptolink/dist/20261026_新易盛模型_v0.2.2.xlsx Val!B42；投資建議 eoptolink/dist/20261026_新易盛模型_v0.2.2.xlsx Val!B50；級距 eoptolink/dist/20261026_新易盛模型_v0.2.2.xlsx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accton/dist/20261025_智邦模型_v0.2.1.xlsx Val!B39</t>
        </is>
      </c>
      <c r="J36" s="4" t="n">
        <v>1519.31098875966</v>
      </c>
      <c r="K36" t="inlineStr">
        <is>
          <t>accton/dist/20261025_智邦模型_v0.2.1.xlsx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accton/dist/20261025_智邦模型_v0.2.1.xlsx Val!B42；投資建議 accton/dist/20261025_智邦模型_v0.2.1.xlsx Val!B52；級距 accton/dist/20261025_智邦模型_v0.2.1.xlsx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fabrinet/dist/20261026_Fabrinet模型_v0.1.2.xlsx Val!B39</t>
        </is>
      </c>
      <c r="J37" s="4" t="n">
        <v>163.840959069597</v>
      </c>
      <c r="K37" t="inlineStr">
        <is>
          <t>fabrinet/dist/20261026_Fabrinet模型_v0.1.2.xlsx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fabrinet/dist/20261026_Fabrinet模型_v0.1.2.xlsx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fabrinet/dist/20261026_Fabrinet模型_v0.1.2.xlsx Val!B42；投資建議 fabrinet/dist/20261026_Fabrinet模型_v0.1.2.xlsx Val!B50；級距 fabrinet/dist/20261026_Fabrinet模型_v0.1.2.xlsx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crdo/dist/20261026_Credo模型_v0.2.2.xlsx Val!B39</t>
        </is>
      </c>
      <c r="J38" s="4" t="n">
        <v>53.662353127775</v>
      </c>
      <c r="K38" t="inlineStr">
        <is>
          <t>crdo/dist/20261026_Credo模型_v0.2.2.xlsx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crdo/dist/20261026_Credo模型_v0.2.2.xlsx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crdo/dist/20261026_Credo模型_v0.2.2.xlsx Val!B42；投資建議 crdo/dist/20261026_Credo模型_v0.2.2.xlsx Val!B130；級距 crdo/dist/20261026_Credo模型_v0.2.2.xlsx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Labs模型_v0.1.1.xlsx Val!B39</t>
        </is>
      </c>
      <c r="J39" s="4" t="n">
        <v>52.3189901504964</v>
      </c>
      <c r="K39" t="inlineStr">
        <is>
          <t>alab/dist/20261025_Astera Labs模型_v0.1.1.xlsx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alab/dist/20261025_Astera Labs模型_v0.1.1.xlsx Val!B42；投資建議 alab/dist/20261025_Astera Labs模型_v0.1.1.xlsx Val!B130；級距 alab/dist/20261025_Astera Labs模型_v0.1.1.xlsx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kyec/dist/20261025_京元電模型_v0.2.1.xlsx Val!B39</t>
        </is>
      </c>
      <c r="J40" s="4" t="n">
        <v>85.7331075295227</v>
      </c>
      <c r="K40" t="inlineStr">
        <is>
          <t>kyec/dist/20261025_京元電模型_v0.2.1.xlsx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kyec/dist/20261025_京元電模型_v0.2.1.xlsx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kyec/dist/20261025_京元電模型_v0.2.1.xlsx Val!B42；投資建議 kyec/dist/20261025_京元電模型_v0.2.1.xlsx Val!B50；級距 kyec/dist/20261025_京元電模型_v0.2.1.xlsx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amkr/dist/20261025_艾克爾模型_v0.2.1.xlsx Val!B39</t>
        </is>
      </c>
      <c r="J41" s="4" t="n">
        <v>22.0213163292156</v>
      </c>
      <c r="K41" t="inlineStr">
        <is>
          <t>amkr/dist/20261025_艾克爾模型_v0.2.1.xlsx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amkr/dist/20261025_艾克爾模型_v0.2.1.xlsx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amkr/dist/20261025_艾克爾模型_v0.2.1.xlsx Val!B42；投資建議 amkr/dist/20261025_艾克爾模型_v0.2.1.xlsx Val!B50；級距 amkr/dist/20261025_艾克爾模型_v0.2.1.xlsx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emc/dist/20261025_台光電模型_v0.2.1.xlsx Val!B118</t>
        </is>
      </c>
      <c r="J42" s="4" t="n">
        <v>2690.62334592878</v>
      </c>
      <c r="K42" t="inlineStr">
        <is>
          <t>emc/dist/20261025_台光電模型_v0.2.1.xlsx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emc/dist/20261025_台光電模型_v0.2.1.xlsx Val!B121；投資建議 emc/dist/20261025_台光電模型_v0.2.1.xlsx Val!B132；級距 emc/dist/20261025_台光電模型_v0.2.1.xlsx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unimicron/dist/20261025_欣興模型_v0.1.1.xlsx Val!B39</t>
        </is>
      </c>
      <c r="J43" s="4" t="n">
        <v>219.433206126356</v>
      </c>
      <c r="K43" t="inlineStr">
        <is>
          <t>unimicron/dist/20261025_欣興模型_v0.1.1.xlsx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 s="4" t="inlineStr">
        <is>
          <t>放空</t>
        </is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unimicron/dist/20261025_欣興模型_v0.1.1.xlsx Val!B42；投資建議 unimicron/dist/20261025_欣興模型_v0.1.1.xlsx Val!B134；級距 unimicron/dist/20261025_欣興模型_v0.1.1.xlsx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nanya_pcb/dist/20261025_南電模型_v0.1.1.xlsx Val!B39</t>
        </is>
      </c>
      <c r="J44" s="4" t="n">
        <v>262.218925758325</v>
      </c>
      <c r="K44" t="inlineStr">
        <is>
          <t>nanya_pcb/dist/20261025_南電模型_v0.1.1.xlsx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 s="4" t="inlineStr">
        <is>
          <t>放空</t>
        </is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nanya_pcb/dist/20261025_南電模型_v0.1.1.xlsx Val!B42；投資建議 nanya_pcb/dist/20261025_南電模型_v0.1.1.xlsx Val!B134；級距 nanya_pcb/dist/20261025_南電模型_v0.1.1.xlsx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gce/dist/20261025_金像電模型_v0.1.1.xlsx Val!B40</t>
        </is>
      </c>
      <c r="J45" s="4" t="n">
        <v>559.015397539126</v>
      </c>
      <c r="K45" t="inlineStr">
        <is>
          <t>gce/dist/20261025_金像電模型_v0.1.1.xlsx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gce/dist/20261025_金像電模型_v0.1.1.xlsx Val!B43；投資建議 gce/dist/20261025_金像電模型_v0.1.1.xlsx Val!B119；級距 gce/dist/20261025_金像電模型_v0.1.1.xlsx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victory_giant/dist/20261025_勝宏科技模型_v0.1.1.xlsx Val!B39</t>
        </is>
      </c>
      <c r="J46" s="4" t="n">
        <v>98.54908044337679</v>
      </c>
      <c r="K46" t="inlineStr">
        <is>
          <t>victory_giant/dist/20261025_勝宏科技模型_v0.1.1.xlsx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victory_giant/dist/20261025_勝宏科技模型_v0.1.1.xlsx Val!B42；投資建議 victory_giant/dist/20261025_勝宏科技模型_v0.1.1.xlsx Val!B119；級距 victory_giant/dist/20261025_勝宏科技模型_v0.1.1.xlsx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asml/dist/20261025_ASML模型_v0.2.1.xlsx Val!B115</t>
        </is>
      </c>
      <c r="J47" s="4" t="n">
        <v>506.037679478892</v>
      </c>
      <c r="K47" t="inlineStr">
        <is>
          <t>asml/dist/20261025_ASML模型_v0.2.1.xlsx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asml/dist/20261025_ASML模型_v0.2.1.xlsx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asml/dist/20261025_ASML模型_v0.2.1.xlsx Val!B118；投資建議 asml/dist/20261025_ASML模型_v0.2.1.xlsx Val!B126；級距 asml/dist/20261025_ASML模型_v0.2.1.xlsx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amat/dist/20261025_應用材料模型_v0.2.1.xlsx Val!B136</t>
        </is>
      </c>
      <c r="J48" s="4" t="n">
        <v>160.769815499115</v>
      </c>
      <c r="K48" t="inlineStr">
        <is>
          <t>amat/dist/20261025_應用材料模型_v0.2.1.xlsx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amat/dist/20261025_應用材料模型_v0.2.1.xlsx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amat/dist/20261025_應用材料模型_v0.2.1.xlsx Val!B139；投資建議 amat/dist/20261025_應用材料模型_v0.2.1.xlsx Val!B147；級距 amat/dist/20261025_應用材料模型_v0.2.1.xlsx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klac/dist/20261025_科磊模型_v0.2.1.xlsx Val!B129</t>
        </is>
      </c>
      <c r="J50" s="4" t="n">
        <v>57.6757051396901</v>
      </c>
      <c r="K50" t="inlineStr">
        <is>
          <t>klac/dist/20261025_科磊模型_v0.2.1.xlsx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klac/dist/20261025_科磊模型_v0.2.1.xlsx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klac/dist/20261025_科磊模型_v0.2.1.xlsx Val!B132；投資建議 klac/dist/20261025_科磊模型_v0.2.1.xlsx Val!B140；級距 klac/dist/20261025_科磊模型_v0.2.1.xlsx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hanmi/dist/20261025_韓美半導體模型_v0.2.2.xlsx Val!B111</t>
        </is>
      </c>
      <c r="J51" s="4" t="n">
        <v>16072.8325490973</v>
      </c>
      <c r="K51" t="inlineStr">
        <is>
          <t>hanmi/dist/20261025_韓美半導體模型_v0.2.2.xlsx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hanmi/dist/20261025_韓美半導體模型_v0.2.2.xlsx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hanmi/dist/20261025_韓美半導體模型_v0.2.2.xlsx Val!B114；投資建議 hanmi/dist/20261025_韓美半導體模型_v0.2.2.xlsx Val!B123；級距 hanmi/dist/20261025_韓美半導體模型_v0.2.2.xlsx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ter/dist/20261025_泰瑞達模型_v0.1.1.xlsx Val!B126</t>
        </is>
      </c>
      <c r="J52" s="4" t="n">
        <v>153.841873065318</v>
      </c>
      <c r="K52" t="inlineStr">
        <is>
          <t>ter/dist/20261025_泰瑞達模型_v0.1.1.xlsx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ter/dist/20261025_泰瑞達模型_v0.1.1.xlsx Val!B129；投資建議 ter/dist/20261025_泰瑞達模型_v0.1.1.xlsx Val!B138；級距 ter/dist/20261025_泰瑞達模型_v0.1.1.xlsx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towa/dist/20261025_TOWA模型_v0.1.1.xlsx Val!B39</t>
        </is>
      </c>
      <c r="J54" s="4" t="n">
        <v>759.567964433826</v>
      </c>
      <c r="K54" t="inlineStr">
        <is>
          <t>towa/dist/20261025_TOWA模型_v0.1.1.xlsx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towa/dist/20261025_TOWA模型_v0.1.1.xlsx Val!B42；投資建議 towa/dist/20261025_TOWA模型_v0.1.1.xlsx Val!B125；級距 towa/dist/20261025_TOWA模型_v0.1.1.xlsx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accretech/dist/20261025_東京精密模型_v0.1.1.xlsx Val!B40</t>
        </is>
      </c>
      <c r="J55" s="4" t="n">
        <v>6136.30379041145</v>
      </c>
      <c r="K55" t="inlineStr">
        <is>
          <t>accretech/dist/20261025_東京精密模型_v0.1.1.xlsx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accretech/dist/20261025_東京精密模型_v0.1.1.xlsx Val!B43；投資建議 accretech/dist/20261025_東京精密模型_v0.1.1.xlsx Val!B116；級距 accretech/dist/20261025_東京精密模型_v0.1.1.xlsx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foxconn/dist/20261025_鴻海模型_v0.2.1.xlsx Val!B120</t>
        </is>
      </c>
      <c r="J56" s="4" t="n">
        <v>209.885963820218</v>
      </c>
      <c r="K56" t="inlineStr">
        <is>
          <t>foxconn/dist/20261025_鴻海模型_v0.2.1.xlsx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 s="4" t="inlineStr">
        <is>
          <t>買進</t>
        </is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foxconn/dist/20261025_鴻海模型_v0.2.1.xlsx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foxconn/dist/20261025_鴻海模型_v0.2.1.xlsx Val!B123；投資建議 foxconn/dist/20261025_鴻海模型_v0.2.1.xlsx Val!B136；級距 foxconn/dist/20261025_鴻海模型_v0.2.1.xlsx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wistron/dist/20261025_緯創模型_v0.1.1.xlsx Val!B39</t>
        </is>
      </c>
      <c r="J57" s="4" t="n">
        <v>252.685401446693</v>
      </c>
      <c r="K57" t="inlineStr">
        <is>
          <t>wistron/dist/20261025_緯創模型_v0.1.1.xlsx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 s="4" t="inlineStr">
        <is>
          <t>強力買進</t>
        </is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wistron/dist/20261025_緯創模型_v0.1.1.xlsx Val!B42；投資建議 wistron/dist/20261025_緯創模型_v0.1.1.xlsx Val!B136；級距 wistron/dist/20261025_緯創模型_v0.1.1.xlsx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wiwynn/dist/20261025_緯穎模型_v0.1.1.xlsx Val!B39</t>
        </is>
      </c>
      <c r="J58" s="4" t="n">
        <v>2411.99384333378</v>
      </c>
      <c r="K58" t="inlineStr">
        <is>
          <t>wiwynn/dist/20261025_緯穎模型_v0.1.1.xlsx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wiwynn/dist/20261025_緯穎模型_v0.1.1.xlsx Val!B42；投資建議 wiwynn/dist/20261025_緯穎模型_v0.1.1.xlsx Val!B136；級距 wiwynn/dist/20261025_緯穎模型_v0.1.1.xlsx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smci/dist/20261025_美超微模型_v0.1.1.xlsx Val!B39</t>
        </is>
      </c>
      <c r="J60" s="4" t="n">
        <v>31.419993199526</v>
      </c>
      <c r="K60" t="inlineStr">
        <is>
          <t>smci/dist/20261025_美超微模型_v0.1.1.xlsx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smci/dist/20261025_美超微模型_v0.1.1.xlsx Val!B42；投資建議 smci/dist/20261025_美超微模型_v0.1.1.xlsx Val!B136；級距 smci/dist/20261025_美超微模型_v0.1.1.xlsx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3965.52216912282</v>
      </c>
      <c r="G61" t="inlineStr">
        <is>
          <t>avc/dist/20261025_奇鋐模型_v0.2.1.xlsx Val!B119</t>
        </is>
      </c>
      <c r="J61" s="4" t="n">
        <v>1834.66717881608</v>
      </c>
      <c r="K61" t="inlineStr">
        <is>
          <t>avc/dist/20261025_奇鋐模型_v0.2.1.xlsx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671.2521938360467</v>
      </c>
      <c r="AF61" s="4" t="n">
        <v>41.5923093275</v>
      </c>
      <c r="AG61" t="inlineStr">
        <is>
          <t>[Derived] avc/dist/20261025_奇鋐模型_v0.2.1.xlsx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avc/dist/20261025_奇鋐模型_v0.2.1.xlsx Val!B122；投資建議 avc/dist/20261025_奇鋐模型_v0.2.1.xlsx Val!B135；級距 avc/dist/20261025_奇鋐模型_v0.2.1.xlsx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liteon/dist/20261025_光寶模型_v0.1.1.xlsx Val!B40</t>
        </is>
      </c>
      <c r="J62" s="4" t="n">
        <v>120.896373289929</v>
      </c>
      <c r="K62" t="inlineStr">
        <is>
          <t>liteon/dist/20261025_光寶模型_v0.1.1.xlsx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liteon/dist/20261025_光寶模型_v0.1.1.xlsx Val!B43；投資建議 liteon/dist/20261025_光寶模型_v0.1.1.xlsx Val!B119；級距 liteon/dist/20261025_光寶模型_v0.1.1.xlsx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auras/dist/20261025_雙鴻模型_v0.1.1.xlsx Val!B39</t>
        </is>
      </c>
      <c r="J63" s="4" t="n">
        <v>700.059483037327</v>
      </c>
      <c r="K63" t="inlineStr">
        <is>
          <t>auras/dist/20261025_雙鴻模型_v0.1.1.xlsx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auras/dist/20261025_雙鴻模型_v0.1.1.xlsx Val!B42；投資建議 auras/dist/20261025_雙鴻模型_v0.1.1.xlsx Val!B130；級距 auras/dist/20261025_雙鴻模型_v0.1.1.xlsx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jentech/dist/20261025_健策模型_v0.1.1.xlsx Val!B40</t>
        </is>
      </c>
      <c r="J64" s="4" t="n">
        <v>1351.67225447468</v>
      </c>
      <c r="K64" t="inlineStr">
        <is>
          <t>jentech/dist/20261025_健策模型_v0.1.1.xlsx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jentech/dist/20261025_健策模型_v0.1.1.xlsx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jentech/dist/20261025_健策模型_v0.1.1.xlsx Val!B43；投資建議 jentech/dist/20261025_健策模型_v0.1.1.xlsx Val!B46；級距 jentech/dist/20261025_健策模型_v0.1.1.xlsx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2026-10-27T07:45:42Z</dcterms:created>
  <dcterms:modified xmlns:dcterms="http://purl.org/dc/terms/" xmlns:xsi="http://www.w3.org/2001/XMLSchema-instance" xsi:type="dcterms:W3CDTF">2026-10-27T07:45:42Z</dcterms:modified>
</cp:coreProperties>
</file>