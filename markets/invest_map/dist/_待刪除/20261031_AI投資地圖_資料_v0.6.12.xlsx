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v0.6.12（20261031）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advantest/dist/20261031_Advantest個股模型_v0.5.xlsx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disco/dist/20261031_Disco模型_v0.2.3.xlsx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spacex/dist/20261030_SpaceX個股模型_v0.2.1.xlsx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guc/dist/20261030_創意個股模型_v0.1.3.xlsx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kioxia/dist/20261030_Kioxia個股模型_v0.2.1.xlsx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sndk/dist/20261030_SanDisk個股模型_v0.2.1.xlsx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eoptolink/dist/20261031_新易盛個股模型_v0.2.4.xlsx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fabrinet/dist/20261031_Fabrinet個股模型_v0.1.5.xlsx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amkr/dist/20261030_艾克爾個股模型_v0.2.3.xlsx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gce/dist/20261031_金像電個股模型_v0.2.2.xlsx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victory_giant/dist/20261030_勝宏科技個股模型_v0.1.3.xlsx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amat/dist/20261031_應用材料個股模型_v0.3.1.xlsx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lrcx/dist/20261031_科林研發模型_v0.2.2.xlsx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klac/dist/20261030_科磊個股模型_v0.2.3.xlsx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hanmi/dist/20261031_韓美半導體個股模型_v0.2.5.xlsx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ter/dist/20261031_泰瑞達個股模型_v0.2.1.xlsx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besi/dist/20261031_BESI模型_v0.1.3.xlsx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accretech/dist/20261031_東京精密個股模型_v0.1.3.xlsx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smci/dist/20261031_美超微個股模型_v0.1.4.xlsx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avc/dist/20261031_奇鋐個股模型_v0.2.4.xlsx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liteon/dist/20261031_光寶個股模型_v0.2.2.xlsx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auras/dist/20261031_雙鴻個股模型_v0.1.4.xlsx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jentech/dist/20261031_健策個股模型_v0.1.4.xlsx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498385.252032642</v>
      </c>
      <c r="G5" t="inlineStr">
        <is>
          <t>samsung/dist/20261030_三星電子個股模型_v0.4.xlsx Val!B161</t>
        </is>
      </c>
      <c r="J5" s="4" t="n">
        <v>225074.605880003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1.31269258483825</v>
      </c>
      <c r="R5">
        <f>P5/N5-1</f>
        <v/>
      </c>
      <c r="S5" s="4" t="inlineStr">
        <is>
          <t>強力買進</t>
        </is>
      </c>
      <c r="T5">
        <f>256534.436857996/N5-1</f>
        <v/>
      </c>
      <c r="U5" t="inlineStr">
        <is>
          <t>舊法：規則值情境加權價（參考，Val!B176）</t>
        </is>
      </c>
      <c r="W5" s="1" t="inlineStr">
        <is>
          <t>DCF 目標價 506,369.9（Val!B146）；Comparable 目標價 472,621.4（Val!B162）；市場共識目標價 478,906.0（Val!B163，外部、僅供對照）；價格帶 C～A 情境 DCF 225,074.6～858,019.2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521.3、2028 A 577.1、2029 A 627.9、2027 B 507.4、2028 B 281.5、2029 B 332.1、2027 C 507.4、2028 C 169.5、2029 C 141.0</t>
        </is>
      </c>
      <c r="AE5" s="4" t="n">
        <v>3940.342975889151</v>
      </c>
      <c r="AF5" s="4" t="n">
        <v>140.958188559407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24506.9998824182</v>
      </c>
      <c r="G13" t="inlineStr">
        <is>
          <t>advantest/dist/20261031_Advantest個股模型_v0.5.xlsx Val!B146</t>
        </is>
      </c>
      <c r="J13" s="4" t="n">
        <v>8002.1711268528</v>
      </c>
      <c r="K13" t="inlineStr">
        <is>
          <t>advantest/dist/20261031_Advantest個股模型_v0.5.xlsx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-0.242207795843593</v>
      </c>
      <c r="R13">
        <f>P13/N13-1</f>
        <v/>
      </c>
      <c r="S13" s="4" t="inlineStr">
        <is>
          <t>中立</t>
        </is>
      </c>
      <c r="T13">
        <f>25263.6536541836/N13-1</f>
        <v/>
      </c>
      <c r="U13" t="inlineStr">
        <is>
          <t>舊法：規則值情境加權價（參考，Val!B102）</t>
        </is>
      </c>
      <c r="W13" s="1" t="inlineStr">
        <is>
          <t>DCF 目標價 16,923.7（Val!B131）；Comparable 目標價 30,713.4（Val!B147）；市場共識目標價 42,686.0（Val!B148，外部、僅供對照）；價格帶 C～A 情境 DCF 8,002.2～23,675.0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8012.282463924879</v>
      </c>
      <c r="AF13" s="4" t="n">
        <v>577.226226151972</v>
      </c>
      <c r="AG13" t="inlineStr">
        <is>
          <t>[Derived] advantest/dist/20261031_Advantest個股模型_v0.5.xlsx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0%～−25%</t>
        </is>
      </c>
      <c r="AK13" s="1" t="inlineStr">
        <is>
          <t>上檔空間 advantest/dist/20261031_Advantest個股模型_v0.5.xlsx Val!B149；投資建議 advantest/dist/20261031_Advantest個股模型_v0.5.xlsx Val!B158；級距 advantest/dist/20261031_Advantest個股模型_v0.5.xlsx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disco/dist/20261031_Disco模型_v0.2.3.xlsx Val!B107</t>
        </is>
      </c>
      <c r="J14" s="4" t="n">
        <v>16343.6091101662</v>
      </c>
      <c r="K14" t="inlineStr">
        <is>
          <t>disco/dist/20261031_Disco模型_v0.2.3.xlsx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disco/dist/20261031_Disco模型_v0.2.3.xlsx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disco/dist/20261031_Disco模型_v0.2.3.xlsx Val!B110；投資建議 disco/dist/20261031_Disco模型_v0.2.3.xlsx Val!B119；級距 disco/dist/20261031_Disco模型_v0.2.3.xlsx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844.097170627898</v>
      </c>
      <c r="G19" t="inlineStr">
        <is>
          <t>meta/dist/20261030_Meta個股模型_v0.1.1.xlsx Val!B8</t>
        </is>
      </c>
      <c r="J19" s="4" t="n">
        <v>671.066135194957</v>
      </c>
      <c r="K19" t="inlineStr">
        <is>
          <t>meta/dist/20261030_Meta個股模型_v0.1.1.xlsx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0.378140329846851</v>
      </c>
      <c r="R19">
        <f>P19/N19-1</f>
        <v/>
      </c>
      <c r="S19" s="4" t="inlineStr">
        <is>
          <t>買進</t>
        </is>
      </c>
      <c r="W19" s="1" t="inlineStr">
        <is>
          <t>DCF 目標價 792.6（Val!B6）；Comparable 目標價 895.6（Val!B7）；市場共識目標價 833.1（Val!B10，外部、僅供對照）；價格帶 C～A 情境 DCF 671.1～914.1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14.9797695854028</v>
      </c>
      <c r="AF19" s="4" t="n">
        <v>14.9797695854028</v>
      </c>
      <c r="AG19" t="inlineStr">
        <is>
          <t>[Derived] meta/dist/20261030_Meta個股模型_v0.1.1.xlsx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meta/dist/20261030_Meta個股模型_v0.1.1.xlsx Val!B11；投資建議 meta/dist/20261030_Meta個股模型_v0.1.1.xlsx Val!B14；級距 meta/dist/20261030_Meta個股模型_v0.1.1.xlsx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34.7863881219001</v>
      </c>
      <c r="G20" t="inlineStr">
        <is>
          <t>spacex/dist/20261030_SpaceX個股模型_v0.2.1.xlsx Val!B8</t>
        </is>
      </c>
      <c r="J20" s="4" t="n">
        <v>7.81397248730432</v>
      </c>
      <c r="K20" t="inlineStr">
        <is>
          <t>spacex/dist/20261030_SpaceX個股模型_v0.2.1.xlsx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-0.758243184919729</v>
      </c>
      <c r="R20">
        <f>P20/N20-1</f>
        <v/>
      </c>
      <c r="S20" s="4" t="inlineStr">
        <is>
          <t>強力放空</t>
        </is>
      </c>
      <c r="W20" s="1" t="inlineStr">
        <is>
          <t>DCF 目標價 23.3（Val!B6）；Comparable 目標價 46.2（Val!B7）；市場共識目標價 245.0（Val!B10，外部、僅供對照）；價格帶 C～A 情境 DCF 7.8～41.5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-176.6、C -300.9）</t>
        </is>
      </c>
      <c r="AD20" t="inlineStr">
        <is>
          <t>情境 B 五年合計 -248.5</t>
        </is>
      </c>
      <c r="AE20" s="4" t="n">
        <v>-248.521527458859</v>
      </c>
      <c r="AF20" s="4" t="n">
        <v>-248.521527458859</v>
      </c>
      <c r="AG20" t="inlineStr">
        <is>
          <t>[Derived] spacex/dist/20261030_SpaceX個股模型_v0.2.1.xlsx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spacex/dist/20261030_SpaceX個股模型_v0.2.1.xlsx Val!B11；投資建議 spacex/dist/20261030_SpaceX個股模型_v0.2.1.xlsx Val!B14；級距 spacex/dist/20261030_SpaceX個股模型_v0.2.1.xlsx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3911.30104629894</v>
      </c>
      <c r="G32" t="inlineStr">
        <is>
          <t>guc/dist/20261030_創意個股模型_v0.1.3.xlsx Val!B39</t>
        </is>
      </c>
      <c r="J32" s="4" t="n">
        <v>662.1199432503749</v>
      </c>
      <c r="K32" t="inlineStr">
        <is>
          <t>guc/dist/20261030_創意個股模型_v0.1.3.xlsx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-0.484337370296779</v>
      </c>
      <c r="R32">
        <f>P32/N32-1</f>
        <v/>
      </c>
      <c r="S32" s="4" t="inlineStr">
        <is>
          <t>放空</t>
        </is>
      </c>
      <c r="V32" t="inlineStr">
        <is>
          <t>38.4 ／ 66.9 ／ 150.3</t>
        </is>
      </c>
      <c r="W32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342.4490553861288</v>
      </c>
      <c r="AF32" s="4" t="n">
        <v>6.09163501040108</v>
      </c>
      <c r="AG32" t="inlineStr">
        <is>
          <t>[Derived] guc/dist/20261030_創意個股模型_v0.1.3.xlsx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guc/dist/20261030_創意個股模型_v0.1.3.xlsx Val!B42；投資建議 guc/dist/20261030_創意個股模型_v0.1.3.xlsx Val!B135；級距 guc/dist/20261030_創意個股模型_v0.1.3.xlsx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22465.1722139785</v>
      </c>
      <c r="G33" t="inlineStr">
        <is>
          <t>kioxia/dist/20261030_Kioxia個股模型_v0.2.1.xlsx Val!B49</t>
        </is>
      </c>
      <c r="J33" s="4" t="n">
        <v>8833.830738950141</v>
      </c>
      <c r="K33" t="inlineStr">
        <is>
          <t>kioxia/dist/20261030_Kioxia個股模型_v0.2.1.xlsx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0.761283591844647</v>
      </c>
      <c r="R33">
        <f>P33/N33-1</f>
        <v/>
      </c>
      <c r="S33" s="4" t="inlineStr">
        <is>
          <t>強力買進</t>
        </is>
      </c>
      <c r="T33">
        <f>13291.9681066088/N33-1</f>
        <v/>
      </c>
      <c r="U33" t="inlineStr">
        <is>
          <t>舊法：規則值情境加權價（參考，Val!B155）</t>
        </is>
      </c>
      <c r="V33" t="inlineStr">
        <is>
          <t>2.2 ／ 8.8 ／ 21.3</t>
        </is>
      </c>
      <c r="W33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76831.5922583466</v>
      </c>
      <c r="AF33" s="4" t="n">
        <v>888.696562503859</v>
      </c>
      <c r="AG33" t="inlineStr">
        <is>
          <t>[Derived] kioxia/dist/20261030_Kioxia個股模型_v0.2.1.xlsx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kioxia/dist/20261030_Kioxia個股模型_v0.2.1.xlsx Val!B52；投資建議 kioxia/dist/20261030_Kioxia個股模型_v0.2.1.xlsx Val!B55；級距 kioxia/dist/20261030_Kioxia個股模型_v0.2.1.xlsx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954.642410125009</v>
      </c>
      <c r="G34" t="inlineStr">
        <is>
          <t>sndk/dist/20261030_SanDisk個股模型_v0.2.1.xlsx Val!B49</t>
        </is>
      </c>
      <c r="J34" s="4" t="n">
        <v>493.729904251831</v>
      </c>
      <c r="K34" t="inlineStr">
        <is>
          <t>sndk/dist/20261030_SanDisk個股模型_v0.2.1.xlsx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-0.228902037814101</v>
      </c>
      <c r="R34">
        <f>P34/N34-1</f>
        <v/>
      </c>
      <c r="S34" s="4" t="inlineStr">
        <is>
          <t>中立</t>
        </is>
      </c>
      <c r="T34">
        <f>456.06461830986/N34-1</f>
        <v/>
      </c>
      <c r="U34" t="inlineStr">
        <is>
          <t>舊法：規則值情境加權價（參考，Val!B155）</t>
        </is>
      </c>
      <c r="V34" t="inlineStr">
        <is>
          <t>3.6 ／ 5.6 ／ 6.3</t>
        </is>
      </c>
      <c r="W34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288.0673061089713</v>
      </c>
      <c r="AF34" s="4" t="n">
        <v>3.615</v>
      </c>
      <c r="AG34" t="inlineStr">
        <is>
          <t>[Derived] sndk/dist/20261030_SanDisk個股模型_v0.2.1.xlsx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sndk/dist/20261030_SanDisk個股模型_v0.2.1.xlsx Val!B52；投資建議 sndk/dist/20261030_SanDisk個股模型_v0.2.1.xlsx Val!B55；級距 sndk/dist/20261030_SanDisk個股模型_v0.2.1.xlsx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eoptolink/dist/20261031_新易盛個股模型_v0.2.4.xlsx Val!B39</t>
        </is>
      </c>
      <c r="J37" s="4" t="n">
        <v>306.597966415317</v>
      </c>
      <c r="K37" t="inlineStr">
        <is>
          <t>eoptolink/dist/20261031_新易盛個股模型_v0.2.4.xlsx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eoptolink/dist/20261031_新易盛個股模型_v0.2.4.xlsx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eoptolink/dist/20261031_新易盛個股模型_v0.2.4.xlsx Val!B42；投資建議 eoptolink/dist/20261031_新易盛個股模型_v0.2.4.xlsx Val!B50；級距 eoptolink/dist/20261031_新易盛個股模型_v0.2.4.xlsx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fabrinet/dist/20261031_Fabrinet個股模型_v0.1.5.xlsx Val!B39</t>
        </is>
      </c>
      <c r="J39" s="4" t="n">
        <v>163.840959069597</v>
      </c>
      <c r="K39" t="inlineStr">
        <is>
          <t>fabrinet/dist/20261031_Fabrinet個股模型_v0.1.5.xlsx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fabrinet/dist/20261031_Fabrinet個股模型_v0.1.5.xlsx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fabrinet/dist/20261031_Fabrinet個股模型_v0.1.5.xlsx Val!B42；投資建議 fabrinet/dist/20261031_Fabrinet個股模型_v0.1.5.xlsx Val!B50；級距 fabrinet/dist/20261031_Fabrinet個股模型_v0.1.5.xlsx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66.3976000656303</v>
      </c>
      <c r="G43" t="inlineStr">
        <is>
          <t>amkr/dist/20261030_艾克爾個股模型_v0.2.3.xlsx Val!B39</t>
        </is>
      </c>
      <c r="J43" s="4" t="n">
        <v>22.0213163292156</v>
      </c>
      <c r="K43" t="inlineStr">
        <is>
          <t>amkr/dist/20261030_艾克爾個股模型_v0.2.3.xlsx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0.6895063629931379</v>
      </c>
      <c r="R43">
        <f>P43/N43-1</f>
        <v/>
      </c>
      <c r="S43" s="4" t="inlineStr">
        <is>
          <t>強力買進</t>
        </is>
      </c>
      <c r="V43" t="inlineStr">
        <is>
          <t>9.8 ／ 12.1 ／ 17.0</t>
        </is>
      </c>
      <c r="W43" s="1" t="inlineStr">
        <is>
          <t>DCF 目標價 36.0（Val!B24）；Comparable 目標價 75.3（Val!B40）；市場共識目標價 76.4（Val!B41，外部、僅供對照）；價格帶 C～A 情境 DCF 22.0～48.9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17601.2910409353</v>
      </c>
      <c r="AF43" s="4" t="n">
        <v>579.138472970483</v>
      </c>
      <c r="AG43" t="inlineStr">
        <is>
          <t>[Derived] amkr/dist/20261030_艾克爾個股模型_v0.2.3.xlsx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amkr/dist/20261030_艾克爾個股模型_v0.2.3.xlsx Val!B42；投資建議 amkr/dist/20261030_艾克爾個股模型_v0.2.3.xlsx Val!B50；級距 amkr/dist/20261030_艾克爾個股模型_v0.2.3.xlsx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gce/dist/20261031_金像電個股模型_v0.2.2.xlsx Val!B40</t>
        </is>
      </c>
      <c r="J47" s="4" t="n">
        <v>559.015397539127</v>
      </c>
      <c r="K47" t="inlineStr">
        <is>
          <t>gce/dist/20261031_金像電個股模型_v0.2.2.xlsx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gce/dist/20261031_金像電個股模型_v0.2.2.xlsx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gce/dist/20261031_金像電個股模型_v0.2.2.xlsx Val!B43；投資建議 gce/dist/20261031_金像電個股模型_v0.2.2.xlsx Val!B119；級距 gce/dist/20261031_金像電個股模型_v0.2.2.xlsx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303.23769506379</v>
      </c>
      <c r="G48" t="inlineStr">
        <is>
          <t>victory_giant/dist/20261030_勝宏科技個股模型_v0.1.3.xlsx Val!B39</t>
        </is>
      </c>
      <c r="J48" s="4" t="n">
        <v>98.54908044337679</v>
      </c>
      <c r="K48" t="inlineStr">
        <is>
          <t>victory_giant/dist/20261030_勝宏科技個股模型_v0.1.3.xlsx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0.652701629953071</v>
      </c>
      <c r="R48">
        <f>P48/N48-1</f>
        <v/>
      </c>
      <c r="S48" s="4" t="inlineStr">
        <is>
          <t>強力買進</t>
        </is>
      </c>
      <c r="V48" t="inlineStr">
        <is>
          <t>10.3 ／ 12.7 ／ 16.9</t>
        </is>
      </c>
      <c r="W48" s="1" t="inlineStr">
        <is>
          <t>DCF 目標價 202.7（Val!B24）；Comparable 目標價 443.0（Val!B40）；市場共識目標價 388.3（Val!B41，外部、僅供對照）；價格帶 C～A 情境 DCF 98.5～287.4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253.1375330231432</v>
      </c>
      <c r="AF48" s="4" t="n">
        <v>6.5441924845173</v>
      </c>
      <c r="AG48" t="inlineStr">
        <is>
          <t>[Derived] victory_giant/dist/20261030_勝宏科技個股模型_v0.1.3.xlsx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victory_giant/dist/20261030_勝宏科技個股模型_v0.1.3.xlsx Val!B42；投資建議 victory_giant/dist/20261030_勝宏科技個股模型_v0.1.3.xlsx Val!B119；級距 victory_giant/dist/20261030_勝宏科技個股模型_v0.1.3.xlsx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amat/dist/20261031_應用材料個股模型_v0.3.1.xlsx Val!B136</t>
        </is>
      </c>
      <c r="J50" s="4" t="n">
        <v>157.851750497325</v>
      </c>
      <c r="K50" t="inlineStr">
        <is>
          <t>amat/dist/20261031_應用材料個股模型_v0.3.1.xlsx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amat/dist/20261031_應用材料個股模型_v0.3.1.xlsx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amat/dist/20261031_應用材料個股模型_v0.3.1.xlsx Val!B139；投資建議 amat/dist/20261031_應用材料個股模型_v0.3.1.xlsx Val!B147；級距 amat/dist/20261031_應用材料個股模型_v0.3.1.xlsx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lrcx/dist/20261031_科林研發模型_v0.2.2.xlsx Val!B128</t>
        </is>
      </c>
      <c r="J51" s="4" t="n">
        <v>84.2738802564408</v>
      </c>
      <c r="K51" t="inlineStr">
        <is>
          <t>lrcx/dist/20261031_科林研發模型_v0.2.2.xlsx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lrcx/dist/20261031_科林研發模型_v0.2.2.xlsx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lrcx/dist/20261031_科林研發模型_v0.2.2.xlsx Val!B131；投資建議 lrcx/dist/20261031_科林研發模型_v0.2.2.xlsx Val!B139；級距 lrcx/dist/20261031_科林研發模型_v0.2.2.xlsx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115.214159960343</v>
      </c>
      <c r="G52" t="inlineStr">
        <is>
          <t>klac/dist/20261030_科磊個股模型_v0.2.3.xlsx Val!B129</t>
        </is>
      </c>
      <c r="J52" s="4" t="n">
        <v>56.7108361314931</v>
      </c>
      <c r="K52" t="inlineStr">
        <is>
          <t>klac/dist/20261030_科磊個股模型_v0.2.3.xlsx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-0.208748300526457</v>
      </c>
      <c r="R52">
        <f>P52/N52-1</f>
        <v/>
      </c>
      <c r="S52" s="4" t="inlineStr">
        <is>
          <t>中立</t>
        </is>
      </c>
      <c r="T52">
        <f>100.795455288212/N52-1</f>
        <v/>
      </c>
      <c r="U52" t="inlineStr">
        <is>
          <t>舊法：規則值情境加權價（參考，Val!B6）</t>
        </is>
      </c>
      <c r="V52" t="inlineStr">
        <is>
          <t>23.4 ／ 25.3 ／ 29.0</t>
        </is>
      </c>
      <c r="W52" s="1" t="inlineStr">
        <is>
          <t>DCF 目標價 92.2（Val!B114）；Comparable 目標價 145.2（Val!B130）；市場共識目標價 232.4（Val!B131，外部、僅供對照）；價格帶 C～A 情境 DCF 56.7～128.5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65343.49525844767</v>
      </c>
      <c r="AF52" s="4" t="n">
        <v>5998.2322195524</v>
      </c>
      <c r="AG52" t="inlineStr">
        <is>
          <t>[Derived] klac/dist/20261030_科磊個股模型_v0.2.3.xlsx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klac/dist/20261030_科磊個股模型_v0.2.3.xlsx Val!B132；投資建議 klac/dist/20261030_科磊個股模型_v0.2.3.xlsx Val!B140；級距 klac/dist/20261030_科磊個股模型_v0.2.3.xlsx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hanmi/dist/20261031_韓美半導體個股模型_v0.2.5.xlsx Val!B111</t>
        </is>
      </c>
      <c r="J53" s="4" t="n">
        <v>16072.8325490973</v>
      </c>
      <c r="K53" t="inlineStr">
        <is>
          <t>hanmi/dist/20261031_韓美半導體個股模型_v0.2.5.xlsx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hanmi/dist/20261031_韓美半導體個股模型_v0.2.5.xlsx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hanmi/dist/20261031_韓美半導體個股模型_v0.2.5.xlsx Val!B114；投資建議 hanmi/dist/20261031_韓美半導體個股模型_v0.2.5.xlsx Val!B123；級距 hanmi/dist/20261031_韓美半導體個股模型_v0.2.5.xlsx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354.251953735619</v>
      </c>
      <c r="G54" t="inlineStr">
        <is>
          <t>ter/dist/20261031_泰瑞達個股模型_v0.2.1.xlsx Val!B126</t>
        </is>
      </c>
      <c r="J54" s="4" t="n">
        <v>153.311331405361</v>
      </c>
      <c r="K54" t="inlineStr">
        <is>
          <t>ter/dist/20261031_泰瑞達個股模型_v0.2.1.xlsx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0.147003249912964</v>
      </c>
      <c r="R54">
        <f>P54/N54-1</f>
        <v/>
      </c>
      <c r="S54" s="4" t="inlineStr">
        <is>
          <t>中立</t>
        </is>
      </c>
      <c r="T54">
        <f>385.982075792829/N54-1</f>
        <v/>
      </c>
      <c r="U54" t="inlineStr">
        <is>
          <t>舊法：規則值情境加權價（參考，Val!B82）</t>
        </is>
      </c>
      <c r="V54" t="inlineStr">
        <is>
          <t>18.7 ／ 22.0 ／ 25.2</t>
        </is>
      </c>
      <c r="W54" s="1" t="inlineStr">
        <is>
          <t>DCF 目標價 218.3（Val!B111）；Comparable 目標價 402.6（Val!B127）；市場共識目標價 446.5（Val!B128，外部、僅供對照）；價格帶 C～A 情境 DCF 153.3～284.7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22355.79870471855</v>
      </c>
      <c r="AF54" s="4" t="n">
        <v>1385.276</v>
      </c>
      <c r="AG54" t="inlineStr">
        <is>
          <t>[Derived] ter/dist/20261031_泰瑞達個股模型_v0.2.1.xlsx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ter/dist/20261031_泰瑞達個股模型_v0.2.1.xlsx Val!B129；投資建議 ter/dist/20261031_泰瑞達個股模型_v0.2.1.xlsx Val!B138；級距 ter/dist/20261031_泰瑞達個股模型_v0.2.1.xlsx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besi/dist/20261031_BESI模型_v0.1.3.xlsx Val!B112</t>
        </is>
      </c>
      <c r="J55" s="4" t="n">
        <v>43.9240158537741</v>
      </c>
      <c r="K55" t="inlineStr">
        <is>
          <t>besi/dist/20261031_BESI模型_v0.1.3.xlsx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besi/dist/20261031_BESI模型_v0.1.3.xlsx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besi/dist/20261031_BESI模型_v0.1.3.xlsx Val!B115；投資建議 besi/dist/20261031_BESI模型_v0.1.3.xlsx Val!B124；級距 besi/dist/20261031_BESI模型_v0.1.3.xlsx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accretech/dist/20261031_東京精密個股模型_v0.1.3.xlsx Val!B40</t>
        </is>
      </c>
      <c r="J57" s="4" t="n">
        <v>6131.42686806188</v>
      </c>
      <c r="K57" t="inlineStr">
        <is>
          <t>accretech/dist/20261031_東京精密個股模型_v0.1.3.xlsx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accretech/dist/20261031_東京精密個股模型_v0.1.3.xlsx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accretech/dist/20261031_東京精密個股模型_v0.1.3.xlsx Val!B43；投資建議 accretech/dist/20261031_東京精密個股模型_v0.1.3.xlsx Val!B116；級距 accretech/dist/20261031_東京精密個股模型_v0.1.3.xlsx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smci/dist/20261031_美超微個股模型_v0.1.4.xlsx Val!B39</t>
        </is>
      </c>
      <c r="J62" s="4" t="n">
        <v>31.419993199526</v>
      </c>
      <c r="K62" t="inlineStr">
        <is>
          <t>smci/dist/20261031_美超微個股模型_v0.1.4.xlsx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smci/dist/20261031_美超微個股模型_v0.1.4.xlsx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smci/dist/20261031_美超微個股模型_v0.1.4.xlsx Val!B42；投資建議 smci/dist/20261031_美超微個股模型_v0.1.4.xlsx Val!B136；級距 smci/dist/20261031_美超微個股模型_v0.1.4.xlsx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avc/dist/20261031_奇鋐個股模型_v0.2.4.xlsx Val!B119</t>
        </is>
      </c>
      <c r="J63" s="4" t="n">
        <v>1834.66717881609</v>
      </c>
      <c r="K63" t="inlineStr">
        <is>
          <t>avc/dist/20261031_奇鋐個股模型_v0.2.4.xlsx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avc/dist/20261031_奇鋐個股模型_v0.2.4.xlsx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avc/dist/20261031_奇鋐個股模型_v0.2.4.xlsx Val!B122；投資建議 avc/dist/20261031_奇鋐個股模型_v0.2.4.xlsx Val!B135；級距 avc/dist/20261031_奇鋐個股模型_v0.2.4.xlsx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319.137160914582</v>
      </c>
      <c r="G64" t="inlineStr">
        <is>
          <t>liteon/dist/20261031_光寶個股模型_v0.2.2.xlsx Val!B40</t>
        </is>
      </c>
      <c r="J64" s="4" t="n">
        <v>120.655384312938</v>
      </c>
      <c r="K64" t="inlineStr">
        <is>
          <t>liteon/dist/20261031_光寶個股模型_v0.2.2.xlsx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0.249069122953353</v>
      </c>
      <c r="R64">
        <f>P64/N64-1</f>
        <v/>
      </c>
      <c r="S64" s="4" t="inlineStr">
        <is>
          <t>中立</t>
        </is>
      </c>
      <c r="V64" t="inlineStr">
        <is>
          <t>8.5 ／ 12.2 ／ 18.7</t>
        </is>
      </c>
      <c r="W64" s="1" t="inlineStr">
        <is>
          <t>DCF 目標價 318.4（Val!B24）；Comparable 目標價 528.7（Val!B41）；市場共識目標價 314.2（Val!B42，外部、僅供對照）；價格帶 C～A 情境 DCF 120.7～530.4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1036.70410106156</v>
      </c>
      <c r="AF64" s="4" t="n">
        <v>20.4329207236288</v>
      </c>
      <c r="AG64" t="inlineStr">
        <is>
          <t>[Derived] liteon/dist/20261031_光寶個股模型_v0.2.2.xlsx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0%–25%</t>
        </is>
      </c>
      <c r="AK64" s="1" t="inlineStr">
        <is>
          <t>上檔空間 liteon/dist/20261031_光寶個股模型_v0.2.2.xlsx Val!B43；投資建議 liteon/dist/20261031_光寶個股模型_v0.2.2.xlsx Val!B119；級距 liteon/dist/20261031_光寶個股模型_v0.2.2.xlsx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auras/dist/20261031_雙鴻個股模型_v0.1.4.xlsx Val!B39</t>
        </is>
      </c>
      <c r="J65" s="4" t="n">
        <v>700.0594830373281</v>
      </c>
      <c r="K65" t="inlineStr">
        <is>
          <t>auras/dist/20261031_雙鴻個股模型_v0.1.4.xlsx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auras/dist/20261031_雙鴻個股模型_v0.1.4.xlsx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auras/dist/20261031_雙鴻個股模型_v0.1.4.xlsx Val!B42；投資建議 auras/dist/20261031_雙鴻個股模型_v0.1.4.xlsx Val!B130；級距 auras/dist/20261031_雙鴻個股模型_v0.1.4.xlsx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jentech/dist/20261031_健策個股模型_v0.1.4.xlsx Val!B40</t>
        </is>
      </c>
      <c r="J66" s="4" t="n">
        <v>1351.67225447468</v>
      </c>
      <c r="K66" t="inlineStr">
        <is>
          <t>jentech/dist/20261031_健策個股模型_v0.1.4.xlsx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jentech/dist/20261031_健策個股模型_v0.1.4.xlsx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jentech/dist/20261031_健策個股模型_v0.1.4.xlsx Val!B43；投資建議 jentech/dist/20261031_健策個股模型_v0.1.4.xlsx Val!B46；級距 jentech/dist/20261031_健策個股模型_v0.1.4.xlsx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2026-10-30T20:00:08Z</dcterms:created>
  <dcterms:modified xmlns:dcterms="http://purl.org/dc/terms/" xmlns:xsi="http://www.w3.org/2001/XMLSchema-instance" xsi:type="dcterms:W3CDTF">2026-10-30T20:00:08Z</dcterms:modified>
</cp:coreProperties>
</file>