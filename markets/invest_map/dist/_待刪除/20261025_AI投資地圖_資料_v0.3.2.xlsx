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tier_center">參數!$B$2</definedName>
    <definedName name="tier_bear">參數!$B$3</definedName>
    <definedName name="tier_rich">參數!$B$4</definedName>
    <definedName name="w_irr">參數!$B$5</definedName>
    <definedName name="w_pos">參數!$B$6</definedName>
    <definedName name="w_vc">參數!$B$7</definedName>
    <definedName name="s_irr1">參數!$B$8</definedName>
    <definedName name="s_irr2">參數!$B$9</definedName>
    <definedName name="s_irr3">參數!$B$10</definedName>
    <definedName name="s_pos1">參數!$B$11</definedName>
    <definedName name="s_pos2">參數!$B$12</definedName>
    <definedName name="s_pos3">參數!$B$13</definedName>
    <definedName name="s_pos4">參數!$B$14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v0.3.2（20261025）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可投資性口徑（預設，Andy 可改）：中心價＝各模型主口徑；半導體 P/E 類取「十年倍數規則值」與「Andy 先驗合理 P/E」兩者較低者；規則值不適用者（NVDA、AVGO、Ibiden）只用 Andy 合理 P/E，標「替代口徑」；記憶體以 P/B 規則值為主、P/E 規則值為對照；雲端與 neocloud 用模型加權目標價與情境下緣；MiniMax 用反向檢驗折現價值。空間＝隱含價 ÷ 10-23 收盤價 − 1，未折現。</t>
        </is>
      </c>
    </row>
    <row r="10">
      <c r="A10" s="1" t="inlineStr">
        <is>
          <t>分級：中心空間 ≥ 參數 tier_center 且下檔 ≥ tier_bear → 機會；中心 &lt; tier_rich → 偏貴；其餘 → 觀察。</t>
        </is>
      </c>
    </row>
    <row r="11">
      <c r="A11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tier_center</t>
        </is>
      </c>
      <c r="B2" s="3" t="n">
        <v>0.2</v>
      </c>
      <c r="C2" t="inlineStr">
        <is>
          <t>「機會」：中心空間至少</t>
        </is>
      </c>
    </row>
    <row r="3">
      <c r="A3" t="inlineStr">
        <is>
          <t>tier_bear</t>
        </is>
      </c>
      <c r="B3" s="3" t="n">
        <v>-0.25</v>
      </c>
      <c r="C3" t="inlineStr">
        <is>
          <t>「機會」：下檔空間不低於</t>
        </is>
      </c>
    </row>
    <row r="4">
      <c r="A4" t="inlineStr">
        <is>
          <t>tier_rich</t>
        </is>
      </c>
      <c r="B4" s="3" t="n">
        <v>-0.1</v>
      </c>
      <c r="C4" t="inlineStr">
        <is>
          <t>「偏貴」：中心空間低於</t>
        </is>
      </c>
    </row>
    <row r="5">
      <c r="A5" t="inlineStr">
        <is>
          <t>w_irr</t>
        </is>
      </c>
      <c r="B5" s="3" t="n">
        <v>0.4</v>
      </c>
      <c r="C5" t="inlineStr">
        <is>
          <t>地位分數權重：不可替代性</t>
        </is>
      </c>
    </row>
    <row r="6">
      <c r="A6" t="inlineStr">
        <is>
          <t>w_pos</t>
        </is>
      </c>
      <c r="B6" s="3" t="n">
        <v>0.35</v>
      </c>
      <c r="C6" t="inlineStr">
        <is>
          <t>地位分數權重：市場位置</t>
        </is>
      </c>
    </row>
    <row r="7">
      <c r="A7" t="inlineStr">
        <is>
          <t>w_vc</t>
        </is>
      </c>
      <c r="B7" s="3" t="n">
        <v>0.25</v>
      </c>
      <c r="C7" t="inlineStr">
        <is>
          <t>地位分數權重：價值鏈分量</t>
        </is>
      </c>
    </row>
    <row r="8">
      <c r="A8" t="inlineStr">
        <is>
          <t>s_irr1</t>
        </is>
      </c>
      <c r="B8" s="3" t="n">
        <v>100</v>
      </c>
      <c r="C8" t="inlineStr">
        <is>
          <t>不可替代性／重要性 1 → 分數</t>
        </is>
      </c>
    </row>
    <row r="9">
      <c r="A9" t="inlineStr">
        <is>
          <t>s_irr2</t>
        </is>
      </c>
      <c r="B9" s="3" t="n">
        <v>60</v>
      </c>
      <c r="C9" t="inlineStr">
        <is>
          <t>2 → 分數</t>
        </is>
      </c>
    </row>
    <row r="10">
      <c r="A10" t="inlineStr">
        <is>
          <t>s_irr3</t>
        </is>
      </c>
      <c r="B10" s="3" t="n">
        <v>30</v>
      </c>
      <c r="C10" t="inlineStr">
        <is>
          <t>3 → 分數</t>
        </is>
      </c>
    </row>
    <row r="11">
      <c r="A11" t="inlineStr">
        <is>
          <t>s_pos1</t>
        </is>
      </c>
      <c r="B11" s="3" t="n">
        <v>100</v>
      </c>
      <c r="C11" t="inlineStr">
        <is>
          <t>市場位置 1 龍頭 → 分數</t>
        </is>
      </c>
    </row>
    <row r="12">
      <c r="A12" t="inlineStr">
        <is>
          <t>s_pos2</t>
        </is>
      </c>
      <c r="B12" s="3" t="n">
        <v>75</v>
      </c>
      <c r="C12" t="inlineStr">
        <is>
          <t>2 前二或寡占 → 分數</t>
        </is>
      </c>
    </row>
    <row r="13">
      <c r="A13" t="inlineStr">
        <is>
          <t>s_pos3</t>
        </is>
      </c>
      <c r="B13" s="3" t="n">
        <v>50</v>
      </c>
      <c r="C13" t="inlineStr">
        <is>
          <t>3 主要參與者 → 分數</t>
        </is>
      </c>
    </row>
    <row r="14">
      <c r="A14" t="inlineStr">
        <is>
          <t>s_pos4</t>
        </is>
      </c>
      <c r="B14" s="3" t="n">
        <v>25</v>
      </c>
      <c r="C14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57.3%（VR200 2027 約 37%）</t>
        </is>
      </c>
      <c r="D5" s="4" t="n">
        <v>0.573</v>
      </c>
      <c r="E5">
        <f>D5*每GW!$D$2</f>
        <v/>
      </c>
      <c r="F5" s="3" t="n">
        <v>1</v>
      </c>
      <c r="G5" s="3" t="n">
        <v>100</v>
      </c>
      <c r="H5" s="1" t="inlineStr">
        <is>
          <t>晶片內容橋接表 v0.2.1 Bridge GB300 欄 B10＋B11＋B13＋B14（NVIDIA 晶片毛利 48.5%＋台積電 3.5%＋其他製造 2.3%＋CPU 3.0%）÷ B7；HBM 移到記憶體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13.4%（VR200 2027 約 23%）</t>
        </is>
      </c>
      <c r="D6" s="4" t="n">
        <v>0.134</v>
      </c>
      <c r="E6">
        <f>D6*每GW!$D$2</f>
        <v/>
      </c>
      <c r="F6" s="3" t="n">
        <v>1</v>
      </c>
      <c r="G6" s="3" t="n">
        <v>100</v>
      </c>
      <c r="H6" s="1" t="inlineStr">
        <is>
          <t>晶片內容橋接表 v0.2.1 Bridge GB300 欄 B12＋B15＋B16（HBM 6.7%＋LPDDR 4.6%＋機架內 SSD 2.1%）÷ B7；2027 HBM 合約價約翻倍，VR200 2027 約 23%，級距沿用 100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約 19%）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晶片內容橋接表 v0.2.1 Bridge GB300 欄 B17＋B20（網卡與 DPU 4.0%＋NVLink 4.5%＋機架外交換器、光模組、線纜 9.0%）÷ B7 [Derived]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含在運算「其他製造」2.3% 內（ABF 約 0.3%），不另加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AI半導體 次產業排序 v0.2.2（Ibiden 比對）；屬 晶片內容橋接表 v0.2.1 Bridge GB300 欄 B13 的一部分，金額不與運算相加 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6.3%（電源、散熱、機構、整合；電源＋散熱約 3–5%）</t>
        </is>
      </c>
      <c r="D9" s="4" t="n">
        <v>0.063</v>
      </c>
      <c r="E9">
        <f>D9*每GW!$D$2</f>
        <v/>
      </c>
      <c r="F9" s="3" t="n">
        <v>2</v>
      </c>
      <c r="G9" s="3" t="n">
        <v>25</v>
      </c>
      <c r="H9" s="1" t="inlineStr">
        <is>
          <t>晶片內容橋接表 v0.2.1 Bridge GB300 欄 B18 ÷ B7；電源＋散熱 3–5% 為 AI半導體 判斷，級距依 3–5% 給 25 [Derived]／[Assumed]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4.6%（板卡、供電與組裝加價；ODM 附加價值約 1–3%）</t>
        </is>
      </c>
      <c r="D10" s="4" t="n">
        <v>0.046</v>
      </c>
      <c r="E10">
        <f>D10*每GW!$D$2</f>
        <v/>
      </c>
      <c r="F10" s="3" t="n">
        <v>3</v>
      </c>
      <c r="G10" s="3" t="n">
        <v>25</v>
      </c>
      <c r="H10" s="1" t="inlineStr">
        <is>
          <t>晶片內容橋接表 v0.2.1 Bridge GB300 欄 B19 ÷ B7（殘差：匣級電路板、供電、NVIDIA／ODM 匣級加價）；ODM 附加價值 1–3% 為 AI半導體 判斷 [Derived]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約 3.5%（含在 L3 運算內，不另加；僅 NVIDIA 平台）</t>
        </is>
      </c>
      <c r="D11" s="4" t="n">
        <v>0.035</v>
      </c>
      <c r="F11" s="3" t="n">
        <v>1</v>
      </c>
      <c r="G11" s="3" t="n">
        <v>75</v>
      </c>
      <c r="H11" s="1" t="inlineStr">
        <is>
          <t>例外：晶片內容橋接表 v0.2.1 Bridge GB300 欄 B11 ÷ B7 只見 3.5%，但先進製程與 CoWoS 的價值藏在運算的晶片成本內，給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v0.2.2（設備模型情境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RANK(M2,$M$2:$M$25,0)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RANK(M3,$M$2:$M$25,0)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RANK(M4,$M$2:$M$25,0)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RANK(M5,$M$2:$M$25,0)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RANK(M6,$M$2:$M$25,0)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RANK(M7,$M$2:$M$25,0)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RANK(M8,$M$2:$M$25,0)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RANK(M9,$M$2:$M$25,0)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RANK(M10,$M$2:$M$25,0)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RANK(M11,$M$2:$M$25,0)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RANK(M12,$M$2:$M$25,0)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RANK(M13,$M$2:$M$25,0)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RANK(M14,$M$2:$M$25,0)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RANK(M15,$M$2:$M$25,0)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RANK(M16,$M$2:$M$25,0)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RANK(M17,$M$2:$M$25,0)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RANK(M18,$M$2:$M$25,0)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RANK(M19,$M$2:$M$25,0)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RANK(M20,$M$2:$M$25,0)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RANK(M21,$M$2:$M$25,0)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RANK(M22,$M$2:$M$25,0)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RANK(M23,$M$2:$M$25,0)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RANK(M24,$M$2:$M$25,0)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RANK(M25,$M$2:$M$25,0)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10-23 收盤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212.21</v>
      </c>
      <c r="D2" t="inlineStr">
        <is>
          <t>2026-10-22</t>
        </is>
      </c>
      <c r="E2" t="inlineStr">
        <is>
          <t>nvidia/dist/20261025_NVIDIA模型_v0.1.2.xlsx Val!B6</t>
        </is>
      </c>
      <c r="F2" s="4" t="n">
        <v>210.96</v>
      </c>
      <c r="G2" t="inlineStr">
        <is>
          <t>2026-10-23｜tipranks；bullfincher</t>
        </is>
      </c>
      <c r="H2">
        <f>IF(ISNUMBER(F2),F2,C2)</f>
        <v/>
      </c>
    </row>
    <row r="3">
      <c r="A3" t="inlineStr">
        <is>
          <t>AVGO</t>
        </is>
      </c>
      <c r="B3" t="inlineStr">
        <is>
          <t>USD</t>
        </is>
      </c>
      <c r="C3" s="4" t="n">
        <v>323.24</v>
      </c>
      <c r="D3" t="inlineStr">
        <is>
          <t>2026-10-22</t>
        </is>
      </c>
      <c r="E3" t="inlineStr">
        <is>
          <t>avgo/dist/20261025_Broadcom模型_v0.1.1.xlsx Val!B6</t>
        </is>
      </c>
      <c r="F3" s="4" t="n">
        <v>321.68</v>
      </c>
      <c r="G3" t="inlineStr">
        <is>
          <t>2026-10-23｜bullfincher；stockscan</t>
        </is>
      </c>
      <c r="H3">
        <f>IF(ISNUMBER(F3),F3,C3)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1723000</v>
      </c>
      <c r="D4" t="inlineStr">
        <is>
          <t>2026-10-07</t>
        </is>
      </c>
      <c r="E4" t="inlineStr">
        <is>
          <t>skhynix/dist/20261025_SK海力士模型_v0.4.2.xlsx In!E6</t>
        </is>
      </c>
      <c r="F4" s="4" t="n">
        <v>1277000</v>
      </c>
      <c r="G4" t="inlineStr">
        <is>
          <t>2026-10-23｜tradersunion；digrin；stockhub（Yonhap +4.4%）</t>
        </is>
      </c>
      <c r="H4">
        <f>IF(ISNUMBER(F4),F4,C4)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262000</v>
      </c>
      <c r="D5" t="inlineStr">
        <is>
          <t>2026-10-08</t>
        </is>
      </c>
      <c r="E5" t="inlineStr">
        <is>
          <t>samsung/dist/20261025_三星電子模型_v0.2.2.xlsx In!E6</t>
        </is>
      </c>
      <c r="F5" s="4" t="n">
        <v>215500</v>
      </c>
      <c r="G5" t="inlineStr">
        <is>
          <t>2026-10-23｜tradersunion</t>
        </is>
      </c>
      <c r="H5">
        <f>IF(ISNUMBER(F5),F5,C5)</f>
        <v/>
      </c>
    </row>
    <row r="6">
      <c r="A6" t="inlineStr">
        <is>
          <t>MU</t>
        </is>
      </c>
      <c r="B6" t="inlineStr">
        <is>
          <t>USD</t>
        </is>
      </c>
      <c r="C6" s="4" t="n">
        <v>1088</v>
      </c>
      <c r="D6" t="inlineStr">
        <is>
          <t>2026-10-07</t>
        </is>
      </c>
      <c r="E6" t="inlineStr">
        <is>
          <t>micron/dist/20261025_美光模型_v0.3.2.xlsx In!E5</t>
        </is>
      </c>
      <c r="F6" s="4" t="n">
        <v>877.55</v>
      </c>
      <c r="G6" t="inlineStr">
        <is>
          <t>2026-10-23｜stockscan；bullfincher</t>
        </is>
      </c>
      <c r="H6">
        <f>IF(ISNUMBER(F6),F6,C6)</f>
        <v/>
      </c>
    </row>
    <row r="7">
      <c r="A7" t="inlineStr">
        <is>
          <t>2330</t>
        </is>
      </c>
      <c r="B7" t="inlineStr">
        <is>
          <t>TWD</t>
        </is>
      </c>
      <c r="C7" s="4" t="n">
        <v>2585</v>
      </c>
      <c r="D7" t="inlineStr">
        <is>
          <t>2026-10-07</t>
        </is>
      </c>
      <c r="E7" t="inlineStr">
        <is>
          <t>tsmc/dist/20261025_台積電模型_v0.2.2.xlsx In!E135</t>
        </is>
      </c>
      <c r="F7" s="4" t="n">
        <v>2385</v>
      </c>
      <c r="G7" t="inlineStr">
        <is>
          <t>2026-10-22｜Yahoo 股市；永豐；鉅亨（10-23 收盤未取得）</t>
        </is>
      </c>
      <c r="H7">
        <f>IF(ISNUMBER(F7),F7,C7)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arista/dist/20261025_Arista模型_v0.1.1.xlsx Val!B6</t>
        </is>
      </c>
      <c r="F8" s="4" t="n">
        <v>172.37</v>
      </c>
      <c r="G8" t="inlineStr">
        <is>
          <t>2026-10-23｜stockscan；bullfincher</t>
        </is>
      </c>
      <c r="H8">
        <f>IF(ISNUMBER(F8),F8,C8)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innolight/dist/20261025_中際旭創模型_v0.1.1.xlsx Val!B6</t>
        </is>
      </c>
      <c r="F9" s="4" t="n">
        <v>612.63</v>
      </c>
      <c r="G9" t="inlineStr">
        <is>
          <t>2026-10-23｜etnet</t>
        </is>
      </c>
      <c r="H9">
        <f>IF(ISNUMBER(F9),F9,C9)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delta/dist/20261025_台達電模型_v0.1.1.xlsx Val!B6</t>
        </is>
      </c>
      <c r="F10" s="4" t="n">
        <v>1605</v>
      </c>
      <c r="G10" t="inlineStr">
        <is>
          <t>2026-10-23｜台達電模型 In!E70（Yahoo 股市 10-24 頁面「昨收」）；10-22 收盤 1</t>
        </is>
      </c>
      <c r="H10">
        <f>IF(ISNUMBER(F10),F10,C10)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quanta/dist/20261025_廣達模型_v0.1.1.xlsx Val!B6</t>
        </is>
      </c>
      <c r="F11" s="4" t="n">
        <v>322</v>
      </c>
      <c r="G11" t="inlineStr">
        <is>
          <t>2026-10-22｜財報狗（10-23 收盤未取得）</t>
        </is>
      </c>
      <c r="H11">
        <f>IF(ISNUMBER(F11),F11,C11)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9764</v>
      </c>
      <c r="D12" t="inlineStr">
        <is>
          <t>2026-10-16</t>
        </is>
      </c>
      <c r="E12" t="inlineStr">
        <is>
          <t>ibiden/dist/20261025_Ibiden模型_v0.1.1.xlsx Val!B6</t>
        </is>
      </c>
      <c r="F12" s="4" t="n">
        <v>8512</v>
      </c>
      <c r="G12" t="inlineStr">
        <is>
          <t>2026-10-23｜株探；松井證券</t>
        </is>
      </c>
      <c r="H12">
        <f>IF(ISNUMBER(F12),F12,C12)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34440</v>
      </c>
      <c r="D13" t="inlineStr">
        <is>
          <t>2026-10-21</t>
        </is>
      </c>
      <c r="E13" t="inlineStr">
        <is>
          <t>advantest/dist/20261025_Advantest模型_v0.2.3.xlsx Val!B92</t>
        </is>
      </c>
      <c r="F13" s="4" t="n">
        <v>32340</v>
      </c>
      <c r="G13" t="inlineStr">
        <is>
          <t>2026-10-23｜Yahoo!ファイナンス；株探</t>
        </is>
      </c>
      <c r="H13">
        <f>IF(ISNUMBER(F13),F13,C13)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51230</v>
      </c>
      <c r="D14" t="inlineStr">
        <is>
          <t>2026-10-22</t>
        </is>
      </c>
      <c r="E14" t="inlineStr">
        <is>
          <t>disco/dist/20261025_Disco模型_v0.1.4.xlsx Val!B53</t>
        </is>
      </c>
      <c r="F14" s="4" t="n">
        <v>49290</v>
      </c>
      <c r="G14" t="inlineStr">
        <is>
          <t>2026-10-23｜株探；kabutore</t>
        </is>
      </c>
      <c r="H14">
        <f>IF(ISNUMBER(F14),F14,C14)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替代口徑：Andy 合理 P/E</t>
        </is>
      </c>
      <c r="F2">
        <f>25*X2</f>
        <v/>
      </c>
      <c r="G2" t="inlineStr">
        <is>
          <t>Andy 先驗 25x × FY2028 EPS（A）nvidia/dist/20261025_NVIDIA模型_v0.1.2.xlsx Val!C27</t>
        </is>
      </c>
      <c r="J2">
        <f>25*Y2</f>
        <v/>
      </c>
      <c r="K2" t="inlineStr">
        <is>
          <t>25x × FY2029 EPS（C）nvidia/dist/20261025_NVIDIA模型_v0.1.2.xlsx Val!C41</t>
        </is>
      </c>
      <c r="N2">
        <f>價格!H2</f>
        <v/>
      </c>
      <c r="O2">
        <f>MIN(F2,H2)</f>
        <v/>
      </c>
      <c r="P2">
        <f>MIN(J2,L2)</f>
        <v/>
      </c>
      <c r="Q2">
        <f>O2/N2-1</f>
        <v/>
      </c>
      <c r="R2">
        <f>P2/N2-1</f>
        <v/>
      </c>
      <c r="S2">
        <f>IF(AND(Q2&gt;=tier_center,R2&gt;=tier_bear),"機會",IF(Q2&lt;tier_rich,"偏貴","觀察"))</f>
        <v/>
      </c>
      <c r="V2" t="inlineStr">
        <is>
          <t>14.4 ／ 14.4 ／ 14.4</t>
        </is>
      </c>
      <c r="W2" s="1" t="inlineStr">
        <is>
          <t>規則值不適用（落後倍數含高成長期溢價；模型 Val 第 3 節）；先驗 25x 為近 12 月口徑，套在前瞻 EPS 偏保守</t>
        </is>
      </c>
      <c r="X2" s="4" t="n">
        <v>14.7153352636455</v>
      </c>
      <c r="Y2" s="4" t="n">
        <v>9.923399853859801</v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nvidia/dist/20261025_NVIDIA模型_v0.1.2.xlsx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IF(S2="未上市","未上市",IF(AH2="不通過","收支不足",S2))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替代口徑：Andy 合理 P/E</t>
        </is>
      </c>
      <c r="F3" s="4" t="n">
        <v>451.946157912072</v>
      </c>
      <c r="G3" t="inlineStr">
        <is>
          <t>avgo/dist/20261025_Broadcom模型_v0.1.1.xlsx Val!C33</t>
        </is>
      </c>
      <c r="J3" s="4" t="n">
        <v>370.503465385049</v>
      </c>
      <c r="K3" t="inlineStr">
        <is>
          <t>avgo/dist/20261025_Broadcom模型_v0.1.1.xlsx Val!F35</t>
        </is>
      </c>
      <c r="N3">
        <f>價格!H3</f>
        <v/>
      </c>
      <c r="O3">
        <f>MIN(F3,H3)</f>
        <v/>
      </c>
      <c r="P3">
        <f>MIN(J3,L3)</f>
        <v/>
      </c>
      <c r="Q3">
        <f>O3/N3-1</f>
        <v/>
      </c>
      <c r="R3">
        <f>P3/N3-1</f>
        <v/>
      </c>
      <c r="S3">
        <f>IF(AND(Q3&gt;=tier_center,R3&gt;=tier_bear),"機會",IF(Q3&lt;tier_rich,"偏貴","觀察"))</f>
        <v/>
      </c>
      <c r="V3" t="inlineStr">
        <is>
          <t>15.4 ／ 18.1 ／ 21.8</t>
        </is>
      </c>
      <c r="W3" s="1" t="inlineStr">
        <is>
          <t>十年倍數待前瞻 P/E 歷史（Bloomberg）；規則值未算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avgo/dist/20261025_Broadcom模型_v0.1.1.xlsx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IF(S3="未上市","未上市",IF(AH3="不通過","收支不足",S3))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P/B 規則值（主）</t>
        </is>
      </c>
      <c r="F4" s="4" t="n">
        <v>1252559.889355</v>
      </c>
      <c r="G4" t="inlineStr">
        <is>
          <t>skhynix/dist/20261025_SK海力士模型_v0.4.2.xlsx Val!F91</t>
        </is>
      </c>
      <c r="J4" s="4" t="n">
        <v>1252559.889355</v>
      </c>
      <c r="K4" t="inlineStr">
        <is>
          <t>skhynix/dist/20261025_SK海力士模型_v0.4.2.xlsx Val!F91</t>
        </is>
      </c>
      <c r="L4" s="4" t="n">
        <v>1762454.87048227</v>
      </c>
      <c r="M4" t="inlineStr">
        <is>
          <t>skhynix/dist/20261025_SK海力士模型_v0.4.2.xlsx Val!F93</t>
        </is>
      </c>
      <c r="N4">
        <f>價格!H4</f>
        <v/>
      </c>
      <c r="O4">
        <f>MIN(F4,H4)</f>
        <v/>
      </c>
      <c r="P4">
        <f>MIN(J4,L4)</f>
        <v/>
      </c>
      <c r="Q4">
        <f>O4/N4-1</f>
        <v/>
      </c>
      <c r="R4">
        <f>P4/N4-1</f>
        <v/>
      </c>
      <c r="S4">
        <f>IF(AND(Q4&gt;=tier_center,R4&gt;=tier_bear),"機會",IF(Q4&lt;tier_rich,"偏貴","觀察"))</f>
        <v/>
      </c>
      <c r="T4">
        <f>3294714.30031091/N4-1</f>
        <v/>
      </c>
      <c r="U4" t="inlineStr">
        <is>
          <t>P/E 規則值：見頂（Val!F121）</t>
        </is>
      </c>
      <c r="W4" s="1" t="inlineStr">
        <is>
          <t>方法衝突：P/B 假設 ROE 回到歷史；P/E 假設高峰盈餘以歷史倍數計價（overview README v0.3）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360.3、2027 B 293.3、2028 B 151.6、2029 B 327.4、2027 C 293.3、2028 C 77.1、2029 C 210.7</t>
        </is>
      </c>
      <c r="AE4" s="4" t="n">
        <v>2582.300494403294</v>
      </c>
      <c r="AF4" s="4" t="n">
        <v>77.12752837628589</v>
      </c>
      <c r="AG4" t="inlineStr">
        <is>
          <t>[Derived] skhynix/dist/20261025_SK海力士模型_v0.4.2.xlsx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IF(S4="未上市","未上市",IF(AH4="不通過","收支不足",S4))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P/B 規則值（主）</t>
        </is>
      </c>
      <c r="F5" s="4" t="n">
        <v>196861.777994851</v>
      </c>
      <c r="G5" t="inlineStr">
        <is>
          <t>samsung/dist/20261025_三星電子模型_v0.2.2.xlsx Val!F91</t>
        </is>
      </c>
      <c r="J5" s="4" t="n">
        <v>196861.777994851</v>
      </c>
      <c r="K5" t="inlineStr">
        <is>
          <t>samsung/dist/20261025_三星電子模型_v0.2.2.xlsx Val!F91</t>
        </is>
      </c>
      <c r="L5" s="4" t="n">
        <v>352474.36400347</v>
      </c>
      <c r="M5" t="inlineStr">
        <is>
          <t>samsung/dist/20261025_三星電子模型_v0.2.2.xlsx Val!F93</t>
        </is>
      </c>
      <c r="N5">
        <f>價格!H5</f>
        <v/>
      </c>
      <c r="O5">
        <f>MIN(F5,H5)</f>
        <v/>
      </c>
      <c r="P5">
        <f>MIN(J5,L5)</f>
        <v/>
      </c>
      <c r="Q5">
        <f>O5/N5-1</f>
        <v/>
      </c>
      <c r="R5">
        <f>P5/N5-1</f>
        <v/>
      </c>
      <c r="S5">
        <f>IF(AND(Q5&gt;=tier_center,R5&gt;=tier_bear),"機會",IF(Q5&lt;tier_rich,"偏貴","觀察"))</f>
        <v/>
      </c>
      <c r="T5">
        <f>718682.078159864/N5-1</f>
        <v/>
      </c>
      <c r="U5" t="inlineStr">
        <is>
          <t>P/E 規則值：見頂（Val!F121）</t>
        </is>
      </c>
      <c r="W5" s="1" t="inlineStr">
        <is>
          <t>方法衝突：P/B 假設 ROE 回到歷史；P/E 假設高峰盈餘以歷史倍數計價（overview README v0.3）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588.0、2027 B 492.5、2028 B 274.2、2029 B 555.8、2027 C 492.5、2028 C 165.3、2029 C 384.4</t>
        </is>
      </c>
      <c r="AE5" s="4" t="n">
        <v>4311.223913548546</v>
      </c>
      <c r="AF5" s="4" t="n">
        <v>165.264961736399</v>
      </c>
      <c r="AG5" t="inlineStr">
        <is>
          <t>[Derived] samsung/dist/20261025_三星電子模型_v0.2.2.xlsx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IF(S5="未上市","未上市",IF(AH5="不通過","收支不足",S5))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P/B 規則值（主）</t>
        </is>
      </c>
      <c r="F6" s="4" t="n">
        <v>269.113458198834</v>
      </c>
      <c r="G6" t="inlineStr">
        <is>
          <t>micron/dist/20261025_美光模型_v0.3.2.xlsx Val!F108</t>
        </is>
      </c>
      <c r="J6" s="4" t="n">
        <v>269.113458198834</v>
      </c>
      <c r="K6" t="inlineStr">
        <is>
          <t>micron/dist/20261025_美光模型_v0.3.2.xlsx Val!F108</t>
        </is>
      </c>
      <c r="L6" s="4" t="n">
        <v>489.084356171092</v>
      </c>
      <c r="M6" t="inlineStr">
        <is>
          <t>micron/dist/20261025_美光模型_v0.3.2.xlsx Val!F110</t>
        </is>
      </c>
      <c r="N6">
        <f>價格!H6</f>
        <v/>
      </c>
      <c r="O6">
        <f>MIN(F6,H6)</f>
        <v/>
      </c>
      <c r="P6">
        <f>MIN(J6,L6)</f>
        <v/>
      </c>
      <c r="Q6">
        <f>O6/N6-1</f>
        <v/>
      </c>
      <c r="R6">
        <f>P6/N6-1</f>
        <v/>
      </c>
      <c r="S6">
        <f>IF(AND(Q6&gt;=tier_center,R6&gt;=tier_bear),"機會",IF(Q6&lt;tier_rich,"偏貴","觀察"))</f>
        <v/>
      </c>
      <c r="T6">
        <f>1312.19524660809/N6-1</f>
        <v/>
      </c>
      <c r="U6" t="inlineStr">
        <is>
          <t>P/E 規則值：見頂（Val!F138）</t>
        </is>
      </c>
      <c r="W6" s="1" t="inlineStr">
        <is>
          <t>方法衝突：P/B 假設 ROE 回到歷史；P/E 假設高峰盈餘以歷史倍數計價（overview README v0.3）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179.4、FY2027 B 154.2、FY2028 B 87.7、FY2029 B 132.0、FY2027 C 154.2、FY2028 C 59.6、FY2029 C 54.1</t>
        </is>
      </c>
      <c r="AE6" s="4" t="n">
        <v>1212.84680356464</v>
      </c>
      <c r="AF6" s="4" t="n">
        <v>54.0750248819423</v>
      </c>
      <c r="AG6" t="inlineStr">
        <is>
          <t>[Derived] micron/dist/20261025_美光模型_v0.3.2.xlsx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IF(S6="未上市","未上市",IF(AH6="不通過","收支不足",S6))</f>
        <v/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P/E：規則值與 Andy 合理 P/E 取低</t>
        </is>
      </c>
      <c r="F7" s="4" t="n">
        <v>3022.97680876707</v>
      </c>
      <c r="G7" t="inlineStr">
        <is>
          <t>tsmc/dist/20261025_台積電模型_v0.2.2.xlsx Val!F54</t>
        </is>
      </c>
      <c r="H7">
        <f>35*X7</f>
        <v/>
      </c>
      <c r="I7" t="inlineStr">
        <is>
          <t>Andy 先驗 35x × 2027 EPS（A）tsmc/dist/20261025_台積電模型_v0.2.2.xlsx Val!E54</t>
        </is>
      </c>
      <c r="J7" s="4" t="n">
        <v>2124.47710183721</v>
      </c>
      <c r="K7" t="inlineStr">
        <is>
          <t>tsmc/dist/20261025_台積電模型_v0.2.2.xlsx Val!F55</t>
        </is>
      </c>
      <c r="L7">
        <f>35*Y7</f>
        <v/>
      </c>
      <c r="M7" t="inlineStr">
        <is>
          <t>35x × 2028 EPS（C）tsmc/dist/20261025_台積電模型_v0.2.2.xlsx Val!E57</t>
        </is>
      </c>
      <c r="N7">
        <f>價格!H7</f>
        <v/>
      </c>
      <c r="O7">
        <f>MIN(F7,H7)</f>
        <v/>
      </c>
      <c r="P7">
        <f>MIN(J7,L7)</f>
        <v/>
      </c>
      <c r="Q7">
        <f>O7/N7-1</f>
        <v/>
      </c>
      <c r="R7">
        <f>P7/N7-1</f>
        <v/>
      </c>
      <c r="S7">
        <f>IF(AND(Q7&gt;=tier_center,R7&gt;=tier_bear),"機會",IF(Q7&lt;tier_rich,"偏貴","觀察"))</f>
        <v/>
      </c>
      <c r="W7" s="1" t="inlineStr">
        <is>
          <t>Andy 35x 高於十年最高值（先驗比對 T7b），取低後由規則值決定</t>
        </is>
      </c>
      <c r="X7" s="4" t="n">
        <v>137.595667217436</v>
      </c>
      <c r="Y7" s="4" t="n">
        <v>106.34571226785</v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10 個情境年度淨利（不含實績），全部為正</t>
        </is>
      </c>
      <c r="AE7" s="4" t="n">
        <v>1080.720589729756</v>
      </c>
      <c r="AF7" s="4" t="n">
        <v>84.633409367754</v>
      </c>
      <c r="AG7" t="inlineStr">
        <is>
          <t>[Derived] tsmc/dist/20261025_台積電模型_v0.2.2.xlsx PL!B12…PL!K12</t>
        </is>
      </c>
      <c r="AH7">
        <f>IF(AB7="淨利",IF(AF7&gt;0,"通過（淨利）","不通過"),IF(AE7&lt;0,"不通過","通過（現金流）"))</f>
        <v/>
      </c>
      <c r="AI7">
        <f>IF(S7="未上市","未上市",IF(AH7="不通過","收支不足",S7))</f>
        <v/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P/E：規則值與 Andy 合理 P/E 取低</t>
        </is>
      </c>
      <c r="F8" s="4" t="n">
        <v>181.312183514024</v>
      </c>
      <c r="G8" t="inlineStr">
        <is>
          <t>arista/dist/20261025_Arista模型_v0.1.1.xlsx Val!E23</t>
        </is>
      </c>
      <c r="H8" s="4" t="n">
        <v>136.629331701888</v>
      </c>
      <c r="I8" t="inlineStr">
        <is>
          <t>arista/dist/20261025_Arista模型_v0.1.1.xlsx Val!C37</t>
        </is>
      </c>
      <c r="J8" s="4" t="n">
        <v>145.130712341116</v>
      </c>
      <c r="K8" t="inlineStr">
        <is>
          <t>arista/dist/20261025_Arista模型_v0.1.1.xlsx Val!E25</t>
        </is>
      </c>
      <c r="L8" s="4" t="n">
        <v>124.169104273114</v>
      </c>
      <c r="M8" t="inlineStr">
        <is>
          <t>arista/dist/20261025_Arista模型_v0.1.1.xlsx Val!F39</t>
        </is>
      </c>
      <c r="N8">
        <f>價格!H8</f>
        <v/>
      </c>
      <c r="O8">
        <f>MIN(F8,H8)</f>
        <v/>
      </c>
      <c r="P8">
        <f>MIN(J8,L8)</f>
        <v/>
      </c>
      <c r="Q8">
        <f>O8/N8-1</f>
        <v/>
      </c>
      <c r="R8">
        <f>P8/N8-1</f>
        <v/>
      </c>
      <c r="S8">
        <f>IF(AND(Q8&gt;=tier_center,R8&gt;=tier_bear),"機會",IF(Q8&lt;tier_rich,"偏貴","觀察"))</f>
        <v/>
      </c>
      <c r="V8" t="inlineStr">
        <is>
          <t>28.8 ／ 31.3 ／ 34.7</t>
        </is>
      </c>
      <c r="W8" s="1" t="inlineStr"/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arista/dist/20261025_Arista模型_v0.1.1.xlsx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IF(S8="未上市","未上市",IF(AH8="不通過","收支不足",S8))</f>
        <v/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P/E：規則值與 Andy 合理 P/E 取低</t>
        </is>
      </c>
      <c r="F9" s="4" t="n">
        <v>2493.26211088245</v>
      </c>
      <c r="G9" t="inlineStr">
        <is>
          <t>innolight/dist/20261025_中際旭創模型_v0.1.1.xlsx Val!D23</t>
        </is>
      </c>
      <c r="H9" s="4" t="n">
        <v>1417.96897301371</v>
      </c>
      <c r="I9" t="inlineStr">
        <is>
          <t>innolight/dist/20261025_中際旭創模型_v0.1.1.xlsx Val!C37</t>
        </is>
      </c>
      <c r="J9" s="4" t="n">
        <v>1355.57833820111</v>
      </c>
      <c r="K9" t="inlineStr">
        <is>
          <t>innolight/dist/20261025_中際旭創模型_v0.1.1.xlsx Val!D25</t>
        </is>
      </c>
      <c r="L9" s="4" t="n">
        <v>875.1517923539431</v>
      </c>
      <c r="M9" t="inlineStr">
        <is>
          <t>innolight/dist/20261025_中際旭創模型_v0.1.1.xlsx Val!F39</t>
        </is>
      </c>
      <c r="N9">
        <f>價格!H9</f>
        <v/>
      </c>
      <c r="O9">
        <f>MIN(F9,H9)</f>
        <v/>
      </c>
      <c r="P9">
        <f>MIN(J9,L9)</f>
        <v/>
      </c>
      <c r="Q9">
        <f>O9/N9-1</f>
        <v/>
      </c>
      <c r="R9">
        <f>P9/N9-1</f>
        <v/>
      </c>
      <c r="S9">
        <f>IF(AND(Q9&gt;=tier_center,R9&gt;=tier_bear),"機會",IF(Q9&lt;tier_rich,"偏貴","觀察"))</f>
        <v/>
      </c>
      <c r="V9" t="inlineStr">
        <is>
          <t>12.3 ／ 15.5 ／ 21.0</t>
        </is>
      </c>
      <c r="W9" s="1" t="inlineStr">
        <is>
          <t>十年 P/E 中位數 52.75x 含小型股時期，規則值偏高；取低後由 Andy 30x 決定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8 個情境年度淨利（不含實績），全部為正</t>
        </is>
      </c>
      <c r="AE9" s="4" t="n">
        <v>399.9561705197759</v>
      </c>
      <c r="AF9" s="4" t="n">
        <v>31.8281188474012</v>
      </c>
      <c r="AG9" t="inlineStr">
        <is>
          <t>[Derived] innolight/dist/20261025_中際旭創模型_v0.1.1.xlsx PL!D12…PL!G36</t>
        </is>
      </c>
      <c r="AH9">
        <f>IF(AB9="淨利",IF(AF9&gt;0,"通過（淨利）","不通過"),IF(AE9&lt;0,"不通過","通過（現金流）"))</f>
        <v/>
      </c>
      <c r="AI9">
        <f>IF(S9="未上市","未上市",IF(AH9="不通過","收支不足",S9))</f>
        <v/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P/E：規則值與 Andy 合理 P/E 取低</t>
        </is>
      </c>
      <c r="F10" s="4" t="n">
        <v>1360.0134167175</v>
      </c>
      <c r="G10" t="inlineStr">
        <is>
          <t>delta/dist/20261025_台達電模型_v0.1.1.xlsx Val!E23</t>
        </is>
      </c>
      <c r="H10" s="4" t="n">
        <v>1517.87211687221</v>
      </c>
      <c r="I10" t="inlineStr">
        <is>
          <t>delta/dist/20261025_台達電模型_v0.1.1.xlsx Val!C37</t>
        </is>
      </c>
      <c r="J10" s="4" t="n">
        <v>1360.0134167175</v>
      </c>
      <c r="K10" t="inlineStr">
        <is>
          <t>delta/dist/20261025_台達電模型_v0.1.1.xlsx Val!E25</t>
        </is>
      </c>
      <c r="L10" s="4" t="n">
        <v>1260.88220934176</v>
      </c>
      <c r="M10" t="inlineStr">
        <is>
          <t>delta/dist/20261025_台達電模型_v0.1.1.xlsx Val!F39</t>
        </is>
      </c>
      <c r="N10">
        <f>價格!H10</f>
        <v/>
      </c>
      <c r="O10">
        <f>MIN(F10,H10)</f>
        <v/>
      </c>
      <c r="P10">
        <f>MIN(J10,L10)</f>
        <v/>
      </c>
      <c r="Q10">
        <f>O10/N10-1</f>
        <v/>
      </c>
      <c r="R10">
        <f>P10/N10-1</f>
        <v/>
      </c>
      <c r="S10">
        <f>IF(AND(Q10&gt;=tier_center,R10&gt;=tier_bear),"機會",IF(Q10&lt;tier_rich,"偏貴","觀察"))</f>
        <v/>
      </c>
      <c r="V10" t="inlineStr">
        <is>
          <t>20.8 ／ 24.5 ／ 31.8</t>
        </is>
      </c>
      <c r="W10" s="1" t="inlineStr"/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delta/dist/20261025_台達電模型_v0.1.1.xlsx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IF(S10="未上市","未上市",IF(AH10="不通過","收支不足",S10))</f>
        <v/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P/E：規則值與 Andy 合理 P/E 取低</t>
        </is>
      </c>
      <c r="F11" s="4" t="n">
        <v>535.1196851143731</v>
      </c>
      <c r="G11" t="inlineStr">
        <is>
          <t>quanta/dist/20261025_廣達模型_v0.1.1.xlsx Val!E23</t>
        </is>
      </c>
      <c r="H11" s="4" t="n">
        <v>654.1805441496</v>
      </c>
      <c r="I11" t="inlineStr">
        <is>
          <t>quanta/dist/20261025_廣達模型_v0.1.1.xlsx Val!C37</t>
        </is>
      </c>
      <c r="J11" s="4" t="n">
        <v>471.446112150478</v>
      </c>
      <c r="K11" t="inlineStr">
        <is>
          <t>quanta/dist/20261025_廣達模型_v0.1.1.xlsx Val!E25</t>
        </is>
      </c>
      <c r="L11" s="4" t="n">
        <v>473.467488733982</v>
      </c>
      <c r="M11" t="inlineStr">
        <is>
          <t>quanta/dist/20261025_廣達模型_v0.1.1.xlsx Val!F39</t>
        </is>
      </c>
      <c r="N11">
        <f>價格!H11</f>
        <v/>
      </c>
      <c r="O11">
        <f>MIN(F11,H11)</f>
        <v/>
      </c>
      <c r="P11">
        <f>MIN(J11,L11)</f>
        <v/>
      </c>
      <c r="Q11">
        <f>O11/N11-1</f>
        <v/>
      </c>
      <c r="R11">
        <f>P11/N11-1</f>
        <v/>
      </c>
      <c r="S11">
        <f>IF(AND(Q11&gt;=tier_center,R11&gt;=tier_bear),"機會",IF(Q11&lt;tier_rich,"偏貴","觀察"))</f>
        <v/>
      </c>
      <c r="V11" t="inlineStr">
        <is>
          <t>6.2 ／ 7.7 ／ 10.2</t>
        </is>
      </c>
      <c r="W11" s="1" t="inlineStr"/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quanta/dist/20261025_廣達模型_v0.1.1.xlsx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IF(S11="未上市","未上市",IF(AH11="不通過","收支不足",S11))</f>
        <v/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替代口徑：Andy 合理 P/E</t>
        </is>
      </c>
      <c r="F12" s="4" t="n">
        <v>5403.31747792233</v>
      </c>
      <c r="G12" t="inlineStr">
        <is>
          <t>ibiden/dist/20261025_Ibiden模型_v0.1.1.xlsx Val!C32</t>
        </is>
      </c>
      <c r="J12" s="4" t="n">
        <v>3747.46907732231</v>
      </c>
      <c r="K12" t="inlineStr">
        <is>
          <t>ibiden/dist/20261025_Ibiden模型_v0.1.1.xlsx Val!F34</t>
        </is>
      </c>
      <c r="N12">
        <f>價格!H12</f>
        <v/>
      </c>
      <c r="O12">
        <f>MIN(F12,H12)</f>
        <v/>
      </c>
      <c r="P12">
        <f>MIN(J12,L12)</f>
        <v/>
      </c>
      <c r="Q12">
        <f>O12/N12-1</f>
        <v/>
      </c>
      <c r="R12">
        <f>P12/N12-1</f>
        <v/>
      </c>
      <c r="S12">
        <f>IF(AND(Q12&gt;=tier_center,R12&gt;=tier_bear),"機會",IF(Q12&lt;tier_rich,"偏貴","觀察"))</f>
        <v/>
      </c>
      <c r="V12" t="inlineStr">
        <is>
          <t>44.6 ／ 52.9 ／ 65.1</t>
        </is>
      </c>
      <c r="W12" s="1" t="inlineStr">
        <is>
          <t>模型未算十年倍數規則值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ibiden/dist/20261025_Ibiden模型_v0.1.1.xlsx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IF(S12="未上市","未上市",IF(AH12="不通過","收支不足",S12))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P/E 規則值（設備股共用循環規則）</t>
        </is>
      </c>
      <c r="F13" s="4" t="n">
        <v>25964.3043713706</v>
      </c>
      <c r="G13" t="inlineStr">
        <is>
          <t>advantest/dist/20261025_Advantest模型_v0.2.3.xlsx Val!F68</t>
        </is>
      </c>
      <c r="J13" s="4" t="n">
        <v>21312.7210727656</v>
      </c>
      <c r="K13" t="inlineStr">
        <is>
          <t>advantest/dist/20261025_Advantest模型_v0.2.3.xlsx Val!F82</t>
        </is>
      </c>
      <c r="N13">
        <f>價格!H13</f>
        <v/>
      </c>
      <c r="O13">
        <f>MIN(F13,H13)</f>
        <v/>
      </c>
      <c r="P13">
        <f>MIN(J13,L13)</f>
        <v/>
      </c>
      <c r="Q13">
        <f>O13/N13-1</f>
        <v/>
      </c>
      <c r="R13">
        <f>P13/N13-1</f>
        <v/>
      </c>
      <c r="S13">
        <f>IF(AND(Q13&gt;=tier_center,R13&gt;=tier_bear),"機會",IF(Q13&lt;tier_rich,"偏貴","觀察"))</f>
        <v/>
      </c>
      <c r="W13" s="1" t="inlineStr"/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advantest/dist/20261025_Advantest模型_v0.2.3.xlsx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IF(S13="未上市","未上市",IF(AH13="不通過","收支不足",S13))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P/E 規則值（設備股共用循環規則）</t>
        </is>
      </c>
      <c r="F14" s="4" t="n">
        <v>48426.1597690523</v>
      </c>
      <c r="G14" t="inlineStr">
        <is>
          <t>disco/dist/20261025_Disco模型_v0.1.4.xlsx Val!F35</t>
        </is>
      </c>
      <c r="J14" s="4" t="n">
        <v>27773.5675456227</v>
      </c>
      <c r="K14" t="inlineStr">
        <is>
          <t>disco/dist/20261025_Disco模型_v0.1.4.xlsx Val!F45</t>
        </is>
      </c>
      <c r="N14">
        <f>價格!H14</f>
        <v/>
      </c>
      <c r="O14">
        <f>MIN(F14,H14)</f>
        <v/>
      </c>
      <c r="P14">
        <f>MIN(J14,L14)</f>
        <v/>
      </c>
      <c r="Q14">
        <f>O14/N14-1</f>
        <v/>
      </c>
      <c r="R14">
        <f>P14/N14-1</f>
        <v/>
      </c>
      <c r="S14">
        <f>IF(AND(Q14&gt;=tier_center,R14&gt;=tier_bear),"機會",IF(Q14&lt;tier_rich,"偏貴","觀察"))</f>
        <v/>
      </c>
      <c r="W14" s="1" t="inlineStr"/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1764.840775606191</v>
      </c>
      <c r="AF14" s="4" t="n">
        <v>143.891188584055</v>
      </c>
      <c r="AG14" t="inlineStr">
        <is>
          <t>[Derived] disco/dist/20261025_Disco模型_v0.1.4.xlsx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IF(S14="未上市","未上市",IF(AH14="不通過","收支不足",S14))</f>
        <v/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IF(AND(Q15&gt;=tier_center,R15&gt;=tier_bear),"機會",IF(Q15&lt;tier_rich,"偏貴","觀察"))</f>
        <v/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IF(S15="未上市","未上市",IF(AH15="不通過","收支不足",S15))</f>
        <v/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IF(AND(Q16&gt;=tier_center,R16&gt;=tier_bear),"機會",IF(Q16&lt;tier_rich,"偏貴","觀察"))</f>
        <v/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IF(S16="未上市","未上市",IF(AH16="不通過","收支不足",S16))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IF(AND(Q17&gt;=tier_center,R17&gt;=tier_bear),"機會",IF(Q17&lt;tier_rich,"偏貴","觀察"))</f>
        <v/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IF(S17="未上市","未上市",IF(AH17="不通過","收支不足",S17))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IF(AND(Q18&gt;=tier_center,R18&gt;=tier_bear),"機會",IF(Q18&lt;tier_rich,"偏貴","觀察"))</f>
        <v/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IF(S18="未上市","未上市",IF(AH18="不通過","收支不足",S18))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IF(AND(Q19&gt;=tier_center,R19&gt;=tier_bear),"機會",IF(Q19&lt;tier_rich,"偏貴","觀察"))</f>
        <v/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IF(S19="未上市","未上市",IF(AH19="不通過","收支不足",S19))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IF(AND(Q20&gt;=tier_center,R20&gt;=tier_bear),"機會",IF(Q20&lt;tier_rich,"偏貴","觀察"))</f>
        <v/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IF(S20="未上市","未上市",IF(AH20="不通過","收支不足",S20))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IF(AND(Q21&gt;=tier_center,R21&gt;=tier_bear),"機會",IF(Q21&lt;tier_rich,"偏貴","觀察"))</f>
        <v/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IF(S21="未上市","未上市",IF(AH21="不通過","收支不足",S21))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IF(AND(Q22&gt;=tier_center,R22&gt;=tier_bear),"機會",IF(Q22&lt;tier_rich,"偏貴","觀察"))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IF(S22="未上市","未上市",IF(AH22="不通過","收支不足",S22))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IF(S23="未上市","未上市",IF(AH23="不通過","收支不足",S23))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IF(S24="未上市","未上市",IF(AH24="不通過","收支不足",S24))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IF(S25="未上市","未上市",IF(AH25="不通過","收支不足",S25))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待建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待建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待建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待建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待建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待建（需 NAND 市場層）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待建（需 NAND 市場層）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待建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待建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待建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待建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待建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待建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待建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待建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待建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待建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待建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待建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待建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待建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待建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待建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待建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待建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待建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待建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待建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候選第三家日本公司之一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候選第三家日本公司之一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待建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待建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待建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待建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待建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待建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待建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待建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待建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2026-10-25T03:48:11Z</dcterms:created>
  <dcterms:modified xmlns:dcterms="http://purl.org/dc/terms/" xmlns:xsi="http://www.w3.org/2001/XMLSchema-instance" xsi:type="dcterms:W3CDTF">2026-10-25T03:48:11Z</dcterms:modified>
</cp:coreProperties>
</file>