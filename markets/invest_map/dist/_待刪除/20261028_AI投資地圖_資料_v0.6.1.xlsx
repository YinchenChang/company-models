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參數" sheetId="2" state="visible" r:id="rId2"/>
    <sheet xmlns:r="http://schemas.openxmlformats.org/officeDocument/2006/relationships" name="每GW" sheetId="3" state="visible" r:id="rId3"/>
    <sheet xmlns:r="http://schemas.openxmlformats.org/officeDocument/2006/relationships" name="價值鏈" sheetId="4" state="visible" r:id="rId4"/>
    <sheet xmlns:r="http://schemas.openxmlformats.org/officeDocument/2006/relationships" name="地位" sheetId="5" state="visible" r:id="rId5"/>
    <sheet xmlns:r="http://schemas.openxmlformats.org/officeDocument/2006/relationships" name="價格" sheetId="6" state="visible" r:id="rId6"/>
    <sheet xmlns:r="http://schemas.openxmlformats.org/officeDocument/2006/relationships" name="估值" sheetId="7" state="visible" r:id="rId7"/>
    <sheet xmlns:r="http://schemas.openxmlformats.org/officeDocument/2006/relationships" name="地圖節點" sheetId="8" state="visible" r:id="rId8"/>
  </sheets>
  <definedNames>
    <definedName name="w_irr">參數!$B$2</definedName>
    <definedName name="w_pos">參數!$B$3</definedName>
    <definedName name="w_vc">參數!$B$4</definedName>
    <definedName name="s_irr1">參數!$B$5</definedName>
    <definedName name="s_irr2">參數!$B$6</definedName>
    <definedName name="s_irr3">參數!$B$7</definedName>
    <definedName name="s_pos1">參數!$B$8</definedName>
    <definedName name="s_pos2">參數!$B$9</definedName>
    <definedName name="s_pos3">參數!$B$10</definedName>
    <definedName name="s_pos4">參數!$B$11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CC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AI 投資地圖 資料活頁簿 v0.6.1（20261028）</t>
        </is>
      </c>
    </row>
    <row r="2">
      <c r="A2" s="1" t="inlineStr">
        <is>
          <t>用途：AI 投資地圖網站（markets/invest_map/dist/index.html）的唯一數字來源。網站只呈現本活頁簿重算後的值。</t>
        </is>
      </c>
    </row>
    <row r="3">
      <c r="A3" s="1" t="inlineStr">
        <is>
          <t>三個視角：(1) 供應鏈地圖＝「價值鏈」頁＋Tokenomics 每 GW 金額；(2) 產業地位＝「地位」頁；(3) 可投資性＝「估值」頁。</t>
        </is>
      </c>
    </row>
    <row r="4">
      <c r="A4" s="1" t="inlineStr">
        <is>
          <t>黃底＝判斷輸入（Andy 可直接改；重建時讀回，不被程式覆寫）。藍字＝自各模型或 Tokenomics 抄錄的值，旁欄註明來源儲存格。其餘為公式。</t>
        </is>
      </c>
    </row>
    <row r="5">
      <c r="A5" s="1" t="inlineStr">
        <is>
          <t>Tokenomics：20261024_Tokenomics_v21.4.xlsx（commit 3ac70ac；擷取 2026-10-25）</t>
        </is>
      </c>
    </row>
    <row r="6">
      <c r="A6" s="1" t="inlineStr">
        <is>
          <t>公司模型：company-models 各公司 dist/*.xlsx（extract_models.py 抽數）。</t>
        </is>
      </c>
    </row>
    <row r="7">
      <c r="A7" s="1" t="inlineStr">
        <is>
          <t>AI半導體 候選母體 v0.2.2（2026-10-24）：次產業排序、公司重要性、市場地位文字。權威在 AI半導體 Project。</t>
        </is>
      </c>
    </row>
    <row r="8">
      <c r="A8" s="1" t="inlineStr">
        <is>
          <t>收支關卡（Andy 2026-10-25 10:48）：先看收支、再看評價。模型期間（2026 起約五年）現金收支合計為負＝入不敷出、有資金缺口，評價為買進以上（或未估值）者，最終分級改為「收支不足」；評價為中立、放空、強力放空者維持原評價，入不敷出只加重放空理由（Andy 2026-10-26 修訂）。口徑：雲端／neocloud／MAG 模板一律用「營運缺口＋股東回饋（股利、回購）」；記憶體、模型商用自由現金流；只有損益的半導體模型以「各情境淨利皆為正」判定（現金流本專案未建立）。</t>
        </is>
      </c>
    </row>
    <row r="9">
      <c r="A9" s="1" t="inlineStr">
        <is>
          <t>可投資性口徑（v0.5，Andy 2026-10-25 18:14：數字引用個股模型，模型沒有的才自算）：半導體 52 家的中心價＝模型「目標價（DCF 與 Comparable 加權）」、中心空間＝模型「上檔空間：加權目標價」、現價＝模型現價（上檔空間的分母）、投資建議與上檔空間級距＝模型 Val 列；模型尚未補列者依 AI半導體 固定規則（&gt;+50% 強力買進、+25～+50% 買進、−25～+25% 中立、−50～−25% 放空、&lt;−50% 強力放空）以模型上檔空間自算。悲觀情境空間（v0.5.1 前稱「下檔空間」）＝C 情境 DCF 價值 ÷ 模型現價 − 1（模型無此欄，自算）；不是一般所說目標價相對現價的下跌幅度。雲端與 neocloud（v0.5.1）：上檔空間＝模型加權目標價 ÷ 最近外部收盤價 − 1，依同一五級規則自算（不用模型自身評等，不再出現「賣出」）；MiniMax 用反向檢驗折現價值，依同一固定規則自算。</t>
        </is>
      </c>
    </row>
    <row r="10">
      <c r="A10" s="1" t="inlineStr">
        <is>
          <t>本活頁簿是研究整理，不是投資建議；各模型的方法與假設見各自 README 與 Val／摘要頁。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</cols>
  <sheetData>
    <row r="1">
      <c r="A1" s="2" t="inlineStr">
        <is>
          <t>名稱</t>
        </is>
      </c>
      <c r="B1" s="2" t="inlineStr">
        <is>
          <t>值</t>
        </is>
      </c>
      <c r="C1" s="2" t="inlineStr">
        <is>
          <t>說明</t>
        </is>
      </c>
    </row>
    <row r="2">
      <c r="A2" t="inlineStr">
        <is>
          <t>w_irr</t>
        </is>
      </c>
      <c r="B2" s="3" t="n">
        <v>0.4</v>
      </c>
      <c r="C2" t="inlineStr">
        <is>
          <t>地位分數權重：不可替代性</t>
        </is>
      </c>
    </row>
    <row r="3">
      <c r="A3" t="inlineStr">
        <is>
          <t>w_pos</t>
        </is>
      </c>
      <c r="B3" s="3" t="n">
        <v>0.35</v>
      </c>
      <c r="C3" t="inlineStr">
        <is>
          <t>地位分數權重：市場位置</t>
        </is>
      </c>
    </row>
    <row r="4">
      <c r="A4" t="inlineStr">
        <is>
          <t>w_vc</t>
        </is>
      </c>
      <c r="B4" s="3" t="n">
        <v>0.25</v>
      </c>
      <c r="C4" t="inlineStr">
        <is>
          <t>地位分數權重：價值鏈分量</t>
        </is>
      </c>
    </row>
    <row r="5">
      <c r="A5" t="inlineStr">
        <is>
          <t>s_irr1</t>
        </is>
      </c>
      <c r="B5" s="3" t="n">
        <v>100</v>
      </c>
      <c r="C5" t="inlineStr">
        <is>
          <t>不可替代性／重要性 1 → 分數</t>
        </is>
      </c>
    </row>
    <row r="6">
      <c r="A6" t="inlineStr">
        <is>
          <t>s_irr2</t>
        </is>
      </c>
      <c r="B6" s="3" t="n">
        <v>60</v>
      </c>
      <c r="C6" t="inlineStr">
        <is>
          <t>2 → 分數</t>
        </is>
      </c>
    </row>
    <row r="7">
      <c r="A7" t="inlineStr">
        <is>
          <t>s_irr3</t>
        </is>
      </c>
      <c r="B7" s="3" t="n">
        <v>30</v>
      </c>
      <c r="C7" t="inlineStr">
        <is>
          <t>3 → 分數</t>
        </is>
      </c>
    </row>
    <row r="8">
      <c r="A8" t="inlineStr">
        <is>
          <t>s_pos1</t>
        </is>
      </c>
      <c r="B8" s="3" t="n">
        <v>100</v>
      </c>
      <c r="C8" t="inlineStr">
        <is>
          <t>市場位置 1 龍頭 → 分數</t>
        </is>
      </c>
    </row>
    <row r="9">
      <c r="A9" t="inlineStr">
        <is>
          <t>s_pos2</t>
        </is>
      </c>
      <c r="B9" s="3" t="n">
        <v>75</v>
      </c>
      <c r="C9" t="inlineStr">
        <is>
          <t>2 前二或寡占 → 分數</t>
        </is>
      </c>
    </row>
    <row r="10">
      <c r="A10" t="inlineStr">
        <is>
          <t>s_pos3</t>
        </is>
      </c>
      <c r="B10" s="3" t="n">
        <v>50</v>
      </c>
      <c r="C10" t="inlineStr">
        <is>
          <t>3 主要參與者 → 分數</t>
        </is>
      </c>
    </row>
    <row r="11">
      <c r="A11" t="inlineStr">
        <is>
          <t>s_pos4</t>
        </is>
      </c>
      <c r="B11" s="3" t="n">
        <v>25</v>
      </c>
      <c r="C11" t="inlineStr">
        <is>
          <t>4 追隨者 → 分數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26" customWidth="1" min="7" max="7"/>
    <col width="40" customWidth="1" min="8" max="8"/>
  </cols>
  <sheetData>
    <row r="1">
      <c r="A1" s="2" t="inlineStr">
        <is>
          <t>項目</t>
        </is>
      </c>
      <c r="B1" s="2" t="inlineStr">
        <is>
          <t>世代</t>
        </is>
      </c>
      <c r="C1" s="2" t="inlineStr">
        <is>
          <t>低</t>
        </is>
      </c>
      <c r="D1" s="2" t="inlineStr">
        <is>
          <t>基準</t>
        </is>
      </c>
      <c r="E1" s="2" t="inlineStr">
        <is>
          <t>高</t>
        </is>
      </c>
      <c r="F1" s="2" t="inlineStr">
        <is>
          <t>單位</t>
        </is>
      </c>
      <c r="G1" s="2" t="inlineStr">
        <is>
          <t>Tokenomics 名稱</t>
        </is>
      </c>
      <c r="H1" s="2" t="inlineStr">
        <is>
          <t>來源儲存格（基準）</t>
        </is>
      </c>
    </row>
    <row r="2">
      <c r="A2" t="inlineStr">
        <is>
          <t>每 GW 資本支出：IT 設備</t>
        </is>
      </c>
      <c r="B2" t="inlineStr">
        <is>
          <t>GB300</t>
        </is>
      </c>
      <c r="C2" s="4" t="n">
        <v>28.5549024</v>
      </c>
      <c r="D2" s="4" t="n">
        <v>32.237224</v>
      </c>
      <c r="E2" s="4" t="n">
        <v>39.2826064</v>
      </c>
      <c r="F2" t="inlineStr">
        <is>
          <t>$B</t>
        </is>
      </c>
      <c r="G2" t="inlineStr">
        <is>
          <t>IF_CapexIT</t>
        </is>
      </c>
      <c r="H2" t="inlineStr">
        <is>
          <t>Interface!J9</t>
        </is>
      </c>
    </row>
    <row r="3">
      <c r="A3" t="inlineStr">
        <is>
          <t>每 GW 資本支出：IT 設備</t>
        </is>
      </c>
      <c r="B3" t="inlineStr">
        <is>
          <t>VR200</t>
        </is>
      </c>
      <c r="C3" s="4" t="n">
        <v>31.9970232</v>
      </c>
      <c r="D3" s="4" t="n">
        <v>37.586352</v>
      </c>
      <c r="E3" s="4" t="n">
        <v>42.6375752</v>
      </c>
      <c r="F3" t="inlineStr">
        <is>
          <t>$B</t>
        </is>
      </c>
      <c r="G3" t="inlineStr">
        <is>
          <t>IF_CapexIT</t>
        </is>
      </c>
      <c r="H3" t="inlineStr">
        <is>
          <t>Interface!M9</t>
        </is>
      </c>
    </row>
    <row r="4">
      <c r="A4" t="inlineStr">
        <is>
          <t>每 GW 資本支出：設施（電力、機房、冷卻）</t>
        </is>
      </c>
      <c r="B4" t="inlineStr">
        <is>
          <t>GB300</t>
        </is>
      </c>
      <c r="C4" s="4" t="n">
        <v>10.212</v>
      </c>
      <c r="D4" s="4" t="n">
        <v>12.67</v>
      </c>
      <c r="E4" s="4" t="n">
        <v>16.186</v>
      </c>
      <c r="F4" t="inlineStr">
        <is>
          <t>$B</t>
        </is>
      </c>
      <c r="G4" t="inlineStr">
        <is>
          <t>IF_CapexFacility</t>
        </is>
      </c>
      <c r="H4" t="inlineStr">
        <is>
          <t>Interface!J10</t>
        </is>
      </c>
    </row>
    <row r="5">
      <c r="A5" t="inlineStr">
        <is>
          <t>每 GW 資本支出：設施（電力、機房、冷卻）</t>
        </is>
      </c>
      <c r="B5" t="inlineStr">
        <is>
          <t>VR200</t>
        </is>
      </c>
      <c r="C5" s="4" t="n">
        <v>10.212</v>
      </c>
      <c r="D5" s="4" t="n">
        <v>12.67</v>
      </c>
      <c r="E5" s="4" t="n">
        <v>16.186</v>
      </c>
      <c r="F5" t="inlineStr">
        <is>
          <t>$B</t>
        </is>
      </c>
      <c r="G5" t="inlineStr">
        <is>
          <t>IF_CapexFacility</t>
        </is>
      </c>
      <c r="H5" t="inlineStr">
        <is>
          <t>Interface!M10</t>
        </is>
      </c>
    </row>
    <row r="6">
      <c r="A6" t="inlineStr">
        <is>
          <t>每 GW 資本支出：合計</t>
        </is>
      </c>
      <c r="B6" t="inlineStr">
        <is>
          <t>GB300</t>
        </is>
      </c>
      <c r="C6" s="4" t="n">
        <v>38.7669024</v>
      </c>
      <c r="D6" s="4" t="n">
        <v>44.907224</v>
      </c>
      <c r="E6" s="4" t="n">
        <v>55.4686064</v>
      </c>
      <c r="F6" t="inlineStr">
        <is>
          <t>$B</t>
        </is>
      </c>
      <c r="G6" t="inlineStr">
        <is>
          <t>IF_CapexTotal</t>
        </is>
      </c>
      <c r="H6" t="inlineStr">
        <is>
          <t>Interface!J11</t>
        </is>
      </c>
    </row>
    <row r="7">
      <c r="A7" t="inlineStr">
        <is>
          <t>每 GW 資本支出：合計</t>
        </is>
      </c>
      <c r="B7" t="inlineStr">
        <is>
          <t>VR200</t>
        </is>
      </c>
      <c r="C7" s="4" t="n">
        <v>42.2090232</v>
      </c>
      <c r="D7" s="4" t="n">
        <v>50.256352</v>
      </c>
      <c r="E7" s="4" t="n">
        <v>58.8235752</v>
      </c>
      <c r="F7" t="inlineStr">
        <is>
          <t>$B</t>
        </is>
      </c>
      <c r="G7" t="inlineStr">
        <is>
          <t>IF_CapexTotal</t>
        </is>
      </c>
      <c r="H7" t="inlineStr">
        <is>
          <t>Interface!M11</t>
        </is>
      </c>
    </row>
    <row r="8">
      <c r="A8" t="inlineStr">
        <is>
          <t>每 GW 年經濟持有成本</t>
        </is>
      </c>
      <c r="B8" t="inlineStr">
        <is>
          <t>GB300</t>
        </is>
      </c>
      <c r="C8" s="4" t="n">
        <v>8.42889912085495</v>
      </c>
      <c r="D8" s="4" t="n">
        <v>10.8864110021101</v>
      </c>
      <c r="E8" s="4" t="n">
        <v>18.5346455040469</v>
      </c>
      <c r="F8" t="inlineStr">
        <is>
          <t>$B/GW/年</t>
        </is>
      </c>
      <c r="G8" t="inlineStr">
        <is>
          <t>IF_HoldEcon</t>
        </is>
      </c>
      <c r="H8" t="inlineStr">
        <is>
          <t>Interface!J13</t>
        </is>
      </c>
    </row>
    <row r="9">
      <c r="A9" t="inlineStr">
        <is>
          <t>每 GW 年經濟持有成本</t>
        </is>
      </c>
      <c r="B9" t="inlineStr">
        <is>
          <t>VR200</t>
        </is>
      </c>
      <c r="C9" s="4" t="n">
        <v>9.219071462815959</v>
      </c>
      <c r="D9" s="4" t="n">
        <v>12.2254710045841</v>
      </c>
      <c r="E9" s="4" t="n">
        <v>19.7506269894487</v>
      </c>
      <c r="F9" t="inlineStr">
        <is>
          <t>$B/GW/年</t>
        </is>
      </c>
      <c r="G9" t="inlineStr">
        <is>
          <t>IF_HoldEcon</t>
        </is>
      </c>
      <c r="H9" t="inlineStr">
        <is>
          <t>Interface!M13</t>
        </is>
      </c>
    </row>
    <row r="10">
      <c r="A10" t="inlineStr">
        <is>
          <t>VR200 每 GW 營收 P×Q：第一年（m＝2026 Q2）</t>
        </is>
      </c>
      <c r="B10" t="inlineStr">
        <is>
          <t>VR200</t>
        </is>
      </c>
      <c r="C10" s="4" t="n">
        <v>36.2295980753679</v>
      </c>
      <c r="D10" s="4" t="n">
        <v>49.5137840363362</v>
      </c>
      <c r="E10" s="4" t="n">
        <v>78.4974624966305</v>
      </c>
      <c r="F10" t="inlineStr">
        <is>
          <t>$B/GW/年</t>
        </is>
      </c>
      <c r="G10" t="inlineStr">
        <is>
          <t>L1_RevGW_PQ_VR200</t>
        </is>
      </c>
      <c r="H10" t="inlineStr">
        <is>
          <t>L1!D129</t>
        </is>
      </c>
    </row>
    <row r="11">
      <c r="A11" t="inlineStr">
        <is>
          <t>VR200 每 GW 營收 P×Q：壽命期平均（含 L）</t>
        </is>
      </c>
      <c r="B11" t="inlineStr">
        <is>
          <t>VR200</t>
        </is>
      </c>
      <c r="C11" s="4" t="n">
        <v>16.1583510983491</v>
      </c>
      <c r="D11" s="4" t="n">
        <v>34.6024369655691</v>
      </c>
      <c r="E11" s="4" t="n">
        <v>85.88756004396591</v>
      </c>
      <c r="F11" t="inlineStr">
        <is>
          <t>$B/GW/年</t>
        </is>
      </c>
      <c r="G11" t="inlineStr">
        <is>
          <t>L1_RevGW_PQ_VR200_Life</t>
        </is>
      </c>
      <c r="H11" t="inlineStr">
        <is>
          <t>L1!D131</t>
        </is>
      </c>
    </row>
    <row r="12">
      <c r="A12" t="inlineStr">
        <is>
          <t>實際 L（機隊、折現）</t>
        </is>
      </c>
      <c r="B12" t="inlineStr">
        <is>
          <t>機隊</t>
        </is>
      </c>
      <c r="C12" s="4" t="n">
        <v>0.479441891854564</v>
      </c>
      <c r="D12" s="4" t="n">
        <v>0.758597367273996</v>
      </c>
      <c r="E12" s="4" t="n">
        <v>1.13827219966509</v>
      </c>
      <c r="F12" t="inlineStr">
        <is>
          <t>x</t>
        </is>
      </c>
      <c r="G12" t="inlineStr">
        <is>
          <t>L1_LTotalFleetVDisc</t>
        </is>
      </c>
      <c r="H12" t="inlineStr">
        <is>
          <t>L1!D116</t>
        </is>
      </c>
    </row>
    <row r="13">
      <c r="A13" t="inlineStr">
        <is>
          <t>回本所需 L（全部算力持有成本口徑）</t>
        </is>
      </c>
      <c r="B13" t="inlineStr">
        <is>
          <t>機隊</t>
        </is>
      </c>
      <c r="C13" s="4" t="n">
        <v>0.715617337265177</v>
      </c>
      <c r="D13" s="4" t="n">
        <v>0.807078229832035</v>
      </c>
      <c r="E13" s="4" t="n">
        <v>0.894521671581471</v>
      </c>
      <c r="F13" t="inlineStr">
        <is>
          <t>x</t>
        </is>
      </c>
      <c r="G13" t="inlineStr">
        <is>
          <t>L1_LReqFleet_Full</t>
        </is>
      </c>
      <c r="H13" t="inlineStr">
        <is>
          <t>L1!D140</t>
        </is>
      </c>
    </row>
    <row r="14">
      <c r="A14" t="inlineStr">
        <is>
          <t>回本比值（實際 L ÷ 所需 L）</t>
        </is>
      </c>
      <c r="B14" t="inlineStr">
        <is>
          <t>機隊</t>
        </is>
      </c>
      <c r="D14">
        <f>D12/D13</f>
        <v/>
      </c>
      <c r="F14" t="inlineStr">
        <is>
          <t>倍</t>
        </is>
      </c>
      <c r="G14" t="inlineStr">
        <is>
          <t>[Derived]</t>
        </is>
      </c>
      <c r="H14" t="inlineStr">
        <is>
          <t>Tokenomics 交接：0.940，「未定」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14" customWidth="1" min="5" max="5"/>
    <col width="12" customWidth="1" min="6" max="6"/>
    <col width="12" customWidth="1" min="7" max="7"/>
    <col width="70" customWidth="1" min="8" max="8"/>
  </cols>
  <sheetData>
    <row r="1">
      <c r="A1" s="2" t="inlineStr">
        <is>
          <t>層級</t>
        </is>
      </c>
      <c r="B1" s="2" t="inlineStr">
        <is>
          <t>次產業</t>
        </is>
      </c>
      <c r="C1" s="2" t="inlineStr">
        <is>
          <t>占 AI IT 資本支出</t>
        </is>
      </c>
      <c r="D1" s="2" t="inlineStr">
        <is>
          <t>比例中值</t>
        </is>
      </c>
      <c r="E1" s="2" t="inlineStr">
        <is>
          <t>每 GW 金額（GB300，$B）</t>
        </is>
      </c>
      <c r="F1" s="2" t="inlineStr">
        <is>
          <t>不可替代性（1–3）</t>
        </is>
      </c>
      <c r="G1" s="2" t="inlineStr">
        <is>
          <t>價值鏈分量分</t>
        </is>
      </c>
      <c r="H1" s="2" t="inlineStr">
        <is>
          <t>依據</t>
        </is>
      </c>
    </row>
    <row r="2">
      <c r="A2" t="inlineStr">
        <is>
          <t>L5 模型商</t>
        </is>
      </c>
      <c r="B2" t="inlineStr">
        <is>
          <t>AI 模型商</t>
        </is>
      </c>
      <c r="C2" t="inlineStr">
        <is>
          <t>營收端（P×Q）</t>
        </is>
      </c>
      <c r="F2" s="3" t="n">
        <v>2</v>
      </c>
      <c r="G2" s="3" t="n">
        <v>75</v>
      </c>
      <c r="H2" s="1" t="inlineStr">
        <is>
          <t>收入池最上游：每 GW 第一年 P×Q 營收高於持有成本，但回本比值約 0.94，未定 [Derived]；分量分為判斷</t>
        </is>
      </c>
    </row>
    <row r="3">
      <c r="A3" t="inlineStr">
        <is>
          <t>L4 算力平台</t>
        </is>
      </c>
      <c r="B3" t="inlineStr">
        <is>
          <t>AI 雲端平台</t>
        </is>
      </c>
      <c r="C3" t="inlineStr">
        <is>
          <t>持有算力資產</t>
        </is>
      </c>
      <c r="F3" s="3" t="n">
        <v>2</v>
      </c>
      <c r="G3" s="3" t="n">
        <v>100</v>
      </c>
      <c r="H3" s="1" t="inlineStr">
        <is>
          <t>持有並出租算力；年持有成本由此層支付，是上游資本支出的付款方 [判斷]</t>
        </is>
      </c>
    </row>
    <row r="4">
      <c r="A4" t="inlineStr">
        <is>
          <t>L4 算力平台</t>
        </is>
      </c>
      <c r="B4" t="inlineStr">
        <is>
          <t>Neocloud（GPU 租賃）</t>
        </is>
      </c>
      <c r="C4" t="inlineStr">
        <is>
          <t>持有算力資產</t>
        </is>
      </c>
      <c r="F4" s="3" t="n">
        <v>3</v>
      </c>
      <c r="G4" s="3" t="n">
        <v>50</v>
      </c>
      <c r="H4" s="1" t="inlineStr">
        <is>
          <t>同為算力持有者，但客戶集中、融資依賴高、可替代 [判斷]</t>
        </is>
      </c>
    </row>
    <row r="5">
      <c r="A5" t="inlineStr">
        <is>
          <t>L3 IT 設備</t>
        </is>
      </c>
      <c r="B5" t="inlineStr">
        <is>
          <t>運算</t>
        </is>
      </c>
      <c r="C5" t="inlineStr">
        <is>
          <t>51.6%（VR200 2027 33.2%）</t>
        </is>
      </c>
      <c r="D5" s="4" t="n">
        <v>0.516</v>
      </c>
      <c r="E5">
        <f>D5*每GW!$D$2</f>
        <v/>
      </c>
      <c r="F5" s="3" t="n">
        <v>1</v>
      </c>
      <c r="G5" s="3" t="n">
        <v>100</v>
      </c>
      <c r="H5" s="1" t="inlineStr">
        <is>
          <t>AI半導體 次產業排序 v0.2.3：NVIDIA GPU 晶片毛利＋CPU；HBM、台積電、網通晶片不在此塊；只含 NVIDIA 平台 [Derived]</t>
        </is>
      </c>
    </row>
    <row r="6">
      <c r="A6" t="inlineStr">
        <is>
          <t>L3 IT 設備</t>
        </is>
      </c>
      <c r="B6" t="inlineStr">
        <is>
          <t>記憶體</t>
        </is>
      </c>
      <c r="C6" t="inlineStr">
        <is>
          <t>13.5%（VR200 2027 22.8%）</t>
        </is>
      </c>
      <c r="D6" s="4" t="n">
        <v>0.135</v>
      </c>
      <c r="E6">
        <f>D6*每GW!$D$2</f>
        <v/>
      </c>
      <c r="F6" s="3" t="n">
        <v>1</v>
      </c>
      <c r="G6" s="3" t="n">
        <v>100</v>
      </c>
      <c r="H6" s="1" t="inlineStr">
        <is>
          <t>AI半導體 次產業排序 v0.2.3：HBM＋LPDDR5X＋機架內 NAND（NAND 為 Assumed）；2027 HBM 合約價約翻倍 [Derived]</t>
        </is>
      </c>
    </row>
    <row r="7">
      <c r="A7" t="inlineStr">
        <is>
          <t>L3 IT 設備</t>
        </is>
      </c>
      <c r="B7" t="inlineStr">
        <is>
          <t>網通</t>
        </is>
      </c>
      <c r="C7" t="inlineStr">
        <is>
          <t>17.5%（VR200 2027 19.0%）</t>
        </is>
      </c>
      <c r="D7" s="4" t="n">
        <v>0.175</v>
      </c>
      <c r="E7">
        <f>D7*每GW!$D$2</f>
        <v/>
      </c>
      <c r="F7" s="3" t="n">
        <v>2</v>
      </c>
      <c r="G7" s="3" t="n">
        <v>75</v>
      </c>
      <c r="H7" s="1" t="inlineStr">
        <is>
          <t>AI半導體 次產業排序 v0.2.3：NVLink 交換晶片＋交換匣其他＋scale-out 機架外＋SuperNIC／DPU [Derived]</t>
        </is>
      </c>
    </row>
    <row r="8">
      <c r="A8" t="inlineStr">
        <is>
          <t>L3 IT 設備</t>
        </is>
      </c>
      <c r="B8" t="inlineStr">
        <is>
          <t>代工與封測</t>
        </is>
      </c>
      <c r="C8" t="inlineStr">
        <is>
          <t>5.4%（VR200 2027 3.0%）</t>
        </is>
      </c>
      <c r="D8" s="4" t="n">
        <v>0.05400000000000001</v>
      </c>
      <c r="E8">
        <f>D8*每GW!$D$2</f>
        <v/>
      </c>
      <c r="F8" s="3" t="n">
        <v>1</v>
      </c>
      <c r="G8" s="3" t="n">
        <v>75</v>
      </c>
      <c r="H8" s="1" t="inlineStr">
        <is>
          <t>AI半導體 次產業排序 v0.2.3：台積電（GPU 晶片＋CoWoS）＋其他製造（測試、良率損失），扣除 ABF；比例小但先進製程與 CoWoS 近獨占，分量分例外給 75 [Derived]／[判斷]</t>
        </is>
      </c>
    </row>
    <row r="9">
      <c r="A9" t="inlineStr">
        <is>
          <t>L3 IT 設備</t>
        </is>
      </c>
      <c r="B9" t="inlineStr">
        <is>
          <t>載板與 PCB</t>
        </is>
      </c>
      <c r="C9" t="inlineStr">
        <is>
          <t>0.3%（VR200 2027 0.3%；ABF，0.2–0.4%；PCB／CCL 在伺服器組裝內）</t>
        </is>
      </c>
      <c r="D9" s="4" t="n">
        <v>0.003</v>
      </c>
      <c r="E9">
        <f>D9*每GW!$D$2</f>
        <v/>
      </c>
      <c r="F9" s="3" t="n">
        <v>2</v>
      </c>
      <c r="G9" s="3" t="n">
        <v>25</v>
      </c>
      <c r="H9" s="1" t="inlineStr">
        <is>
          <t>AI半導體 次產業排序 v0.2.3：ABF 自「其他製造」切出 [Assumed] 區間</t>
        </is>
      </c>
    </row>
    <row r="10">
      <c r="A10" t="inlineStr">
        <is>
          <t>L3 IT 設備</t>
        </is>
      </c>
      <c r="B10" t="inlineStr">
        <is>
          <t>電源與散熱</t>
        </is>
      </c>
      <c r="C10" t="inlineStr">
        <is>
          <t>6.3%（VR200 2027 6.3%；含機構、整合；電源＋散熱約 3–5%）</t>
        </is>
      </c>
      <c r="D10" s="4" t="n">
        <v>0.063</v>
      </c>
      <c r="E10">
        <f>D10*每GW!$D$2</f>
        <v/>
      </c>
      <c r="F10" s="3" t="n">
        <v>2</v>
      </c>
      <c r="G10" s="3" t="n">
        <v>25</v>
      </c>
      <c r="H10" s="1" t="inlineStr">
        <is>
          <t>AI半導體 次產業排序 v0.2.3：非 NVIDIA 機架內容全額；電源＋散熱 3–5% 為判斷，級距依 3–5% 給 25 [Derived]／[Assumed]</t>
        </is>
      </c>
    </row>
    <row r="11">
      <c r="A11" t="inlineStr">
        <is>
          <t>L3 IT 設備</t>
        </is>
      </c>
      <c r="B11" t="inlineStr">
        <is>
          <t>伺服器組裝</t>
        </is>
      </c>
      <c r="C11" t="inlineStr">
        <is>
          <t>4.6%（VR200 2027 14.9%；殘差，未拆；ODM 附加價值約 1–3%）</t>
        </is>
      </c>
      <c r="D11" s="4" t="n">
        <v>0.046</v>
      </c>
      <c r="E11">
        <f>D11*每GW!$D$2</f>
        <v/>
      </c>
      <c r="F11" s="3" t="n">
        <v>3</v>
      </c>
      <c r="G11" s="3" t="n">
        <v>25</v>
      </c>
      <c r="H11" s="1" t="inlineStr">
        <is>
          <t>AI半導體 次產業排序 v0.2.3：橋接表殘差（匣級電路板含 PCB、匣級供電、NVIDIA／ODM 匣級加價），未拆；組裝廠附加價值 1–3% 為判斷 [Derived]</t>
        </is>
      </c>
    </row>
    <row r="12">
      <c r="A12" t="inlineStr">
        <is>
          <t>L3 IT 設備</t>
        </is>
      </c>
      <c r="B12" t="inlineStr">
        <is>
          <t>儲存與管理</t>
        </is>
      </c>
      <c r="C12" t="inlineStr">
        <is>
          <t>0.8%（VR200 2027 0.4%；機架外儲存、管理網路，未拆）</t>
        </is>
      </c>
      <c r="D12" s="4" t="n">
        <v>0.008</v>
      </c>
      <c r="E12">
        <f>D12*每GW!$D$2</f>
        <v/>
      </c>
      <c r="F12" s="3" t="n">
        <v>3</v>
      </c>
      <c r="G12" s="3" t="n">
        <v>25</v>
      </c>
      <c r="H12" s="1" t="inlineStr">
        <is>
          <t>AI半導體 次產業排序 v0.2.3：橋接表儲存與管理列（機架外儲存、管理網路），未拆、不建模；不可替代性 3 為判斷 [Derived]／[判斷]</t>
        </is>
      </c>
    </row>
    <row r="13">
      <c r="A13" t="inlineStr">
        <is>
          <t>L2 半導體製造與設備</t>
        </is>
      </c>
      <c r="B13" t="inlineStr">
        <is>
          <t>設備與材料</t>
        </is>
      </c>
      <c r="C13" t="inlineStr">
        <is>
          <t>約 7.5%（軸 B，不可與軸 A 相加）</t>
        </is>
      </c>
      <c r="D13" s="4" t="n">
        <v>0.075</v>
      </c>
      <c r="F13" s="3" t="n">
        <v>1</v>
      </c>
      <c r="G13" s="3" t="n">
        <v>50</v>
      </c>
      <c r="H13" s="1" t="inlineStr">
        <is>
          <t>AI半導體 次產業排序 v0.2.3（設備模型情境 A：2027 AI 相關設備 117.8B ÷ 1,565B）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20" customWidth="1" min="4" max="4"/>
    <col width="10" customWidth="1" min="5" max="5"/>
    <col width="10" customWidth="1" min="6" max="6"/>
    <col width="56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7" customWidth="1" min="14" max="14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公司重要性（1–3）</t>
        </is>
      </c>
      <c r="F1" s="2" t="inlineStr">
        <is>
          <t>市場位置（1–4）</t>
        </is>
      </c>
      <c r="G1" s="2" t="inlineStr">
        <is>
          <t>地位依據</t>
        </is>
      </c>
      <c r="H1" s="2" t="inlineStr">
        <is>
          <t>標記</t>
        </is>
      </c>
      <c r="I1" s="2" t="inlineStr">
        <is>
          <t>次產業不可替代性</t>
        </is>
      </c>
      <c r="J1" s="2" t="inlineStr">
        <is>
          <t>價值鏈分量分</t>
        </is>
      </c>
      <c r="K1" s="2" t="inlineStr">
        <is>
          <t>不可替代性分</t>
        </is>
      </c>
      <c r="L1" s="2" t="inlineStr">
        <is>
          <t>市場位置分</t>
        </is>
      </c>
      <c r="M1" s="2" t="inlineStr">
        <is>
          <t>地位分數</t>
        </is>
      </c>
      <c r="N1" s="2" t="inlineStr">
        <is>
          <t>排名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s="3" t="n">
        <v>1</v>
      </c>
      <c r="F2" s="3" t="n">
        <v>1</v>
      </c>
      <c r="G2" s="1" t="inlineStr">
        <is>
          <t>AI 加速器金額份額 CY2027 約 75–82%（本專案推導）</t>
        </is>
      </c>
      <c r="H2" t="inlineStr">
        <is>
          <t>[D]</t>
        </is>
      </c>
      <c r="I2">
        <f>價值鏈!F5</f>
        <v/>
      </c>
      <c r="J2">
        <f>價值鏈!G5</f>
        <v/>
      </c>
      <c r="K2">
        <f>(CHOOSE(I2,s_irr1,s_irr2,s_irr3)+CHOOSE(E2,s_irr1,s_irr2,s_irr3))/2</f>
        <v/>
      </c>
      <c r="L2">
        <f>CHOOSE(F2,s_pos1,s_pos2,s_pos3,s_pos4)</f>
        <v/>
      </c>
      <c r="M2">
        <f>w_irr*K2+w_pos*L2+w_vc*J2</f>
        <v/>
      </c>
      <c r="N2">
        <f>RANK(M2,$M$2:$M$64,0)</f>
        <v/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s="3" t="n">
        <v>1</v>
      </c>
      <c r="F3" s="3" t="n">
        <v>2</v>
      </c>
      <c r="G3" s="1" t="inlineStr">
        <is>
          <t>客製 ASIC 約 80–85%（JPMorgan）；運算整體第二</t>
        </is>
      </c>
      <c r="H3" t="inlineStr">
        <is>
          <t>[IP]</t>
        </is>
      </c>
      <c r="I3">
        <f>價值鏈!F5</f>
        <v/>
      </c>
      <c r="J3">
        <f>價值鏈!G5</f>
        <v/>
      </c>
      <c r="K3">
        <f>(CHOOSE(I3,s_irr1,s_irr2,s_irr3)+CHOOSE(E3,s_irr1,s_irr2,s_irr3))/2</f>
        <v/>
      </c>
      <c r="L3">
        <f>CHOOSE(F3,s_pos1,s_pos2,s_pos3,s_pos4)</f>
        <v/>
      </c>
      <c r="M3">
        <f>w_irr*K3+w_pos*L3+w_vc*J3</f>
        <v/>
      </c>
      <c r="N3">
        <f>RANK(M3,$M$2:$M$64,0)</f>
        <v/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s="3" t="n">
        <v>1</v>
      </c>
      <c r="F4" s="3" t="n">
        <v>1</v>
      </c>
      <c r="G4" s="1" t="inlineStr">
        <is>
          <t>2026 HBM 市占 52–55%（本專案）</t>
        </is>
      </c>
      <c r="H4" t="inlineStr">
        <is>
          <t>[D]</t>
        </is>
      </c>
      <c r="I4">
        <f>價值鏈!F6</f>
        <v/>
      </c>
      <c r="J4">
        <f>價值鏈!G6</f>
        <v/>
      </c>
      <c r="K4">
        <f>(CHOOSE(I4,s_irr1,s_irr2,s_irr3)+CHOOSE(E4,s_irr1,s_irr2,s_irr3))/2</f>
        <v/>
      </c>
      <c r="L4">
        <f>CHOOSE(F4,s_pos1,s_pos2,s_pos3,s_pos4)</f>
        <v/>
      </c>
      <c r="M4">
        <f>w_irr*K4+w_pos*L4+w_vc*J4</f>
        <v/>
      </c>
      <c r="N4">
        <f>RANK(M4,$M$2:$M$64,0)</f>
        <v/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s="3" t="n">
        <v>1</v>
      </c>
      <c r="F5" s="3" t="n">
        <v>2</v>
      </c>
      <c r="G5" s="1" t="inlineStr">
        <is>
          <t>2026 HBM 市占 28–32%（本專案）</t>
        </is>
      </c>
      <c r="H5" t="inlineStr">
        <is>
          <t>[D]</t>
        </is>
      </c>
      <c r="I5">
        <f>價值鏈!F6</f>
        <v/>
      </c>
      <c r="J5">
        <f>價值鏈!G6</f>
        <v/>
      </c>
      <c r="K5">
        <f>(CHOOSE(I5,s_irr1,s_irr2,s_irr3)+CHOOSE(E5,s_irr1,s_irr2,s_irr3))/2</f>
        <v/>
      </c>
      <c r="L5">
        <f>CHOOSE(F5,s_pos1,s_pos2,s_pos3,s_pos4)</f>
        <v/>
      </c>
      <c r="M5">
        <f>w_irr*K5+w_pos*L5+w_vc*J5</f>
        <v/>
      </c>
      <c r="N5">
        <f>RANK(M5,$M$2:$M$64,0)</f>
        <v/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s="3" t="n">
        <v>1</v>
      </c>
      <c r="F6" s="3" t="n">
        <v>3</v>
      </c>
      <c r="G6" s="1" t="inlineStr">
        <is>
          <t>2026 HBM 市占 18–20%（本專案）</t>
        </is>
      </c>
      <c r="H6" t="inlineStr">
        <is>
          <t>[D]</t>
        </is>
      </c>
      <c r="I6">
        <f>價值鏈!F6</f>
        <v/>
      </c>
      <c r="J6">
        <f>價值鏈!G6</f>
        <v/>
      </c>
      <c r="K6">
        <f>(CHOOSE(I6,s_irr1,s_irr2,s_irr3)+CHOOSE(E6,s_irr1,s_irr2,s_irr3))/2</f>
        <v/>
      </c>
      <c r="L6">
        <f>CHOOSE(F6,s_pos1,s_pos2,s_pos3,s_pos4)</f>
        <v/>
      </c>
      <c r="M6">
        <f>w_irr*K6+w_pos*L6+w_vc*J6</f>
        <v/>
      </c>
      <c r="N6">
        <f>RANK(M6,$M$2:$M$64,0)</f>
        <v/>
      </c>
    </row>
    <row r="7">
      <c r="A7" t="inlineStr">
        <is>
          <t>ANET</t>
        </is>
      </c>
      <c r="B7" t="inlineStr">
        <is>
          <t>Arista</t>
        </is>
      </c>
      <c r="C7">
        <f>價值鏈!A7</f>
        <v/>
      </c>
      <c r="D7" t="inlineStr">
        <is>
          <t>網通</t>
        </is>
      </c>
      <c r="E7" s="3" t="n">
        <v>1</v>
      </c>
      <c r="F7" s="3" t="n">
        <v>2</v>
      </c>
      <c r="G7" s="1" t="inlineStr">
        <is>
          <t>AI 後端乙太網路交換器份額約 18.7%（本專案 Arista 比對）；NVIDIA、白牌競爭</t>
        </is>
      </c>
      <c r="H7" t="inlineStr">
        <is>
          <t>[D]</t>
        </is>
      </c>
      <c r="I7">
        <f>價值鏈!F7</f>
        <v/>
      </c>
      <c r="J7">
        <f>價值鏈!G7</f>
        <v/>
      </c>
      <c r="K7">
        <f>(CHOOSE(I7,s_irr1,s_irr2,s_irr3)+CHOOSE(E7,s_irr1,s_irr2,s_irr3))/2</f>
        <v/>
      </c>
      <c r="L7">
        <f>CHOOSE(F7,s_pos1,s_pos2,s_pos3,s_pos4)</f>
        <v/>
      </c>
      <c r="M7">
        <f>w_irr*K7+w_pos*L7+w_vc*J7</f>
        <v/>
      </c>
      <c r="N7">
        <f>RANK(M7,$M$2:$M$64,0)</f>
        <v/>
      </c>
    </row>
    <row r="8">
      <c r="A8" t="inlineStr">
        <is>
          <t>300308</t>
        </is>
      </c>
      <c r="B8" t="inlineStr">
        <is>
          <t>中際旭創</t>
        </is>
      </c>
      <c r="C8">
        <f>價值鏈!A7</f>
        <v/>
      </c>
      <c r="D8" t="inlineStr">
        <is>
          <t>網通</t>
        </is>
      </c>
      <c r="E8" s="3" t="n">
        <v>1</v>
      </c>
      <c r="F8" s="3" t="n">
        <v>1</v>
      </c>
      <c r="G8" s="1" t="inlineStr">
        <is>
          <t>高速光模組出貨領先（媒體與券商）</t>
        </is>
      </c>
      <c r="H8" t="inlineStr">
        <is>
          <t>[IP]</t>
        </is>
      </c>
      <c r="I8">
        <f>價值鏈!F7</f>
        <v/>
      </c>
      <c r="J8">
        <f>價值鏈!G7</f>
        <v/>
      </c>
      <c r="K8">
        <f>(CHOOSE(I8,s_irr1,s_irr2,s_irr3)+CHOOSE(E8,s_irr1,s_irr2,s_irr3))/2</f>
        <v/>
      </c>
      <c r="L8">
        <f>CHOOSE(F8,s_pos1,s_pos2,s_pos3,s_pos4)</f>
        <v/>
      </c>
      <c r="M8">
        <f>w_irr*K8+w_pos*L8+w_vc*J8</f>
        <v/>
      </c>
      <c r="N8">
        <f>RANK(M8,$M$2:$M$64,0)</f>
        <v/>
      </c>
    </row>
    <row r="9">
      <c r="A9" t="inlineStr">
        <is>
          <t>2330</t>
        </is>
      </c>
      <c r="B9" t="inlineStr">
        <is>
          <t>台積電</t>
        </is>
      </c>
      <c r="C9">
        <f>價值鏈!A8</f>
        <v/>
      </c>
      <c r="D9" t="inlineStr">
        <is>
          <t>代工與封測</t>
        </is>
      </c>
      <c r="E9" s="3" t="n">
        <v>1</v>
      </c>
      <c r="F9" s="3" t="n">
        <v>1</v>
      </c>
      <c r="G9" s="1" t="inlineStr">
        <is>
          <t>先進製程晶圓與 CoWoS 接近獨占</t>
        </is>
      </c>
      <c r="H9" t="inlineStr">
        <is>
          <t>[判斷]</t>
        </is>
      </c>
      <c r="I9">
        <f>價值鏈!F8</f>
        <v/>
      </c>
      <c r="J9">
        <f>價值鏈!G8</f>
        <v/>
      </c>
      <c r="K9">
        <f>(CHOOSE(I9,s_irr1,s_irr2,s_irr3)+CHOOSE(E9,s_irr1,s_irr2,s_irr3))/2</f>
        <v/>
      </c>
      <c r="L9">
        <f>CHOOSE(F9,s_pos1,s_pos2,s_pos3,s_pos4)</f>
        <v/>
      </c>
      <c r="M9">
        <f>w_irr*K9+w_pos*L9+w_vc*J9</f>
        <v/>
      </c>
      <c r="N9">
        <f>RANK(M9,$M$2:$M$64,0)</f>
        <v/>
      </c>
    </row>
    <row r="10">
      <c r="A10" t="inlineStr">
        <is>
          <t>4062</t>
        </is>
      </c>
      <c r="B10" t="inlineStr">
        <is>
          <t>Ibiden</t>
        </is>
      </c>
      <c r="C10">
        <f>價值鏈!A9</f>
        <v/>
      </c>
      <c r="D10" t="inlineStr">
        <is>
          <t>載板與 PCB</t>
        </is>
      </c>
      <c r="E10" s="3" t="n">
        <v>1</v>
      </c>
      <c r="F10" s="3" t="n">
        <v>1</v>
      </c>
      <c r="G10" s="1" t="inlineStr">
        <is>
          <t>高階 AI 載板主要供應者</t>
        </is>
      </c>
      <c r="H10" t="inlineStr">
        <is>
          <t>[判斷]</t>
        </is>
      </c>
      <c r="I10">
        <f>價值鏈!F9</f>
        <v/>
      </c>
      <c r="J10">
        <f>價值鏈!G9</f>
        <v/>
      </c>
      <c r="K10">
        <f>(CHOOSE(I10,s_irr1,s_irr2,s_irr3)+CHOOSE(E10,s_irr1,s_irr2,s_irr3))/2</f>
        <v/>
      </c>
      <c r="L10">
        <f>CHOOSE(F10,s_pos1,s_pos2,s_pos3,s_pos4)</f>
        <v/>
      </c>
      <c r="M10">
        <f>w_irr*K10+w_pos*L10+w_vc*J10</f>
        <v/>
      </c>
      <c r="N10">
        <f>RANK(M10,$M$2:$M$64,0)</f>
        <v/>
      </c>
    </row>
    <row r="11">
      <c r="A11" t="inlineStr">
        <is>
          <t>2308</t>
        </is>
      </c>
      <c r="B11" t="inlineStr">
        <is>
          <t>台達電</t>
        </is>
      </c>
      <c r="C11">
        <f>價值鏈!A10</f>
        <v/>
      </c>
      <c r="D11" t="inlineStr">
        <is>
          <t>電源與散熱</t>
        </is>
      </c>
      <c r="E11" s="3" t="n">
        <v>1</v>
      </c>
      <c r="F11" s="3" t="n">
        <v>1</v>
      </c>
      <c r="G11" s="1" t="inlineStr">
        <is>
          <t>伺服器電源龍頭</t>
        </is>
      </c>
      <c r="H11" t="inlineStr">
        <is>
          <t>[判斷]</t>
        </is>
      </c>
      <c r="I11">
        <f>價值鏈!F10</f>
        <v/>
      </c>
      <c r="J11">
        <f>價值鏈!G10</f>
        <v/>
      </c>
      <c r="K11">
        <f>(CHOOSE(I11,s_irr1,s_irr2,s_irr3)+CHOOSE(E11,s_irr1,s_irr2,s_irr3))/2</f>
        <v/>
      </c>
      <c r="L11">
        <f>CHOOSE(F11,s_pos1,s_pos2,s_pos3,s_pos4)</f>
        <v/>
      </c>
      <c r="M11">
        <f>w_irr*K11+w_pos*L11+w_vc*J11</f>
        <v/>
      </c>
      <c r="N11">
        <f>RANK(M11,$M$2:$M$64,0)</f>
        <v/>
      </c>
    </row>
    <row r="12">
      <c r="A12" t="inlineStr">
        <is>
          <t>2382</t>
        </is>
      </c>
      <c r="B12" t="inlineStr">
        <is>
          <t>廣達</t>
        </is>
      </c>
      <c r="C12">
        <f>價值鏈!A11</f>
        <v/>
      </c>
      <c r="D12" t="inlineStr">
        <is>
          <t>伺服器組裝</t>
        </is>
      </c>
      <c r="E12" s="3" t="n">
        <v>1</v>
      </c>
      <c r="F12" s="3" t="n">
        <v>2</v>
      </c>
      <c r="G12" s="1" t="inlineStr">
        <is>
          <t>雲端與 NVIDIA 整櫃主要 ODM；鴻海為最大組裝廠</t>
        </is>
      </c>
      <c r="H12" t="inlineStr">
        <is>
          <t>[判斷]</t>
        </is>
      </c>
      <c r="I12">
        <f>價值鏈!F11</f>
        <v/>
      </c>
      <c r="J12">
        <f>價值鏈!G11</f>
        <v/>
      </c>
      <c r="K12">
        <f>(CHOOSE(I12,s_irr1,s_irr2,s_irr3)+CHOOSE(E12,s_irr1,s_irr2,s_irr3))/2</f>
        <v/>
      </c>
      <c r="L12">
        <f>CHOOSE(F12,s_pos1,s_pos2,s_pos3,s_pos4)</f>
        <v/>
      </c>
      <c r="M12">
        <f>w_irr*K12+w_pos*L12+w_vc*J12</f>
        <v/>
      </c>
      <c r="N12">
        <f>RANK(M12,$M$2:$M$64,0)</f>
        <v/>
      </c>
    </row>
    <row r="13">
      <c r="A13" t="inlineStr">
        <is>
          <t>6857</t>
        </is>
      </c>
      <c r="B13" t="inlineStr">
        <is>
          <t>Advantest</t>
        </is>
      </c>
      <c r="C13">
        <f>價值鏈!A13</f>
        <v/>
      </c>
      <c r="D13" t="inlineStr">
        <is>
          <t>設備與材料</t>
        </is>
      </c>
      <c r="E13" s="3" t="n">
        <v>1</v>
      </c>
      <c r="F13" s="3" t="n">
        <v>1</v>
      </c>
      <c r="G13" s="1" t="inlineStr">
        <is>
          <t>SoC 測試市占 66%（公司自估 CY2025）</t>
        </is>
      </c>
      <c r="H13" t="inlineStr">
        <is>
          <t>[IP]</t>
        </is>
      </c>
      <c r="I13">
        <f>價值鏈!F13</f>
        <v/>
      </c>
      <c r="J13">
        <f>價值鏈!G13</f>
        <v/>
      </c>
      <c r="K13">
        <f>(CHOOSE(I13,s_irr1,s_irr2,s_irr3)+CHOOSE(E13,s_irr1,s_irr2,s_irr3))/2</f>
        <v/>
      </c>
      <c r="L13">
        <f>CHOOSE(F13,s_pos1,s_pos2,s_pos3,s_pos4)</f>
        <v/>
      </c>
      <c r="M13">
        <f>w_irr*K13+w_pos*L13+w_vc*J13</f>
        <v/>
      </c>
      <c r="N13">
        <f>RANK(M13,$M$2:$M$64,0)</f>
        <v/>
      </c>
    </row>
    <row r="14">
      <c r="A14" t="inlineStr">
        <is>
          <t>6146</t>
        </is>
      </c>
      <c r="B14" t="inlineStr">
        <is>
          <t>Disco</t>
        </is>
      </c>
      <c r="C14">
        <f>價值鏈!A13</f>
        <v/>
      </c>
      <c r="D14" t="inlineStr">
        <is>
          <t>設備與材料</t>
        </is>
      </c>
      <c r="E14" s="3" t="n">
        <v>2</v>
      </c>
      <c r="F14" s="3" t="n">
        <v>1</v>
      </c>
      <c r="G14" s="1" t="inlineStr">
        <is>
          <t>研削與切割市占 60–80%（兩來源）</t>
        </is>
      </c>
      <c r="H14" t="inlineStr">
        <is>
          <t>[IP]</t>
        </is>
      </c>
      <c r="I14">
        <f>價值鏈!F13</f>
        <v/>
      </c>
      <c r="J14">
        <f>價值鏈!G13</f>
        <v/>
      </c>
      <c r="K14">
        <f>(CHOOSE(I14,s_irr1,s_irr2,s_irr3)+CHOOSE(E14,s_irr1,s_irr2,s_irr3))/2</f>
        <v/>
      </c>
      <c r="L14">
        <f>CHOOSE(F14,s_pos1,s_pos2,s_pos3,s_pos4)</f>
        <v/>
      </c>
      <c r="M14">
        <f>w_irr*K14+w_pos*L14+w_vc*J14</f>
        <v/>
      </c>
      <c r="N14">
        <f>RANK(M14,$M$2:$M$64,0)</f>
        <v/>
      </c>
    </row>
    <row r="15">
      <c r="A15" t="inlineStr">
        <is>
          <t>AMZN</t>
        </is>
      </c>
      <c r="B15" t="inlineStr">
        <is>
          <t>Amazon</t>
        </is>
      </c>
      <c r="C15">
        <f>價值鏈!A3</f>
        <v/>
      </c>
      <c r="D15" t="inlineStr">
        <is>
          <t>AI 雲端平台</t>
        </is>
      </c>
      <c r="E15" s="3" t="n">
        <v>1</v>
      </c>
      <c r="F15" s="3" t="n">
        <v>1</v>
      </c>
      <c r="G15" s="1" t="inlineStr">
        <is>
          <t>AWS 為最大公有雲；自研 Trainium</t>
        </is>
      </c>
      <c r="H15" t="inlineStr">
        <is>
          <t>[判斷]</t>
        </is>
      </c>
      <c r="I15">
        <f>價值鏈!F3</f>
        <v/>
      </c>
      <c r="J15">
        <f>價值鏈!G3</f>
        <v/>
      </c>
      <c r="K15">
        <f>(CHOOSE(I15,s_irr1,s_irr2,s_irr3)+CHOOSE(E15,s_irr1,s_irr2,s_irr3))/2</f>
        <v/>
      </c>
      <c r="L15">
        <f>CHOOSE(F15,s_pos1,s_pos2,s_pos3,s_pos4)</f>
        <v/>
      </c>
      <c r="M15">
        <f>w_irr*K15+w_pos*L15+w_vc*J15</f>
        <v/>
      </c>
      <c r="N15">
        <f>RANK(M15,$M$2:$M$64,0)</f>
        <v/>
      </c>
    </row>
    <row r="16">
      <c r="A16" t="inlineStr">
        <is>
          <t>MSFT</t>
        </is>
      </c>
      <c r="B16" t="inlineStr">
        <is>
          <t>Microsoft</t>
        </is>
      </c>
      <c r="C16">
        <f>價值鏈!A3</f>
        <v/>
      </c>
      <c r="D16" t="inlineStr">
        <is>
          <t>AI 雲端平台</t>
        </is>
      </c>
      <c r="E16" s="3" t="n">
        <v>1</v>
      </c>
      <c r="F16" s="3" t="n">
        <v>2</v>
      </c>
      <c r="G16" s="1" t="inlineStr">
        <is>
          <t>Azure 第二大公有雲；OpenAI 主要算力夥伴</t>
        </is>
      </c>
      <c r="H16" t="inlineStr">
        <is>
          <t>[判斷]</t>
        </is>
      </c>
      <c r="I16">
        <f>價值鏈!F3</f>
        <v/>
      </c>
      <c r="J16">
        <f>價值鏈!G3</f>
        <v/>
      </c>
      <c r="K16">
        <f>(CHOOSE(I16,s_irr1,s_irr2,s_irr3)+CHOOSE(E16,s_irr1,s_irr2,s_irr3))/2</f>
        <v/>
      </c>
      <c r="L16">
        <f>CHOOSE(F16,s_pos1,s_pos2,s_pos3,s_pos4)</f>
        <v/>
      </c>
      <c r="M16">
        <f>w_irr*K16+w_pos*L16+w_vc*J16</f>
        <v/>
      </c>
      <c r="N16">
        <f>RANK(M16,$M$2:$M$64,0)</f>
        <v/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s="3" t="n">
        <v>1</v>
      </c>
      <c r="F17" s="3" t="n">
        <v>2</v>
      </c>
      <c r="G17" s="1" t="inlineStr">
        <is>
          <t>TPU＋Gemini 垂直整合；雲端第三</t>
        </is>
      </c>
      <c r="H17" t="inlineStr">
        <is>
          <t>[判斷]</t>
        </is>
      </c>
      <c r="I17">
        <f>價值鏈!F3</f>
        <v/>
      </c>
      <c r="J17">
        <f>價值鏈!G3</f>
        <v/>
      </c>
      <c r="K17">
        <f>(CHOOSE(I17,s_irr1,s_irr2,s_irr3)+CHOOSE(E17,s_irr1,s_irr2,s_irr3))/2</f>
        <v/>
      </c>
      <c r="L17">
        <f>CHOOSE(F17,s_pos1,s_pos2,s_pos3,s_pos4)</f>
        <v/>
      </c>
      <c r="M17">
        <f>w_irr*K17+w_pos*L17+w_vc*J17</f>
        <v/>
      </c>
      <c r="N17">
        <f>RANK(M17,$M$2:$M$64,0)</f>
        <v/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s="3" t="n">
        <v>2</v>
      </c>
      <c r="F18" s="3" t="n">
        <v>3</v>
      </c>
      <c r="G18" s="1" t="inlineStr">
        <is>
          <t>OCI 規模較小；Stargate 主要承建方，客戶集中</t>
        </is>
      </c>
      <c r="H18" t="inlineStr">
        <is>
          <t>[判斷]</t>
        </is>
      </c>
      <c r="I18">
        <f>價值鏈!F3</f>
        <v/>
      </c>
      <c r="J18">
        <f>價值鏈!G3</f>
        <v/>
      </c>
      <c r="K18">
        <f>(CHOOSE(I18,s_irr1,s_irr2,s_irr3)+CHOOSE(E18,s_irr1,s_irr2,s_irr3))/2</f>
        <v/>
      </c>
      <c r="L18">
        <f>CHOOSE(F18,s_pos1,s_pos2,s_pos3,s_pos4)</f>
        <v/>
      </c>
      <c r="M18">
        <f>w_irr*K18+w_pos*L18+w_vc*J18</f>
        <v/>
      </c>
      <c r="N18">
        <f>RANK(M18,$M$2:$M$64,0)</f>
        <v/>
      </c>
    </row>
    <row r="19">
      <c r="A19" t="inlineStr">
        <is>
          <t>CRWV</t>
        </is>
      </c>
      <c r="B19" t="inlineStr">
        <is>
          <t>CoreWeave</t>
        </is>
      </c>
      <c r="C19">
        <f>價值鏈!A4</f>
        <v/>
      </c>
      <c r="D19" t="inlineStr">
        <is>
          <t>Neocloud（GPU 租賃）</t>
        </is>
      </c>
      <c r="E19" s="3" t="n">
        <v>2</v>
      </c>
      <c r="F19" s="3" t="n">
        <v>1</v>
      </c>
      <c r="G19" s="1" t="inlineStr">
        <is>
          <t>最大 neocloud；客戶集中於 Microsoft、OpenAI</t>
        </is>
      </c>
      <c r="H19" t="inlineStr">
        <is>
          <t>[判斷]</t>
        </is>
      </c>
      <c r="I19">
        <f>價值鏈!F4</f>
        <v/>
      </c>
      <c r="J19">
        <f>價值鏈!G4</f>
        <v/>
      </c>
      <c r="K19">
        <f>(CHOOSE(I19,s_irr1,s_irr2,s_irr3)+CHOOSE(E19,s_irr1,s_irr2,s_irr3))/2</f>
        <v/>
      </c>
      <c r="L19">
        <f>CHOOSE(F19,s_pos1,s_pos2,s_pos3,s_pos4)</f>
        <v/>
      </c>
      <c r="M19">
        <f>w_irr*K19+w_pos*L19+w_vc*J19</f>
        <v/>
      </c>
      <c r="N19">
        <f>RANK(M19,$M$2:$M$64,0)</f>
        <v/>
      </c>
    </row>
    <row r="20">
      <c r="A20" t="inlineStr">
        <is>
          <t>NBIS</t>
        </is>
      </c>
      <c r="B20" t="inlineStr">
        <is>
          <t>Nebius</t>
        </is>
      </c>
      <c r="C20">
        <f>價值鏈!A4</f>
        <v/>
      </c>
      <c r="D20" t="inlineStr">
        <is>
          <t>Neocloud（GPU 租賃）</t>
        </is>
      </c>
      <c r="E20" s="3" t="n">
        <v>2</v>
      </c>
      <c r="F20" s="3" t="n">
        <v>2</v>
      </c>
      <c r="G20" s="1" t="inlineStr">
        <is>
          <t>歐洲為主的 neocloud；Microsoft 長約</t>
        </is>
      </c>
      <c r="H20" t="inlineStr">
        <is>
          <t>[判斷]</t>
        </is>
      </c>
      <c r="I20">
        <f>價值鏈!F4</f>
        <v/>
      </c>
      <c r="J20">
        <f>價值鏈!G4</f>
        <v/>
      </c>
      <c r="K20">
        <f>(CHOOSE(I20,s_irr1,s_irr2,s_irr3)+CHOOSE(E20,s_irr1,s_irr2,s_irr3))/2</f>
        <v/>
      </c>
      <c r="L20">
        <f>CHOOSE(F20,s_pos1,s_pos2,s_pos3,s_pos4)</f>
        <v/>
      </c>
      <c r="M20">
        <f>w_irr*K20+w_pos*L20+w_vc*J20</f>
        <v/>
      </c>
      <c r="N20">
        <f>RANK(M20,$M$2:$M$64,0)</f>
        <v/>
      </c>
    </row>
    <row r="21">
      <c r="A21" t="inlineStr">
        <is>
          <t>WYFI</t>
        </is>
      </c>
      <c r="B21" t="inlineStr">
        <is>
          <t>WhiteFiber</t>
        </is>
      </c>
      <c r="C21">
        <f>價值鏈!A4</f>
        <v/>
      </c>
      <c r="D21" t="inlineStr">
        <is>
          <t>Neocloud（GPU 租賃）</t>
        </is>
      </c>
      <c r="E21" s="3" t="n">
        <v>3</v>
      </c>
      <c r="F21" s="3" t="n">
        <v>4</v>
      </c>
      <c r="G21" s="1" t="inlineStr">
        <is>
          <t>小型 neocloud＋託管</t>
        </is>
      </c>
      <c r="H21" t="inlineStr">
        <is>
          <t>[判斷]</t>
        </is>
      </c>
      <c r="I21">
        <f>價值鏈!F4</f>
        <v/>
      </c>
      <c r="J21">
        <f>價值鏈!G4</f>
        <v/>
      </c>
      <c r="K21">
        <f>(CHOOSE(I21,s_irr1,s_irr2,s_irr3)+CHOOSE(E21,s_irr1,s_irr2,s_irr3))/2</f>
        <v/>
      </c>
      <c r="L21">
        <f>CHOOSE(F21,s_pos1,s_pos2,s_pos3,s_pos4)</f>
        <v/>
      </c>
      <c r="M21">
        <f>w_irr*K21+w_pos*L21+w_vc*J21</f>
        <v/>
      </c>
      <c r="N21">
        <f>RANK(M21,$M$2:$M$64,0)</f>
        <v/>
      </c>
    </row>
    <row r="22">
      <c r="A22" t="inlineStr">
        <is>
          <t>OpenAI</t>
        </is>
      </c>
      <c r="B22" t="inlineStr">
        <is>
          <t>OpenAI</t>
        </is>
      </c>
      <c r="C22">
        <f>價值鏈!A2</f>
        <v/>
      </c>
      <c r="D22" t="inlineStr">
        <is>
          <t>AI 模型商</t>
        </is>
      </c>
      <c r="E22" s="3" t="n">
        <v>1</v>
      </c>
      <c r="F22" s="3" t="n">
        <v>1</v>
      </c>
      <c r="G22" s="1" t="inlineStr">
        <is>
          <t>ChatGPT 與 API 用量最大的模型商；算力承諾最大（本專案 OpenAI 模型）</t>
        </is>
      </c>
      <c r="H22" t="inlineStr">
        <is>
          <t>[判斷]</t>
        </is>
      </c>
      <c r="I22">
        <f>價值鏈!F2</f>
        <v/>
      </c>
      <c r="J22">
        <f>價值鏈!G2</f>
        <v/>
      </c>
      <c r="K22">
        <f>(CHOOSE(I22,s_irr1,s_irr2,s_irr3)+CHOOSE(E22,s_irr1,s_irr2,s_irr3))/2</f>
        <v/>
      </c>
      <c r="L22">
        <f>CHOOSE(F22,s_pos1,s_pos2,s_pos3,s_pos4)</f>
        <v/>
      </c>
      <c r="M22">
        <f>w_irr*K22+w_pos*L22+w_vc*J22</f>
        <v/>
      </c>
      <c r="N22">
        <f>RANK(M22,$M$2:$M$64,0)</f>
        <v/>
      </c>
    </row>
    <row r="23">
      <c r="A23" t="inlineStr">
        <is>
          <t>Anthropic</t>
        </is>
      </c>
      <c r="B23" t="inlineStr">
        <is>
          <t>Anthropic</t>
        </is>
      </c>
      <c r="C23">
        <f>價值鏈!A2</f>
        <v/>
      </c>
      <c r="D23" t="inlineStr">
        <is>
          <t>AI 模型商</t>
        </is>
      </c>
      <c r="E23" s="3" t="n">
        <v>1</v>
      </c>
      <c r="F23" s="3" t="n">
        <v>2</v>
      </c>
      <c r="G23" s="1" t="inlineStr">
        <is>
          <t>企業與程式開發用途為主的前沿模型商（本專案 Anthropic 模型）</t>
        </is>
      </c>
      <c r="H23" t="inlineStr">
        <is>
          <t>[判斷]</t>
        </is>
      </c>
      <c r="I23">
        <f>價值鏈!F2</f>
        <v/>
      </c>
      <c r="J23">
        <f>價值鏈!G2</f>
        <v/>
      </c>
      <c r="K23">
        <f>(CHOOSE(I23,s_irr1,s_irr2,s_irr3)+CHOOSE(E23,s_irr1,s_irr2,s_irr3))/2</f>
        <v/>
      </c>
      <c r="L23">
        <f>CHOOSE(F23,s_pos1,s_pos2,s_pos3,s_pos4)</f>
        <v/>
      </c>
      <c r="M23">
        <f>w_irr*K23+w_pos*L23+w_vc*J23</f>
        <v/>
      </c>
      <c r="N23">
        <f>RANK(M23,$M$2:$M$64,0)</f>
        <v/>
      </c>
    </row>
    <row r="24">
      <c r="A24" t="inlineStr">
        <is>
          <t>00100</t>
        </is>
      </c>
      <c r="B24" t="inlineStr">
        <is>
          <t>MiniMax</t>
        </is>
      </c>
      <c r="C24">
        <f>價值鏈!A2</f>
        <v/>
      </c>
      <c r="D24" t="inlineStr">
        <is>
          <t>AI 模型商</t>
        </is>
      </c>
      <c r="E24" s="3" t="n">
        <v>3</v>
      </c>
      <c r="F24" s="3" t="n">
        <v>3</v>
      </c>
      <c r="G24" s="1" t="inlineStr">
        <is>
          <t>中國第二梯隊模型商；多模態、海外營收占比高</t>
        </is>
      </c>
      <c r="H24" t="inlineStr">
        <is>
          <t>[判斷]</t>
        </is>
      </c>
      <c r="I24">
        <f>價值鏈!F2</f>
        <v/>
      </c>
      <c r="J24">
        <f>價值鏈!G2</f>
        <v/>
      </c>
      <c r="K24">
        <f>(CHOOSE(I24,s_irr1,s_irr2,s_irr3)+CHOOSE(E24,s_irr1,s_irr2,s_irr3))/2</f>
        <v/>
      </c>
      <c r="L24">
        <f>CHOOSE(F24,s_pos1,s_pos2,s_pos3,s_pos4)</f>
        <v/>
      </c>
      <c r="M24">
        <f>w_irr*K24+w_pos*L24+w_vc*J24</f>
        <v/>
      </c>
      <c r="N24">
        <f>RANK(M24,$M$2:$M$64,0)</f>
        <v/>
      </c>
    </row>
    <row r="25">
      <c r="A25" t="inlineStr">
        <is>
          <t>02513</t>
        </is>
      </c>
      <c r="B25" t="inlineStr">
        <is>
          <t>智譜</t>
        </is>
      </c>
      <c r="C25">
        <f>價值鏈!A2</f>
        <v/>
      </c>
      <c r="D25" t="inlineStr">
        <is>
          <t>AI 模型商</t>
        </is>
      </c>
      <c r="E25" s="3" t="n">
        <v>3</v>
      </c>
      <c r="F25" s="3" t="n">
        <v>3</v>
      </c>
      <c r="G25" s="1" t="inlineStr">
        <is>
          <t>中國第二梯隊模型商；政企本地化部署</t>
        </is>
      </c>
      <c r="H25" t="inlineStr">
        <is>
          <t>[判斷]</t>
        </is>
      </c>
      <c r="I25">
        <f>價值鏈!F2</f>
        <v/>
      </c>
      <c r="J25">
        <f>價值鏈!G2</f>
        <v/>
      </c>
      <c r="K25">
        <f>(CHOOSE(I25,s_irr1,s_irr2,s_irr3)+CHOOSE(E25,s_irr1,s_irr2,s_irr3))/2</f>
        <v/>
      </c>
      <c r="L25">
        <f>CHOOSE(F25,s_pos1,s_pos2,s_pos3,s_pos4)</f>
        <v/>
      </c>
      <c r="M25">
        <f>w_irr*K25+w_pos*L25+w_vc*J25</f>
        <v/>
      </c>
      <c r="N25">
        <f>RANK(M25,$M$2:$M$64,0)</f>
        <v/>
      </c>
    </row>
    <row r="26">
      <c r="A26" t="inlineStr">
        <is>
          <t>AMD</t>
        </is>
      </c>
      <c r="B26" t="inlineStr">
        <is>
          <t>AMD</t>
        </is>
      </c>
      <c r="C26">
        <f>價值鏈!A5</f>
        <v/>
      </c>
      <c r="D26" t="inlineStr">
        <is>
          <t>運算</t>
        </is>
      </c>
      <c r="E26" s="3" t="n">
        <v>2</v>
      </c>
      <c r="F26" s="3" t="n">
        <v>3</v>
      </c>
      <c r="G26" s="1" t="inlineStr">
        <is>
          <t>AI 加速器金額份額 CY2027 約 3–6%（本專案推導）；2027 資料中心「超過一倍」（公司）（AI半導體 候選母體 v0.2.2；市場位置由次產業內優先序 3 換算）</t>
        </is>
      </c>
      <c r="H26" t="inlineStr">
        <is>
          <t>[判斷]</t>
        </is>
      </c>
      <c r="I26">
        <f>價值鏈!F5</f>
        <v/>
      </c>
      <c r="J26">
        <f>價值鏈!G5</f>
        <v/>
      </c>
      <c r="K26">
        <f>(CHOOSE(I26,s_irr1,s_irr2,s_irr3)+CHOOSE(E26,s_irr1,s_irr2,s_irr3))/2</f>
        <v/>
      </c>
      <c r="L26">
        <f>CHOOSE(F26,s_pos1,s_pos2,s_pos3,s_pos4)</f>
        <v/>
      </c>
      <c r="M26">
        <f>w_irr*K26+w_pos*L26+w_vc*J26</f>
        <v/>
      </c>
      <c r="N26">
        <f>RANK(M26,$M$2:$M$64,0)</f>
        <v/>
      </c>
    </row>
    <row r="27">
      <c r="A27" t="inlineStr">
        <is>
          <t>2454</t>
        </is>
      </c>
      <c r="B27" t="inlineStr">
        <is>
          <t>聯發科</t>
        </is>
      </c>
      <c r="C27">
        <f>價值鏈!A5</f>
        <v/>
      </c>
      <c r="D27" t="inlineStr">
        <is>
          <t>運算</t>
        </is>
      </c>
      <c r="E27" s="3" t="n">
        <v>2</v>
      </c>
      <c r="F27" s="3" t="n">
        <v>3</v>
      </c>
      <c r="G27" s="1" t="inlineStr">
        <is>
          <t>Google TPU 合作（媒體報導）（AI半導體 候選母體 v0.2.2；市場位置由次產業內優先序 4 換算）</t>
        </is>
      </c>
      <c r="H27" t="inlineStr">
        <is>
          <t>[判斷]</t>
        </is>
      </c>
      <c r="I27">
        <f>價值鏈!F5</f>
        <v/>
      </c>
      <c r="J27">
        <f>價值鏈!G5</f>
        <v/>
      </c>
      <c r="K27">
        <f>(CHOOSE(I27,s_irr1,s_irr2,s_irr3)+CHOOSE(E27,s_irr1,s_irr2,s_irr3))/2</f>
        <v/>
      </c>
      <c r="L27">
        <f>CHOOSE(F27,s_pos1,s_pos2,s_pos3,s_pos4)</f>
        <v/>
      </c>
      <c r="M27">
        <f>w_irr*K27+w_pos*L27+w_vc*J27</f>
        <v/>
      </c>
      <c r="N27">
        <f>RANK(M27,$M$2:$M$64,0)</f>
        <v/>
      </c>
    </row>
    <row r="28">
      <c r="A28" t="inlineStr">
        <is>
          <t>MRVL</t>
        </is>
      </c>
      <c r="B28" t="inlineStr">
        <is>
          <t>Marvell</t>
        </is>
      </c>
      <c r="C28">
        <f>價值鏈!A5</f>
        <v/>
      </c>
      <c r="D28" t="inlineStr">
        <is>
          <t>運算</t>
        </is>
      </c>
      <c r="E28" s="3" t="n">
        <v>2</v>
      </c>
      <c r="F28" s="3" t="n">
        <v>3</v>
      </c>
      <c r="G28" s="1" t="inlineStr">
        <is>
          <t>光 DSP 主要供應商之一（AI半導體 候選母體 v0.2.2；市場位置由次產業內優先序 5 換算）</t>
        </is>
      </c>
      <c r="H28" t="inlineStr">
        <is>
          <t>[判斷]</t>
        </is>
      </c>
      <c r="I28">
        <f>價值鏈!F5</f>
        <v/>
      </c>
      <c r="J28">
        <f>價值鏈!G5</f>
        <v/>
      </c>
      <c r="K28">
        <f>(CHOOSE(I28,s_irr1,s_irr2,s_irr3)+CHOOSE(E28,s_irr1,s_irr2,s_irr3))/2</f>
        <v/>
      </c>
      <c r="L28">
        <f>CHOOSE(F28,s_pos1,s_pos2,s_pos3,s_pos4)</f>
        <v/>
      </c>
      <c r="M28">
        <f>w_irr*K28+w_pos*L28+w_vc*J28</f>
        <v/>
      </c>
      <c r="N28">
        <f>RANK(M28,$M$2:$M$64,0)</f>
        <v/>
      </c>
    </row>
    <row r="29">
      <c r="A29" t="inlineStr">
        <is>
          <t>3661</t>
        </is>
      </c>
      <c r="B29" t="inlineStr">
        <is>
          <t>世芯-KY</t>
        </is>
      </c>
      <c r="C29">
        <f>價值鏈!A5</f>
        <v/>
      </c>
      <c r="D29" t="inlineStr">
        <is>
          <t>運算</t>
        </is>
      </c>
      <c r="E29" s="3" t="n">
        <v>2</v>
      </c>
      <c r="F29" s="3" t="n">
        <v>4</v>
      </c>
      <c r="G29" s="1" t="inlineStr">
        <is>
          <t>雲端客製晶片設計服務（AI半導體 候選母體 v0.2.2；市場位置由次產業內優先序 6 換算）</t>
        </is>
      </c>
      <c r="H29" t="inlineStr">
        <is>
          <t>[判斷]</t>
        </is>
      </c>
      <c r="I29">
        <f>價值鏈!F5</f>
        <v/>
      </c>
      <c r="J29">
        <f>價值鏈!G5</f>
        <v/>
      </c>
      <c r="K29">
        <f>(CHOOSE(I29,s_irr1,s_irr2,s_irr3)+CHOOSE(E29,s_irr1,s_irr2,s_irr3))/2</f>
        <v/>
      </c>
      <c r="L29">
        <f>CHOOSE(F29,s_pos1,s_pos2,s_pos3,s_pos4)</f>
        <v/>
      </c>
      <c r="M29">
        <f>w_irr*K29+w_pos*L29+w_vc*J29</f>
        <v/>
      </c>
      <c r="N29">
        <f>RANK(M29,$M$2:$M$64,0)</f>
        <v/>
      </c>
    </row>
    <row r="30">
      <c r="A30" t="inlineStr">
        <is>
          <t>3443</t>
        </is>
      </c>
      <c r="B30" t="inlineStr">
        <is>
          <t>創意</t>
        </is>
      </c>
      <c r="C30">
        <f>價值鏈!A5</f>
        <v/>
      </c>
      <c r="D30" t="inlineStr">
        <is>
          <t>運算</t>
        </is>
      </c>
      <c r="E30" s="3" t="n">
        <v>3</v>
      </c>
      <c r="F30" s="3" t="n">
        <v>4</v>
      </c>
      <c r="G30" s="1" t="inlineStr">
        <is>
          <t>台積電轉投資的設計服務廠（AI半導體 候選母體 v0.2.2；市場位置由次產業內優先序 7 換算）</t>
        </is>
      </c>
      <c r="H30" t="inlineStr">
        <is>
          <t>[判斷]</t>
        </is>
      </c>
      <c r="I30">
        <f>價值鏈!F5</f>
        <v/>
      </c>
      <c r="J30">
        <f>價值鏈!G5</f>
        <v/>
      </c>
      <c r="K30">
        <f>(CHOOSE(I30,s_irr1,s_irr2,s_irr3)+CHOOSE(E30,s_irr1,s_irr2,s_irr3))/2</f>
        <v/>
      </c>
      <c r="L30">
        <f>CHOOSE(F30,s_pos1,s_pos2,s_pos3,s_pos4)</f>
        <v/>
      </c>
      <c r="M30">
        <f>w_irr*K30+w_pos*L30+w_vc*J30</f>
        <v/>
      </c>
      <c r="N30">
        <f>RANK(M30,$M$2:$M$64,0)</f>
        <v/>
      </c>
    </row>
    <row r="31">
      <c r="A31" t="inlineStr">
        <is>
          <t>285A</t>
        </is>
      </c>
      <c r="B31" t="inlineStr">
        <is>
          <t>Kioxia</t>
        </is>
      </c>
      <c r="C31">
        <f>價值鏈!A6</f>
        <v/>
      </c>
      <c r="D31" t="inlineStr">
        <is>
          <t>記憶體</t>
        </is>
      </c>
      <c r="E31" s="3" t="n">
        <v>3</v>
      </c>
      <c r="F31" s="3" t="n">
        <v>3</v>
      </c>
      <c r="G31" s="1" t="inlineStr">
        <is>
          <t>NAND 主要廠之一；10-23 曾因「不能由既有層推得」排除，15:59 已取消該關卡（AI半導體 候選母體 v0.2.2；市場位置由次產業內優先序 4 換算）</t>
        </is>
      </c>
      <c r="H31" t="inlineStr">
        <is>
          <t>[判斷]</t>
        </is>
      </c>
      <c r="I31">
        <f>價值鏈!F6</f>
        <v/>
      </c>
      <c r="J31">
        <f>價值鏈!G6</f>
        <v/>
      </c>
      <c r="K31">
        <f>(CHOOSE(I31,s_irr1,s_irr2,s_irr3)+CHOOSE(E31,s_irr1,s_irr2,s_irr3))/2</f>
        <v/>
      </c>
      <c r="L31">
        <f>CHOOSE(F31,s_pos1,s_pos2,s_pos3,s_pos4)</f>
        <v/>
      </c>
      <c r="M31">
        <f>w_irr*K31+w_pos*L31+w_vc*J31</f>
        <v/>
      </c>
      <c r="N31">
        <f>RANK(M31,$M$2:$M$64,0)</f>
        <v/>
      </c>
    </row>
    <row r="32">
      <c r="A32" t="inlineStr">
        <is>
          <t>SNDK</t>
        </is>
      </c>
      <c r="B32" t="inlineStr">
        <is>
          <t>SanDisk</t>
        </is>
      </c>
      <c r="C32">
        <f>價值鏈!A6</f>
        <v/>
      </c>
      <c r="D32" t="inlineStr">
        <is>
          <t>記憶體</t>
        </is>
      </c>
      <c r="E32" s="3" t="n">
        <v>3</v>
      </c>
      <c r="F32" s="3" t="n">
        <v>3</v>
      </c>
      <c r="G32" s="1" t="inlineStr">
        <is>
          <t>與 Kioxia 合資產能（AI半導體 候選母體 v0.2.2；市場位置由次產業內優先序 5 換算）</t>
        </is>
      </c>
      <c r="H32" t="inlineStr">
        <is>
          <t>[判斷]</t>
        </is>
      </c>
      <c r="I32">
        <f>價值鏈!F6</f>
        <v/>
      </c>
      <c r="J32">
        <f>價值鏈!G6</f>
        <v/>
      </c>
      <c r="K32">
        <f>(CHOOSE(I32,s_irr1,s_irr2,s_irr3)+CHOOSE(E32,s_irr1,s_irr2,s_irr3))/2</f>
        <v/>
      </c>
      <c r="L32">
        <f>CHOOSE(F32,s_pos1,s_pos2,s_pos3,s_pos4)</f>
        <v/>
      </c>
      <c r="M32">
        <f>w_irr*K32+w_pos*L32+w_vc*J32</f>
        <v/>
      </c>
      <c r="N32">
        <f>RANK(M32,$M$2:$M$64,0)</f>
        <v/>
      </c>
    </row>
    <row r="33">
      <c r="A33" t="inlineStr">
        <is>
          <t>COHR</t>
        </is>
      </c>
      <c r="B33" t="inlineStr">
        <is>
          <t>Coherent</t>
        </is>
      </c>
      <c r="C33">
        <f>價值鏈!A7</f>
        <v/>
      </c>
      <c r="D33" t="inlineStr">
        <is>
          <t>網通</t>
        </is>
      </c>
      <c r="E33" s="3" t="n">
        <v>2</v>
      </c>
      <c r="F33" s="3" t="n">
        <v>3</v>
      </c>
      <c r="G33" s="1" t="inlineStr">
        <is>
          <t>光模組與元件垂直整合廠（AI半導體 候選母體 v0.2.2；市場位置由次產業內優先序 3 換算）</t>
        </is>
      </c>
      <c r="H33" t="inlineStr">
        <is>
          <t>[判斷]</t>
        </is>
      </c>
      <c r="I33">
        <f>價值鏈!F7</f>
        <v/>
      </c>
      <c r="J33">
        <f>價值鏈!G7</f>
        <v/>
      </c>
      <c r="K33">
        <f>(CHOOSE(I33,s_irr1,s_irr2,s_irr3)+CHOOSE(E33,s_irr1,s_irr2,s_irr3))/2</f>
        <v/>
      </c>
      <c r="L33">
        <f>CHOOSE(F33,s_pos1,s_pos2,s_pos3,s_pos4)</f>
        <v/>
      </c>
      <c r="M33">
        <f>w_irr*K33+w_pos*L33+w_vc*J33</f>
        <v/>
      </c>
      <c r="N33">
        <f>RANK(M33,$M$2:$M$64,0)</f>
        <v/>
      </c>
    </row>
    <row r="34">
      <c r="A34" t="inlineStr">
        <is>
          <t>LITE</t>
        </is>
      </c>
      <c r="B34" t="inlineStr">
        <is>
          <t>Lumentum</t>
        </is>
      </c>
      <c r="C34">
        <f>價值鏈!A7</f>
        <v/>
      </c>
      <c r="D34" t="inlineStr">
        <is>
          <t>網通</t>
        </is>
      </c>
      <c r="E34" s="3" t="n">
        <v>2</v>
      </c>
      <c r="F34" s="3" t="n">
        <v>3</v>
      </c>
      <c r="G34" s="1" t="inlineStr">
        <is>
          <t>高速 EML 雷射主要供應商之一（AI半導體 候選母體 v0.2.2；市場位置由次產業內優先序 4 換算）</t>
        </is>
      </c>
      <c r="H34" t="inlineStr">
        <is>
          <t>[判斷]</t>
        </is>
      </c>
      <c r="I34">
        <f>價值鏈!F7</f>
        <v/>
      </c>
      <c r="J34">
        <f>價值鏈!G7</f>
        <v/>
      </c>
      <c r="K34">
        <f>(CHOOSE(I34,s_irr1,s_irr2,s_irr3)+CHOOSE(E34,s_irr1,s_irr2,s_irr3))/2</f>
        <v/>
      </c>
      <c r="L34">
        <f>CHOOSE(F34,s_pos1,s_pos2,s_pos3,s_pos4)</f>
        <v/>
      </c>
      <c r="M34">
        <f>w_irr*K34+w_pos*L34+w_vc*J34</f>
        <v/>
      </c>
      <c r="N34">
        <f>RANK(M34,$M$2:$M$64,0)</f>
        <v/>
      </c>
    </row>
    <row r="35">
      <c r="A35" t="inlineStr">
        <is>
          <t>300502</t>
        </is>
      </c>
      <c r="B35" t="inlineStr">
        <is>
          <t>新易盛</t>
        </is>
      </c>
      <c r="C35">
        <f>價值鏈!A7</f>
        <v/>
      </c>
      <c r="D35" t="inlineStr">
        <is>
          <t>網通</t>
        </is>
      </c>
      <c r="E35" s="3" t="n">
        <v>2</v>
      </c>
      <c r="F35" s="3" t="n">
        <v>3</v>
      </c>
      <c r="G35" s="1" t="inlineStr">
        <is>
          <t>高速光模組第二梯隊領先者（AI半導體 候選母體 v0.2.2；市場位置由次產業內優先序 5 換算）</t>
        </is>
      </c>
      <c r="H35" t="inlineStr">
        <is>
          <t>[判斷]</t>
        </is>
      </c>
      <c r="I35">
        <f>價值鏈!F7</f>
        <v/>
      </c>
      <c r="J35">
        <f>價值鏈!G7</f>
        <v/>
      </c>
      <c r="K35">
        <f>(CHOOSE(I35,s_irr1,s_irr2,s_irr3)+CHOOSE(E35,s_irr1,s_irr2,s_irr3))/2</f>
        <v/>
      </c>
      <c r="L35">
        <f>CHOOSE(F35,s_pos1,s_pos2,s_pos3,s_pos4)</f>
        <v/>
      </c>
      <c r="M35">
        <f>w_irr*K35+w_pos*L35+w_vc*J35</f>
        <v/>
      </c>
      <c r="N35">
        <f>RANK(M35,$M$2:$M$64,0)</f>
        <v/>
      </c>
    </row>
    <row r="36">
      <c r="A36" t="inlineStr">
        <is>
          <t>2345</t>
        </is>
      </c>
      <c r="B36" t="inlineStr">
        <is>
          <t>智邦</t>
        </is>
      </c>
      <c r="C36">
        <f>價值鏈!A7</f>
        <v/>
      </c>
      <c r="D36" t="inlineStr">
        <is>
          <t>網通</t>
        </is>
      </c>
      <c r="E36" s="3" t="n">
        <v>2</v>
      </c>
      <c r="F36" s="3" t="n">
        <v>4</v>
      </c>
      <c r="G36" s="1" t="inlineStr">
        <is>
          <t>雲端白牌交換器主要 ODM（AI半導體 候選母體 v0.2.2；市場位置由次產業內優先序 6 換算）</t>
        </is>
      </c>
      <c r="H36" t="inlineStr">
        <is>
          <t>[判斷]</t>
        </is>
      </c>
      <c r="I36">
        <f>價值鏈!F7</f>
        <v/>
      </c>
      <c r="J36">
        <f>價值鏈!G7</f>
        <v/>
      </c>
      <c r="K36">
        <f>(CHOOSE(I36,s_irr1,s_irr2,s_irr3)+CHOOSE(E36,s_irr1,s_irr2,s_irr3))/2</f>
        <v/>
      </c>
      <c r="L36">
        <f>CHOOSE(F36,s_pos1,s_pos2,s_pos3,s_pos4)</f>
        <v/>
      </c>
      <c r="M36">
        <f>w_irr*K36+w_pos*L36+w_vc*J36</f>
        <v/>
      </c>
      <c r="N36">
        <f>RANK(M36,$M$2:$M$64,0)</f>
        <v/>
      </c>
    </row>
    <row r="37">
      <c r="A37" t="inlineStr">
        <is>
          <t>FN</t>
        </is>
      </c>
      <c r="B37" t="inlineStr">
        <is>
          <t>Fabrinet</t>
        </is>
      </c>
      <c r="C37">
        <f>價值鏈!A7</f>
        <v/>
      </c>
      <c r="D37" t="inlineStr">
        <is>
          <t>網通</t>
        </is>
      </c>
      <c r="E37" s="3" t="n">
        <v>2</v>
      </c>
      <c r="F37" s="3" t="n">
        <v>4</v>
      </c>
      <c r="G37" s="1" t="inlineStr">
        <is>
          <t>NVIDIA 光模組主要代工之一（AI半導體 候選母體 v0.2.2；市場位置由次產業內優先序 7 換算）</t>
        </is>
      </c>
      <c r="H37" t="inlineStr">
        <is>
          <t>[判斷]</t>
        </is>
      </c>
      <c r="I37">
        <f>價值鏈!F7</f>
        <v/>
      </c>
      <c r="J37">
        <f>價值鏈!G7</f>
        <v/>
      </c>
      <c r="K37">
        <f>(CHOOSE(I37,s_irr1,s_irr2,s_irr3)+CHOOSE(E37,s_irr1,s_irr2,s_irr3))/2</f>
        <v/>
      </c>
      <c r="L37">
        <f>CHOOSE(F37,s_pos1,s_pos2,s_pos3,s_pos4)</f>
        <v/>
      </c>
      <c r="M37">
        <f>w_irr*K37+w_pos*L37+w_vc*J37</f>
        <v/>
      </c>
      <c r="N37">
        <f>RANK(M37,$M$2:$M$64,0)</f>
        <v/>
      </c>
    </row>
    <row r="38">
      <c r="A38" t="inlineStr">
        <is>
          <t>CRDO</t>
        </is>
      </c>
      <c r="B38" t="inlineStr">
        <is>
          <t>Credo</t>
        </is>
      </c>
      <c r="C38">
        <f>價值鏈!A7</f>
        <v/>
      </c>
      <c r="D38" t="inlineStr">
        <is>
          <t>網通</t>
        </is>
      </c>
      <c r="E38" s="3" t="n">
        <v>2</v>
      </c>
      <c r="F38" s="3" t="n">
        <v>4</v>
      </c>
      <c r="G38" s="1" t="inlineStr">
        <is>
          <t>AEC 主要供應商（AI半導體 候選母體 v0.2.2；市場位置由次產業內優先序 8 換算）</t>
        </is>
      </c>
      <c r="H38" t="inlineStr">
        <is>
          <t>[判斷]</t>
        </is>
      </c>
      <c r="I38">
        <f>價值鏈!F7</f>
        <v/>
      </c>
      <c r="J38">
        <f>價值鏈!G7</f>
        <v/>
      </c>
      <c r="K38">
        <f>(CHOOSE(I38,s_irr1,s_irr2,s_irr3)+CHOOSE(E38,s_irr1,s_irr2,s_irr3))/2</f>
        <v/>
      </c>
      <c r="L38">
        <f>CHOOSE(F38,s_pos1,s_pos2,s_pos3,s_pos4)</f>
        <v/>
      </c>
      <c r="M38">
        <f>w_irr*K38+w_pos*L38+w_vc*J38</f>
        <v/>
      </c>
      <c r="N38">
        <f>RANK(M38,$M$2:$M$64,0)</f>
        <v/>
      </c>
    </row>
    <row r="39">
      <c r="A39" t="inlineStr">
        <is>
          <t>ALAB</t>
        </is>
      </c>
      <c r="B39" t="inlineStr">
        <is>
          <t>Astera Labs</t>
        </is>
      </c>
      <c r="C39">
        <f>價值鏈!A7</f>
        <v/>
      </c>
      <c r="D39" t="inlineStr">
        <is>
          <t>網通</t>
        </is>
      </c>
      <c r="E39" s="3" t="n">
        <v>3</v>
      </c>
      <c r="F39" s="3" t="n">
        <v>4</v>
      </c>
      <c r="G39" s="1" t="inlineStr">
        <is>
          <t>retimer 主要供應商（AI半導體 候選母體 v0.2.2；市場位置由次產業內優先序 9 換算）</t>
        </is>
      </c>
      <c r="H39" t="inlineStr">
        <is>
          <t>[判斷]</t>
        </is>
      </c>
      <c r="I39">
        <f>價值鏈!F7</f>
        <v/>
      </c>
      <c r="J39">
        <f>價值鏈!G7</f>
        <v/>
      </c>
      <c r="K39">
        <f>(CHOOSE(I39,s_irr1,s_irr2,s_irr3)+CHOOSE(E39,s_irr1,s_irr2,s_irr3))/2</f>
        <v/>
      </c>
      <c r="L39">
        <f>CHOOSE(F39,s_pos1,s_pos2,s_pos3,s_pos4)</f>
        <v/>
      </c>
      <c r="M39">
        <f>w_irr*K39+w_pos*L39+w_vc*J39</f>
        <v/>
      </c>
      <c r="N39">
        <f>RANK(M39,$M$2:$M$64,0)</f>
        <v/>
      </c>
    </row>
    <row r="40">
      <c r="A40" t="inlineStr">
        <is>
          <t>2449</t>
        </is>
      </c>
      <c r="B40" t="inlineStr">
        <is>
          <t>京元電</t>
        </is>
      </c>
      <c r="C40">
        <f>價值鏈!A8</f>
        <v/>
      </c>
      <c r="D40" t="inlineStr">
        <is>
          <t>代工與封測</t>
        </is>
      </c>
      <c r="E40" s="3" t="n">
        <v>2</v>
      </c>
      <c r="F40" s="3" t="n">
        <v>3</v>
      </c>
      <c r="G40" s="1" t="inlineStr">
        <is>
          <t>AI GPU 測試主要代工之一（媒體）（AI半導體 候選母體 v0.2.2；市場位置由次產業內優先序 3 換算）</t>
        </is>
      </c>
      <c r="H40" t="inlineStr">
        <is>
          <t>[判斷]</t>
        </is>
      </c>
      <c r="I40">
        <f>價值鏈!F8</f>
        <v/>
      </c>
      <c r="J40">
        <f>價值鏈!G8</f>
        <v/>
      </c>
      <c r="K40">
        <f>(CHOOSE(I40,s_irr1,s_irr2,s_irr3)+CHOOSE(E40,s_irr1,s_irr2,s_irr3))/2</f>
        <v/>
      </c>
      <c r="L40">
        <f>CHOOSE(F40,s_pos1,s_pos2,s_pos3,s_pos4)</f>
        <v/>
      </c>
      <c r="M40">
        <f>w_irr*K40+w_pos*L40+w_vc*J40</f>
        <v/>
      </c>
      <c r="N40">
        <f>RANK(M40,$M$2:$M$64,0)</f>
        <v/>
      </c>
    </row>
    <row r="41">
      <c r="A41" t="inlineStr">
        <is>
          <t>AMKR</t>
        </is>
      </c>
      <c r="B41" t="inlineStr">
        <is>
          <t>Amkor</t>
        </is>
      </c>
      <c r="C41">
        <f>價值鏈!A8</f>
        <v/>
      </c>
      <c r="D41" t="inlineStr">
        <is>
          <t>代工與封測</t>
        </is>
      </c>
      <c r="E41" s="3" t="n">
        <v>2</v>
      </c>
      <c r="F41" s="3" t="n">
        <v>3</v>
      </c>
      <c r="G41" s="1" t="inlineStr">
        <is>
          <t>全球第二大封測廠（AI半導體 候選母體 v0.2.2；市場位置由次產業內優先序 4 換算）</t>
        </is>
      </c>
      <c r="H41" t="inlineStr">
        <is>
          <t>[判斷]</t>
        </is>
      </c>
      <c r="I41">
        <f>價值鏈!F8</f>
        <v/>
      </c>
      <c r="J41">
        <f>價值鏈!G8</f>
        <v/>
      </c>
      <c r="K41">
        <f>(CHOOSE(I41,s_irr1,s_irr2,s_irr3)+CHOOSE(E41,s_irr1,s_irr2,s_irr3))/2</f>
        <v/>
      </c>
      <c r="L41">
        <f>CHOOSE(F41,s_pos1,s_pos2,s_pos3,s_pos4)</f>
        <v/>
      </c>
      <c r="M41">
        <f>w_irr*K41+w_pos*L41+w_vc*J41</f>
        <v/>
      </c>
      <c r="N41">
        <f>RANK(M41,$M$2:$M$64,0)</f>
        <v/>
      </c>
    </row>
    <row r="42">
      <c r="A42" t="inlineStr">
        <is>
          <t>2383</t>
        </is>
      </c>
      <c r="B42" t="inlineStr">
        <is>
          <t>台光電</t>
        </is>
      </c>
      <c r="C42">
        <f>價值鏈!A9</f>
        <v/>
      </c>
      <c r="D42" t="inlineStr">
        <is>
          <t>載板與 PCB</t>
        </is>
      </c>
      <c r="E42" s="3" t="n">
        <v>1</v>
      </c>
      <c r="F42" s="3" t="n">
        <v>2</v>
      </c>
      <c r="G42" s="1" t="inlineStr">
        <is>
          <t>AI 伺服器高速 CCL 主要供應者（AI半導體 候選母體 v0.2.2；市場位置由次產業內優先序 2 換算）</t>
        </is>
      </c>
      <c r="H42" t="inlineStr">
        <is>
          <t>[判斷]</t>
        </is>
      </c>
      <c r="I42">
        <f>價值鏈!F9</f>
        <v/>
      </c>
      <c r="J42">
        <f>價值鏈!G9</f>
        <v/>
      </c>
      <c r="K42">
        <f>(CHOOSE(I42,s_irr1,s_irr2,s_irr3)+CHOOSE(E42,s_irr1,s_irr2,s_irr3))/2</f>
        <v/>
      </c>
      <c r="L42">
        <f>CHOOSE(F42,s_pos1,s_pos2,s_pos3,s_pos4)</f>
        <v/>
      </c>
      <c r="M42">
        <f>w_irr*K42+w_pos*L42+w_vc*J42</f>
        <v/>
      </c>
      <c r="N42">
        <f>RANK(M42,$M$2:$M$64,0)</f>
        <v/>
      </c>
    </row>
    <row r="43">
      <c r="A43" t="inlineStr">
        <is>
          <t>3037</t>
        </is>
      </c>
      <c r="B43" t="inlineStr">
        <is>
          <t>欣興</t>
        </is>
      </c>
      <c r="C43">
        <f>價值鏈!A9</f>
        <v/>
      </c>
      <c r="D43" t="inlineStr">
        <is>
          <t>載板與 PCB</t>
        </is>
      </c>
      <c r="E43" s="3" t="n">
        <v>1</v>
      </c>
      <c r="F43" s="3" t="n">
        <v>3</v>
      </c>
      <c r="G43" s="1" t="inlineStr">
        <is>
          <t>ABF 載板主要廠之一（AI半導體 候選母體 v0.2.2；市場位置由次產業內優先序 3 換算）</t>
        </is>
      </c>
      <c r="H43" t="inlineStr">
        <is>
          <t>[判斷]</t>
        </is>
      </c>
      <c r="I43">
        <f>價值鏈!F9</f>
        <v/>
      </c>
      <c r="J43">
        <f>價值鏈!G9</f>
        <v/>
      </c>
      <c r="K43">
        <f>(CHOOSE(I43,s_irr1,s_irr2,s_irr3)+CHOOSE(E43,s_irr1,s_irr2,s_irr3))/2</f>
        <v/>
      </c>
      <c r="L43">
        <f>CHOOSE(F43,s_pos1,s_pos2,s_pos3,s_pos4)</f>
        <v/>
      </c>
      <c r="M43">
        <f>w_irr*K43+w_pos*L43+w_vc*J43</f>
        <v/>
      </c>
      <c r="N43">
        <f>RANK(M43,$M$2:$M$64,0)</f>
        <v/>
      </c>
    </row>
    <row r="44">
      <c r="A44" t="inlineStr">
        <is>
          <t>8046</t>
        </is>
      </c>
      <c r="B44" t="inlineStr">
        <is>
          <t>南電</t>
        </is>
      </c>
      <c r="C44">
        <f>價值鏈!A9</f>
        <v/>
      </c>
      <c r="D44" t="inlineStr">
        <is>
          <t>載板與 PCB</t>
        </is>
      </c>
      <c r="E44" s="3" t="n">
        <v>2</v>
      </c>
      <c r="F44" s="3" t="n">
        <v>3</v>
      </c>
      <c r="G44" s="1" t="inlineStr">
        <is>
          <t>ABF 載板主要廠之一（AI半導體 候選母體 v0.2.2；市場位置由次產業內優先序 5 換算）</t>
        </is>
      </c>
      <c r="H44" t="inlineStr">
        <is>
          <t>[判斷]</t>
        </is>
      </c>
      <c r="I44">
        <f>價值鏈!F9</f>
        <v/>
      </c>
      <c r="J44">
        <f>價值鏈!G9</f>
        <v/>
      </c>
      <c r="K44">
        <f>(CHOOSE(I44,s_irr1,s_irr2,s_irr3)+CHOOSE(E44,s_irr1,s_irr2,s_irr3))/2</f>
        <v/>
      </c>
      <c r="L44">
        <f>CHOOSE(F44,s_pos1,s_pos2,s_pos3,s_pos4)</f>
        <v/>
      </c>
      <c r="M44">
        <f>w_irr*K44+w_pos*L44+w_vc*J44</f>
        <v/>
      </c>
      <c r="N44">
        <f>RANK(M44,$M$2:$M$64,0)</f>
        <v/>
      </c>
    </row>
    <row r="45">
      <c r="A45" t="inlineStr">
        <is>
          <t>2368</t>
        </is>
      </c>
      <c r="B45" t="inlineStr">
        <is>
          <t>金像電</t>
        </is>
      </c>
      <c r="C45">
        <f>價值鏈!A9</f>
        <v/>
      </c>
      <c r="D45" t="inlineStr">
        <is>
          <t>載板與 PCB</t>
        </is>
      </c>
      <c r="E45" s="3" t="n">
        <v>2</v>
      </c>
      <c r="F45" s="3" t="n">
        <v>4</v>
      </c>
      <c r="G45" s="1" t="inlineStr">
        <is>
          <t>雲端伺服器 PCB 主要廠（AI半導體 候選母體 v0.2.2；市場位置由次產業內優先序 6 換算）</t>
        </is>
      </c>
      <c r="H45" t="inlineStr">
        <is>
          <t>[判斷]</t>
        </is>
      </c>
      <c r="I45">
        <f>價值鏈!F9</f>
        <v/>
      </c>
      <c r="J45">
        <f>價值鏈!G9</f>
        <v/>
      </c>
      <c r="K45">
        <f>(CHOOSE(I45,s_irr1,s_irr2,s_irr3)+CHOOSE(E45,s_irr1,s_irr2,s_irr3))/2</f>
        <v/>
      </c>
      <c r="L45">
        <f>CHOOSE(F45,s_pos1,s_pos2,s_pos3,s_pos4)</f>
        <v/>
      </c>
      <c r="M45">
        <f>w_irr*K45+w_pos*L45+w_vc*J45</f>
        <v/>
      </c>
      <c r="N45">
        <f>RANK(M45,$M$2:$M$64,0)</f>
        <v/>
      </c>
    </row>
    <row r="46">
      <c r="A46" t="inlineStr">
        <is>
          <t>300476</t>
        </is>
      </c>
      <c r="B46" t="inlineStr">
        <is>
          <t>勝宏科技</t>
        </is>
      </c>
      <c r="C46">
        <f>價值鏈!A9</f>
        <v/>
      </c>
      <c r="D46" t="inlineStr">
        <is>
          <t>載板與 PCB</t>
        </is>
      </c>
      <c r="E46" s="3" t="n">
        <v>2</v>
      </c>
      <c r="F46" s="3" t="n">
        <v>4</v>
      </c>
      <c r="G46" s="1" t="inlineStr">
        <is>
          <t>NVIDIA 加速卡 PCB 主要供應商之一（媒體）（AI半導體 候選母體 v0.2.2；市場位置由次產業內優先序 7 換算）</t>
        </is>
      </c>
      <c r="H46" t="inlineStr">
        <is>
          <t>[判斷]</t>
        </is>
      </c>
      <c r="I46">
        <f>價值鏈!F9</f>
        <v/>
      </c>
      <c r="J46">
        <f>價值鏈!G9</f>
        <v/>
      </c>
      <c r="K46">
        <f>(CHOOSE(I46,s_irr1,s_irr2,s_irr3)+CHOOSE(E46,s_irr1,s_irr2,s_irr3))/2</f>
        <v/>
      </c>
      <c r="L46">
        <f>CHOOSE(F46,s_pos1,s_pos2,s_pos3,s_pos4)</f>
        <v/>
      </c>
      <c r="M46">
        <f>w_irr*K46+w_pos*L46+w_vc*J46</f>
        <v/>
      </c>
      <c r="N46">
        <f>RANK(M46,$M$2:$M$64,0)</f>
        <v/>
      </c>
    </row>
    <row r="47">
      <c r="A47" t="inlineStr">
        <is>
          <t>ASML</t>
        </is>
      </c>
      <c r="B47" t="inlineStr">
        <is>
          <t>ASML</t>
        </is>
      </c>
      <c r="C47">
        <f>價值鏈!A13</f>
        <v/>
      </c>
      <c r="D47" t="inlineStr">
        <is>
          <t>設備與材料</t>
        </is>
      </c>
      <c r="E47" s="3" t="n">
        <v>1</v>
      </c>
      <c r="F47" s="3" t="n">
        <v>1</v>
      </c>
      <c r="G47" s="1" t="inlineStr">
        <is>
          <t>EUV 唯一供應者（AI半導體 候選母體 v0.2.2；市場位置由次產業內優先序 1 換算）</t>
        </is>
      </c>
      <c r="H47" t="inlineStr">
        <is>
          <t>[判斷]</t>
        </is>
      </c>
      <c r="I47">
        <f>價值鏈!F13</f>
        <v/>
      </c>
      <c r="J47">
        <f>價值鏈!G13</f>
        <v/>
      </c>
      <c r="K47">
        <f>(CHOOSE(I47,s_irr1,s_irr2,s_irr3)+CHOOSE(E47,s_irr1,s_irr2,s_irr3))/2</f>
        <v/>
      </c>
      <c r="L47">
        <f>CHOOSE(F47,s_pos1,s_pos2,s_pos3,s_pos4)</f>
        <v/>
      </c>
      <c r="M47">
        <f>w_irr*K47+w_pos*L47+w_vc*J47</f>
        <v/>
      </c>
      <c r="N47">
        <f>RANK(M47,$M$2:$M$64,0)</f>
        <v/>
      </c>
    </row>
    <row r="48">
      <c r="A48" t="inlineStr">
        <is>
          <t>AMAT</t>
        </is>
      </c>
      <c r="B48" t="inlineStr">
        <is>
          <t>Applied Materials</t>
        </is>
      </c>
      <c r="C48">
        <f>價值鏈!A13</f>
        <v/>
      </c>
      <c r="D48" t="inlineStr">
        <is>
          <t>設備與材料</t>
        </is>
      </c>
      <c r="E48" s="3" t="n">
        <v>1</v>
      </c>
      <c r="F48" s="3" t="n">
        <v>2</v>
      </c>
      <c r="G48" s="1" t="inlineStr">
        <is>
          <t>全球營收最大的設備商之一（AI半導體 候選母體 v0.2.2；市場位置由次產業內優先序 2 換算）</t>
        </is>
      </c>
      <c r="H48" t="inlineStr">
        <is>
          <t>[判斷]</t>
        </is>
      </c>
      <c r="I48">
        <f>價值鏈!F13</f>
        <v/>
      </c>
      <c r="J48">
        <f>價值鏈!G13</f>
        <v/>
      </c>
      <c r="K48">
        <f>(CHOOSE(I48,s_irr1,s_irr2,s_irr3)+CHOOSE(E48,s_irr1,s_irr2,s_irr3))/2</f>
        <v/>
      </c>
      <c r="L48">
        <f>CHOOSE(F48,s_pos1,s_pos2,s_pos3,s_pos4)</f>
        <v/>
      </c>
      <c r="M48">
        <f>w_irr*K48+w_pos*L48+w_vc*J48</f>
        <v/>
      </c>
      <c r="N48">
        <f>RANK(M48,$M$2:$M$64,0)</f>
        <v/>
      </c>
    </row>
    <row r="49">
      <c r="A49" t="inlineStr">
        <is>
          <t>LRCX</t>
        </is>
      </c>
      <c r="B49" t="inlineStr">
        <is>
          <t>Lam Research</t>
        </is>
      </c>
      <c r="C49">
        <f>價值鏈!A13</f>
        <v/>
      </c>
      <c r="D49" t="inlineStr">
        <is>
          <t>設備與材料</t>
        </is>
      </c>
      <c r="E49" s="3" t="n">
        <v>1</v>
      </c>
      <c r="F49" s="3" t="n">
        <v>3</v>
      </c>
      <c r="G49" s="1" t="inlineStr">
        <is>
          <t>記憶體蝕刻主要供應者（AI半導體 候選母體 v0.2.2；市場位置由次產業內優先序 3 換算）</t>
        </is>
      </c>
      <c r="H49" t="inlineStr">
        <is>
          <t>[判斷]</t>
        </is>
      </c>
      <c r="I49">
        <f>價值鏈!F13</f>
        <v/>
      </c>
      <c r="J49">
        <f>價值鏈!G13</f>
        <v/>
      </c>
      <c r="K49">
        <f>(CHOOSE(I49,s_irr1,s_irr2,s_irr3)+CHOOSE(E49,s_irr1,s_irr2,s_irr3))/2</f>
        <v/>
      </c>
      <c r="L49">
        <f>CHOOSE(F49,s_pos1,s_pos2,s_pos3,s_pos4)</f>
        <v/>
      </c>
      <c r="M49">
        <f>w_irr*K49+w_pos*L49+w_vc*J49</f>
        <v/>
      </c>
      <c r="N49">
        <f>RANK(M49,$M$2:$M$64,0)</f>
        <v/>
      </c>
    </row>
    <row r="50">
      <c r="A50" t="inlineStr">
        <is>
          <t>KLAC</t>
        </is>
      </c>
      <c r="B50" t="inlineStr">
        <is>
          <t>KLA</t>
        </is>
      </c>
      <c r="C50">
        <f>價值鏈!A13</f>
        <v/>
      </c>
      <c r="D50" t="inlineStr">
        <is>
          <t>設備與材料</t>
        </is>
      </c>
      <c r="E50" s="3" t="n">
        <v>1</v>
      </c>
      <c r="F50" s="3" t="n">
        <v>3</v>
      </c>
      <c r="G50" s="1" t="inlineStr">
        <is>
          <t>製程控制龍頭（AI半導體 候選母體 v0.2.2；市場位置由次產業內優先序 5 換算）</t>
        </is>
      </c>
      <c r="H50" t="inlineStr">
        <is>
          <t>[判斷]</t>
        </is>
      </c>
      <c r="I50">
        <f>價值鏈!F13</f>
        <v/>
      </c>
      <c r="J50">
        <f>價值鏈!G13</f>
        <v/>
      </c>
      <c r="K50">
        <f>(CHOOSE(I50,s_irr1,s_irr2,s_irr3)+CHOOSE(E50,s_irr1,s_irr2,s_irr3))/2</f>
        <v/>
      </c>
      <c r="L50">
        <f>CHOOSE(F50,s_pos1,s_pos2,s_pos3,s_pos4)</f>
        <v/>
      </c>
      <c r="M50">
        <f>w_irr*K50+w_pos*L50+w_vc*J50</f>
        <v/>
      </c>
      <c r="N50">
        <f>RANK(M50,$M$2:$M$64,0)</f>
        <v/>
      </c>
    </row>
    <row r="51">
      <c r="A51" t="inlineStr">
        <is>
          <t>042700</t>
        </is>
      </c>
      <c r="B51" t="inlineStr">
        <is>
          <t>Hanmi</t>
        </is>
      </c>
      <c r="C51">
        <f>價值鏈!A13</f>
        <v/>
      </c>
      <c r="D51" t="inlineStr">
        <is>
          <t>設備與材料</t>
        </is>
      </c>
      <c r="E51" s="3" t="n">
        <v>2</v>
      </c>
      <c r="F51" s="3" t="n">
        <v>4</v>
      </c>
      <c r="G51" s="1" t="inlineStr">
        <is>
          <t>HBM TC 鍵合機約 71%（本專案 HBM 比對）（AI半導體 候選母體 v0.2.2；市場位置由次產業內優先序 8 換算）</t>
        </is>
      </c>
      <c r="H51" t="inlineStr">
        <is>
          <t>[判斷]</t>
        </is>
      </c>
      <c r="I51">
        <f>價值鏈!F13</f>
        <v/>
      </c>
      <c r="J51">
        <f>價值鏈!G13</f>
        <v/>
      </c>
      <c r="K51">
        <f>(CHOOSE(I51,s_irr1,s_irr2,s_irr3)+CHOOSE(E51,s_irr1,s_irr2,s_irr3))/2</f>
        <v/>
      </c>
      <c r="L51">
        <f>CHOOSE(F51,s_pos1,s_pos2,s_pos3,s_pos4)</f>
        <v/>
      </c>
      <c r="M51">
        <f>w_irr*K51+w_pos*L51+w_vc*J51</f>
        <v/>
      </c>
      <c r="N51">
        <f>RANK(M51,$M$2:$M$64,0)</f>
        <v/>
      </c>
    </row>
    <row r="52">
      <c r="A52" t="inlineStr">
        <is>
          <t>TER</t>
        </is>
      </c>
      <c r="B52" t="inlineStr">
        <is>
          <t>Teradyne</t>
        </is>
      </c>
      <c r="C52">
        <f>價值鏈!A13</f>
        <v/>
      </c>
      <c r="D52" t="inlineStr">
        <is>
          <t>設備與材料</t>
        </is>
      </c>
      <c r="E52" s="3" t="n">
        <v>2</v>
      </c>
      <c r="F52" s="3" t="n">
        <v>4</v>
      </c>
      <c r="G52" s="1" t="inlineStr">
        <is>
          <t>SoC 測試第 2（Advantest 之後）（AI半導體 候選母體 v0.2.2；市場位置由次產業內優先序 9 換算）</t>
        </is>
      </c>
      <c r="H52" t="inlineStr">
        <is>
          <t>[判斷]</t>
        </is>
      </c>
      <c r="I52">
        <f>價值鏈!F13</f>
        <v/>
      </c>
      <c r="J52">
        <f>價值鏈!G13</f>
        <v/>
      </c>
      <c r="K52">
        <f>(CHOOSE(I52,s_irr1,s_irr2,s_irr3)+CHOOSE(E52,s_irr1,s_irr2,s_irr3))/2</f>
        <v/>
      </c>
      <c r="L52">
        <f>CHOOSE(F52,s_pos1,s_pos2,s_pos3,s_pos4)</f>
        <v/>
      </c>
      <c r="M52">
        <f>w_irr*K52+w_pos*L52+w_vc*J52</f>
        <v/>
      </c>
      <c r="N52">
        <f>RANK(M52,$M$2:$M$64,0)</f>
        <v/>
      </c>
    </row>
    <row r="53">
      <c r="A53" t="inlineStr">
        <is>
          <t>BESI</t>
        </is>
      </c>
      <c r="B53" t="inlineStr">
        <is>
          <t>BESI</t>
        </is>
      </c>
      <c r="C53">
        <f>價值鏈!A13</f>
        <v/>
      </c>
      <c r="D53" t="inlineStr">
        <is>
          <t>設備與材料</t>
        </is>
      </c>
      <c r="E53" s="3" t="n">
        <v>3</v>
      </c>
      <c r="F53" s="3" t="n">
        <v>4</v>
      </c>
      <c r="G53" s="1" t="inlineStr">
        <is>
          <t>混合鍵合領先者；主流化時點約 2029–30（本專案）（AI半導體 候選母體 v0.2.2；市場位置由次產業內優先序 10 換算）</t>
        </is>
      </c>
      <c r="H53" t="inlineStr">
        <is>
          <t>[判斷]</t>
        </is>
      </c>
      <c r="I53">
        <f>價值鏈!F13</f>
        <v/>
      </c>
      <c r="J53">
        <f>價值鏈!G13</f>
        <v/>
      </c>
      <c r="K53">
        <f>(CHOOSE(I53,s_irr1,s_irr2,s_irr3)+CHOOSE(E53,s_irr1,s_irr2,s_irr3))/2</f>
        <v/>
      </c>
      <c r="L53">
        <f>CHOOSE(F53,s_pos1,s_pos2,s_pos3,s_pos4)</f>
        <v/>
      </c>
      <c r="M53">
        <f>w_irr*K53+w_pos*L53+w_vc*J53</f>
        <v/>
      </c>
      <c r="N53">
        <f>RANK(M53,$M$2:$M$64,0)</f>
        <v/>
      </c>
    </row>
    <row r="54">
      <c r="A54" t="inlineStr">
        <is>
          <t>6315</t>
        </is>
      </c>
      <c r="B54" t="inlineStr">
        <is>
          <t>TOWA</t>
        </is>
      </c>
      <c r="C54">
        <f>價值鏈!A13</f>
        <v/>
      </c>
      <c r="D54" t="inlineStr">
        <is>
          <t>設備與材料</t>
        </is>
      </c>
      <c r="E54" s="3" t="n">
        <v>3</v>
      </c>
      <c r="F54" s="3" t="n">
        <v>4</v>
      </c>
      <c r="G54" s="1" t="inlineStr">
        <is>
          <t>市占約 2/3（本專案候選表）（AI半導體 候選母體 v0.2.2；市場位置由次產業內優先序 11 換算）</t>
        </is>
      </c>
      <c r="H54" t="inlineStr">
        <is>
          <t>[判斷]</t>
        </is>
      </c>
      <c r="I54">
        <f>價值鏈!F13</f>
        <v/>
      </c>
      <c r="J54">
        <f>價值鏈!G13</f>
        <v/>
      </c>
      <c r="K54">
        <f>(CHOOSE(I54,s_irr1,s_irr2,s_irr3)+CHOOSE(E54,s_irr1,s_irr2,s_irr3))/2</f>
        <v/>
      </c>
      <c r="L54">
        <f>CHOOSE(F54,s_pos1,s_pos2,s_pos3,s_pos4)</f>
        <v/>
      </c>
      <c r="M54">
        <f>w_irr*K54+w_pos*L54+w_vc*J54</f>
        <v/>
      </c>
      <c r="N54">
        <f>RANK(M54,$M$2:$M$64,0)</f>
        <v/>
      </c>
    </row>
    <row r="55">
      <c r="A55" t="inlineStr">
        <is>
          <t>7729</t>
        </is>
      </c>
      <c r="B55" t="inlineStr">
        <is>
          <t>東京精密</t>
        </is>
      </c>
      <c r="C55">
        <f>價值鏈!A13</f>
        <v/>
      </c>
      <c r="D55" t="inlineStr">
        <is>
          <t>設備與材料</t>
        </is>
      </c>
      <c r="E55" s="3" t="n">
        <v>3</v>
      </c>
      <c r="F55" s="3" t="n">
        <v>4</v>
      </c>
      <c r="G55" s="1" t="inlineStr">
        <is>
          <t>探針台主要廠之一（AI半導體 候選母體 v0.2.2；市場位置由次產業內優先序 12 換算）</t>
        </is>
      </c>
      <c r="H55" t="inlineStr">
        <is>
          <t>[判斷]</t>
        </is>
      </c>
      <c r="I55">
        <f>價值鏈!F13</f>
        <v/>
      </c>
      <c r="J55">
        <f>價值鏈!G13</f>
        <v/>
      </c>
      <c r="K55">
        <f>(CHOOSE(I55,s_irr1,s_irr2,s_irr3)+CHOOSE(E55,s_irr1,s_irr2,s_irr3))/2</f>
        <v/>
      </c>
      <c r="L55">
        <f>CHOOSE(F55,s_pos1,s_pos2,s_pos3,s_pos4)</f>
        <v/>
      </c>
      <c r="M55">
        <f>w_irr*K55+w_pos*L55+w_vc*J55</f>
        <v/>
      </c>
      <c r="N55">
        <f>RANK(M55,$M$2:$M$64,0)</f>
        <v/>
      </c>
    </row>
    <row r="56">
      <c r="A56" t="inlineStr">
        <is>
          <t>2317</t>
        </is>
      </c>
      <c r="B56" t="inlineStr">
        <is>
          <t>鴻海</t>
        </is>
      </c>
      <c r="C56">
        <f>價值鏈!A11</f>
        <v/>
      </c>
      <c r="D56" t="inlineStr">
        <is>
          <t>伺服器組裝</t>
        </is>
      </c>
      <c r="E56" s="3" t="n">
        <v>1</v>
      </c>
      <c r="F56" s="3" t="n">
        <v>1</v>
      </c>
      <c r="G56" s="1" t="inlineStr">
        <is>
          <t>NVIDIA 整櫃最大組裝廠（AI半導體 候選母體 v0.2.2；市場位置由次產業內優先序 1 換算）</t>
        </is>
      </c>
      <c r="H56" t="inlineStr">
        <is>
          <t>[判斷]</t>
        </is>
      </c>
      <c r="I56">
        <f>價值鏈!F11</f>
        <v/>
      </c>
      <c r="J56">
        <f>價值鏈!G11</f>
        <v/>
      </c>
      <c r="K56">
        <f>(CHOOSE(I56,s_irr1,s_irr2,s_irr3)+CHOOSE(E56,s_irr1,s_irr2,s_irr3))/2</f>
        <v/>
      </c>
      <c r="L56">
        <f>CHOOSE(F56,s_pos1,s_pos2,s_pos3,s_pos4)</f>
        <v/>
      </c>
      <c r="M56">
        <f>w_irr*K56+w_pos*L56+w_vc*J56</f>
        <v/>
      </c>
      <c r="N56">
        <f>RANK(M56,$M$2:$M$64,0)</f>
        <v/>
      </c>
    </row>
    <row r="57">
      <c r="A57" t="inlineStr">
        <is>
          <t>3231</t>
        </is>
      </c>
      <c r="B57" t="inlineStr">
        <is>
          <t>緯創</t>
        </is>
      </c>
      <c r="C57">
        <f>價值鏈!A11</f>
        <v/>
      </c>
      <c r="D57" t="inlineStr">
        <is>
          <t>伺服器組裝</t>
        </is>
      </c>
      <c r="E57" s="3" t="n">
        <v>1</v>
      </c>
      <c r="F57" s="3" t="n">
        <v>3</v>
      </c>
      <c r="G57" s="1" t="inlineStr">
        <is>
          <t>NVIDIA GPU 基板主要供應者（AI半導體 候選母體 v0.2.2；市場位置由次產業內優先序 3 換算）</t>
        </is>
      </c>
      <c r="H57" t="inlineStr">
        <is>
          <t>[判斷]</t>
        </is>
      </c>
      <c r="I57">
        <f>價值鏈!F11</f>
        <v/>
      </c>
      <c r="J57">
        <f>價值鏈!G11</f>
        <v/>
      </c>
      <c r="K57">
        <f>(CHOOSE(I57,s_irr1,s_irr2,s_irr3)+CHOOSE(E57,s_irr1,s_irr2,s_irr3))/2</f>
        <v/>
      </c>
      <c r="L57">
        <f>CHOOSE(F57,s_pos1,s_pos2,s_pos3,s_pos4)</f>
        <v/>
      </c>
      <c r="M57">
        <f>w_irr*K57+w_pos*L57+w_vc*J57</f>
        <v/>
      </c>
      <c r="N57">
        <f>RANK(M57,$M$2:$M$64,0)</f>
        <v/>
      </c>
    </row>
    <row r="58">
      <c r="A58" t="inlineStr">
        <is>
          <t>6669</t>
        </is>
      </c>
      <c r="B58" t="inlineStr">
        <is>
          <t>緯穎</t>
        </is>
      </c>
      <c r="C58">
        <f>價值鏈!A11</f>
        <v/>
      </c>
      <c r="D58" t="inlineStr">
        <is>
          <t>伺服器組裝</t>
        </is>
      </c>
      <c r="E58" s="3" t="n">
        <v>2</v>
      </c>
      <c r="F58" s="3" t="n">
        <v>3</v>
      </c>
      <c r="G58" s="1" t="inlineStr">
        <is>
          <t>雲端白牌伺服器主要 ODM（AI半導體 候選母體 v0.2.2；市場位置由次產業內優先序 4 換算）</t>
        </is>
      </c>
      <c r="H58" t="inlineStr">
        <is>
          <t>[判斷]</t>
        </is>
      </c>
      <c r="I58">
        <f>價值鏈!F11</f>
        <v/>
      </c>
      <c r="J58">
        <f>價值鏈!G11</f>
        <v/>
      </c>
      <c r="K58">
        <f>(CHOOSE(I58,s_irr1,s_irr2,s_irr3)+CHOOSE(E58,s_irr1,s_irr2,s_irr3))/2</f>
        <v/>
      </c>
      <c r="L58">
        <f>CHOOSE(F58,s_pos1,s_pos2,s_pos3,s_pos4)</f>
        <v/>
      </c>
      <c r="M58">
        <f>w_irr*K58+w_pos*L58+w_vc*J58</f>
        <v/>
      </c>
      <c r="N58">
        <f>RANK(M58,$M$2:$M$64,0)</f>
        <v/>
      </c>
    </row>
    <row r="59">
      <c r="A59" t="inlineStr">
        <is>
          <t>DELL</t>
        </is>
      </c>
      <c r="B59" t="inlineStr">
        <is>
          <t>Dell</t>
        </is>
      </c>
      <c r="C59">
        <f>價值鏈!A11</f>
        <v/>
      </c>
      <c r="D59" t="inlineStr">
        <is>
          <t>伺服器組裝</t>
        </is>
      </c>
      <c r="E59" s="3" t="n">
        <v>2</v>
      </c>
      <c r="F59" s="3" t="n">
        <v>3</v>
      </c>
      <c r="G59" s="1" t="inlineStr">
        <is>
          <t>企業與 neocloud 主要品牌（AI半導體 候選母體 v0.2.2；市場位置由次產業內優先序 5 換算）</t>
        </is>
      </c>
      <c r="H59" t="inlineStr">
        <is>
          <t>[判斷]</t>
        </is>
      </c>
      <c r="I59">
        <f>價值鏈!F11</f>
        <v/>
      </c>
      <c r="J59">
        <f>價值鏈!G11</f>
        <v/>
      </c>
      <c r="K59">
        <f>(CHOOSE(I59,s_irr1,s_irr2,s_irr3)+CHOOSE(E59,s_irr1,s_irr2,s_irr3))/2</f>
        <v/>
      </c>
      <c r="L59">
        <f>CHOOSE(F59,s_pos1,s_pos2,s_pos3,s_pos4)</f>
        <v/>
      </c>
      <c r="M59">
        <f>w_irr*K59+w_pos*L59+w_vc*J59</f>
        <v/>
      </c>
      <c r="N59">
        <f>RANK(M59,$M$2:$M$64,0)</f>
        <v/>
      </c>
    </row>
    <row r="60">
      <c r="A60" t="inlineStr">
        <is>
          <t>SMCI</t>
        </is>
      </c>
      <c r="B60" t="inlineStr">
        <is>
          <t>Supermicro</t>
        </is>
      </c>
      <c r="C60">
        <f>價值鏈!A11</f>
        <v/>
      </c>
      <c r="D60" t="inlineStr">
        <is>
          <t>伺服器組裝</t>
        </is>
      </c>
      <c r="E60" s="3" t="n">
        <v>3</v>
      </c>
      <c r="F60" s="3" t="n">
        <v>4</v>
      </c>
      <c r="G60" s="1" t="inlineStr">
        <is>
          <t>品牌伺服器第二梯隊；治理風險（AI半導體 候選母體 v0.2.2；市場位置由次產業內優先序 6 換算）</t>
        </is>
      </c>
      <c r="H60" t="inlineStr">
        <is>
          <t>[判斷]</t>
        </is>
      </c>
      <c r="I60">
        <f>價值鏈!F11</f>
        <v/>
      </c>
      <c r="J60">
        <f>價值鏈!G11</f>
        <v/>
      </c>
      <c r="K60">
        <f>(CHOOSE(I60,s_irr1,s_irr2,s_irr3)+CHOOSE(E60,s_irr1,s_irr2,s_irr3))/2</f>
        <v/>
      </c>
      <c r="L60">
        <f>CHOOSE(F60,s_pos1,s_pos2,s_pos3,s_pos4)</f>
        <v/>
      </c>
      <c r="M60">
        <f>w_irr*K60+w_pos*L60+w_vc*J60</f>
        <v/>
      </c>
      <c r="N60">
        <f>RANK(M60,$M$2:$M$64,0)</f>
        <v/>
      </c>
    </row>
    <row r="61">
      <c r="A61" t="inlineStr">
        <is>
          <t>3017</t>
        </is>
      </c>
      <c r="B61" t="inlineStr">
        <is>
          <t>奇鋐</t>
        </is>
      </c>
      <c r="C61">
        <f>價值鏈!A10</f>
        <v/>
      </c>
      <c r="D61" t="inlineStr">
        <is>
          <t>電源與散熱</t>
        </is>
      </c>
      <c r="E61" s="3" t="n">
        <v>1</v>
      </c>
      <c r="F61" s="3" t="n">
        <v>2</v>
      </c>
      <c r="G61" s="1" t="inlineStr">
        <is>
          <t>AI 液冷冷板主要供應者（AI半導體 候選母體 v0.2.2；市場位置由次產業內優先序 2 換算）</t>
        </is>
      </c>
      <c r="H61" t="inlineStr">
        <is>
          <t>[判斷]</t>
        </is>
      </c>
      <c r="I61">
        <f>價值鏈!F10</f>
        <v/>
      </c>
      <c r="J61">
        <f>價值鏈!G10</f>
        <v/>
      </c>
      <c r="K61">
        <f>(CHOOSE(I61,s_irr1,s_irr2,s_irr3)+CHOOSE(E61,s_irr1,s_irr2,s_irr3))/2</f>
        <v/>
      </c>
      <c r="L61">
        <f>CHOOSE(F61,s_pos1,s_pos2,s_pos3,s_pos4)</f>
        <v/>
      </c>
      <c r="M61">
        <f>w_irr*K61+w_pos*L61+w_vc*J61</f>
        <v/>
      </c>
      <c r="N61">
        <f>RANK(M61,$M$2:$M$64,0)</f>
        <v/>
      </c>
    </row>
    <row r="62">
      <c r="A62" t="inlineStr">
        <is>
          <t>2301</t>
        </is>
      </c>
      <c r="B62" t="inlineStr">
        <is>
          <t>光寶</t>
        </is>
      </c>
      <c r="C62">
        <f>價值鏈!A10</f>
        <v/>
      </c>
      <c r="D62" t="inlineStr">
        <is>
          <t>電源與散熱</t>
        </is>
      </c>
      <c r="E62" s="3" t="n">
        <v>2</v>
      </c>
      <c r="F62" s="3" t="n">
        <v>3</v>
      </c>
      <c r="G62" s="1" t="inlineStr">
        <is>
          <t>伺服器電源第二大（AI半導體 候選母體 v0.2.2；市場位置由次產業內優先序 3 換算）</t>
        </is>
      </c>
      <c r="H62" t="inlineStr">
        <is>
          <t>[判斷]</t>
        </is>
      </c>
      <c r="I62">
        <f>價值鏈!F10</f>
        <v/>
      </c>
      <c r="J62">
        <f>價值鏈!G10</f>
        <v/>
      </c>
      <c r="K62">
        <f>(CHOOSE(I62,s_irr1,s_irr2,s_irr3)+CHOOSE(E62,s_irr1,s_irr2,s_irr3))/2</f>
        <v/>
      </c>
      <c r="L62">
        <f>CHOOSE(F62,s_pos1,s_pos2,s_pos3,s_pos4)</f>
        <v/>
      </c>
      <c r="M62">
        <f>w_irr*K62+w_pos*L62+w_vc*J62</f>
        <v/>
      </c>
      <c r="N62">
        <f>RANK(M62,$M$2:$M$64,0)</f>
        <v/>
      </c>
    </row>
    <row r="63">
      <c r="A63" t="inlineStr">
        <is>
          <t>3324</t>
        </is>
      </c>
      <c r="B63" t="inlineStr">
        <is>
          <t>雙鴻</t>
        </is>
      </c>
      <c r="C63">
        <f>價值鏈!A10</f>
        <v/>
      </c>
      <c r="D63" t="inlineStr">
        <is>
          <t>電源與散熱</t>
        </is>
      </c>
      <c r="E63" s="3" t="n">
        <v>2</v>
      </c>
      <c r="F63" s="3" t="n">
        <v>3</v>
      </c>
      <c r="G63" s="1" t="inlineStr">
        <is>
          <t>液冷主要廠之一（AI半導體 候選母體 v0.2.2；市場位置由次產業內優先序 4 換算）</t>
        </is>
      </c>
      <c r="H63" t="inlineStr">
        <is>
          <t>[判斷]</t>
        </is>
      </c>
      <c r="I63">
        <f>價值鏈!F10</f>
        <v/>
      </c>
      <c r="J63">
        <f>價值鏈!G10</f>
        <v/>
      </c>
      <c r="K63">
        <f>(CHOOSE(I63,s_irr1,s_irr2,s_irr3)+CHOOSE(E63,s_irr1,s_irr2,s_irr3))/2</f>
        <v/>
      </c>
      <c r="L63">
        <f>CHOOSE(F63,s_pos1,s_pos2,s_pos3,s_pos4)</f>
        <v/>
      </c>
      <c r="M63">
        <f>w_irr*K63+w_pos*L63+w_vc*J63</f>
        <v/>
      </c>
      <c r="N63">
        <f>RANK(M63,$M$2:$M$64,0)</f>
        <v/>
      </c>
    </row>
    <row r="64">
      <c r="A64" t="inlineStr">
        <is>
          <t>3653</t>
        </is>
      </c>
      <c r="B64" t="inlineStr">
        <is>
          <t>健策</t>
        </is>
      </c>
      <c r="C64">
        <f>價值鏈!A10</f>
        <v/>
      </c>
      <c r="D64" t="inlineStr">
        <is>
          <t>電源與散熱</t>
        </is>
      </c>
      <c r="E64" s="3" t="n">
        <v>3</v>
      </c>
      <c r="F64" s="3" t="n">
        <v>4</v>
      </c>
      <c r="G64" s="1" t="inlineStr">
        <is>
          <t>散熱元件（AI半導體 候選母體 v0.2.2；市場位置由次產業內優先序 6 換算）</t>
        </is>
      </c>
      <c r="H64" t="inlineStr">
        <is>
          <t>[判斷]</t>
        </is>
      </c>
      <c r="I64">
        <f>價值鏈!F10</f>
        <v/>
      </c>
      <c r="J64">
        <f>價值鏈!G10</f>
        <v/>
      </c>
      <c r="K64">
        <f>(CHOOSE(I64,s_irr1,s_irr2,s_irr3)+CHOOSE(E64,s_irr1,s_irr2,s_irr3))/2</f>
        <v/>
      </c>
      <c r="L64">
        <f>CHOOSE(F64,s_pos1,s_pos2,s_pos3,s_pos4)</f>
        <v/>
      </c>
      <c r="M64">
        <f>w_irr*K64+w_pos*L64+w_vc*J64</f>
        <v/>
      </c>
      <c r="N64">
        <f>RANK(M64,$M$2:$M$64,0)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12" customWidth="1" min="4" max="4"/>
    <col width="52" customWidth="1" min="5" max="5"/>
    <col width="12" customWidth="1" min="6" max="6"/>
    <col width="52" customWidth="1" min="7" max="7"/>
    <col width="12" customWidth="1" min="8" max="8"/>
  </cols>
  <sheetData>
    <row r="1">
      <c r="A1" s="2" t="inlineStr">
        <is>
          <t>代號</t>
        </is>
      </c>
      <c r="B1" s="2" t="inlineStr">
        <is>
          <t>幣別</t>
        </is>
      </c>
      <c r="C1" s="2" t="inlineStr">
        <is>
          <t>模型內現價</t>
        </is>
      </c>
      <c r="D1" s="2" t="inlineStr">
        <is>
          <t>模型價日期</t>
        </is>
      </c>
      <c r="E1" s="2" t="inlineStr">
        <is>
          <t>模型價來源</t>
        </is>
      </c>
      <c r="F1" s="2" t="inlineStr">
        <is>
          <t>外部收盤（非半導體模型）</t>
        </is>
      </c>
      <c r="G1" s="2" t="inlineStr">
        <is>
          <t>收盤來源</t>
        </is>
      </c>
      <c r="H1" s="2" t="inlineStr">
        <is>
          <t>採用價</t>
        </is>
      </c>
    </row>
    <row r="2">
      <c r="A2" t="inlineStr">
        <is>
          <t>NVDA</t>
        </is>
      </c>
      <c r="B2" t="inlineStr">
        <is>
          <t>USD</t>
        </is>
      </c>
      <c r="C2" s="4" t="n">
        <v>210.96</v>
      </c>
      <c r="D2" t="inlineStr">
        <is>
          <t>2026-10-23</t>
        </is>
      </c>
      <c r="E2" t="inlineStr">
        <is>
          <t>nvidia/dist/20261025_NVIDIA模型_v0.2.1.xlsx Val!B57</t>
        </is>
      </c>
      <c r="H2">
        <f>C2</f>
        <v/>
      </c>
    </row>
    <row r="3">
      <c r="A3" t="inlineStr">
        <is>
          <t>AVGO</t>
        </is>
      </c>
      <c r="B3" t="inlineStr">
        <is>
          <t>USD</t>
        </is>
      </c>
      <c r="C3" s="4" t="n">
        <v>321.68</v>
      </c>
      <c r="D3" t="inlineStr">
        <is>
          <t>2026-10-23</t>
        </is>
      </c>
      <c r="E3" t="inlineStr">
        <is>
          <t>avgo/dist/20261025_Broadcom模型_v0.2.1.xlsx Val!B57</t>
        </is>
      </c>
      <c r="H3">
        <f>C3</f>
        <v/>
      </c>
    </row>
    <row r="4">
      <c r="A4" t="inlineStr">
        <is>
          <t>000660</t>
        </is>
      </c>
      <c r="B4" t="inlineStr">
        <is>
          <t>KRW</t>
        </is>
      </c>
      <c r="C4" s="4" t="n">
        <v>1277000</v>
      </c>
      <c r="D4" t="inlineStr">
        <is>
          <t>2026-10-23</t>
        </is>
      </c>
      <c r="E4" t="inlineStr">
        <is>
          <t>skhynix/dist/20261025_SK海力士模型_v0.5.1.xlsx In!E6</t>
        </is>
      </c>
      <c r="H4">
        <f>C4</f>
        <v/>
      </c>
    </row>
    <row r="5">
      <c r="A5" t="inlineStr">
        <is>
          <t>005930</t>
        </is>
      </c>
      <c r="B5" t="inlineStr">
        <is>
          <t>KRW</t>
        </is>
      </c>
      <c r="C5" s="4" t="n">
        <v>215500</v>
      </c>
      <c r="D5" t="inlineStr">
        <is>
          <t>2026-10-23</t>
        </is>
      </c>
      <c r="E5" t="inlineStr">
        <is>
          <t>samsung/dist/20261025_三星電子模型_v0.3.1.xlsx In!E6</t>
        </is>
      </c>
      <c r="H5">
        <f>C5</f>
        <v/>
      </c>
    </row>
    <row r="6">
      <c r="A6" t="inlineStr">
        <is>
          <t>MU</t>
        </is>
      </c>
      <c r="B6" t="inlineStr">
        <is>
          <t>USD</t>
        </is>
      </c>
      <c r="C6" s="4" t="n">
        <v>877.55</v>
      </c>
      <c r="D6" t="inlineStr">
        <is>
          <t>2026-10-23</t>
        </is>
      </c>
      <c r="E6" t="inlineStr">
        <is>
          <t>micron/dist/20261025_美光模型_v0.4.1.xlsx In!E5</t>
        </is>
      </c>
      <c r="H6">
        <f>C6</f>
        <v/>
      </c>
    </row>
    <row r="7">
      <c r="A7" t="inlineStr">
        <is>
          <t>2330</t>
        </is>
      </c>
      <c r="B7" t="inlineStr">
        <is>
          <t>TWD</t>
        </is>
      </c>
      <c r="C7" s="4" t="n">
        <v>2385</v>
      </c>
      <c r="D7" t="inlineStr">
        <is>
          <t>2026-10-22</t>
        </is>
      </c>
      <c r="E7" t="inlineStr">
        <is>
          <t>tsmc/dist/20261028_台積電個股模型_v0.4.xlsx In!E166</t>
        </is>
      </c>
      <c r="H7">
        <f>C7</f>
        <v/>
      </c>
    </row>
    <row r="8">
      <c r="A8" t="inlineStr">
        <is>
          <t>ANET</t>
        </is>
      </c>
      <c r="B8" t="inlineStr">
        <is>
          <t>USD</t>
        </is>
      </c>
      <c r="C8" s="4" t="n">
        <v>172.37</v>
      </c>
      <c r="D8" t="inlineStr">
        <is>
          <t>2026-10-23</t>
        </is>
      </c>
      <c r="E8" t="inlineStr">
        <is>
          <t>arista/dist/20261025_Arista模型_v0.2.1.xlsx Val!B57</t>
        </is>
      </c>
      <c r="H8">
        <f>C8</f>
        <v/>
      </c>
    </row>
    <row r="9">
      <c r="A9" t="inlineStr">
        <is>
          <t>300308</t>
        </is>
      </c>
      <c r="B9" t="inlineStr">
        <is>
          <t>CNY</t>
        </is>
      </c>
      <c r="C9" s="4" t="n">
        <v>612.63</v>
      </c>
      <c r="D9" t="inlineStr">
        <is>
          <t>2026-10-23</t>
        </is>
      </c>
      <c r="E9" t="inlineStr">
        <is>
          <t>innolight/dist/20261026_中際旭創模型_v0.2.2.xlsx Val!B53</t>
        </is>
      </c>
      <c r="H9">
        <f>C9</f>
        <v/>
      </c>
    </row>
    <row r="10">
      <c r="A10" t="inlineStr">
        <is>
          <t>2308</t>
        </is>
      </c>
      <c r="B10" t="inlineStr">
        <is>
          <t>TWD</t>
        </is>
      </c>
      <c r="C10" s="4" t="n">
        <v>1605</v>
      </c>
      <c r="D10" t="inlineStr">
        <is>
          <t>2026-10-23</t>
        </is>
      </c>
      <c r="E10" t="inlineStr">
        <is>
          <t>delta/dist/20261028_台達電個股模型_v0.3.xlsx Val!B6</t>
        </is>
      </c>
      <c r="H10">
        <f>C10</f>
        <v/>
      </c>
    </row>
    <row r="11">
      <c r="A11" t="inlineStr">
        <is>
          <t>2382</t>
        </is>
      </c>
      <c r="B11" t="inlineStr">
        <is>
          <t>TWD</t>
        </is>
      </c>
      <c r="C11" s="4" t="n">
        <v>322</v>
      </c>
      <c r="D11" t="inlineStr">
        <is>
          <t>2026-10-22</t>
        </is>
      </c>
      <c r="E11" t="inlineStr">
        <is>
          <t>quanta/dist/20261025_廣達模型_v0.2.1.xlsx Val!B6</t>
        </is>
      </c>
      <c r="H11">
        <f>C11</f>
        <v/>
      </c>
    </row>
    <row r="12">
      <c r="A12" t="inlineStr">
        <is>
          <t>4062</t>
        </is>
      </c>
      <c r="B12" t="inlineStr">
        <is>
          <t>JPY</t>
        </is>
      </c>
      <c r="C12" s="4" t="n">
        <v>8512</v>
      </c>
      <c r="D12" t="inlineStr">
        <is>
          <t>2026-10-23</t>
        </is>
      </c>
      <c r="E12" t="inlineStr">
        <is>
          <t>ibiden/dist/20261025_Ibiden模型_v0.2.1.xlsx Val!B6</t>
        </is>
      </c>
      <c r="H12">
        <f>C12</f>
        <v/>
      </c>
    </row>
    <row r="13">
      <c r="A13" t="inlineStr">
        <is>
          <t>6857</t>
        </is>
      </c>
      <c r="B13" t="inlineStr">
        <is>
          <t>JPY</t>
        </is>
      </c>
      <c r="C13" s="4" t="n">
        <v>32340</v>
      </c>
      <c r="D13" t="inlineStr">
        <is>
          <t>2026-10-23</t>
        </is>
      </c>
      <c r="E13" t="inlineStr">
        <is>
          <t>advantest/dist/20261025_Advantest模型_v0.3.1.xlsx Val!B92</t>
        </is>
      </c>
      <c r="H13">
        <f>C13</f>
        <v/>
      </c>
    </row>
    <row r="14">
      <c r="A14" t="inlineStr">
        <is>
          <t>6146</t>
        </is>
      </c>
      <c r="B14" t="inlineStr">
        <is>
          <t>JPY</t>
        </is>
      </c>
      <c r="C14" s="4" t="n">
        <v>49290</v>
      </c>
      <c r="D14" t="inlineStr">
        <is>
          <t>2026-10-23</t>
        </is>
      </c>
      <c r="E14" t="inlineStr">
        <is>
          <t>disco/dist/20261025_Disco模型_v0.2.2.xlsx Val!B53</t>
        </is>
      </c>
      <c r="H14">
        <f>C14</f>
        <v/>
      </c>
    </row>
    <row r="15">
      <c r="A15" t="inlineStr">
        <is>
          <t>MSFT</t>
        </is>
      </c>
      <c r="B15" t="inlineStr">
        <is>
          <t>USD</t>
        </is>
      </c>
      <c r="C15" s="4" t="n">
        <v>532.6</v>
      </c>
      <c r="D15" t="inlineStr">
        <is>
          <t>2026-10-26</t>
        </is>
      </c>
      <c r="E15" t="inlineStr">
        <is>
          <t>microsoft/dist/20261027_Microsoft個股模型_v0.3.xlsx Val!B39</t>
        </is>
      </c>
      <c r="F15" s="4" t="n">
        <v>524.51</v>
      </c>
      <c r="G15" t="inlineStr">
        <is>
          <t>2026-10-23｜stockscan；bullfincher</t>
        </is>
      </c>
      <c r="H15">
        <f>C15</f>
        <v/>
      </c>
    </row>
    <row r="16">
      <c r="A16" t="inlineStr">
        <is>
          <t>AMZN</t>
        </is>
      </c>
      <c r="B16" t="inlineStr">
        <is>
          <t>USD</t>
        </is>
      </c>
      <c r="C16" s="4" t="n">
        <v>249.09</v>
      </c>
      <c r="D16" t="inlineStr">
        <is>
          <t>2026-10-26</t>
        </is>
      </c>
      <c r="E16" t="inlineStr">
        <is>
          <t>amazon/dist/20261027_Amazon個股模型_v0.3.xlsx Val!B20</t>
        </is>
      </c>
      <c r="F16" s="4" t="n">
        <v>248</v>
      </c>
      <c r="G16" t="inlineStr">
        <is>
          <t>2026-10-23｜stockanalysis；stockscan</t>
        </is>
      </c>
      <c r="H16">
        <f>C16</f>
        <v/>
      </c>
    </row>
    <row r="17">
      <c r="A17" t="inlineStr">
        <is>
          <t>GOOGL</t>
        </is>
      </c>
      <c r="B17" t="inlineStr">
        <is>
          <t>USD</t>
        </is>
      </c>
      <c r="C17" s="4" t="n">
        <v>316.8</v>
      </c>
      <c r="D17" t="inlineStr">
        <is>
          <t>2026-10-26</t>
        </is>
      </c>
      <c r="E17" t="inlineStr">
        <is>
          <t>alphabet/dist/20261027_Alphabet個股模型_v0.3.xlsx Val!B9</t>
        </is>
      </c>
      <c r="F17" s="4" t="n">
        <v>320.21</v>
      </c>
      <c r="G17" t="inlineStr">
        <is>
          <t>2026-10-23｜stockscan；bullfincher</t>
        </is>
      </c>
      <c r="H17">
        <f>C17</f>
        <v/>
      </c>
    </row>
    <row r="18">
      <c r="A18" t="inlineStr">
        <is>
          <t>ORCL</t>
        </is>
      </c>
      <c r="B18" t="inlineStr">
        <is>
          <t>USD</t>
        </is>
      </c>
      <c r="C18" s="4" t="n">
        <v>126.06</v>
      </c>
      <c r="D18" t="inlineStr">
        <is>
          <t>2026-10-26</t>
        </is>
      </c>
      <c r="E18" t="inlineStr">
        <is>
          <t>oracle/dist/20261027_Oracle個股模型_v0.4.xlsx Val!C4</t>
        </is>
      </c>
      <c r="F18" s="4" t="n">
        <v>126.16</v>
      </c>
      <c r="G18" t="inlineStr">
        <is>
          <t>2026-10-23｜stockanalysis；stockscan</t>
        </is>
      </c>
      <c r="H18">
        <f>C18</f>
        <v/>
      </c>
    </row>
    <row r="19">
      <c r="A19" t="inlineStr">
        <is>
          <t>CRWV</t>
        </is>
      </c>
      <c r="B19" t="inlineStr">
        <is>
          <t>USD</t>
        </is>
      </c>
      <c r="C19" s="4" t="n">
        <v>90.13</v>
      </c>
      <c r="D19" t="inlineStr">
        <is>
          <t>2026-09-24</t>
        </is>
      </c>
      <c r="E19" t="inlineStr">
        <is>
          <t>coreweave/dist/20261021_CoreWeave收支模型_v4_12.xlsx 輸入與假設!C221</t>
        </is>
      </c>
      <c r="F19" s="4" t="n">
        <v>54.23</v>
      </c>
      <c r="G19" t="inlineStr">
        <is>
          <t>2026-10-23｜stockscan；digrin</t>
        </is>
      </c>
      <c r="H19">
        <f>IF(ISNUMBER(F19),F19,C19)</f>
        <v/>
      </c>
    </row>
    <row r="20">
      <c r="A20" t="inlineStr">
        <is>
          <t>NBIS</t>
        </is>
      </c>
      <c r="B20" t="inlineStr">
        <is>
          <t>USD</t>
        </is>
      </c>
      <c r="C20" s="4" t="n">
        <v>249.87</v>
      </c>
      <c r="D20" t="inlineStr">
        <is>
          <t>2026-10-06</t>
        </is>
      </c>
      <c r="E20" t="inlineStr">
        <is>
          <t>nebius/dist/20261022_Nebius收支模型_v0_5_1.xlsx 輸入與假設!C125</t>
        </is>
      </c>
      <c r="F20" s="4" t="n">
        <v>158.74</v>
      </c>
      <c r="G20" t="inlineStr">
        <is>
          <t>2026-10-23｜stockscan（digrin 158.64）</t>
        </is>
      </c>
      <c r="H20">
        <f>IF(ISNUMBER(F20),F20,C20)</f>
        <v/>
      </c>
    </row>
    <row r="21">
      <c r="A21" t="inlineStr">
        <is>
          <t>WYFI</t>
        </is>
      </c>
      <c r="B21" t="inlineStr">
        <is>
          <t>USD</t>
        </is>
      </c>
      <c r="C21" s="4" t="n">
        <v>16.83</v>
      </c>
      <c r="D21" t="inlineStr">
        <is>
          <t>2026-10-07</t>
        </is>
      </c>
      <c r="E21" t="inlineStr">
        <is>
          <t>whitefiber/dist/20261022_WhiteFiber收支模型_v0_2.xlsx 輸入與假設!C228</t>
        </is>
      </c>
      <c r="F21" s="4" t="n">
        <v>9.98</v>
      </c>
      <c r="G21" t="inlineStr">
        <is>
          <t>2026-10-23｜stockscan；digrin</t>
        </is>
      </c>
      <c r="H21">
        <f>IF(ISNUMBER(F21),F21,C21)</f>
        <v/>
      </c>
    </row>
    <row r="22">
      <c r="A22" t="inlineStr">
        <is>
          <t>00100</t>
        </is>
      </c>
      <c r="B22" t="inlineStr">
        <is>
          <t>HKD</t>
        </is>
      </c>
      <c r="C22" s="4" t="n">
        <v>171.9</v>
      </c>
      <c r="D22" t="inlineStr">
        <is>
          <t>2026-10-21</t>
        </is>
      </c>
      <c r="E22" t="inlineStr">
        <is>
          <t>minimax/dist/20261022_MiniMax收支模型_v0_2.xlsx Valuation!D7</t>
        </is>
      </c>
      <c r="F22" s="4" t="n">
        <v>187.6</v>
      </c>
      <c r="G22" t="inlineStr">
        <is>
          <t>2026-10-23｜etnet；老虎</t>
        </is>
      </c>
      <c r="H22">
        <f>IF(ISNUMBER(F22),F22,C22)</f>
        <v/>
      </c>
    </row>
    <row r="23">
      <c r="A23" t="inlineStr">
        <is>
          <t>02513</t>
        </is>
      </c>
      <c r="B23" t="inlineStr">
        <is>
          <t>HKD</t>
        </is>
      </c>
      <c r="D23" t="inlineStr"/>
      <c r="E23" t="inlineStr"/>
      <c r="F23" s="4" t="n">
        <v>499</v>
      </c>
      <c r="G23" t="inlineStr">
        <is>
          <t>2026-10-23｜老虎</t>
        </is>
      </c>
      <c r="H23">
        <f>IF(ISNUMBER(F23),F23,C23)</f>
        <v/>
      </c>
    </row>
    <row r="24">
      <c r="A24" t="inlineStr">
        <is>
          <t>OpenAI</t>
        </is>
      </c>
      <c r="B24" t="inlineStr">
        <is>
          <t>USD</t>
        </is>
      </c>
      <c r="D24" t="inlineStr"/>
      <c r="E24" t="inlineStr"/>
      <c r="H24" t="inlineStr">
        <is>
          <t>未上市</t>
        </is>
      </c>
    </row>
    <row r="25">
      <c r="A25" t="inlineStr">
        <is>
          <t>Anthropic</t>
        </is>
      </c>
      <c r="B25" t="inlineStr">
        <is>
          <t>USD</t>
        </is>
      </c>
      <c r="D25" t="inlineStr"/>
      <c r="E25" t="inlineStr"/>
      <c r="H25" t="inlineStr">
        <is>
          <t>未上市</t>
        </is>
      </c>
    </row>
    <row r="26">
      <c r="A26" t="inlineStr">
        <is>
          <t>AMD</t>
        </is>
      </c>
      <c r="B26" t="inlineStr">
        <is>
          <t>USD</t>
        </is>
      </c>
      <c r="C26" s="4" t="n">
        <v>516.79</v>
      </c>
      <c r="D26" t="inlineStr">
        <is>
          <t>2026-10-23</t>
        </is>
      </c>
      <c r="E26" t="inlineStr">
        <is>
          <t>amd/dist/20261025_AMD模型_v0.2.2.xlsx Val!B67</t>
        </is>
      </c>
      <c r="H26">
        <f>C26</f>
        <v/>
      </c>
    </row>
    <row r="27">
      <c r="A27" t="inlineStr">
        <is>
          <t>2454</t>
        </is>
      </c>
      <c r="B27" t="inlineStr">
        <is>
          <t>TWD</t>
        </is>
      </c>
      <c r="C27" s="4" t="n">
        <v>4010</v>
      </c>
      <c r="D27" t="inlineStr">
        <is>
          <t>2026-10-22</t>
        </is>
      </c>
      <c r="E27" t="inlineStr">
        <is>
          <t>mediatek/dist/20261025_聯發科模型_v0.1.1.xlsx Val!B53</t>
        </is>
      </c>
      <c r="H27">
        <f>C27</f>
        <v/>
      </c>
    </row>
    <row r="28">
      <c r="A28" t="inlineStr">
        <is>
          <t>MRVL</t>
        </is>
      </c>
      <c r="B28" t="inlineStr">
        <is>
          <t>USD</t>
        </is>
      </c>
      <c r="C28" s="4" t="n">
        <v>228.51</v>
      </c>
      <c r="D28" t="inlineStr">
        <is>
          <t>2026-10-23</t>
        </is>
      </c>
      <c r="E28" t="inlineStr">
        <is>
          <t>mrvl/dist/20261026_邁威爾模型_v0.2.2.xlsx Val!B68</t>
        </is>
      </c>
      <c r="H28">
        <f>C28</f>
        <v/>
      </c>
    </row>
    <row r="29">
      <c r="A29" t="inlineStr">
        <is>
          <t>3661</t>
        </is>
      </c>
      <c r="B29" t="inlineStr">
        <is>
          <t>TWD</t>
        </is>
      </c>
      <c r="C29" s="4" t="n">
        <v>3495</v>
      </c>
      <c r="D29" t="inlineStr">
        <is>
          <t>2026-10-22</t>
        </is>
      </c>
      <c r="E29" t="inlineStr">
        <is>
          <t>alchip/dist/20261025_世芯-KY模型_v0.1.1.xlsx Val!B53</t>
        </is>
      </c>
      <c r="H29">
        <f>C29</f>
        <v/>
      </c>
    </row>
    <row r="30">
      <c r="A30" t="inlineStr">
        <is>
          <t>3443</t>
        </is>
      </c>
      <c r="B30" t="inlineStr">
        <is>
          <t>TWD</t>
        </is>
      </c>
      <c r="C30" s="4" t="n">
        <v>7585</v>
      </c>
      <c r="D30" t="inlineStr">
        <is>
          <t>2026-10-22</t>
        </is>
      </c>
      <c r="E30" t="inlineStr">
        <is>
          <t>guc/dist/20261025_創意模型_v0.1.1.xlsx Val!B53</t>
        </is>
      </c>
      <c r="H30">
        <f>C30</f>
        <v/>
      </c>
    </row>
    <row r="31">
      <c r="A31" t="inlineStr">
        <is>
          <t>285A</t>
        </is>
      </c>
      <c r="B31" t="inlineStr">
        <is>
          <t>JPY</t>
        </is>
      </c>
      <c r="C31" s="4" t="n">
        <v>12755</v>
      </c>
      <c r="D31" t="inlineStr">
        <is>
          <t>2026-10-23</t>
        </is>
      </c>
      <c r="E31" t="inlineStr">
        <is>
          <t>kioxia/dist/20261025_Kioxia模型_v0.1.xlsx Val!B82</t>
        </is>
      </c>
      <c r="H31">
        <f>C31</f>
        <v/>
      </c>
    </row>
    <row r="32">
      <c r="A32" t="inlineStr">
        <is>
          <t>SNDK</t>
        </is>
      </c>
      <c r="B32" t="inlineStr">
        <is>
          <t>USD</t>
        </is>
      </c>
      <c r="C32" s="4" t="n">
        <v>1238.03</v>
      </c>
      <c r="D32" t="inlineStr">
        <is>
          <t>2026-10-23</t>
        </is>
      </c>
      <c r="E32" t="inlineStr">
        <is>
          <t>sndk/dist/20261025_SanDisk模型_v0.1.xlsx Val!B82</t>
        </is>
      </c>
      <c r="H32">
        <f>C32</f>
        <v/>
      </c>
    </row>
    <row r="33">
      <c r="A33" t="inlineStr">
        <is>
          <t>COHR</t>
        </is>
      </c>
      <c r="B33" t="inlineStr">
        <is>
          <t>USD</t>
        </is>
      </c>
      <c r="C33" s="4" t="n">
        <v>209.17</v>
      </c>
      <c r="D33" t="inlineStr">
        <is>
          <t>2026-10-23</t>
        </is>
      </c>
      <c r="E33" t="inlineStr">
        <is>
          <t>cohr/dist/20261026_Coherent模型_v0.2.2.xlsx Val!B64</t>
        </is>
      </c>
      <c r="H33">
        <f>C33</f>
        <v/>
      </c>
    </row>
    <row r="34">
      <c r="A34" t="inlineStr">
        <is>
          <t>LITE</t>
        </is>
      </c>
      <c r="B34" t="inlineStr">
        <is>
          <t>USD</t>
        </is>
      </c>
      <c r="C34" s="4" t="n">
        <v>756.17</v>
      </c>
      <c r="D34" t="inlineStr">
        <is>
          <t>2026-10-23</t>
        </is>
      </c>
      <c r="E34" t="inlineStr">
        <is>
          <t>lite/dist/20261026_Lumentum模型_v0.2.2.xlsx Val!B63</t>
        </is>
      </c>
      <c r="H34">
        <f>C34</f>
        <v/>
      </c>
    </row>
    <row r="35">
      <c r="A35" t="inlineStr">
        <is>
          <t>300502</t>
        </is>
      </c>
      <c r="B35" t="inlineStr">
        <is>
          <t>CNY</t>
        </is>
      </c>
      <c r="C35" s="4" t="n">
        <v>261</v>
      </c>
      <c r="D35" t="inlineStr">
        <is>
          <t>2026-10-23</t>
        </is>
      </c>
      <c r="E35" t="inlineStr">
        <is>
          <t>eoptolink/dist/20261026_新易盛模型_v0.2.2.xlsx Val!B63</t>
        </is>
      </c>
      <c r="H35">
        <f>C35</f>
        <v/>
      </c>
    </row>
    <row r="36">
      <c r="A36" t="inlineStr">
        <is>
          <t>2345</t>
        </is>
      </c>
      <c r="B36" t="inlineStr">
        <is>
          <t>TWD</t>
        </is>
      </c>
      <c r="C36" s="4" t="n">
        <v>1775</v>
      </c>
      <c r="D36" t="inlineStr">
        <is>
          <t>2026-10-22</t>
        </is>
      </c>
      <c r="E36" t="inlineStr">
        <is>
          <t>accton/dist/20261025_智邦模型_v0.2.1.xlsx Val!B66</t>
        </is>
      </c>
      <c r="H36">
        <f>C36</f>
        <v/>
      </c>
    </row>
    <row r="37">
      <c r="A37" t="inlineStr">
        <is>
          <t>FN</t>
        </is>
      </c>
      <c r="B37" t="inlineStr">
        <is>
          <t>USD</t>
        </is>
      </c>
      <c r="C37" s="4" t="n">
        <v>314.94</v>
      </c>
      <c r="D37" t="inlineStr">
        <is>
          <t>2026-10-23</t>
        </is>
      </c>
      <c r="E37" t="inlineStr">
        <is>
          <t>fabrinet/dist/20261026_Fabrinet模型_v0.1.2.xlsx Val!B64</t>
        </is>
      </c>
      <c r="H37">
        <f>C37</f>
        <v/>
      </c>
    </row>
    <row r="38">
      <c r="A38" t="inlineStr">
        <is>
          <t>CRDO</t>
        </is>
      </c>
      <c r="B38" t="inlineStr">
        <is>
          <t>USD</t>
        </is>
      </c>
      <c r="C38" s="4" t="n">
        <v>147.29</v>
      </c>
      <c r="D38" t="inlineStr">
        <is>
          <t>2026-10-23</t>
        </is>
      </c>
      <c r="E38" t="inlineStr">
        <is>
          <t>crdo/dist/20261026_Credo模型_v0.2.2.xlsx Val!B63</t>
        </is>
      </c>
      <c r="H38">
        <f>C38</f>
        <v/>
      </c>
    </row>
    <row r="39">
      <c r="A39" t="inlineStr">
        <is>
          <t>ALAB</t>
        </is>
      </c>
      <c r="B39" t="inlineStr">
        <is>
          <t>USD</t>
        </is>
      </c>
      <c r="C39" s="4" t="n">
        <v>257.16</v>
      </c>
      <c r="D39" t="inlineStr">
        <is>
          <t>2026-10-23</t>
        </is>
      </c>
      <c r="E39" t="inlineStr">
        <is>
          <t>alab/dist/20261025_Astera Labs模型_v0.1.1.xlsx Val!B63</t>
        </is>
      </c>
      <c r="H39">
        <f>C39</f>
        <v/>
      </c>
    </row>
    <row r="40">
      <c r="A40" t="inlineStr">
        <is>
          <t>2449</t>
        </is>
      </c>
      <c r="B40" t="inlineStr">
        <is>
          <t>TWD</t>
        </is>
      </c>
      <c r="C40" s="4" t="n">
        <v>262.5</v>
      </c>
      <c r="D40" t="inlineStr">
        <is>
          <t>2026-10-22</t>
        </is>
      </c>
      <c r="E40" t="inlineStr">
        <is>
          <t>kyec/dist/20261025_京元電模型_v0.2.1.xlsx Val!B53</t>
        </is>
      </c>
      <c r="H40">
        <f>C40</f>
        <v/>
      </c>
    </row>
    <row r="41">
      <c r="A41" t="inlineStr">
        <is>
          <t>AMKR</t>
        </is>
      </c>
      <c r="B41" t="inlineStr">
        <is>
          <t>USD</t>
        </is>
      </c>
      <c r="C41" s="4" t="n">
        <v>39.3</v>
      </c>
      <c r="D41" t="inlineStr">
        <is>
          <t>2026-10-23</t>
        </is>
      </c>
      <c r="E41" t="inlineStr">
        <is>
          <t>amkr/dist/20261025_艾克爾模型_v0.2.1.xlsx Val!B53</t>
        </is>
      </c>
      <c r="H41">
        <f>C41</f>
        <v/>
      </c>
    </row>
    <row r="42">
      <c r="A42" t="inlineStr">
        <is>
          <t>2383</t>
        </is>
      </c>
      <c r="B42" t="inlineStr">
        <is>
          <t>TWD</t>
        </is>
      </c>
      <c r="C42" s="4" t="n">
        <v>5070</v>
      </c>
      <c r="D42" t="inlineStr">
        <is>
          <t>2026-10-22</t>
        </is>
      </c>
      <c r="E42" t="inlineStr">
        <is>
          <t>emc/dist/20261025_台光電模型_v0.2.1.xlsx Val!B6</t>
        </is>
      </c>
      <c r="H42">
        <f>C42</f>
        <v/>
      </c>
    </row>
    <row r="43">
      <c r="A43" t="inlineStr">
        <is>
          <t>3037</t>
        </is>
      </c>
      <c r="B43" t="inlineStr">
        <is>
          <t>TWD</t>
        </is>
      </c>
      <c r="C43" s="4" t="n">
        <v>1085</v>
      </c>
      <c r="D43" t="inlineStr">
        <is>
          <t>2026-10-22</t>
        </is>
      </c>
      <c r="E43" t="inlineStr">
        <is>
          <t>unimicron/dist/20261025_欣興模型_v0.1.1.xlsx Val!B53</t>
        </is>
      </c>
      <c r="H43">
        <f>C43</f>
        <v/>
      </c>
    </row>
    <row r="44">
      <c r="A44" t="inlineStr">
        <is>
          <t>8046</t>
        </is>
      </c>
      <c r="B44" t="inlineStr">
        <is>
          <t>TWD</t>
        </is>
      </c>
      <c r="C44" s="4" t="n">
        <v>1265</v>
      </c>
      <c r="D44" t="inlineStr">
        <is>
          <t>2026-10-22</t>
        </is>
      </c>
      <c r="E44" t="inlineStr">
        <is>
          <t>nanya_pcb/dist/20261025_南電模型_v0.1.1.xlsx Val!B53</t>
        </is>
      </c>
      <c r="H44">
        <f>C44</f>
        <v/>
      </c>
    </row>
    <row r="45">
      <c r="A45" t="inlineStr">
        <is>
          <t>2368</t>
        </is>
      </c>
      <c r="B45" t="inlineStr">
        <is>
          <t>TWD</t>
        </is>
      </c>
      <c r="C45" s="4" t="n">
        <v>1115</v>
      </c>
      <c r="D45" t="inlineStr">
        <is>
          <t>2026-10-22</t>
        </is>
      </c>
      <c r="E45" t="inlineStr">
        <is>
          <t>gce/dist/20261025_金像電模型_v0.1.1.xlsx Val!B53</t>
        </is>
      </c>
      <c r="H45">
        <f>C45</f>
        <v/>
      </c>
    </row>
    <row r="46">
      <c r="A46" t="inlineStr">
        <is>
          <t>300476</t>
        </is>
      </c>
      <c r="B46" t="inlineStr">
        <is>
          <t>CNY</t>
        </is>
      </c>
      <c r="C46" s="4" t="n">
        <v>183.48</v>
      </c>
      <c r="D46" t="inlineStr">
        <is>
          <t>2026-10-23</t>
        </is>
      </c>
      <c r="E46" t="inlineStr">
        <is>
          <t>victory_giant/dist/20261025_勝宏科技模型_v0.1.1.xlsx Val!B53</t>
        </is>
      </c>
      <c r="H46">
        <f>C46</f>
        <v/>
      </c>
    </row>
    <row r="47">
      <c r="A47" t="inlineStr">
        <is>
          <t>ASML</t>
        </is>
      </c>
      <c r="B47" t="inlineStr">
        <is>
          <t>EUR</t>
        </is>
      </c>
      <c r="C47" s="4" t="n">
        <v>1407.2</v>
      </c>
      <c r="D47" t="inlineStr">
        <is>
          <t>2026-10-23</t>
        </is>
      </c>
      <c r="E47" t="inlineStr">
        <is>
          <t>asml/dist/20261025_ASML模型_v0.2.1.xlsx Val!B16</t>
        </is>
      </c>
      <c r="H47">
        <f>C47</f>
        <v/>
      </c>
    </row>
    <row r="48">
      <c r="A48" t="inlineStr">
        <is>
          <t>AMAT</t>
        </is>
      </c>
      <c r="B48" t="inlineStr">
        <is>
          <t>USD</t>
        </is>
      </c>
      <c r="C48" s="4" t="n">
        <v>377.24</v>
      </c>
      <c r="D48" t="inlineStr">
        <is>
          <t>2026-10-23</t>
        </is>
      </c>
      <c r="E48" t="inlineStr">
        <is>
          <t>amat/dist/20261025_應用材料模型_v0.2.1.xlsx In!E139</t>
        </is>
      </c>
      <c r="H48">
        <f>C48</f>
        <v/>
      </c>
    </row>
    <row r="49">
      <c r="A49" t="inlineStr">
        <is>
          <t>LRCX</t>
        </is>
      </c>
      <c r="B49" t="inlineStr">
        <is>
          <t>USD</t>
        </is>
      </c>
      <c r="C49" s="4" t="n">
        <v>230.1</v>
      </c>
      <c r="D49" t="inlineStr">
        <is>
          <t>2026-10-23</t>
        </is>
      </c>
      <c r="E49" t="inlineStr">
        <is>
          <t>lrcx/dist/20261025_科林研發模型_v0.2.1.xlsx In!E124</t>
        </is>
      </c>
      <c r="H49">
        <f>C49</f>
        <v/>
      </c>
    </row>
    <row r="50">
      <c r="A50" t="inlineStr">
        <is>
          <t>KLAC</t>
        </is>
      </c>
      <c r="B50" t="inlineStr">
        <is>
          <t>USD</t>
        </is>
      </c>
      <c r="C50" s="4" t="n">
        <v>145.61</v>
      </c>
      <c r="D50" t="inlineStr">
        <is>
          <t>2026-10-23</t>
        </is>
      </c>
      <c r="E50" t="inlineStr">
        <is>
          <t>klac/dist/20261025_科磊模型_v0.2.1.xlsx In!E55</t>
        </is>
      </c>
      <c r="H50">
        <f>C50</f>
        <v/>
      </c>
    </row>
    <row r="51">
      <c r="A51" t="inlineStr">
        <is>
          <t>042700</t>
        </is>
      </c>
      <c r="B51" t="inlineStr">
        <is>
          <t>KRW</t>
        </is>
      </c>
      <c r="C51" s="4" t="n">
        <v>188500</v>
      </c>
      <c r="D51" t="inlineStr">
        <is>
          <t>2026-10-23</t>
        </is>
      </c>
      <c r="E51" t="inlineStr">
        <is>
          <t>hanmi/dist/20261025_韓美半導體模型_v0.2.2.xlsx In!E95</t>
        </is>
      </c>
      <c r="H51">
        <f>C51</f>
        <v/>
      </c>
    </row>
    <row r="52">
      <c r="A52" t="inlineStr">
        <is>
          <t>TER</t>
        </is>
      </c>
      <c r="B52" t="inlineStr">
        <is>
          <t>USD</t>
        </is>
      </c>
      <c r="C52" s="4" t="n">
        <v>308.85</v>
      </c>
      <c r="D52" t="inlineStr">
        <is>
          <t>2026-10-23</t>
        </is>
      </c>
      <c r="E52" t="inlineStr">
        <is>
          <t>ter/dist/20261025_泰瑞達模型_v0.1.1.xlsx Val!B73</t>
        </is>
      </c>
      <c r="H52">
        <f>C52</f>
        <v/>
      </c>
    </row>
    <row r="53">
      <c r="A53" t="inlineStr">
        <is>
          <t>BESI</t>
        </is>
      </c>
      <c r="B53" t="inlineStr">
        <is>
          <t>EUR</t>
        </is>
      </c>
      <c r="C53" s="4" t="n">
        <v>145.1</v>
      </c>
      <c r="D53" t="inlineStr">
        <is>
          <t>2026-10-23</t>
        </is>
      </c>
      <c r="E53" t="inlineStr">
        <is>
          <t>besi/dist/20261025_BESI模型_v0.1.1.xlsx In!E117</t>
        </is>
      </c>
      <c r="H53">
        <f>C53</f>
        <v/>
      </c>
    </row>
    <row r="54">
      <c r="A54" t="inlineStr">
        <is>
          <t>6315</t>
        </is>
      </c>
      <c r="B54" t="inlineStr">
        <is>
          <t>JPY</t>
        </is>
      </c>
      <c r="C54" s="4" t="n">
        <v>1968</v>
      </c>
      <c r="D54" t="inlineStr">
        <is>
          <t>2026-10-23</t>
        </is>
      </c>
      <c r="E54" t="inlineStr">
        <is>
          <t>towa/dist/20261025_TOWA模型_v0.1.1.xlsx Val!B110</t>
        </is>
      </c>
      <c r="H54">
        <f>C54</f>
        <v/>
      </c>
    </row>
    <row r="55">
      <c r="A55" t="inlineStr">
        <is>
          <t>7729</t>
        </is>
      </c>
      <c r="B55" t="inlineStr">
        <is>
          <t>JPY</t>
        </is>
      </c>
      <c r="C55" s="4" t="n">
        <v>15520</v>
      </c>
      <c r="D55" t="inlineStr">
        <is>
          <t>2026-10-23</t>
        </is>
      </c>
      <c r="E55" t="inlineStr">
        <is>
          <t>accretech/dist/20261025_東京精密模型_v0.1.1.xlsx Val!B53</t>
        </is>
      </c>
      <c r="H55">
        <f>C55</f>
        <v/>
      </c>
    </row>
    <row r="56">
      <c r="A56" t="inlineStr">
        <is>
          <t>2317</t>
        </is>
      </c>
      <c r="B56" t="inlineStr">
        <is>
          <t>TWD</t>
        </is>
      </c>
      <c r="C56" s="4" t="n">
        <v>245</v>
      </c>
      <c r="D56" t="inlineStr">
        <is>
          <t>2026-10-22</t>
        </is>
      </c>
      <c r="E56" t="inlineStr">
        <is>
          <t>foxconn/dist/20261028_鴻海個股模型_v0.3.xlsx Val!B6</t>
        </is>
      </c>
      <c r="H56">
        <f>C56</f>
        <v/>
      </c>
    </row>
    <row r="57">
      <c r="A57" t="inlineStr">
        <is>
          <t>3231</t>
        </is>
      </c>
      <c r="B57" t="inlineStr">
        <is>
          <t>TWD</t>
        </is>
      </c>
      <c r="C57" s="4" t="n">
        <v>190</v>
      </c>
      <c r="D57" t="inlineStr">
        <is>
          <t>2026-10-22</t>
        </is>
      </c>
      <c r="E57" t="inlineStr">
        <is>
          <t>wistron/dist/20261025_緯創模型_v0.1.1.xlsx Val!B53</t>
        </is>
      </c>
      <c r="H57">
        <f>C57</f>
        <v/>
      </c>
    </row>
    <row r="58">
      <c r="A58" t="inlineStr">
        <is>
          <t>6669</t>
        </is>
      </c>
      <c r="B58" t="inlineStr">
        <is>
          <t>TWD</t>
        </is>
      </c>
      <c r="C58" s="4" t="n">
        <v>1840</v>
      </c>
      <c r="D58" t="inlineStr">
        <is>
          <t>2026-10-22</t>
        </is>
      </c>
      <c r="E58" t="inlineStr">
        <is>
          <t>wiwynn/dist/20261025_緯穎模型_v0.1.1.xlsx Val!B53</t>
        </is>
      </c>
      <c r="H58">
        <f>C58</f>
        <v/>
      </c>
    </row>
    <row r="59">
      <c r="A59" t="inlineStr">
        <is>
          <t>DELL</t>
        </is>
      </c>
      <c r="B59" t="inlineStr">
        <is>
          <t>USD</t>
        </is>
      </c>
      <c r="C59" s="4" t="n">
        <v>456.44</v>
      </c>
      <c r="D59" t="inlineStr">
        <is>
          <t>2026-10-23</t>
        </is>
      </c>
      <c r="E59" t="inlineStr">
        <is>
          <t>dell/dist/20261025_戴爾模型_v0.1.xlsx Val!B55</t>
        </is>
      </c>
      <c r="H59">
        <f>C59</f>
        <v/>
      </c>
    </row>
    <row r="60">
      <c r="A60" t="inlineStr">
        <is>
          <t>SMCI</t>
        </is>
      </c>
      <c r="B60" t="inlineStr">
        <is>
          <t>USD</t>
        </is>
      </c>
      <c r="C60" s="4" t="n">
        <v>32.94</v>
      </c>
      <c r="D60" t="inlineStr">
        <is>
          <t>2026-10-23</t>
        </is>
      </c>
      <c r="E60" t="inlineStr">
        <is>
          <t>smci/dist/20261025_美超微模型_v0.1.1.xlsx Val!B53</t>
        </is>
      </c>
      <c r="H60">
        <f>C60</f>
        <v/>
      </c>
    </row>
    <row r="61">
      <c r="A61" t="inlineStr">
        <is>
          <t>3017</t>
        </is>
      </c>
      <c r="B61" t="inlineStr">
        <is>
          <t>TWD</t>
        </is>
      </c>
      <c r="C61" s="4" t="n">
        <v>3145</v>
      </c>
      <c r="D61" t="inlineStr">
        <is>
          <t>2026-10-22</t>
        </is>
      </c>
      <c r="E61" t="inlineStr">
        <is>
          <t>avc/dist/20261025_奇鋐模型_v0.2.1.xlsx Val!B6</t>
        </is>
      </c>
      <c r="H61">
        <f>C61</f>
        <v/>
      </c>
    </row>
    <row r="62">
      <c r="A62" t="inlineStr">
        <is>
          <t>2301</t>
        </is>
      </c>
      <c r="B62" t="inlineStr">
        <is>
          <t>TWD</t>
        </is>
      </c>
      <c r="C62" s="4" t="n">
        <v>255.5</v>
      </c>
      <c r="D62" t="inlineStr">
        <is>
          <t>2026-10-22</t>
        </is>
      </c>
      <c r="E62" t="inlineStr">
        <is>
          <t>liteon/dist/20261028_光寶個股模型_v0.2.xlsx Val!B53</t>
        </is>
      </c>
      <c r="H62">
        <f>C62</f>
        <v/>
      </c>
    </row>
    <row r="63">
      <c r="A63" t="inlineStr">
        <is>
          <t>3324</t>
        </is>
      </c>
      <c r="B63" t="inlineStr">
        <is>
          <t>TWD</t>
        </is>
      </c>
      <c r="C63" s="4" t="n">
        <v>1360</v>
      </c>
      <c r="D63" t="inlineStr">
        <is>
          <t>2026-10-22</t>
        </is>
      </c>
      <c r="E63" t="inlineStr">
        <is>
          <t>auras/dist/20261025_雙鴻模型_v0.1.1.xlsx Val!B62</t>
        </is>
      </c>
      <c r="H63">
        <f>C63</f>
        <v/>
      </c>
    </row>
    <row r="64">
      <c r="A64" t="inlineStr">
        <is>
          <t>3653</t>
        </is>
      </c>
      <c r="B64" t="inlineStr">
        <is>
          <t>TWD</t>
        </is>
      </c>
      <c r="C64" s="4" t="n">
        <v>6070</v>
      </c>
      <c r="D64" t="inlineStr">
        <is>
          <t>2026-10-22</t>
        </is>
      </c>
      <c r="E64" t="inlineStr">
        <is>
          <t>jentech/dist/20261025_健策模型_v0.1.1.xlsx Val!B56</t>
        </is>
      </c>
      <c r="H64">
        <f>C64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18" customWidth="1" min="4" max="4"/>
    <col width="24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40" customWidth="1" min="11" max="11"/>
    <col width="12" customWidth="1" min="12" max="12"/>
    <col width="40" customWidth="1" min="13" max="13"/>
    <col width="11" customWidth="1" min="14" max="14"/>
    <col width="11" customWidth="1" min="15" max="15"/>
    <col width="11" customWidth="1" min="16" max="16"/>
    <col width="9" customWidth="1" min="17" max="17"/>
    <col width="9" customWidth="1" min="18" max="18"/>
    <col width="8" customWidth="1" min="19" max="19"/>
    <col width="10" customWidth="1" min="20" max="20"/>
    <col width="30" customWidth="1" min="21" max="21"/>
    <col width="22" customWidth="1" min="22" max="22"/>
    <col width="60" customWidth="1" min="23" max="23"/>
    <col width="10" customWidth="1" min="24" max="24"/>
    <col width="10" customWidth="1" min="25" max="25"/>
    <col width="10" customWidth="1" min="26" max="26"/>
    <col width="18" customWidth="1" min="27" max="27"/>
    <col width="9" customWidth="1" min="28" max="28"/>
    <col width="30" customWidth="1" min="29" max="29"/>
    <col width="46" customWidth="1" min="30" max="30"/>
    <col width="10" customWidth="1" min="31" max="31"/>
    <col width="10" customWidth="1" min="32" max="32"/>
    <col width="44" customWidth="1" min="33" max="33"/>
    <col width="14" customWidth="1" min="34" max="34"/>
    <col width="12" customWidth="1" min="35" max="35"/>
    <col width="12" customWidth="1" min="36" max="36"/>
    <col width="60" customWidth="1" min="37" max="37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方法</t>
        </is>
      </c>
      <c r="F1" s="2" t="inlineStr">
        <is>
          <t>中心候選 1</t>
        </is>
      </c>
      <c r="G1" s="2" t="inlineStr">
        <is>
          <t>中心候選 1 來源</t>
        </is>
      </c>
      <c r="H1" s="2" t="inlineStr">
        <is>
          <t>中心候選 2</t>
        </is>
      </c>
      <c r="I1" s="2" t="inlineStr">
        <is>
          <t>中心候選 2 來源</t>
        </is>
      </c>
      <c r="J1" s="2" t="inlineStr">
        <is>
          <t>悲觀情境候選 1</t>
        </is>
      </c>
      <c r="K1" s="2" t="inlineStr">
        <is>
          <t>悲觀情境候選 1 來源</t>
        </is>
      </c>
      <c r="L1" s="2" t="inlineStr">
        <is>
          <t>悲觀情境候選 2</t>
        </is>
      </c>
      <c r="M1" s="2" t="inlineStr">
        <is>
          <t>悲觀情境候選 2 來源</t>
        </is>
      </c>
      <c r="N1" s="2" t="inlineStr">
        <is>
          <t>採用價</t>
        </is>
      </c>
      <c r="O1" s="2" t="inlineStr">
        <is>
          <t>中心價</t>
        </is>
      </c>
      <c r="P1" s="2" t="inlineStr">
        <is>
          <t>悲觀情境價</t>
        </is>
      </c>
      <c r="Q1" s="2" t="inlineStr">
        <is>
          <t>中心空間</t>
        </is>
      </c>
      <c r="R1" s="2" t="inlineStr">
        <is>
          <t>悲觀情境空間</t>
        </is>
      </c>
      <c r="S1" s="2" t="inlineStr">
        <is>
          <t>分級</t>
        </is>
      </c>
      <c r="T1" s="2" t="inlineStr">
        <is>
          <t>對照口徑空間</t>
        </is>
      </c>
      <c r="U1" s="2" t="inlineStr">
        <is>
          <t>對照口徑</t>
        </is>
      </c>
      <c r="V1" s="2" t="inlineStr">
        <is>
          <t>現價 ÷ 模型 FY2028 EPS（A／B／C）</t>
        </is>
      </c>
      <c r="W1" s="2" t="inlineStr">
        <is>
          <t>註記</t>
        </is>
      </c>
      <c r="X1" s="2" t="inlineStr">
        <is>
          <t>輔助 1</t>
        </is>
      </c>
      <c r="Y1" s="2" t="inlineStr">
        <is>
          <t>輔助 2</t>
        </is>
      </c>
      <c r="Z1" s="2" t="inlineStr">
        <is>
          <t>模型價日以來漲跌</t>
        </is>
      </c>
      <c r="AA1" s="2" t="inlineStr">
        <is>
          <t>價格變動旗標</t>
        </is>
      </c>
      <c r="AB1" s="2" t="inlineStr">
        <is>
          <t>收支口徑</t>
        </is>
      </c>
      <c r="AC1" s="2" t="inlineStr">
        <is>
          <t>收支列（模型）</t>
        </is>
      </c>
      <c r="AD1" s="2" t="inlineStr">
        <is>
          <t>收支序列</t>
        </is>
      </c>
      <c r="AE1" s="2" t="inlineStr">
        <is>
          <t>期間合計</t>
        </is>
      </c>
      <c r="AF1" s="2" t="inlineStr">
        <is>
          <t>最小值</t>
        </is>
      </c>
      <c r="AG1" s="2" t="inlineStr">
        <is>
          <t>收支來源</t>
        </is>
      </c>
      <c r="AH1" s="2" t="inlineStr">
        <is>
          <t>收支關卡</t>
        </is>
      </c>
      <c r="AI1" s="2" t="inlineStr">
        <is>
          <t>最終分級</t>
        </is>
      </c>
      <c r="AJ1" s="2" t="inlineStr">
        <is>
          <t>上檔空間級距</t>
        </is>
      </c>
      <c r="AK1" s="2" t="inlineStr">
        <is>
          <t>投資建議與上檔空間依據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t="inlineStr">
        <is>
          <t>加權目標價（DCF 50%＋Comparable 50%）</t>
        </is>
      </c>
      <c r="F2" s="4" t="n">
        <v>251.880296390576</v>
      </c>
      <c r="G2" t="inlineStr">
        <is>
          <t>nvidia/dist/20261025_NVIDIA模型_v0.2.1.xlsx Val!B40</t>
        </is>
      </c>
      <c r="J2" s="4" t="n">
        <v>128.622689303977</v>
      </c>
      <c r="K2" t="inlineStr">
        <is>
          <t>nvidia/dist/20261025_NVIDIA模型_v0.2.1.xlsx Val!B47</t>
        </is>
      </c>
      <c r="N2">
        <f>價格!H2</f>
        <v/>
      </c>
      <c r="O2">
        <f>MIN(F2,H2)</f>
        <v/>
      </c>
      <c r="P2">
        <f>MIN(J2,L2)</f>
        <v/>
      </c>
      <c r="Q2" s="4" t="n">
        <v>0.193971825893893</v>
      </c>
      <c r="R2">
        <f>P2/N2-1</f>
        <v/>
      </c>
      <c r="S2" s="4" t="inlineStr">
        <is>
          <t>中立</t>
        </is>
      </c>
      <c r="T2">
        <f>467.571184194614/N2-1</f>
        <v/>
      </c>
      <c r="U2" t="inlineStr">
        <is>
          <t>舊法：規則值情境加權價（參考，Val!B170）</t>
        </is>
      </c>
      <c r="V2" t="inlineStr">
        <is>
          <t>14.3 ／ 14.3 ／ 14.3</t>
        </is>
      </c>
      <c r="W2" s="1" t="inlineStr">
        <is>
          <t>DCF 目標價 235.0（Val!B23）；Comparable 目標價 268.7（Val!B41）；市場共識目標價 328.9（Val!B42，外部、僅供對照）；價格帶 C～A 情境 DCF 128.6～313.1</t>
        </is>
      </c>
      <c r="Z2">
        <f>IF(ISNUMBER(價格!C2),價格!H2/價格!C2-1,"")</f>
        <v/>
      </c>
      <c r="AA2">
        <f>IF(Z2="","",IF(ABS(Z2)&gt;0.2,"模型尚未反映期間變化",""))</f>
        <v/>
      </c>
      <c r="AB2" t="inlineStr">
        <is>
          <t>淨利</t>
        </is>
      </c>
      <c r="AC2" t="inlineStr">
        <is>
          <t>PL 頁各情境模型年度淨利（不含實績）</t>
        </is>
      </c>
      <c r="AD2" t="inlineStr">
        <is>
          <t>12 個情境年度淨利（不含實績），全部為正</t>
        </is>
      </c>
      <c r="AE2" s="4" t="n">
        <v>4314.771494494909</v>
      </c>
      <c r="AF2" s="4" t="n">
        <v>219.760389832454</v>
      </c>
      <c r="AG2" t="inlineStr">
        <is>
          <t>[Derived] nvidia/dist/20261025_NVIDIA模型_v0.2.1.xlsx PL!D12…PL!G292</t>
        </is>
      </c>
      <c r="AH2">
        <f>IF(AB2="淨利",IF(AF2&gt;0,"通過（淨利）","不通過"),IF(AE2&lt;0,"不通過","通過（現金流）"))</f>
        <v/>
      </c>
      <c r="AI2">
        <f>IF(S2="未上市","未上市",IF(AND(AH2="不通過",OR(S2="強力買進",S2="買進",S2="未估值")),"收支不足",S2))</f>
        <v/>
      </c>
      <c r="AJ2" s="4" t="inlineStr">
        <is>
          <t>0%–25%</t>
        </is>
      </c>
      <c r="AK2" s="1" t="inlineStr">
        <is>
          <t>上檔空間 nvidia/dist/20261025_NVIDIA模型_v0.2.1.xlsx Val!B43；投資建議 nvidia/dist/20261025_NVIDIA模型_v0.2.1.xlsx Val!B179；級距 nvidia/dist/20261025_NVIDIA模型_v0.2.1.xlsx Val!B178</t>
        </is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t="inlineStr">
        <is>
          <t>加權目標價（DCF 50%＋Comparable 50%）</t>
        </is>
      </c>
      <c r="F3" s="4" t="n">
        <v>340.643248720447</v>
      </c>
      <c r="G3" t="inlineStr">
        <is>
          <t>avgo/dist/20261025_Broadcom模型_v0.2.1.xlsx Val!B40</t>
        </is>
      </c>
      <c r="J3" s="4" t="n">
        <v>221.914547314327</v>
      </c>
      <c r="K3" t="inlineStr">
        <is>
          <t>avgo/dist/20261025_Broadcom模型_v0.2.1.xlsx Val!B47</t>
        </is>
      </c>
      <c r="N3">
        <f>價格!H3</f>
        <v/>
      </c>
      <c r="O3">
        <f>MIN(F3,H3)</f>
        <v/>
      </c>
      <c r="P3">
        <f>MIN(J3,L3)</f>
        <v/>
      </c>
      <c r="Q3" s="4" t="n">
        <v>0.058950661279678</v>
      </c>
      <c r="R3">
        <f>P3/N3-1</f>
        <v/>
      </c>
      <c r="S3" s="4" t="inlineStr">
        <is>
          <t>中立</t>
        </is>
      </c>
      <c r="T3">
        <f>647.367676593253/N3-1</f>
        <v/>
      </c>
      <c r="U3" t="inlineStr">
        <is>
          <t>舊法：規則值情境加權價（參考，Val!B104）</t>
        </is>
      </c>
      <c r="V3" t="inlineStr">
        <is>
          <t>15.3 ／ 18.0 ／ 21.7</t>
        </is>
      </c>
      <c r="W3" s="1" t="inlineStr">
        <is>
          <t>DCF 目標價 324.6（Val!B23）；Comparable 目標價 356.7（Val!B41）；市場共識目標價 529.1（Val!B42，外部、僅供對照）；價格帶 C～A 情境 DCF 221.9～394.3</t>
        </is>
      </c>
      <c r="Z3">
        <f>IF(ISNUMBER(價格!C3),價格!H3/價格!C3-1,"")</f>
        <v/>
      </c>
      <c r="AA3">
        <f>IF(Z3="","",IF(ABS(Z3)&gt;0.2,"模型尚未反映期間變化",""))</f>
        <v/>
      </c>
      <c r="AB3" t="inlineStr">
        <is>
          <t>淨利</t>
        </is>
      </c>
      <c r="AC3" t="inlineStr">
        <is>
          <t>PL 頁各情境模型年度淨利（不含實績）</t>
        </is>
      </c>
      <c r="AD3" t="inlineStr">
        <is>
          <t>8 個情境年度淨利（不含實績），全部為正</t>
        </is>
      </c>
      <c r="AE3" s="4" t="n">
        <v>711.2280417774298</v>
      </c>
      <c r="AF3" s="4" t="n">
        <v>57.42012</v>
      </c>
      <c r="AG3" t="inlineStr">
        <is>
          <t>[Derived] avgo/dist/20261025_Broadcom模型_v0.2.1.xlsx PL!D13…PL!G39</t>
        </is>
      </c>
      <c r="AH3">
        <f>IF(AB3="淨利",IF(AF3&gt;0,"通過（淨利）","不通過"),IF(AE3&lt;0,"不通過","通過（現金流）"))</f>
        <v/>
      </c>
      <c r="AI3">
        <f>IF(S3="未上市","未上市",IF(AND(AH3="不通過",OR(S3="強力買進",S3="買進",S3="未估值")),"收支不足",S3))</f>
        <v/>
      </c>
      <c r="AJ3" s="4" t="inlineStr">
        <is>
          <t>0%–25%</t>
        </is>
      </c>
      <c r="AK3" s="1" t="inlineStr">
        <is>
          <t>上檔空間 avgo/dist/20261025_Broadcom模型_v0.2.1.xlsx Val!B43；投資建議 avgo/dist/20261025_Broadcom模型_v0.2.1.xlsx Val!B113；級距 avgo/dist/20261025_Broadcom模型_v0.2.1.xlsx Val!B112</t>
        </is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t="inlineStr">
        <is>
          <t>加權目標價（DCF 50%＋Comparable 50%）</t>
        </is>
      </c>
      <c r="F4" s="4" t="n">
        <v>3087845.415541</v>
      </c>
      <c r="G4" t="inlineStr">
        <is>
          <t>skhynix/dist/20261025_SK海力士模型_v0.5.1.xlsx Val!B161</t>
        </is>
      </c>
      <c r="J4" s="4" t="n">
        <v>1308904.14697498</v>
      </c>
      <c r="K4" t="inlineStr">
        <is>
          <t>skhynix/dist/20261025_SK海力士模型_v0.5.1.xlsx Val!D145</t>
        </is>
      </c>
      <c r="N4">
        <f>價格!H4</f>
        <v/>
      </c>
      <c r="O4">
        <f>MIN(F4,H4)</f>
        <v/>
      </c>
      <c r="P4">
        <f>MIN(J4,L4)</f>
        <v/>
      </c>
      <c r="Q4" s="4" t="n">
        <v>1.41804652744009</v>
      </c>
      <c r="R4">
        <f>P4/N4-1</f>
        <v/>
      </c>
      <c r="S4" s="4" t="inlineStr">
        <is>
          <t>強力買進</t>
        </is>
      </c>
      <c r="T4">
        <f>1392208.55280262/N4-1</f>
        <v/>
      </c>
      <c r="U4" t="inlineStr">
        <is>
          <t>舊法：規則值情境加權價（參考，Val!B176）</t>
        </is>
      </c>
      <c r="W4" s="1" t="inlineStr">
        <is>
          <t>DCF 目標價 3,709,129.8（Val!B146）；Comparable 目標價 2,466,561.0（Val!B162）；市場共識目標價 3,096,288.0（Val!B163，外部、僅供對照）；價格帶 C～A 情境 DCF 1,308,904.1～6,513,978.2</t>
        </is>
      </c>
      <c r="Z4">
        <f>IF(ISNUMBER(價格!C4),價格!H4/價格!C4-1,"")</f>
        <v/>
      </c>
      <c r="AA4">
        <f>IF(Z4="","",IF(ABS(Z4)&gt;0.2,"模型尚未反映期間變化",""))</f>
        <v/>
      </c>
      <c r="AB4" t="inlineStr">
        <is>
          <t>現金流</t>
        </is>
      </c>
      <c r="AC4" t="inlineStr">
        <is>
          <t>自由現金流（淨利＋折舊 − 資本支出）</t>
        </is>
      </c>
      <c r="AD4" t="inlineStr">
        <is>
          <t>2026（基準） 232.9、2027 A 301.3、2028 A 334.4、2029 A 372.3、2027 B 293.3、2028 B 151.6、2029 B 188.0、2027 C 293.3、2028 C 77.1、2029 C 63.7</t>
        </is>
      </c>
      <c r="AE4" s="4" t="n">
        <v>2307.957748876296</v>
      </c>
      <c r="AF4" s="4" t="n">
        <v>63.7338503409949</v>
      </c>
      <c r="AG4" t="inlineStr">
        <is>
          <t>[Derived] skhynix/dist/20261025_SK海力士模型_v0.5.1.xlsx Y!C22…Y!L22</t>
        </is>
      </c>
      <c r="AH4">
        <f>IF(AB4="淨利",IF(AF4&gt;0,"通過（淨利）","不通過"),IF(AE4&lt;0,"不通過","通過（現金流）"))</f>
        <v/>
      </c>
      <c r="AI4">
        <f>IF(S4="未上市","未上市",IF(AND(AH4="不通過",OR(S4="強力買進",S4="買進",S4="未估值")),"收支不足",S4))</f>
        <v/>
      </c>
      <c r="AJ4" s="4" t="inlineStr">
        <is>
          <t>大於 50%</t>
        </is>
      </c>
      <c r="AK4" s="1" t="inlineStr">
        <is>
          <t>上檔空間 skhynix/dist/20261025_SK海力士模型_v0.5.1.xlsx Val!B164；投資建議 skhynix/dist/20261025_SK海力士模型_v0.5.1.xlsx Val!B185；級距 skhynix/dist/20261025_SK海力士模型_v0.5.1.xlsx Val!B184</t>
        </is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t="inlineStr">
        <is>
          <t>加權目標價（DCF 50%＋Comparable 50%）</t>
        </is>
      </c>
      <c r="F5" s="4" t="n">
        <v>477143.173864418</v>
      </c>
      <c r="G5" t="inlineStr">
        <is>
          <t>samsung/dist/20261025_三星電子模型_v0.3.1.xlsx Val!B161</t>
        </is>
      </c>
      <c r="J5" s="4" t="n">
        <v>218882.499300042</v>
      </c>
      <c r="K5" t="inlineStr">
        <is>
          <t>samsung/dist/20261025_三星電子模型_v0.3.1.xlsx Val!D145</t>
        </is>
      </c>
      <c r="N5">
        <f>價格!H5</f>
        <v/>
      </c>
      <c r="O5">
        <f>MIN(F5,H5)</f>
        <v/>
      </c>
      <c r="P5">
        <f>MIN(J5,L5)</f>
        <v/>
      </c>
      <c r="Q5" s="4" t="n">
        <v>1.21412145644741</v>
      </c>
      <c r="R5">
        <f>P5/N5-1</f>
        <v/>
      </c>
      <c r="S5" s="4" t="inlineStr">
        <is>
          <t>強力買進</t>
        </is>
      </c>
      <c r="T5">
        <f>255831.994790815/N5-1</f>
        <v/>
      </c>
      <c r="U5" t="inlineStr">
        <is>
          <t>舊法：規則值情境加權價（參考，Val!B176）</t>
        </is>
      </c>
      <c r="W5" s="1" t="inlineStr">
        <is>
          <t>DCF 目標價 486,542.2（Val!B146）；Comparable 目標價 467,744.1（Val!B162）；市場共識目標價 478,906.0（Val!B163，外部、僅供對照）；價格帶 C～A 情境 DCF 218,882.5～818,535.4</t>
        </is>
      </c>
      <c r="Z5">
        <f>IF(ISNUMBER(價格!C5),價格!H5/價格!C5-1,"")</f>
        <v/>
      </c>
      <c r="AA5">
        <f>IF(Z5="","",IF(ABS(Z5)&gt;0.2,"模型尚未反映期間變化",""))</f>
        <v/>
      </c>
      <c r="AB5" t="inlineStr">
        <is>
          <t>現金流</t>
        </is>
      </c>
      <c r="AC5" t="inlineStr">
        <is>
          <t>自由現金流（淨利＋折舊 − 資本支出）</t>
        </is>
      </c>
      <c r="AD5" t="inlineStr">
        <is>
          <t>2026（基準） 291.2、2027 A 506.0、2028 A 561.3、2029 A 611.6、2027 B 492.5、2028 B 274.2、2029 B 324.1、2027 C 492.5、2028 C 165.3、2029 C 138.4</t>
        </is>
      </c>
      <c r="AE5" s="4" t="n">
        <v>3857.267412225889</v>
      </c>
      <c r="AF5" s="4" t="n">
        <v>138.429996291849</v>
      </c>
      <c r="AG5" t="inlineStr">
        <is>
          <t>[Derived] samsung/dist/20261025_三星電子模型_v0.3.1.xlsx Y!C22…Y!L22</t>
        </is>
      </c>
      <c r="AH5">
        <f>IF(AB5="淨利",IF(AF5&gt;0,"通過（淨利）","不通過"),IF(AE5&lt;0,"不通過","通過（現金流）"))</f>
        <v/>
      </c>
      <c r="AI5">
        <f>IF(S5="未上市","未上市",IF(AND(AH5="不通過",OR(S5="強力買進",S5="買進",S5="未估值")),"收支不足",S5))</f>
        <v/>
      </c>
      <c r="AJ5" s="4" t="inlineStr">
        <is>
          <t>大於 50%</t>
        </is>
      </c>
      <c r="AK5" s="1" t="inlineStr">
        <is>
          <t>上檔空間 samsung/dist/20261025_三星電子模型_v0.3.1.xlsx Val!B164；投資建議 samsung/dist/20261025_三星電子模型_v0.3.1.xlsx Val!B185；級距 samsung/dist/20261025_三星電子模型_v0.3.1.xlsx Val!B184</t>
        </is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t="inlineStr">
        <is>
          <t>加權目標價（DCF 50%＋Comparable 50%）</t>
        </is>
      </c>
      <c r="F6" s="4" t="n">
        <v>684.089469121124</v>
      </c>
      <c r="G6" t="inlineStr">
        <is>
          <t>micron/dist/20261025_美光模型_v0.4.1.xlsx Val!B208</t>
        </is>
      </c>
      <c r="J6" s="4" t="n">
        <v>321.896486338575</v>
      </c>
      <c r="K6" t="inlineStr">
        <is>
          <t>micron/dist/20261025_美光模型_v0.4.1.xlsx Val!D192</t>
        </is>
      </c>
      <c r="N6">
        <f>價格!H6</f>
        <v/>
      </c>
      <c r="O6">
        <f>MIN(F6,H6)</f>
        <v/>
      </c>
      <c r="P6">
        <f>MIN(J6,L6)</f>
        <v/>
      </c>
      <c r="Q6" s="4" t="n">
        <v>-0.220455279902998</v>
      </c>
      <c r="R6">
        <f>P6/N6-1</f>
        <v/>
      </c>
      <c r="S6" s="4" t="inlineStr">
        <is>
          <t>中立</t>
        </is>
      </c>
      <c r="T6">
        <f>348.754265504643/N6-1</f>
        <v/>
      </c>
      <c r="U6" t="inlineStr">
        <is>
          <t>舊法：規則值情境加權價（參考，Val!B223）</t>
        </is>
      </c>
      <c r="W6" s="1" t="inlineStr">
        <is>
          <t>DCF 目標價 932.6（Val!B193）；Comparable 目標價 435.6（Val!B209）；市場共識目標價 1,560.6（Val!B210，外部、僅供對照）；價格帶 C～A 情境 DCF 321.9～1,714.0</t>
        </is>
      </c>
      <c r="Z6">
        <f>IF(ISNUMBER(價格!C6),價格!H6/價格!C6-1,"")</f>
        <v/>
      </c>
      <c r="AA6">
        <f>IF(Z6="","",IF(ABS(Z6)&gt;0.2,"模型尚未反映期間變化",""))</f>
        <v/>
      </c>
      <c r="AB6" t="inlineStr">
        <is>
          <t>現金流</t>
        </is>
      </c>
      <c r="AC6" t="inlineStr">
        <is>
          <t>自由現金流（淨利＋折舊 − 資本支出）</t>
        </is>
      </c>
      <c r="AD6" t="inlineStr">
        <is>
          <t>FY2026（基準） 67.1、FY2027 A 152.2、FY2028 A 172.3、FY2029 A 191.8、FY2027 B 154.2、FY2028 B 87.7、FY2029 B 77.3、FY2027 C 154.2、FY2028 C 59.6、FY2029 C 8.8</t>
        </is>
      </c>
      <c r="AE6" s="4" t="n">
        <v>1125.299057771034</v>
      </c>
      <c r="AF6" s="4" t="n">
        <v>8.800765438015929</v>
      </c>
      <c r="AG6" t="inlineStr">
        <is>
          <t>[Derived] micron/dist/20261025_美光模型_v0.4.1.xlsx Y!C22…Y!L22</t>
        </is>
      </c>
      <c r="AH6">
        <f>IF(AB6="淨利",IF(AF6&gt;0,"通過（淨利）","不通過"),IF(AE6&lt;0,"不通過","通過（現金流）"))</f>
        <v/>
      </c>
      <c r="AI6">
        <f>IF(S6="未上市","未上市",IF(AND(AH6="不通過",OR(S6="強力買進",S6="買進",S6="未估值")),"收支不足",S6))</f>
        <v/>
      </c>
      <c r="AJ6" s="4" t="inlineStr">
        <is>
          <t>0%～−25%</t>
        </is>
      </c>
      <c r="AK6" s="1" t="inlineStr">
        <is>
          <t>上檔空間 micron/dist/20261025_美光模型_v0.4.1.xlsx Val!B211；投資建議 micron/dist/20261025_美光模型_v0.4.1.xlsx Val!B232；級距 micron/dist/20261025_美光模型_v0.4.1.xlsx Val!B231</t>
        </is>
      </c>
    </row>
    <row r="7">
      <c r="A7" t="inlineStr">
        <is>
          <t>2330</t>
        </is>
      </c>
      <c r="B7" t="inlineStr">
        <is>
          <t>台積電</t>
        </is>
      </c>
      <c r="C7">
        <f>價值鏈!A8</f>
        <v/>
      </c>
      <c r="D7" t="inlineStr">
        <is>
          <t>代工與封測</t>
        </is>
      </c>
      <c r="E7" t="inlineStr">
        <is>
          <t>加權目標價（DCF 50%＋Comparable 50%）</t>
        </is>
      </c>
      <c r="F7" s="4" t="n">
        <v>2450.23630789608</v>
      </c>
      <c r="G7" t="inlineStr">
        <is>
          <t>tsmc/dist/20261028_台積電個股模型_v0.4.xlsx Val!B94</t>
        </is>
      </c>
      <c r="J7" s="4" t="n">
        <v>1499.97466657645</v>
      </c>
      <c r="K7" t="inlineStr">
        <is>
          <t>tsmc/dist/20261028_台積電個股模型_v0.4.xlsx Val!D78</t>
        </is>
      </c>
      <c r="N7">
        <f>價格!H7</f>
        <v/>
      </c>
      <c r="O7">
        <f>MIN(F7,H7)</f>
        <v/>
      </c>
      <c r="P7">
        <f>MIN(J7,L7)</f>
        <v/>
      </c>
      <c r="Q7" s="4" t="n">
        <v>0.0273527496419603</v>
      </c>
      <c r="R7">
        <f>P7/N7-1</f>
        <v/>
      </c>
      <c r="S7" s="4" t="inlineStr">
        <is>
          <t>中立</t>
        </is>
      </c>
      <c r="T7">
        <f>3024.65959453177/N7-1</f>
        <v/>
      </c>
      <c r="U7" t="inlineStr">
        <is>
          <t>舊法：規則值情境加權價（參考，Val!B107）</t>
        </is>
      </c>
      <c r="W7" s="1" t="inlineStr">
        <is>
          <t>DCF 目標價 2,155.5（Val!B79）；Comparable 目標價 2,745.0（Val!B95）；市場共識目標價 3,390.4（Val!B96，外部、僅供對照）；價格帶 C～A 情境 DCF 1,500.0～2,775.7</t>
        </is>
      </c>
      <c r="Z7">
        <f>IF(ISNUMBER(價格!C7),價格!H7/價格!C7-1,"")</f>
        <v/>
      </c>
      <c r="AA7">
        <f>IF(Z7="","",IF(ABS(Z7)&gt;0.2,"模型尚未反映期間變化",""))</f>
        <v/>
      </c>
      <c r="AB7" t="inlineStr">
        <is>
          <t>淨利</t>
        </is>
      </c>
      <c r="AC7" t="inlineStr">
        <is>
          <t>PL 頁各情境模型年度淨利（不含實績）</t>
        </is>
      </c>
      <c r="AD7" t="inlineStr">
        <is>
          <t>19 個情境年度淨利（不含實績），全部為正</t>
        </is>
      </c>
      <c r="AE7" s="4" t="n">
        <v>2211.222901615743</v>
      </c>
      <c r="AF7" s="4" t="n">
        <v>84.82261563435119</v>
      </c>
      <c r="AG7" t="inlineStr">
        <is>
          <t>[Derived] tsmc/dist/20261028_台積電個股模型_v0.4.xlsx PL!B12…PL!T12</t>
        </is>
      </c>
      <c r="AH7">
        <f>IF(AB7="淨利",IF(AF7&gt;0,"通過（淨利）","不通過"),IF(AE7&lt;0,"不通過","通過（現金流）"))</f>
        <v/>
      </c>
      <c r="AI7">
        <f>IF(S7="未上市","未上市",IF(AND(AH7="不通過",OR(S7="強力買進",S7="買進",S7="未估值")),"收支不足",S7))</f>
        <v/>
      </c>
      <c r="AJ7" s="4" t="inlineStr">
        <is>
          <t>0%–25%</t>
        </is>
      </c>
      <c r="AK7" s="1" t="inlineStr">
        <is>
          <t>上檔空間 tsmc/dist/20261028_台積電個股模型_v0.4.xlsx Val!B97；投資建議 tsmc/dist/20261028_台積電個股模型_v0.4.xlsx Val!B116；級距 tsmc/dist/20261028_台積電個股模型_v0.4.xlsx Val!B115</t>
        </is>
      </c>
    </row>
    <row r="8">
      <c r="A8" t="inlineStr">
        <is>
          <t>ANET</t>
        </is>
      </c>
      <c r="B8" t="inlineStr">
        <is>
          <t>Arista</t>
        </is>
      </c>
      <c r="C8">
        <f>價值鏈!A7</f>
        <v/>
      </c>
      <c r="D8" t="inlineStr">
        <is>
          <t>網通</t>
        </is>
      </c>
      <c r="E8" t="inlineStr">
        <is>
          <t>加權目標價（DCF 50%＋Comparable 50%）</t>
        </is>
      </c>
      <c r="F8" s="4" t="n">
        <v>99.46303815597879</v>
      </c>
      <c r="G8" t="inlineStr">
        <is>
          <t>arista/dist/20261025_Arista模型_v0.2.1.xlsx Val!B40</t>
        </is>
      </c>
      <c r="J8" s="4" t="n">
        <v>66.5504868771763</v>
      </c>
      <c r="K8" t="inlineStr">
        <is>
          <t>arista/dist/20261025_Arista模型_v0.2.1.xlsx Val!B47</t>
        </is>
      </c>
      <c r="N8">
        <f>價格!H8</f>
        <v/>
      </c>
      <c r="O8">
        <f>MIN(F8,H8)</f>
        <v/>
      </c>
      <c r="P8">
        <f>MIN(J8,L8)</f>
        <v/>
      </c>
      <c r="Q8" s="4" t="n">
        <v>-0.422967812519703</v>
      </c>
      <c r="R8">
        <f>P8/N8-1</f>
        <v/>
      </c>
      <c r="S8" s="4" t="inlineStr">
        <is>
          <t>放空</t>
        </is>
      </c>
      <c r="T8">
        <f>174.075889279442/N8-1</f>
        <v/>
      </c>
      <c r="U8" t="inlineStr">
        <is>
          <t>舊法：規則值情境加權價（參考，Val!B137）</t>
        </is>
      </c>
      <c r="V8" t="inlineStr">
        <is>
          <t>28.8 ／ 31.3 ／ 34.7</t>
        </is>
      </c>
      <c r="W8" s="1" t="inlineStr">
        <is>
          <t>DCF 目標價 87.2（Val!B23）；Comparable 目標價 111.7（Val!B41）；市場共識目標價 243.6（Val!B42，外部、僅供對照）；價格帶 C～A 情境 DCF 66.6～101.9</t>
        </is>
      </c>
      <c r="Z8">
        <f>IF(ISNUMBER(價格!C8),價格!H8/價格!C8-1,"")</f>
        <v/>
      </c>
      <c r="AA8">
        <f>IF(Z8="","",IF(ABS(Z8)&gt;0.2,"模型尚未反映期間變化",""))</f>
        <v/>
      </c>
      <c r="AB8" t="inlineStr">
        <is>
          <t>淨利</t>
        </is>
      </c>
      <c r="AC8" t="inlineStr">
        <is>
          <t>PL 頁各情境模型年度淨利（不含實績）</t>
        </is>
      </c>
      <c r="AD8" t="inlineStr">
        <is>
          <t>8 個情境年度淨利（不含實績），全部為正</t>
        </is>
      </c>
      <c r="AE8" s="4" t="n">
        <v>56.29032871517846</v>
      </c>
      <c r="AF8" s="4" t="n">
        <v>5.224907</v>
      </c>
      <c r="AG8" t="inlineStr">
        <is>
          <t>[Derived] arista/dist/20261025_Arista模型_v0.2.1.xlsx PL!D12…PL!G36</t>
        </is>
      </c>
      <c r="AH8">
        <f>IF(AB8="淨利",IF(AF8&gt;0,"通過（淨利）","不通過"),IF(AE8&lt;0,"不通過","通過（現金流）"))</f>
        <v/>
      </c>
      <c r="AI8">
        <f>IF(S8="未上市","未上市",IF(AND(AH8="不通過",OR(S8="強力買進",S8="買進",S8="未估值")),"收支不足",S8))</f>
        <v/>
      </c>
      <c r="AJ8" s="4" t="inlineStr">
        <is>
          <t>−25%～−50%</t>
        </is>
      </c>
      <c r="AK8" s="1" t="inlineStr">
        <is>
          <t>上檔空間 arista/dist/20261025_Arista模型_v0.2.1.xlsx Val!B43；投資建議 arista/dist/20261025_Arista模型_v0.2.1.xlsx Val!B53；級距 arista/dist/20261025_Arista模型_v0.2.1.xlsx Val!B52</t>
        </is>
      </c>
    </row>
    <row r="9">
      <c r="A9" t="inlineStr">
        <is>
          <t>300308</t>
        </is>
      </c>
      <c r="B9" t="inlineStr">
        <is>
          <t>中際旭創</t>
        </is>
      </c>
      <c r="C9">
        <f>價值鏈!A7</f>
        <v/>
      </c>
      <c r="D9" t="inlineStr">
        <is>
          <t>網通</t>
        </is>
      </c>
      <c r="E9" t="inlineStr">
        <is>
          <t>加權目標價（DCF 50%＋Comparable 50%）</t>
        </is>
      </c>
      <c r="F9" s="4" t="n">
        <v>1343.19997585911</v>
      </c>
      <c r="G9" t="inlineStr">
        <is>
          <t>innolight/dist/20261026_中際旭創模型_v0.2.2.xlsx Val!B39</t>
        </is>
      </c>
      <c r="J9" s="4" t="n">
        <v>503.748980706021</v>
      </c>
      <c r="K9" t="inlineStr">
        <is>
          <t>innolight/dist/20261026_中際旭創模型_v0.2.2.xlsx Val!D23</t>
        </is>
      </c>
      <c r="N9">
        <f>價格!H9</f>
        <v/>
      </c>
      <c r="O9">
        <f>MIN(F9,H9)</f>
        <v/>
      </c>
      <c r="P9">
        <f>MIN(J9,L9)</f>
        <v/>
      </c>
      <c r="Q9" s="4" t="n">
        <v>1.19251420246985</v>
      </c>
      <c r="R9">
        <f>P9/N9-1</f>
        <v/>
      </c>
      <c r="S9" s="4" t="inlineStr">
        <is>
          <t>強力買進</t>
        </is>
      </c>
      <c r="T9">
        <f>2256.55339542562/N9-1</f>
        <v/>
      </c>
      <c r="U9" t="inlineStr">
        <is>
          <t>舊法：規則值情境加權價（參考，Val!B133）</t>
        </is>
      </c>
      <c r="V9" t="inlineStr">
        <is>
          <t>12.7 ／ 15.5 ／ 20.7</t>
        </is>
      </c>
      <c r="W9" s="1" t="inlineStr">
        <is>
          <t>DCF 目標價 822.8（Val!B24）；Comparable 目標價 1,863.6（Val!B40）；市場共識目標價 1,321.0（Val!B41，外部、僅供對照）；價格帶 C～A 情境 DCF 503.7～1,016.9</t>
        </is>
      </c>
      <c r="Z9">
        <f>IF(ISNUMBER(價格!C9),價格!H9/價格!C9-1,"")</f>
        <v/>
      </c>
      <c r="AA9">
        <f>IF(Z9="","",IF(ABS(Z9)&gt;0.2,"模型尚未反映期間變化",""))</f>
        <v/>
      </c>
      <c r="AB9" t="inlineStr">
        <is>
          <t>淨利</t>
        </is>
      </c>
      <c r="AC9" t="inlineStr">
        <is>
          <t>PL 頁各情境模型年度淨利（不含實績）</t>
        </is>
      </c>
      <c r="AD9" t="inlineStr">
        <is>
          <t>19 個情境年度淨利（不含實績），全部為正</t>
        </is>
      </c>
      <c r="AE9" s="4" t="n">
        <v>1134.801727141911</v>
      </c>
      <c r="AF9" s="4" t="n">
        <v>31.8281188474012</v>
      </c>
      <c r="AG9" t="inlineStr">
        <is>
          <t>[Derived] innolight/dist/20261026_中際旭創模型_v0.2.2.xlsx PL!D12…PL!J36</t>
        </is>
      </c>
      <c r="AH9">
        <f>IF(AB9="淨利",IF(AF9&gt;0,"通過（淨利）","不通過"),IF(AE9&lt;0,"不通過","通過（現金流）"))</f>
        <v/>
      </c>
      <c r="AI9">
        <f>IF(S9="未上市","未上市",IF(AND(AH9="不通過",OR(S9="強力買進",S9="買進",S9="未估值")),"收支不足",S9))</f>
        <v/>
      </c>
      <c r="AJ9" s="4" t="inlineStr">
        <is>
          <t>大於 50%</t>
        </is>
      </c>
      <c r="AK9" s="1" t="inlineStr">
        <is>
          <t>上檔空間 innolight/dist/20261026_中際旭創模型_v0.2.2.xlsx Val!B42；投資建議 innolight/dist/20261026_中際旭創模型_v0.2.2.xlsx Val!B50；級距 innolight/dist/20261026_中際旭創模型_v0.2.2.xlsx Val!B49</t>
        </is>
      </c>
    </row>
    <row r="10">
      <c r="A10" t="inlineStr">
        <is>
          <t>2308</t>
        </is>
      </c>
      <c r="B10" t="inlineStr">
        <is>
          <t>台達電</t>
        </is>
      </c>
      <c r="C10">
        <f>價值鏈!A10</f>
        <v/>
      </c>
      <c r="D10" t="inlineStr">
        <is>
          <t>電源與散熱</t>
        </is>
      </c>
      <c r="E10" t="inlineStr">
        <is>
          <t>加權目標價（DCF 50%＋Comparable 50%）</t>
        </is>
      </c>
      <c r="F10" s="4" t="n">
        <v>1214.61166264439</v>
      </c>
      <c r="G10" t="inlineStr">
        <is>
          <t>delta/dist/20261028_台達電個股模型_v0.3.xlsx Val!B119</t>
        </is>
      </c>
      <c r="J10" s="4" t="n">
        <v>640.554270753996</v>
      </c>
      <c r="K10" t="inlineStr">
        <is>
          <t>delta/dist/20261028_台達電個股模型_v0.3.xlsx Val!D104</t>
        </is>
      </c>
      <c r="N10">
        <f>價格!H10</f>
        <v/>
      </c>
      <c r="O10">
        <f>MIN(F10,H10)</f>
        <v/>
      </c>
      <c r="P10">
        <f>MIN(J10,L10)</f>
        <v/>
      </c>
      <c r="Q10" s="4" t="n">
        <v>-0.243232608944303</v>
      </c>
      <c r="R10">
        <f>P10/N10-1</f>
        <v/>
      </c>
      <c r="S10" s="4" t="inlineStr">
        <is>
          <t>中立</t>
        </is>
      </c>
      <c r="T10">
        <f>1359.88491417879/N10-1</f>
        <v/>
      </c>
      <c r="U10" t="inlineStr">
        <is>
          <t>舊法：規則值情境加權價（參考，Val!B42）</t>
        </is>
      </c>
      <c r="V10" t="inlineStr">
        <is>
          <t>20.8 ／ 24.5 ／ 31.8</t>
        </is>
      </c>
      <c r="W10" s="1" t="inlineStr">
        <is>
          <t>DCF 目標價 1,000.5（Val!B105）；Comparable 目標價 1,428.7（Val!B120）；市場共識目標價 2,502.4（Val!B121，外部、僅供對照）；價格帶 C～A 情境 DCF 640.6～1,236.2</t>
        </is>
      </c>
      <c r="Z10">
        <f>IF(ISNUMBER(價格!C10),價格!H10/價格!C10-1,"")</f>
        <v/>
      </c>
      <c r="AA10">
        <f>IF(Z10="","",IF(ABS(Z10)&gt;0.2,"模型尚未反映期間變化",""))</f>
        <v/>
      </c>
      <c r="AB10" t="inlineStr">
        <is>
          <t>淨利</t>
        </is>
      </c>
      <c r="AC10" t="inlineStr">
        <is>
          <t>PL 頁各情境模型年度淨利（不含實績）</t>
        </is>
      </c>
      <c r="AD10" t="inlineStr">
        <is>
          <t>8 個情境年度淨利（不含實績），全部為正</t>
        </is>
      </c>
      <c r="AE10" s="4" t="n">
        <v>1331.70135314773</v>
      </c>
      <c r="AF10" s="4" t="n">
        <v>98.429235925</v>
      </c>
      <c r="AG10" t="inlineStr">
        <is>
          <t>[Derived] delta/dist/20261028_台達電個股模型_v0.3.xlsx PL!D17…PL!G51</t>
        </is>
      </c>
      <c r="AH10">
        <f>IF(AB10="淨利",IF(AF10&gt;0,"通過（淨利）","不通過"),IF(AE10&lt;0,"不通過","通過（現金流）"))</f>
        <v/>
      </c>
      <c r="AI10">
        <f>IF(S10="未上市","未上市",IF(AND(AH10="不通過",OR(S10="強力買進",S10="買進",S10="未估值")),"收支不足",S10))</f>
        <v/>
      </c>
      <c r="AJ10" s="4" t="inlineStr">
        <is>
          <t>0%～−25%</t>
        </is>
      </c>
      <c r="AK10" s="1" t="inlineStr">
        <is>
          <t>上檔空間 delta/dist/20261028_台達電個股模型_v0.3.xlsx Val!B122；投資建議 delta/dist/20261028_台達電個股模型_v0.3.xlsx Val!B135；級距 delta/dist/20261028_台達電個股模型_v0.3.xlsx Val!B134</t>
        </is>
      </c>
    </row>
    <row r="11">
      <c r="A11" t="inlineStr">
        <is>
          <t>2382</t>
        </is>
      </c>
      <c r="B11" t="inlineStr">
        <is>
          <t>廣達</t>
        </is>
      </c>
      <c r="C11">
        <f>價值鏈!A11</f>
        <v/>
      </c>
      <c r="D11" t="inlineStr">
        <is>
          <t>伺服器組裝</t>
        </is>
      </c>
      <c r="E11" t="inlineStr">
        <is>
          <t>加權目標價（DCF 50%＋Comparable 50%）</t>
        </is>
      </c>
      <c r="F11" s="4" t="n">
        <v>566.562292345013</v>
      </c>
      <c r="G11" t="inlineStr">
        <is>
          <t>quanta/dist/20261025_廣達模型_v0.2.1.xlsx Val!B120</t>
        </is>
      </c>
      <c r="J11" s="4" t="n">
        <v>404.067828743699</v>
      </c>
      <c r="K11" t="inlineStr">
        <is>
          <t>quanta/dist/20261025_廣達模型_v0.2.1.xlsx Val!D104</t>
        </is>
      </c>
      <c r="N11">
        <f>價格!H11</f>
        <v/>
      </c>
      <c r="O11">
        <f>MIN(F11,H11)</f>
        <v/>
      </c>
      <c r="P11">
        <f>MIN(J11,L11)</f>
        <v/>
      </c>
      <c r="Q11" s="4" t="n">
        <v>0.759510224673953</v>
      </c>
      <c r="R11">
        <f>P11/N11-1</f>
        <v/>
      </c>
      <c r="S11" s="4" t="inlineStr">
        <is>
          <t>強力買進</t>
        </is>
      </c>
      <c r="T11">
        <f>490.548184039647/N11-1</f>
        <v/>
      </c>
      <c r="U11" t="inlineStr">
        <is>
          <t>舊法：規則值情境加權價（參考，Val!B42）</t>
        </is>
      </c>
      <c r="V11" t="inlineStr">
        <is>
          <t>6.2 ／ 7.7 ／ 10.2</t>
        </is>
      </c>
      <c r="W11" s="1" t="inlineStr">
        <is>
          <t>DCF 目標價 644.3（Val!B105）；Comparable 目標價 488.9（Val!B121）；市場共識目標價 427.8（Val!B122，外部、僅供對照）；價格帶 C～A 情境 DCF 404.1～808.7</t>
        </is>
      </c>
      <c r="Z11">
        <f>IF(ISNUMBER(價格!C11),價格!H11/價格!C11-1,"")</f>
        <v/>
      </c>
      <c r="AA11">
        <f>IF(Z11="","",IF(ABS(Z11)&gt;0.2,"模型尚未反映期間變化",""))</f>
        <v/>
      </c>
      <c r="AB11" t="inlineStr">
        <is>
          <t>淨利</t>
        </is>
      </c>
      <c r="AC11" t="inlineStr">
        <is>
          <t>PL 頁各情境模型年度淨利（不含實績）</t>
        </is>
      </c>
      <c r="AD11" t="inlineStr">
        <is>
          <t>8 個情境年度淨利（不含實績），全部為正</t>
        </is>
      </c>
      <c r="AE11" s="4" t="n">
        <v>1294.029322125414</v>
      </c>
      <c r="AF11" s="4" t="n">
        <v>110.713671625</v>
      </c>
      <c r="AG11" t="inlineStr">
        <is>
          <t>[Derived] quanta/dist/20261025_廣達模型_v0.2.1.xlsx PL!D13…PL!G39</t>
        </is>
      </c>
      <c r="AH11">
        <f>IF(AB11="淨利",IF(AF11&gt;0,"通過（淨利）","不通過"),IF(AE11&lt;0,"不通過","通過（現金流）"))</f>
        <v/>
      </c>
      <c r="AI11">
        <f>IF(S11="未上市","未上市",IF(AND(AH11="不通過",OR(S11="強力買進",S11="買進",S11="未估值")),"收支不足",S11))</f>
        <v/>
      </c>
      <c r="AJ11" s="4" t="inlineStr">
        <is>
          <t>大於 50%</t>
        </is>
      </c>
      <c r="AK11" s="1" t="inlineStr">
        <is>
          <t>上檔空間 quanta/dist/20261025_廣達模型_v0.2.1.xlsx Val!B123；投資建議 quanta/dist/20261025_廣達模型_v0.2.1.xlsx Val!B136；級距 quanta/dist/20261025_廣達模型_v0.2.1.xlsx Val!B135</t>
        </is>
      </c>
    </row>
    <row r="12">
      <c r="A12" t="inlineStr">
        <is>
          <t>4062</t>
        </is>
      </c>
      <c r="B12" t="inlineStr">
        <is>
          <t>Ibiden</t>
        </is>
      </c>
      <c r="C12">
        <f>價值鏈!A9</f>
        <v/>
      </c>
      <c r="D12" t="inlineStr">
        <is>
          <t>載板與 PCB</t>
        </is>
      </c>
      <c r="E12" t="inlineStr">
        <is>
          <t>加權目標價（DCF 50%＋Comparable 50%）</t>
        </is>
      </c>
      <c r="F12" s="4" t="n">
        <v>5236.24114444144</v>
      </c>
      <c r="G12" t="inlineStr">
        <is>
          <t>ibiden/dist/20261025_Ibiden模型_v0.2.1.xlsx Val!B96</t>
        </is>
      </c>
      <c r="J12" s="4" t="n">
        <v>1293.75775376326</v>
      </c>
      <c r="K12" t="inlineStr">
        <is>
          <t>ibiden/dist/20261025_Ibiden模型_v0.2.1.xlsx Val!D80</t>
        </is>
      </c>
      <c r="N12">
        <f>價格!H12</f>
        <v/>
      </c>
      <c r="O12">
        <f>MIN(F12,H12)</f>
        <v/>
      </c>
      <c r="P12">
        <f>MIN(J12,L12)</f>
        <v/>
      </c>
      <c r="Q12" s="4" t="n">
        <v>-0.384840091113553</v>
      </c>
      <c r="R12">
        <f>P12/N12-1</f>
        <v/>
      </c>
      <c r="S12" s="4" t="inlineStr">
        <is>
          <t>放空</t>
        </is>
      </c>
      <c r="T12">
        <f>9531.45203105499/N12-1</f>
        <v/>
      </c>
      <c r="U12" t="inlineStr">
        <is>
          <t>舊法：規則值情境加權價（參考，Val!B38）</t>
        </is>
      </c>
      <c r="V12" t="inlineStr">
        <is>
          <t>38.9 ／ 46.1 ／ 56.8</t>
        </is>
      </c>
      <c r="W12" s="1" t="inlineStr">
        <is>
          <t>DCF 目標價 1,931.2（Val!B81）；Comparable 目標價 8,541.2（Val!B97）；市場共識目標價 12,432.4（Val!B98，外部、僅供對照）；價格帶 C～A 情境 DCF 1,293.8～2,378.3</t>
        </is>
      </c>
      <c r="Z12">
        <f>IF(ISNUMBER(價格!C12),價格!H12/價格!C12-1,"")</f>
        <v/>
      </c>
      <c r="AA12">
        <f>IF(Z12="","",IF(ABS(Z12)&gt;0.2,"模型尚未反映期間變化",""))</f>
        <v/>
      </c>
      <c r="AB12" t="inlineStr">
        <is>
          <t>淨利</t>
        </is>
      </c>
      <c r="AC12" t="inlineStr">
        <is>
          <t>PL 頁各情境模型年度淨利（不含實績）</t>
        </is>
      </c>
      <c r="AD12" t="inlineStr">
        <is>
          <t>8 個情境年度淨利（不含實績），全部為正</t>
        </is>
      </c>
      <c r="AE12" s="4" t="n">
        <v>854.6935870581774</v>
      </c>
      <c r="AF12" s="4" t="n">
        <v>84</v>
      </c>
      <c r="AG12" t="inlineStr">
        <is>
          <t>[Derived] ibiden/dist/20261025_Ibiden模型_v0.2.1.xlsx PL!D11…PL!G33</t>
        </is>
      </c>
      <c r="AH12">
        <f>IF(AB12="淨利",IF(AF12&gt;0,"通過（淨利）","不通過"),IF(AE12&lt;0,"不通過","通過（現金流）"))</f>
        <v/>
      </c>
      <c r="AI12">
        <f>IF(S12="未上市","未上市",IF(AND(AH12="不通過",OR(S12="強力買進",S12="買進",S12="未估值")),"收支不足",S12))</f>
        <v/>
      </c>
      <c r="AJ12" s="4" t="inlineStr">
        <is>
          <t>−25%～−50%</t>
        </is>
      </c>
      <c r="AK12" s="1" t="inlineStr">
        <is>
          <t>上檔空間 ibiden/dist/20261025_Ibiden模型_v0.2.1.xlsx Val!B99；投資建議 ibiden/dist/20261025_Ibiden模型_v0.2.1.xlsx Val!B110；級距 ibiden/dist/20261025_Ibiden模型_v0.2.1.xlsx Val!B109</t>
        </is>
      </c>
    </row>
    <row r="13">
      <c r="A13" t="inlineStr">
        <is>
          <t>6857</t>
        </is>
      </c>
      <c r="B13" t="inlineStr">
        <is>
          <t>Advantest</t>
        </is>
      </c>
      <c r="C13">
        <f>價值鏈!A13</f>
        <v/>
      </c>
      <c r="D13" t="inlineStr">
        <is>
          <t>設備與材料</t>
        </is>
      </c>
      <c r="E13" t="inlineStr">
        <is>
          <t>加權目標價（DCF 50%＋Comparable 50%）</t>
        </is>
      </c>
      <c r="F13" s="4" t="n">
        <v>23221.5916701459</v>
      </c>
      <c r="G13" t="inlineStr">
        <is>
          <t>advantest/dist/20261025_Advantest模型_v0.3.1.xlsx Val!B146</t>
        </is>
      </c>
      <c r="J13" s="4" t="n">
        <v>7893.3662518531</v>
      </c>
      <c r="K13" t="inlineStr">
        <is>
          <t>advantest/dist/20261025_Advantest模型_v0.3.1.xlsx Val!D130</t>
        </is>
      </c>
      <c r="N13">
        <f>價格!H13</f>
        <v/>
      </c>
      <c r="O13">
        <f>MIN(F13,H13)</f>
        <v/>
      </c>
      <c r="P13">
        <f>MIN(J13,L13)</f>
        <v/>
      </c>
      <c r="Q13" s="4" t="n">
        <v>-0.281954493811198</v>
      </c>
      <c r="R13">
        <f>P13/N13-1</f>
        <v/>
      </c>
      <c r="S13" s="4" t="inlineStr">
        <is>
          <t>放空</t>
        </is>
      </c>
      <c r="T13">
        <f>24494.453736442/N13-1</f>
        <v/>
      </c>
      <c r="U13" t="inlineStr">
        <is>
          <t>舊法：規則值情境加權價（參考，Val!B102）</t>
        </is>
      </c>
      <c r="W13" s="1" t="inlineStr">
        <is>
          <t>DCF 目標價 16,539.5（Val!B131）；Comparable 目標價 29,903.7（Val!B147）；市場共識目標價 42,686.0（Val!B148，外部、僅供對照）；價格帶 C～A 情境 DCF 7,893.4～23,027.5</t>
        </is>
      </c>
      <c r="Z13">
        <f>IF(ISNUMBER(價格!C13),價格!H13/價格!C13-1,"")</f>
        <v/>
      </c>
      <c r="AA13">
        <f>IF(Z13="","",IF(ABS(Z13)&gt;0.2,"模型尚未反映期間變化",""))</f>
        <v/>
      </c>
      <c r="AB13" t="inlineStr">
        <is>
          <t>淨利</t>
        </is>
      </c>
      <c r="AC13" t="inlineStr">
        <is>
          <t>PL 頁各情境模型年度淨利（不含實績）</t>
        </is>
      </c>
      <c r="AD13" t="inlineStr">
        <is>
          <t>10 個情境年度淨利（不含實績），全部為正</t>
        </is>
      </c>
      <c r="AE13" s="4" t="n">
        <v>7834.34551344892</v>
      </c>
      <c r="AF13" s="4" t="n">
        <v>574.3864027252999</v>
      </c>
      <c r="AG13" t="inlineStr">
        <is>
          <t>[Derived] advantest/dist/20261025_Advantest模型_v0.3.1.xlsx PL!D12…PL!G34</t>
        </is>
      </c>
      <c r="AH13">
        <f>IF(AB13="淨利",IF(AF13&gt;0,"通過（淨利）","不通過"),IF(AE13&lt;0,"不通過","通過（現金流）"))</f>
        <v/>
      </c>
      <c r="AI13">
        <f>IF(S13="未上市","未上市",IF(AND(AH13="不通過",OR(S13="強力買進",S13="買進",S13="未估值")),"收支不足",S13))</f>
        <v/>
      </c>
      <c r="AJ13" s="4" t="inlineStr">
        <is>
          <t>−25%～−50%</t>
        </is>
      </c>
      <c r="AK13" s="1" t="inlineStr">
        <is>
          <t>上檔空間 advantest/dist/20261025_Advantest模型_v0.3.1.xlsx Val!B149；投資建議 advantest/dist/20261025_Advantest模型_v0.3.1.xlsx Val!B158；級距 advantest/dist/20261025_Advantest模型_v0.3.1.xlsx Val!B157</t>
        </is>
      </c>
    </row>
    <row r="14">
      <c r="A14" t="inlineStr">
        <is>
          <t>6146</t>
        </is>
      </c>
      <c r="B14" t="inlineStr">
        <is>
          <t>Disco</t>
        </is>
      </c>
      <c r="C14">
        <f>價值鏈!A13</f>
        <v/>
      </c>
      <c r="D14" t="inlineStr">
        <is>
          <t>設備與材料</t>
        </is>
      </c>
      <c r="E14" t="inlineStr">
        <is>
          <t>加權目標價（DCF 50%＋Comparable 50%）</t>
        </is>
      </c>
      <c r="F14" s="4" t="n">
        <v>40374.830353198</v>
      </c>
      <c r="G14" t="inlineStr">
        <is>
          <t>disco/dist/20261025_Disco模型_v0.2.2.xlsx Val!B107</t>
        </is>
      </c>
      <c r="J14" s="4" t="n">
        <v>16343.6091101662</v>
      </c>
      <c r="K14" t="inlineStr">
        <is>
          <t>disco/dist/20261025_Disco模型_v0.2.2.xlsx Val!D91</t>
        </is>
      </c>
      <c r="N14">
        <f>價格!H14</f>
        <v/>
      </c>
      <c r="O14">
        <f>MIN(F14,H14)</f>
        <v/>
      </c>
      <c r="P14">
        <f>MIN(J14,L14)</f>
        <v/>
      </c>
      <c r="Q14" s="4" t="n">
        <v>-0.180871772099859</v>
      </c>
      <c r="R14">
        <f>P14/N14-1</f>
        <v/>
      </c>
      <c r="S14" s="4" t="inlineStr">
        <is>
          <t>中立</t>
        </is>
      </c>
      <c r="T14">
        <f>45104.6418701108/N14-1</f>
        <v/>
      </c>
      <c r="U14" t="inlineStr">
        <is>
          <t>舊法：規則值情境加權價（參考，Val!B63）</t>
        </is>
      </c>
      <c r="W14" s="1" t="inlineStr">
        <is>
          <t>DCF 目標價 22,991.0（Val!B92）；Comparable 目標價 57,758.6（Val!B108）；市場共識目標價 81,575.0（Val!B109，外部、僅供對照）；價格帶 C～A 情境 DCF 16,343.6～27,699.3</t>
        </is>
      </c>
      <c r="Z14">
        <f>IF(ISNUMBER(價格!C14),價格!H14/價格!C14-1,"")</f>
        <v/>
      </c>
      <c r="AA14">
        <f>IF(Z14="","",IF(ABS(Z14)&gt;0.2,"模型尚未反映期間變化",""))</f>
        <v/>
      </c>
      <c r="AB14" t="inlineStr">
        <is>
          <t>淨利</t>
        </is>
      </c>
      <c r="AC14" t="inlineStr">
        <is>
          <t>PL 頁各情境模型年度淨利（不含實績）</t>
        </is>
      </c>
      <c r="AD14" t="inlineStr">
        <is>
          <t>10 個情境年度淨利（不含實績），全部為正</t>
        </is>
      </c>
      <c r="AE14" s="4" t="n">
        <v>1803.967163318959</v>
      </c>
      <c r="AF14" s="4" t="n">
        <v>143.891188584055</v>
      </c>
      <c r="AG14" t="inlineStr">
        <is>
          <t>[Derived] disco/dist/20261025_Disco模型_v0.2.2.xlsx PL!D16…PL!G52</t>
        </is>
      </c>
      <c r="AH14">
        <f>IF(AB14="淨利",IF(AF14&gt;0,"通過（淨利）","不通過"),IF(AE14&lt;0,"不通過","通過（現金流）"))</f>
        <v/>
      </c>
      <c r="AI14">
        <f>IF(S14="未上市","未上市",IF(AND(AH14="不通過",OR(S14="強力買進",S14="買進",S14="未估值")),"收支不足",S14))</f>
        <v/>
      </c>
      <c r="AJ14" s="4" t="inlineStr">
        <is>
          <t>0%～−25%</t>
        </is>
      </c>
      <c r="AK14" s="1" t="inlineStr">
        <is>
          <t>上檔空間 disco/dist/20261025_Disco模型_v0.2.2.xlsx Val!B110；投資建議 disco/dist/20261025_Disco模型_v0.2.2.xlsx Val!B119；級距 disco/dist/20261025_Disco模型_v0.2.2.xlsx Val!B118</t>
        </is>
      </c>
    </row>
    <row r="15">
      <c r="A15" t="inlineStr">
        <is>
          <t>MSFT</t>
        </is>
      </c>
      <c r="B15" t="inlineStr">
        <is>
          <t>Microsoft</t>
        </is>
      </c>
      <c r="C15">
        <f>價值鏈!A3</f>
        <v/>
      </c>
      <c r="D15" t="inlineStr">
        <is>
          <t>AI 雲端平台</t>
        </is>
      </c>
      <c r="E15" t="inlineStr">
        <is>
          <t>加權目標價（DCF 50%＋分部加總 50%）</t>
        </is>
      </c>
      <c r="F15" s="4" t="n">
        <v>385.56245022499</v>
      </c>
      <c r="G15" t="inlineStr">
        <is>
          <t>microsoft/dist/20261027_Microsoft個股模型_v0.3.xlsx Val!B36</t>
        </is>
      </c>
      <c r="J15" s="4" t="n">
        <v>283.645287089587</v>
      </c>
      <c r="K15" t="inlineStr">
        <is>
          <t>microsoft/dist/20261027_Microsoft個股模型_v0.3.xlsx Val!D13</t>
        </is>
      </c>
      <c r="N15">
        <f>價格!H15</f>
        <v/>
      </c>
      <c r="O15">
        <f>MIN(F15,H15)</f>
        <v/>
      </c>
      <c r="P15">
        <f>MIN(J15,L15)</f>
        <v/>
      </c>
      <c r="Q15" s="4" t="n">
        <v>-0.276075008965471</v>
      </c>
      <c r="R15">
        <f>P15/N15-1</f>
        <v/>
      </c>
      <c r="S15" s="4" t="inlineStr">
        <is>
          <t>放空</t>
        </is>
      </c>
      <c r="V15" t="inlineStr">
        <is>
          <t>21.4 ／ 22.6 ／ 24.2</t>
        </is>
      </c>
      <c r="W15" s="1" t="inlineStr">
        <is>
          <t>DCF 目標價 327.6（Val!B14）；Comparable 目標價 443.6（Val!B31）；市場共識目標價 603.4（Val!B38，外部、僅供對照）；價格帶 C～A 情境 DCF 283.6～367.6</t>
        </is>
      </c>
      <c r="Z15">
        <f>IF(ISNUMBER(價格!C15),價格!H15/價格!C15-1,"")</f>
        <v/>
      </c>
      <c r="AA15">
        <f>IF(Z15="","",IF(ABS(Z15)&gt;0.2,"模型尚未反映期間變化",""))</f>
        <v/>
      </c>
      <c r="AB15" t="inlineStr">
        <is>
          <t>現金流</t>
        </is>
      </c>
      <c r="AC15" t="inlineStr">
        <is>
          <t>自由現金流扣股利五年合計（基準情境 B；A 375.6、C 148.3）</t>
        </is>
      </c>
      <c r="AD15" t="inlineStr">
        <is>
          <t>情境 B 五年合計 270.9</t>
        </is>
      </c>
      <c r="AE15" s="4" t="n">
        <v>270.92548377809</v>
      </c>
      <c r="AF15" s="4" t="n">
        <v>270.92548377809</v>
      </c>
      <c r="AG15" t="inlineStr">
        <is>
          <t>[Derived] microsoft/dist/20261027_Microsoft個股模型_v0.3.xlsx CF!C5…CF!C5</t>
        </is>
      </c>
      <c r="AH15">
        <f>IF(AB15="淨利",IF(AF15&gt;0,"通過（淨利）","不通過"),IF(AE15&lt;0,"不通過","通過（現金流）"))</f>
        <v/>
      </c>
      <c r="AI15">
        <f>IF(S15="未上市","未上市",IF(AND(AH15="不通過",OR(S15="強力買進",S15="買進",S15="未估值")),"收支不足",S15))</f>
        <v/>
      </c>
      <c r="AJ15" s="4" t="inlineStr">
        <is>
          <t>−50%～−25%</t>
        </is>
      </c>
      <c r="AK15" s="1" t="inlineStr">
        <is>
          <t>上檔空間 microsoft/dist/20261027_Microsoft個股模型_v0.3.xlsx Val!B40；投資建議 microsoft/dist/20261027_Microsoft個股模型_v0.3.xlsx Val!B43；級距 microsoft/dist/20261027_Microsoft個股模型_v0.3.xlsx Val!B42</t>
        </is>
      </c>
    </row>
    <row r="16">
      <c r="A16" t="inlineStr">
        <is>
          <t>AMZN</t>
        </is>
      </c>
      <c r="B16" t="inlineStr">
        <is>
          <t>Amazon</t>
        </is>
      </c>
      <c r="C16">
        <f>價值鏈!A3</f>
        <v/>
      </c>
      <c r="D16" t="inlineStr">
        <is>
          <t>AI 雲端平台</t>
        </is>
      </c>
      <c r="E16" t="inlineStr">
        <is>
          <t>加權目標價（DCF 50%＋分部加總 50%）</t>
        </is>
      </c>
      <c r="F16" s="4" t="n">
        <v>215.578882385843</v>
      </c>
      <c r="G16" t="inlineStr">
        <is>
          <t>amazon/dist/20261027_Amazon個股模型_v0.3.xlsx Val!B19</t>
        </is>
      </c>
      <c r="J16" s="4" t="n">
        <v>117.352344636521</v>
      </c>
      <c r="K16" t="inlineStr">
        <is>
          <t>amazon/dist/20261027_Amazon個股模型_v0.3.xlsx Val!D5</t>
        </is>
      </c>
      <c r="N16">
        <f>價格!H16</f>
        <v/>
      </c>
      <c r="O16">
        <f>MIN(F16,H16)</f>
        <v/>
      </c>
      <c r="P16">
        <f>MIN(J16,L16)</f>
        <v/>
      </c>
      <c r="Q16" s="4" t="n">
        <v>-0.134534174853092</v>
      </c>
      <c r="R16">
        <f>P16/N16-1</f>
        <v/>
      </c>
      <c r="S16" s="4" t="inlineStr">
        <is>
          <t>中立</t>
        </is>
      </c>
      <c r="W16" s="1" t="inlineStr">
        <is>
          <t>DCF 目標價 149.6（Val!B17）；Comparable 目標價 281.6（Val!B18）；市場共識目標價 332.2（Val!B25，外部、僅供對照）；價格帶 C～A 情境 DCF 117.4～205.0</t>
        </is>
      </c>
      <c r="Z16">
        <f>IF(ISNUMBER(價格!C16),價格!H16/價格!C16-1,"")</f>
        <v/>
      </c>
      <c r="AA16">
        <f>IF(Z16="","",IF(ABS(Z16)&gt;0.2,"模型尚未反映期間變化",""))</f>
        <v/>
      </c>
      <c r="AB16" t="inlineStr">
        <is>
          <t>現金流</t>
        </is>
      </c>
      <c r="AC16" t="inlineStr">
        <is>
          <t>自由現金流扣股利五年合計（基準情境 B；A 205.5、C -43.2）</t>
        </is>
      </c>
      <c r="AD16" t="inlineStr">
        <is>
          <t>情境 B 五年合計 19.0</t>
        </is>
      </c>
      <c r="AE16" s="4" t="n">
        <v>19.0072988716234</v>
      </c>
      <c r="AF16" s="4" t="n">
        <v>19.0072988716234</v>
      </c>
      <c r="AG16" t="inlineStr">
        <is>
          <t>[Derived] amazon/dist/20261027_Amazon個股模型_v0.3.xlsx CF!C6…CF!C6</t>
        </is>
      </c>
      <c r="AH16">
        <f>IF(AB16="淨利",IF(AF16&gt;0,"通過（淨利）","不通過"),IF(AE16&lt;0,"不通過","通過（現金流）"))</f>
        <v/>
      </c>
      <c r="AI16">
        <f>IF(S16="未上市","未上市",IF(AND(AH16="不通過",OR(S16="強力買進",S16="買進",S16="未估值")),"收支不足",S16))</f>
        <v/>
      </c>
      <c r="AJ16" s="4" t="inlineStr">
        <is>
          <t>0%～−25%</t>
        </is>
      </c>
      <c r="AK16" s="1" t="inlineStr">
        <is>
          <t>上檔空間 amazon/dist/20261027_Amazon個股模型_v0.3.xlsx Val!B21；投資建議 amazon/dist/20261027_Amazon個股模型_v0.3.xlsx Val!B24；級距 amazon/dist/20261027_Amazon個股模型_v0.3.xlsx Val!B23</t>
        </is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t="inlineStr">
        <is>
          <t>加權目標價（DCF 50%＋分部加總 50%）</t>
        </is>
      </c>
      <c r="F17" s="4" t="n">
        <v>258.700923108513</v>
      </c>
      <c r="G17" t="inlineStr">
        <is>
          <t>alphabet/dist/20261027_Alphabet個股模型_v0.3.xlsx Val!B8</t>
        </is>
      </c>
      <c r="J17" s="4" t="n">
        <v>159.056504163638</v>
      </c>
      <c r="K17" t="inlineStr">
        <is>
          <t>alphabet/dist/20261027_Alphabet個股模型_v0.3.xlsx Val!D109</t>
        </is>
      </c>
      <c r="N17">
        <f>價格!H17</f>
        <v/>
      </c>
      <c r="O17">
        <f>MIN(F17,H17)</f>
        <v/>
      </c>
      <c r="P17">
        <f>MIN(J17,L17)</f>
        <v/>
      </c>
      <c r="Q17" s="4" t="n">
        <v>-0.183393550793835</v>
      </c>
      <c r="R17">
        <f>P17/N17-1</f>
        <v/>
      </c>
      <c r="S17" s="4" t="inlineStr">
        <is>
          <t>中立</t>
        </is>
      </c>
      <c r="W17" s="1" t="inlineStr">
        <is>
          <t>DCF 目標價 200.4（Val!B6）；Comparable 目標價 317.0（Val!B7）；市場共識目標價 429.1（Val!B10，外部、僅供對照）；價格帶 C～A 情境 DCF 159.1～231.3</t>
        </is>
      </c>
      <c r="Z17">
        <f>IF(ISNUMBER(價格!C17),價格!H17/價格!C17-1,"")</f>
        <v/>
      </c>
      <c r="AA17">
        <f>IF(Z17="","",IF(ABS(Z17)&gt;0.2,"模型尚未反映期間變化",""))</f>
        <v/>
      </c>
      <c r="AB17" t="inlineStr">
        <is>
          <t>現金流</t>
        </is>
      </c>
      <c r="AC17" t="inlineStr">
        <is>
          <t>自由現金流扣股利五年合計（基準情境 B；A 261.2、C 29.8）</t>
        </is>
      </c>
      <c r="AD17" t="inlineStr">
        <is>
          <t>情境 B 五年合計 180.1</t>
        </is>
      </c>
      <c r="AE17" s="4" t="n">
        <v>180.050215907833</v>
      </c>
      <c r="AF17" s="4" t="n">
        <v>180.050215907833</v>
      </c>
      <c r="AG17" t="inlineStr">
        <is>
          <t>[Derived] alphabet/dist/20261027_Alphabet個股模型_v0.3.xlsx CF!C6…CF!C6</t>
        </is>
      </c>
      <c r="AH17">
        <f>IF(AB17="淨利",IF(AF17&gt;0,"通過（淨利）","不通過"),IF(AE17&lt;0,"不通過","通過（現金流）"))</f>
        <v/>
      </c>
      <c r="AI17">
        <f>IF(S17="未上市","未上市",IF(AND(AH17="不通過",OR(S17="強力買進",S17="買進",S17="未估值")),"收支不足",S17))</f>
        <v/>
      </c>
      <c r="AJ17" s="4" t="inlineStr">
        <is>
          <t>0%～−25%</t>
        </is>
      </c>
      <c r="AK17" s="1" t="inlineStr">
        <is>
          <t>上檔空間 alphabet/dist/20261027_Alphabet個股模型_v0.3.xlsx Val!B11；投資建議 alphabet/dist/20261027_Alphabet個股模型_v0.3.xlsx Val!B14；級距 alphabet/dist/20261027_Alphabet個股模型_v0.3.xlsx Val!B13</t>
        </is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t="inlineStr">
        <is>
          <t>加權目標價（DCF 50%＋分部加總 50%）</t>
        </is>
      </c>
      <c r="F18" s="4" t="n">
        <v>73.2244042213954</v>
      </c>
      <c r="G18" t="inlineStr">
        <is>
          <t>oracle/dist/20261027_Oracle個股模型_v0.4.xlsx Val!C74</t>
        </is>
      </c>
      <c r="J18" s="4" t="n">
        <v>17.1600249327927</v>
      </c>
      <c r="K18" t="inlineStr">
        <is>
          <t>oracle/dist/20261027_Oracle個股模型_v0.4.xlsx Val!E30</t>
        </is>
      </c>
      <c r="N18">
        <f>價格!H18</f>
        <v/>
      </c>
      <c r="O18">
        <f>MIN(F18,H18)</f>
        <v/>
      </c>
      <c r="P18">
        <f>MIN(J18,L18)</f>
        <v/>
      </c>
      <c r="Q18" s="4" t="n">
        <v>-0.419130539255946</v>
      </c>
      <c r="R18">
        <f>P18/N18-1</f>
        <v/>
      </c>
      <c r="S18" s="4" t="inlineStr">
        <is>
          <t>放空</t>
        </is>
      </c>
      <c r="W18" s="1" t="inlineStr">
        <is>
          <t>DCF 目標價 41.7（Val!C72）；Comparable 目標價 104.7（Val!C73）；市場共識目標價 237.4（Val!C76，外部、僅供對照）；價格帶 C～A 情境 DCF 17.2～57.1</t>
        </is>
      </c>
      <c r="Z18">
        <f>IF(ISNUMBER(價格!C18),價格!H18/價格!C18-1,"")</f>
        <v/>
      </c>
      <c r="AA18">
        <f>IF(Z18="","",IF(ABS(Z18)&gt;0.2,"模型尚未反映期間變化",""))</f>
        <v/>
      </c>
      <c r="AB18" t="inlineStr">
        <is>
          <t>現金流</t>
        </is>
      </c>
      <c r="AC18" t="inlineStr">
        <is>
          <t>自由現金流扣股利五年合計（基準情境 B；A 111.1、C 8.4）</t>
        </is>
      </c>
      <c r="AD18" t="inlineStr">
        <is>
          <t>情境 B 五年合計 72.8</t>
        </is>
      </c>
      <c r="AE18" s="4" t="n">
        <v>72.7635612856036</v>
      </c>
      <c r="AF18" s="4" t="n">
        <v>72.7635612856036</v>
      </c>
      <c r="AG18" t="inlineStr">
        <is>
          <t>[Derived] oracle/dist/20261027_Oracle個股模型_v0.4.xlsx CF!D4…CF!D4</t>
        </is>
      </c>
      <c r="AH18">
        <f>IF(AB18="淨利",IF(AF18&gt;0,"通過（淨利）","不通過"),IF(AE18&lt;0,"不通過","通過（現金流）"))</f>
        <v/>
      </c>
      <c r="AI18">
        <f>IF(S18="未上市","未上市",IF(AND(AH18="不通過",OR(S18="強力買進",S18="買進",S18="未估值")),"收支不足",S18))</f>
        <v/>
      </c>
      <c r="AJ18" s="4" t="inlineStr">
        <is>
          <t>−25%～−50%</t>
        </is>
      </c>
      <c r="AK18" s="1" t="inlineStr">
        <is>
          <t>上檔空間 oracle/dist/20261027_Oracle個股模型_v0.4.xlsx Val!C77；投資建議 oracle/dist/20261027_Oracle個股模型_v0.4.xlsx Val!C80；級距 oracle/dist/20261027_Oracle個股模型_v0.4.xlsx Val!C79</t>
        </is>
      </c>
    </row>
    <row r="19">
      <c r="A19" t="inlineStr">
        <is>
          <t>CRWV</t>
        </is>
      </c>
      <c r="B19" t="inlineStr">
        <is>
          <t>CoreWeave</t>
        </is>
      </c>
      <c r="C19">
        <f>價值鏈!A4</f>
        <v/>
      </c>
      <c r="D19" t="inlineStr">
        <is>
          <t>Neocloud（GPU 租賃）</t>
        </is>
      </c>
      <c r="E19" t="inlineStr">
        <is>
          <t>模型加權目標價</t>
        </is>
      </c>
      <c r="F19" s="4" t="n">
        <v>31.9865189051237</v>
      </c>
      <c r="G19" t="inlineStr">
        <is>
          <t>coreweave/dist/20261021_CoreWeave收支模型_v4_12.xlsx 摘要!C7</t>
        </is>
      </c>
      <c r="J19" s="4" t="n">
        <v>31.9865189051237</v>
      </c>
      <c r="K19" t="inlineStr">
        <is>
          <t>coreweave/dist/20261021_CoreWeave收支模型_v4_12.xlsx 摘要!C7</t>
        </is>
      </c>
      <c r="L19" s="4" t="n">
        <v>14.7158090153289</v>
      </c>
      <c r="M19" t="inlineStr">
        <is>
          <t>coreweave/dist/20261021_CoreWeave收支模型_v4_12.xlsx 摘要!C10</t>
        </is>
      </c>
      <c r="N19">
        <f>價格!H19</f>
        <v/>
      </c>
      <c r="O19">
        <f>MIN(F19,H19)</f>
        <v/>
      </c>
      <c r="P19">
        <f>MIN(J19,L19)</f>
        <v/>
      </c>
      <c r="Q19">
        <f>O19/N19-1</f>
        <v/>
      </c>
      <c r="R19">
        <f>P19/N19-1</f>
        <v/>
      </c>
      <c r="S19">
        <f>IF(Q19&gt;0.5,"強力買進",IF(Q19&gt;0.25,"買進",IF(Q19&gt;=-0.25,"中立",IF(Q19&gt;=-0.5,"放空","強力放空"))))</f>
        <v/>
      </c>
      <c r="W19" s="1" t="inlineStr">
        <is>
          <t>模型點位 $32.0（模型日現價 $90.13）；情境區間 $14.7–$42.7，方法區間 $19.7–$32.0</t>
        </is>
      </c>
      <c r="Z19">
        <f>IF(ISNUMBER(價格!C19),價格!H19/價格!C19-1,"")</f>
        <v/>
      </c>
      <c r="AA19">
        <f>IF(Z19="","",IF(ABS(Z19)&gt;0.2,"模型尚未反映期間變化",""))</f>
        <v/>
      </c>
      <c r="AB19" t="inlineStr">
        <is>
          <t>現金流</t>
        </is>
      </c>
      <c r="AC19" t="inlineStr">
        <is>
          <t>營運缺口（不含融資、不含還本；無股利與回購）</t>
        </is>
      </c>
      <c r="AD19" t="inlineStr">
        <is>
          <t>FY26 -28.0、FY27 -30.4、FY28 -17.6、FY29 -13.4、FY30 -16.3</t>
        </is>
      </c>
      <c r="AE19" s="4" t="n">
        <v>-105.7055627525181</v>
      </c>
      <c r="AF19" s="4" t="n">
        <v>-30.399857894978</v>
      </c>
      <c r="AG19" t="inlineStr">
        <is>
          <t>[Derived] coreweave/dist/20261021_CoreWeave收支模型_v4_12.xlsx 各期收支!C39…各期收支!G39</t>
        </is>
      </c>
      <c r="AH19">
        <f>IF(AB19="淨利",IF(AF19&gt;0,"通過（淨利）","不通過"),IF(AE19&lt;0,"不通過","通過（現金流）"))</f>
        <v/>
      </c>
      <c r="AI19">
        <f>IF(S19="未上市","未上市",IF(AND(AH19="不通過",OR(S19="強力買進",S19="買進",S19="未估值")),"收支不足",S19))</f>
        <v/>
      </c>
      <c r="AJ19">
        <f>IF(Q19&gt;0.5,"大於 50%",IF(Q19&gt;0.25,"25%–50%",IF(Q19&gt;=0,"0%–25%",IF(Q19&gt;=-0.25,"0%～−25%",IF(Q19&gt;=-0.5,"−25%～−50%","小於 −50%")))))</f>
        <v/>
      </c>
      <c r="AK19" t="inlineStr">
        <is>
          <t>上檔空間＝模型加權目標價 coreweave/dist/20261021_CoreWeave收支模型_v4_12.xlsx 摘要!C7 ÷ 外部收盤價 − 1，依本地圖五級規則自算（模型自身評等以模型日價計、級距不同，不採用；原值見模型摘要頁）</t>
        </is>
      </c>
    </row>
    <row r="20">
      <c r="A20" t="inlineStr">
        <is>
          <t>NBIS</t>
        </is>
      </c>
      <c r="B20" t="inlineStr">
        <is>
          <t>Nebius</t>
        </is>
      </c>
      <c r="C20">
        <f>價值鏈!A4</f>
        <v/>
      </c>
      <c r="D20" t="inlineStr">
        <is>
          <t>Neocloud（GPU 租賃）</t>
        </is>
      </c>
      <c r="E20" t="inlineStr">
        <is>
          <t>模型加權目標價</t>
        </is>
      </c>
      <c r="F20" s="4" t="n">
        <v>21.3792054477074</v>
      </c>
      <c r="G20" t="inlineStr">
        <is>
          <t>nebius/dist/20261022_Nebius收支模型_v0_5_1.xlsx 摘要!C7</t>
        </is>
      </c>
      <c r="J20" s="4" t="n">
        <v>21.3792054477074</v>
      </c>
      <c r="K20" t="inlineStr">
        <is>
          <t>nebius/dist/20261022_Nebius收支模型_v0_5_1.xlsx 摘要!C7</t>
        </is>
      </c>
      <c r="L20" s="4" t="n">
        <v>19.431647062533</v>
      </c>
      <c r="M20" t="inlineStr">
        <is>
          <t>nebius/dist/20261022_Nebius收支模型_v0_5_1.xlsx 摘要!C10</t>
        </is>
      </c>
      <c r="N20">
        <f>價格!H20</f>
        <v/>
      </c>
      <c r="O20">
        <f>MIN(F20,H20)</f>
        <v/>
      </c>
      <c r="P20">
        <f>MIN(J20,L20)</f>
        <v/>
      </c>
      <c r="Q20">
        <f>O20/N20-1</f>
        <v/>
      </c>
      <c r="R20">
        <f>P20/N20-1</f>
        <v/>
      </c>
      <c r="S20">
        <f>IF(Q20&gt;0.5,"強力買進",IF(Q20&gt;0.25,"買進",IF(Q20&gt;=-0.25,"中立",IF(Q20&gt;=-0.5,"放空","強力放空"))))</f>
        <v/>
      </c>
      <c r="W20" s="1" t="inlineStr">
        <is>
          <t>模型點位 $21.4（模型日現價 $249.87）；情境區間 $19.4–$29.5，方法區間 $12.5–$21.4</t>
        </is>
      </c>
      <c r="Z20">
        <f>IF(ISNUMBER(價格!C20),價格!H20/價格!C20-1,"")</f>
        <v/>
      </c>
      <c r="AA20">
        <f>IF(Z20="","",IF(ABS(Z20)&gt;0.2,"模型尚未反映期間變化",""))</f>
        <v/>
      </c>
      <c r="AB20" t="inlineStr">
        <is>
          <t>現金流</t>
        </is>
      </c>
      <c r="AC20" t="inlineStr">
        <is>
          <t>營運缺口（不含融資、不含還本；無股利與回購）</t>
        </is>
      </c>
      <c r="AD20" t="inlineStr">
        <is>
          <t>FY26 -15.1、FY27 -17.9、FY28 -18.2、FY29 -17.2、FY30 -25.5</t>
        </is>
      </c>
      <c r="AE20" s="4" t="n">
        <v>-94.001644749039</v>
      </c>
      <c r="AF20" s="4" t="n">
        <v>-25.5402170366338</v>
      </c>
      <c r="AG20" t="inlineStr">
        <is>
          <t>[Derived] nebius/dist/20261022_Nebius收支模型_v0_5_1.xlsx 各期收支!C45…各期收支!G45</t>
        </is>
      </c>
      <c r="AH20">
        <f>IF(AB20="淨利",IF(AF20&gt;0,"通過（淨利）","不通過"),IF(AE20&lt;0,"不通過","通過（現金流）"))</f>
        <v/>
      </c>
      <c r="AI20">
        <f>IF(S20="未上市","未上市",IF(AND(AH20="不通過",OR(S20="強力買進",S20="買進",S20="未估值")),"收支不足",S20))</f>
        <v/>
      </c>
      <c r="AJ20">
        <f>IF(Q20&gt;0.5,"大於 50%",IF(Q20&gt;0.25,"25%–50%",IF(Q20&gt;=0,"0%–25%",IF(Q20&gt;=-0.25,"0%～−25%",IF(Q20&gt;=-0.5,"−25%～−50%","小於 −50%")))))</f>
        <v/>
      </c>
      <c r="AK20" t="inlineStr">
        <is>
          <t>上檔空間＝模型加權目標價 nebius/dist/20261022_Nebius收支模型_v0_5_1.xlsx 摘要!C7 ÷ 外部收盤價 − 1，依本地圖五級規則自算（模型自身評等以模型日價計、級距不同，不採用；原值見模型摘要頁）</t>
        </is>
      </c>
    </row>
    <row r="21">
      <c r="A21" t="inlineStr">
        <is>
          <t>WYFI</t>
        </is>
      </c>
      <c r="B21" t="inlineStr">
        <is>
          <t>WhiteFiber</t>
        </is>
      </c>
      <c r="C21">
        <f>價值鏈!A4</f>
        <v/>
      </c>
      <c r="D21" t="inlineStr">
        <is>
          <t>Neocloud（GPU 租賃）</t>
        </is>
      </c>
      <c r="E21" t="inlineStr">
        <is>
          <t>模型加權目標價</t>
        </is>
      </c>
      <c r="F21" s="4" t="n">
        <v>15.2481184884189</v>
      </c>
      <c r="G21" t="inlineStr">
        <is>
          <t>whitefiber/dist/20261022_WhiteFiber收支模型_v0_2.xlsx 摘要!C7</t>
        </is>
      </c>
      <c r="J21" s="4" t="n">
        <v>15.2481184884189</v>
      </c>
      <c r="K21" t="inlineStr">
        <is>
          <t>whitefiber/dist/20261022_WhiteFiber收支模型_v0_2.xlsx 摘要!C7</t>
        </is>
      </c>
      <c r="L21" s="4" t="n">
        <v>11.4795061690524</v>
      </c>
      <c r="M21" t="inlineStr">
        <is>
          <t>whitefiber/dist/20261022_WhiteFiber收支模型_v0_2.xlsx 摘要!C10</t>
        </is>
      </c>
      <c r="N21">
        <f>價格!H21</f>
        <v/>
      </c>
      <c r="O21">
        <f>MIN(F21,H21)</f>
        <v/>
      </c>
      <c r="P21">
        <f>MIN(J21,L21)</f>
        <v/>
      </c>
      <c r="Q21">
        <f>O21/N21-1</f>
        <v/>
      </c>
      <c r="R21">
        <f>P21/N21-1</f>
        <v/>
      </c>
      <c r="S21">
        <f>IF(Q21&gt;0.5,"強力買進",IF(Q21&gt;0.25,"買進",IF(Q21&gt;=-0.25,"中立",IF(Q21&gt;=-0.5,"放空","強力放空"))))</f>
        <v/>
      </c>
      <c r="W21" s="1" t="inlineStr">
        <is>
          <t>模型點位 $15.2（模型日現價 $16.83）；情境區間 $11.5–$25.4，方法區間 $15.1–$15.2</t>
        </is>
      </c>
      <c r="Z21">
        <f>IF(ISNUMBER(價格!C21),價格!H21/價格!C21-1,"")</f>
        <v/>
      </c>
      <c r="AA21">
        <f>IF(Z21="","",IF(ABS(Z21)&gt;0.2,"模型尚未反映期間變化",""))</f>
        <v/>
      </c>
      <c r="AB21" t="inlineStr">
        <is>
          <t>現金流</t>
        </is>
      </c>
      <c r="AC21" t="inlineStr">
        <is>
          <t>營運缺口＋股利</t>
        </is>
      </c>
      <c r="AD21" t="inlineStr">
        <is>
          <t>FY26 -371.1、FY27 -383.6、FY28 -40.7、FY29 -1.9、FY30 -22.2</t>
        </is>
      </c>
      <c r="AE21" s="4" t="n">
        <v>-819.4510890267885</v>
      </c>
      <c r="AF21" s="4" t="n">
        <v>-383.618038613095</v>
      </c>
      <c r="AG21" t="inlineStr">
        <is>
          <t>[Derived] whitefiber/dist/20261022_WhiteFiber收支模型_v0_2.xlsx 各期收支!C52＋C24…各期收支!G52＋G24</t>
        </is>
      </c>
      <c r="AH21">
        <f>IF(AB21="淨利",IF(AF21&gt;0,"通過（淨利）","不通過"),IF(AE21&lt;0,"不通過","通過（現金流）"))</f>
        <v/>
      </c>
      <c r="AI21">
        <f>IF(S21="未上市","未上市",IF(AND(AH21="不通過",OR(S21="強力買進",S21="買進",S21="未估值")),"收支不足",S21))</f>
        <v/>
      </c>
      <c r="AJ21">
        <f>IF(Q21&gt;0.5,"大於 50%",IF(Q21&gt;0.25,"25%–50%",IF(Q21&gt;=0,"0%–25%",IF(Q21&gt;=-0.25,"0%～−25%",IF(Q21&gt;=-0.5,"−25%～−50%","小於 −50%")))))</f>
        <v/>
      </c>
      <c r="AK21" t="inlineStr">
        <is>
          <t>上檔空間＝模型加權目標價 whitefiber/dist/20261022_WhiteFiber收支模型_v0_2.xlsx 摘要!C7 ÷ 外部收盤價 − 1，依本地圖五級規則自算（模型自身評等以模型日價計、級距不同，不採用；原值見模型摘要頁）</t>
        </is>
      </c>
    </row>
    <row r="22">
      <c r="A22" t="inlineStr">
        <is>
          <t>00100</t>
        </is>
      </c>
      <c r="B22" t="inlineStr">
        <is>
          <t>MiniMax</t>
        </is>
      </c>
      <c r="C22">
        <f>價值鏈!A2</f>
        <v/>
      </c>
      <c r="D22" t="inlineStr">
        <is>
          <t>AI 模型商</t>
        </is>
      </c>
      <c r="E22" t="inlineStr">
        <is>
          <t>反向檢驗：折現價值 ÷ 市值</t>
        </is>
      </c>
      <c r="F22">
        <f>X22*價格!C22</f>
        <v/>
      </c>
      <c r="G22" t="inlineStr">
        <is>
          <t>minimax/dist/20261022_MiniMax收支模型_v0_2.xlsx Valuation!I21 × 模型現價</t>
        </is>
      </c>
      <c r="J22">
        <f>X22*價格!C22</f>
        <v/>
      </c>
      <c r="K22" t="inlineStr">
        <is>
          <t>同中心（模型只有一個情境）</t>
        </is>
      </c>
      <c r="N22">
        <f>價格!H22</f>
        <v/>
      </c>
      <c r="O22">
        <f>MIN(F22,H22)</f>
        <v/>
      </c>
      <c r="P22">
        <f>MIN(J22,L22)</f>
        <v/>
      </c>
      <c r="Q22">
        <f>O22/N22-1</f>
        <v/>
      </c>
      <c r="R22">
        <f>P22/N22-1</f>
        <v/>
      </c>
      <c r="S22">
        <f>IF(Q22&gt;0.5,"強力買進",IF(Q22&gt;0.25,"買進",IF(Q22&gt;=-0.25,"中立",IF(Q22&gt;=-0.5,"放空","強力放空"))))</f>
        <v/>
      </c>
      <c r="W22" s="1" t="inlineStr"/>
      <c r="X22" s="4" t="n">
        <v>0.881971351573187</v>
      </c>
      <c r="Z22">
        <f>IF(ISNUMBER(價格!C22),價格!H22/價格!C22-1,"")</f>
        <v/>
      </c>
      <c r="AA22">
        <f>IF(Z22="","",IF(ABS(Z22)&gt;0.2,"模型尚未反映期間變化",""))</f>
        <v/>
      </c>
      <c r="AB22" t="inlineStr">
        <is>
          <t>現金流</t>
        </is>
      </c>
      <c r="AC22" t="inlineStr">
        <is>
          <t>F06 營運燒錢（經調整淨利）＋F07 算力預付與自建資本支出</t>
        </is>
      </c>
      <c r="AD22" t="inlineStr">
        <is>
          <t>FY2026 -900.3、FY2027 -826.5、FY2028 -1,129.9、FY2029 -1,433.3、FY2030 -1,693.3</t>
        </is>
      </c>
      <c r="AE22" s="4" t="n">
        <v>-5983.185548552452</v>
      </c>
      <c r="AF22" s="4" t="n">
        <v>-1693.27864140096</v>
      </c>
      <c r="AG22" t="inlineStr">
        <is>
          <t>[Derived] minimax/dist/20261022_MiniMax收支模型_v0_2.xlsx Funding!E13＋E14…Funding!I13＋I14</t>
        </is>
      </c>
      <c r="AH22">
        <f>IF(AB22="淨利",IF(AF22&gt;0,"通過（淨利）","不通過"),IF(AE22&lt;0,"不通過","通過（現金流）"))</f>
        <v/>
      </c>
      <c r="AI22">
        <f>IF(S22="未上市","未上市",IF(AND(AH22="不通過",OR(S22="強力買進",S22="買進",S22="未估值")),"收支不足",S22))</f>
        <v/>
      </c>
      <c r="AJ22">
        <f>IF(Q22&gt;0.5,"大於 50%",IF(Q22&gt;0.25,"25%–50%",IF(Q22&gt;=0,"0%–25%",IF(Q22&gt;=-0.25,"0%～−25%",IF(Q22&gt;=-0.5,"−25%～−50%","小於 −50%")))))</f>
        <v/>
      </c>
      <c r="AK22" t="inlineStr">
        <is>
          <t>模型無評等；依 AI半導體 固定規則自算</t>
        </is>
      </c>
    </row>
    <row r="23">
      <c r="A23" t="inlineStr">
        <is>
          <t>02513</t>
        </is>
      </c>
      <c r="B23" t="inlineStr">
        <is>
          <t>智譜</t>
        </is>
      </c>
      <c r="C23">
        <f>價值鏈!A2</f>
        <v/>
      </c>
      <c r="D23" t="inlineStr">
        <is>
          <t>AI 模型商</t>
        </is>
      </c>
      <c r="E23" t="inlineStr">
        <is>
          <t>未估值（反向模式）</t>
        </is>
      </c>
      <c r="N23">
        <f>價格!H23</f>
        <v/>
      </c>
      <c r="S23" t="inlineStr">
        <is>
          <t>未估值</t>
        </is>
      </c>
      <c r="W23" s="1" t="inlineStr">
        <is>
          <t>模型未出隱含價；2028 年共識營收需為正向推估的 2.47 倍（最低共識 1.91 倍；zhipu/dist/20261022_智譜收支模型_v0_1_1.xlsx Reverse!G30）</t>
        </is>
      </c>
      <c r="Z23">
        <f>IF(ISNUMBER(價格!C23),價格!H23/價格!C23-1,"")</f>
        <v/>
      </c>
      <c r="AA23">
        <f>IF(Z23="","",IF(ABS(Z23)&gt;0.2,"模型尚未反映期間變化",""))</f>
        <v/>
      </c>
      <c r="AB23" t="inlineStr">
        <is>
          <t>現金流</t>
        </is>
      </c>
      <c r="AC23" t="inlineStr">
        <is>
          <t>F09 自由現金流</t>
        </is>
      </c>
      <c r="AD23" t="inlineStr">
        <is>
          <t>2026 -41.3、2027 -40.9、2028 -40.5、2029 -59.4、2030 -99.1</t>
        </is>
      </c>
      <c r="AE23" s="4" t="n">
        <v>-281.188184190984</v>
      </c>
      <c r="AF23" s="4" t="n">
        <v>-99.0538108419448</v>
      </c>
      <c r="AG23" t="inlineStr">
        <is>
          <t>[Derived] zhipu/dist/20261022_智譜收支模型_v0_1_1.xlsx Funding!E16…Funding!I16</t>
        </is>
      </c>
      <c r="AH23">
        <f>IF(AB23="淨利",IF(AF23&gt;0,"通過（淨利）","不通過"),IF(AE23&lt;0,"不通過","通過（現金流）"))</f>
        <v/>
      </c>
      <c r="AI23">
        <f>IF(S23="未上市","未上市",IF(AND(AH23="不通過",OR(S23="強力買進",S23="買進",S23="未估值")),"收支不足",S23))</f>
        <v/>
      </c>
    </row>
    <row r="24">
      <c r="A24" t="inlineStr">
        <is>
          <t>OpenAI</t>
        </is>
      </c>
      <c r="B24" t="inlineStr">
        <is>
          <t>OpenAI</t>
        </is>
      </c>
      <c r="C24">
        <f>價值鏈!A2</f>
        <v/>
      </c>
      <c r="D24" t="inlineStr">
        <is>
          <t>AI 模型商</t>
        </is>
      </c>
      <c r="E24" t="inlineStr">
        <is>
          <t>未上市</t>
        </is>
      </c>
      <c r="N24">
        <f>價格!H24</f>
        <v/>
      </c>
      <c r="S24" t="inlineStr">
        <is>
          <t>未上市</t>
        </is>
      </c>
      <c r="W24" s="1" t="inlineStr">
        <is>
          <t>未上市：不評估可投資性；收支關卡結果只作參考。</t>
        </is>
      </c>
      <c r="Z24">
        <f>IF(ISNUMBER(價格!C24),價格!H24/價格!C24-1,"")</f>
        <v/>
      </c>
      <c r="AA24">
        <f>IF(Z24="","",IF(ABS(Z24)&gt;0.2,"模型尚未反映期間變化",""))</f>
        <v/>
      </c>
      <c r="AB24" t="inlineStr">
        <is>
          <t>現金流</t>
        </is>
      </c>
      <c r="AC24" t="inlineStr">
        <is>
          <t>F06 自由現金流</t>
        </is>
      </c>
      <c r="AD24" t="inlineStr">
        <is>
          <t>2026 -39.4、2027 -116.0、2028 -134.9、2029 -137.6、2030 -131.9</t>
        </is>
      </c>
      <c r="AE24" s="4" t="n">
        <v>-559.844811653528</v>
      </c>
      <c r="AF24" s="4" t="n">
        <v>-137.624622192723</v>
      </c>
      <c r="AG24" t="inlineStr">
        <is>
          <t>[Derived] openai/dist/20261025_OpenAI收支模型_v0_6_3.xlsx Funding!E13…Funding!I13</t>
        </is>
      </c>
      <c r="AH24">
        <f>IF(AB24="淨利",IF(AF24&gt;0,"通過（淨利）","不通過"),IF(AE24&lt;0,"不通過","通過（現金流）"))</f>
        <v/>
      </c>
      <c r="AI24">
        <f>IF(S24="未上市","未上市",IF(AND(AH24="不通過",OR(S24="強力買進",S24="買進",S24="未估值")),"收支不足",S24))</f>
        <v/>
      </c>
    </row>
    <row r="25">
      <c r="A25" t="inlineStr">
        <is>
          <t>Anthropic</t>
        </is>
      </c>
      <c r="B25" t="inlineStr">
        <is>
          <t>Anthropic</t>
        </is>
      </c>
      <c r="C25">
        <f>價值鏈!A2</f>
        <v/>
      </c>
      <c r="D25" t="inlineStr">
        <is>
          <t>AI 模型商</t>
        </is>
      </c>
      <c r="E25" t="inlineStr">
        <is>
          <t>未上市</t>
        </is>
      </c>
      <c r="N25">
        <f>價格!H25</f>
        <v/>
      </c>
      <c r="S25" t="inlineStr">
        <is>
          <t>未上市</t>
        </is>
      </c>
      <c r="W25" s="1" t="inlineStr">
        <is>
          <t>未上市：不評估可投資性；收支關卡結果只作參考。</t>
        </is>
      </c>
      <c r="Z25">
        <f>IF(ISNUMBER(價格!C25),價格!H25/價格!C25-1,"")</f>
        <v/>
      </c>
      <c r="AA25">
        <f>IF(Z25="","",IF(ABS(Z25)&gt;0.2,"模型尚未反映期間變化",""))</f>
        <v/>
      </c>
      <c r="AB25" t="inlineStr">
        <is>
          <t>現金流</t>
        </is>
      </c>
      <c r="AC25" t="inlineStr">
        <is>
          <t>F07 自由現金流</t>
        </is>
      </c>
      <c r="AD25" t="inlineStr">
        <is>
          <t>2026 -2.6、2027 -18.5、2028 -15.0、2029 47.6、2030 96.1</t>
        </is>
      </c>
      <c r="AE25" s="4" t="n">
        <v>107.6782012460332</v>
      </c>
      <c r="AF25" s="4" t="n">
        <v>-18.5037194506051</v>
      </c>
      <c r="AG25" t="inlineStr">
        <is>
          <t>[Derived] anthropic/dist/20261024_Anthropic收支模型_v0_1_5.xlsx Funding!E14…Funding!I14</t>
        </is>
      </c>
      <c r="AH25">
        <f>IF(AB25="淨利",IF(AF25&gt;0,"通過（淨利）","不通過"),IF(AE25&lt;0,"不通過","通過（現金流）"))</f>
        <v/>
      </c>
      <c r="AI25">
        <f>IF(S25="未上市","未上市",IF(AND(AH25="不通過",OR(S25="強力買進",S25="買進",S25="未估值")),"收支不足",S25))</f>
        <v/>
      </c>
    </row>
    <row r="26">
      <c r="A26" t="inlineStr">
        <is>
          <t>AMD</t>
        </is>
      </c>
      <c r="B26" t="inlineStr">
        <is>
          <t>AMD</t>
        </is>
      </c>
      <c r="C26">
        <f>價值鏈!A5</f>
        <v/>
      </c>
      <c r="D26" t="inlineStr">
        <is>
          <t>運算</t>
        </is>
      </c>
      <c r="E26" t="inlineStr">
        <is>
          <t>加權目標價（DCF 50%＋Comparable 50%）</t>
        </is>
      </c>
      <c r="F26" s="4" t="n">
        <v>177.104004476736</v>
      </c>
      <c r="G26" t="inlineStr">
        <is>
          <t>amd/dist/20261025_AMD模型_v0.2.2.xlsx Val!B40</t>
        </is>
      </c>
      <c r="J26" s="4" t="n">
        <v>120.521244989712</v>
      </c>
      <c r="K26" t="inlineStr">
        <is>
          <t>amd/dist/20261025_AMD模型_v0.2.2.xlsx Val!B47</t>
        </is>
      </c>
      <c r="N26">
        <f>價格!H26</f>
        <v/>
      </c>
      <c r="O26">
        <f>MIN(F26,H26)</f>
        <v/>
      </c>
      <c r="P26">
        <f>MIN(J26,L26)</f>
        <v/>
      </c>
      <c r="Q26" s="4" t="n">
        <v>-0.657299861690947</v>
      </c>
      <c r="R26">
        <f>P26/N26-1</f>
        <v/>
      </c>
      <c r="S26" s="4" t="inlineStr">
        <is>
          <t>強力放空</t>
        </is>
      </c>
      <c r="T26">
        <f>471.572606000429/N26-1</f>
        <v/>
      </c>
      <c r="U26" t="inlineStr">
        <is>
          <t>舊法：規則值情境加權價（參考，Val!B57）</t>
        </is>
      </c>
      <c r="V26" t="inlineStr">
        <is>
          <t>45.4 ／ 46.5 ／ 52.3</t>
        </is>
      </c>
      <c r="W26" s="1" t="inlineStr">
        <is>
          <t>DCF 目標價 152.1（Val!B23）；Comparable 目標價 202.1（Val!B41）；市場共識目標價 637.6（Val!B42，外部、僅供對照）；價格帶 C～A 情境 DCF 120.5～168.7</t>
        </is>
      </c>
      <c r="Z26">
        <f>IF(ISNUMBER(價格!C26),價格!H26/價格!C26-1,"")</f>
        <v/>
      </c>
      <c r="AA26">
        <f>IF(Z26="","",IF(ABS(Z26)&gt;0.2,"模型尚未反映期間變化",""))</f>
        <v/>
      </c>
      <c r="AB26" t="inlineStr">
        <is>
          <t>淨利</t>
        </is>
      </c>
      <c r="AC26" t="inlineStr">
        <is>
          <t>PL 頁各情境模型年度淨利（不含實績）</t>
        </is>
      </c>
      <c r="AD26" t="inlineStr">
        <is>
          <t>8 個情境年度淨利（不含實績），全部為正</t>
        </is>
      </c>
      <c r="AE26" s="4" t="n">
        <v>150.2972904543469</v>
      </c>
      <c r="AF26" s="4" t="n">
        <v>12.11686349532</v>
      </c>
      <c r="AG26" t="inlineStr">
        <is>
          <t>[Derived] amd/dist/20261025_AMD模型_v0.2.2.xlsx PL!D15…PL!G47</t>
        </is>
      </c>
      <c r="AH26">
        <f>IF(AB26="淨利",IF(AF26&gt;0,"通過（淨利）","不通過"),IF(AE26&lt;0,"不通過","通過（現金流）"))</f>
        <v/>
      </c>
      <c r="AI26">
        <f>IF(S26="未上市","未上市",IF(AND(AH26="不通過",OR(S26="強力買進",S26="買進",S26="未估值")),"收支不足",S26))</f>
        <v/>
      </c>
      <c r="AJ26" s="4" t="inlineStr">
        <is>
          <t>小於 −50%</t>
        </is>
      </c>
      <c r="AK26" s="1" t="inlineStr">
        <is>
          <t>上檔空間 amd/dist/20261025_AMD模型_v0.2.2.xlsx Val!B43；投資建議 amd/dist/20261025_AMD模型_v0.2.2.xlsx Val!B177；級距 amd/dist/20261025_AMD模型_v0.2.2.xlsx Val!B176</t>
        </is>
      </c>
    </row>
    <row r="27">
      <c r="A27" t="inlineStr">
        <is>
          <t>2454</t>
        </is>
      </c>
      <c r="B27" t="inlineStr">
        <is>
          <t>聯發科</t>
        </is>
      </c>
      <c r="C27">
        <f>價值鏈!A5</f>
        <v/>
      </c>
      <c r="D27" t="inlineStr">
        <is>
          <t>運算</t>
        </is>
      </c>
      <c r="E27" t="inlineStr">
        <is>
          <t>加權目標價（DCF 50%＋Comparable 50%）</t>
        </is>
      </c>
      <c r="F27" s="4" t="n">
        <v>2056.72998586345</v>
      </c>
      <c r="G27" t="inlineStr">
        <is>
          <t>mediatek/dist/20261025_聯發科模型_v0.1.1.xlsx Val!B39</t>
        </is>
      </c>
      <c r="J27" s="4" t="n">
        <v>1011.80776357573</v>
      </c>
      <c r="K27" t="inlineStr">
        <is>
          <t>mediatek/dist/20261025_聯發科模型_v0.1.1.xlsx Val!D23</t>
        </is>
      </c>
      <c r="N27">
        <f>價格!H27</f>
        <v/>
      </c>
      <c r="O27">
        <f>MIN(F27,H27)</f>
        <v/>
      </c>
      <c r="P27">
        <f>MIN(J27,L27)</f>
        <v/>
      </c>
      <c r="Q27" s="4" t="n">
        <v>-0.487099754148765</v>
      </c>
      <c r="R27">
        <f>P27/N27-1</f>
        <v/>
      </c>
      <c r="S27" s="4" t="inlineStr">
        <is>
          <t>放空</t>
        </is>
      </c>
      <c r="V27" t="inlineStr">
        <is>
          <t>26.9 ／ 33.6 ／ 47.0</t>
        </is>
      </c>
      <c r="W27" s="1" t="inlineStr">
        <is>
          <t>DCF 目標價 1,845.6（Val!B24）；Comparable 目標價 2,267.9（Val!B40）；市場共識目標價 6,067.0（Val!B41，外部、僅供對照）；價格帶 C～A 情境 DCF 1,011.8～2,466.1</t>
        </is>
      </c>
      <c r="Z27">
        <f>IF(ISNUMBER(價格!C27),價格!H27/價格!C27-1,"")</f>
        <v/>
      </c>
      <c r="AA27">
        <f>IF(Z27="","",IF(ABS(Z27)&gt;0.2,"模型尚未反映期間變化",""))</f>
        <v/>
      </c>
      <c r="AB27" t="inlineStr">
        <is>
          <t>淨利</t>
        </is>
      </c>
      <c r="AC27" t="inlineStr">
        <is>
          <t>PL 頁各情境模型年度淨利（不含實績）</t>
        </is>
      </c>
      <c r="AD27" t="inlineStr">
        <is>
          <t>19 個情境年度淨利（不含實績），全部為正</t>
        </is>
      </c>
      <c r="AE27" s="4" t="n">
        <v>3774.280334375853</v>
      </c>
      <c r="AF27" s="4" t="n">
        <v>116.644935348433</v>
      </c>
      <c r="AG27" t="inlineStr">
        <is>
          <t>[Derived] mediatek/dist/20261025_聯發科模型_v0.1.1.xlsx PL!D13…PL!J41</t>
        </is>
      </c>
      <c r="AH27">
        <f>IF(AB27="淨利",IF(AF27&gt;0,"通過（淨利）","不通過"),IF(AE27&lt;0,"不通過","通過（現金流）"))</f>
        <v/>
      </c>
      <c r="AI27">
        <f>IF(S27="未上市","未上市",IF(AND(AH27="不通過",OR(S27="強力買進",S27="買進",S27="未估值")),"收支不足",S27))</f>
        <v/>
      </c>
      <c r="AJ27" s="4" t="inlineStr">
        <is>
          <t>−25%～−50%</t>
        </is>
      </c>
      <c r="AK27" s="1" t="inlineStr">
        <is>
          <t>上檔空間 mediatek/dist/20261025_聯發科模型_v0.1.1.xlsx Val!B42；投資建議 mediatek/dist/20261025_聯發科模型_v0.1.1.xlsx Val!B135；級距 mediatek/dist/20261025_聯發科模型_v0.1.1.xlsx Val!B134</t>
        </is>
      </c>
    </row>
    <row r="28">
      <c r="A28" t="inlineStr">
        <is>
          <t>MRVL</t>
        </is>
      </c>
      <c r="B28" t="inlineStr">
        <is>
          <t>Marvell</t>
        </is>
      </c>
      <c r="C28">
        <f>價值鏈!A5</f>
        <v/>
      </c>
      <c r="D28" t="inlineStr">
        <is>
          <t>運算</t>
        </is>
      </c>
      <c r="E28" t="inlineStr">
        <is>
          <t>加權目標價（DCF 50%＋Comparable 50%）</t>
        </is>
      </c>
      <c r="F28" s="4" t="n">
        <v>126.964605060311</v>
      </c>
      <c r="G28" t="inlineStr">
        <is>
          <t>mrvl/dist/20261026_邁威爾模型_v0.2.2.xlsx Val!B40</t>
        </is>
      </c>
      <c r="J28" s="4" t="n">
        <v>71.8838596724305</v>
      </c>
      <c r="K28" t="inlineStr">
        <is>
          <t>mrvl/dist/20261026_邁威爾模型_v0.2.2.xlsx Val!B47</t>
        </is>
      </c>
      <c r="N28">
        <f>價格!H28</f>
        <v/>
      </c>
      <c r="O28">
        <f>MIN(F28,H28)</f>
        <v/>
      </c>
      <c r="P28">
        <f>MIN(J28,L28)</f>
        <v/>
      </c>
      <c r="Q28" s="4" t="n">
        <v>-0.44438053012861</v>
      </c>
      <c r="R28">
        <f>P28/N28-1</f>
        <v/>
      </c>
      <c r="S28" s="4" t="inlineStr">
        <is>
          <t>放空</t>
        </is>
      </c>
      <c r="T28">
        <f>202.512511941354/N28-1</f>
        <v/>
      </c>
      <c r="U28" t="inlineStr">
        <is>
          <t>舊法：規則值情境加權價（參考，Val!B57）</t>
        </is>
      </c>
      <c r="V28" t="inlineStr">
        <is>
          <t>35.5 ／ 35.1 ／ 34.8</t>
        </is>
      </c>
      <c r="W28" s="1" t="inlineStr">
        <is>
          <t>DCF 目標價 115.2（Val!B23）；Comparable 目標價 138.8（Val!B41）；市場共識目標價 341.4（Val!B42，外部、僅供對照）；價格帶 C～A 情境 DCF 71.9～142.6</t>
        </is>
      </c>
      <c r="Z28">
        <f>IF(ISNUMBER(價格!C28),價格!H28/價格!C28-1,"")</f>
        <v/>
      </c>
      <c r="AA28">
        <f>IF(Z28="","",IF(ABS(Z28)&gt;0.2,"模型尚未反映期間變化",""))</f>
        <v/>
      </c>
      <c r="AB28" t="inlineStr">
        <is>
          <t>淨利</t>
        </is>
      </c>
      <c r="AC28" t="inlineStr">
        <is>
          <t>PL 頁各情境模型年度淨利（不含實績）</t>
        </is>
      </c>
      <c r="AD28" t="inlineStr">
        <is>
          <t>10 個情境年度淨利（不含實績），全部為正</t>
        </is>
      </c>
      <c r="AE28" s="4" t="n">
        <v>64.19063650443796</v>
      </c>
      <c r="AF28" s="4" t="n">
        <v>3.83971098</v>
      </c>
      <c r="AG28" t="inlineStr">
        <is>
          <t>[Derived] mrvl/dist/20261026_邁威爾模型_v0.2.2.xlsx PL!D13…PL!G39</t>
        </is>
      </c>
      <c r="AH28">
        <f>IF(AB28="淨利",IF(AF28&gt;0,"通過（淨利）","不通過"),IF(AE28&lt;0,"不通過","通過（現金流）"))</f>
        <v/>
      </c>
      <c r="AI28">
        <f>IF(S28="未上市","未上市",IF(AND(AH28="不通過",OR(S28="強力買進",S28="買進",S28="未估值")),"收支不足",S28))</f>
        <v/>
      </c>
      <c r="AJ28" s="4" t="inlineStr">
        <is>
          <t>−25%～−50%</t>
        </is>
      </c>
      <c r="AK28" s="1" t="inlineStr">
        <is>
          <t>上檔空間 mrvl/dist/20261026_邁威爾模型_v0.2.2.xlsx Val!B43；投資建議 mrvl/dist/20261026_邁威爾模型_v0.2.2.xlsx Val!B151；級距 mrvl/dist/20261026_邁威爾模型_v0.2.2.xlsx Val!B150</t>
        </is>
      </c>
    </row>
    <row r="29">
      <c r="A29" t="inlineStr">
        <is>
          <t>3661</t>
        </is>
      </c>
      <c r="B29" t="inlineStr">
        <is>
          <t>世芯-KY</t>
        </is>
      </c>
      <c r="C29">
        <f>價值鏈!A5</f>
        <v/>
      </c>
      <c r="D29" t="inlineStr">
        <is>
          <t>運算</t>
        </is>
      </c>
      <c r="E29" t="inlineStr">
        <is>
          <t>加權目標價（DCF 50%＋Comparable 50%）</t>
        </is>
      </c>
      <c r="F29" s="4" t="n">
        <v>5925.8607469146</v>
      </c>
      <c r="G29" t="inlineStr">
        <is>
          <t>alchip/dist/20261025_世芯-KY模型_v0.1.1.xlsx Val!B39</t>
        </is>
      </c>
      <c r="J29" s="4" t="n">
        <v>1226.24410533878</v>
      </c>
      <c r="K29" t="inlineStr">
        <is>
          <t>alchip/dist/20261025_世芯-KY模型_v0.1.1.xlsx Val!D23</t>
        </is>
      </c>
      <c r="N29">
        <f>價格!H29</f>
        <v/>
      </c>
      <c r="O29">
        <f>MIN(F29,H29)</f>
        <v/>
      </c>
      <c r="P29">
        <f>MIN(J29,L29)</f>
        <v/>
      </c>
      <c r="Q29" s="4" t="n">
        <v>0.695525249474849</v>
      </c>
      <c r="R29">
        <f>P29/N29-1</f>
        <v/>
      </c>
      <c r="S29" s="4" t="inlineStr">
        <is>
          <t>強力買進</t>
        </is>
      </c>
      <c r="V29" t="inlineStr">
        <is>
          <t>10.3 ／ 17.8 ／ 33.8</t>
        </is>
      </c>
      <c r="W29" s="1" t="inlineStr">
        <is>
          <t>DCF 目標價 3,503.2（Val!B24）；Comparable 目標價 8,348.5（Val!B40）；市場共識目標價 5,803.2（Val!B41，外部、僅供對照）；價格帶 C～A 情境 DCF 1,226.2～5,691.2</t>
        </is>
      </c>
      <c r="Z29">
        <f>IF(ISNUMBER(價格!C29),價格!H29/價格!C29-1,"")</f>
        <v/>
      </c>
      <c r="AA29">
        <f>IF(Z29="","",IF(ABS(Z29)&gt;0.2,"模型尚未反映期間變化",""))</f>
        <v/>
      </c>
      <c r="AB29" t="inlineStr">
        <is>
          <t>淨利</t>
        </is>
      </c>
      <c r="AC29" t="inlineStr">
        <is>
          <t>PL 頁各情境模型年度淨利（不含實績）</t>
        </is>
      </c>
      <c r="AD29" t="inlineStr">
        <is>
          <t>19 個情境年度淨利（不含實績），全部為正</t>
        </is>
      </c>
      <c r="AE29" s="4" t="n">
        <v>389.366413778084</v>
      </c>
      <c r="AF29" s="4" t="n">
        <v>8.17984934367048</v>
      </c>
      <c r="AG29" t="inlineStr">
        <is>
          <t>[Derived] alchip/dist/20261025_世芯-KY模型_v0.1.1.xlsx PL!D11…PL!J35</t>
        </is>
      </c>
      <c r="AH29">
        <f>IF(AB29="淨利",IF(AF29&gt;0,"通過（淨利）","不通過"),IF(AE29&lt;0,"不通過","通過（現金流）"))</f>
        <v/>
      </c>
      <c r="AI29">
        <f>IF(S29="未上市","未上市",IF(AND(AH29="不通過",OR(S29="強力買進",S29="買進",S29="未估值")),"收支不足",S29))</f>
        <v/>
      </c>
      <c r="AJ29" s="4" t="inlineStr">
        <is>
          <t>大於 50%</t>
        </is>
      </c>
      <c r="AK29" s="1" t="inlineStr">
        <is>
          <t>上檔空間 alchip/dist/20261025_世芯-KY模型_v0.1.1.xlsx Val!B42；投資建議 alchip/dist/20261025_世芯-KY模型_v0.1.1.xlsx Val!B135；級距 alchip/dist/20261025_世芯-KY模型_v0.1.1.xlsx Val!B134</t>
        </is>
      </c>
    </row>
    <row r="30">
      <c r="A30" t="inlineStr">
        <is>
          <t>3443</t>
        </is>
      </c>
      <c r="B30" t="inlineStr">
        <is>
          <t>創意</t>
        </is>
      </c>
      <c r="C30">
        <f>價值鏈!A5</f>
        <v/>
      </c>
      <c r="D30" t="inlineStr">
        <is>
          <t>運算</t>
        </is>
      </c>
      <c r="E30" t="inlineStr">
        <is>
          <t>加權目標價（DCF 50%＋Comparable 50%）</t>
        </is>
      </c>
      <c r="F30" s="4" t="n">
        <v>2879.20410090305</v>
      </c>
      <c r="G30" t="inlineStr">
        <is>
          <t>guc/dist/20261025_創意模型_v0.1.1.xlsx Val!B39</t>
        </is>
      </c>
      <c r="J30" s="4" t="n">
        <v>662.1199432503749</v>
      </c>
      <c r="K30" t="inlineStr">
        <is>
          <t>guc/dist/20261025_創意模型_v0.1.1.xlsx Val!D23</t>
        </is>
      </c>
      <c r="N30">
        <f>價格!H30</f>
        <v/>
      </c>
      <c r="O30">
        <f>MIN(F30,H30)</f>
        <v/>
      </c>
      <c r="P30">
        <f>MIN(J30,L30)</f>
        <v/>
      </c>
      <c r="Q30" s="4" t="n">
        <v>-0.6204081607247141</v>
      </c>
      <c r="R30">
        <f>P30/N30-1</f>
        <v/>
      </c>
      <c r="S30" s="4" t="inlineStr">
        <is>
          <t>強力放空</t>
        </is>
      </c>
      <c r="V30" t="inlineStr">
        <is>
          <t>38.4 ／ 66.9 ／ 150.3</t>
        </is>
      </c>
      <c r="W30" s="1" t="inlineStr">
        <is>
          <t>DCF 目標價 2,237.7（Val!B24）；Comparable 目標價 3,520.7（Val!B40）；市場共識目標價 6,722.4（Val!B41，外部、僅供對照）；價格帶 C～A 情境 DCF 662.1～3,747.5</t>
        </is>
      </c>
      <c r="Z30">
        <f>IF(ISNUMBER(價格!C30),價格!H30/價格!C30-1,"")</f>
        <v/>
      </c>
      <c r="AA30">
        <f>IF(Z30="","",IF(ABS(Z30)&gt;0.2,"模型尚未反映期間變化",""))</f>
        <v/>
      </c>
      <c r="AB30" t="inlineStr">
        <is>
          <t>淨利</t>
        </is>
      </c>
      <c r="AC30" t="inlineStr">
        <is>
          <t>PL 頁各情境模型年度淨利（不含實績）</t>
        </is>
      </c>
      <c r="AD30" t="inlineStr">
        <is>
          <t>19 個情境年度淨利（不含實績），全部為正</t>
        </is>
      </c>
      <c r="AE30" s="4" t="n">
        <v>342.4490553861288</v>
      </c>
      <c r="AF30" s="4" t="n">
        <v>6.09163501040108</v>
      </c>
      <c r="AG30" t="inlineStr">
        <is>
          <t>[Derived] guc/dist/20261025_創意模型_v0.1.1.xlsx PL!D13…PL!J41</t>
        </is>
      </c>
      <c r="AH30">
        <f>IF(AB30="淨利",IF(AF30&gt;0,"通過（淨利）","不通過"),IF(AE30&lt;0,"不通過","通過（現金流）"))</f>
        <v/>
      </c>
      <c r="AI30">
        <f>IF(S30="未上市","未上市",IF(AND(AH30="不通過",OR(S30="強力買進",S30="買進",S30="未估值")),"收支不足",S30))</f>
        <v/>
      </c>
      <c r="AJ30" s="4" t="inlineStr">
        <is>
          <t>小於 −50%</t>
        </is>
      </c>
      <c r="AK30" s="1" t="inlineStr">
        <is>
          <t>上檔空間 guc/dist/20261025_創意模型_v0.1.1.xlsx Val!B42；投資建議 guc/dist/20261025_創意模型_v0.1.1.xlsx Val!B135；級距 guc/dist/20261025_創意模型_v0.1.1.xlsx Val!B134</t>
        </is>
      </c>
    </row>
    <row r="31">
      <c r="A31" t="inlineStr">
        <is>
          <t>285A</t>
        </is>
      </c>
      <c r="B31" t="inlineStr">
        <is>
          <t>Kioxia</t>
        </is>
      </c>
      <c r="C31">
        <f>價值鏈!A6</f>
        <v/>
      </c>
      <c r="D31" t="inlineStr">
        <is>
          <t>記憶體</t>
        </is>
      </c>
      <c r="E31" t="inlineStr">
        <is>
          <t>加權目標價（DCF 50%＋Comparable 50%）</t>
        </is>
      </c>
      <c r="F31" s="4" t="n">
        <v>22465.1722139785</v>
      </c>
      <c r="G31" t="inlineStr">
        <is>
          <t>kioxia/dist/20261025_Kioxia模型_v0.1.xlsx Val!B49</t>
        </is>
      </c>
      <c r="J31" s="4" t="n">
        <v>8833.830738950141</v>
      </c>
      <c r="K31" t="inlineStr">
        <is>
          <t>kioxia/dist/20261025_Kioxia模型_v0.1.xlsx Val!D23</t>
        </is>
      </c>
      <c r="N31">
        <f>價格!H31</f>
        <v/>
      </c>
      <c r="O31">
        <f>MIN(F31,H31)</f>
        <v/>
      </c>
      <c r="P31">
        <f>MIN(J31,L31)</f>
        <v/>
      </c>
      <c r="Q31" s="4" t="n">
        <v>0.761283591844647</v>
      </c>
      <c r="R31">
        <f>P31/N31-1</f>
        <v/>
      </c>
      <c r="S31" s="4" t="inlineStr">
        <is>
          <t>強力買進</t>
        </is>
      </c>
      <c r="T31">
        <f>13291.9681066088/N31-1</f>
        <v/>
      </c>
      <c r="U31" t="inlineStr">
        <is>
          <t>舊法：規則值情境加權價（參考，Val!B155）</t>
        </is>
      </c>
      <c r="V31" t="inlineStr">
        <is>
          <t>2.2 ／ 8.8 ／ 21.3</t>
        </is>
      </c>
      <c r="W31" s="1" t="inlineStr">
        <is>
          <t>DCF 目標價 24,568.6（Val!B24）；Comparable 目標價 20,361.8（Val!B50）；市場共識目標價 36,929.2（Val!B51，外部、僅供對照）；價格帶 C～A 情境 DCF 8,833.8～46,431.3</t>
        </is>
      </c>
      <c r="Z31">
        <f>IF(ISNUMBER(價格!C31),價格!H31/價格!C31-1,"")</f>
        <v/>
      </c>
      <c r="AA31">
        <f>IF(Z31="","",IF(ABS(Z31)&gt;0.2,"模型尚未反映期間變化",""))</f>
        <v/>
      </c>
      <c r="AB31" t="inlineStr">
        <is>
          <t>淨利</t>
        </is>
      </c>
      <c r="AC31" t="inlineStr">
        <is>
          <t>PL 頁各情境模型年度淨利（不含實績）</t>
        </is>
      </c>
      <c r="AD31" t="inlineStr">
        <is>
          <t>22 個情境年度淨利（不含實績），全部為正</t>
        </is>
      </c>
      <c r="AE31" s="4" t="n">
        <v>76831.5922583466</v>
      </c>
      <c r="AF31" s="4" t="n">
        <v>888.696562503859</v>
      </c>
      <c r="AG31" t="inlineStr">
        <is>
          <t>[Derived] kioxia/dist/20261025_Kioxia模型_v0.1.xlsx PL!D9…PL!G123</t>
        </is>
      </c>
      <c r="AH31">
        <f>IF(AB31="淨利",IF(AF31&gt;0,"通過（淨利）","不通過"),IF(AE31&lt;0,"不通過","通過（現金流）"))</f>
        <v/>
      </c>
      <c r="AI31">
        <f>IF(S31="未上市","未上市",IF(AND(AH31="不通過",OR(S31="強力買進",S31="買進",S31="未估值")),"收支不足",S31))</f>
        <v/>
      </c>
      <c r="AJ31" s="4" t="inlineStr">
        <is>
          <t>大於 50%</t>
        </is>
      </c>
      <c r="AK31" s="1" t="inlineStr">
        <is>
          <t>上檔空間 kioxia/dist/20261025_Kioxia模型_v0.1.xlsx Val!B52；投資建議 kioxia/dist/20261025_Kioxia模型_v0.1.xlsx Val!B55；級距 kioxia/dist/20261025_Kioxia模型_v0.1.xlsx Val!B54</t>
        </is>
      </c>
    </row>
    <row r="32">
      <c r="A32" t="inlineStr">
        <is>
          <t>SNDK</t>
        </is>
      </c>
      <c r="B32" t="inlineStr">
        <is>
          <t>SanDisk</t>
        </is>
      </c>
      <c r="C32">
        <f>價值鏈!A6</f>
        <v/>
      </c>
      <c r="D32" t="inlineStr">
        <is>
          <t>記憶體</t>
        </is>
      </c>
      <c r="E32" t="inlineStr">
        <is>
          <t>加權目標價（DCF 50%＋Comparable 50%）</t>
        </is>
      </c>
      <c r="F32" s="4" t="n">
        <v>954.642410125009</v>
      </c>
      <c r="G32" t="inlineStr">
        <is>
          <t>sndk/dist/20261025_SanDisk模型_v0.1.xlsx Val!B49</t>
        </is>
      </c>
      <c r="J32" s="4" t="n">
        <v>493.729904251831</v>
      </c>
      <c r="K32" t="inlineStr">
        <is>
          <t>sndk/dist/20261025_SanDisk模型_v0.1.xlsx Val!D23</t>
        </is>
      </c>
      <c r="N32">
        <f>價格!H32</f>
        <v/>
      </c>
      <c r="O32">
        <f>MIN(F32,H32)</f>
        <v/>
      </c>
      <c r="P32">
        <f>MIN(J32,L32)</f>
        <v/>
      </c>
      <c r="Q32" s="4" t="n">
        <v>-0.228902037814101</v>
      </c>
      <c r="R32">
        <f>P32/N32-1</f>
        <v/>
      </c>
      <c r="S32" s="4" t="inlineStr">
        <is>
          <t>中立</t>
        </is>
      </c>
      <c r="T32">
        <f>456.06461830986/N32-1</f>
        <v/>
      </c>
      <c r="U32" t="inlineStr">
        <is>
          <t>舊法：規則值情境加權價（參考，Val!B155）</t>
        </is>
      </c>
      <c r="V32" t="inlineStr">
        <is>
          <t>3.6 ／ 5.6 ／ 6.3</t>
        </is>
      </c>
      <c r="W32" s="1" t="inlineStr">
        <is>
          <t>DCF 目標價 1,142.4（Val!B24）；Comparable 目標價 766.9（Val!B50）；市場共識目標價 2,144.0（Val!B51，外部、僅供對照）；價格帶 C～A 情境 DCF 493.7～2,279.7</t>
        </is>
      </c>
      <c r="Z32">
        <f>IF(ISNUMBER(價格!C32),價格!H32/價格!C32-1,"")</f>
        <v/>
      </c>
      <c r="AA32">
        <f>IF(Z32="","",IF(ABS(Z32)&gt;0.2,"模型尚未反映期間變化",""))</f>
        <v/>
      </c>
      <c r="AB32" t="inlineStr">
        <is>
          <t>淨利</t>
        </is>
      </c>
      <c r="AC32" t="inlineStr">
        <is>
          <t>PL 頁各情境模型年度淨利（不含實績）</t>
        </is>
      </c>
      <c r="AD32" t="inlineStr">
        <is>
          <t>12 個情境年度淨利（不含實績），全部為正</t>
        </is>
      </c>
      <c r="AE32" s="4" t="n">
        <v>288.0673061089713</v>
      </c>
      <c r="AF32" s="4" t="n">
        <v>3.615</v>
      </c>
      <c r="AG32" t="inlineStr">
        <is>
          <t>[Derived] sndk/dist/20261025_SanDisk模型_v0.1.xlsx PL!E9…PL!G51</t>
        </is>
      </c>
      <c r="AH32">
        <f>IF(AB32="淨利",IF(AF32&gt;0,"通過（淨利）","不通過"),IF(AE32&lt;0,"不通過","通過（現金流）"))</f>
        <v/>
      </c>
      <c r="AI32">
        <f>IF(S32="未上市","未上市",IF(AND(AH32="不通過",OR(S32="強力買進",S32="買進",S32="未估值")),"收支不足",S32))</f>
        <v/>
      </c>
      <c r="AJ32" s="4" t="inlineStr">
        <is>
          <t>0%～−25%</t>
        </is>
      </c>
      <c r="AK32" s="1" t="inlineStr">
        <is>
          <t>上檔空間 sndk/dist/20261025_SanDisk模型_v0.1.xlsx Val!B52；投資建議 sndk/dist/20261025_SanDisk模型_v0.1.xlsx Val!B55；級距 sndk/dist/20261025_SanDisk模型_v0.1.xlsx Val!B54</t>
        </is>
      </c>
    </row>
    <row r="33">
      <c r="A33" t="inlineStr">
        <is>
          <t>COHR</t>
        </is>
      </c>
      <c r="B33" t="inlineStr">
        <is>
          <t>Coherent</t>
        </is>
      </c>
      <c r="C33">
        <f>價值鏈!A7</f>
        <v/>
      </c>
      <c r="D33" t="inlineStr">
        <is>
          <t>網通</t>
        </is>
      </c>
      <c r="E33" t="inlineStr">
        <is>
          <t>加權目標價（DCF 50%＋Comparable 50%）</t>
        </is>
      </c>
      <c r="F33" s="4" t="n">
        <v>322.534682310793</v>
      </c>
      <c r="G33" t="inlineStr">
        <is>
          <t>cohr/dist/20261026_Coherent模型_v0.2.2.xlsx Val!B39</t>
        </is>
      </c>
      <c r="J33" s="4" t="n">
        <v>126.00352198982</v>
      </c>
      <c r="K33" t="inlineStr">
        <is>
          <t>cohr/dist/20261026_Coherent模型_v0.2.2.xlsx Val!D23</t>
        </is>
      </c>
      <c r="N33">
        <f>價格!H33</f>
        <v/>
      </c>
      <c r="O33">
        <f>MIN(F33,H33)</f>
        <v/>
      </c>
      <c r="P33">
        <f>MIN(J33,L33)</f>
        <v/>
      </c>
      <c r="Q33" s="4" t="n">
        <v>0.54197390787777</v>
      </c>
      <c r="R33">
        <f>P33/N33-1</f>
        <v/>
      </c>
      <c r="S33" s="4" t="inlineStr">
        <is>
          <t>強力買進</t>
        </is>
      </c>
      <c r="T33">
        <f>319.571046584482/N33-1</f>
        <v/>
      </c>
      <c r="U33" t="inlineStr">
        <is>
          <t>舊法：規則值情境加權價（參考，Val!B53）</t>
        </is>
      </c>
      <c r="V33" t="inlineStr">
        <is>
          <t>14.4 ／ 15.5 ／ 17.0</t>
        </is>
      </c>
      <c r="W33" s="1" t="inlineStr">
        <is>
          <t>DCF 目標價 207.0（Val!B24）；Comparable 目標價 438.0（Val!B40）；市場共識目標價 394.8（Val!B41，外部、僅供對照）；價格帶 C～A 情境 DCF 126.0～275.4</t>
        </is>
      </c>
      <c r="Z33">
        <f>IF(ISNUMBER(價格!C33),價格!H33/價格!C33-1,"")</f>
        <v/>
      </c>
      <c r="AA33">
        <f>IF(Z33="","",IF(ABS(Z33)&gt;0.2,"模型尚未反映期間變化",""))</f>
        <v/>
      </c>
      <c r="AB33" t="inlineStr">
        <is>
          <t>淨利</t>
        </is>
      </c>
      <c r="AC33" t="inlineStr">
        <is>
          <t>PL 頁各情境模型年度淨利（不含實績）</t>
        </is>
      </c>
      <c r="AD33" t="inlineStr">
        <is>
          <t>18 個情境年度淨利（不含實績），全部為正</t>
        </is>
      </c>
      <c r="AE33" s="4" t="n">
        <v>55.73323142808181</v>
      </c>
      <c r="AF33" s="4" t="n">
        <v>2.06947608283373</v>
      </c>
      <c r="AG33" t="inlineStr">
        <is>
          <t>[Derived] cohr/dist/20261026_Coherent模型_v0.2.2.xlsx PL!E13…PL!J39</t>
        </is>
      </c>
      <c r="AH33">
        <f>IF(AB33="淨利",IF(AF33&gt;0,"通過（淨利）","不通過"),IF(AE33&lt;0,"不通過","通過（現金流）"))</f>
        <v/>
      </c>
      <c r="AI33">
        <f>IF(S33="未上市","未上市",IF(AND(AH33="不通過",OR(S33="強力買進",S33="買進",S33="未估值")),"收支不足",S33))</f>
        <v/>
      </c>
      <c r="AJ33" s="4" t="inlineStr">
        <is>
          <t>大於 50%</t>
        </is>
      </c>
      <c r="AK33" s="1" t="inlineStr">
        <is>
          <t>上檔空間 cohr/dist/20261026_Coherent模型_v0.2.2.xlsx Val!B42；投資建議 cohr/dist/20261026_Coherent模型_v0.2.2.xlsx Val!B50；級距 cohr/dist/20261026_Coherent模型_v0.2.2.xlsx Val!B49</t>
        </is>
      </c>
    </row>
    <row r="34">
      <c r="A34" t="inlineStr">
        <is>
          <t>LITE</t>
        </is>
      </c>
      <c r="B34" t="inlineStr">
        <is>
          <t>Lumentum</t>
        </is>
      </c>
      <c r="C34">
        <f>價值鏈!A7</f>
        <v/>
      </c>
      <c r="D34" t="inlineStr">
        <is>
          <t>網通</t>
        </is>
      </c>
      <c r="E34" t="inlineStr">
        <is>
          <t>加權目標價（DCF 50%＋Comparable 50%）</t>
        </is>
      </c>
      <c r="F34" s="4" t="n">
        <v>623.399886042049</v>
      </c>
      <c r="G34" t="inlineStr">
        <is>
          <t>lite/dist/20261026_Lumentum模型_v0.2.2.xlsx Val!B39</t>
        </is>
      </c>
      <c r="J34" s="4" t="n">
        <v>211.148558750336</v>
      </c>
      <c r="K34" t="inlineStr">
        <is>
          <t>lite/dist/20261026_Lumentum模型_v0.2.2.xlsx Val!D23</t>
        </is>
      </c>
      <c r="N34">
        <f>價格!H34</f>
        <v/>
      </c>
      <c r="O34">
        <f>MIN(F34,H34)</f>
        <v/>
      </c>
      <c r="P34">
        <f>MIN(J34,L34)</f>
        <v/>
      </c>
      <c r="Q34" s="4" t="n">
        <v>-0.175582361053666</v>
      </c>
      <c r="R34">
        <f>P34/N34-1</f>
        <v/>
      </c>
      <c r="S34" s="4" t="inlineStr">
        <is>
          <t>中立</t>
        </is>
      </c>
      <c r="T34">
        <f>410.587041312467/N34-1</f>
        <v/>
      </c>
      <c r="U34" t="inlineStr">
        <is>
          <t>舊法：規則值情境加權價（參考，Val!B53）</t>
        </is>
      </c>
      <c r="V34" t="inlineStr">
        <is>
          <t>23.1 ／ 26.6 ／ 30.2</t>
        </is>
      </c>
      <c r="W34" s="1" t="inlineStr">
        <is>
          <t>DCF 目標價 387.1（Val!B24）；Comparable 目標價 859.7（Val!B40）；市場共識目標價 1,165.0（Val!B41，外部、僅供對照）；價格帶 C～A 情境 DCF 211.1～549.9</t>
        </is>
      </c>
      <c r="Z34">
        <f>IF(ISNUMBER(價格!C34),價格!H34/價格!C34-1,"")</f>
        <v/>
      </c>
      <c r="AA34">
        <f>IF(Z34="","",IF(ABS(Z34)&gt;0.2,"模型尚未反映期間變化",""))</f>
        <v/>
      </c>
      <c r="AB34" t="inlineStr">
        <is>
          <t>淨利</t>
        </is>
      </c>
      <c r="AC34" t="inlineStr">
        <is>
          <t>PL 頁各情境模型年度淨利（不含實績）</t>
        </is>
      </c>
      <c r="AD34" t="inlineStr">
        <is>
          <t>18 個情境年度淨利（不含實績），全部為正</t>
        </is>
      </c>
      <c r="AE34" s="4" t="n">
        <v>54.05090141367878</v>
      </c>
      <c r="AF34" s="4" t="n">
        <v>1.65482793612448</v>
      </c>
      <c r="AG34" t="inlineStr">
        <is>
          <t>[Derived] lite/dist/20261026_Lumentum模型_v0.2.2.xlsx PL!E13…PL!J39</t>
        </is>
      </c>
      <c r="AH34">
        <f>IF(AB34="淨利",IF(AF34&gt;0,"通過（淨利）","不通過"),IF(AE34&lt;0,"不通過","通過（現金流）"))</f>
        <v/>
      </c>
      <c r="AI34">
        <f>IF(S34="未上市","未上市",IF(AND(AH34="不通過",OR(S34="強力買進",S34="買進",S34="未估值")),"收支不足",S34))</f>
        <v/>
      </c>
      <c r="AJ34" s="4" t="inlineStr">
        <is>
          <t>0%～−25%</t>
        </is>
      </c>
      <c r="AK34" s="1" t="inlineStr">
        <is>
          <t>上檔空間 lite/dist/20261026_Lumentum模型_v0.2.2.xlsx Val!B42；投資建議 lite/dist/20261026_Lumentum模型_v0.2.2.xlsx Val!B50；級距 lite/dist/20261026_Lumentum模型_v0.2.2.xlsx Val!B49</t>
        </is>
      </c>
    </row>
    <row r="35">
      <c r="A35" t="inlineStr">
        <is>
          <t>300502</t>
        </is>
      </c>
      <c r="B35" t="inlineStr">
        <is>
          <t>新易盛</t>
        </is>
      </c>
      <c r="C35">
        <f>價值鏈!A7</f>
        <v/>
      </c>
      <c r="D35" t="inlineStr">
        <is>
          <t>網通</t>
        </is>
      </c>
      <c r="E35" t="inlineStr">
        <is>
          <t>加權目標價（DCF 50%＋Comparable 50%）</t>
        </is>
      </c>
      <c r="F35" s="4" t="n">
        <v>791.558609426747</v>
      </c>
      <c r="G35" t="inlineStr">
        <is>
          <t>eoptolink/dist/20261026_新易盛模型_v0.2.2.xlsx Val!B39</t>
        </is>
      </c>
      <c r="J35" s="4" t="n">
        <v>307.265758949729</v>
      </c>
      <c r="K35" t="inlineStr">
        <is>
          <t>eoptolink/dist/20261026_新易盛模型_v0.2.2.xlsx Val!D23</t>
        </is>
      </c>
      <c r="N35">
        <f>價格!H35</f>
        <v/>
      </c>
      <c r="O35">
        <f>MIN(F35,H35)</f>
        <v/>
      </c>
      <c r="P35">
        <f>MIN(J35,L35)</f>
        <v/>
      </c>
      <c r="Q35" s="4" t="n">
        <v>2.03279160699903</v>
      </c>
      <c r="R35">
        <f>P35/N35-1</f>
        <v/>
      </c>
      <c r="S35" s="4" t="inlineStr">
        <is>
          <t>強力買進</t>
        </is>
      </c>
      <c r="T35">
        <f>1146.39392147938/N35-1</f>
        <v/>
      </c>
      <c r="U35" t="inlineStr">
        <is>
          <t>舊法：規則值情境加權價（參考，Val!B53）</t>
        </is>
      </c>
      <c r="V35" t="inlineStr">
        <is>
          <t>9.3 ／ 11.4 ／ 15.4</t>
        </is>
      </c>
      <c r="W35" s="1" t="inlineStr">
        <is>
          <t>DCF 目標價 512.7（Val!B24）；Comparable 目標價 1,070.4（Val!B40）；市場共識目標價 460.9（Val!B41，外部、僅供對照）；價格帶 C～A 情境 DCF 307.3～639.5</t>
        </is>
      </c>
      <c r="Z35">
        <f>IF(ISNUMBER(價格!C35),價格!H35/價格!C35-1,"")</f>
        <v/>
      </c>
      <c r="AA35">
        <f>IF(Z35="","",IF(ABS(Z35)&gt;0.2,"模型尚未反映期間變化",""))</f>
        <v/>
      </c>
      <c r="AB35" t="inlineStr">
        <is>
          <t>淨利</t>
        </is>
      </c>
      <c r="AC35" t="inlineStr">
        <is>
          <t>PL 頁各情境模型年度淨利（不含實績）</t>
        </is>
      </c>
      <c r="AD35" t="inlineStr">
        <is>
          <t>19 個情境年度淨利（不含實績），全部為正</t>
        </is>
      </c>
      <c r="AE35" s="4" t="n">
        <v>788.309493718513</v>
      </c>
      <c r="AF35" s="4" t="n">
        <v>20.0605180178692</v>
      </c>
      <c r="AG35" t="inlineStr">
        <is>
          <t>[Derived] eoptolink/dist/20261026_新易盛模型_v0.2.2.xlsx PL!D12…PL!J36</t>
        </is>
      </c>
      <c r="AH35">
        <f>IF(AB35="淨利",IF(AF35&gt;0,"通過（淨利）","不通過"),IF(AE35&lt;0,"不通過","通過（現金流）"))</f>
        <v/>
      </c>
      <c r="AI35">
        <f>IF(S35="未上市","未上市",IF(AND(AH35="不通過",OR(S35="強力買進",S35="買進",S35="未估值")),"收支不足",S35))</f>
        <v/>
      </c>
      <c r="AJ35" s="4" t="inlineStr">
        <is>
          <t>大於 50%</t>
        </is>
      </c>
      <c r="AK35" s="1" t="inlineStr">
        <is>
          <t>上檔空間 eoptolink/dist/20261026_新易盛模型_v0.2.2.xlsx Val!B42；投資建議 eoptolink/dist/20261026_新易盛模型_v0.2.2.xlsx Val!B50；級距 eoptolink/dist/20261026_新易盛模型_v0.2.2.xlsx Val!B49</t>
        </is>
      </c>
    </row>
    <row r="36">
      <c r="A36" t="inlineStr">
        <is>
          <t>2345</t>
        </is>
      </c>
      <c r="B36" t="inlineStr">
        <is>
          <t>智邦</t>
        </is>
      </c>
      <c r="C36">
        <f>價值鏈!A7</f>
        <v/>
      </c>
      <c r="D36" t="inlineStr">
        <is>
          <t>網通</t>
        </is>
      </c>
      <c r="E36" t="inlineStr">
        <is>
          <t>加權目標價（DCF 50%＋Comparable 50%）</t>
        </is>
      </c>
      <c r="F36" s="4" t="n">
        <v>2275.03974290026</v>
      </c>
      <c r="G36" t="inlineStr">
        <is>
          <t>accton/dist/20261025_智邦模型_v0.2.1.xlsx Val!B39</t>
        </is>
      </c>
      <c r="J36" s="4" t="n">
        <v>1519.31098875966</v>
      </c>
      <c r="K36" t="inlineStr">
        <is>
          <t>accton/dist/20261025_智邦模型_v0.2.1.xlsx Val!B46</t>
        </is>
      </c>
      <c r="N36">
        <f>價格!H36</f>
        <v/>
      </c>
      <c r="O36">
        <f>MIN(F36,H36)</f>
        <v/>
      </c>
      <c r="P36">
        <f>MIN(J36,L36)</f>
        <v/>
      </c>
      <c r="Q36" s="4" t="n">
        <v>0.281712531211416</v>
      </c>
      <c r="R36">
        <f>P36/N36-1</f>
        <v/>
      </c>
      <c r="S36" s="4" t="inlineStr">
        <is>
          <t>買進</t>
        </is>
      </c>
      <c r="T36">
        <f>3452.51414467191/N36-1</f>
        <v/>
      </c>
      <c r="U36" t="inlineStr">
        <is>
          <t>舊法：規則值情境加權價（參考，Val!B56）</t>
        </is>
      </c>
      <c r="V36" t="inlineStr">
        <is>
          <t>10.5 ／ 13.3 ／ 18.5</t>
        </is>
      </c>
      <c r="W36" s="1" t="inlineStr">
        <is>
          <t>DCF 目標價 2,583.7（Val!B23）；Comparable 目標價 1,966.4（Val!B40）；市場共識目標價 3,500.0（Val!B41，外部、僅供對照）；價格帶 C～A 情境 DCF 1,519.3～3,280.3</t>
        </is>
      </c>
      <c r="Z36">
        <f>IF(ISNUMBER(價格!C36),價格!H36/價格!C36-1,"")</f>
        <v/>
      </c>
      <c r="AA36">
        <f>IF(Z36="","",IF(ABS(Z36)&gt;0.2,"模型尚未反映期間變化",""))</f>
        <v/>
      </c>
      <c r="AB36" t="inlineStr">
        <is>
          <t>淨利</t>
        </is>
      </c>
      <c r="AC36" t="inlineStr">
        <is>
          <t>PL 頁各情境模型年度淨利（不含實績）</t>
        </is>
      </c>
      <c r="AD36" t="inlineStr">
        <is>
          <t>8 個情境年度淨利（不含實績），全部為正</t>
        </is>
      </c>
      <c r="AE36" s="4" t="n">
        <v>624.9476316168748</v>
      </c>
      <c r="AF36" s="4" t="n">
        <v>47.8258552</v>
      </c>
      <c r="AG36" t="inlineStr">
        <is>
          <t>[Derived] accton/dist/20261025_智邦模型_v0.2.1.xlsx PL!D13…PL!G39</t>
        </is>
      </c>
      <c r="AH36">
        <f>IF(AB36="淨利",IF(AF36&gt;0,"通過（淨利）","不通過"),IF(AE36&lt;0,"不通過","通過（現金流）"))</f>
        <v/>
      </c>
      <c r="AI36">
        <f>IF(S36="未上市","未上市",IF(AND(AH36="不通過",OR(S36="強力買進",S36="買進",S36="未估值")),"收支不足",S36))</f>
        <v/>
      </c>
      <c r="AJ36" s="4" t="inlineStr">
        <is>
          <t>25%–50%</t>
        </is>
      </c>
      <c r="AK36" s="1" t="inlineStr">
        <is>
          <t>上檔空間 accton/dist/20261025_智邦模型_v0.2.1.xlsx Val!B42；投資建議 accton/dist/20261025_智邦模型_v0.2.1.xlsx Val!B52；級距 accton/dist/20261025_智邦模型_v0.2.1.xlsx Val!B51</t>
        </is>
      </c>
    </row>
    <row r="37">
      <c r="A37" t="inlineStr">
        <is>
          <t>FN</t>
        </is>
      </c>
      <c r="B37" t="inlineStr">
        <is>
          <t>Fabrinet</t>
        </is>
      </c>
      <c r="C37">
        <f>價值鏈!A7</f>
        <v/>
      </c>
      <c r="D37" t="inlineStr">
        <is>
          <t>網通</t>
        </is>
      </c>
      <c r="E37" t="inlineStr">
        <is>
          <t>加權目標價（DCF 50%＋Comparable 50%）</t>
        </is>
      </c>
      <c r="F37" s="4" t="n">
        <v>373.123198537049</v>
      </c>
      <c r="G37" t="inlineStr">
        <is>
          <t>fabrinet/dist/20261026_Fabrinet模型_v0.1.2.xlsx Val!B39</t>
        </is>
      </c>
      <c r="J37" s="4" t="n">
        <v>163.840959069597</v>
      </c>
      <c r="K37" t="inlineStr">
        <is>
          <t>fabrinet/dist/20261026_Fabrinet模型_v0.1.2.xlsx Val!D23</t>
        </is>
      </c>
      <c r="N37">
        <f>價格!H37</f>
        <v/>
      </c>
      <c r="O37">
        <f>MIN(F37,H37)</f>
        <v/>
      </c>
      <c r="P37">
        <f>MIN(J37,L37)</f>
        <v/>
      </c>
      <c r="Q37" s="4" t="n">
        <v>0.184743756071152</v>
      </c>
      <c r="R37">
        <f>P37/N37-1</f>
        <v/>
      </c>
      <c r="S37" s="4" t="inlineStr">
        <is>
          <t>中立</t>
        </is>
      </c>
      <c r="T37">
        <f>408.001544364806/N37-1</f>
        <v/>
      </c>
      <c r="U37" t="inlineStr">
        <is>
          <t>舊法：規則值情境加權價（參考，Val!B53）</t>
        </is>
      </c>
      <c r="V37" t="inlineStr">
        <is>
          <t>11.3 ／ 14.3 ／ 18.0</t>
        </is>
      </c>
      <c r="W37" s="1" t="inlineStr">
        <is>
          <t>DCF 目標價 349.8（Val!B24）；Comparable 目標價 396.5（Val!B40）；市場共識目標價 687.8（Val!B41，外部、僅供對照）；價格帶 C～A 情境 DCF 163.8～564.3</t>
        </is>
      </c>
      <c r="Z37">
        <f>IF(ISNUMBER(價格!C37),價格!H37/價格!C37-1,"")</f>
        <v/>
      </c>
      <c r="AA37">
        <f>IF(Z37="","",IF(ABS(Z37)&gt;0.2,"模型尚未反映期間變化",""))</f>
        <v/>
      </c>
      <c r="AB37" t="inlineStr">
        <is>
          <t>淨利</t>
        </is>
      </c>
      <c r="AC37" t="inlineStr">
        <is>
          <t>PL 頁各情境模型年度淨利（不含實績）</t>
        </is>
      </c>
      <c r="AD37" t="inlineStr">
        <is>
          <t>18 個情境年度淨利（不含實績），全部為正</t>
        </is>
      </c>
      <c r="AE37" s="4" t="n">
        <v>16.45838145404598</v>
      </c>
      <c r="AF37" s="4" t="n">
        <v>0.449392515917191</v>
      </c>
      <c r="AG37" t="inlineStr">
        <is>
          <t>[Derived] fabrinet/dist/20261026_Fabrinet模型_v0.1.2.xlsx PL!E15…PL!J45</t>
        </is>
      </c>
      <c r="AH37">
        <f>IF(AB37="淨利",IF(AF37&gt;0,"通過（淨利）","不通過"),IF(AE37&lt;0,"不通過","通過（現金流）"))</f>
        <v/>
      </c>
      <c r="AI37">
        <f>IF(S37="未上市","未上市",IF(AND(AH37="不通過",OR(S37="強力買進",S37="買進",S37="未估值")),"收支不足",S37))</f>
        <v/>
      </c>
      <c r="AJ37" s="4" t="inlineStr">
        <is>
          <t>0%–25%</t>
        </is>
      </c>
      <c r="AK37" s="1" t="inlineStr">
        <is>
          <t>上檔空間 fabrinet/dist/20261026_Fabrinet模型_v0.1.2.xlsx Val!B42；投資建議 fabrinet/dist/20261026_Fabrinet模型_v0.1.2.xlsx Val!B50；級距 fabrinet/dist/20261026_Fabrinet模型_v0.1.2.xlsx Val!B49</t>
        </is>
      </c>
    </row>
    <row r="38">
      <c r="A38" t="inlineStr">
        <is>
          <t>CRDO</t>
        </is>
      </c>
      <c r="B38" t="inlineStr">
        <is>
          <t>Credo</t>
        </is>
      </c>
      <c r="C38">
        <f>價值鏈!A7</f>
        <v/>
      </c>
      <c r="D38" t="inlineStr">
        <is>
          <t>網通</t>
        </is>
      </c>
      <c r="E38" t="inlineStr">
        <is>
          <t>加權目標價（DCF 50%＋Comparable 50%）</t>
        </is>
      </c>
      <c r="F38" s="4" t="n">
        <v>194.503855731343</v>
      </c>
      <c r="G38" t="inlineStr">
        <is>
          <t>crdo/dist/20261026_Credo模型_v0.2.2.xlsx Val!B39</t>
        </is>
      </c>
      <c r="J38" s="4" t="n">
        <v>53.662353127775</v>
      </c>
      <c r="K38" t="inlineStr">
        <is>
          <t>crdo/dist/20261026_Credo模型_v0.2.2.xlsx Val!D23</t>
        </is>
      </c>
      <c r="N38">
        <f>價格!H38</f>
        <v/>
      </c>
      <c r="O38">
        <f>MIN(F38,H38)</f>
        <v/>
      </c>
      <c r="P38">
        <f>MIN(J38,L38)</f>
        <v/>
      </c>
      <c r="Q38" s="4" t="n">
        <v>0.320550313879711</v>
      </c>
      <c r="R38">
        <f>P38/N38-1</f>
        <v/>
      </c>
      <c r="S38" s="4" t="inlineStr">
        <is>
          <t>買進</t>
        </is>
      </c>
      <c r="T38">
        <f>619.6489358636/N38-1</f>
        <v/>
      </c>
      <c r="U38" t="inlineStr">
        <is>
          <t>舊法：規則值情境加權價（參考，Val!B53）</t>
        </is>
      </c>
      <c r="V38" t="inlineStr">
        <is>
          <t>16.2 ／ 17.3 ／ 18.8</t>
        </is>
      </c>
      <c r="W38" s="1" t="inlineStr">
        <is>
          <t>DCF 目標價 100.2（Val!B24）；Comparable 目標價 288.8（Val!B40）；市場共識目標價 279.1（Val!B41，外部、僅供對照）；價格帶 C～A 情境 DCF 53.7～139.2</t>
        </is>
      </c>
      <c r="Z38">
        <f>IF(ISNUMBER(價格!C38),價格!H38/價格!C38-1,"")</f>
        <v/>
      </c>
      <c r="AA38">
        <f>IF(Z38="","",IF(ABS(Z38)&gt;0.2,"模型尚未反映期間變化",""))</f>
        <v/>
      </c>
      <c r="AB38" t="inlineStr">
        <is>
          <t>淨利</t>
        </is>
      </c>
      <c r="AC38" t="inlineStr">
        <is>
          <t>PL 頁各情境模型年度淨利（不含實績）</t>
        </is>
      </c>
      <c r="AD38" t="inlineStr">
        <is>
          <t>16 個情境年度淨利（不含實績），全部為正</t>
        </is>
      </c>
      <c r="AE38" s="4" t="n">
        <v>26.00564440421192</v>
      </c>
      <c r="AF38" s="4" t="n">
        <v>0.801215260866878</v>
      </c>
      <c r="AG38" t="inlineStr">
        <is>
          <t>[Derived] crdo/dist/20261026_Credo模型_v0.2.2.xlsx PL!E13…PL!J39</t>
        </is>
      </c>
      <c r="AH38">
        <f>IF(AB38="淨利",IF(AF38&gt;0,"通過（淨利）","不通過"),IF(AE38&lt;0,"不通過","通過（現金流）"))</f>
        <v/>
      </c>
      <c r="AI38">
        <f>IF(S38="未上市","未上市",IF(AND(AH38="不通過",OR(S38="強力買進",S38="買進",S38="未估值")),"收支不足",S38))</f>
        <v/>
      </c>
      <c r="AJ38" s="4" t="inlineStr">
        <is>
          <t>25%–50%</t>
        </is>
      </c>
      <c r="AK38" s="1" t="inlineStr">
        <is>
          <t>上檔空間 crdo/dist/20261026_Credo模型_v0.2.2.xlsx Val!B42；投資建議 crdo/dist/20261026_Credo模型_v0.2.2.xlsx Val!B130；級距 crdo/dist/20261026_Credo模型_v0.2.2.xlsx Val!B129</t>
        </is>
      </c>
    </row>
    <row r="39">
      <c r="A39" t="inlineStr">
        <is>
          <t>ALAB</t>
        </is>
      </c>
      <c r="B39" t="inlineStr">
        <is>
          <t>Astera Labs</t>
        </is>
      </c>
      <c r="C39">
        <f>價值鏈!A7</f>
        <v/>
      </c>
      <c r="D39" t="inlineStr">
        <is>
          <t>網通</t>
        </is>
      </c>
      <c r="E39" t="inlineStr">
        <is>
          <t>加權目標價（DCF 50%＋Comparable 50%）</t>
        </is>
      </c>
      <c r="F39" s="4" t="n">
        <v>132.485292978441</v>
      </c>
      <c r="G39" t="inlineStr">
        <is>
          <t>alab/dist/20261025_Astera Labs模型_v0.1.1.xlsx Val!B39</t>
        </is>
      </c>
      <c r="J39" s="4" t="n">
        <v>52.3189901504964</v>
      </c>
      <c r="K39" t="inlineStr">
        <is>
          <t>alab/dist/20261025_Astera Labs模型_v0.1.1.xlsx Val!D23</t>
        </is>
      </c>
      <c r="N39">
        <f>價格!H39</f>
        <v/>
      </c>
      <c r="O39">
        <f>MIN(F39,H39)</f>
        <v/>
      </c>
      <c r="P39">
        <f>MIN(J39,L39)</f>
        <v/>
      </c>
      <c r="Q39" s="4" t="n">
        <v>-0.484813761944156</v>
      </c>
      <c r="R39">
        <f>P39/N39-1</f>
        <v/>
      </c>
      <c r="S39" s="4" t="inlineStr">
        <is>
          <t>放空</t>
        </is>
      </c>
      <c r="T39">
        <f>616.322122932452/N39-1</f>
        <v/>
      </c>
      <c r="U39" t="inlineStr">
        <is>
          <t>舊法：規則值情境加權價（參考，Val!B53）</t>
        </is>
      </c>
      <c r="V39" t="inlineStr">
        <is>
          <t>31.7 ／ 42.0 ／ 71.5</t>
        </is>
      </c>
      <c r="W39" s="1" t="inlineStr">
        <is>
          <t>DCF 目標價 105.3（Val!B24）；Comparable 目標價 159.6（Val!B40）；市場共識目標價 388.4（Val!B41，外部、僅供對照）；價格帶 C～A 情境 DCF 52.3～138.7</t>
        </is>
      </c>
      <c r="Z39">
        <f>IF(ISNUMBER(價格!C39),價格!H39/價格!C39-1,"")</f>
        <v/>
      </c>
      <c r="AA39">
        <f>IF(Z39="","",IF(ABS(Z39)&gt;0.2,"模型尚未反映期間變化",""))</f>
        <v/>
      </c>
      <c r="AB39" t="inlineStr">
        <is>
          <t>淨利</t>
        </is>
      </c>
      <c r="AC39" t="inlineStr">
        <is>
          <t>PL 頁各情境模型年度淨利（不含實績）</t>
        </is>
      </c>
      <c r="AD39" t="inlineStr">
        <is>
          <t>17 個情境年度淨利（不含實績），全部為正</t>
        </is>
      </c>
      <c r="AE39" s="4" t="n">
        <v>22.82233008952841</v>
      </c>
      <c r="AF39" s="4" t="n">
        <v>0.6816759684871539</v>
      </c>
      <c r="AG39" t="inlineStr">
        <is>
          <t>[Derived] alab/dist/20261025_Astera Labs模型_v0.1.1.xlsx PL!D12…PL!J36</t>
        </is>
      </c>
      <c r="AH39">
        <f>IF(AB39="淨利",IF(AF39&gt;0,"通過（淨利）","不通過"),IF(AE39&lt;0,"不通過","通過（現金流）"))</f>
        <v/>
      </c>
      <c r="AI39">
        <f>IF(S39="未上市","未上市",IF(AND(AH39="不通過",OR(S39="強力買進",S39="買進",S39="未估值")),"收支不足",S39))</f>
        <v/>
      </c>
      <c r="AJ39" s="4" t="inlineStr">
        <is>
          <t>−25%～−50%</t>
        </is>
      </c>
      <c r="AK39" s="1" t="inlineStr">
        <is>
          <t>上檔空間 alab/dist/20261025_Astera Labs模型_v0.1.1.xlsx Val!B42；投資建議 alab/dist/20261025_Astera Labs模型_v0.1.1.xlsx Val!B130；級距 alab/dist/20261025_Astera Labs模型_v0.1.1.xlsx Val!B129</t>
        </is>
      </c>
    </row>
    <row r="40">
      <c r="A40" t="inlineStr">
        <is>
          <t>2449</t>
        </is>
      </c>
      <c r="B40" t="inlineStr">
        <is>
          <t>京元電</t>
        </is>
      </c>
      <c r="C40">
        <f>價值鏈!A8</f>
        <v/>
      </c>
      <c r="D40" t="inlineStr">
        <is>
          <t>代工與封測</t>
        </is>
      </c>
      <c r="E40" t="inlineStr">
        <is>
          <t>加權目標價（DCF 50%＋Comparable 50%）</t>
        </is>
      </c>
      <c r="F40" s="4" t="n">
        <v>173.353091385714</v>
      </c>
      <c r="G40" t="inlineStr">
        <is>
          <t>kyec/dist/20261025_京元電模型_v0.2.1.xlsx Val!B39</t>
        </is>
      </c>
      <c r="J40" s="4" t="n">
        <v>85.7331075295227</v>
      </c>
      <c r="K40" t="inlineStr">
        <is>
          <t>kyec/dist/20261025_京元電模型_v0.2.1.xlsx Val!D23</t>
        </is>
      </c>
      <c r="N40">
        <f>價格!H40</f>
        <v/>
      </c>
      <c r="O40">
        <f>MIN(F40,H40)</f>
        <v/>
      </c>
      <c r="P40">
        <f>MIN(J40,L40)</f>
        <v/>
      </c>
      <c r="Q40" s="4" t="n">
        <v>-0.339607270911564</v>
      </c>
      <c r="R40">
        <f>P40/N40-1</f>
        <v/>
      </c>
      <c r="S40" s="4" t="inlineStr">
        <is>
          <t>放空</t>
        </is>
      </c>
      <c r="V40" t="inlineStr">
        <is>
          <t>23.7 ／ 29.1 ／ 42.5</t>
        </is>
      </c>
      <c r="W40" s="1" t="inlineStr">
        <is>
          <t>DCF 目標價 138.6（Val!B24）；Comparable 目標價 208.1（Val!B40）；市場共識目標價 340.7（Val!B41，外部、僅供對照）；價格帶 C～A 情境 DCF 85.7～170.6</t>
        </is>
      </c>
      <c r="Z40">
        <f>IF(ISNUMBER(價格!C40),價格!H40/價格!C40-1,"")</f>
        <v/>
      </c>
      <c r="AA40">
        <f>IF(Z40="","",IF(ABS(Z40)&gt;0.2,"模型尚未反映期間變化",""))</f>
        <v/>
      </c>
      <c r="AB40" t="inlineStr">
        <is>
          <t>淨利</t>
        </is>
      </c>
      <c r="AC40" t="inlineStr">
        <is>
          <t>PL 頁各情境模型年度淨利（不含實績）</t>
        </is>
      </c>
      <c r="AD40" t="inlineStr">
        <is>
          <t>17 個情境年度淨利（不含實績），全部為正</t>
        </is>
      </c>
      <c r="AE40" s="4" t="n">
        <v>223.5721078945607</v>
      </c>
      <c r="AF40" s="4" t="n">
        <v>7.91566635032308</v>
      </c>
      <c r="AG40" t="inlineStr">
        <is>
          <t>[Derived] kyec/dist/20261025_京元電模型_v0.2.1.xlsx PL!D14…PL!J42</t>
        </is>
      </c>
      <c r="AH40">
        <f>IF(AB40="淨利",IF(AF40&gt;0,"通過（淨利）","不通過"),IF(AE40&lt;0,"不通過","通過（現金流）"))</f>
        <v/>
      </c>
      <c r="AI40">
        <f>IF(S40="未上市","未上市",IF(AND(AH40="不通過",OR(S40="強力買進",S40="買進",S40="未估值")),"收支不足",S40))</f>
        <v/>
      </c>
      <c r="AJ40" s="4" t="inlineStr">
        <is>
          <t>−25%～−50%</t>
        </is>
      </c>
      <c r="AK40" s="1" t="inlineStr">
        <is>
          <t>上檔空間 kyec/dist/20261025_京元電模型_v0.2.1.xlsx Val!B42；投資建議 kyec/dist/20261025_京元電模型_v0.2.1.xlsx Val!B50；級距 kyec/dist/20261025_京元電模型_v0.2.1.xlsx Val!B49</t>
        </is>
      </c>
    </row>
    <row r="41">
      <c r="A41" t="inlineStr">
        <is>
          <t>AMKR</t>
        </is>
      </c>
      <c r="B41" t="inlineStr">
        <is>
          <t>Amkor</t>
        </is>
      </c>
      <c r="C41">
        <f>價值鏈!A8</f>
        <v/>
      </c>
      <c r="D41" t="inlineStr">
        <is>
          <t>代工與封測</t>
        </is>
      </c>
      <c r="E41" t="inlineStr">
        <is>
          <t>加權目標價（DCF 50%＋Comparable 50%）</t>
        </is>
      </c>
      <c r="F41" s="4" t="n">
        <v>55.6688470720086</v>
      </c>
      <c r="G41" t="inlineStr">
        <is>
          <t>amkr/dist/20261025_艾克爾模型_v0.2.1.xlsx Val!B39</t>
        </is>
      </c>
      <c r="J41" s="4" t="n">
        <v>22.0213163292156</v>
      </c>
      <c r="K41" t="inlineStr">
        <is>
          <t>amkr/dist/20261025_艾克爾模型_v0.2.1.xlsx Val!D23</t>
        </is>
      </c>
      <c r="N41">
        <f>價格!H41</f>
        <v/>
      </c>
      <c r="O41">
        <f>MIN(F41,H41)</f>
        <v/>
      </c>
      <c r="P41">
        <f>MIN(J41,L41)</f>
        <v/>
      </c>
      <c r="Q41" s="4" t="n">
        <v>0.41651010361345</v>
      </c>
      <c r="R41">
        <f>P41/N41-1</f>
        <v/>
      </c>
      <c r="S41" s="4" t="inlineStr">
        <is>
          <t>買進</t>
        </is>
      </c>
      <c r="V41" t="inlineStr">
        <is>
          <t>9.8 ／ 12.1 ／ 17.0</t>
        </is>
      </c>
      <c r="W41" s="1" t="inlineStr">
        <is>
          <t>DCF 目標價 36.0（Val!B24）；Comparable 目標價 75.3（Val!B40）；市場共識目標價 76.4（Val!B41，外部、僅供對照）；價格帶 C～A 情境 DCF 22.0～48.9</t>
        </is>
      </c>
      <c r="Z41">
        <f>IF(ISNUMBER(價格!C41),價格!H41/價格!C41-1,"")</f>
        <v/>
      </c>
      <c r="AA41">
        <f>IF(Z41="","",IF(ABS(Z41)&gt;0.2,"模型尚未反映期間變化",""))</f>
        <v/>
      </c>
      <c r="AB41" t="inlineStr">
        <is>
          <t>淨利</t>
        </is>
      </c>
      <c r="AC41" t="inlineStr">
        <is>
          <t>PL 頁各情境模型年度淨利（不含實績）</t>
        </is>
      </c>
      <c r="AD41" t="inlineStr">
        <is>
          <t>19 個情境年度淨利（不含實績），全部為正</t>
        </is>
      </c>
      <c r="AE41" s="4" t="n">
        <v>17601.2910409353</v>
      </c>
      <c r="AF41" s="4" t="n">
        <v>579.138472970483</v>
      </c>
      <c r="AG41" t="inlineStr">
        <is>
          <t>[Derived] amkr/dist/20261025_艾克爾模型_v0.2.1.xlsx PL!D14…PL!J44</t>
        </is>
      </c>
      <c r="AH41">
        <f>IF(AB41="淨利",IF(AF41&gt;0,"通過（淨利）","不通過"),IF(AE41&lt;0,"不通過","通過（現金流）"))</f>
        <v/>
      </c>
      <c r="AI41">
        <f>IF(S41="未上市","未上市",IF(AND(AH41="不通過",OR(S41="強力買進",S41="買進",S41="未估值")),"收支不足",S41))</f>
        <v/>
      </c>
      <c r="AJ41" s="4" t="inlineStr">
        <is>
          <t>25%–50%</t>
        </is>
      </c>
      <c r="AK41" s="1" t="inlineStr">
        <is>
          <t>上檔空間 amkr/dist/20261025_艾克爾模型_v0.2.1.xlsx Val!B42；投資建議 amkr/dist/20261025_艾克爾模型_v0.2.1.xlsx Val!B50；級距 amkr/dist/20261025_艾克爾模型_v0.2.1.xlsx Val!B49</t>
        </is>
      </c>
    </row>
    <row r="42">
      <c r="A42" t="inlineStr">
        <is>
          <t>2383</t>
        </is>
      </c>
      <c r="B42" t="inlineStr">
        <is>
          <t>台光電</t>
        </is>
      </c>
      <c r="C42">
        <f>價值鏈!A9</f>
        <v/>
      </c>
      <c r="D42" t="inlineStr">
        <is>
          <t>載板與 PCB</t>
        </is>
      </c>
      <c r="E42" t="inlineStr">
        <is>
          <t>加權目標價（DCF 50%＋Comparable 50%）</t>
        </is>
      </c>
      <c r="F42" s="4" t="n">
        <v>5477.3858559129</v>
      </c>
      <c r="G42" t="inlineStr">
        <is>
          <t>emc/dist/20261025_台光電模型_v0.2.1.xlsx Val!B118</t>
        </is>
      </c>
      <c r="J42" s="4" t="n">
        <v>2690.62334592879</v>
      </c>
      <c r="K42" t="inlineStr">
        <is>
          <t>emc/dist/20261025_台光電模型_v0.2.1.xlsx Val!D104</t>
        </is>
      </c>
      <c r="N42">
        <f>價格!H42</f>
        <v/>
      </c>
      <c r="O42">
        <f>MIN(F42,H42)</f>
        <v/>
      </c>
      <c r="P42">
        <f>MIN(J42,L42)</f>
        <v/>
      </c>
      <c r="Q42" s="4" t="n">
        <v>0.0803522398250287</v>
      </c>
      <c r="R42">
        <f>P42/N42-1</f>
        <v/>
      </c>
      <c r="S42" s="4" t="inlineStr">
        <is>
          <t>中立</t>
        </is>
      </c>
      <c r="T42">
        <f>2904.876796827/N42-1</f>
        <v/>
      </c>
      <c r="U42" t="inlineStr">
        <is>
          <t>舊法：規則值情境加權價（參考，Val!B36）</t>
        </is>
      </c>
      <c r="V42" t="inlineStr">
        <is>
          <t>16.9 ／ 19.2 ／ 24.4</t>
        </is>
      </c>
      <c r="W42" s="1" t="inlineStr">
        <is>
          <t>DCF 目標價 4,252.1（Val!B105）；Comparable 目標價 6,702.7（Val!B119）；市場共識目標價 7,803.0（Val!B120，外部、僅供對照）；價格帶 C～A 情境 DCF 2,690.6～5,427.6</t>
        </is>
      </c>
      <c r="Z42">
        <f>IF(ISNUMBER(價格!C42),價格!H42/價格!C42-1,"")</f>
        <v/>
      </c>
      <c r="AA42">
        <f>IF(Z42="","",IF(ABS(Z42)&gt;0.2,"模型尚未反映期間變化",""))</f>
        <v/>
      </c>
      <c r="AB42" t="inlineStr">
        <is>
          <t>淨利</t>
        </is>
      </c>
      <c r="AC42" t="inlineStr">
        <is>
          <t>PL 頁各情境模型年度淨利（不含實績）</t>
        </is>
      </c>
      <c r="AD42" t="inlineStr">
        <is>
          <t>8 個情境年度淨利（不含實績），全部為正</t>
        </is>
      </c>
      <c r="AE42" s="4" t="n">
        <v>691.4638836018763</v>
      </c>
      <c r="AF42" s="4" t="n">
        <v>42.891099295</v>
      </c>
      <c r="AG42" t="inlineStr">
        <is>
          <t>[Derived] emc/dist/20261025_台光電模型_v0.2.1.xlsx PL!D12…PL!G36</t>
        </is>
      </c>
      <c r="AH42">
        <f>IF(AB42="淨利",IF(AF42&gt;0,"通過（淨利）","不通過"),IF(AE42&lt;0,"不通過","通過（現金流）"))</f>
        <v/>
      </c>
      <c r="AI42">
        <f>IF(S42="未上市","未上市",IF(AND(AH42="不通過",OR(S42="強力買進",S42="買進",S42="未估值")),"收支不足",S42))</f>
        <v/>
      </c>
      <c r="AJ42" s="4" t="inlineStr">
        <is>
          <t>0%–25%</t>
        </is>
      </c>
      <c r="AK42" s="1" t="inlineStr">
        <is>
          <t>上檔空間 emc/dist/20261025_台光電模型_v0.2.1.xlsx Val!B121；投資建議 emc/dist/20261025_台光電模型_v0.2.1.xlsx Val!B132；級距 emc/dist/20261025_台光電模型_v0.2.1.xlsx Val!B131</t>
        </is>
      </c>
    </row>
    <row r="43">
      <c r="A43" t="inlineStr">
        <is>
          <t>3037</t>
        </is>
      </c>
      <c r="B43" t="inlineStr">
        <is>
          <t>欣興</t>
        </is>
      </c>
      <c r="C43">
        <f>價值鏈!A9</f>
        <v/>
      </c>
      <c r="D43" t="inlineStr">
        <is>
          <t>載板與 PCB</t>
        </is>
      </c>
      <c r="E43" t="inlineStr">
        <is>
          <t>加權目標價（DCF 50%＋Comparable 50%）</t>
        </is>
      </c>
      <c r="F43" s="4" t="n">
        <v>726.786889845923</v>
      </c>
      <c r="G43" t="inlineStr">
        <is>
          <t>unimicron/dist/20261025_欣興模型_v0.1.1.xlsx Val!B39</t>
        </is>
      </c>
      <c r="J43" s="4" t="n">
        <v>219.433206126356</v>
      </c>
      <c r="K43" t="inlineStr">
        <is>
          <t>unimicron/dist/20261025_欣興模型_v0.1.1.xlsx Val!D23</t>
        </is>
      </c>
      <c r="N43">
        <f>價格!H43</f>
        <v/>
      </c>
      <c r="O43">
        <f>MIN(F43,H43)</f>
        <v/>
      </c>
      <c r="P43">
        <f>MIN(J43,L43)</f>
        <v/>
      </c>
      <c r="Q43" s="4" t="n">
        <v>-0.330150331939241</v>
      </c>
      <c r="R43">
        <f>P43/N43-1</f>
        <v/>
      </c>
      <c r="S43" s="4" t="inlineStr">
        <is>
          <t>放空</t>
        </is>
      </c>
      <c r="V43" t="inlineStr">
        <is>
          <t>35.6 ／ 46.7 ／ 67.6</t>
        </is>
      </c>
      <c r="W43" s="1" t="inlineStr">
        <is>
          <t>DCF 目標價 388.5（Val!B24）；Comparable 目標價 1,065.0（Val!B40）；市場共識目標價 1,317.4（Val!B41，外部、僅供對照）；價格帶 C～A 情境 DCF 219.4～505.7</t>
        </is>
      </c>
      <c r="Z43">
        <f>IF(ISNUMBER(價格!C43),價格!H43/價格!C43-1,"")</f>
        <v/>
      </c>
      <c r="AA43">
        <f>IF(Z43="","",IF(ABS(Z43)&gt;0.2,"模型尚未反映期間變化",""))</f>
        <v/>
      </c>
      <c r="AB43" t="inlineStr">
        <is>
          <t>淨利</t>
        </is>
      </c>
      <c r="AC43" t="inlineStr">
        <is>
          <t>PL 頁各情境模型年度淨利（不含實績）</t>
        </is>
      </c>
      <c r="AD43" t="inlineStr">
        <is>
          <t>17 個情境年度淨利（不含實績），全部為正</t>
        </is>
      </c>
      <c r="AE43" s="4" t="n">
        <v>746.2965671644863</v>
      </c>
      <c r="AF43" s="4" t="n">
        <v>26.3193287897213</v>
      </c>
      <c r="AG43" t="inlineStr">
        <is>
          <t>[Derived] unimicron/dist/20261025_欣興模型_v0.1.1.xlsx PL!D13…PL!J41</t>
        </is>
      </c>
      <c r="AH43">
        <f>IF(AB43="淨利",IF(AF43&gt;0,"通過（淨利）","不通過"),IF(AE43&lt;0,"不通過","通過（現金流）"))</f>
        <v/>
      </c>
      <c r="AI43">
        <f>IF(S43="未上市","未上市",IF(AND(AH43="不通過",OR(S43="強力買進",S43="買進",S43="未估值")),"收支不足",S43))</f>
        <v/>
      </c>
      <c r="AJ43" s="4" t="inlineStr">
        <is>
          <t>−25%～−50%</t>
        </is>
      </c>
      <c r="AK43" s="1" t="inlineStr">
        <is>
          <t>上檔空間 unimicron/dist/20261025_欣興模型_v0.1.1.xlsx Val!B42；投資建議 unimicron/dist/20261025_欣興模型_v0.1.1.xlsx Val!B134；級距 unimicron/dist/20261025_欣興模型_v0.1.1.xlsx Val!B133</t>
        </is>
      </c>
    </row>
    <row r="44">
      <c r="A44" t="inlineStr">
        <is>
          <t>8046</t>
        </is>
      </c>
      <c r="B44" t="inlineStr">
        <is>
          <t>南電</t>
        </is>
      </c>
      <c r="C44">
        <f>價值鏈!A9</f>
        <v/>
      </c>
      <c r="D44" t="inlineStr">
        <is>
          <t>載板與 PCB</t>
        </is>
      </c>
      <c r="E44" t="inlineStr">
        <is>
          <t>加權目標價（DCF 50%＋Comparable 50%）</t>
        </is>
      </c>
      <c r="F44" s="4" t="n">
        <v>906.7951275175531</v>
      </c>
      <c r="G44" t="inlineStr">
        <is>
          <t>nanya_pcb/dist/20261025_南電模型_v0.1.1.xlsx Val!B39</t>
        </is>
      </c>
      <c r="J44" s="4" t="n">
        <v>262.218925758325</v>
      </c>
      <c r="K44" t="inlineStr">
        <is>
          <t>nanya_pcb/dist/20261025_南電模型_v0.1.1.xlsx Val!D23</t>
        </is>
      </c>
      <c r="N44">
        <f>價格!H44</f>
        <v/>
      </c>
      <c r="O44">
        <f>MIN(F44,H44)</f>
        <v/>
      </c>
      <c r="P44">
        <f>MIN(J44,L44)</f>
        <v/>
      </c>
      <c r="Q44" s="4" t="n">
        <v>-0.283165907100749</v>
      </c>
      <c r="R44">
        <f>P44/N44-1</f>
        <v/>
      </c>
      <c r="S44" s="4" t="inlineStr">
        <is>
          <t>放空</t>
        </is>
      </c>
      <c r="V44" t="inlineStr">
        <is>
          <t>35.2 ／ 41.3 ／ 54.2</t>
        </is>
      </c>
      <c r="W44" s="1" t="inlineStr">
        <is>
          <t>DCF 目標價 466.3（Val!B24）；Comparable 目標價 1,347.3（Val!B40）；市場共識目標價 1,651.3（Val!B41，外部、僅供對照）；價格帶 C～A 情境 DCF 262.2～621.7</t>
        </is>
      </c>
      <c r="Z44">
        <f>IF(ISNUMBER(價格!C44),價格!H44/價格!C44-1,"")</f>
        <v/>
      </c>
      <c r="AA44">
        <f>IF(Z44="","",IF(ABS(Z44)&gt;0.2,"模型尚未反映期間變化",""))</f>
        <v/>
      </c>
      <c r="AB44" t="inlineStr">
        <is>
          <t>淨利</t>
        </is>
      </c>
      <c r="AC44" t="inlineStr">
        <is>
          <t>PL 頁各情境模型年度淨利（不含實績）</t>
        </is>
      </c>
      <c r="AD44" t="inlineStr">
        <is>
          <t>19 個情境年度淨利（不含實績），全部為正</t>
        </is>
      </c>
      <c r="AE44" s="4" t="n">
        <v>383.273388219964</v>
      </c>
      <c r="AF44" s="4" t="n">
        <v>11.509862075</v>
      </c>
      <c r="AG44" t="inlineStr">
        <is>
          <t>[Derived] nanya_pcb/dist/20261025_南電模型_v0.1.1.xlsx PL!D13…PL!J41</t>
        </is>
      </c>
      <c r="AH44">
        <f>IF(AB44="淨利",IF(AF44&gt;0,"通過（淨利）","不通過"),IF(AE44&lt;0,"不通過","通過（現金流）"))</f>
        <v/>
      </c>
      <c r="AI44">
        <f>IF(S44="未上市","未上市",IF(AND(AH44="不通過",OR(S44="強力買進",S44="買進",S44="未估值")),"收支不足",S44))</f>
        <v/>
      </c>
      <c r="AJ44" s="4" t="inlineStr">
        <is>
          <t>−25%～−50%</t>
        </is>
      </c>
      <c r="AK44" s="1" t="inlineStr">
        <is>
          <t>上檔空間 nanya_pcb/dist/20261025_南電模型_v0.1.1.xlsx Val!B42；投資建議 nanya_pcb/dist/20261025_南電模型_v0.1.1.xlsx Val!B134；級距 nanya_pcb/dist/20261025_南電模型_v0.1.1.xlsx Val!B133</t>
        </is>
      </c>
    </row>
    <row r="45">
      <c r="A45" t="inlineStr">
        <is>
          <t>2368</t>
        </is>
      </c>
      <c r="B45" t="inlineStr">
        <is>
          <t>金像電</t>
        </is>
      </c>
      <c r="C45">
        <f>價值鏈!A9</f>
        <v/>
      </c>
      <c r="D45" t="inlineStr">
        <is>
          <t>載板與 PCB</t>
        </is>
      </c>
      <c r="E45" t="inlineStr">
        <is>
          <t>加權目標價（DCF 50%＋Comparable 50%）</t>
        </is>
      </c>
      <c r="F45" s="4" t="n">
        <v>1267.21703750953</v>
      </c>
      <c r="G45" t="inlineStr">
        <is>
          <t>gce/dist/20261025_金像電模型_v0.1.1.xlsx Val!B40</t>
        </is>
      </c>
      <c r="J45" s="4" t="n">
        <v>559.015397539127</v>
      </c>
      <c r="K45" t="inlineStr">
        <is>
          <t>gce/dist/20261025_金像電模型_v0.1.1.xlsx Val!D23</t>
        </is>
      </c>
      <c r="N45">
        <f>價格!H45</f>
        <v/>
      </c>
      <c r="O45">
        <f>MIN(F45,H45)</f>
        <v/>
      </c>
      <c r="P45">
        <f>MIN(J45,L45)</f>
        <v/>
      </c>
      <c r="Q45" s="4" t="n">
        <v>0.136517522430072</v>
      </c>
      <c r="R45">
        <f>P45/N45-1</f>
        <v/>
      </c>
      <c r="S45" s="4" t="inlineStr">
        <is>
          <t>中立</t>
        </is>
      </c>
      <c r="V45" t="inlineStr">
        <is>
          <t>12.4 ／ 14.6 ／ 24.6</t>
        </is>
      </c>
      <c r="W45" s="1" t="inlineStr">
        <is>
          <t>DCF 目標價 1,203.1（Val!B24）；Comparable 目標價 1,331.4（Val!B41）；市場共識目標價 1,554.0（Val!B42，外部、僅供對照）；價格帶 C～A 情境 DCF 559.0～1,723.4</t>
        </is>
      </c>
      <c r="Z45">
        <f>IF(ISNUMBER(價格!C45),價格!H45/價格!C45-1,"")</f>
        <v/>
      </c>
      <c r="AA45">
        <f>IF(Z45="","",IF(ABS(Z45)&gt;0.2,"模型尚未反映期間變化",""))</f>
        <v/>
      </c>
      <c r="AB45" t="inlineStr">
        <is>
          <t>淨利</t>
        </is>
      </c>
      <c r="AC45" t="inlineStr">
        <is>
          <t>PL 頁各情境模型年度淨利（不含實績）</t>
        </is>
      </c>
      <c r="AD45" t="inlineStr">
        <is>
          <t>19 個情境年度淨利（不含實績），全部為正</t>
        </is>
      </c>
      <c r="AE45" s="4" t="n">
        <v>777.5639942335223</v>
      </c>
      <c r="AF45" s="4" t="n">
        <v>19.6977289395284</v>
      </c>
      <c r="AG45" t="inlineStr">
        <is>
          <t>[Derived] gce/dist/20261025_金像電模型_v0.1.1.xlsx PL!D12…PL!J38</t>
        </is>
      </c>
      <c r="AH45">
        <f>IF(AB45="淨利",IF(AF45&gt;0,"通過（淨利）","不通過"),IF(AE45&lt;0,"不通過","通過（現金流）"))</f>
        <v/>
      </c>
      <c r="AI45">
        <f>IF(S45="未上市","未上市",IF(AND(AH45="不通過",OR(S45="強力買進",S45="買進",S45="未估值")),"收支不足",S45))</f>
        <v/>
      </c>
      <c r="AJ45" s="4" t="inlineStr">
        <is>
          <t>0%–25%</t>
        </is>
      </c>
      <c r="AK45" s="1" t="inlineStr">
        <is>
          <t>上檔空間 gce/dist/20261025_金像電模型_v0.1.1.xlsx Val!B43；投資建議 gce/dist/20261025_金像電模型_v0.1.1.xlsx Val!B119；級距 gce/dist/20261025_金像電模型_v0.1.1.xlsx Val!B118</t>
        </is>
      </c>
    </row>
    <row r="46">
      <c r="A46" t="inlineStr">
        <is>
          <t>300476</t>
        </is>
      </c>
      <c r="B46" t="inlineStr">
        <is>
          <t>勝宏科技</t>
        </is>
      </c>
      <c r="C46">
        <f>價值鏈!A9</f>
        <v/>
      </c>
      <c r="D46" t="inlineStr">
        <is>
          <t>載板與 PCB</t>
        </is>
      </c>
      <c r="E46" t="inlineStr">
        <is>
          <t>加權目標價（DCF 50%＋Comparable 50%）</t>
        </is>
      </c>
      <c r="F46" s="4" t="n">
        <v>322.843759551251</v>
      </c>
      <c r="G46" t="inlineStr">
        <is>
          <t>victory_giant/dist/20261025_勝宏科技模型_v0.1.1.xlsx Val!B39</t>
        </is>
      </c>
      <c r="J46" s="4" t="n">
        <v>98.54908044337679</v>
      </c>
      <c r="K46" t="inlineStr">
        <is>
          <t>victory_giant/dist/20261025_勝宏科技模型_v0.1.1.xlsx Val!D23</t>
        </is>
      </c>
      <c r="N46">
        <f>價格!H46</f>
        <v/>
      </c>
      <c r="O46">
        <f>MIN(F46,H46)</f>
        <v/>
      </c>
      <c r="P46">
        <f>MIN(J46,L46)</f>
        <v/>
      </c>
      <c r="Q46" s="4" t="n">
        <v>0.7595583145370099</v>
      </c>
      <c r="R46">
        <f>P46/N46-1</f>
        <v/>
      </c>
      <c r="S46" s="4" t="inlineStr">
        <is>
          <t>強力買進</t>
        </is>
      </c>
      <c r="V46" t="inlineStr">
        <is>
          <t>10.3 ／ 12.7 ／ 16.9</t>
        </is>
      </c>
      <c r="W46" s="1" t="inlineStr">
        <is>
          <t>DCF 目標價 202.7（Val!B24）；Comparable 目標價 443.0（Val!B40）；市場共識目標價 388.3（Val!B41，外部、僅供對照）；價格帶 C～A 情境 DCF 98.5～287.4</t>
        </is>
      </c>
      <c r="Z46">
        <f>IF(ISNUMBER(價格!C46),價格!H46/價格!C46-1,"")</f>
        <v/>
      </c>
      <c r="AA46">
        <f>IF(Z46="","",IF(ABS(Z46)&gt;0.2,"模型尚未反映期間變化",""))</f>
        <v/>
      </c>
      <c r="AB46" t="inlineStr">
        <is>
          <t>淨利</t>
        </is>
      </c>
      <c r="AC46" t="inlineStr">
        <is>
          <t>PL 頁各情境模型年度淨利（不含實績）</t>
        </is>
      </c>
      <c r="AD46" t="inlineStr">
        <is>
          <t>17 個情境年度淨利（不含實績），全部為正</t>
        </is>
      </c>
      <c r="AE46" s="4" t="n">
        <v>253.1375330231432</v>
      </c>
      <c r="AF46" s="4" t="n">
        <v>6.5441924845173</v>
      </c>
      <c r="AG46" t="inlineStr">
        <is>
          <t>[Derived] victory_giant/dist/20261025_勝宏科技模型_v0.1.1.xlsx PL!D12…PL!J38</t>
        </is>
      </c>
      <c r="AH46">
        <f>IF(AB46="淨利",IF(AF46&gt;0,"通過（淨利）","不通過"),IF(AE46&lt;0,"不通過","通過（現金流）"))</f>
        <v/>
      </c>
      <c r="AI46">
        <f>IF(S46="未上市","未上市",IF(AND(AH46="不通過",OR(S46="強力買進",S46="買進",S46="未估值")),"收支不足",S46))</f>
        <v/>
      </c>
      <c r="AJ46" s="4" t="inlineStr">
        <is>
          <t>大於 50%</t>
        </is>
      </c>
      <c r="AK46" s="1" t="inlineStr">
        <is>
          <t>上檔空間 victory_giant/dist/20261025_勝宏科技模型_v0.1.1.xlsx Val!B42；投資建議 victory_giant/dist/20261025_勝宏科技模型_v0.1.1.xlsx Val!B119；級距 victory_giant/dist/20261025_勝宏科技模型_v0.1.1.xlsx Val!B118</t>
        </is>
      </c>
    </row>
    <row r="47">
      <c r="A47" t="inlineStr">
        <is>
          <t>ASML</t>
        </is>
      </c>
      <c r="B47" t="inlineStr">
        <is>
          <t>ASML</t>
        </is>
      </c>
      <c r="C47">
        <f>價值鏈!A13</f>
        <v/>
      </c>
      <c r="D47" t="inlineStr">
        <is>
          <t>設備與材料</t>
        </is>
      </c>
      <c r="E47" t="inlineStr">
        <is>
          <t>加權目標價（DCF 50%＋Comparable 50%）</t>
        </is>
      </c>
      <c r="F47" s="4" t="n">
        <v>1126.49336848612</v>
      </c>
      <c r="G47" t="inlineStr">
        <is>
          <t>asml/dist/20261025_ASML模型_v0.2.1.xlsx Val!B115</t>
        </is>
      </c>
      <c r="J47" s="4" t="n">
        <v>506.037679478892</v>
      </c>
      <c r="K47" t="inlineStr">
        <is>
          <t>asml/dist/20261025_ASML模型_v0.2.1.xlsx Val!D99</t>
        </is>
      </c>
      <c r="N47">
        <f>價格!H47</f>
        <v/>
      </c>
      <c r="O47">
        <f>MIN(F47,H47)</f>
        <v/>
      </c>
      <c r="P47">
        <f>MIN(J47,L47)</f>
        <v/>
      </c>
      <c r="Q47" s="4" t="n">
        <v>-0.199478845589741</v>
      </c>
      <c r="R47">
        <f>P47/N47-1</f>
        <v/>
      </c>
      <c r="S47" s="4" t="inlineStr">
        <is>
          <t>中立</t>
        </is>
      </c>
      <c r="T47">
        <f>1829.12787571104/N47-1</f>
        <v/>
      </c>
      <c r="U47" t="inlineStr">
        <is>
          <t>舊法：規則值情境加權價（參考，Val!B6）</t>
        </is>
      </c>
      <c r="V47" t="inlineStr">
        <is>
          <t>21.7 ／ 25.4 ／ 34.1</t>
        </is>
      </c>
      <c r="W47" s="1" t="inlineStr">
        <is>
          <t>DCF 目標價 836.8（Val!B100）；Comparable 目標價 1,416.2（Val!B116）；市場共識目標價 2,108.0（Val!B117，外部、僅供對照）；價格帶 C～A 情境 DCF 506.0～1,218.9</t>
        </is>
      </c>
      <c r="Z47">
        <f>IF(ISNUMBER(價格!C47),價格!H47/價格!C47-1,"")</f>
        <v/>
      </c>
      <c r="AA47">
        <f>IF(Z47="","",IF(ABS(Z47)&gt;0.2,"模型尚未反映期間變化",""))</f>
        <v/>
      </c>
      <c r="AB47" t="inlineStr">
        <is>
          <t>淨利</t>
        </is>
      </c>
      <c r="AC47" t="inlineStr">
        <is>
          <t>PL 頁各情境模型年度淨利（不含實績）</t>
        </is>
      </c>
      <c r="AD47" t="inlineStr">
        <is>
          <t>10 個情境年度淨利（不含實績），全部為正</t>
        </is>
      </c>
      <c r="AE47" s="4" t="n">
        <v>199.6391339792138</v>
      </c>
      <c r="AF47" s="4" t="n">
        <v>15.4344257512672</v>
      </c>
      <c r="AG47" t="inlineStr">
        <is>
          <t>[Derived] asml/dist/20261025_ASML模型_v0.2.1.xlsx PL!D12…PL!G34</t>
        </is>
      </c>
      <c r="AH47">
        <f>IF(AB47="淨利",IF(AF47&gt;0,"通過（淨利）","不通過"),IF(AE47&lt;0,"不通過","通過（現金流）"))</f>
        <v/>
      </c>
      <c r="AI47">
        <f>IF(S47="未上市","未上市",IF(AND(AH47="不通過",OR(S47="強力買進",S47="買進",S47="未估值")),"收支不足",S47))</f>
        <v/>
      </c>
      <c r="AJ47" s="4" t="inlineStr">
        <is>
          <t>0%～−25%</t>
        </is>
      </c>
      <c r="AK47" s="1" t="inlineStr">
        <is>
          <t>上檔空間 asml/dist/20261025_ASML模型_v0.2.1.xlsx Val!B118；投資建議 asml/dist/20261025_ASML模型_v0.2.1.xlsx Val!B126；級距 asml/dist/20261025_ASML模型_v0.2.1.xlsx Val!B125</t>
        </is>
      </c>
    </row>
    <row r="48">
      <c r="A48" t="inlineStr">
        <is>
          <t>AMAT</t>
        </is>
      </c>
      <c r="B48" t="inlineStr">
        <is>
          <t>Applied Materials</t>
        </is>
      </c>
      <c r="C48">
        <f>價值鏈!A13</f>
        <v/>
      </c>
      <c r="D48" t="inlineStr">
        <is>
          <t>設備與材料</t>
        </is>
      </c>
      <c r="E48" t="inlineStr">
        <is>
          <t>加權目標價（DCF 50%＋Comparable 50%）</t>
        </is>
      </c>
      <c r="F48" s="4" t="n">
        <v>351.972505028033</v>
      </c>
      <c r="G48" t="inlineStr">
        <is>
          <t>amat/dist/20261025_應用材料模型_v0.2.1.xlsx Val!B136</t>
        </is>
      </c>
      <c r="J48" s="4" t="n">
        <v>160.769815499115</v>
      </c>
      <c r="K48" t="inlineStr">
        <is>
          <t>amat/dist/20261025_應用材料模型_v0.2.1.xlsx Val!D121</t>
        </is>
      </c>
      <c r="N48">
        <f>價格!H48</f>
        <v/>
      </c>
      <c r="O48">
        <f>MIN(F48,H48)</f>
        <v/>
      </c>
      <c r="P48">
        <f>MIN(J48,L48)</f>
        <v/>
      </c>
      <c r="Q48" s="4" t="n">
        <v>-0.0669798933622297</v>
      </c>
      <c r="R48">
        <f>P48/N48-1</f>
        <v/>
      </c>
      <c r="S48" s="4" t="inlineStr">
        <is>
          <t>中立</t>
        </is>
      </c>
      <c r="T48">
        <f>309.834449680392/N48-1</f>
        <v/>
      </c>
      <c r="U48" t="inlineStr">
        <is>
          <t>舊法：規則值情境加權價（參考，Val!B47）</t>
        </is>
      </c>
      <c r="V48" t="inlineStr">
        <is>
          <t>19.0 ／ 21.4 ／ 27.0</t>
        </is>
      </c>
      <c r="W48" s="1" t="inlineStr">
        <is>
          <t>DCF 目標價 252.9（Val!B122）；Comparable 目標價 451.0（Val!B137）；市場共識目標價 627.8（Val!B138，外部、僅供對照）；價格帶 C～A 情境 DCF 160.8～355.1</t>
        </is>
      </c>
      <c r="Z48">
        <f>IF(ISNUMBER(價格!C48),價格!H48/價格!C48-1,"")</f>
        <v/>
      </c>
      <c r="AA48">
        <f>IF(Z48="","",IF(ABS(Z48)&gt;0.2,"模型尚未反映期間變化",""))</f>
        <v/>
      </c>
      <c r="AB48" t="inlineStr">
        <is>
          <t>淨利</t>
        </is>
      </c>
      <c r="AC48" t="inlineStr">
        <is>
          <t>PL 頁各情境模型年度淨利（不含實績）</t>
        </is>
      </c>
      <c r="AD48" t="inlineStr">
        <is>
          <t>10 個情境年度淨利（不含實績），全部為正</t>
        </is>
      </c>
      <c r="AE48" s="4" t="n">
        <v>130460.7465641116</v>
      </c>
      <c r="AF48" s="4" t="n">
        <v>10179.92</v>
      </c>
      <c r="AG48" t="inlineStr">
        <is>
          <t>[Derived] amat/dist/20261025_應用材料模型_v0.2.1.xlsx PL!D11…PL!G31</t>
        </is>
      </c>
      <c r="AH48">
        <f>IF(AB48="淨利",IF(AF48&gt;0,"通過（淨利）","不通過"),IF(AE48&lt;0,"不通過","通過（現金流）"))</f>
        <v/>
      </c>
      <c r="AI48">
        <f>IF(S48="未上市","未上市",IF(AND(AH48="不通過",OR(S48="強力買進",S48="買進",S48="未估值")),"收支不足",S48))</f>
        <v/>
      </c>
      <c r="AJ48" s="4" t="inlineStr">
        <is>
          <t>0%～−25%</t>
        </is>
      </c>
      <c r="AK48" s="1" t="inlineStr">
        <is>
          <t>上檔空間 amat/dist/20261025_應用材料模型_v0.2.1.xlsx Val!B139；投資建議 amat/dist/20261025_應用材料模型_v0.2.1.xlsx Val!B147；級距 amat/dist/20261025_應用材料模型_v0.2.1.xlsx Val!B146</t>
        </is>
      </c>
    </row>
    <row r="49">
      <c r="A49" t="inlineStr">
        <is>
          <t>LRCX</t>
        </is>
      </c>
      <c r="B49" t="inlineStr">
        <is>
          <t>Lam Research</t>
        </is>
      </c>
      <c r="C49">
        <f>價值鏈!A13</f>
        <v/>
      </c>
      <c r="D49" t="inlineStr">
        <is>
          <t>設備與材料</t>
        </is>
      </c>
      <c r="E49" t="inlineStr">
        <is>
          <t>加權目標價（DCF 50%＋Comparable 50%）</t>
        </is>
      </c>
      <c r="F49" s="4" t="n">
        <v>202.859992549315</v>
      </c>
      <c r="G49" t="inlineStr">
        <is>
          <t>lrcx/dist/20261025_科林研發模型_v0.2.1.xlsx Val!B128</t>
        </is>
      </c>
      <c r="J49" s="4" t="n">
        <v>85.7603441123795</v>
      </c>
      <c r="K49" t="inlineStr">
        <is>
          <t>lrcx/dist/20261025_科林研發模型_v0.2.1.xlsx Val!D113</t>
        </is>
      </c>
      <c r="N49">
        <f>價格!H49</f>
        <v/>
      </c>
      <c r="O49">
        <f>MIN(F49,H49)</f>
        <v/>
      </c>
      <c r="P49">
        <f>MIN(J49,L49)</f>
        <v/>
      </c>
      <c r="Q49" s="4" t="n">
        <v>-0.118383343983856</v>
      </c>
      <c r="R49">
        <f>P49/N49-1</f>
        <v/>
      </c>
      <c r="S49" s="4" t="inlineStr">
        <is>
          <t>中立</t>
        </is>
      </c>
      <c r="T49">
        <f>154.25592051976/N49-1</f>
        <v/>
      </c>
      <c r="U49" t="inlineStr">
        <is>
          <t>舊法：規則值情境加權價（參考，Val!B6）</t>
        </is>
      </c>
      <c r="V49" t="inlineStr">
        <is>
          <t>21.5 ／ 23.0 ／ 26.3</t>
        </is>
      </c>
      <c r="W49" s="1" t="inlineStr">
        <is>
          <t>DCF 目標價 146.9（Val!B114）；Comparable 目標價 258.8（Val!B129）；市場共識目標價 364.0（Val!B130，外部、僅供對照）；價格帶 C～A 情境 DCF 85.8～204.7</t>
        </is>
      </c>
      <c r="Z49">
        <f>IF(ISNUMBER(價格!C49),價格!H49/價格!C49-1,"")</f>
        <v/>
      </c>
      <c r="AA49">
        <f>IF(Z49="","",IF(ABS(Z49)&gt;0.2,"模型尚未反映期間變化",""))</f>
        <v/>
      </c>
      <c r="AB49" t="inlineStr">
        <is>
          <t>淨利</t>
        </is>
      </c>
      <c r="AC49" t="inlineStr">
        <is>
          <t>PL 頁各情境模型年度淨利（不含實績）</t>
        </is>
      </c>
      <c r="AD49" t="inlineStr">
        <is>
          <t>7 個情境年度淨利（不含實績），全部為正</t>
        </is>
      </c>
      <c r="AE49" s="4" t="n">
        <v>84.68407544653741</v>
      </c>
      <c r="AF49" s="4" t="n">
        <v>9.30262463976181</v>
      </c>
      <c r="AG49" t="inlineStr">
        <is>
          <t>[Derived] lrcx/dist/20261025_科林研發模型_v0.2.1.xlsx PL!E11…PL!G31</t>
        </is>
      </c>
      <c r="AH49">
        <f>IF(AB49="淨利",IF(AF49&gt;0,"通過（淨利）","不通過"),IF(AE49&lt;0,"不通過","通過（現金流）"))</f>
        <v/>
      </c>
      <c r="AI49">
        <f>IF(S49="未上市","未上市",IF(AND(AH49="不通過",OR(S49="強力買進",S49="買進",S49="未估值")),"收支不足",S49))</f>
        <v/>
      </c>
      <c r="AJ49" s="4" t="inlineStr">
        <is>
          <t>0%～−25%</t>
        </is>
      </c>
      <c r="AK49" s="1" t="inlineStr">
        <is>
          <t>上檔空間 lrcx/dist/20261025_科林研發模型_v0.2.1.xlsx Val!B131；投資建議 lrcx/dist/20261025_科林研發模型_v0.2.1.xlsx Val!B139；級距 lrcx/dist/20261025_科林研發模型_v0.2.1.xlsx Val!B138</t>
        </is>
      </c>
    </row>
    <row r="50">
      <c r="A50" t="inlineStr">
        <is>
          <t>KLAC</t>
        </is>
      </c>
      <c r="B50" t="inlineStr">
        <is>
          <t>KLA</t>
        </is>
      </c>
      <c r="C50">
        <f>價值鏈!A13</f>
        <v/>
      </c>
      <c r="D50" t="inlineStr">
        <is>
          <t>設備與材料</t>
        </is>
      </c>
      <c r="E50" t="inlineStr">
        <is>
          <t>加權目標價（DCF 50%＋Comparable 50%）</t>
        </is>
      </c>
      <c r="F50" s="4" t="n">
        <v>121.381279915322</v>
      </c>
      <c r="G50" t="inlineStr">
        <is>
          <t>klac/dist/20261025_科磊模型_v0.2.1.xlsx Val!B129</t>
        </is>
      </c>
      <c r="J50" s="4" t="n">
        <v>57.6757051396901</v>
      </c>
      <c r="K50" t="inlineStr">
        <is>
          <t>klac/dist/20261025_科磊模型_v0.2.1.xlsx Val!D113</t>
        </is>
      </c>
      <c r="N50">
        <f>價格!H50</f>
        <v/>
      </c>
      <c r="O50">
        <f>MIN(F50,H50)</f>
        <v/>
      </c>
      <c r="P50">
        <f>MIN(J50,L50)</f>
        <v/>
      </c>
      <c r="Q50" s="4" t="n">
        <v>-0.166394616335952</v>
      </c>
      <c r="R50">
        <f>P50/N50-1</f>
        <v/>
      </c>
      <c r="S50" s="4" t="inlineStr">
        <is>
          <t>中立</t>
        </is>
      </c>
      <c r="T50">
        <f>102.08226284068/N50-1</f>
        <v/>
      </c>
      <c r="U50" t="inlineStr">
        <is>
          <t>舊法：規則值情境加權價（參考，Val!B6）</t>
        </is>
      </c>
      <c r="V50" t="inlineStr">
        <is>
          <t>22.9 ／ 24.7 ／ 28.3</t>
        </is>
      </c>
      <c r="W50" s="1" t="inlineStr">
        <is>
          <t>DCF 目標價 94.1（Val!B114）；Comparable 目標價 148.6（Val!B130）；市場共識目標價 232.4（Val!B131，外部、僅供對照）；價格帶 C～A 情境 DCF 57.7～131.3</t>
        </is>
      </c>
      <c r="Z50">
        <f>IF(ISNUMBER(價格!C50),價格!H50/價格!C50-1,"")</f>
        <v/>
      </c>
      <c r="AA50">
        <f>IF(Z50="","",IF(ABS(Z50)&gt;0.2,"模型尚未反映期間變化",""))</f>
        <v/>
      </c>
      <c r="AB50" t="inlineStr">
        <is>
          <t>淨利</t>
        </is>
      </c>
      <c r="AC50" t="inlineStr">
        <is>
          <t>PL 頁各情境模型年度淨利（不含實績）</t>
        </is>
      </c>
      <c r="AD50" t="inlineStr">
        <is>
          <t>9 個情境年度淨利（不含實績），全部為正</t>
        </is>
      </c>
      <c r="AE50" s="4" t="n">
        <v>66658.65274708942</v>
      </c>
      <c r="AF50" s="4" t="n">
        <v>6143.68969170788</v>
      </c>
      <c r="AG50" t="inlineStr">
        <is>
          <t>[Derived] klac/dist/20261025_科磊模型_v0.2.1.xlsx PL!E12…PL!G34</t>
        </is>
      </c>
      <c r="AH50">
        <f>IF(AB50="淨利",IF(AF50&gt;0,"通過（淨利）","不通過"),IF(AE50&lt;0,"不通過","通過（現金流）"))</f>
        <v/>
      </c>
      <c r="AI50">
        <f>IF(S50="未上市","未上市",IF(AND(AH50="不通過",OR(S50="強力買進",S50="買進",S50="未估值")),"收支不足",S50))</f>
        <v/>
      </c>
      <c r="AJ50" s="4" t="inlineStr">
        <is>
          <t>0%～−25%</t>
        </is>
      </c>
      <c r="AK50" s="1" t="inlineStr">
        <is>
          <t>上檔空間 klac/dist/20261025_科磊模型_v0.2.1.xlsx Val!B132；投資建議 klac/dist/20261025_科磊模型_v0.2.1.xlsx Val!B140；級距 klac/dist/20261025_科磊模型_v0.2.1.xlsx Val!B139</t>
        </is>
      </c>
    </row>
    <row r="51">
      <c r="A51" t="inlineStr">
        <is>
          <t>042700</t>
        </is>
      </c>
      <c r="B51" t="inlineStr">
        <is>
          <t>Hanmi</t>
        </is>
      </c>
      <c r="C51">
        <f>價值鏈!A13</f>
        <v/>
      </c>
      <c r="D51" t="inlineStr">
        <is>
          <t>設備與材料</t>
        </is>
      </c>
      <c r="E51" t="inlineStr">
        <is>
          <t>加權目標價（DCF 50%＋Comparable 50%）</t>
        </is>
      </c>
      <c r="F51" s="4" t="n">
        <v>48379.3271291536</v>
      </c>
      <c r="G51" t="inlineStr">
        <is>
          <t>hanmi/dist/20261025_韓美半導體模型_v0.2.2.xlsx Val!B111</t>
        </is>
      </c>
      <c r="J51" s="4" t="n">
        <v>16072.8325490973</v>
      </c>
      <c r="K51" t="inlineStr">
        <is>
          <t>hanmi/dist/20261025_韓美半導體模型_v0.2.2.xlsx Val!D96</t>
        </is>
      </c>
      <c r="N51">
        <f>價格!H51</f>
        <v/>
      </c>
      <c r="O51">
        <f>MIN(F51,H51)</f>
        <v/>
      </c>
      <c r="P51">
        <f>MIN(J51,L51)</f>
        <v/>
      </c>
      <c r="Q51" s="4" t="n">
        <v>-0.743345744672925</v>
      </c>
      <c r="R51">
        <f>P51/N51-1</f>
        <v/>
      </c>
      <c r="S51" s="4" t="inlineStr">
        <is>
          <t>強力放空</t>
        </is>
      </c>
      <c r="T51">
        <f>64078.0210298826/N51-1</f>
        <v/>
      </c>
      <c r="U51" t="inlineStr">
        <is>
          <t>舊法：規則值情境加權價（參考，Val!B6）</t>
        </is>
      </c>
      <c r="V51" t="inlineStr">
        <is>
          <t>79.8 ／ 64.4 ／ 93.6</t>
        </is>
      </c>
      <c r="W51" s="1" t="inlineStr">
        <is>
          <t>DCF 目標價 27,779.9（Val!B97）；Comparable 目標價 68,978.7（Val!B112）；市場共識目標價 271,429.0（Val!B113，外部、僅供對照）；價格帶 C～A 情境 DCF 16,072.8～36,052.3</t>
        </is>
      </c>
      <c r="Z51">
        <f>IF(ISNUMBER(價格!C51),價格!H51/價格!C51-1,"")</f>
        <v/>
      </c>
      <c r="AA51">
        <f>IF(Z51="","",IF(ABS(Z51)&gt;0.2,"模型尚未反映期間變化",""))</f>
        <v/>
      </c>
      <c r="AB51" t="inlineStr">
        <is>
          <t>淨利</t>
        </is>
      </c>
      <c r="AC51" t="inlineStr">
        <is>
          <t>PL 頁各情境模型年度淨利（不含實績）</t>
        </is>
      </c>
      <c r="AD51" t="inlineStr">
        <is>
          <t>8 個情境年度淨利（不含實績），全部為正</t>
        </is>
      </c>
      <c r="AE51" s="4" t="n">
        <v>18743.41232250685</v>
      </c>
      <c r="AF51" s="4" t="n">
        <v>1335.38902964754</v>
      </c>
      <c r="AG51" t="inlineStr">
        <is>
          <t>[Derived] hanmi/dist/20261025_韓美半導體模型_v0.2.2.xlsx PL!D11…PL!G31</t>
        </is>
      </c>
      <c r="AH51">
        <f>IF(AB51="淨利",IF(AF51&gt;0,"通過（淨利）","不通過"),IF(AE51&lt;0,"不通過","通過（現金流）"))</f>
        <v/>
      </c>
      <c r="AI51">
        <f>IF(S51="未上市","未上市",IF(AND(AH51="不通過",OR(S51="強力買進",S51="買進",S51="未估值")),"收支不足",S51))</f>
        <v/>
      </c>
      <c r="AJ51" s="4" t="inlineStr">
        <is>
          <t>小於 −50%</t>
        </is>
      </c>
      <c r="AK51" s="1" t="inlineStr">
        <is>
          <t>上檔空間 hanmi/dist/20261025_韓美半導體模型_v0.2.2.xlsx Val!B114；投資建議 hanmi/dist/20261025_韓美半導體模型_v0.2.2.xlsx Val!B123；級距 hanmi/dist/20261025_韓美半導體模型_v0.2.2.xlsx Val!B122</t>
        </is>
      </c>
    </row>
    <row r="52">
      <c r="A52" t="inlineStr">
        <is>
          <t>TER</t>
        </is>
      </c>
      <c r="B52" t="inlineStr">
        <is>
          <t>Teradyne</t>
        </is>
      </c>
      <c r="C52">
        <f>價值鏈!A13</f>
        <v/>
      </c>
      <c r="D52" t="inlineStr">
        <is>
          <t>設備與材料</t>
        </is>
      </c>
      <c r="E52" t="inlineStr">
        <is>
          <t>加權目標價（DCF 50%＋Comparable 50%）</t>
        </is>
      </c>
      <c r="F52" s="4" t="n">
        <v>312.24974554145</v>
      </c>
      <c r="G52" t="inlineStr">
        <is>
          <t>ter/dist/20261025_泰瑞達模型_v0.1.1.xlsx Val!B126</t>
        </is>
      </c>
      <c r="J52" s="4" t="n">
        <v>153.841873065318</v>
      </c>
      <c r="K52" t="inlineStr">
        <is>
          <t>ter/dist/20261025_泰瑞達模型_v0.1.1.xlsx Val!D110</t>
        </is>
      </c>
      <c r="N52">
        <f>價格!H52</f>
        <v/>
      </c>
      <c r="O52">
        <f>MIN(F52,H52)</f>
        <v/>
      </c>
      <c r="P52">
        <f>MIN(J52,L52)</f>
        <v/>
      </c>
      <c r="Q52" s="4" t="n">
        <v>0.0110077563265327</v>
      </c>
      <c r="R52">
        <f>P52/N52-1</f>
        <v/>
      </c>
      <c r="S52" s="4" t="inlineStr">
        <is>
          <t>中立</t>
        </is>
      </c>
      <c r="T52">
        <f>388.636638757835/N52-1</f>
        <v/>
      </c>
      <c r="U52" t="inlineStr">
        <is>
          <t>舊法：規則值情境加權價（參考，Val!B82）</t>
        </is>
      </c>
      <c r="V52" t="inlineStr">
        <is>
          <t>18.6 ／ 21.8 ／ 25.1</t>
        </is>
      </c>
      <c r="W52" s="1" t="inlineStr">
        <is>
          <t>DCF 目標價 219.3（Val!B111）；Comparable 目標價 405.2（Val!B127）；市場共識目標價 446.5（Val!B128，外部、僅供對照）；價格帶 C～A 情境 DCF 153.8～286.3</t>
        </is>
      </c>
      <c r="Z52">
        <f>IF(ISNUMBER(價格!C52),價格!H52/價格!C52-1,"")</f>
        <v/>
      </c>
      <c r="AA52">
        <f>IF(Z52="","",IF(ABS(Z52)&gt;0.2,"模型尚未反映期間變化",""))</f>
        <v/>
      </c>
      <c r="AB52" t="inlineStr">
        <is>
          <t>淨利</t>
        </is>
      </c>
      <c r="AC52" t="inlineStr">
        <is>
          <t>PL 頁各情境模型年度淨利（不含實績）</t>
        </is>
      </c>
      <c r="AD52" t="inlineStr">
        <is>
          <t>10 個情境年度淨利（不含實績），全部為正</t>
        </is>
      </c>
      <c r="AE52" s="4" t="n">
        <v>22484.1670377317</v>
      </c>
      <c r="AF52" s="4" t="n">
        <v>1385.276</v>
      </c>
      <c r="AG52" t="inlineStr">
        <is>
          <t>[Derived] ter/dist/20261025_泰瑞達模型_v0.1.1.xlsx PL!D12…PL!G34</t>
        </is>
      </c>
      <c r="AH52">
        <f>IF(AB52="淨利",IF(AF52&gt;0,"通過（淨利）","不通過"),IF(AE52&lt;0,"不通過","通過（現金流）"))</f>
        <v/>
      </c>
      <c r="AI52">
        <f>IF(S52="未上市","未上市",IF(AND(AH52="不通過",OR(S52="強力買進",S52="買進",S52="未估值")),"收支不足",S52))</f>
        <v/>
      </c>
      <c r="AJ52" s="4" t="inlineStr">
        <is>
          <t>0%–25%</t>
        </is>
      </c>
      <c r="AK52" s="1" t="inlineStr">
        <is>
          <t>上檔空間 ter/dist/20261025_泰瑞達模型_v0.1.1.xlsx Val!B129；投資建議 ter/dist/20261025_泰瑞達模型_v0.1.1.xlsx Val!B138；級距 ter/dist/20261025_泰瑞達模型_v0.1.1.xlsx Val!B137</t>
        </is>
      </c>
    </row>
    <row r="53">
      <c r="A53" t="inlineStr">
        <is>
          <t>BESI</t>
        </is>
      </c>
      <c r="B53" t="inlineStr">
        <is>
          <t>BESI</t>
        </is>
      </c>
      <c r="C53">
        <f>價值鏈!A13</f>
        <v/>
      </c>
      <c r="D53" t="inlineStr">
        <is>
          <t>設備與材料</t>
        </is>
      </c>
      <c r="E53" t="inlineStr">
        <is>
          <t>加權目標價（DCF 50%＋Comparable 50%）</t>
        </is>
      </c>
      <c r="F53" s="4" t="n">
        <v>133.694918094684</v>
      </c>
      <c r="G53" t="inlineStr">
        <is>
          <t>besi/dist/20261025_BESI模型_v0.1.1.xlsx Val!B112</t>
        </is>
      </c>
      <c r="J53" s="4" t="n">
        <v>44.8181747206361</v>
      </c>
      <c r="K53" t="inlineStr">
        <is>
          <t>besi/dist/20261025_BESI模型_v0.1.1.xlsx Val!D96</t>
        </is>
      </c>
      <c r="N53">
        <f>價格!H53</f>
        <v/>
      </c>
      <c r="O53">
        <f>MIN(F53,H53)</f>
        <v/>
      </c>
      <c r="P53">
        <f>MIN(J53,L53)</f>
        <v/>
      </c>
      <c r="Q53" s="4" t="n">
        <v>-0.0786015293267841</v>
      </c>
      <c r="R53">
        <f>P53/N53-1</f>
        <v/>
      </c>
      <c r="S53" s="4" t="inlineStr">
        <is>
          <t>中立</t>
        </is>
      </c>
      <c r="T53">
        <f>188.684289175905/N53-1</f>
        <v/>
      </c>
      <c r="U53" t="inlineStr">
        <is>
          <t>舊法：規則值情境加權價（參考，Val!B6）</t>
        </is>
      </c>
      <c r="V53" t="inlineStr">
        <is>
          <t>15.5 ／ 22.0 ／ 44.6</t>
        </is>
      </c>
      <c r="W53" s="1" t="inlineStr">
        <is>
          <t>DCF 目標價 97.7（Val!B97）；Comparable 目標價 169.7（Val!B113）；市場共識目標價 270.6（Val!B114，外部、僅供對照）；價格帶 C～A 情境 DCF 44.8～158.4</t>
        </is>
      </c>
      <c r="Z53">
        <f>IF(ISNUMBER(價格!C53),價格!H53/價格!C53-1,"")</f>
        <v/>
      </c>
      <c r="AA53">
        <f>IF(Z53="","",IF(ABS(Z53)&gt;0.2,"模型尚未反映期間變化",""))</f>
        <v/>
      </c>
      <c r="AB53" t="inlineStr">
        <is>
          <t>淨利</t>
        </is>
      </c>
      <c r="AC53" t="inlineStr">
        <is>
          <t>PL 頁各情境模型年度淨利（不含實績）</t>
        </is>
      </c>
      <c r="AD53" t="inlineStr">
        <is>
          <t>10 個情境年度淨利（不含實績），全部為正</t>
        </is>
      </c>
      <c r="AE53" s="4" t="n">
        <v>4792.39461307724</v>
      </c>
      <c r="AF53" s="4" t="n">
        <v>262.5014472923</v>
      </c>
      <c r="AG53" t="inlineStr">
        <is>
          <t>[Derived] besi/dist/20261025_BESI模型_v0.1.1.xlsx PL!D11…PL!G31</t>
        </is>
      </c>
      <c r="AH53">
        <f>IF(AB53="淨利",IF(AF53&gt;0,"通過（淨利）","不通過"),IF(AE53&lt;0,"不通過","通過（現金流）"))</f>
        <v/>
      </c>
      <c r="AI53">
        <f>IF(S53="未上市","未上市",IF(AND(AH53="不通過",OR(S53="強力買進",S53="買進",S53="未估值")),"收支不足",S53))</f>
        <v/>
      </c>
      <c r="AJ53" s="4" t="inlineStr">
        <is>
          <t>0%～−25%</t>
        </is>
      </c>
      <c r="AK53" s="1" t="inlineStr">
        <is>
          <t>上檔空間 besi/dist/20261025_BESI模型_v0.1.1.xlsx Val!B115；投資建議 besi/dist/20261025_BESI模型_v0.1.1.xlsx Val!B124；級距 besi/dist/20261025_BESI模型_v0.1.1.xlsx Val!B123</t>
        </is>
      </c>
    </row>
    <row r="54">
      <c r="A54" t="inlineStr">
        <is>
          <t>6315</t>
        </is>
      </c>
      <c r="B54" t="inlineStr">
        <is>
          <t>TOWA</t>
        </is>
      </c>
      <c r="C54">
        <f>價值鏈!A13</f>
        <v/>
      </c>
      <c r="D54" t="inlineStr">
        <is>
          <t>設備與材料</t>
        </is>
      </c>
      <c r="E54" t="inlineStr">
        <is>
          <t>加權目標價（DCF 50%＋Comparable 50%）</t>
        </is>
      </c>
      <c r="F54" s="4" t="n">
        <v>1725.84500411319</v>
      </c>
      <c r="G54" t="inlineStr">
        <is>
          <t>towa/dist/20261025_TOWA模型_v0.1.1.xlsx Val!B39</t>
        </is>
      </c>
      <c r="J54" s="4" t="n">
        <v>759.567964433826</v>
      </c>
      <c r="K54" t="inlineStr">
        <is>
          <t>towa/dist/20261025_TOWA模型_v0.1.1.xlsx Val!D23</t>
        </is>
      </c>
      <c r="N54">
        <f>價格!H54</f>
        <v/>
      </c>
      <c r="O54">
        <f>MIN(F54,H54)</f>
        <v/>
      </c>
      <c r="P54">
        <f>MIN(J54,L54)</f>
        <v/>
      </c>
      <c r="Q54" s="4" t="n">
        <v>-0.123046237747364</v>
      </c>
      <c r="R54">
        <f>P54/N54-1</f>
        <v/>
      </c>
      <c r="S54" s="4" t="inlineStr">
        <is>
          <t>中立</t>
        </is>
      </c>
      <c r="T54">
        <f>1478.20786366597/N54-1</f>
        <v/>
      </c>
      <c r="U54" t="inlineStr">
        <is>
          <t>舊法：規則值情境加權價（參考，Val!B120）</t>
        </is>
      </c>
      <c r="V54" t="inlineStr">
        <is>
          <t>17.1 ／ 20.3 ／ 27.6</t>
        </is>
      </c>
      <c r="W54" s="1" t="inlineStr">
        <is>
          <t>DCF 目標價 1,015.4（Val!B24）；Comparable 目標價 2,436.3（Val!B40）；市場共識目標價 3,300.0（Val!B41，外部、僅供對照）；價格帶 C～A 情境 DCF 759.6～1,353.8</t>
        </is>
      </c>
      <c r="Z54">
        <f>IF(ISNUMBER(價格!C54),價格!H54/價格!C54-1,"")</f>
        <v/>
      </c>
      <c r="AA54">
        <f>IF(Z54="","",IF(ABS(Z54)&gt;0.2,"模型尚未反映期間變化",""))</f>
        <v/>
      </c>
      <c r="AB54" t="inlineStr">
        <is>
          <t>淨利</t>
        </is>
      </c>
      <c r="AC54" t="inlineStr">
        <is>
          <t>PL 頁各情境模型年度淨利（不含實績）</t>
        </is>
      </c>
      <c r="AD54" t="inlineStr">
        <is>
          <t>10 個情境年度淨利（不含實績），全部為正</t>
        </is>
      </c>
      <c r="AE54" s="4" t="n">
        <v>69.95924195194875</v>
      </c>
      <c r="AF54" s="4" t="n">
        <v>5.35310769200747</v>
      </c>
      <c r="AG54" t="inlineStr">
        <is>
          <t>[Derived] towa/dist/20261025_TOWA模型_v0.1.1.xlsx PL!D14…PL!G42</t>
        </is>
      </c>
      <c r="AH54">
        <f>IF(AB54="淨利",IF(AF54&gt;0,"通過（淨利）","不通過"),IF(AE54&lt;0,"不通過","通過（現金流）"))</f>
        <v/>
      </c>
      <c r="AI54">
        <f>IF(S54="未上市","未上市",IF(AND(AH54="不通過",OR(S54="強力買進",S54="買進",S54="未估值")),"收支不足",S54))</f>
        <v/>
      </c>
      <c r="AJ54" s="4" t="inlineStr">
        <is>
          <t>0%～−25%</t>
        </is>
      </c>
      <c r="AK54" s="1" t="inlineStr">
        <is>
          <t>上檔空間 towa/dist/20261025_TOWA模型_v0.1.1.xlsx Val!B42；投資建議 towa/dist/20261025_TOWA模型_v0.1.1.xlsx Val!B125；級距 towa/dist/20261025_TOWA模型_v0.1.1.xlsx Val!B124</t>
        </is>
      </c>
    </row>
    <row r="55">
      <c r="A55" t="inlineStr">
        <is>
          <t>7729</t>
        </is>
      </c>
      <c r="B55" t="inlineStr">
        <is>
          <t>東京精密</t>
        </is>
      </c>
      <c r="C55">
        <f>價值鏈!A13</f>
        <v/>
      </c>
      <c r="D55" t="inlineStr">
        <is>
          <t>設備與材料</t>
        </is>
      </c>
      <c r="E55" t="inlineStr">
        <is>
          <t>加權目標價（DCF 50%＋Comparable 50%）</t>
        </is>
      </c>
      <c r="F55" s="4" t="n">
        <v>19528.0923097883</v>
      </c>
      <c r="G55" t="inlineStr">
        <is>
          <t>accretech/dist/20261025_東京精密模型_v0.1.1.xlsx Val!B40</t>
        </is>
      </c>
      <c r="J55" s="4" t="n">
        <v>6136.30379041145</v>
      </c>
      <c r="K55" t="inlineStr">
        <is>
          <t>accretech/dist/20261025_東京精密模型_v0.1.1.xlsx Val!D23</t>
        </is>
      </c>
      <c r="N55">
        <f>價格!H55</f>
        <v/>
      </c>
      <c r="O55">
        <f>MIN(F55,H55)</f>
        <v/>
      </c>
      <c r="P55">
        <f>MIN(J55,L55)</f>
        <v/>
      </c>
      <c r="Q55" s="4" t="n">
        <v>0.258253370476048</v>
      </c>
      <c r="R55">
        <f>P55/N55-1</f>
        <v/>
      </c>
      <c r="S55" s="4" t="inlineStr">
        <is>
          <t>買進</t>
        </is>
      </c>
      <c r="T55">
        <f>11632.8169386252/N55-1</f>
        <v/>
      </c>
      <c r="U55" t="inlineStr">
        <is>
          <t>舊法：規則值情境加權價（參考，Val!B111）</t>
        </is>
      </c>
      <c r="V55" t="inlineStr">
        <is>
          <t>14.4 ／ 18.7 ／ 27.6</t>
        </is>
      </c>
      <c r="W55" s="1" t="inlineStr">
        <is>
          <t>DCF 目標價 10,189.2（Val!B24）；Comparable 目標價 28,867.0（Val!B41）；市場共識目標價 20,900.0（Val!B42，外部、僅供對照）；價格帶 C～A 情境 DCF 6,136.3～15,099.6</t>
        </is>
      </c>
      <c r="Z55">
        <f>IF(ISNUMBER(價格!C55),價格!H55/價格!C55-1,"")</f>
        <v/>
      </c>
      <c r="AA55">
        <f>IF(Z55="","",IF(ABS(Z55)&gt;0.2,"模型尚未反映期間變化",""))</f>
        <v/>
      </c>
      <c r="AB55" t="inlineStr">
        <is>
          <t>淨利</t>
        </is>
      </c>
      <c r="AC55" t="inlineStr">
        <is>
          <t>PL 頁各情境模型年度淨利（不含實績）</t>
        </is>
      </c>
      <c r="AD55" t="inlineStr">
        <is>
          <t>10 個情境年度淨利（不含實績），全部為正</t>
        </is>
      </c>
      <c r="AE55" s="4" t="n">
        <v>335.6546994343125</v>
      </c>
      <c r="AF55" s="4" t="n">
        <v>22.1787798337895</v>
      </c>
      <c r="AG55" t="inlineStr">
        <is>
          <t>[Derived] accretech/dist/20261025_東京精密模型_v0.1.1.xlsx PL!D12…PL!G34</t>
        </is>
      </c>
      <c r="AH55">
        <f>IF(AB55="淨利",IF(AF55&gt;0,"通過（淨利）","不通過"),IF(AE55&lt;0,"不通過","通過（現金流）"))</f>
        <v/>
      </c>
      <c r="AI55">
        <f>IF(S55="未上市","未上市",IF(AND(AH55="不通過",OR(S55="強力買進",S55="買進",S55="未估值")),"收支不足",S55))</f>
        <v/>
      </c>
      <c r="AJ55" s="4" t="inlineStr">
        <is>
          <t>25%–50%</t>
        </is>
      </c>
      <c r="AK55" s="1" t="inlineStr">
        <is>
          <t>上檔空間 accretech/dist/20261025_東京精密模型_v0.1.1.xlsx Val!B43；投資建議 accretech/dist/20261025_東京精密模型_v0.1.1.xlsx Val!B116；級距 accretech/dist/20261025_東京精密模型_v0.1.1.xlsx Val!B115</t>
        </is>
      </c>
    </row>
    <row r="56">
      <c r="A56" t="inlineStr">
        <is>
          <t>2317</t>
        </is>
      </c>
      <c r="B56" t="inlineStr">
        <is>
          <t>鴻海</t>
        </is>
      </c>
      <c r="C56">
        <f>價值鏈!A11</f>
        <v/>
      </c>
      <c r="D56" t="inlineStr">
        <is>
          <t>伺服器組裝</t>
        </is>
      </c>
      <c r="E56" t="inlineStr">
        <is>
          <t>加權目標價（DCF 50%＋Comparable 50%）</t>
        </is>
      </c>
      <c r="F56" s="4" t="n">
        <v>349.917288066707</v>
      </c>
      <c r="G56" t="inlineStr">
        <is>
          <t>foxconn/dist/20261028_鴻海個股模型_v0.3.xlsx Val!B120</t>
        </is>
      </c>
      <c r="J56" s="4" t="n">
        <v>209.885963820218</v>
      </c>
      <c r="K56" t="inlineStr">
        <is>
          <t>foxconn/dist/20261028_鴻海個股模型_v0.3.xlsx Val!D104</t>
        </is>
      </c>
      <c r="N56">
        <f>價格!H56</f>
        <v/>
      </c>
      <c r="O56">
        <f>MIN(F56,H56)</f>
        <v/>
      </c>
      <c r="P56">
        <f>MIN(J56,L56)</f>
        <v/>
      </c>
      <c r="Q56" s="4" t="n">
        <v>0.4282338288437</v>
      </c>
      <c r="R56">
        <f>P56/N56-1</f>
        <v/>
      </c>
      <c r="S56" s="4" t="inlineStr">
        <is>
          <t>買進</t>
        </is>
      </c>
      <c r="T56">
        <f>261.429965980012/N56-1</f>
        <v/>
      </c>
      <c r="U56" t="inlineStr">
        <is>
          <t>舊法：規則值情境加權價（參考，Val!B38）</t>
        </is>
      </c>
      <c r="V56" t="inlineStr">
        <is>
          <t>7.8 ／ 8.8 ／ 10.4</t>
        </is>
      </c>
      <c r="W56" s="1" t="inlineStr">
        <is>
          <t>DCF 目標價 290.3（Val!B105）；Comparable 目標價 409.5（Val!B121）；市場共識目標價 347.4（Val!B122，外部、僅供對照）；價格帶 C～A 情境 DCF 209.9～347.2</t>
        </is>
      </c>
      <c r="Z56">
        <f>IF(ISNUMBER(價格!C56),價格!H56/價格!C56-1,"")</f>
        <v/>
      </c>
      <c r="AA56">
        <f>IF(Z56="","",IF(ABS(Z56)&gt;0.2,"模型尚未反映期間變化",""))</f>
        <v/>
      </c>
      <c r="AB56" t="inlineStr">
        <is>
          <t>淨利</t>
        </is>
      </c>
      <c r="AC56" t="inlineStr">
        <is>
          <t>PL 頁各情境模型年度淨利（不含實績）</t>
        </is>
      </c>
      <c r="AD56" t="inlineStr">
        <is>
          <t>8 個情境年度淨利（不含實績），全部為正</t>
        </is>
      </c>
      <c r="AE56" s="4" t="n">
        <v>3063.319471023561</v>
      </c>
      <c r="AF56" s="4" t="n">
        <v>275.25708735</v>
      </c>
      <c r="AG56" t="inlineStr">
        <is>
          <t>[Derived] foxconn/dist/20261028_鴻海個股模型_v0.3.xlsx PL!D17…PL!G51</t>
        </is>
      </c>
      <c r="AH56">
        <f>IF(AB56="淨利",IF(AF56&gt;0,"通過（淨利）","不通過"),IF(AE56&lt;0,"不通過","通過（現金流）"))</f>
        <v/>
      </c>
      <c r="AI56">
        <f>IF(S56="未上市","未上市",IF(AND(AH56="不通過",OR(S56="強力買進",S56="買進",S56="未估值")),"收支不足",S56))</f>
        <v/>
      </c>
      <c r="AJ56" s="4" t="inlineStr">
        <is>
          <t>25%–50%</t>
        </is>
      </c>
      <c r="AK56" s="1" t="inlineStr">
        <is>
          <t>上檔空間 foxconn/dist/20261028_鴻海個股模型_v0.3.xlsx Val!B123；投資建議 foxconn/dist/20261028_鴻海個股模型_v0.3.xlsx Val!B136；級距 foxconn/dist/20261028_鴻海個股模型_v0.3.xlsx Val!B135</t>
        </is>
      </c>
    </row>
    <row r="57">
      <c r="A57" t="inlineStr">
        <is>
          <t>3231</t>
        </is>
      </c>
      <c r="B57" t="inlineStr">
        <is>
          <t>緯創</t>
        </is>
      </c>
      <c r="C57">
        <f>價值鏈!A11</f>
        <v/>
      </c>
      <c r="D57" t="inlineStr">
        <is>
          <t>伺服器組裝</t>
        </is>
      </c>
      <c r="E57" t="inlineStr">
        <is>
          <t>加權目標價（DCF 50%＋Comparable 50%）</t>
        </is>
      </c>
      <c r="F57" s="4" t="n">
        <v>349.418497840522</v>
      </c>
      <c r="G57" t="inlineStr">
        <is>
          <t>wistron/dist/20261025_緯創模型_v0.1.1.xlsx Val!B39</t>
        </is>
      </c>
      <c r="J57" s="4" t="n">
        <v>250.722079146534</v>
      </c>
      <c r="K57" t="inlineStr">
        <is>
          <t>wistron/dist/20261025_緯創模型_v0.1.1.xlsx Val!D23</t>
        </is>
      </c>
      <c r="N57">
        <f>價格!H57</f>
        <v/>
      </c>
      <c r="O57">
        <f>MIN(F57,H57)</f>
        <v/>
      </c>
      <c r="P57">
        <f>MIN(J57,L57)</f>
        <v/>
      </c>
      <c r="Q57" s="4" t="n">
        <v>0.8390447254764331</v>
      </c>
      <c r="R57">
        <f>P57/N57-1</f>
        <v/>
      </c>
      <c r="S57" s="4" t="inlineStr">
        <is>
          <t>強力買進</t>
        </is>
      </c>
      <c r="V57" t="inlineStr">
        <is>
          <t>5.8 ／ 7.1 ／ 9.3</t>
        </is>
      </c>
      <c r="W57" s="1" t="inlineStr">
        <is>
          <t>DCF 目標價 390.0（Val!B24）；Comparable 目標價 308.8（Val!B40）；市場共識目標價 268.7（Val!B41，外部、僅供對照）；價格帶 C～A 情境 DCF 250.7～485.5</t>
        </is>
      </c>
      <c r="Z57">
        <f>IF(ISNUMBER(價格!C57),價格!H57/價格!C57-1,"")</f>
        <v/>
      </c>
      <c r="AA57">
        <f>IF(Z57="","",IF(ABS(Z57)&gt;0.2,"模型尚未反映期間變化",""))</f>
        <v/>
      </c>
      <c r="AB57" t="inlineStr">
        <is>
          <t>淨利</t>
        </is>
      </c>
      <c r="AC57" t="inlineStr">
        <is>
          <t>PL 頁各情境模型年度淨利（不含實績）</t>
        </is>
      </c>
      <c r="AD57" t="inlineStr">
        <is>
          <t>17 個情境年度淨利（不含實績），全部為正</t>
        </is>
      </c>
      <c r="AE57" s="4" t="n">
        <v>1660.535735525453</v>
      </c>
      <c r="AF57" s="4" t="n">
        <v>59.6707048338912</v>
      </c>
      <c r="AG57" t="inlineStr">
        <is>
          <t>[Derived] wistron/dist/20261025_緯創模型_v0.1.1.xlsx PL!D13…PL!J41</t>
        </is>
      </c>
      <c r="AH57">
        <f>IF(AB57="淨利",IF(AF57&gt;0,"通過（淨利）","不通過"),IF(AE57&lt;0,"不通過","通過（現金流）"))</f>
        <v/>
      </c>
      <c r="AI57">
        <f>IF(S57="未上市","未上市",IF(AND(AH57="不通過",OR(S57="強力買進",S57="買進",S57="未估值")),"收支不足",S57))</f>
        <v/>
      </c>
      <c r="AJ57" s="4" t="inlineStr">
        <is>
          <t>大於 50%</t>
        </is>
      </c>
      <c r="AK57" s="1" t="inlineStr">
        <is>
          <t>上檔空間 wistron/dist/20261025_緯創模型_v0.1.1.xlsx Val!B42；投資建議 wistron/dist/20261025_緯創模型_v0.1.1.xlsx Val!B136；級距 wistron/dist/20261025_緯創模型_v0.1.1.xlsx Val!B135</t>
        </is>
      </c>
    </row>
    <row r="58">
      <c r="A58" t="inlineStr">
        <is>
          <t>6669</t>
        </is>
      </c>
      <c r="B58" t="inlineStr">
        <is>
          <t>緯穎</t>
        </is>
      </c>
      <c r="C58">
        <f>價值鏈!A11</f>
        <v/>
      </c>
      <c r="D58" t="inlineStr">
        <is>
          <t>伺服器組裝</t>
        </is>
      </c>
      <c r="E58" t="inlineStr">
        <is>
          <t>加權目標價（DCF 50%＋Comparable 50%）</t>
        </is>
      </c>
      <c r="F58" s="4" t="n">
        <v>3314.42332268005</v>
      </c>
      <c r="G58" t="inlineStr">
        <is>
          <t>wiwynn/dist/20261025_緯穎模型_v0.1.1.xlsx Val!B39</t>
        </is>
      </c>
      <c r="J58" s="4" t="n">
        <v>2411.99384333378</v>
      </c>
      <c r="K58" t="inlineStr">
        <is>
          <t>wiwynn/dist/20261025_緯穎模型_v0.1.1.xlsx Val!D23</t>
        </is>
      </c>
      <c r="N58">
        <f>價格!H58</f>
        <v/>
      </c>
      <c r="O58">
        <f>MIN(F58,H58)</f>
        <v/>
      </c>
      <c r="P58">
        <f>MIN(J58,L58)</f>
        <v/>
      </c>
      <c r="Q58" s="4" t="n">
        <v>0.801317023195682</v>
      </c>
      <c r="R58">
        <f>P58/N58-1</f>
        <v/>
      </c>
      <c r="S58" s="4" t="inlineStr">
        <is>
          <t>強力買進</t>
        </is>
      </c>
      <c r="V58" t="inlineStr">
        <is>
          <t>6.3 ／ 7.4 ／ 9.3</t>
        </is>
      </c>
      <c r="W58" s="1" t="inlineStr">
        <is>
          <t>DCF 目標價 3,755.8（Val!B24）；Comparable 目標價 2,873.0（Val!B40）；市場共識目標價 2,845.7（Val!B41，外部、僅供對照）；價格帶 C～A 情境 DCF 2,412.0～4,736.9</t>
        </is>
      </c>
      <c r="Z58">
        <f>IF(ISNUMBER(價格!C58),價格!H58/價格!C58-1,"")</f>
        <v/>
      </c>
      <c r="AA58">
        <f>IF(Z58="","",IF(ABS(Z58)&gt;0.2,"模型尚未反映期間變化",""))</f>
        <v/>
      </c>
      <c r="AB58" t="inlineStr">
        <is>
          <t>淨利</t>
        </is>
      </c>
      <c r="AC58" t="inlineStr">
        <is>
          <t>PL 頁各情境模型年度淨利（不含實績）</t>
        </is>
      </c>
      <c r="AD58" t="inlineStr">
        <is>
          <t>17 個情境年度淨利（不含實績），全部為正</t>
        </is>
      </c>
      <c r="AE58" s="4" t="n">
        <v>2434.816945249128</v>
      </c>
      <c r="AF58" s="4" t="n">
        <v>77.0324485376</v>
      </c>
      <c r="AG58" t="inlineStr">
        <is>
          <t>[Derived] wiwynn/dist/20261025_緯穎模型_v0.1.1.xlsx PL!D12…PL!J38</t>
        </is>
      </c>
      <c r="AH58">
        <f>IF(AB58="淨利",IF(AF58&gt;0,"通過（淨利）","不通過"),IF(AE58&lt;0,"不通過","通過（現金流）"))</f>
        <v/>
      </c>
      <c r="AI58">
        <f>IF(S58="未上市","未上市",IF(AND(AH58="不通過",OR(S58="強力買進",S58="買進",S58="未估值")),"收支不足",S58))</f>
        <v/>
      </c>
      <c r="AJ58" s="4" t="inlineStr">
        <is>
          <t>大於 50%</t>
        </is>
      </c>
      <c r="AK58" s="1" t="inlineStr">
        <is>
          <t>上檔空間 wiwynn/dist/20261025_緯穎模型_v0.1.1.xlsx Val!B42；投資建議 wiwynn/dist/20261025_緯穎模型_v0.1.1.xlsx Val!B136；級距 wiwynn/dist/20261025_緯穎模型_v0.1.1.xlsx Val!B135</t>
        </is>
      </c>
    </row>
    <row r="59">
      <c r="A59" t="inlineStr">
        <is>
          <t>DELL</t>
        </is>
      </c>
      <c r="B59" t="inlineStr">
        <is>
          <t>Dell</t>
        </is>
      </c>
      <c r="C59">
        <f>價值鏈!A11</f>
        <v/>
      </c>
      <c r="D59" t="inlineStr">
        <is>
          <t>伺服器組裝</t>
        </is>
      </c>
      <c r="E59" t="inlineStr">
        <is>
          <t>加權目標價（DCF 50%＋Comparable 50%）</t>
        </is>
      </c>
      <c r="F59" s="4" t="n">
        <v>378.124733282739</v>
      </c>
      <c r="G59" t="inlineStr">
        <is>
          <t>dell/dist/20261025_戴爾模型_v0.1.xlsx Val!B39</t>
        </is>
      </c>
      <c r="J59" s="4" t="n">
        <v>294.174960847299</v>
      </c>
      <c r="K59" t="inlineStr">
        <is>
          <t>dell/dist/20261025_戴爾模型_v0.1.xlsx Val!D23</t>
        </is>
      </c>
      <c r="N59">
        <f>價格!H59</f>
        <v/>
      </c>
      <c r="O59">
        <f>MIN(F59,H59)</f>
        <v/>
      </c>
      <c r="P59">
        <f>MIN(J59,L59)</f>
        <v/>
      </c>
      <c r="Q59" s="4" t="n">
        <v>-0.171578447807512</v>
      </c>
      <c r="R59">
        <f>P59/N59-1</f>
        <v/>
      </c>
      <c r="S59" s="4" t="inlineStr">
        <is>
          <t>中立</t>
        </is>
      </c>
      <c r="V59" t="inlineStr">
        <is>
          <t>14.6 ／ 14.6 ／ 14.6</t>
        </is>
      </c>
      <c r="W59" s="1" t="inlineStr">
        <is>
          <t>DCF 目標價 425.0（Val!B24）；Comparable 目標價 331.3（Val!B40）；市場共識目標價 593.0（Val!B41，外部、僅供對照）；價格帶 C～A 情境 DCF 294.2～529.2</t>
        </is>
      </c>
      <c r="Z59">
        <f>IF(ISNUMBER(價格!C59),價格!H59/價格!C59-1,"")</f>
        <v/>
      </c>
      <c r="AA59">
        <f>IF(Z59="","",IF(ABS(Z59)&gt;0.2,"模型尚未反映期間變化",""))</f>
        <v/>
      </c>
      <c r="AB59" t="inlineStr">
        <is>
          <t>淨利</t>
        </is>
      </c>
      <c r="AC59" t="inlineStr">
        <is>
          <t>PL 頁各情境模型年度淨利（不含實績）</t>
        </is>
      </c>
      <c r="AD59" t="inlineStr">
        <is>
          <t>14 個情境年度淨利（不含實績），全部為正</t>
        </is>
      </c>
      <c r="AE59" s="4" t="n">
        <v>252.4599787054823</v>
      </c>
      <c r="AF59" s="4" t="n">
        <v>12.345214564461</v>
      </c>
      <c r="AG59" t="inlineStr">
        <is>
          <t>[Derived] dell/dist/20261025_戴爾模型_v0.1.xlsx PL!D13…PL!I41</t>
        </is>
      </c>
      <c r="AH59">
        <f>IF(AB59="淨利",IF(AF59&gt;0,"通過（淨利）","不通過"),IF(AE59&lt;0,"不通過","通過（現金流）"))</f>
        <v/>
      </c>
      <c r="AI59">
        <f>IF(S59="未上市","未上市",IF(AND(AH59="不通過",OR(S59="強力買進",S59="買進",S59="未估值")),"收支不足",S59))</f>
        <v/>
      </c>
      <c r="AJ59" s="4" t="inlineStr">
        <is>
          <t>0%～−25%</t>
        </is>
      </c>
      <c r="AK59" s="1" t="inlineStr">
        <is>
          <t>上檔空間 dell/dist/20261025_戴爾模型_v0.1.xlsx Val!B42；投資建議 dell/dist/20261025_戴爾模型_v0.1.xlsx Val!B49；級距 dell/dist/20261025_戴爾模型_v0.1.xlsx Val!B48</t>
        </is>
      </c>
    </row>
    <row r="60">
      <c r="A60" t="inlineStr">
        <is>
          <t>SMCI</t>
        </is>
      </c>
      <c r="B60" t="inlineStr">
        <is>
          <t>Supermicro</t>
        </is>
      </c>
      <c r="C60">
        <f>價值鏈!A11</f>
        <v/>
      </c>
      <c r="D60" t="inlineStr">
        <is>
          <t>伺服器組裝</t>
        </is>
      </c>
      <c r="E60" t="inlineStr">
        <is>
          <t>加權目標價（DCF 50%＋Comparable 50%）</t>
        </is>
      </c>
      <c r="F60" s="4" t="n">
        <v>76.5884933063349</v>
      </c>
      <c r="G60" t="inlineStr">
        <is>
          <t>smci/dist/20261025_美超微模型_v0.1.1.xlsx Val!B39</t>
        </is>
      </c>
      <c r="J60" s="4" t="n">
        <v>31.419993199526</v>
      </c>
      <c r="K60" t="inlineStr">
        <is>
          <t>smci/dist/20261025_美超微模型_v0.1.1.xlsx Val!D23</t>
        </is>
      </c>
      <c r="N60">
        <f>價格!H60</f>
        <v/>
      </c>
      <c r="O60">
        <f>MIN(F60,H60)</f>
        <v/>
      </c>
      <c r="P60">
        <f>MIN(J60,L60)</f>
        <v/>
      </c>
      <c r="Q60" s="4" t="n">
        <v>1.32509087147343</v>
      </c>
      <c r="R60">
        <f>P60/N60-1</f>
        <v/>
      </c>
      <c r="S60" s="4" t="inlineStr">
        <is>
          <t>強力買進</t>
        </is>
      </c>
      <c r="V60" t="inlineStr">
        <is>
          <t>3.8 ／ 5.4 ／ 9.2</t>
        </is>
      </c>
      <c r="W60" s="1" t="inlineStr">
        <is>
          <t>DCF 目標價 78.0（Val!B24）；Comparable 目標價 75.2（Val!B40）；市場共識目標價 43.3（Val!B41，外部、僅供對照）；價格帶 C～A 情境 DCF 31.4～128.1</t>
        </is>
      </c>
      <c r="Z60">
        <f>IF(ISNUMBER(價格!C60),價格!H60/價格!C60-1,"")</f>
        <v/>
      </c>
      <c r="AA60">
        <f>IF(Z60="","",IF(ABS(Z60)&gt;0.2,"模型尚未反映期間變化",""))</f>
        <v/>
      </c>
      <c r="AB60" t="inlineStr">
        <is>
          <t>淨利</t>
        </is>
      </c>
      <c r="AC60" t="inlineStr">
        <is>
          <t>PL 頁各情境模型年度淨利（不含實績）</t>
        </is>
      </c>
      <c r="AD60" t="inlineStr">
        <is>
          <t>18 個情境年度淨利（不含實績），全部為正</t>
        </is>
      </c>
      <c r="AE60" s="4" t="n">
        <v>87.28958129908457</v>
      </c>
      <c r="AF60" s="4" t="n">
        <v>2.01201595667954</v>
      </c>
      <c r="AG60" t="inlineStr">
        <is>
          <t>[Derived] smci/dist/20261025_美超微模型_v0.1.1.xlsx PL!E12…PL!J38</t>
        </is>
      </c>
      <c r="AH60">
        <f>IF(AB60="淨利",IF(AF60&gt;0,"通過（淨利）","不通過"),IF(AE60&lt;0,"不通過","通過（現金流）"))</f>
        <v/>
      </c>
      <c r="AI60">
        <f>IF(S60="未上市","未上市",IF(AND(AH60="不通過",OR(S60="強力買進",S60="買進",S60="未估值")),"收支不足",S60))</f>
        <v/>
      </c>
      <c r="AJ60" s="4" t="inlineStr">
        <is>
          <t>大於 50%</t>
        </is>
      </c>
      <c r="AK60" s="1" t="inlineStr">
        <is>
          <t>上檔空間 smci/dist/20261025_美超微模型_v0.1.1.xlsx Val!B42；投資建議 smci/dist/20261025_美超微模型_v0.1.1.xlsx Val!B136；級距 smci/dist/20261025_美超微模型_v0.1.1.xlsx Val!B135</t>
        </is>
      </c>
    </row>
    <row r="61">
      <c r="A61" t="inlineStr">
        <is>
          <t>3017</t>
        </is>
      </c>
      <c r="B61" t="inlineStr">
        <is>
          <t>奇鋐</t>
        </is>
      </c>
      <c r="C61">
        <f>價值鏈!A10</f>
        <v/>
      </c>
      <c r="D61" t="inlineStr">
        <is>
          <t>電源與散熱</t>
        </is>
      </c>
      <c r="E61" t="inlineStr">
        <is>
          <t>加權目標價（DCF 50%＋Comparable 50%）</t>
        </is>
      </c>
      <c r="F61" s="4" t="n">
        <v>3965.52216912283</v>
      </c>
      <c r="G61" t="inlineStr">
        <is>
          <t>avc/dist/20261025_奇鋐模型_v0.2.1.xlsx Val!B119</t>
        </is>
      </c>
      <c r="J61" s="4" t="n">
        <v>1834.66717881609</v>
      </c>
      <c r="K61" t="inlineStr">
        <is>
          <t>avc/dist/20261025_奇鋐模型_v0.2.1.xlsx Val!D104</t>
        </is>
      </c>
      <c r="N61">
        <f>價格!H61</f>
        <v/>
      </c>
      <c r="O61">
        <f>MIN(F61,H61)</f>
        <v/>
      </c>
      <c r="P61">
        <f>MIN(J61,L61)</f>
        <v/>
      </c>
      <c r="Q61" s="4" t="n">
        <v>0.260897351072441</v>
      </c>
      <c r="R61">
        <f>P61/N61-1</f>
        <v/>
      </c>
      <c r="S61" s="4" t="inlineStr">
        <is>
          <t>買進</t>
        </is>
      </c>
      <c r="T61">
        <f>2031.07059401483/N61-1</f>
        <v/>
      </c>
      <c r="U61" t="inlineStr">
        <is>
          <t>舊法：規則值情境加權價（參考，Val!B75）</t>
        </is>
      </c>
      <c r="V61" t="inlineStr">
        <is>
          <t>14.0 ／ 17.7 ／ 24.1</t>
        </is>
      </c>
      <c r="W61" s="1" t="inlineStr">
        <is>
          <t>DCF 目標價 3,002.5（Val!B105）；Comparable 目標價 4,928.5（Val!B120）；市場共識目標價 4,130.0（Val!B121，外部、僅供對照）；價格帶 C～A 情境 DCF 1,834.7～3,745.5</t>
        </is>
      </c>
      <c r="Z61">
        <f>IF(ISNUMBER(價格!C61),價格!H61/價格!C61-1,"")</f>
        <v/>
      </c>
      <c r="AA61">
        <f>IF(Z61="","",IF(ABS(Z61)&gt;0.2,"模型尚未反映期間變化",""))</f>
        <v/>
      </c>
      <c r="AB61" t="inlineStr">
        <is>
          <t>淨利</t>
        </is>
      </c>
      <c r="AC61" t="inlineStr">
        <is>
          <t>PL 頁各情境模型年度淨利（不含實績）</t>
        </is>
      </c>
      <c r="AD61" t="inlineStr">
        <is>
          <t>10 個情境年度淨利（不含實績），全部為正</t>
        </is>
      </c>
      <c r="AE61" s="4" t="n">
        <v>671.2521938360476</v>
      </c>
      <c r="AF61" s="4" t="n">
        <v>41.5923093275</v>
      </c>
      <c r="AG61" t="inlineStr">
        <is>
          <t>[Derived] avc/dist/20261025_奇鋐模型_v0.2.1.xlsx PL!D14…PL!G42</t>
        </is>
      </c>
      <c r="AH61">
        <f>IF(AB61="淨利",IF(AF61&gt;0,"通過（淨利）","不通過"),IF(AE61&lt;0,"不通過","通過（現金流）"))</f>
        <v/>
      </c>
      <c r="AI61">
        <f>IF(S61="未上市","未上市",IF(AND(AH61="不通過",OR(S61="強力買進",S61="買進",S61="未估值")),"收支不足",S61))</f>
        <v/>
      </c>
      <c r="AJ61" s="4" t="inlineStr">
        <is>
          <t>25%–50%</t>
        </is>
      </c>
      <c r="AK61" s="1" t="inlineStr">
        <is>
          <t>上檔空間 avc/dist/20261025_奇鋐模型_v0.2.1.xlsx Val!B122；投資建議 avc/dist/20261025_奇鋐模型_v0.2.1.xlsx Val!B135；級距 avc/dist/20261025_奇鋐模型_v0.2.1.xlsx Val!B134</t>
        </is>
      </c>
    </row>
    <row r="62">
      <c r="A62" t="inlineStr">
        <is>
          <t>2301</t>
        </is>
      </c>
      <c r="B62" t="inlineStr">
        <is>
          <t>光寶</t>
        </is>
      </c>
      <c r="C62">
        <f>價值鏈!A10</f>
        <v/>
      </c>
      <c r="D62" t="inlineStr">
        <is>
          <t>電源與散熱</t>
        </is>
      </c>
      <c r="E62" t="inlineStr">
        <is>
          <t>加權目標價（DCF 50%＋Comparable 50%）</t>
        </is>
      </c>
      <c r="F62" s="4" t="n">
        <v>423.55158041803</v>
      </c>
      <c r="G62" t="inlineStr">
        <is>
          <t>liteon/dist/20261028_光寶個股模型_v0.2.xlsx Val!B40</t>
        </is>
      </c>
      <c r="J62" s="4" t="n">
        <v>120.655384312938</v>
      </c>
      <c r="K62" t="inlineStr">
        <is>
          <t>liteon/dist/20261028_光寶個股模型_v0.2.xlsx Val!D23</t>
        </is>
      </c>
      <c r="N62">
        <f>價格!H62</f>
        <v/>
      </c>
      <c r="O62">
        <f>MIN(F62,H62)</f>
        <v/>
      </c>
      <c r="P62">
        <f>MIN(J62,L62)</f>
        <v/>
      </c>
      <c r="Q62" s="4" t="n">
        <v>0.657736126880745</v>
      </c>
      <c r="R62">
        <f>P62/N62-1</f>
        <v/>
      </c>
      <c r="S62" s="4" t="inlineStr">
        <is>
          <t>強力買進</t>
        </is>
      </c>
      <c r="V62" t="inlineStr">
        <is>
          <t>8.5 ／ 12.2 ／ 18.7</t>
        </is>
      </c>
      <c r="W62" s="1" t="inlineStr">
        <is>
          <t>DCF 目標價 318.4（Val!B24）；Comparable 目標價 528.7（Val!B41）；市場共識目標價 314.2（Val!B42，外部、僅供對照）；價格帶 C～A 情境 DCF 120.7～530.4</t>
        </is>
      </c>
      <c r="Z62">
        <f>IF(ISNUMBER(價格!C62),價格!H62/價格!C62-1,"")</f>
        <v/>
      </c>
      <c r="AA62">
        <f>IF(Z62="","",IF(ABS(Z62)&gt;0.2,"模型尚未反映期間變化",""))</f>
        <v/>
      </c>
      <c r="AB62" t="inlineStr">
        <is>
          <t>淨利</t>
        </is>
      </c>
      <c r="AC62" t="inlineStr">
        <is>
          <t>PL 頁各情境模型年度淨利（不含實績）</t>
        </is>
      </c>
      <c r="AD62" t="inlineStr">
        <is>
          <t>19 個情境年度淨利（不含實績），全部為正</t>
        </is>
      </c>
      <c r="AE62" s="4" t="n">
        <v>1036.70410106156</v>
      </c>
      <c r="AF62" s="4" t="n">
        <v>20.4329207236288</v>
      </c>
      <c r="AG62" t="inlineStr">
        <is>
          <t>[Derived] liteon/dist/20261028_光寶個股模型_v0.2.xlsx PL!D16…PL!J50</t>
        </is>
      </c>
      <c r="AH62">
        <f>IF(AB62="淨利",IF(AF62&gt;0,"通過（淨利）","不通過"),IF(AE62&lt;0,"不通過","通過（現金流）"))</f>
        <v/>
      </c>
      <c r="AI62">
        <f>IF(S62="未上市","未上市",IF(AND(AH62="不通過",OR(S62="強力買進",S62="買進",S62="未估值")),"收支不足",S62))</f>
        <v/>
      </c>
      <c r="AJ62" s="4" t="inlineStr">
        <is>
          <t>大於 50%</t>
        </is>
      </c>
      <c r="AK62" s="1" t="inlineStr">
        <is>
          <t>上檔空間 liteon/dist/20261028_光寶個股模型_v0.2.xlsx Val!B43；投資建議 liteon/dist/20261028_光寶個股模型_v0.2.xlsx Val!B119；級距 liteon/dist/20261028_光寶個股模型_v0.2.xlsx Val!B118</t>
        </is>
      </c>
    </row>
    <row r="63">
      <c r="A63" t="inlineStr">
        <is>
          <t>3324</t>
        </is>
      </c>
      <c r="B63" t="inlineStr">
        <is>
          <t>雙鴻</t>
        </is>
      </c>
      <c r="C63">
        <f>價值鏈!A10</f>
        <v/>
      </c>
      <c r="D63" t="inlineStr">
        <is>
          <t>電源與散熱</t>
        </is>
      </c>
      <c r="E63" t="inlineStr">
        <is>
          <t>加權目標價（DCF 50%＋Comparable 50%）</t>
        </is>
      </c>
      <c r="F63" s="4" t="n">
        <v>2768.77367482094</v>
      </c>
      <c r="G63" t="inlineStr">
        <is>
          <t>auras/dist/20261025_雙鴻模型_v0.1.1.xlsx Val!B39</t>
        </is>
      </c>
      <c r="J63" s="4" t="n">
        <v>700.0594830373281</v>
      </c>
      <c r="K63" t="inlineStr">
        <is>
          <t>auras/dist/20261025_雙鴻模型_v0.1.1.xlsx Val!D23</t>
        </is>
      </c>
      <c r="N63">
        <f>價格!H63</f>
        <v/>
      </c>
      <c r="O63">
        <f>MIN(F63,H63)</f>
        <v/>
      </c>
      <c r="P63">
        <f>MIN(J63,L63)</f>
        <v/>
      </c>
      <c r="Q63" s="4" t="n">
        <v>1.03586299619187</v>
      </c>
      <c r="R63">
        <f>P63/N63-1</f>
        <v/>
      </c>
      <c r="S63" s="4" t="inlineStr">
        <is>
          <t>強力買進</t>
        </is>
      </c>
      <c r="V63" t="inlineStr">
        <is>
          <t>7.2 ／ 11.5 ／ 22.2</t>
        </is>
      </c>
      <c r="W63" s="1" t="inlineStr">
        <is>
          <t>DCF 目標價 1,978.6（Val!B24）；Comparable 目標價 3,558.9（Val!B40）；市場共識目標價 1,523.0（Val!B41，外部、僅供對照）；價格帶 C～A 情境 DCF 700.1～3,222.7</t>
        </is>
      </c>
      <c r="Z63">
        <f>IF(ISNUMBER(價格!C63),價格!H63/價格!C63-1,"")</f>
        <v/>
      </c>
      <c r="AA63">
        <f>IF(Z63="","",IF(ABS(Z63)&gt;0.2,"模型尚未反映期間變化",""))</f>
        <v/>
      </c>
      <c r="AB63" t="inlineStr">
        <is>
          <t>淨利</t>
        </is>
      </c>
      <c r="AC63" t="inlineStr">
        <is>
          <t>PL 頁各情境模型年度淨利（不含實績）</t>
        </is>
      </c>
      <c r="AD63" t="inlineStr">
        <is>
          <t>10 個情境年度淨利（不含實績），全部為正</t>
        </is>
      </c>
      <c r="AE63" s="4" t="n">
        <v>106.7851434762806</v>
      </c>
      <c r="AF63" s="4" t="n">
        <v>4.923841117248</v>
      </c>
      <c r="AG63" t="inlineStr">
        <is>
          <t>[Derived] auras/dist/20261025_雙鴻模型_v0.1.1.xlsx PL!D14…PL!G42</t>
        </is>
      </c>
      <c r="AH63">
        <f>IF(AB63="淨利",IF(AF63&gt;0,"通過（淨利）","不通過"),IF(AE63&lt;0,"不通過","通過（現金流）"))</f>
        <v/>
      </c>
      <c r="AI63">
        <f>IF(S63="未上市","未上市",IF(AND(AH63="不通過",OR(S63="強力買進",S63="買進",S63="未估值")),"收支不足",S63))</f>
        <v/>
      </c>
      <c r="AJ63" s="4" t="inlineStr">
        <is>
          <t>大於 50%</t>
        </is>
      </c>
      <c r="AK63" s="1" t="inlineStr">
        <is>
          <t>上檔空間 auras/dist/20261025_雙鴻模型_v0.1.1.xlsx Val!B42；投資建議 auras/dist/20261025_雙鴻模型_v0.1.1.xlsx Val!B130；級距 auras/dist/20261025_雙鴻模型_v0.1.1.xlsx Val!B129</t>
        </is>
      </c>
    </row>
    <row r="64">
      <c r="A64" t="inlineStr">
        <is>
          <t>3653</t>
        </is>
      </c>
      <c r="B64" t="inlineStr">
        <is>
          <t>健策</t>
        </is>
      </c>
      <c r="C64">
        <f>價值鏈!A10</f>
        <v/>
      </c>
      <c r="D64" t="inlineStr">
        <is>
          <t>電源與散熱</t>
        </is>
      </c>
      <c r="E64" t="inlineStr">
        <is>
          <t>加權目標價（DCF 50%＋Comparable 50%）</t>
        </is>
      </c>
      <c r="F64" s="4" t="n">
        <v>3902.82839585769</v>
      </c>
      <c r="G64" t="inlineStr">
        <is>
          <t>jentech/dist/20261025_健策模型_v0.1.1.xlsx Val!B40</t>
        </is>
      </c>
      <c r="J64" s="4" t="n">
        <v>1351.67225447468</v>
      </c>
      <c r="K64" t="inlineStr">
        <is>
          <t>jentech/dist/20261025_健策模型_v0.1.1.xlsx Val!D23</t>
        </is>
      </c>
      <c r="N64">
        <f>價格!H64</f>
        <v/>
      </c>
      <c r="O64">
        <f>MIN(F64,H64)</f>
        <v/>
      </c>
      <c r="P64">
        <f>MIN(J64,L64)</f>
        <v/>
      </c>
      <c r="Q64" s="4" t="n">
        <v>-0.3570299183101</v>
      </c>
      <c r="R64">
        <f>P64/N64-1</f>
        <v/>
      </c>
      <c r="S64" s="4" t="inlineStr">
        <is>
          <t>放空</t>
        </is>
      </c>
      <c r="V64" t="inlineStr">
        <is>
          <t>23.4 ／ 36.4 ／ 60.3</t>
        </is>
      </c>
      <c r="W64" s="1" t="inlineStr">
        <is>
          <t>DCF 目標價 3,247.2（Val!B24）；Comparable 目標價 4,558.5（Val!B41）；市場共識目標價 7,204.0（Val!B42，外部、僅供對照）；價格帶 C～A 情境 DCF 1,351.7～5,032.8</t>
        </is>
      </c>
      <c r="Z64">
        <f>IF(ISNUMBER(價格!C64),價格!H64/價格!C64-1,"")</f>
        <v/>
      </c>
      <c r="AA64">
        <f>IF(Z64="","",IF(ABS(Z64)&gt;0.2,"模型尚未反映期間變化",""))</f>
        <v/>
      </c>
      <c r="AB64" t="inlineStr">
        <is>
          <t>淨利</t>
        </is>
      </c>
      <c r="AC64" t="inlineStr">
        <is>
          <t>PL 頁各情境模型年度淨利（不含實績）</t>
        </is>
      </c>
      <c r="AD64" t="inlineStr">
        <is>
          <t>19 個情境年度淨利（不含實績），全部為正</t>
        </is>
      </c>
      <c r="AE64" s="4" t="n">
        <v>569.3703689419929</v>
      </c>
      <c r="AF64" s="4" t="n">
        <v>10.3442061825</v>
      </c>
      <c r="AG64" t="inlineStr">
        <is>
          <t>[Derived] jentech/dist/20261025_健策模型_v0.1.1.xlsx PL!D13…PL!J41</t>
        </is>
      </c>
      <c r="AH64">
        <f>IF(AB64="淨利",IF(AF64&gt;0,"通過（淨利）","不通過"),IF(AE64&lt;0,"不通過","通過（現金流）"))</f>
        <v/>
      </c>
      <c r="AI64">
        <f>IF(S64="未上市","未上市",IF(AND(AH64="不通過",OR(S64="強力買進",S64="買進",S64="未估值")),"收支不足",S64))</f>
        <v/>
      </c>
      <c r="AJ64" s="4" t="inlineStr">
        <is>
          <t>−25%～−50%</t>
        </is>
      </c>
      <c r="AK64" s="1" t="inlineStr">
        <is>
          <t>上檔空間 jentech/dist/20261025_健策模型_v0.1.1.xlsx Val!B43；投資建議 jentech/dist/20261025_健策模型_v0.1.1.xlsx Val!B46；級距 jentech/dist/20261025_健策模型_v0.1.1.xlsx Val!B45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0" customWidth="1" min="4" max="4"/>
    <col width="6" customWidth="1" min="5" max="5"/>
    <col width="40" customWidth="1" min="6" max="6"/>
    <col width="10" customWidth="1" min="7" max="7"/>
    <col width="50" customWidth="1" min="8" max="8"/>
    <col width="10" customWidth="1" min="9" max="9"/>
    <col width="30" customWidth="1" min="10" max="10"/>
  </cols>
  <sheetData>
    <row r="1">
      <c r="A1" s="2" t="inlineStr">
        <is>
          <t>次產業</t>
        </is>
      </c>
      <c r="B1" s="2" t="inlineStr">
        <is>
          <t>次產業內優先序</t>
        </is>
      </c>
      <c r="C1" s="2" t="inlineStr">
        <is>
          <t>公司</t>
        </is>
      </c>
      <c r="D1" s="2" t="inlineStr">
        <is>
          <t>代號</t>
        </is>
      </c>
      <c r="E1" s="2" t="inlineStr">
        <is>
          <t>掛牌</t>
        </is>
      </c>
      <c r="F1" s="2" t="inlineStr">
        <is>
          <t>角色</t>
        </is>
      </c>
      <c r="G1" s="2" t="inlineStr">
        <is>
          <t>供應鏈重要性（1–3）</t>
        </is>
      </c>
      <c r="H1" s="2" t="inlineStr">
        <is>
          <t>市場地位</t>
        </is>
      </c>
      <c r="I1" s="2" t="inlineStr">
        <is>
          <t>標記</t>
        </is>
      </c>
      <c r="J1" s="2" t="inlineStr">
        <is>
          <t>研究狀態</t>
        </is>
      </c>
    </row>
    <row r="2">
      <c r="A2" t="inlineStr">
        <is>
          <t>運算</t>
        </is>
      </c>
      <c r="B2" t="inlineStr">
        <is>
          <t>1</t>
        </is>
      </c>
      <c r="C2" t="inlineStr">
        <is>
          <t>NVIDIA</t>
        </is>
      </c>
      <c r="D2" t="inlineStr">
        <is>
          <t>NVDA</t>
        </is>
      </c>
      <c r="E2" t="inlineStr">
        <is>
          <t>美</t>
        </is>
      </c>
      <c r="F2" t="inlineStr">
        <is>
          <t>GPU、NVLink、整櫃系統</t>
        </is>
      </c>
      <c r="G2" t="inlineStr">
        <is>
          <t>1</t>
        </is>
      </c>
      <c r="H2" t="inlineStr">
        <is>
          <t>AI 加速器金額份額 CY2027 約 75–82%（本專案推導）</t>
        </is>
      </c>
      <c r="I2" t="inlineStr">
        <is>
          <t>[D]</t>
        </is>
      </c>
      <c r="J2" t="inlineStr">
        <is>
          <t>有模型</t>
        </is>
      </c>
    </row>
    <row r="3">
      <c r="A3" t="inlineStr">
        <is>
          <t>運算</t>
        </is>
      </c>
      <c r="B3" t="inlineStr">
        <is>
          <t>2</t>
        </is>
      </c>
      <c r="C3" t="inlineStr">
        <is>
          <t>Broadcom</t>
        </is>
      </c>
      <c r="D3" t="inlineStr">
        <is>
          <t>AVGO</t>
        </is>
      </c>
      <c r="E3" t="inlineStr">
        <is>
          <t>美</t>
        </is>
      </c>
      <c r="F3" t="inlineStr">
        <is>
          <t>客製 ASIC（TPU、MTIA、OpenAI 等 XPU）＋交換器 ASIC</t>
        </is>
      </c>
      <c r="G3" t="inlineStr">
        <is>
          <t>1</t>
        </is>
      </c>
      <c r="H3" t="inlineStr">
        <is>
          <t>客製 ASIC 龍頭：占客製 ASIC 80–85%（JPMorgan）；AI 半導體營收 FY2026 約 US$58B（公司）</t>
        </is>
      </c>
      <c r="I3" t="inlineStr">
        <is>
          <t>[IP]</t>
        </is>
      </c>
      <c r="J3" t="inlineStr">
        <is>
          <t>有模型</t>
        </is>
      </c>
    </row>
    <row r="4">
      <c r="A4" t="inlineStr">
        <is>
          <t>運算</t>
        </is>
      </c>
      <c r="B4" t="inlineStr">
        <is>
          <t>3</t>
        </is>
      </c>
      <c r="C4" t="inlineStr">
        <is>
          <t>AMD</t>
        </is>
      </c>
      <c r="D4" t="inlineStr">
        <is>
          <t>AMD</t>
        </is>
      </c>
      <c r="E4" t="inlineStr">
        <is>
          <t>美</t>
        </is>
      </c>
      <c r="F4" t="inlineStr">
        <is>
          <t>GPU（MI450／Helios 整櫃）</t>
        </is>
      </c>
      <c r="G4" t="inlineStr">
        <is>
          <t>2</t>
        </is>
      </c>
      <c r="H4" t="inlineStr">
        <is>
          <t>AI 加速器金額份額 CY2027 約 3–6%（本專案推導）；2027 資料中心「超過一倍」（公司）</t>
        </is>
      </c>
      <c r="I4" t="inlineStr">
        <is>
          <t>[D]／[IP]</t>
        </is>
      </c>
      <c r="J4" t="inlineStr">
        <is>
          <t>有模型</t>
        </is>
      </c>
    </row>
    <row r="5">
      <c r="A5" t="inlineStr">
        <is>
          <t>運算</t>
        </is>
      </c>
      <c r="B5" t="inlineStr">
        <is>
          <t>4</t>
        </is>
      </c>
      <c r="C5" t="inlineStr">
        <is>
          <t>聯發科</t>
        </is>
      </c>
      <c r="D5" t="inlineStr">
        <is>
          <t>2454</t>
        </is>
      </c>
      <c r="E5" t="inlineStr">
        <is>
          <t>台</t>
        </is>
      </c>
      <c r="F5" t="inlineStr">
        <is>
          <t>TPU 部分世代的設計夥伴</t>
        </is>
      </c>
      <c r="G5" t="inlineStr">
        <is>
          <t>2</t>
        </is>
      </c>
      <c r="H5" t="inlineStr">
        <is>
          <t>Google TPU 合作（媒體報導）</t>
        </is>
      </c>
      <c r="I5" t="inlineStr">
        <is>
          <t>[IP]</t>
        </is>
      </c>
      <c r="J5" t="inlineStr">
        <is>
          <t>有模型</t>
        </is>
      </c>
    </row>
    <row r="6">
      <c r="A6" t="inlineStr">
        <is>
          <t>運算</t>
        </is>
      </c>
      <c r="B6" t="inlineStr">
        <is>
          <t>5</t>
        </is>
      </c>
      <c r="C6" t="inlineStr">
        <is>
          <t>Marvell</t>
        </is>
      </c>
      <c r="D6" t="inlineStr">
        <is>
          <t>MRVL</t>
        </is>
      </c>
      <c r="E6" t="inlineStr">
        <is>
          <t>美</t>
        </is>
      </c>
      <c r="F6" t="inlineStr">
        <is>
          <t>客製 ASIC（Trainium 部分世代）、光通訊 DSP</t>
        </is>
      </c>
      <c r="G6" t="inlineStr">
        <is>
          <t>2</t>
        </is>
      </c>
      <c r="H6" t="inlineStr">
        <is>
          <t>光 DSP 主要供應商之一</t>
        </is>
      </c>
      <c r="I6" t="inlineStr">
        <is>
          <t>[判斷]</t>
        </is>
      </c>
      <c r="J6" t="inlineStr">
        <is>
          <t>有模型</t>
        </is>
      </c>
    </row>
    <row r="7">
      <c r="A7" t="inlineStr">
        <is>
          <t>運算</t>
        </is>
      </c>
      <c r="B7" t="inlineStr">
        <is>
          <t>6</t>
        </is>
      </c>
      <c r="C7" t="inlineStr">
        <is>
          <t>世芯-KY</t>
        </is>
      </c>
      <c r="D7" t="inlineStr">
        <is>
          <t>3661</t>
        </is>
      </c>
      <c r="E7" t="inlineStr">
        <is>
          <t>台</t>
        </is>
      </c>
      <c r="F7" t="inlineStr">
        <is>
          <t>ASIC 設計服務（Trainium）</t>
        </is>
      </c>
      <c r="G7" t="inlineStr">
        <is>
          <t>2</t>
        </is>
      </c>
      <c r="H7" t="inlineStr">
        <is>
          <t>雲端客製晶片設計服務</t>
        </is>
      </c>
      <c r="I7" t="inlineStr">
        <is>
          <t>[判斷]</t>
        </is>
      </c>
      <c r="J7" t="inlineStr">
        <is>
          <t>有模型</t>
        </is>
      </c>
    </row>
    <row r="8">
      <c r="A8" t="inlineStr">
        <is>
          <t>運算</t>
        </is>
      </c>
      <c r="B8" t="inlineStr">
        <is>
          <t>7</t>
        </is>
      </c>
      <c r="C8" t="inlineStr">
        <is>
          <t>創意</t>
        </is>
      </c>
      <c r="D8" t="inlineStr">
        <is>
          <t>3443</t>
        </is>
      </c>
      <c r="E8" t="inlineStr">
        <is>
          <t>台</t>
        </is>
      </c>
      <c r="F8" t="inlineStr">
        <is>
          <t>ASIC 設計服務（台積電體系）</t>
        </is>
      </c>
      <c r="G8" t="inlineStr">
        <is>
          <t>3</t>
        </is>
      </c>
      <c r="H8" t="inlineStr">
        <is>
          <t>台積電轉投資的設計服務廠</t>
        </is>
      </c>
      <c r="I8" t="inlineStr">
        <is>
          <t>[判斷]</t>
        </is>
      </c>
      <c r="J8" t="inlineStr">
        <is>
          <t>有模型</t>
        </is>
      </c>
    </row>
    <row r="9">
      <c r="A9" t="inlineStr">
        <is>
          <t>記憶體</t>
        </is>
      </c>
      <c r="B9" t="inlineStr">
        <is>
          <t>1</t>
        </is>
      </c>
      <c r="C9" t="inlineStr">
        <is>
          <t>SK 海力士</t>
        </is>
      </c>
      <c r="D9" t="inlineStr">
        <is>
          <t>000660</t>
        </is>
      </c>
      <c r="E9" t="inlineStr">
        <is>
          <t>韓</t>
        </is>
      </c>
      <c r="F9" t="inlineStr">
        <is>
          <t>HBM、DRAM</t>
        </is>
      </c>
      <c r="G9" t="inlineStr">
        <is>
          <t>1</t>
        </is>
      </c>
      <c r="H9" t="inlineStr">
        <is>
          <t>2026 HBM 市占 52–55%（本專案）</t>
        </is>
      </c>
      <c r="I9" t="inlineStr">
        <is>
          <t>[D]</t>
        </is>
      </c>
      <c r="J9" t="inlineStr">
        <is>
          <t>有模型</t>
        </is>
      </c>
    </row>
    <row r="10">
      <c r="A10" t="inlineStr">
        <is>
          <t>記憶體</t>
        </is>
      </c>
      <c r="B10" t="inlineStr">
        <is>
          <t>2</t>
        </is>
      </c>
      <c r="C10" t="inlineStr">
        <is>
          <t>三星電子</t>
        </is>
      </c>
      <c r="D10" t="inlineStr">
        <is>
          <t>005930</t>
        </is>
      </c>
      <c r="E10" t="inlineStr">
        <is>
          <t>韓</t>
        </is>
      </c>
      <c r="F10" t="inlineStr">
        <is>
          <t>HBM、DRAM、NAND</t>
        </is>
      </c>
      <c r="G10" t="inlineStr">
        <is>
          <t>1</t>
        </is>
      </c>
      <c r="H10" t="inlineStr">
        <is>
          <t>2026 HBM 市占 28–32%（本專案）</t>
        </is>
      </c>
      <c r="I10" t="inlineStr">
        <is>
          <t>[D]</t>
        </is>
      </c>
      <c r="J10" t="inlineStr">
        <is>
          <t>有模型</t>
        </is>
      </c>
    </row>
    <row r="11">
      <c r="A11" t="inlineStr">
        <is>
          <t>記憶體</t>
        </is>
      </c>
      <c r="B11" t="inlineStr">
        <is>
          <t>3</t>
        </is>
      </c>
      <c r="C11" t="inlineStr">
        <is>
          <t>美光</t>
        </is>
      </c>
      <c r="D11" t="inlineStr">
        <is>
          <t>MU</t>
        </is>
      </c>
      <c r="E11" t="inlineStr">
        <is>
          <t>美</t>
        </is>
      </c>
      <c r="F11" t="inlineStr">
        <is>
          <t>HBM、DRAM、NAND</t>
        </is>
      </c>
      <c r="G11" t="inlineStr">
        <is>
          <t>1</t>
        </is>
      </c>
      <c r="H11" t="inlineStr">
        <is>
          <t>2026 HBM 市占 18–20%（本專案）</t>
        </is>
      </c>
      <c r="I11" t="inlineStr">
        <is>
          <t>[D]</t>
        </is>
      </c>
      <c r="J11" t="inlineStr">
        <is>
          <t>有模型</t>
        </is>
      </c>
    </row>
    <row r="12">
      <c r="A12" t="inlineStr">
        <is>
          <t>記憶體</t>
        </is>
      </c>
      <c r="B12" t="inlineStr">
        <is>
          <t>4</t>
        </is>
      </c>
      <c r="C12" t="inlineStr">
        <is>
          <t>Kioxia</t>
        </is>
      </c>
      <c r="D12" t="inlineStr">
        <is>
          <t>285A</t>
        </is>
      </c>
      <c r="E12" t="inlineStr">
        <is>
          <t>日</t>
        </is>
      </c>
      <c r="F12" t="inlineStr">
        <is>
          <t>NAND（企業級 SSD）</t>
        </is>
      </c>
      <c r="G12" t="inlineStr">
        <is>
          <t>3</t>
        </is>
      </c>
      <c r="H12" t="inlineStr">
        <is>
          <t>NAND 主要廠之一；10-23 曾因「不能由既有層推得」排除，15:59 已取消該關卡</t>
        </is>
      </c>
      <c r="I12" t="inlineStr">
        <is>
          <t>[判斷]</t>
        </is>
      </c>
      <c r="J12" t="inlineStr">
        <is>
          <t>有模型</t>
        </is>
      </c>
    </row>
    <row r="13">
      <c r="A13" t="inlineStr">
        <is>
          <t>記憶體</t>
        </is>
      </c>
      <c r="B13" t="inlineStr">
        <is>
          <t>5</t>
        </is>
      </c>
      <c r="C13" t="inlineStr">
        <is>
          <t>SanDisk</t>
        </is>
      </c>
      <c r="D13" t="inlineStr">
        <is>
          <t>SNDK</t>
        </is>
      </c>
      <c r="E13" t="inlineStr">
        <is>
          <t>美</t>
        </is>
      </c>
      <c r="F13" t="inlineStr">
        <is>
          <t>NAND（企業級 SSD）</t>
        </is>
      </c>
      <c r="G13" t="inlineStr">
        <is>
          <t>3</t>
        </is>
      </c>
      <c r="H13" t="inlineStr">
        <is>
          <t>與 Kioxia 合資產能</t>
        </is>
      </c>
      <c r="I13" t="inlineStr">
        <is>
          <t>[判斷]</t>
        </is>
      </c>
      <c r="J13" t="inlineStr">
        <is>
          <t>有模型</t>
        </is>
      </c>
    </row>
    <row r="14">
      <c r="A14" t="inlineStr">
        <is>
          <t>網通</t>
        </is>
      </c>
      <c r="B14" t="inlineStr">
        <is>
          <t>1</t>
        </is>
      </c>
      <c r="C14" t="inlineStr">
        <is>
          <t>Arista</t>
        </is>
      </c>
      <c r="D14" t="inlineStr">
        <is>
          <t>ANET</t>
        </is>
      </c>
      <c r="E14" t="inlineStr">
        <is>
          <t>美</t>
        </is>
      </c>
      <c r="F14" t="inlineStr">
        <is>
          <t>資料中心乙太網路交換器系統</t>
        </is>
      </c>
      <c r="G14" t="inlineStr">
        <is>
          <t>1</t>
        </is>
      </c>
      <c r="H14" t="inlineStr">
        <is>
          <t>高速資料中心交換器系統主要廠商</t>
        </is>
      </c>
      <c r="I14" t="inlineStr">
        <is>
          <t>[判斷]</t>
        </is>
      </c>
      <c r="J14" t="inlineStr">
        <is>
          <t>有模型</t>
        </is>
      </c>
    </row>
    <row r="15">
      <c r="A15" t="inlineStr">
        <is>
          <t>網通</t>
        </is>
      </c>
      <c r="B15" t="inlineStr">
        <is>
          <t>2</t>
        </is>
      </c>
      <c r="C15" t="inlineStr">
        <is>
          <t>中際旭創</t>
        </is>
      </c>
      <c r="D15" t="inlineStr">
        <is>
          <t>300308</t>
        </is>
      </c>
      <c r="E15" t="inlineStr">
        <is>
          <t>中</t>
        </is>
      </c>
      <c r="F15" t="inlineStr">
        <is>
          <t>800G／1.6T 光模組</t>
        </is>
      </c>
      <c r="G15" t="inlineStr">
        <is>
          <t>1</t>
        </is>
      </c>
      <c r="H15" t="inlineStr">
        <is>
          <t>高速光模組出貨領先（媒體與券商）</t>
        </is>
      </c>
      <c r="I15" t="inlineStr">
        <is>
          <t>[IP]</t>
        </is>
      </c>
      <c r="J15" t="inlineStr">
        <is>
          <t>有模型</t>
        </is>
      </c>
    </row>
    <row r="16">
      <c r="A16" t="inlineStr">
        <is>
          <t>網通</t>
        </is>
      </c>
      <c r="B16" t="inlineStr">
        <is>
          <t>3</t>
        </is>
      </c>
      <c r="C16" t="inlineStr">
        <is>
          <t>Coherent</t>
        </is>
      </c>
      <c r="D16" t="inlineStr">
        <is>
          <t>COHR</t>
        </is>
      </c>
      <c r="E16" t="inlineStr">
        <is>
          <t>美</t>
        </is>
      </c>
      <c r="F16" t="inlineStr">
        <is>
          <t>光模組、雷射與光元件</t>
        </is>
      </c>
      <c r="G16" t="inlineStr">
        <is>
          <t>2</t>
        </is>
      </c>
      <c r="H16" t="inlineStr">
        <is>
          <t>光模組與元件垂直整合廠</t>
        </is>
      </c>
      <c r="I16" t="inlineStr">
        <is>
          <t>[判斷]</t>
        </is>
      </c>
      <c r="J16" t="inlineStr">
        <is>
          <t>有模型</t>
        </is>
      </c>
    </row>
    <row r="17">
      <c r="A17" t="inlineStr">
        <is>
          <t>網通</t>
        </is>
      </c>
      <c r="B17" t="inlineStr">
        <is>
          <t>4</t>
        </is>
      </c>
      <c r="C17" t="inlineStr">
        <is>
          <t>Lumentum</t>
        </is>
      </c>
      <c r="D17" t="inlineStr">
        <is>
          <t>LITE</t>
        </is>
      </c>
      <c r="E17" t="inlineStr">
        <is>
          <t>美</t>
        </is>
      </c>
      <c r="F17" t="inlineStr">
        <is>
          <t>EML 雷射、光元件</t>
        </is>
      </c>
      <c r="G17" t="inlineStr">
        <is>
          <t>2</t>
        </is>
      </c>
      <c r="H17" t="inlineStr">
        <is>
          <t>高速 EML 雷射主要供應商之一</t>
        </is>
      </c>
      <c r="I17" t="inlineStr">
        <is>
          <t>[判斷]</t>
        </is>
      </c>
      <c r="J17" t="inlineStr">
        <is>
          <t>有模型</t>
        </is>
      </c>
    </row>
    <row r="18">
      <c r="A18" t="inlineStr">
        <is>
          <t>網通</t>
        </is>
      </c>
      <c r="B18" t="inlineStr">
        <is>
          <t>5</t>
        </is>
      </c>
      <c r="C18" t="inlineStr">
        <is>
          <t>新易盛</t>
        </is>
      </c>
      <c r="D18" t="inlineStr">
        <is>
          <t>300502</t>
        </is>
      </c>
      <c r="E18" t="inlineStr">
        <is>
          <t>中</t>
        </is>
      </c>
      <c r="F18" t="inlineStr">
        <is>
          <t>光模組</t>
        </is>
      </c>
      <c r="G18" t="inlineStr">
        <is>
          <t>2</t>
        </is>
      </c>
      <c r="H18" t="inlineStr">
        <is>
          <t>高速光模組第二梯隊領先者</t>
        </is>
      </c>
      <c r="I18" t="inlineStr">
        <is>
          <t>[判斷]</t>
        </is>
      </c>
      <c r="J18" t="inlineStr">
        <is>
          <t>有模型</t>
        </is>
      </c>
    </row>
    <row r="19">
      <c r="A19" t="inlineStr">
        <is>
          <t>網通</t>
        </is>
      </c>
      <c r="B19" t="inlineStr">
        <is>
          <t>6</t>
        </is>
      </c>
      <c r="C19" t="inlineStr">
        <is>
          <t>智邦</t>
        </is>
      </c>
      <c r="D19" t="inlineStr">
        <is>
          <t>2345</t>
        </is>
      </c>
      <c r="E19" t="inlineStr">
        <is>
          <t>台</t>
        </is>
      </c>
      <c r="F19" t="inlineStr">
        <is>
          <t>白牌交換器 ODM</t>
        </is>
      </c>
      <c r="G19" t="inlineStr">
        <is>
          <t>2</t>
        </is>
      </c>
      <c r="H19" t="inlineStr">
        <is>
          <t>雲端白牌交換器主要 ODM</t>
        </is>
      </c>
      <c r="I19" t="inlineStr">
        <is>
          <t>[判斷]</t>
        </is>
      </c>
      <c r="J19" t="inlineStr">
        <is>
          <t>有模型</t>
        </is>
      </c>
    </row>
    <row r="20">
      <c r="A20" t="inlineStr">
        <is>
          <t>網通</t>
        </is>
      </c>
      <c r="B20" t="inlineStr">
        <is>
          <t>7</t>
        </is>
      </c>
      <c r="C20" t="inlineStr">
        <is>
          <t>Fabrinet</t>
        </is>
      </c>
      <c r="D20" t="inlineStr">
        <is>
          <t>FN</t>
        </is>
      </c>
      <c r="E20" t="inlineStr">
        <is>
          <t>美</t>
        </is>
      </c>
      <c r="F20" t="inlineStr">
        <is>
          <t>光模組代工</t>
        </is>
      </c>
      <c r="G20" t="inlineStr">
        <is>
          <t>2</t>
        </is>
      </c>
      <c r="H20" t="inlineStr">
        <is>
          <t>NVIDIA 光模組主要代工之一</t>
        </is>
      </c>
      <c r="I20" t="inlineStr">
        <is>
          <t>[IP]</t>
        </is>
      </c>
      <c r="J20" t="inlineStr">
        <is>
          <t>有模型</t>
        </is>
      </c>
    </row>
    <row r="21">
      <c r="A21" t="inlineStr">
        <is>
          <t>網通</t>
        </is>
      </c>
      <c r="B21" t="inlineStr">
        <is>
          <t>8</t>
        </is>
      </c>
      <c r="C21" t="inlineStr">
        <is>
          <t>Credo</t>
        </is>
      </c>
      <c r="D21" t="inlineStr">
        <is>
          <t>CRDO</t>
        </is>
      </c>
      <c r="E21" t="inlineStr">
        <is>
          <t>美</t>
        </is>
      </c>
      <c r="F21" t="inlineStr">
        <is>
          <t>主動電纜（AEC）、SerDes</t>
        </is>
      </c>
      <c r="G21" t="inlineStr">
        <is>
          <t>2</t>
        </is>
      </c>
      <c r="H21" t="inlineStr">
        <is>
          <t>AEC 主要供應商</t>
        </is>
      </c>
      <c r="I21" t="inlineStr">
        <is>
          <t>[判斷]</t>
        </is>
      </c>
      <c r="J21" t="inlineStr">
        <is>
          <t>有模型</t>
        </is>
      </c>
    </row>
    <row r="22">
      <c r="A22" t="inlineStr">
        <is>
          <t>網通</t>
        </is>
      </c>
      <c r="B22" t="inlineStr">
        <is>
          <t>9</t>
        </is>
      </c>
      <c r="C22" t="inlineStr">
        <is>
          <t>Astera Labs</t>
        </is>
      </c>
      <c r="D22" t="inlineStr">
        <is>
          <t>ALAB</t>
        </is>
      </c>
      <c r="E22" t="inlineStr">
        <is>
          <t>美</t>
        </is>
      </c>
      <c r="F22" t="inlineStr">
        <is>
          <t>PCIe／CXL retimer、交換晶片</t>
        </is>
      </c>
      <c r="G22" t="inlineStr">
        <is>
          <t>3</t>
        </is>
      </c>
      <c r="H22" t="inlineStr">
        <is>
          <t>retimer 主要供應商</t>
        </is>
      </c>
      <c r="I22" t="inlineStr">
        <is>
          <t>[判斷]</t>
        </is>
      </c>
      <c r="J22" t="inlineStr">
        <is>
          <t>有模型</t>
        </is>
      </c>
    </row>
    <row r="23">
      <c r="A23" t="inlineStr">
        <is>
          <t>代工與封測</t>
        </is>
      </c>
      <c r="B23" t="inlineStr">
        <is>
          <t>1</t>
        </is>
      </c>
      <c r="C23" t="inlineStr">
        <is>
          <t>台積電</t>
        </is>
      </c>
      <c r="D23" t="inlineStr">
        <is>
          <t>2330</t>
        </is>
      </c>
      <c r="E23" t="inlineStr">
        <is>
          <t>台</t>
        </is>
      </c>
      <c r="F23" t="inlineStr">
        <is>
          <t>先進製程晶圓、CoWoS</t>
        </is>
      </c>
      <c r="G23" t="inlineStr">
        <is>
          <t>1</t>
        </is>
      </c>
      <c r="H23" t="inlineStr">
        <is>
          <t>AI 加速器晶圓與 CoWoS 主要供應者</t>
        </is>
      </c>
      <c r="I23" t="inlineStr">
        <is>
          <t>[判斷]</t>
        </is>
      </c>
      <c r="J23" t="inlineStr">
        <is>
          <t>有模型</t>
        </is>
      </c>
    </row>
    <row r="24">
      <c r="A24" t="inlineStr">
        <is>
          <t>代工與封測</t>
        </is>
      </c>
      <c r="B24" t="inlineStr">
        <is>
          <t>2</t>
        </is>
      </c>
      <c r="C24" t="inlineStr">
        <is>
          <t>日月光</t>
        </is>
      </c>
      <c r="D24" t="inlineStr">
        <is>
          <t>3711</t>
        </is>
      </c>
      <c r="E24" t="inlineStr">
        <is>
          <t>台</t>
        </is>
      </c>
      <c r="F24" t="inlineStr">
        <is>
          <t>封測、CoWoS 後段、測試</t>
        </is>
      </c>
      <c r="G24" t="inlineStr">
        <is>
          <t>1</t>
        </is>
      </c>
      <c r="H24" t="inlineStr">
        <is>
          <t>全球最大封測廠</t>
        </is>
      </c>
      <c r="I24" t="inlineStr">
        <is>
          <t>[判斷]</t>
        </is>
      </c>
      <c r="J24" t="inlineStr">
        <is>
          <t>封測樣板（第 3 順位）</t>
        </is>
      </c>
    </row>
    <row r="25">
      <c r="A25" t="inlineStr">
        <is>
          <t>代工與封測</t>
        </is>
      </c>
      <c r="B25" t="inlineStr">
        <is>
          <t>3</t>
        </is>
      </c>
      <c r="C25" t="inlineStr">
        <is>
          <t>京元電</t>
        </is>
      </c>
      <c r="D25" t="inlineStr">
        <is>
          <t>2449</t>
        </is>
      </c>
      <c r="E25" t="inlineStr">
        <is>
          <t>台</t>
        </is>
      </c>
      <c r="F25" t="inlineStr">
        <is>
          <t>晶片測試</t>
        </is>
      </c>
      <c r="G25" t="inlineStr">
        <is>
          <t>2</t>
        </is>
      </c>
      <c r="H25" t="inlineStr">
        <is>
          <t>AI GPU 測試主要代工之一（媒體）</t>
        </is>
      </c>
      <c r="I25" t="inlineStr">
        <is>
          <t>[IP]</t>
        </is>
      </c>
      <c r="J25" t="inlineStr">
        <is>
          <t>有模型</t>
        </is>
      </c>
    </row>
    <row r="26">
      <c r="A26" t="inlineStr">
        <is>
          <t>代工與封測</t>
        </is>
      </c>
      <c r="B26" t="inlineStr">
        <is>
          <t>4</t>
        </is>
      </c>
      <c r="C26" t="inlineStr">
        <is>
          <t>Amkor</t>
        </is>
      </c>
      <c r="D26" t="inlineStr">
        <is>
          <t>AMKR</t>
        </is>
      </c>
      <c r="E26" t="inlineStr">
        <is>
          <t>美</t>
        </is>
      </c>
      <c r="F26" t="inlineStr">
        <is>
          <t>封測、美國先進封裝</t>
        </is>
      </c>
      <c r="G26" t="inlineStr">
        <is>
          <t>2</t>
        </is>
      </c>
      <c r="H26" t="inlineStr">
        <is>
          <t>全球第二大封測廠</t>
        </is>
      </c>
      <c r="I26" t="inlineStr">
        <is>
          <t>[判斷]</t>
        </is>
      </c>
      <c r="J26" t="inlineStr">
        <is>
          <t>有模型</t>
        </is>
      </c>
    </row>
    <row r="27">
      <c r="A27" t="inlineStr">
        <is>
          <t>代工與封測</t>
        </is>
      </c>
      <c r="B27" t="inlineStr">
        <is>
          <t>5</t>
        </is>
      </c>
      <c r="C27" t="inlineStr">
        <is>
          <t>Intel</t>
        </is>
      </c>
      <c r="D27" t="inlineStr">
        <is>
          <t>INTC</t>
        </is>
      </c>
      <c r="E27" t="inlineStr">
        <is>
          <t>美</t>
        </is>
      </c>
      <c r="F27" t="inlineStr">
        <is>
          <t>晶圓代工（18A）、先進封裝（EMIB）</t>
        </is>
      </c>
      <c r="G27" t="inlineStr">
        <is>
          <t>3</t>
        </is>
      </c>
      <c r="H27" t="inlineStr">
        <is>
          <t>AI 加速器代工份額小；封裝為潛在替代產能</t>
        </is>
      </c>
      <c r="I27" t="inlineStr">
        <is>
          <t>[判斷]</t>
        </is>
      </c>
      <c r="J27" t="inlineStr">
        <is>
          <t>待建</t>
        </is>
      </c>
    </row>
    <row r="28">
      <c r="A28" t="inlineStr">
        <is>
          <t>代工與封測</t>
        </is>
      </c>
      <c r="B28" t="inlineStr">
        <is>
          <t>6</t>
        </is>
      </c>
      <c r="C28" t="inlineStr">
        <is>
          <t>GlobalFoundries</t>
        </is>
      </c>
      <c r="D28" t="inlineStr">
        <is>
          <t>GFS</t>
        </is>
      </c>
      <c r="E28" t="inlineStr">
        <is>
          <t>美</t>
        </is>
      </c>
      <c r="F28" t="inlineStr">
        <is>
          <t>成熟製程、矽光子</t>
        </is>
      </c>
      <c r="G28" t="inlineStr">
        <is>
          <t>3</t>
        </is>
      </c>
      <c r="H28" t="inlineStr">
        <is>
          <t>AI 直接曝險低（矽光子為選擇權）</t>
        </is>
      </c>
      <c r="I28" t="inlineStr">
        <is>
          <t>[判斷]</t>
        </is>
      </c>
      <c r="J28" t="inlineStr">
        <is>
          <t>待建</t>
        </is>
      </c>
    </row>
    <row r="29">
      <c r="A29" t="inlineStr">
        <is>
          <t>載板與 PCB</t>
        </is>
      </c>
      <c r="B29" t="inlineStr">
        <is>
          <t>1</t>
        </is>
      </c>
      <c r="C29" t="inlineStr">
        <is>
          <t>Ibiden</t>
        </is>
      </c>
      <c r="D29" t="inlineStr">
        <is>
          <t>4062</t>
        </is>
      </c>
      <c r="E29" t="inlineStr">
        <is>
          <t>日</t>
        </is>
      </c>
      <c r="F29" t="inlineStr">
        <is>
          <t>ABF 載板</t>
        </is>
      </c>
      <c r="G29" t="inlineStr">
        <is>
          <t>1</t>
        </is>
      </c>
      <c r="H29" t="inlineStr">
        <is>
          <t>高階 AI 載板主要供應者</t>
        </is>
      </c>
      <c r="I29" t="inlineStr">
        <is>
          <t>[判斷]</t>
        </is>
      </c>
      <c r="J29" t="inlineStr">
        <is>
          <t>有模型</t>
        </is>
      </c>
    </row>
    <row r="30">
      <c r="A30" t="inlineStr">
        <is>
          <t>載板與 PCB</t>
        </is>
      </c>
      <c r="B30" t="inlineStr">
        <is>
          <t>2</t>
        </is>
      </c>
      <c r="C30" t="inlineStr">
        <is>
          <t>台光電</t>
        </is>
      </c>
      <c r="D30" t="inlineStr">
        <is>
          <t>2383</t>
        </is>
      </c>
      <c r="E30" t="inlineStr">
        <is>
          <t>台</t>
        </is>
      </c>
      <c r="F30" t="inlineStr">
        <is>
          <t>高速 CCL（銅箔基板）</t>
        </is>
      </c>
      <c r="G30" t="inlineStr">
        <is>
          <t>1</t>
        </is>
      </c>
      <c r="H30" t="inlineStr">
        <is>
          <t>AI 伺服器高速 CCL 主要供應者</t>
        </is>
      </c>
      <c r="I30" t="inlineStr">
        <is>
          <t>[判斷]</t>
        </is>
      </c>
      <c r="J30" t="inlineStr">
        <is>
          <t>有模型</t>
        </is>
      </c>
    </row>
    <row r="31">
      <c r="A31" t="inlineStr">
        <is>
          <t>載板與 PCB</t>
        </is>
      </c>
      <c r="B31" t="inlineStr">
        <is>
          <t>3</t>
        </is>
      </c>
      <c r="C31" t="inlineStr">
        <is>
          <t>欣興</t>
        </is>
      </c>
      <c r="D31" t="inlineStr">
        <is>
          <t>3037</t>
        </is>
      </c>
      <c r="E31" t="inlineStr">
        <is>
          <t>台</t>
        </is>
      </c>
      <c r="F31" t="inlineStr">
        <is>
          <t>ABF 載板、PCB</t>
        </is>
      </c>
      <c r="G31" t="inlineStr">
        <is>
          <t>1</t>
        </is>
      </c>
      <c r="H31" t="inlineStr">
        <is>
          <t>ABF 載板主要廠之一</t>
        </is>
      </c>
      <c r="I31" t="inlineStr">
        <is>
          <t>[判斷]</t>
        </is>
      </c>
      <c r="J31" t="inlineStr">
        <is>
          <t>有模型</t>
        </is>
      </c>
    </row>
    <row r="32">
      <c r="A32" t="inlineStr">
        <is>
          <t>載板與 PCB</t>
        </is>
      </c>
      <c r="B32" t="inlineStr">
        <is>
          <t>4</t>
        </is>
      </c>
      <c r="C32" t="inlineStr">
        <is>
          <t>味之素</t>
        </is>
      </c>
      <c r="D32" t="inlineStr">
        <is>
          <t>2802</t>
        </is>
      </c>
      <c r="E32" t="inlineStr">
        <is>
          <t>日</t>
        </is>
      </c>
      <c r="F32" t="inlineStr">
        <is>
          <t>ABF 增層膜（材料）</t>
        </is>
      </c>
      <c r="G32" t="inlineStr">
        <is>
          <t>2</t>
        </is>
      </c>
      <c r="H32" t="inlineStr">
        <is>
          <t>ABF 膜接近獨占（普遍認知，待複核）</t>
        </is>
      </c>
      <c r="I32" t="inlineStr">
        <is>
          <t>[判斷]</t>
        </is>
      </c>
      <c r="J32" t="inlineStr">
        <is>
          <t>待建</t>
        </is>
      </c>
    </row>
    <row r="33">
      <c r="A33" t="inlineStr">
        <is>
          <t>載板與 PCB</t>
        </is>
      </c>
      <c r="B33" t="inlineStr">
        <is>
          <t>5</t>
        </is>
      </c>
      <c r="C33" t="inlineStr">
        <is>
          <t>南電</t>
        </is>
      </c>
      <c r="D33" t="inlineStr">
        <is>
          <t>8046</t>
        </is>
      </c>
      <c r="E33" t="inlineStr">
        <is>
          <t>台</t>
        </is>
      </c>
      <c r="F33" t="inlineStr">
        <is>
          <t>ABF 載板</t>
        </is>
      </c>
      <c r="G33" t="inlineStr">
        <is>
          <t>2</t>
        </is>
      </c>
      <c r="H33" t="inlineStr">
        <is>
          <t>ABF 載板主要廠之一</t>
        </is>
      </c>
      <c r="I33" t="inlineStr">
        <is>
          <t>[判斷]</t>
        </is>
      </c>
      <c r="J33" t="inlineStr">
        <is>
          <t>有模型</t>
        </is>
      </c>
    </row>
    <row r="34">
      <c r="A34" t="inlineStr">
        <is>
          <t>載板與 PCB</t>
        </is>
      </c>
      <c r="B34" t="inlineStr">
        <is>
          <t>6</t>
        </is>
      </c>
      <c r="C34" t="inlineStr">
        <is>
          <t>金像電</t>
        </is>
      </c>
      <c r="D34" t="inlineStr">
        <is>
          <t>2368</t>
        </is>
      </c>
      <c r="E34" t="inlineStr">
        <is>
          <t>台</t>
        </is>
      </c>
      <c r="F34" t="inlineStr">
        <is>
          <t>伺服器與交換器 PCB</t>
        </is>
      </c>
      <c r="G34" t="inlineStr">
        <is>
          <t>2</t>
        </is>
      </c>
      <c r="H34" t="inlineStr">
        <is>
          <t>雲端伺服器 PCB 主要廠</t>
        </is>
      </c>
      <c r="I34" t="inlineStr">
        <is>
          <t>[判斷]</t>
        </is>
      </c>
      <c r="J34" t="inlineStr">
        <is>
          <t>有模型</t>
        </is>
      </c>
    </row>
    <row r="35">
      <c r="A35" t="inlineStr">
        <is>
          <t>載板與 PCB</t>
        </is>
      </c>
      <c r="B35" t="inlineStr">
        <is>
          <t>7</t>
        </is>
      </c>
      <c r="C35" t="inlineStr">
        <is>
          <t>勝宏科技</t>
        </is>
      </c>
      <c r="D35" t="inlineStr">
        <is>
          <t>300476</t>
        </is>
      </c>
      <c r="E35" t="inlineStr">
        <is>
          <t>中</t>
        </is>
      </c>
      <c r="F35" t="inlineStr">
        <is>
          <t>AI 加速卡 PCB</t>
        </is>
      </c>
      <c r="G35" t="inlineStr">
        <is>
          <t>2</t>
        </is>
      </c>
      <c r="H35" t="inlineStr">
        <is>
          <t>NVIDIA 加速卡 PCB 主要供應商之一（媒體）</t>
        </is>
      </c>
      <c r="I35" t="inlineStr">
        <is>
          <t>[IP]</t>
        </is>
      </c>
      <c r="J35" t="inlineStr">
        <is>
          <t>有模型</t>
        </is>
      </c>
    </row>
    <row r="36">
      <c r="A36" t="inlineStr">
        <is>
          <t>載板與 PCB</t>
        </is>
      </c>
      <c r="B36" t="inlineStr">
        <is>
          <t>8</t>
        </is>
      </c>
      <c r="C36" t="inlineStr">
        <is>
          <t>景碩</t>
        </is>
      </c>
      <c r="D36" t="inlineStr">
        <is>
          <t>3189</t>
        </is>
      </c>
      <c r="E36" t="inlineStr">
        <is>
          <t>台</t>
        </is>
      </c>
      <c r="F36" t="inlineStr">
        <is>
          <t>ABF／BT 載板</t>
        </is>
      </c>
      <c r="G36" t="inlineStr">
        <is>
          <t>3</t>
        </is>
      </c>
      <c r="H36" t="inlineStr">
        <is>
          <t>載板第二梯隊</t>
        </is>
      </c>
      <c r="I36" t="inlineStr">
        <is>
          <t>[判斷]</t>
        </is>
      </c>
      <c r="J36" t="inlineStr">
        <is>
          <t>待建</t>
        </is>
      </c>
    </row>
    <row r="37">
      <c r="A37" t="inlineStr">
        <is>
          <t>設備與材料</t>
        </is>
      </c>
      <c r="B37" t="inlineStr">
        <is>
          <t>1</t>
        </is>
      </c>
      <c r="C37" t="inlineStr">
        <is>
          <t>ASML</t>
        </is>
      </c>
      <c r="D37" t="inlineStr">
        <is>
          <t>ASML</t>
        </is>
      </c>
      <c r="E37" t="inlineStr">
        <is>
          <t>荷</t>
        </is>
      </c>
      <c r="F37" t="inlineStr">
        <is>
          <t>微影（EUV 唯一供應者）</t>
        </is>
      </c>
      <c r="G37" t="inlineStr">
        <is>
          <t>1</t>
        </is>
      </c>
      <c r="H37" t="inlineStr">
        <is>
          <t>EUV 唯一供應者</t>
        </is>
      </c>
      <c r="I37" t="inlineStr">
        <is>
          <t>[V]</t>
        </is>
      </c>
      <c r="J37" t="inlineStr">
        <is>
          <t>有模型</t>
        </is>
      </c>
    </row>
    <row r="38">
      <c r="A38" t="inlineStr">
        <is>
          <t>設備與材料</t>
        </is>
      </c>
      <c r="B38" t="inlineStr">
        <is>
          <t>2</t>
        </is>
      </c>
      <c r="C38" t="inlineStr">
        <is>
          <t>Applied Materials</t>
        </is>
      </c>
      <c r="D38" t="inlineStr">
        <is>
          <t>AMAT</t>
        </is>
      </c>
      <c r="E38" t="inlineStr">
        <is>
          <t>美</t>
        </is>
      </c>
      <c r="F38" t="inlineStr">
        <is>
          <t>沉積、蝕刻、離子植入等</t>
        </is>
      </c>
      <c r="G38" t="inlineStr">
        <is>
          <t>1</t>
        </is>
      </c>
      <c r="H38" t="inlineStr">
        <is>
          <t>全球營收最大的設備商之一</t>
        </is>
      </c>
      <c r="I38" t="inlineStr">
        <is>
          <t>[判斷]</t>
        </is>
      </c>
      <c r="J38" t="inlineStr">
        <is>
          <t>有模型</t>
        </is>
      </c>
    </row>
    <row r="39">
      <c r="A39" t="inlineStr">
        <is>
          <t>設備與材料</t>
        </is>
      </c>
      <c r="B39" t="inlineStr">
        <is>
          <t>3</t>
        </is>
      </c>
      <c r="C39" t="inlineStr">
        <is>
          <t>Lam Research</t>
        </is>
      </c>
      <c r="D39" t="inlineStr">
        <is>
          <t>LRCX</t>
        </is>
      </c>
      <c r="E39" t="inlineStr">
        <is>
          <t>美</t>
        </is>
      </c>
      <c r="F39" t="inlineStr">
        <is>
          <t>蝕刻、沉積（記憶體曝險大）</t>
        </is>
      </c>
      <c r="G39" t="inlineStr">
        <is>
          <t>1</t>
        </is>
      </c>
      <c r="H39" t="inlineStr">
        <is>
          <t>記憶體蝕刻主要供應者</t>
        </is>
      </c>
      <c r="I39" t="inlineStr">
        <is>
          <t>[判斷]</t>
        </is>
      </c>
      <c r="J39" t="inlineStr">
        <is>
          <t>有模型</t>
        </is>
      </c>
    </row>
    <row r="40">
      <c r="A40" t="inlineStr">
        <is>
          <t>設備與材料</t>
        </is>
      </c>
      <c r="B40" t="inlineStr">
        <is>
          <t>4</t>
        </is>
      </c>
      <c r="C40" t="inlineStr">
        <is>
          <t>TEL</t>
        </is>
      </c>
      <c r="D40" t="inlineStr">
        <is>
          <t>8035</t>
        </is>
      </c>
      <c r="E40" t="inlineStr">
        <is>
          <t>日</t>
        </is>
      </c>
      <c r="F40" t="inlineStr">
        <is>
          <t>塗布顯影、蝕刻、沉積</t>
        </is>
      </c>
      <c r="G40" t="inlineStr">
        <is>
          <t>1</t>
        </is>
      </c>
      <c r="H40" t="inlineStr">
        <is>
          <t>塗布顯影市占 91%（公司自估）；全球第 4</t>
        </is>
      </c>
      <c r="I40" t="inlineStr">
        <is>
          <t>[IP]</t>
        </is>
      </c>
      <c r="J40" t="inlineStr">
        <is>
          <t>另一串進行中</t>
        </is>
      </c>
    </row>
    <row r="41">
      <c r="A41" t="inlineStr">
        <is>
          <t>設備與材料</t>
        </is>
      </c>
      <c r="B41" t="inlineStr">
        <is>
          <t>5</t>
        </is>
      </c>
      <c r="C41" t="inlineStr">
        <is>
          <t>KLA</t>
        </is>
      </c>
      <c r="D41" t="inlineStr">
        <is>
          <t>KLAC</t>
        </is>
      </c>
      <c r="E41" t="inlineStr">
        <is>
          <t>美</t>
        </is>
      </c>
      <c r="F41" t="inlineStr">
        <is>
          <t>量測與檢測</t>
        </is>
      </c>
      <c r="G41" t="inlineStr">
        <is>
          <t>1</t>
        </is>
      </c>
      <c r="H41" t="inlineStr">
        <is>
          <t>製程控制龍頭</t>
        </is>
      </c>
      <c r="I41" t="inlineStr">
        <is>
          <t>[判斷]</t>
        </is>
      </c>
      <c r="J41" t="inlineStr">
        <is>
          <t>有模型</t>
        </is>
      </c>
    </row>
    <row r="42">
      <c r="A42" t="inlineStr">
        <is>
          <t>設備與材料</t>
        </is>
      </c>
      <c r="B42" t="inlineStr">
        <is>
          <t>6</t>
        </is>
      </c>
      <c r="C42" t="inlineStr">
        <is>
          <t>Advantest</t>
        </is>
      </c>
      <c r="D42" t="inlineStr">
        <is>
          <t>6857</t>
        </is>
      </c>
      <c r="E42" t="inlineStr">
        <is>
          <t>日</t>
        </is>
      </c>
      <c r="F42" t="inlineStr">
        <is>
          <t>SoC／記憶體測試機</t>
        </is>
      </c>
      <c r="G42" t="inlineStr">
        <is>
          <t>1</t>
        </is>
      </c>
      <c r="H42" t="inlineStr">
        <is>
          <t>SoC 測試市占 66%（公司自估 CY2025）</t>
        </is>
      </c>
      <c r="I42" t="inlineStr">
        <is>
          <t>[IP]</t>
        </is>
      </c>
      <c r="J42" t="inlineStr">
        <is>
          <t>有模型</t>
        </is>
      </c>
    </row>
    <row r="43">
      <c r="A43" t="inlineStr">
        <is>
          <t>設備與材料</t>
        </is>
      </c>
      <c r="B43" t="inlineStr">
        <is>
          <t>7</t>
        </is>
      </c>
      <c r="C43" t="inlineStr">
        <is>
          <t>Disco</t>
        </is>
      </c>
      <c r="D43" t="inlineStr">
        <is>
          <t>6146</t>
        </is>
      </c>
      <c r="E43" t="inlineStr">
        <is>
          <t>日</t>
        </is>
      </c>
      <c r="F43" t="inlineStr">
        <is>
          <t>研削、切割</t>
        </is>
      </c>
      <c r="G43" t="inlineStr">
        <is>
          <t>2</t>
        </is>
      </c>
      <c r="H43" t="inlineStr">
        <is>
          <t>研削與切割市占 60–80%（兩來源）</t>
        </is>
      </c>
      <c r="I43" t="inlineStr">
        <is>
          <t>[IP]</t>
        </is>
      </c>
      <c r="J43" t="inlineStr">
        <is>
          <t>有模型</t>
        </is>
      </c>
    </row>
    <row r="44">
      <c r="A44" t="inlineStr">
        <is>
          <t>設備與材料</t>
        </is>
      </c>
      <c r="B44" t="inlineStr">
        <is>
          <t>8</t>
        </is>
      </c>
      <c r="C44" t="inlineStr">
        <is>
          <t>Hanmi</t>
        </is>
      </c>
      <c r="D44" t="inlineStr">
        <is>
          <t>042700</t>
        </is>
      </c>
      <c r="E44" t="inlineStr">
        <is>
          <t>韓</t>
        </is>
      </c>
      <c r="F44" t="inlineStr">
        <is>
          <t>HBM TC 鍵合機</t>
        </is>
      </c>
      <c r="G44" t="inlineStr">
        <is>
          <t>2</t>
        </is>
      </c>
      <c r="H44" t="inlineStr">
        <is>
          <t>HBM TC 鍵合機約 71%（本專案 HBM 比對）</t>
        </is>
      </c>
      <c r="I44" t="inlineStr">
        <is>
          <t>[IP]</t>
        </is>
      </c>
      <c r="J44" t="inlineStr">
        <is>
          <t>有模型</t>
        </is>
      </c>
    </row>
    <row r="45">
      <c r="A45" t="inlineStr">
        <is>
          <t>設備與材料</t>
        </is>
      </c>
      <c r="B45" t="inlineStr">
        <is>
          <t>9</t>
        </is>
      </c>
      <c r="C45" t="inlineStr">
        <is>
          <t>Teradyne</t>
        </is>
      </c>
      <c r="D45" t="inlineStr">
        <is>
          <t>TER</t>
        </is>
      </c>
      <c r="E45" t="inlineStr">
        <is>
          <t>美</t>
        </is>
      </c>
      <c r="F45" t="inlineStr">
        <is>
          <t>SoC 測試機</t>
        </is>
      </c>
      <c r="G45" t="inlineStr">
        <is>
          <t>2</t>
        </is>
      </c>
      <c r="H45" t="inlineStr">
        <is>
          <t>SoC 測試第 2（Advantest 之後）</t>
        </is>
      </c>
      <c r="I45" t="inlineStr">
        <is>
          <t>[IP]</t>
        </is>
      </c>
      <c r="J45" t="inlineStr">
        <is>
          <t>有模型</t>
        </is>
      </c>
    </row>
    <row r="46">
      <c r="A46" t="inlineStr">
        <is>
          <t>設備與材料</t>
        </is>
      </c>
      <c r="B46" t="inlineStr">
        <is>
          <t>10</t>
        </is>
      </c>
      <c r="C46" t="inlineStr">
        <is>
          <t>BESI</t>
        </is>
      </c>
      <c r="D46" t="inlineStr">
        <is>
          <t>BESI</t>
        </is>
      </c>
      <c r="E46" t="inlineStr">
        <is>
          <t>荷</t>
        </is>
      </c>
      <c r="F46" t="inlineStr">
        <is>
          <t>混合鍵合機</t>
        </is>
      </c>
      <c r="G46" t="inlineStr">
        <is>
          <t>3</t>
        </is>
      </c>
      <c r="H46" t="inlineStr">
        <is>
          <t>混合鍵合領先者；主流化時點約 2029–30（本專案）</t>
        </is>
      </c>
      <c r="I46" t="inlineStr">
        <is>
          <t>[判斷]</t>
        </is>
      </c>
      <c r="J46" t="inlineStr">
        <is>
          <t>有模型</t>
        </is>
      </c>
    </row>
    <row r="47">
      <c r="A47" t="inlineStr">
        <is>
          <t>設備與材料</t>
        </is>
      </c>
      <c r="B47" t="inlineStr">
        <is>
          <t>11</t>
        </is>
      </c>
      <c r="C47" t="inlineStr">
        <is>
          <t>TOWA</t>
        </is>
      </c>
      <c r="D47" t="inlineStr">
        <is>
          <t>6315</t>
        </is>
      </c>
      <c r="E47" t="inlineStr">
        <is>
          <t>日</t>
        </is>
      </c>
      <c r="F47" t="inlineStr">
        <is>
          <t>封膠（molding）</t>
        </is>
      </c>
      <c r="G47" t="inlineStr">
        <is>
          <t>3</t>
        </is>
      </c>
      <c r="H47" t="inlineStr">
        <is>
          <t>市占約 2/3（本專案候選表）</t>
        </is>
      </c>
      <c r="I47" t="inlineStr">
        <is>
          <t>[IP]</t>
        </is>
      </c>
      <c r="J47" t="inlineStr">
        <is>
          <t>有模型</t>
        </is>
      </c>
    </row>
    <row r="48">
      <c r="A48" t="inlineStr">
        <is>
          <t>設備與材料</t>
        </is>
      </c>
      <c r="B48" t="inlineStr">
        <is>
          <t>12</t>
        </is>
      </c>
      <c r="C48" t="inlineStr">
        <is>
          <t>東京精密</t>
        </is>
      </c>
      <c r="D48" t="inlineStr">
        <is>
          <t>7729</t>
        </is>
      </c>
      <c r="E48" t="inlineStr">
        <is>
          <t>日</t>
        </is>
      </c>
      <c r="F48" t="inlineStr">
        <is>
          <t>探針台、研削</t>
        </is>
      </c>
      <c r="G48" t="inlineStr">
        <is>
          <t>3</t>
        </is>
      </c>
      <c r="H48" t="inlineStr">
        <is>
          <t>探針台主要廠之一</t>
        </is>
      </c>
      <c r="I48" t="inlineStr">
        <is>
          <t>[判斷]</t>
        </is>
      </c>
      <c r="J48" t="inlineStr">
        <is>
          <t>有模型</t>
        </is>
      </c>
    </row>
    <row r="49">
      <c r="A49" t="inlineStr">
        <is>
          <t>伺服器組裝</t>
        </is>
      </c>
      <c r="B49" t="inlineStr">
        <is>
          <t>1</t>
        </is>
      </c>
      <c r="C49" t="inlineStr">
        <is>
          <t>鴻海</t>
        </is>
      </c>
      <c r="D49" t="inlineStr">
        <is>
          <t>2317</t>
        </is>
      </c>
      <c r="E49" t="inlineStr">
        <is>
          <t>台</t>
        </is>
      </c>
      <c r="F49" t="inlineStr">
        <is>
          <t>GB／VR 整櫃組裝（富士康為同一集團）</t>
        </is>
      </c>
      <c r="G49" t="inlineStr">
        <is>
          <t>1</t>
        </is>
      </c>
      <c r="H49" t="inlineStr">
        <is>
          <t>NVIDIA 整櫃最大組裝廠</t>
        </is>
      </c>
      <c r="I49" t="inlineStr">
        <is>
          <t>[判斷]</t>
        </is>
      </c>
      <c r="J49" t="inlineStr">
        <is>
          <t>有模型</t>
        </is>
      </c>
    </row>
    <row r="50">
      <c r="A50" t="inlineStr">
        <is>
          <t>伺服器組裝</t>
        </is>
      </c>
      <c r="B50" t="inlineStr">
        <is>
          <t>2</t>
        </is>
      </c>
      <c r="C50" t="inlineStr">
        <is>
          <t>廣達</t>
        </is>
      </c>
      <c r="D50" t="inlineStr">
        <is>
          <t>2382</t>
        </is>
      </c>
      <c r="E50" t="inlineStr">
        <is>
          <t>台</t>
        </is>
      </c>
      <c r="F50" t="inlineStr">
        <is>
          <t>整櫃組裝、雲端 ODM</t>
        </is>
      </c>
      <c r="G50" t="inlineStr">
        <is>
          <t>1</t>
        </is>
      </c>
      <c r="H50" t="inlineStr">
        <is>
          <t>雲端與 NVIDIA 整櫃主要 ODM</t>
        </is>
      </c>
      <c r="I50" t="inlineStr">
        <is>
          <t>[判斷]</t>
        </is>
      </c>
      <c r="J50" t="inlineStr">
        <is>
          <t>有模型</t>
        </is>
      </c>
    </row>
    <row r="51">
      <c r="A51" t="inlineStr">
        <is>
          <t>伺服器組裝</t>
        </is>
      </c>
      <c r="B51" t="inlineStr">
        <is>
          <t>3</t>
        </is>
      </c>
      <c r="C51" t="inlineStr">
        <is>
          <t>緯創</t>
        </is>
      </c>
      <c r="D51" t="inlineStr">
        <is>
          <t>3231</t>
        </is>
      </c>
      <c r="E51" t="inlineStr">
        <is>
          <t>台</t>
        </is>
      </c>
      <c r="F51" t="inlineStr">
        <is>
          <t>GPU 基板、整櫃</t>
        </is>
      </c>
      <c r="G51" t="inlineStr">
        <is>
          <t>1</t>
        </is>
      </c>
      <c r="H51" t="inlineStr">
        <is>
          <t>NVIDIA GPU 基板主要供應者</t>
        </is>
      </c>
      <c r="I51" t="inlineStr">
        <is>
          <t>[判斷]</t>
        </is>
      </c>
      <c r="J51" t="inlineStr">
        <is>
          <t>有模型</t>
        </is>
      </c>
    </row>
    <row r="52">
      <c r="A52" t="inlineStr">
        <is>
          <t>伺服器組裝</t>
        </is>
      </c>
      <c r="B52" t="inlineStr">
        <is>
          <t>4</t>
        </is>
      </c>
      <c r="C52" t="inlineStr">
        <is>
          <t>緯穎</t>
        </is>
      </c>
      <c r="D52" t="inlineStr">
        <is>
          <t>6669</t>
        </is>
      </c>
      <c r="E52" t="inlineStr">
        <is>
          <t>台</t>
        </is>
      </c>
      <c r="F52" t="inlineStr">
        <is>
          <t>雲端客戶 ODM（Meta、Microsoft 等）</t>
        </is>
      </c>
      <c r="G52" t="inlineStr">
        <is>
          <t>2</t>
        </is>
      </c>
      <c r="H52" t="inlineStr">
        <is>
          <t>雲端白牌伺服器主要 ODM</t>
        </is>
      </c>
      <c r="I52" t="inlineStr">
        <is>
          <t>[判斷]</t>
        </is>
      </c>
      <c r="J52" t="inlineStr">
        <is>
          <t>有模型</t>
        </is>
      </c>
    </row>
    <row r="53">
      <c r="A53" t="inlineStr">
        <is>
          <t>伺服器組裝</t>
        </is>
      </c>
      <c r="B53" t="inlineStr">
        <is>
          <t>5</t>
        </is>
      </c>
      <c r="C53" t="inlineStr">
        <is>
          <t>Dell</t>
        </is>
      </c>
      <c r="D53" t="inlineStr">
        <is>
          <t>DELL</t>
        </is>
      </c>
      <c r="E53" t="inlineStr">
        <is>
          <t>美</t>
        </is>
      </c>
      <c r="F53" t="inlineStr">
        <is>
          <t>企業與新雲 AI 伺服器</t>
        </is>
      </c>
      <c r="G53" t="inlineStr">
        <is>
          <t>2</t>
        </is>
      </c>
      <c r="H53" t="inlineStr">
        <is>
          <t>企業與 neocloud 主要品牌</t>
        </is>
      </c>
      <c r="I53" t="inlineStr">
        <is>
          <t>[判斷]</t>
        </is>
      </c>
      <c r="J53" t="inlineStr">
        <is>
          <t>有模型</t>
        </is>
      </c>
    </row>
    <row r="54">
      <c r="A54" t="inlineStr">
        <is>
          <t>伺服器組裝</t>
        </is>
      </c>
      <c r="B54" t="inlineStr">
        <is>
          <t>6</t>
        </is>
      </c>
      <c r="C54" t="inlineStr">
        <is>
          <t>Supermicro</t>
        </is>
      </c>
      <c r="D54" t="inlineStr">
        <is>
          <t>SMCI</t>
        </is>
      </c>
      <c r="E54" t="inlineStr">
        <is>
          <t>美</t>
        </is>
      </c>
      <c r="F54" t="inlineStr">
        <is>
          <t>AI 伺服器</t>
        </is>
      </c>
      <c r="G54" t="inlineStr">
        <is>
          <t>3</t>
        </is>
      </c>
      <c r="H54" t="inlineStr">
        <is>
          <t>品牌伺服器第二梯隊；治理風險</t>
        </is>
      </c>
      <c r="I54" t="inlineStr">
        <is>
          <t>[判斷]</t>
        </is>
      </c>
      <c r="J54" t="inlineStr">
        <is>
          <t>有模型</t>
        </is>
      </c>
    </row>
    <row r="55">
      <c r="A55" t="inlineStr">
        <is>
          <t>電源與散熱</t>
        </is>
      </c>
      <c r="B55" t="inlineStr">
        <is>
          <t>1</t>
        </is>
      </c>
      <c r="C55" t="inlineStr">
        <is>
          <t>台達電</t>
        </is>
      </c>
      <c r="D55" t="inlineStr">
        <is>
          <t>2308</t>
        </is>
      </c>
      <c r="E55" t="inlineStr">
        <is>
          <t>台</t>
        </is>
      </c>
      <c r="F55" t="inlineStr">
        <is>
          <t>伺服器電源、HVDC、液冷</t>
        </is>
      </c>
      <c r="G55" t="inlineStr">
        <is>
          <t>1</t>
        </is>
      </c>
      <c r="H55" t="inlineStr">
        <is>
          <t>伺服器電源龍頭</t>
        </is>
      </c>
      <c r="I55" t="inlineStr">
        <is>
          <t>[判斷]</t>
        </is>
      </c>
      <c r="J55" t="inlineStr">
        <is>
          <t>有模型</t>
        </is>
      </c>
    </row>
    <row r="56">
      <c r="A56" t="inlineStr">
        <is>
          <t>電源與散熱</t>
        </is>
      </c>
      <c r="B56" t="inlineStr">
        <is>
          <t>2</t>
        </is>
      </c>
      <c r="C56" t="inlineStr">
        <is>
          <t>奇鋐</t>
        </is>
      </c>
      <c r="D56" t="inlineStr">
        <is>
          <t>3017</t>
        </is>
      </c>
      <c r="E56" t="inlineStr">
        <is>
          <t>台</t>
        </is>
      </c>
      <c r="F56" t="inlineStr">
        <is>
          <t>液冷冷板、散熱模組</t>
        </is>
      </c>
      <c r="G56" t="inlineStr">
        <is>
          <t>1</t>
        </is>
      </c>
      <c r="H56" t="inlineStr">
        <is>
          <t>AI 液冷冷板主要供應者</t>
        </is>
      </c>
      <c r="I56" t="inlineStr">
        <is>
          <t>[判斷]</t>
        </is>
      </c>
      <c r="J56" t="inlineStr">
        <is>
          <t>有模型</t>
        </is>
      </c>
    </row>
    <row r="57">
      <c r="A57" t="inlineStr">
        <is>
          <t>電源與散熱</t>
        </is>
      </c>
      <c r="B57" t="inlineStr">
        <is>
          <t>3</t>
        </is>
      </c>
      <c r="C57" t="inlineStr">
        <is>
          <t>光寶</t>
        </is>
      </c>
      <c r="D57" t="inlineStr">
        <is>
          <t>2301</t>
        </is>
      </c>
      <c r="E57" t="inlineStr">
        <is>
          <t>台</t>
        </is>
      </c>
      <c r="F57" t="inlineStr">
        <is>
          <t>伺服器電源</t>
        </is>
      </c>
      <c r="G57" t="inlineStr">
        <is>
          <t>2</t>
        </is>
      </c>
      <c r="H57" t="inlineStr">
        <is>
          <t>伺服器電源第二大</t>
        </is>
      </c>
      <c r="I57" t="inlineStr">
        <is>
          <t>[判斷]</t>
        </is>
      </c>
      <c r="J57" t="inlineStr">
        <is>
          <t>有模型</t>
        </is>
      </c>
    </row>
    <row r="58">
      <c r="A58" t="inlineStr">
        <is>
          <t>電源與散熱</t>
        </is>
      </c>
      <c r="B58" t="inlineStr">
        <is>
          <t>4</t>
        </is>
      </c>
      <c r="C58" t="inlineStr">
        <is>
          <t>雙鴻</t>
        </is>
      </c>
      <c r="D58" t="inlineStr">
        <is>
          <t>3324</t>
        </is>
      </c>
      <c r="E58" t="inlineStr">
        <is>
          <t>台</t>
        </is>
      </c>
      <c r="F58" t="inlineStr">
        <is>
          <t>液冷、散熱模組</t>
        </is>
      </c>
      <c r="G58" t="inlineStr">
        <is>
          <t>2</t>
        </is>
      </c>
      <c r="H58" t="inlineStr">
        <is>
          <t>液冷主要廠之一</t>
        </is>
      </c>
      <c r="I58" t="inlineStr">
        <is>
          <t>[判斷]</t>
        </is>
      </c>
      <c r="J58" t="inlineStr">
        <is>
          <t>有模型</t>
        </is>
      </c>
    </row>
    <row r="59">
      <c r="A59" t="inlineStr">
        <is>
          <t>電源與散熱</t>
        </is>
      </c>
      <c r="B59" t="inlineStr">
        <is>
          <t>5</t>
        </is>
      </c>
      <c r="C59" t="inlineStr">
        <is>
          <t>Vertiv</t>
        </is>
      </c>
      <c r="D59" t="inlineStr">
        <is>
          <t>VRT</t>
        </is>
      </c>
      <c r="E59" t="inlineStr">
        <is>
          <t>美</t>
        </is>
      </c>
      <c r="F59" t="inlineStr">
        <is>
          <t>機房電力與液冷（CDU）</t>
        </is>
      </c>
      <c r="G59" t="inlineStr">
        <is>
          <t>2</t>
        </is>
      </c>
      <c r="H59" t="inlineStr">
        <is>
          <t>機房層級；與「電力與機房」另案的邊界待定</t>
        </is>
      </c>
      <c r="I59" t="inlineStr">
        <is>
          <t>[判斷]</t>
        </is>
      </c>
      <c r="J59" t="inlineStr">
        <is>
          <t>待建（邊界待定）</t>
        </is>
      </c>
    </row>
    <row r="60">
      <c r="A60" t="inlineStr">
        <is>
          <t>電源與散熱</t>
        </is>
      </c>
      <c r="B60" t="inlineStr">
        <is>
          <t>6</t>
        </is>
      </c>
      <c r="C60" t="inlineStr">
        <is>
          <t>健策</t>
        </is>
      </c>
      <c r="D60" t="inlineStr">
        <is>
          <t>3653</t>
        </is>
      </c>
      <c r="E60" t="inlineStr">
        <is>
          <t>台</t>
        </is>
      </c>
      <c r="F60" t="inlineStr">
        <is>
          <t>均熱片、冷板元件</t>
        </is>
      </c>
      <c r="G60" t="inlineStr">
        <is>
          <t>3</t>
        </is>
      </c>
      <c r="H60" t="inlineStr">
        <is>
          <t>散熱元件</t>
        </is>
      </c>
      <c r="I60" t="inlineStr">
        <is>
          <t>[判斷]</t>
        </is>
      </c>
      <c r="J60" t="inlineStr">
        <is>
          <t>有模型</t>
        </is>
      </c>
    </row>
    <row r="61">
      <c r="A61" t="inlineStr">
        <is>
          <t>電源與散熱</t>
        </is>
      </c>
      <c r="B61" t="inlineStr">
        <is>
          <t>7</t>
        </is>
      </c>
      <c r="C61" t="inlineStr">
        <is>
          <t>ABB</t>
        </is>
      </c>
      <c r="D61" t="inlineStr">
        <is>
          <t>ABBN</t>
        </is>
      </c>
      <c r="E61" t="inlineStr">
        <is>
          <t>瑞士</t>
        </is>
      </c>
      <c r="F61" t="inlineStr">
        <is>
          <t>電網與機房配電</t>
        </is>
      </c>
      <c r="G61" t="inlineStr">
        <is>
          <t>3</t>
        </is>
      </c>
      <c r="H61" t="inlineStr">
        <is>
          <t>機房／電網層級；與「電力與機房」另案的邊界待定</t>
        </is>
      </c>
      <c r="I61" t="inlineStr">
        <is>
          <t>[判斷]</t>
        </is>
      </c>
      <c r="J61" t="inlineStr">
        <is>
          <t>待建（邊界待定）</t>
        </is>
      </c>
    </row>
    <row r="62">
      <c r="A62" t="inlineStr">
        <is>
          <t>AI 雲端平台</t>
        </is>
      </c>
      <c r="B62" t="inlineStr"/>
      <c r="C62" t="inlineStr">
        <is>
          <t>Amazon</t>
        </is>
      </c>
      <c r="D62" t="inlineStr">
        <is>
          <t>AMZN</t>
        </is>
      </c>
      <c r="E62" t="inlineStr">
        <is>
          <t>美</t>
        </is>
      </c>
      <c r="F62" t="inlineStr"/>
      <c r="G62" t="n">
        <v>1</v>
      </c>
      <c r="H62" t="inlineStr">
        <is>
          <t>AWS 為最大公有雲；自研 Trainium</t>
        </is>
      </c>
      <c r="I62" t="inlineStr">
        <is>
          <t>[判斷]</t>
        </is>
      </c>
      <c r="J62" t="inlineStr">
        <is>
          <t>有模型</t>
        </is>
      </c>
    </row>
    <row r="63">
      <c r="A63" t="inlineStr">
        <is>
          <t>AI 雲端平台</t>
        </is>
      </c>
      <c r="B63" t="inlineStr"/>
      <c r="C63" t="inlineStr">
        <is>
          <t>Microsoft</t>
        </is>
      </c>
      <c r="D63" t="inlineStr">
        <is>
          <t>MSFT</t>
        </is>
      </c>
      <c r="E63" t="inlineStr">
        <is>
          <t>美</t>
        </is>
      </c>
      <c r="F63" t="inlineStr"/>
      <c r="G63" t="n">
        <v>1</v>
      </c>
      <c r="H63" t="inlineStr">
        <is>
          <t>Azure 第二大公有雲；OpenAI 主要算力夥伴</t>
        </is>
      </c>
      <c r="I63" t="inlineStr">
        <is>
          <t>[判斷]</t>
        </is>
      </c>
      <c r="J63" t="inlineStr">
        <is>
          <t>有模型</t>
        </is>
      </c>
    </row>
    <row r="64">
      <c r="A64" t="inlineStr">
        <is>
          <t>AI 雲端平台</t>
        </is>
      </c>
      <c r="B64" t="inlineStr"/>
      <c r="C64" t="inlineStr">
        <is>
          <t>Alphabet</t>
        </is>
      </c>
      <c r="D64" t="inlineStr">
        <is>
          <t>GOOGL</t>
        </is>
      </c>
      <c r="E64" t="inlineStr">
        <is>
          <t>美</t>
        </is>
      </c>
      <c r="F64" t="inlineStr"/>
      <c r="G64" t="n">
        <v>1</v>
      </c>
      <c r="H64" t="inlineStr">
        <is>
          <t>TPU＋Gemini 垂直整合；雲端第三</t>
        </is>
      </c>
      <c r="I64" t="inlineStr">
        <is>
          <t>[判斷]</t>
        </is>
      </c>
      <c r="J64" t="inlineStr">
        <is>
          <t>有模型</t>
        </is>
      </c>
    </row>
    <row r="65">
      <c r="A65" t="inlineStr">
        <is>
          <t>AI 雲端平台</t>
        </is>
      </c>
      <c r="B65" t="inlineStr"/>
      <c r="C65" t="inlineStr">
        <is>
          <t>Oracle</t>
        </is>
      </c>
      <c r="D65" t="inlineStr">
        <is>
          <t>ORCL</t>
        </is>
      </c>
      <c r="E65" t="inlineStr">
        <is>
          <t>美</t>
        </is>
      </c>
      <c r="F65" t="inlineStr"/>
      <c r="G65" t="n">
        <v>2</v>
      </c>
      <c r="H65" t="inlineStr">
        <is>
          <t>OCI 規模較小；Stargate 主要承建方，客戶集中</t>
        </is>
      </c>
      <c r="I65" t="inlineStr">
        <is>
          <t>[判斷]</t>
        </is>
      </c>
      <c r="J65" t="inlineStr">
        <is>
          <t>有模型</t>
        </is>
      </c>
    </row>
    <row r="66">
      <c r="A66" t="inlineStr">
        <is>
          <t>Neocloud（GPU 租賃）</t>
        </is>
      </c>
      <c r="B66" t="inlineStr"/>
      <c r="C66" t="inlineStr">
        <is>
          <t>CoreWeave</t>
        </is>
      </c>
      <c r="D66" t="inlineStr">
        <is>
          <t>CRWV</t>
        </is>
      </c>
      <c r="E66" t="inlineStr">
        <is>
          <t>美</t>
        </is>
      </c>
      <c r="F66" t="inlineStr"/>
      <c r="G66" t="n">
        <v>2</v>
      </c>
      <c r="H66" t="inlineStr">
        <is>
          <t>最大 neocloud；客戶集中於 Microsoft、OpenAI</t>
        </is>
      </c>
      <c r="I66" t="inlineStr">
        <is>
          <t>[判斷]</t>
        </is>
      </c>
      <c r="J66" t="inlineStr">
        <is>
          <t>有模型</t>
        </is>
      </c>
    </row>
    <row r="67">
      <c r="A67" t="inlineStr">
        <is>
          <t>Neocloud（GPU 租賃）</t>
        </is>
      </c>
      <c r="B67" t="inlineStr"/>
      <c r="C67" t="inlineStr">
        <is>
          <t>Nebius</t>
        </is>
      </c>
      <c r="D67" t="inlineStr">
        <is>
          <t>NBIS</t>
        </is>
      </c>
      <c r="E67" t="inlineStr">
        <is>
          <t>美</t>
        </is>
      </c>
      <c r="F67" t="inlineStr"/>
      <c r="G67" t="n">
        <v>2</v>
      </c>
      <c r="H67" t="inlineStr">
        <is>
          <t>歐洲為主的 neocloud；Microsoft 長約</t>
        </is>
      </c>
      <c r="I67" t="inlineStr">
        <is>
          <t>[判斷]</t>
        </is>
      </c>
      <c r="J67" t="inlineStr">
        <is>
          <t>有模型</t>
        </is>
      </c>
    </row>
    <row r="68">
      <c r="A68" t="inlineStr">
        <is>
          <t>Neocloud（GPU 租賃）</t>
        </is>
      </c>
      <c r="B68" t="inlineStr"/>
      <c r="C68" t="inlineStr">
        <is>
          <t>WhiteFiber</t>
        </is>
      </c>
      <c r="D68" t="inlineStr">
        <is>
          <t>WYFI</t>
        </is>
      </c>
      <c r="E68" t="inlineStr">
        <is>
          <t>美</t>
        </is>
      </c>
      <c r="F68" t="inlineStr"/>
      <c r="G68" t="n">
        <v>3</v>
      </c>
      <c r="H68" t="inlineStr">
        <is>
          <t>小型 neocloud＋託管</t>
        </is>
      </c>
      <c r="I68" t="inlineStr">
        <is>
          <t>[判斷]</t>
        </is>
      </c>
      <c r="J68" t="inlineStr">
        <is>
          <t>有模型</t>
        </is>
      </c>
    </row>
    <row r="69">
      <c r="A69" t="inlineStr">
        <is>
          <t>AI 模型商</t>
        </is>
      </c>
      <c r="B69" t="inlineStr"/>
      <c r="C69" t="inlineStr">
        <is>
          <t>OpenAI</t>
        </is>
      </c>
      <c r="D69" t="inlineStr">
        <is>
          <t>OpenAI</t>
        </is>
      </c>
      <c r="E69" t="inlineStr">
        <is>
          <t>未上市</t>
        </is>
      </c>
      <c r="F69" t="inlineStr"/>
      <c r="G69" t="n">
        <v>1</v>
      </c>
      <c r="H69" t="inlineStr">
        <is>
          <t>ChatGPT 與 API 用量最大的模型商；算力承諾最大（本專案 OpenAI 模型）</t>
        </is>
      </c>
      <c r="I69" t="inlineStr">
        <is>
          <t>[判斷]</t>
        </is>
      </c>
      <c r="J69" t="inlineStr">
        <is>
          <t>有模型</t>
        </is>
      </c>
    </row>
    <row r="70">
      <c r="A70" t="inlineStr">
        <is>
          <t>AI 模型商</t>
        </is>
      </c>
      <c r="B70" t="inlineStr"/>
      <c r="C70" t="inlineStr">
        <is>
          <t>Anthropic</t>
        </is>
      </c>
      <c r="D70" t="inlineStr">
        <is>
          <t>Anthropic</t>
        </is>
      </c>
      <c r="E70" t="inlineStr">
        <is>
          <t>未上市</t>
        </is>
      </c>
      <c r="F70" t="inlineStr"/>
      <c r="G70" t="n">
        <v>1</v>
      </c>
      <c r="H70" t="inlineStr">
        <is>
          <t>企業與程式開發用途為主的前沿模型商（本專案 Anthropic 模型）</t>
        </is>
      </c>
      <c r="I70" t="inlineStr">
        <is>
          <t>[判斷]</t>
        </is>
      </c>
      <c r="J70" t="inlineStr">
        <is>
          <t>有模型</t>
        </is>
      </c>
    </row>
    <row r="71">
      <c r="A71" t="inlineStr">
        <is>
          <t>AI 模型商</t>
        </is>
      </c>
      <c r="B71" t="inlineStr"/>
      <c r="C71" t="inlineStr">
        <is>
          <t>MiniMax</t>
        </is>
      </c>
      <c r="D71" t="inlineStr">
        <is>
          <t>00100</t>
        </is>
      </c>
      <c r="E71" t="inlineStr">
        <is>
          <t>港</t>
        </is>
      </c>
      <c r="F71" t="inlineStr"/>
      <c r="G71" t="n">
        <v>3</v>
      </c>
      <c r="H71" t="inlineStr">
        <is>
          <t>中國第二梯隊模型商；多模態、海外營收占比高</t>
        </is>
      </c>
      <c r="I71" t="inlineStr">
        <is>
          <t>[判斷]</t>
        </is>
      </c>
      <c r="J71" t="inlineStr">
        <is>
          <t>有模型</t>
        </is>
      </c>
    </row>
    <row r="72">
      <c r="A72" t="inlineStr">
        <is>
          <t>AI 模型商</t>
        </is>
      </c>
      <c r="B72" t="inlineStr"/>
      <c r="C72" t="inlineStr">
        <is>
          <t>智譜</t>
        </is>
      </c>
      <c r="D72" t="inlineStr">
        <is>
          <t>02513</t>
        </is>
      </c>
      <c r="E72" t="inlineStr">
        <is>
          <t>港</t>
        </is>
      </c>
      <c r="F72" t="inlineStr"/>
      <c r="G72" t="n">
        <v>3</v>
      </c>
      <c r="H72" t="inlineStr">
        <is>
          <t>中國第二梯隊模型商；政企本地化部署</t>
        </is>
      </c>
      <c r="I72" t="inlineStr">
        <is>
          <t>[判斷]</t>
        </is>
      </c>
      <c r="J72" t="inlineStr">
        <is>
          <t>有模型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2026-10-28T05:44:17Z</dcterms:created>
  <dcterms:modified xmlns:dcterms="http://purl.org/dc/terms/" xmlns:xsi="http://www.w3.org/2001/XMLSchema-instance" xsi:type="dcterms:W3CDTF">2026-10-28T05:44:17Z</dcterms:modified>
</cp:coreProperties>
</file>