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v0.6.14（20261031）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advantest/dist/20261031_Advantest個股模型_v0.6.xlsx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disco/dist/20261031_Disco模型_v0.2.3.xlsx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eoptolink/dist/20261031_新易盛個股模型_v0.2.4.xlsx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fabrinet/dist/20261031_Fabrinet個股模型_v0.1.5.xlsx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gce/dist/20261031_金像電個股模型_v0.2.2.xlsx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amat/dist/20261031_應用材料個股模型_v0.3.1.xlsx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lrcx/dist/20261031_科林研發模型_v0.2.2.xlsx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klac/dist/20261031_科磊個股模型_v0.3.xlsx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hanmi/dist/20261031_韓美半導體個股模型_v0.2.5.xlsx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ter/dist/20261031_泰瑞達個股模型_v0.3.xlsx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besi/dist/20261031_BESI模型_v0.1.3.xlsx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accretech/dist/20261031_東京精密個股模型_v0.1.3.xlsx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smci/dist/20261031_美超微個股模型_v0.1.4.xlsx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avc/dist/20261031_奇鋐個股模型_v0.2.4.xlsx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liteon/dist/20261031_光寶個股模型_v0.2.2.xlsx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auras/dist/20261031_雙鴻個股模型_v0.1.4.xlsx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jentech/dist/20261031_健策個股模型_v0.1.4.xlsx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27769.0002668995</v>
      </c>
      <c r="G13" t="inlineStr">
        <is>
          <t>advantest/dist/20261031_Advantest個股模型_v0.6.xlsx Val!B146</t>
        </is>
      </c>
      <c r="J13" s="4" t="n">
        <v>8391.187939500071</v>
      </c>
      <c r="K13" t="inlineStr">
        <is>
          <t>advantest/dist/20261031_Advantest個股模型_v0.6.xlsx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-0.14134198308907</v>
      </c>
      <c r="R13">
        <f>P13/N13-1</f>
        <v/>
      </c>
      <c r="S13" s="4" t="inlineStr">
        <is>
          <t>中立</t>
        </is>
      </c>
      <c r="T13">
        <f>28914.4443962601/N13-1</f>
        <v/>
      </c>
      <c r="U13" t="inlineStr">
        <is>
          <t>舊法：規則值情境加權價（參考，Val!B102）</t>
        </is>
      </c>
      <c r="W13" s="1" t="inlineStr">
        <is>
          <t>DCF 目標價 19,090.5（Val!B131）；Comparable 目標價 34,883.6（Val!B147）；市場共識目標價 42,686.0（Val!B148，外部、僅供對照）；價格帶 C～A 情境 DCF 8,391.2～27,055.7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9093.624256173165</v>
      </c>
      <c r="AF13" s="4" t="n">
        <v>606.843925464113</v>
      </c>
      <c r="AG13" t="inlineStr">
        <is>
          <t>[Derived] advantest/dist/20261031_Advantest個股模型_v0.6.xlsx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0%～−25%</t>
        </is>
      </c>
      <c r="AK13" s="1" t="inlineStr">
        <is>
          <t>上檔空間 advantest/dist/20261031_Advantest個股模型_v0.6.xlsx Val!B149；投資建議 advantest/dist/20261031_Advantest個股模型_v0.6.xlsx Val!B158；級距 advantest/dist/20261031_Advantest個股模型_v0.6.xlsx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disco/dist/20261031_Disco模型_v0.2.3.xlsx Val!B107</t>
        </is>
      </c>
      <c r="J14" s="4" t="n">
        <v>16343.6091101662</v>
      </c>
      <c r="K14" t="inlineStr">
        <is>
          <t>disco/dist/20261031_Disco模型_v0.2.3.xlsx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disco/dist/20261031_Disco模型_v0.2.3.xlsx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disco/dist/20261031_Disco模型_v0.2.3.xlsx Val!B110；投資建議 disco/dist/20261031_Disco模型_v0.2.3.xlsx Val!B119；級距 disco/dist/20261031_Disco模型_v0.2.3.xlsx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34.7863881219001</v>
      </c>
      <c r="G20" t="inlineStr">
        <is>
          <t>spacex/dist/20261030_SpaceX個股模型_v0.2.1.xlsx Val!B8</t>
        </is>
      </c>
      <c r="J20" s="4" t="n">
        <v>7.81397248730432</v>
      </c>
      <c r="K20" t="inlineStr">
        <is>
          <t>spacex/dist/20261030_SpaceX個股模型_v0.2.1.xlsx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-0.758243184919729</v>
      </c>
      <c r="R20">
        <f>P20/N20-1</f>
        <v/>
      </c>
      <c r="S20" s="4" t="inlineStr">
        <is>
          <t>強力放空</t>
        </is>
      </c>
      <c r="W20" s="1" t="inlineStr">
        <is>
          <t>DCF 目標價 23.3（Val!B6）；Comparable 目標價 46.2（Val!B7）；市場共識目標價 245.0（Val!B10，外部、僅供對照）；價格帶 C～A 情境 DCF 7.8～41.5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-176.6、C -300.9）</t>
        </is>
      </c>
      <c r="AD20" t="inlineStr">
        <is>
          <t>情境 B 五年合計 -248.5</t>
        </is>
      </c>
      <c r="AE20" s="4" t="n">
        <v>-248.521527458859</v>
      </c>
      <c r="AF20" s="4" t="n">
        <v>-248.521527458859</v>
      </c>
      <c r="AG20" t="inlineStr">
        <is>
          <t>[Derived] spacex/dist/20261030_SpaceX個股模型_v0.2.1.xlsx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spacex/dist/20261030_SpaceX個股模型_v0.2.1.xlsx Val!B11；投資建議 spacex/dist/20261030_SpaceX個股模型_v0.2.1.xlsx Val!B14；級距 spacex/dist/20261030_SpaceX個股模型_v0.2.1.xlsx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eoptolink/dist/20261031_新易盛個股模型_v0.2.4.xlsx Val!B39</t>
        </is>
      </c>
      <c r="J37" s="4" t="n">
        <v>306.597966415317</v>
      </c>
      <c r="K37" t="inlineStr">
        <is>
          <t>eoptolink/dist/20261031_新易盛個股模型_v0.2.4.xlsx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eoptolink/dist/20261031_新易盛個股模型_v0.2.4.xlsx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eoptolink/dist/20261031_新易盛個股模型_v0.2.4.xlsx Val!B42；投資建議 eoptolink/dist/20261031_新易盛個股模型_v0.2.4.xlsx Val!B50；級距 eoptolink/dist/20261031_新易盛個股模型_v0.2.4.xlsx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fabrinet/dist/20261031_Fabrinet個股模型_v0.1.5.xlsx Val!B39</t>
        </is>
      </c>
      <c r="J39" s="4" t="n">
        <v>163.840959069597</v>
      </c>
      <c r="K39" t="inlineStr">
        <is>
          <t>fabrinet/dist/20261031_Fabrinet個股模型_v0.1.5.xlsx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fabrinet/dist/20261031_Fabrinet個股模型_v0.1.5.xlsx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fabrinet/dist/20261031_Fabrinet個股模型_v0.1.5.xlsx Val!B42；投資建議 fabrinet/dist/20261031_Fabrinet個股模型_v0.1.5.xlsx Val!B50；級距 fabrinet/dist/20261031_Fabrinet個股模型_v0.1.5.xlsx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gce/dist/20261031_金像電個股模型_v0.2.2.xlsx Val!B40</t>
        </is>
      </c>
      <c r="J47" s="4" t="n">
        <v>559.015397539127</v>
      </c>
      <c r="K47" t="inlineStr">
        <is>
          <t>gce/dist/20261031_金像電個股模型_v0.2.2.xlsx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gce/dist/20261031_金像電個股模型_v0.2.2.xlsx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gce/dist/20261031_金像電個股模型_v0.2.2.xlsx Val!B43；投資建議 gce/dist/20261031_金像電個股模型_v0.2.2.xlsx Val!B119；級距 gce/dist/20261031_金像電個股模型_v0.2.2.xlsx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amat/dist/20261031_應用材料個股模型_v0.3.1.xlsx Val!B136</t>
        </is>
      </c>
      <c r="J50" s="4" t="n">
        <v>157.851750497325</v>
      </c>
      <c r="K50" t="inlineStr">
        <is>
          <t>amat/dist/20261031_應用材料個股模型_v0.3.1.xlsx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amat/dist/20261031_應用材料個股模型_v0.3.1.xlsx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amat/dist/20261031_應用材料個股模型_v0.3.1.xlsx Val!B139；投資建議 amat/dist/20261031_應用材料個股模型_v0.3.1.xlsx Val!B147；級距 amat/dist/20261031_應用材料個股模型_v0.3.1.xlsx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lrcx/dist/20261031_科林研發模型_v0.2.2.xlsx Val!B128</t>
        </is>
      </c>
      <c r="J51" s="4" t="n">
        <v>84.2738802564408</v>
      </c>
      <c r="K51" t="inlineStr">
        <is>
          <t>lrcx/dist/20261031_科林研發模型_v0.2.2.xlsx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lrcx/dist/20261031_科林研發模型_v0.2.2.xlsx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lrcx/dist/20261031_科林研發模型_v0.2.2.xlsx Val!B131；投資建議 lrcx/dist/20261031_科林研發模型_v0.2.2.xlsx Val!B139；級距 lrcx/dist/20261031_科林研發模型_v0.2.2.xlsx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118.897052166628</v>
      </c>
      <c r="G52" t="inlineStr">
        <is>
          <t>klac/dist/20261031_科磊個股模型_v0.3.xlsx Val!B129</t>
        </is>
      </c>
      <c r="J52" s="4" t="n">
        <v>58.2160282703962</v>
      </c>
      <c r="K52" t="inlineStr">
        <is>
          <t>klac/dist/20261031_科磊個股模型_v0.3.xlsx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-0.183455448344015</v>
      </c>
      <c r="R52">
        <f>P52/N52-1</f>
        <v/>
      </c>
      <c r="S52" s="4" t="inlineStr">
        <is>
          <t>中立</t>
        </is>
      </c>
      <c r="T52">
        <f>105.48537779437/N52-1</f>
        <v/>
      </c>
      <c r="U52" t="inlineStr">
        <is>
          <t>舊法：規則值情境加權價（參考，Val!B6）</t>
        </is>
      </c>
      <c r="V52" t="inlineStr">
        <is>
          <t>22.7 ／ 24.5 ／ 28.1</t>
        </is>
      </c>
      <c r="W52" s="1" t="inlineStr">
        <is>
          <t>DCF 目標價 95.0（Val!B114）；Comparable 目標價 150.0（Val!B130）；市場共識目標價 232.4（Val!B131，外部、僅供對照）；價格帶 C～A 情境 DCF 58.2～132.6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67729.98732566486</v>
      </c>
      <c r="AF52" s="4" t="n">
        <v>6197.93313628252</v>
      </c>
      <c r="AG52" t="inlineStr">
        <is>
          <t>[Derived] klac/dist/20261031_科磊個股模型_v0.3.xlsx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klac/dist/20261031_科磊個股模型_v0.3.xlsx Val!B132；投資建議 klac/dist/20261031_科磊個股模型_v0.3.xlsx Val!B140；級距 klac/dist/20261031_科磊個股模型_v0.3.xlsx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hanmi/dist/20261031_韓美半導體個股模型_v0.2.5.xlsx Val!B111</t>
        </is>
      </c>
      <c r="J53" s="4" t="n">
        <v>16072.8325490973</v>
      </c>
      <c r="K53" t="inlineStr">
        <is>
          <t>hanmi/dist/20261031_韓美半導體個股模型_v0.2.5.xlsx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hanmi/dist/20261031_韓美半導體個股模型_v0.2.5.xlsx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hanmi/dist/20261031_韓美半導體個股模型_v0.2.5.xlsx Val!B114；投資建議 hanmi/dist/20261031_韓美半導體個股模型_v0.2.5.xlsx Val!B123；級距 hanmi/dist/20261031_韓美半導體個股模型_v0.2.5.xlsx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373.778613879716</v>
      </c>
      <c r="G54" t="inlineStr">
        <is>
          <t>ter/dist/20261031_泰瑞達個股模型_v0.3.xlsx Val!B126</t>
        </is>
      </c>
      <c r="J54" s="4" t="n">
        <v>172.348161850466</v>
      </c>
      <c r="K54" t="inlineStr">
        <is>
          <t>ter/dist/20261031_泰瑞達個股模型_v0.3.xlsx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0.210227015961523</v>
      </c>
      <c r="R54">
        <f>P54/N54-1</f>
        <v/>
      </c>
      <c r="S54" s="4" t="inlineStr">
        <is>
          <t>中立</t>
        </is>
      </c>
      <c r="T54">
        <f>397.809026598135/N54-1</f>
        <v/>
      </c>
      <c r="U54" t="inlineStr">
        <is>
          <t>舊法：規則值情境加權價（參考，Val!B82）</t>
        </is>
      </c>
      <c r="V54" t="inlineStr">
        <is>
          <t>18.1 ／ 21.2 ／ 21.3</t>
        </is>
      </c>
      <c r="W54" s="1" t="inlineStr">
        <is>
          <t>DCF 目標價 229.6（Val!B111）；Comparable 目標價 425.4（Val!B127）；市場共識目標價 446.5（Val!B128，外部、僅供對照）；價格帶 C～A 情境 DCF 172.3～296.3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23694.85224973933</v>
      </c>
      <c r="AF54" s="4" t="n">
        <v>1435.525</v>
      </c>
      <c r="AG54" t="inlineStr">
        <is>
          <t>[Derived] ter/dist/20261031_泰瑞達個股模型_v0.3.xlsx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ter/dist/20261031_泰瑞達個股模型_v0.3.xlsx Val!B129；投資建議 ter/dist/20261031_泰瑞達個股模型_v0.3.xlsx Val!B138；級距 ter/dist/20261031_泰瑞達個股模型_v0.3.xlsx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besi/dist/20261031_BESI模型_v0.1.3.xlsx Val!B112</t>
        </is>
      </c>
      <c r="J55" s="4" t="n">
        <v>43.9240158537741</v>
      </c>
      <c r="K55" t="inlineStr">
        <is>
          <t>besi/dist/20261031_BESI模型_v0.1.3.xlsx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besi/dist/20261031_BESI模型_v0.1.3.xlsx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besi/dist/20261031_BESI模型_v0.1.3.xlsx Val!B115；投資建議 besi/dist/20261031_BESI模型_v0.1.3.xlsx Val!B124；級距 besi/dist/20261031_BESI模型_v0.1.3.xlsx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accretech/dist/20261031_東京精密個股模型_v0.1.3.xlsx Val!B40</t>
        </is>
      </c>
      <c r="J57" s="4" t="n">
        <v>6131.42686806188</v>
      </c>
      <c r="K57" t="inlineStr">
        <is>
          <t>accretech/dist/20261031_東京精密個股模型_v0.1.3.xlsx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accretech/dist/20261031_東京精密個股模型_v0.1.3.xlsx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accretech/dist/20261031_東京精密個股模型_v0.1.3.xlsx Val!B43；投資建議 accretech/dist/20261031_東京精密個股模型_v0.1.3.xlsx Val!B116；級距 accretech/dist/20261031_東京精密個股模型_v0.1.3.xlsx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smci/dist/20261031_美超微個股模型_v0.1.4.xlsx Val!B39</t>
        </is>
      </c>
      <c r="J62" s="4" t="n">
        <v>31.419993199526</v>
      </c>
      <c r="K62" t="inlineStr">
        <is>
          <t>smci/dist/20261031_美超微個股模型_v0.1.4.xlsx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smci/dist/20261031_美超微個股模型_v0.1.4.xlsx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smci/dist/20261031_美超微個股模型_v0.1.4.xlsx Val!B42；投資建議 smci/dist/20261031_美超微個股模型_v0.1.4.xlsx Val!B136；級距 smci/dist/20261031_美超微個股模型_v0.1.4.xlsx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avc/dist/20261031_奇鋐個股模型_v0.2.4.xlsx Val!B119</t>
        </is>
      </c>
      <c r="J63" s="4" t="n">
        <v>1834.66717881609</v>
      </c>
      <c r="K63" t="inlineStr">
        <is>
          <t>avc/dist/20261031_奇鋐個股模型_v0.2.4.xlsx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avc/dist/20261031_奇鋐個股模型_v0.2.4.xlsx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avc/dist/20261031_奇鋐個股模型_v0.2.4.xlsx Val!B122；投資建議 avc/dist/20261031_奇鋐個股模型_v0.2.4.xlsx Val!B135；級距 avc/dist/20261031_奇鋐個股模型_v0.2.4.xlsx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liteon/dist/20261031_光寶個股模型_v0.2.2.xlsx Val!B40</t>
        </is>
      </c>
      <c r="J64" s="4" t="n">
        <v>120.655384312938</v>
      </c>
      <c r="K64" t="inlineStr">
        <is>
          <t>liteon/dist/20261031_光寶個股模型_v0.2.2.xlsx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liteon/dist/20261031_光寶個股模型_v0.2.2.xlsx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liteon/dist/20261031_光寶個股模型_v0.2.2.xlsx Val!B43；投資建議 liteon/dist/20261031_光寶個股模型_v0.2.2.xlsx Val!B119；級距 liteon/dist/20261031_光寶個股模型_v0.2.2.xlsx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auras/dist/20261031_雙鴻個股模型_v0.1.4.xlsx Val!B39</t>
        </is>
      </c>
      <c r="J65" s="4" t="n">
        <v>700.0594830373281</v>
      </c>
      <c r="K65" t="inlineStr">
        <is>
          <t>auras/dist/20261031_雙鴻個股模型_v0.1.4.xlsx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auras/dist/20261031_雙鴻個股模型_v0.1.4.xlsx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auras/dist/20261031_雙鴻個股模型_v0.1.4.xlsx Val!B42；投資建議 auras/dist/20261031_雙鴻個股模型_v0.1.4.xlsx Val!B130；級距 auras/dist/20261031_雙鴻個股模型_v0.1.4.xlsx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jentech/dist/20261031_健策個股模型_v0.1.4.xlsx Val!B40</t>
        </is>
      </c>
      <c r="J66" s="4" t="n">
        <v>1351.67225447468</v>
      </c>
      <c r="K66" t="inlineStr">
        <is>
          <t>jentech/dist/20261031_健策個股模型_v0.1.4.xlsx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jentech/dist/20261031_健策個股模型_v0.1.4.xlsx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jentech/dist/20261031_健策個股模型_v0.1.4.xlsx Val!B43；投資建議 jentech/dist/20261031_健策個股模型_v0.1.4.xlsx Val!B46；級距 jentech/dist/20261031_健策個股模型_v0.1.4.xlsx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2026-10-30T21:24:32Z</dcterms:created>
  <dcterms:modified xmlns:dcterms="http://purl.org/dc/terms/" xmlns:xsi="http://www.w3.org/2001/XMLSchema-instance" xsi:type="dcterms:W3CDTF">2026-10-30T21:24:32Z</dcterms:modified>
</cp:coreProperties>
</file>