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v0.6.17（20261031）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guc/dist/20261031_創意個股模型_v0.2.xlsx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kioxia/dist/20261031_Kioxia個股模型_v0.4.xlsx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sndk/dist/20261031_SanDisk個股模型_v0.4.xlsx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amkr/dist/20261031_艾克爾個股模型_v0.3.xlsx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gce/dist/20261031_金像電個股模型_v0.2.3.xlsx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victory_giant/dist/20261031_勝宏科技個股模型_v0.2.xlsx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klac/dist/20261031_科磊個股模型_v0.3.xlsx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liteon/dist/20261031_光寶個股模型_v0.3.xlsx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3338038.36343149</v>
      </c>
      <c r="G4" t="inlineStr">
        <is>
          <t>skhynix/dist/20261030_SK海力士個股模型_v0.6.1.xlsx Val!B161</t>
        </is>
      </c>
      <c r="J4" s="4" t="n">
        <v>1465551.62678839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1.61396896118362</v>
      </c>
      <c r="R4">
        <f>P4/N4-1</f>
        <v/>
      </c>
      <c r="S4" s="4" t="inlineStr">
        <is>
          <t>強力買進</t>
        </is>
      </c>
      <c r="T4">
        <f>1369203.64651479/N4-1</f>
        <v/>
      </c>
      <c r="U4" t="inlineStr">
        <is>
          <t>舊法：規則值情境加權價（參考，Val!B176）</t>
        </is>
      </c>
      <c r="W4" s="1" t="inlineStr">
        <is>
          <t>DCF 目標價 4,251,279.3（Val!B146）；Comparable 目標價 2,516,013.9（Val!B162）；市場共識目標價 3,096,288.0（Val!B163，外部、僅供對照）；價格帶 C～A 情境 DCF 1,465,551.6～7,563,679.6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334.1、2028 A 368.5、2029 A 408.0、2027 B 325.1、2028 B 170.1、2029 B 208.8、2027 C 325.1、2028 C 89.1、2029 C 72.9</t>
        </is>
      </c>
      <c r="AE4" s="4" t="n">
        <v>2533.708842176317</v>
      </c>
      <c r="AF4" s="4" t="n">
        <v>72.8730033399507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494190.939067784</v>
      </c>
      <c r="G5" t="inlineStr">
        <is>
          <t>samsung/dist/20261030_三星電子個股模型_v0.4.xlsx Val!B161</t>
        </is>
      </c>
      <c r="J5" s="4" t="n">
        <v>222936.615580202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1.29322941562777</v>
      </c>
      <c r="R5">
        <f>P5/N5-1</f>
        <v/>
      </c>
      <c r="S5" s="4" t="inlineStr">
        <is>
          <t>強力買進</t>
        </is>
      </c>
      <c r="T5">
        <f>255561.387413885/N5-1</f>
        <v/>
      </c>
      <c r="U5" t="inlineStr">
        <is>
          <t>舊法：規則值情境加權價（參考，Val!B176）</t>
        </is>
      </c>
      <c r="W5" s="1" t="inlineStr">
        <is>
          <t>DCF 目標價 500,913.3（Val!B146）；Comparable 目標價 469,795.8（Val!B162）；市場共識目標價 478,906.0（Val!B163，外部、僅供對照）；價格帶 C～A 情境 DCF 222,936.6～847,164.3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516.7、2028 A 572.7、2029 A 623.4、2027 B 502.9、2028 B 279.3、2029 B 329.9、2027 C 502.9、2028 C 167.7、2029 C 139.5</t>
        </is>
      </c>
      <c r="AE5" s="4" t="n">
        <v>3910.357166140583</v>
      </c>
      <c r="AF5" s="4" t="n">
        <v>139.491910338569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743.4229992770159</v>
      </c>
      <c r="G6" t="inlineStr">
        <is>
          <t>micron/dist/20261030_美光個股模型_v0.4.3.xlsx Val!B208</t>
        </is>
      </c>
      <c r="J6" s="4" t="n">
        <v>317.401390504464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-0.152842573896625</v>
      </c>
      <c r="R6">
        <f>P6/N6-1</f>
        <v/>
      </c>
      <c r="S6" s="4" t="inlineStr">
        <is>
          <t>中立</t>
        </is>
      </c>
      <c r="T6">
        <f>347.707007838792/N6-1</f>
        <v/>
      </c>
      <c r="U6" t="inlineStr">
        <is>
          <t>舊法：規則值情境加權價（參考，Val!B223）</t>
        </is>
      </c>
      <c r="W6" s="1" t="inlineStr">
        <is>
          <t>DCF 目標價 921.8（Val!B193）；Comparable 目標價 433.5（Val!B209）；市場共識目標價 1,560.6（Val!B210，外部、僅供對照）；價格帶 C～A 情境 DCF 317.4～1,692.7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150.5、FY2028 A 170.5、FY2029 A 190.0、FY2027 B 152.4、FY2028 B 86.6、FY2029 B 76.5、FY2027 C 152.4、FY2028 C 58.6、FY2029 C 8.3</t>
        </is>
      </c>
      <c r="AE6" s="4" t="n">
        <v>1112.828613508638</v>
      </c>
      <c r="AF6" s="4" t="n">
        <v>8.261065442852161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3968.04190837397</v>
      </c>
      <c r="G32" t="inlineStr">
        <is>
          <t>guc/dist/20261031_創意個股模型_v0.2.xlsx Val!B39</t>
        </is>
      </c>
      <c r="J32" s="4" t="n">
        <v>682.22739883973</v>
      </c>
      <c r="K32" t="inlineStr">
        <is>
          <t>guc/dist/20261031_創意個股模型_v0.2.xlsx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-0.476856702917078</v>
      </c>
      <c r="R32">
        <f>P32/N32-1</f>
        <v/>
      </c>
      <c r="S32" s="4" t="inlineStr">
        <is>
          <t>放空</t>
        </is>
      </c>
      <c r="V32" t="inlineStr">
        <is>
          <t>38.0 ／ 65.9 ／ 145.8</t>
        </is>
      </c>
      <c r="W32" s="1" t="inlineStr">
        <is>
          <t>DCF 目標價 2,267.8（Val!B24）；Comparable 目標價 3,573.3（Val!B40）；市場共識目標價 6,722.4（Val!B41，外部、僅供對照）；價格帶 C～A 情境 DCF 682.2～3,785.3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347.435412837389</v>
      </c>
      <c r="AF32" s="4" t="n">
        <v>6.28281541665569</v>
      </c>
      <c r="AG32" t="inlineStr">
        <is>
          <t>[Derived] guc/dist/20261031_創意個股模型_v0.2.xlsx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guc/dist/20261031_創意個股模型_v0.2.xlsx Val!B42；投資建議 guc/dist/20261031_創意個股模型_v0.2.xlsx Val!B135；級距 guc/dist/20261031_創意個股模型_v0.2.xlsx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20499.9582160657</v>
      </c>
      <c r="G33" t="inlineStr">
        <is>
          <t>kioxia/dist/20261031_Kioxia個股模型_v0.4.xlsx Val!B49</t>
        </is>
      </c>
      <c r="J33" s="4" t="n">
        <v>7946.25077737216</v>
      </c>
      <c r="K33" t="inlineStr">
        <is>
          <t>kioxia/dist/20261031_Kioxia個股模型_v0.4.xlsx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0.607209581816202</v>
      </c>
      <c r="R33">
        <f>P33/N33-1</f>
        <v/>
      </c>
      <c r="S33" s="4" t="inlineStr">
        <is>
          <t>強力買進</t>
        </is>
      </c>
      <c r="T33">
        <f>12481.1804412046/N33-1</f>
        <v/>
      </c>
      <c r="U33" t="inlineStr">
        <is>
          <t>舊法：規則值情境加權價（參考，Val!B155）</t>
        </is>
      </c>
      <c r="V33" t="inlineStr">
        <is>
          <t>2.5 ／ 9.7 ／ 23.8</t>
        </is>
      </c>
      <c r="W33" s="1" t="inlineStr">
        <is>
          <t>DCF 目標價 22,052.2（Val!B24）；Comparable 目標價 18,947.7（Val!B50）；市場共識目標價 36,929.2（Val!B51，外部、僅供對照）；價格帶 C～A 情境 DCF 7,946.3～41,554.3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71291.87987324169</v>
      </c>
      <c r="AF33" s="4" t="n">
        <v>803.284356218948</v>
      </c>
      <c r="AG33" t="inlineStr">
        <is>
          <t>[Derived] kioxia/dist/20261031_Kioxia個股模型_v0.4.xlsx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kioxia/dist/20261031_Kioxia個股模型_v0.4.xlsx Val!B52；投資建議 kioxia/dist/20261031_Kioxia個股模型_v0.4.xlsx Val!B55；級距 kioxia/dist/20261031_Kioxia個股模型_v0.4.xlsx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930.353664167904</v>
      </c>
      <c r="G34" t="inlineStr">
        <is>
          <t>sndk/dist/20261031_SanDisk個股模型_v0.4.xlsx Val!B49</t>
        </is>
      </c>
      <c r="J34" s="4" t="n">
        <v>487.506187049093</v>
      </c>
      <c r="K34" t="inlineStr">
        <is>
          <t>sndk/dist/20261031_SanDisk個股模型_v0.4.xlsx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-0.248520904850525</v>
      </c>
      <c r="R34">
        <f>P34/N34-1</f>
        <v/>
      </c>
      <c r="S34" s="4" t="inlineStr">
        <is>
          <t>中立</t>
        </is>
      </c>
      <c r="T34">
        <f>448.60850776157/N34-1</f>
        <v/>
      </c>
      <c r="U34" t="inlineStr">
        <is>
          <t>舊法：規則值情境加權價（參考，Val!B155）</t>
        </is>
      </c>
      <c r="V34" t="inlineStr">
        <is>
          <t>3.7 ／ 5.8 ／ 6.5</t>
        </is>
      </c>
      <c r="W34" s="1" t="inlineStr">
        <is>
          <t>DCF 目標價 1,121.9（Val!B24）；Comparable 目標價 738.8（Val!B50）；市場共識目標價 2,144.0（Val!B51，外部、僅供對照）；價格帶 C～A 情境 DCF 487.5～2,233.7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278.4074112408393</v>
      </c>
      <c r="AF34" s="4" t="n">
        <v>3.615</v>
      </c>
      <c r="AG34" t="inlineStr">
        <is>
          <t>[Derived] sndk/dist/20261031_SanDisk個股模型_v0.4.xlsx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sndk/dist/20261031_SanDisk個股模型_v0.4.xlsx Val!B52；投資建議 sndk/dist/20261031_SanDisk個股模型_v0.4.xlsx Val!B55；級距 sndk/dist/20261031_SanDisk個股模型_v0.4.xlsx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61.7701299373206</v>
      </c>
      <c r="G43" t="inlineStr">
        <is>
          <t>amkr/dist/20261031_艾克爾個股模型_v0.3.xlsx Val!B39</t>
        </is>
      </c>
      <c r="J43" s="4" t="n">
        <v>21.2110888160172</v>
      </c>
      <c r="K43" t="inlineStr">
        <is>
          <t>amkr/dist/20261031_艾克爾個股模型_v0.3.xlsx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0.571759031483984</v>
      </c>
      <c r="R43">
        <f>P43/N43-1</f>
        <v/>
      </c>
      <c r="S43" s="4" t="inlineStr">
        <is>
          <t>強力買進</t>
        </is>
      </c>
      <c r="V43" t="inlineStr">
        <is>
          <t>10.6 ／ 13.1 ／ 18.4</t>
        </is>
      </c>
      <c r="W43" s="1" t="inlineStr">
        <is>
          <t>DCF 目標價 33.9（Val!B24）；Comparable 目標價 69.8（Val!B40）；市場共識目標價 76.4（Val!B41，外部、僅供對照）；價格帶 C～A 情境 DCF 21.2～45.7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16479.54750258677</v>
      </c>
      <c r="AF43" s="4" t="n">
        <v>534.596034019182</v>
      </c>
      <c r="AG43" t="inlineStr">
        <is>
          <t>[Derived] amkr/dist/20261031_艾克爾個股模型_v0.3.xlsx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amkr/dist/20261031_艾克爾個股模型_v0.3.xlsx Val!B42；投資建議 amkr/dist/20261031_艾克爾個股模型_v0.3.xlsx Val!B50；級距 amkr/dist/20261031_艾克爾個股模型_v0.3.xlsx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gce/dist/20261031_金像電個股模型_v0.2.3.xlsx Val!B40</t>
        </is>
      </c>
      <c r="J47" s="4" t="n">
        <v>559.015397539127</v>
      </c>
      <c r="K47" t="inlineStr">
        <is>
          <t>gce/dist/20261031_金像電個股模型_v0.2.3.xlsx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gce/dist/20261031_金像電個股模型_v0.2.3.xlsx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gce/dist/20261031_金像電個股模型_v0.2.3.xlsx Val!B43；投資建議 gce/dist/20261031_金像電個股模型_v0.2.3.xlsx Val!B119；級距 gce/dist/20261031_金像電個股模型_v0.2.3.xlsx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290.7783783632</v>
      </c>
      <c r="G48" t="inlineStr">
        <is>
          <t>victory_giant/dist/20261031_勝宏科技個股模型_v0.2.xlsx Val!B39</t>
        </is>
      </c>
      <c r="J48" s="4" t="n">
        <v>93.9743487266784</v>
      </c>
      <c r="K48" t="inlineStr">
        <is>
          <t>victory_giant/dist/20261031_勝宏科技個股模型_v0.2.xlsx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0.584796045144974</v>
      </c>
      <c r="R48">
        <f>P48/N48-1</f>
        <v/>
      </c>
      <c r="S48" s="4" t="inlineStr">
        <is>
          <t>強力買進</t>
        </is>
      </c>
      <c r="V48" t="inlineStr">
        <is>
          <t>10.8 ／ 13.3 ／ 17.6</t>
        </is>
      </c>
      <c r="W48" s="1" t="inlineStr">
        <is>
          <t>DCF 目標價 193.7（Val!B24）；Comparable 目標價 425.5（Val!B40）；市場共識目標價 388.3（Val!B41，外部、僅供對照）；價格帶 C～A 情境 DCF 94.0～275.0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241.3705845401136</v>
      </c>
      <c r="AF48" s="4" t="n">
        <v>5.29420369307833</v>
      </c>
      <c r="AG48" t="inlineStr">
        <is>
          <t>[Derived] victory_giant/dist/20261031_勝宏科技個股模型_v0.2.xlsx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victory_giant/dist/20261031_勝宏科技個股模型_v0.2.xlsx Val!B42；投資建議 victory_giant/dist/20261031_勝宏科技個股模型_v0.2.xlsx Val!B119；級距 victory_giant/dist/20261031_勝宏科技個股模型_v0.2.xlsx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118.897052166628</v>
      </c>
      <c r="G52" t="inlineStr">
        <is>
          <t>klac/dist/20261031_科磊個股模型_v0.3.xlsx Val!B129</t>
        </is>
      </c>
      <c r="J52" s="4" t="n">
        <v>58.2160282703962</v>
      </c>
      <c r="K52" t="inlineStr">
        <is>
          <t>klac/dist/20261031_科磊個股模型_v0.3.xlsx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-0.183455448344015</v>
      </c>
      <c r="R52">
        <f>P52/N52-1</f>
        <v/>
      </c>
      <c r="S52" s="4" t="inlineStr">
        <is>
          <t>中立</t>
        </is>
      </c>
      <c r="T52">
        <f>105.48537779437/N52-1</f>
        <v/>
      </c>
      <c r="U52" t="inlineStr">
        <is>
          <t>舊法：規則值情境加權價（參考，Val!B6）</t>
        </is>
      </c>
      <c r="V52" t="inlineStr">
        <is>
          <t>22.7 ／ 24.5 ／ 28.1</t>
        </is>
      </c>
      <c r="W52" s="1" t="inlineStr">
        <is>
          <t>DCF 目標價 95.0（Val!B114）；Comparable 目標價 150.0（Val!B130）；市場共識目標價 232.4（Val!B131，外部、僅供對照）；價格帶 C～A 情境 DCF 58.2～132.6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67729.98732566486</v>
      </c>
      <c r="AF52" s="4" t="n">
        <v>6197.93313628252</v>
      </c>
      <c r="AG52" t="inlineStr">
        <is>
          <t>[Derived] klac/dist/20261031_科磊個股模型_v0.3.xlsx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klac/dist/20261031_科磊個股模型_v0.3.xlsx Val!B132；投資建議 klac/dist/20261031_科磊個股模型_v0.3.xlsx Val!B140；級距 klac/dist/20261031_科磊個股模型_v0.3.xlsx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322.179465003464</v>
      </c>
      <c r="G64" t="inlineStr">
        <is>
          <t>liteon/dist/20261031_光寶個股模型_v0.3.xlsx Val!B40</t>
        </is>
      </c>
      <c r="J64" s="4" t="n">
        <v>121.332763437476</v>
      </c>
      <c r="K64" t="inlineStr">
        <is>
          <t>liteon/dist/20261031_光寶個股模型_v0.3.xlsx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0.260976379661307</v>
      </c>
      <c r="R64">
        <f>P64/N64-1</f>
        <v/>
      </c>
      <c r="S64" s="4" t="inlineStr">
        <is>
          <t>買進</t>
        </is>
      </c>
      <c r="V64" t="inlineStr">
        <is>
          <t>8.4 ／ 12.0 ／ 18.4</t>
        </is>
      </c>
      <c r="W64" s="1" t="inlineStr">
        <is>
          <t>DCF 目標價 321.0（Val!B24）；Comparable 目標價 534.5（Val!B41）；市場共識目標價 314.2（Val!B42，外部、僅供對照）；價格帶 C～A 情境 DCF 121.3～534.9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1046.873324121932</v>
      </c>
      <c r="AF64" s="4" t="n">
        <v>20.4573090423823</v>
      </c>
      <c r="AG64" t="inlineStr">
        <is>
          <t>[Derived] liteon/dist/20261031_光寶個股模型_v0.3.xlsx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25%–50%</t>
        </is>
      </c>
      <c r="AK64" s="1" t="inlineStr">
        <is>
          <t>上檔空間 liteon/dist/20261031_光寶個股模型_v0.3.xlsx Val!B43；投資建議 liteon/dist/20261031_光寶個股模型_v0.3.xlsx Val!B119；級距 liteon/dist/20261031_光寶個股模型_v0.3.xlsx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2026-10-31T03:00:55Z</dcterms:created>
  <dcterms:modified xmlns:dcterms="http://purl.org/dc/terms/" xmlns:xsi="http://www.w3.org/2001/XMLSchema-instance" xsi:type="dcterms:W3CDTF">2026-10-31T03:00:55Z</dcterms:modified>
</cp:coreProperties>
</file>