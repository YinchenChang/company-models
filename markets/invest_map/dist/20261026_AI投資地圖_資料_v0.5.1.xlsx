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v0.5.1（20261026）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57.3%（VR200 2027 約 37%）</t>
        </is>
      </c>
      <c r="D5" s="4" t="n">
        <v>0.573</v>
      </c>
      <c r="E5">
        <f>D5*每GW!$D$2</f>
        <v/>
      </c>
      <c r="F5" s="3" t="n">
        <v>1</v>
      </c>
      <c r="G5" s="3" t="n">
        <v>100</v>
      </c>
      <c r="H5" s="1" t="inlineStr">
        <is>
          <t>晶片內容橋接表 v0.2.1 Bridge GB300 欄 B10＋B11＋B13＋B14（NVIDIA 晶片毛利 48.5%＋台積電 3.5%＋其他製造 2.3%＋CPU 3.0%）÷ B7；HBM 移到記憶體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13.4%（VR200 2027 約 23%）</t>
        </is>
      </c>
      <c r="D6" s="4" t="n">
        <v>0.134</v>
      </c>
      <c r="E6">
        <f>D6*每GW!$D$2</f>
        <v/>
      </c>
      <c r="F6" s="3" t="n">
        <v>1</v>
      </c>
      <c r="G6" s="3" t="n">
        <v>100</v>
      </c>
      <c r="H6" s="1" t="inlineStr">
        <is>
          <t>晶片內容橋接表 v0.2.1 Bridge GB300 欄 B12＋B15＋B16（HBM 6.7%＋LPDDR 4.6%＋機架內 SSD 2.1%）÷ B7；2027 HBM 合約價約翻倍，VR200 2027 約 23%，級距沿用 100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約 19%）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晶片內容橋接表 v0.2.1 Bridge GB300 欄 B17＋B20（網卡與 DPU 4.0%＋NVLink 4.5%＋機架外交換器、光模組、線纜 9.0%）÷ B7 [Derived]</t>
        </is>
      </c>
    </row>
    <row r="8">
      <c r="A8" t="inlineStr">
        <is>
          <t>L3 IT 設備</t>
        </is>
      </c>
      <c r="B8" t="inlineStr">
        <is>
          <t>載板與 PCB</t>
        </is>
      </c>
      <c r="C8" t="inlineStr">
        <is>
          <t>含在運算「其他製造」2.3% 內（ABF 約 0.3%），不另加</t>
        </is>
      </c>
      <c r="D8" s="4" t="n">
        <v>0.003</v>
      </c>
      <c r="E8">
        <f>D8*每GW!$D$2</f>
        <v/>
      </c>
      <c r="F8" s="3" t="n">
        <v>2</v>
      </c>
      <c r="G8" s="3" t="n">
        <v>25</v>
      </c>
      <c r="H8" s="1" t="inlineStr">
        <is>
          <t>AI半導體 次產業排序 v0.2.2（Ibiden 比對）；屬 晶片內容橋接表 v0.2.1 Bridge GB300 欄 B13 的一部分，金額不與運算相加 [Assumed] 區間</t>
        </is>
      </c>
    </row>
    <row r="9">
      <c r="A9" t="inlineStr">
        <is>
          <t>L3 IT 設備</t>
        </is>
      </c>
      <c r="B9" t="inlineStr">
        <is>
          <t>電源與散熱</t>
        </is>
      </c>
      <c r="C9" t="inlineStr">
        <is>
          <t>6.3%（電源、散熱、機構、整合；電源＋散熱約 3–5%）</t>
        </is>
      </c>
      <c r="D9" s="4" t="n">
        <v>0.063</v>
      </c>
      <c r="E9">
        <f>D9*每GW!$D$2</f>
        <v/>
      </c>
      <c r="F9" s="3" t="n">
        <v>2</v>
      </c>
      <c r="G9" s="3" t="n">
        <v>25</v>
      </c>
      <c r="H9" s="1" t="inlineStr">
        <is>
          <t>晶片內容橋接表 v0.2.1 Bridge GB300 欄 B18 ÷ B7；電源＋散熱 3–5% 為 AI半導體 判斷，級距依 3–5% 給 25 [Derived]／[Assumed]</t>
        </is>
      </c>
    </row>
    <row r="10">
      <c r="A10" t="inlineStr">
        <is>
          <t>L3 IT 設備</t>
        </is>
      </c>
      <c r="B10" t="inlineStr">
        <is>
          <t>伺服器組裝</t>
        </is>
      </c>
      <c r="C10" t="inlineStr">
        <is>
          <t>4.6%（板卡、供電與組裝加價；ODM 附加價值約 1–3%）</t>
        </is>
      </c>
      <c r="D10" s="4" t="n">
        <v>0.046</v>
      </c>
      <c r="E10">
        <f>D10*每GW!$D$2</f>
        <v/>
      </c>
      <c r="F10" s="3" t="n">
        <v>3</v>
      </c>
      <c r="G10" s="3" t="n">
        <v>25</v>
      </c>
      <c r="H10" s="1" t="inlineStr">
        <is>
          <t>晶片內容橋接表 v0.2.1 Bridge GB300 欄 B19 ÷ B7（殘差：匣級電路板、供電、NVIDIA／ODM 匣級加價）；ODM 附加價值 1–3% 為 AI半導體 判斷 [Derived]</t>
        </is>
      </c>
    </row>
    <row r="11">
      <c r="A11" t="inlineStr">
        <is>
          <t>L2 半導體製造與設備</t>
        </is>
      </c>
      <c r="B11" t="inlineStr">
        <is>
          <t>代工與封測</t>
        </is>
      </c>
      <c r="C11" t="inlineStr">
        <is>
          <t>約 3.5%（含在 L3 運算內，不另加；僅 NVIDIA 平台）</t>
        </is>
      </c>
      <c r="D11" s="4" t="n">
        <v>0.035</v>
      </c>
      <c r="F11" s="3" t="n">
        <v>1</v>
      </c>
      <c r="G11" s="3" t="n">
        <v>75</v>
      </c>
      <c r="H11" s="1" t="inlineStr">
        <is>
          <t>例外：晶片內容橋接表 v0.2.1 Bridge GB300 欄 B11 ÷ B7 只見 3.5%，但先進製程與 CoWoS 的價值藏在運算的晶片成本內，給 75 [判斷]</t>
        </is>
      </c>
    </row>
    <row r="12">
      <c r="A12" t="inlineStr">
        <is>
          <t>L2 半導體製造與設備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AI半導體 次產業排序 v0.2.2（設備模型情境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價值鏈!A8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價值鏈!F8</f>
        <v/>
      </c>
      <c r="J10">
        <f>價值鏈!G8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價值鏈!A9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價值鏈!F9</f>
        <v/>
      </c>
      <c r="J11">
        <f>價值鏈!G9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價值鏈!A10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價值鏈!F10</f>
        <v/>
      </c>
      <c r="J12">
        <f>價值鏈!G10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價值鏈!F11</f>
        <v/>
      </c>
      <c r="J40">
        <f>價值鏈!G11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價值鏈!F11</f>
        <v/>
      </c>
      <c r="J41">
        <f>價值鏈!G11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價值鏈!F8</f>
        <v/>
      </c>
      <c r="J44">
        <f>價值鏈!G8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價值鏈!F8</f>
        <v/>
      </c>
      <c r="J45">
        <f>價值鏈!G8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價值鏈!F8</f>
        <v/>
      </c>
      <c r="J46">
        <f>價值鏈!G8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價值鏈!F12</f>
        <v/>
      </c>
      <c r="J47">
        <f>價值鏈!G12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價值鏈!F12</f>
        <v/>
      </c>
      <c r="J48">
        <f>價值鏈!G12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價值鏈!F12</f>
        <v/>
      </c>
      <c r="J49">
        <f>價值鏈!G12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價值鏈!F12</f>
        <v/>
      </c>
      <c r="J50">
        <f>價值鏈!G12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價值鏈!F12</f>
        <v/>
      </c>
      <c r="J51">
        <f>價值鏈!G12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價值鏈!F12</f>
        <v/>
      </c>
      <c r="J52">
        <f>價值鏈!G12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價值鏈!F12</f>
        <v/>
      </c>
      <c r="J53">
        <f>價值鏈!G12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價值鏈!F12</f>
        <v/>
      </c>
      <c r="J54">
        <f>價值鏈!G12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價值鏈!F12</f>
        <v/>
      </c>
      <c r="J55">
        <f>價值鏈!G12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價值鏈!F10</f>
        <v/>
      </c>
      <c r="J56">
        <f>價值鏈!G10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價值鏈!F10</f>
        <v/>
      </c>
      <c r="J57">
        <f>價值鏈!G10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價值鏈!F10</f>
        <v/>
      </c>
      <c r="J58">
        <f>價值鏈!G10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價值鏈!F10</f>
        <v/>
      </c>
      <c r="J59">
        <f>價值鏈!G10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價值鏈!F10</f>
        <v/>
      </c>
      <c r="J60">
        <f>價值鏈!G10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價值鏈!F9</f>
        <v/>
      </c>
      <c r="J61">
        <f>價值鏈!G9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價值鏈!F9</f>
        <v/>
      </c>
      <c r="J62">
        <f>價值鏈!G9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價值鏈!F9</f>
        <v/>
      </c>
      <c r="J63">
        <f>價值鏈!G9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價值鏈!F9</f>
        <v/>
      </c>
      <c r="J64">
        <f>價值鏈!G9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tsmc/dist/20261025_台積電模型_v0.3.xlsx In!E135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innolight/dist/20261025_中際旭創模型_v0.2.xlsx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delta/dist/20261025_台達電模型_v0.2.xlsx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disco/dist/20261025_Disco模型_v0.2.1.xlsx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amd/dist/20261025_AMD模型_v0.2.1.xlsx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mrvl/dist/20261025_邁威爾模型_v0.2.xlsx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cohr/dist/20261025_Coherent模型_v0.2.xlsx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lite/dist/20261025_Lumentum模型_v0.2.xlsx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eoptolink/dist/20261025_新易盛模型_v0.2.xlsx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fabrinet/dist/20261025_Fabrinet模型_v0.1.xlsx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crdo/dist/20261025_Credo模型_v0.2.xlsx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hanmi/dist/20261025_韓美半導體模型_v0.2.1.xlsx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foxconn/dist/20261025_鴻海模型_v0.2.xlsx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liteon/dist/20261025_光寶模型_v0.1.xlsx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nvidia/dist/20261025_NVIDIA模型_v0.2.xlsx Val!B40</t>
        </is>
      </c>
      <c r="J2" s="4" t="n">
        <v>128.622689303977</v>
      </c>
      <c r="K2" t="inlineStr">
        <is>
          <t>nvidia/dist/20261025_NVIDIA模型_v0.2.xlsx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>
        <f>IF(Q2&gt;0.5,"強力買進",IF(Q2&gt;0.25,"買進",IF(Q2&gt;=-0.25,"中立",IF(Q2&gt;=-0.5,"放空","強力放空"))))</f>
        <v/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IF(S2="未上市","未上市",IF(AH2="不通過","收支不足",S2))</f>
        <v/>
      </c>
      <c r="AJ2">
        <f>IF(Q2&gt;0.5,"大於 50%",IF(Q2&gt;0.25,"25%–50%",IF(Q2&gt;=0,"0%–25%",IF(Q2&gt;=-0.25,"0%～−25%",IF(Q2&gt;=-0.5,"−25%～−50%","小於 −50%")))))</f>
        <v/>
      </c>
      <c r="AK2" s="1" t="inlineStr">
        <is>
          <t>上檔空間 nvidia/dist/20261025_NVIDIA模型_v0.2.xlsx Val!B43；投資建議：模型尚未補列，依 AI半導體 固定規則自算；級距：模型尚未補列，依 AI半導體 固定規則自算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avgo/dist/20261025_Broadcom模型_v0.2.xlsx Val!B40</t>
        </is>
      </c>
      <c r="J3" s="4" t="n">
        <v>221.914547314327</v>
      </c>
      <c r="K3" t="inlineStr">
        <is>
          <t>avgo/dist/20261025_Broadcom模型_v0.2.xlsx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>
        <f>IF(Q3&gt;0.5,"強力買進",IF(Q3&gt;0.25,"買進",IF(Q3&gt;=-0.25,"中立",IF(Q3&gt;=-0.5,"放空","強力放空"))))</f>
        <v/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IF(S3="未上市","未上市",IF(AH3="不通過","收支不足",S3))</f>
        <v/>
      </c>
      <c r="AJ3">
        <f>IF(Q3&gt;0.5,"大於 50%",IF(Q3&gt;0.25,"25%–50%",IF(Q3&gt;=0,"0%–25%",IF(Q3&gt;=-0.25,"0%～−25%",IF(Q3&gt;=-0.5,"−25%～−50%","小於 −50%")))))</f>
        <v/>
      </c>
      <c r="AK3" s="1" t="inlineStr">
        <is>
          <t>上檔空間 avgo/dist/20261025_Broadcom模型_v0.2.xlsx Val!B43；投資建議：模型尚未補列，依 AI半導體 固定規則自算；級距：模型尚未補列，依 AI半導體 固定規則自算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skhynix/dist/20261025_SK海力士模型_v0.5.xlsx Val!B161</t>
        </is>
      </c>
      <c r="J4" s="4" t="n">
        <v>1308904.14697498</v>
      </c>
      <c r="K4" t="inlineStr">
        <is>
          <t>skhynix/dist/20261025_SK海力士模型_v0.5.xlsx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>
        <f>IF(Q4&gt;0.5,"強力買進",IF(Q4&gt;0.25,"買進",IF(Q4&gt;=-0.25,"中立",IF(Q4&gt;=-0.5,"放空","強力放空"))))</f>
        <v/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IF(S4="未上市","未上市",IF(AH4="不通過","收支不足",S4))</f>
        <v/>
      </c>
      <c r="AJ4">
        <f>IF(Q4&gt;0.5,"大於 50%",IF(Q4&gt;0.25,"25%–50%",IF(Q4&gt;=0,"0%–25%",IF(Q4&gt;=-0.25,"0%～−25%",IF(Q4&gt;=-0.5,"−25%～−50%","小於 −50%")))))</f>
        <v/>
      </c>
      <c r="AK4" s="1" t="inlineStr">
        <is>
          <t>上檔空間 skhynix/dist/20261025_SK海力士模型_v0.5.xlsx Val!B164；投資建議：模型尚未補列，依 AI半導體 固定規則自算；級距：模型尚未補列，依 AI半導體 固定規則自算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samsung/dist/20261025_三星電子模型_v0.3.xlsx Val!B161</t>
        </is>
      </c>
      <c r="J5" s="4" t="n">
        <v>218882.499300042</v>
      </c>
      <c r="K5" t="inlineStr">
        <is>
          <t>samsung/dist/20261025_三星電子模型_v0.3.xlsx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>
        <f>IF(Q5&gt;0.5,"強力買進",IF(Q5&gt;0.25,"買進",IF(Q5&gt;=-0.25,"中立",IF(Q5&gt;=-0.5,"放空","強力放空"))))</f>
        <v/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IF(S5="未上市","未上市",IF(AH5="不通過","收支不足",S5))</f>
        <v/>
      </c>
      <c r="AJ5">
        <f>IF(Q5&gt;0.5,"大於 50%",IF(Q5&gt;0.25,"25%–50%",IF(Q5&gt;=0,"0%–25%",IF(Q5&gt;=-0.25,"0%～−25%",IF(Q5&gt;=-0.5,"−25%～−50%","小於 −50%")))))</f>
        <v/>
      </c>
      <c r="AK5" s="1" t="inlineStr">
        <is>
          <t>上檔空間 samsung/dist/20261025_三星電子模型_v0.3.xlsx Val!B164；投資建議：模型尚未補列，依 AI半導體 固定規則自算；級距：模型尚未補列，依 AI半導體 固定規則自算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micron/dist/20261025_美光模型_v0.4.xlsx Val!B208</t>
        </is>
      </c>
      <c r="J6" s="4" t="n">
        <v>321.896486338575</v>
      </c>
      <c r="K6" t="inlineStr">
        <is>
          <t>micron/dist/20261025_美光模型_v0.4.xlsx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>
        <f>IF(Q6&gt;0.5,"強力買進",IF(Q6&gt;0.25,"買進",IF(Q6&gt;=-0.25,"中立",IF(Q6&gt;=-0.5,"放空","強力放空"))))</f>
        <v/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IF(S6="未上市","未上市",IF(AH6="不通過","收支不足",S6))</f>
        <v/>
      </c>
      <c r="AJ6">
        <f>IF(Q6&gt;0.5,"大於 50%",IF(Q6&gt;0.25,"25%–50%",IF(Q6&gt;=0,"0%–25%",IF(Q6&gt;=-0.25,"0%～−25%",IF(Q6&gt;=-0.5,"−25%～−50%","小於 −50%")))))</f>
        <v/>
      </c>
      <c r="AK6" s="1" t="inlineStr">
        <is>
          <t>上檔空間 micron/dist/20261025_美光模型_v0.4.xlsx Val!B211；投資建議：模型尚未補列，依 AI半導體 固定規則自算；級距：模型尚未補列，依 AI半導體 固定規則自算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2446.02329898547</v>
      </c>
      <c r="G7" t="inlineStr">
        <is>
          <t>tsmc/dist/20261025_台積電模型_v0.3.xlsx Val!B94</t>
        </is>
      </c>
      <c r="J7" s="4" t="n">
        <v>1495.88897703241</v>
      </c>
      <c r="K7" t="inlineStr">
        <is>
          <t>tsmc/dist/20261025_台積電模型_v0.3.xlsx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0.0255862888827967</v>
      </c>
      <c r="R7">
        <f>P7/N7-1</f>
        <v/>
      </c>
      <c r="S7">
        <f>IF(Q7&gt;0.5,"強力買進",IF(Q7&gt;0.25,"買進",IF(Q7&gt;=-0.25,"中立",IF(Q7&gt;=-0.5,"放空","強力放空"))))</f>
        <v/>
      </c>
      <c r="T7">
        <f>3022.97680876707/N7-1</f>
        <v/>
      </c>
      <c r="U7" t="inlineStr">
        <is>
          <t>舊法：規則值情境加權價（參考，Val!B107）</t>
        </is>
      </c>
      <c r="W7" s="1" t="inlineStr">
        <is>
          <t>DCF 目標價 2,150.2（Val!B79）；Comparable 目標價 2,741.9（Val!B95）；市場共識目標價 3,390.4（Val!B96，外部、僅供對照）；價格帶 C～A 情境 DCF 1,495.9～2,769.1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2206.965905618294</v>
      </c>
      <c r="AF7" s="4" t="n">
        <v>84.633409367754</v>
      </c>
      <c r="AG7" t="inlineStr">
        <is>
          <t>[Derived] tsmc/dist/20261025_台積電模型_v0.3.xlsx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IF(S7="未上市","未上市",IF(AH7="不通過","收支不足",S7))</f>
        <v/>
      </c>
      <c r="AJ7">
        <f>IF(Q7&gt;0.5,"大於 50%",IF(Q7&gt;0.25,"25%–50%",IF(Q7&gt;=0,"0%–25%",IF(Q7&gt;=-0.25,"0%～−25%",IF(Q7&gt;=-0.5,"−25%～−50%","小於 −50%")))))</f>
        <v/>
      </c>
      <c r="AK7" s="1" t="inlineStr">
        <is>
          <t>上檔空間 tsmc/dist/20261025_台積電模型_v0.3.xlsx Val!B97；投資建議：模型尚未補列，依 AI半導體 固定規則自算；級距：模型尚未補列，依 AI半導體 固定規則自算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arista/dist/20261025_Arista模型_v0.2.xlsx Val!B40</t>
        </is>
      </c>
      <c r="J8" s="4" t="n">
        <v>66.5504868771763</v>
      </c>
      <c r="K8" t="inlineStr">
        <is>
          <t>arista/dist/20261025_Arista模型_v0.2.xlsx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>
        <f>IF(Q8&gt;0.5,"強力買進",IF(Q8&gt;0.25,"買進",IF(Q8&gt;=-0.25,"中立",IF(Q8&gt;=-0.5,"放空","強力放空"))))</f>
        <v/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IF(S8="未上市","未上市",IF(AH8="不通過","收支不足",S8))</f>
        <v/>
      </c>
      <c r="AJ8">
        <f>IF(Q8&gt;0.5,"大於 50%",IF(Q8&gt;0.25,"25%–50%",IF(Q8&gt;=0,"0%–25%",IF(Q8&gt;=-0.25,"0%～−25%",IF(Q8&gt;=-0.5,"−25%～−50%","小於 −50%")))))</f>
        <v/>
      </c>
      <c r="AK8" s="1" t="inlineStr">
        <is>
          <t>上檔空間 arista/dist/20261025_Arista模型_v0.2.xlsx Val!B43；投資建議：模型尚未補列，依 AI半導體 固定規則自算；級距：模型尚未補列，依 AI半導體 固定規則自算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1355.25565207254</v>
      </c>
      <c r="G9" t="inlineStr">
        <is>
          <t>innolight/dist/20261025_中際旭創模型_v0.2.xlsx Val!B39</t>
        </is>
      </c>
      <c r="J9" s="4" t="n">
        <v>498.176089619339</v>
      </c>
      <c r="K9" t="inlineStr">
        <is>
          <t>innolight/dist/20261025_中際旭創模型_v0.2.xlsx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1.21219276247089</v>
      </c>
      <c r="R9">
        <f>P9/N9-1</f>
        <v/>
      </c>
      <c r="S9">
        <f>IF(Q9&gt;0.5,"強力買進",IF(Q9&gt;0.25,"買進",IF(Q9&gt;=-0.25,"中立",IF(Q9&gt;=-0.5,"放空","強力放空"))))</f>
        <v/>
      </c>
      <c r="T9">
        <f>2265.72535634618/N9-1</f>
        <v/>
      </c>
      <c r="U9" t="inlineStr">
        <is>
          <t>舊法：規則值情境加權價（參考，Val!B133）</t>
        </is>
      </c>
      <c r="V9" t="inlineStr">
        <is>
          <t>12.3 ／ 15.5 ／ 21.0</t>
        </is>
      </c>
      <c r="W9" s="1" t="inlineStr">
        <is>
          <t>DCF 目標價 831.5（Val!B24）；Comparable 目標價 1,879.1（Val!B40）；市場共識目標價 1,321.0（Val!B41，外部、僅供對照）；價格帶 C～A 情境 DCF 498.2～1,049.4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17 個情境年度淨利（不含實績），全部為正</t>
        </is>
      </c>
      <c r="AE9" s="4" t="n">
        <v>1034.162783109114</v>
      </c>
      <c r="AF9" s="4" t="n">
        <v>31.8281188474012</v>
      </c>
      <c r="AG9" t="inlineStr">
        <is>
          <t>[Derived] innolight/dist/20261025_中際旭創模型_v0.2.xlsx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IF(S9="未上市","未上市",IF(AH9="不通過","收支不足",S9))</f>
        <v/>
      </c>
      <c r="AJ9">
        <f>IF(Q9&gt;0.5,"大於 50%",IF(Q9&gt;0.25,"25%–50%",IF(Q9&gt;=0,"0%–25%",IF(Q9&gt;=-0.25,"0%～−25%",IF(Q9&gt;=-0.5,"−25%～−50%","小於 −50%")))))</f>
        <v/>
      </c>
      <c r="AK9" s="1" t="inlineStr">
        <is>
          <t>上檔空間 innolight/dist/20261025_中際旭創模型_v0.2.xlsx Val!B42；投資建議：模型尚未補列，依 AI半導體 固定規則自算；級距：模型尚未補列，依 AI半導體 固定規則自算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價值鏈!A9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1213.77022935506</v>
      </c>
      <c r="G10" t="inlineStr">
        <is>
          <t>delta/dist/20261025_台達電模型_v0.2.xlsx Val!B119</t>
        </is>
      </c>
      <c r="J10" s="4" t="n">
        <v>639.329478515099</v>
      </c>
      <c r="K10" t="inlineStr">
        <is>
          <t>delta/dist/20261025_台達電模型_v0.2.xlsx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-0.243756866445447</v>
      </c>
      <c r="R10">
        <f>P10/N10-1</f>
        <v/>
      </c>
      <c r="S10">
        <f>IF(Q10&gt;0.5,"強力買進",IF(Q10&gt;0.25,"買進",IF(Q10&gt;=-0.25,"中立",IF(Q10&gt;=-0.5,"放空","強力放空"))))</f>
        <v/>
      </c>
      <c r="T10">
        <f>1360.0134167175/N10-1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999.1（Val!B105）；Comparable 目標價 1,428.4（Val!B120）；市場共識目標價 2,502.4（Val!B121，外部、僅供對照）；價格帶 C～A 情境 DCF 639.3～1,234.7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1331.031109556913</v>
      </c>
      <c r="AF10" s="4" t="n">
        <v>98.429235925</v>
      </c>
      <c r="AG10" t="inlineStr">
        <is>
          <t>[Derived] delta/dist/20261025_台達電模型_v0.2.xlsx PL!D13…PL!G39</t>
        </is>
      </c>
      <c r="AH10">
        <f>IF(AB10="淨利",IF(AF10&gt;0,"通過（淨利）","不通過"),IF(AE10&lt;0,"不通過","通過（現金流）"))</f>
        <v/>
      </c>
      <c r="AI10">
        <f>IF(S10="未上市","未上市",IF(AH10="不通過","收支不足",S10))</f>
        <v/>
      </c>
      <c r="AJ10">
        <f>IF(Q10&gt;0.5,"大於 50%",IF(Q10&gt;0.25,"25%–50%",IF(Q10&gt;=0,"0%–25%",IF(Q10&gt;=-0.25,"0%～−25%",IF(Q10&gt;=-0.5,"−25%～−50%","小於 −50%")))))</f>
        <v/>
      </c>
      <c r="AK10" s="1" t="inlineStr">
        <is>
          <t>上檔空間 delta/dist/20261025_台達電模型_v0.2.xlsx Val!B122；投資建議：模型尚未補列，依 AI半導體 固定規則自算；級距：模型尚未補列，依 AI半導體 固定規則自算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價值鏈!A10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566.562292345012</v>
      </c>
      <c r="G11" t="inlineStr">
        <is>
          <t>quanta/dist/20261025_廣達模型_v0.2.xlsx Val!B120</t>
        </is>
      </c>
      <c r="J11" s="4" t="n">
        <v>404.067828743699</v>
      </c>
      <c r="K11" t="inlineStr">
        <is>
          <t>quanta/dist/20261025_廣達模型_v0.2.xlsx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</v>
      </c>
      <c r="R11">
        <f>P11/N11-1</f>
        <v/>
      </c>
      <c r="S11">
        <f>IF(Q11&gt;0.5,"強力買進",IF(Q11&gt;0.25,"買進",IF(Q11&gt;=-0.25,"中立",IF(Q11&gt;=-0.5,"放空","強力放空"))))</f>
        <v/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1294.029322125413</v>
      </c>
      <c r="AF11" s="4" t="n">
        <v>110.713671625</v>
      </c>
      <c r="AG11" t="inlineStr">
        <is>
          <t>[Derived] quanta/dist/20261025_廣達模型_v0.2.xlsx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IF(S11="未上市","未上市",IF(AH11="不通過","收支不足",S11))</f>
        <v/>
      </c>
      <c r="AJ11">
        <f>IF(Q11&gt;0.5,"大於 50%",IF(Q11&gt;0.25,"25%–50%",IF(Q11&gt;=0,"0%–25%",IF(Q11&gt;=-0.25,"0%～−25%",IF(Q11&gt;=-0.5,"−25%～−50%","小於 −50%")))))</f>
        <v/>
      </c>
      <c r="AK11" s="1" t="inlineStr">
        <is>
          <t>上檔空間 quanta/dist/20261025_廣達模型_v0.2.xlsx Val!B123；投資建議：模型尚未補列，依 AI半導體 固定規則自算；級距：模型尚未補列，依 AI半導體 固定規則自算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價值鏈!A8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ibiden/dist/20261025_Ibiden模型_v0.2.xlsx Val!B96</t>
        </is>
      </c>
      <c r="J12" s="4" t="n">
        <v>1293.75775376326</v>
      </c>
      <c r="K12" t="inlineStr">
        <is>
          <t>ibiden/dist/20261025_Ibiden模型_v0.2.xlsx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>
        <f>IF(Q12&gt;0.5,"強力買進",IF(Q12&gt;0.25,"買進",IF(Q12&gt;=-0.25,"中立",IF(Q12&gt;=-0.5,"放空","強力放空"))))</f>
        <v/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IF(S12="未上市","未上市",IF(AH12="不通過","收支不足",S12))</f>
        <v/>
      </c>
      <c r="AJ12">
        <f>IF(Q12&gt;0.5,"大於 50%",IF(Q12&gt;0.25,"25%–50%",IF(Q12&gt;=0,"0%–25%",IF(Q12&gt;=-0.25,"0%～−25%",IF(Q12&gt;=-0.5,"−25%～−50%","小於 −50%")))))</f>
        <v/>
      </c>
      <c r="AK12" s="1" t="inlineStr">
        <is>
          <t>上檔空間 ibiden/dist/20261025_Ibiden模型_v0.2.xlsx Val!B99；投資建議：模型尚未補列，依 AI半導體 固定規則自算；級距：模型尚未補列，依 AI半導體 固定規則自算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advantest/dist/20261025_Advantest模型_v0.3.xlsx Val!B146</t>
        </is>
      </c>
      <c r="J13" s="4" t="n">
        <v>7893.3662518531</v>
      </c>
      <c r="K13" t="inlineStr">
        <is>
          <t>advantest/dist/20261025_Advantest模型_v0.3.xlsx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>
        <f>IF(Q13&gt;0.5,"強力買進",IF(Q13&gt;0.25,"買進",IF(Q13&gt;=-0.25,"中立",IF(Q13&gt;=-0.5,"放空","強力放空"))))</f>
        <v/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IF(S13="未上市","未上市",IF(AH13="不通過","收支不足",S13))</f>
        <v/>
      </c>
      <c r="AJ13">
        <f>IF(Q13&gt;0.5,"大於 50%",IF(Q13&gt;0.25,"25%–50%",IF(Q13&gt;=0,"0%–25%",IF(Q13&gt;=-0.25,"0%～−25%",IF(Q13&gt;=-0.5,"−25%～−50%","小於 −50%")))))</f>
        <v/>
      </c>
      <c r="AK13" s="1" t="inlineStr">
        <is>
          <t>上檔空間 advantest/dist/20261025_Advantest模型_v0.3.xlsx Val!B149；投資建議：模型尚未補列，依 AI半導體 固定規則自算；級距：模型尚未補列，依 AI半導體 固定規則自算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disco/dist/20261025_Disco模型_v0.2.1.xlsx Val!B107</t>
        </is>
      </c>
      <c r="J14" s="4" t="n">
        <v>16343.6091101662</v>
      </c>
      <c r="K14" t="inlineStr">
        <is>
          <t>disco/dist/20261025_Disco模型_v0.2.1.xlsx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>
        <f>IF(Q14&gt;0.5,"強力買進",IF(Q14&gt;0.25,"買進",IF(Q14&gt;=-0.25,"中立",IF(Q14&gt;=-0.5,"放空","強力放空"))))</f>
        <v/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disco/dist/20261025_Disco模型_v0.2.1.xlsx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IF(S14="未上市","未上市",IF(AH14="不通過","收支不足",S14))</f>
        <v/>
      </c>
      <c r="AJ14">
        <f>IF(Q14&gt;0.5,"大於 50%",IF(Q14&gt;0.25,"25%–50%",IF(Q14&gt;=0,"0%–25%",IF(Q14&gt;=-0.25,"0%～−25%",IF(Q14&gt;=-0.5,"−25%～−50%","小於 −50%")))))</f>
        <v/>
      </c>
      <c r="AK14" s="1" t="inlineStr">
        <is>
          <t>上檔空間 disco/dist/20261025_Disco模型_v0.2.1.xlsx Val!B110；投資建議：模型尚未補列，依 AI半導體 固定規則自算；級距：模型尚未補列，依 AI半導體 固定規則自算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IF(Q15&gt;0.5,"強力買進",IF(Q15&gt;0.25,"買進",IF(Q15&gt;=-0.25,"中立",IF(Q15&gt;=-0.5,"放空","強力放空"))))</f>
        <v/>
      </c>
      <c r="W15" s="1" t="inlineStr">
        <is>
          <t>模型點位 $359.1（模型日現價 $529.76）；情境區間 $360.2–$380.6，方法區間 $353.5–$359.1｜MAG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營運缺口＋股利＋回購</t>
        </is>
      </c>
      <c r="AD15" t="inlineStr">
        <is>
          <t>FY27 -7.8、FY28 27.7、FY29 70.2、FY30 76.7、FY31 11.2</t>
        </is>
      </c>
      <c r="AE15" s="4" t="n">
        <v>178.0401267004849</v>
      </c>
      <c r="AF15" s="4" t="n">
        <v>-7.831738650858899</v>
      </c>
      <c r="AG15" t="inlineStr">
        <is>
          <t>[Derived] microsoft/dist/20261025_Microsoft收支模型_v0_2_2.xlsx 各期收支!C54＋C23＋C24…各期收支!G54＋G23＋G24</t>
        </is>
      </c>
      <c r="AH15">
        <f>IF(AB15="淨利",IF(AF15&gt;0,"通過（淨利）","不通過"),IF(AE15&lt;0,"不通過","通過（現金流）"))</f>
        <v/>
      </c>
      <c r="AI15">
        <f>IF(S15="未上市","未上市",IF(AH15="不通過","收支不足",S15))</f>
        <v/>
      </c>
      <c r="AJ15">
        <f>IF(Q15&gt;0.5,"大於 50%",IF(Q15&gt;0.25,"25%–50%",IF(Q15&gt;=0,"0%–25%",IF(Q15&gt;=-0.25,"0%～−25%",IF(Q15&gt;=-0.5,"−25%～−50%","小於 −50%")))))</f>
        <v/>
      </c>
      <c r="AK15" t="inlineStr">
        <is>
          <t>上檔空間＝模型加權目標價 microsoft/dist/20261025_Microsoft收支模型_v0_2_2.xlsx 摘要!C7 ÷ 外部收盤價 − 1，依本地圖五級規則自算（模型自身評等以模型日價計、級距不同，不採用；原值見模型摘要頁）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IF(Q16&gt;0.5,"強力買進",IF(Q16&gt;0.25,"買進",IF(Q16&gt;=-0.25,"中立",IF(Q16&gt;=-0.5,"放空","強力放空"))))</f>
        <v/>
      </c>
      <c r="W16" s="1" t="inlineStr">
        <is>
          <t>模型點位 $201.7（模型日現價 $259.92）；情境區間 $201.1–$212.3，方法區間 $197.5–$201.7｜MAG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營運缺口＋股利＋回購</t>
        </is>
      </c>
      <c r="AD16" t="inlineStr">
        <is>
          <t>2026 -122.8、2027 -71.8、2028 -34.2、2029 6.1、2030 -70.1</t>
        </is>
      </c>
      <c r="AE16" s="4" t="n">
        <v>-292.8415771813029</v>
      </c>
      <c r="AF16" s="4" t="n">
        <v>-122.819739543556</v>
      </c>
      <c r="AG16" t="inlineStr">
        <is>
          <t>[Derived] amazon/dist/20261025_Amazon收支模型_v0_2_2.xlsx 各期收支!C54＋C23＋C24…各期收支!G54＋G23＋G24</t>
        </is>
      </c>
      <c r="AH16">
        <f>IF(AB16="淨利",IF(AF16&gt;0,"通過（淨利）","不通過"),IF(AE16&lt;0,"不通過","通過（現金流）"))</f>
        <v/>
      </c>
      <c r="AI16">
        <f>IF(S16="未上市","未上市",IF(AH16="不通過","收支不足",S16))</f>
        <v/>
      </c>
      <c r="AJ16">
        <f>IF(Q16&gt;0.5,"大於 50%",IF(Q16&gt;0.25,"25%–50%",IF(Q16&gt;=0,"0%–25%",IF(Q16&gt;=-0.25,"0%～−25%",IF(Q16&gt;=-0.5,"−25%～−50%","小於 −50%")))))</f>
        <v/>
      </c>
      <c r="AK16" t="inlineStr">
        <is>
          <t>上檔空間＝模型加權目標價 amazon/dist/20261025_Amazon收支模型_v0_2_2.xlsx 摘要!C7 ÷ 外部收盤價 − 1，依本地圖五級規則自算（模型自身評等以模型日價計、級距不同，不採用；原值見模型摘要頁）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IF(Q17&gt;0.5,"強力買進",IF(Q17&gt;0.25,"買進",IF(Q17&gt;=-0.25,"中立",IF(Q17&gt;=-0.5,"放空","強力放空"))))</f>
        <v/>
      </c>
      <c r="W17" s="1" t="inlineStr">
        <is>
          <t>模型點位 $146.1（模型日現價 $350.50）；情境區間 $122.9–$175.1，方法區間 $144.1–$146.1｜MAG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營運缺口＋股利＋回購</t>
        </is>
      </c>
      <c r="AD17" t="inlineStr">
        <is>
          <t>2026 -62.0、2027 -11.4、2028 10.9、2029 23.1、2030 -67.6</t>
        </is>
      </c>
      <c r="AE17" s="4" t="n">
        <v>-106.9279391300797</v>
      </c>
      <c r="AF17" s="4" t="n">
        <v>-67.601689194111</v>
      </c>
      <c r="AG17" t="inlineStr">
        <is>
          <t>[Derived] alphabet/dist/20261025_Alphabet收支模型_v0_2_2.xlsx 各期收支!C54＋C23＋C24…各期收支!G54＋G23＋G24</t>
        </is>
      </c>
      <c r="AH17">
        <f>IF(AB17="淨利",IF(AF17&gt;0,"通過（淨利）","不通過"),IF(AE17&lt;0,"不通過","通過（現金流）"))</f>
        <v/>
      </c>
      <c r="AI17">
        <f>IF(S17="未上市","未上市",IF(AH17="不通過","收支不足",S17))</f>
        <v/>
      </c>
      <c r="AJ17">
        <f>IF(Q17&gt;0.5,"大於 50%",IF(Q17&gt;0.25,"25%–50%",IF(Q17&gt;=0,"0%–25%",IF(Q17&gt;=-0.25,"0%～−25%",IF(Q17&gt;=-0.5,"−25%～−50%","小於 −50%")))))</f>
        <v/>
      </c>
      <c r="AK17" t="inlineStr">
        <is>
          <t>上檔空間＝模型加權目標價 alphabet/dist/20261025_Alphabet收支模型_v0_2_2.xlsx 摘要!C7 ÷ 外部收盤價 − 1，依本地圖五級規則自算（模型自身評等以模型日價計、級距不同，不採用；原值見模型摘要頁）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IF(Q18&gt;0.5,"強力買進",IF(Q18&gt;0.25,"買進",IF(Q18&gt;=-0.25,"中立",IF(Q18&gt;=-0.5,"放空","強力放空"))))</f>
        <v/>
      </c>
      <c r="W18" s="1" t="inlineStr">
        <is>
          <t>模型點位 $84.2（模型日現價 $129.13）；情境區間 $77.4–$91.9，方法區間 $78.7–$84.2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營運缺口＋股利</t>
        </is>
      </c>
      <c r="AD18" t="inlineStr">
        <is>
          <t>FY27 -25.8、FY28 -21.1、FY29 23.7、FY30 9.7、FY31 8.1</t>
        </is>
      </c>
      <c r="AE18" s="4" t="n">
        <v>-5.431099371743606</v>
      </c>
      <c r="AF18" s="4" t="n">
        <v>-25.8031832210438</v>
      </c>
      <c r="AG18" t="inlineStr">
        <is>
          <t>[Derived] oracle/dist/20261022_Oracle收支模型_v0_3_1.xlsx 各期收支!C50＋C23…各期收支!G50＋G23</t>
        </is>
      </c>
      <c r="AH18">
        <f>IF(AB18="淨利",IF(AF18&gt;0,"通過（淨利）","不通過"),IF(AE18&lt;0,"不通過","通過（現金流）"))</f>
        <v/>
      </c>
      <c r="AI18">
        <f>IF(S18="未上市","未上市",IF(AH18="不通過","收支不足",S18))</f>
        <v/>
      </c>
      <c r="AJ18">
        <f>IF(Q18&gt;0.5,"大於 50%",IF(Q18&gt;0.25,"25%–50%",IF(Q18&gt;=0,"0%–25%",IF(Q18&gt;=-0.25,"0%～−25%",IF(Q18&gt;=-0.5,"−25%～−50%","小於 −50%")))))</f>
        <v/>
      </c>
      <c r="AK18" t="inlineStr">
        <is>
          <t>上檔空間＝模型加權目標價 oracle/dist/20261022_Oracle收支模型_v0_3_1.xlsx 摘要!C7 ÷ 外部收盤價 − 1，依本地圖五級規則自算（模型自身評等以模型日價計、級距不同，不採用；原值見模型摘要頁）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IF(S19="未上市","未上市",IF(AH19="不通過","收支不足",S19))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IF(S20="未上市","未上市",IF(AH20="不通過","收支不足",S20))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IF(S21="未上市","未上市",IF(AH21="不通過","收支不足",S21))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IF(S22="未上市","未上市",IF(AH22="不通過","收支不足",S22))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IF(S23="未上市","未上市",IF(AH23="不通過","收支不足",S23))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IF(S24="未上市","未上市",IF(AH24="不通過","收支不足",S24))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IF(S25="未上市","未上市",IF(AH25="不通過","收支不足",S25))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amd/dist/20261025_AMD模型_v0.2.1.xlsx Val!B40</t>
        </is>
      </c>
      <c r="J26" s="4" t="n">
        <v>120.521244989712</v>
      </c>
      <c r="K26" t="inlineStr">
        <is>
          <t>amd/dist/20261025_AMD模型_v0.2.1.xlsx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>
        <f>IF(Q26&gt;0.5,"強力買進",IF(Q26&gt;0.25,"買進",IF(Q26&gt;=-0.25,"中立",IF(Q26&gt;=-0.5,"放空","強力放空"))))</f>
        <v/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amd/dist/20261025_AMD模型_v0.2.1.xlsx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IF(S26="未上市","未上市",IF(AH26="不通過","收支不足",S26))</f>
        <v/>
      </c>
      <c r="AJ26">
        <f>IF(Q26&gt;0.5,"大於 50%",IF(Q26&gt;0.25,"25%–50%",IF(Q26&gt;=0,"0%–25%",IF(Q26&gt;=-0.25,"0%～−25%",IF(Q26&gt;=-0.5,"−25%～−50%","小於 −50%")))))</f>
        <v/>
      </c>
      <c r="AK26" s="1" t="inlineStr">
        <is>
          <t>上檔空間 amd/dist/20261025_AMD模型_v0.2.1.xlsx Val!B43；投資建議：模型尚未補列，依 AI半導體 固定規則自算；級距：模型尚未補列，依 AI半導體 固定規則自算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mediatek/dist/20261025_聯發科模型_v0.1.xlsx Val!B39</t>
        </is>
      </c>
      <c r="J27" s="4" t="n">
        <v>1011.80776357573</v>
      </c>
      <c r="K27" t="inlineStr">
        <is>
          <t>mediatek/dist/20261025_聯發科模型_v0.1.xlsx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>
        <f>IF(Q27&gt;0.5,"強力買進",IF(Q27&gt;0.25,"買進",IF(Q27&gt;=-0.25,"中立",IF(Q27&gt;=-0.5,"放空","強力放空"))))</f>
        <v/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IF(S27="未上市","未上市",IF(AH27="不通過","收支不足",S27))</f>
        <v/>
      </c>
      <c r="AJ27">
        <f>IF(Q27&gt;0.5,"大於 50%",IF(Q27&gt;0.25,"25%–50%",IF(Q27&gt;=0,"0%–25%",IF(Q27&gt;=-0.25,"0%～−25%",IF(Q27&gt;=-0.5,"−25%～−50%","小於 −50%")))))</f>
        <v/>
      </c>
      <c r="AK27" s="1" t="inlineStr">
        <is>
          <t>上檔空間 mediatek/dist/20261025_聯發科模型_v0.1.xlsx Val!B42；投資建議：模型尚未補列，依 AI半導體 固定規則自算；級距：模型尚未補列，依 AI半導體 固定規則自算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128.033003490757</v>
      </c>
      <c r="G28" t="inlineStr">
        <is>
          <t>mrvl/dist/20261025_邁威爾模型_v0.2.xlsx Val!B40</t>
        </is>
      </c>
      <c r="J28" s="4" t="n">
        <v>71.0382339875876</v>
      </c>
      <c r="K28" t="inlineStr">
        <is>
          <t>mrvl/dist/20261025_邁威爾模型_v0.2.xlsx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-0.439705030454872</v>
      </c>
      <c r="R28">
        <f>P28/N28-1</f>
        <v/>
      </c>
      <c r="S28">
        <f>IF(Q28&gt;0.5,"強力買進",IF(Q28&gt;0.25,"買進",IF(Q28&gt;=-0.25,"中立",IF(Q28&gt;=-0.5,"放空","強力放空"))))</f>
        <v/>
      </c>
      <c r="T28">
        <f>203.164070486016/N28-1</f>
        <v/>
      </c>
      <c r="U28" t="inlineStr">
        <is>
          <t>舊法：規則值情境加權價（參考，Val!B57）</t>
        </is>
      </c>
      <c r="V28" t="inlineStr">
        <is>
          <t>35.1 ／ 35.1 ／ 35.1</t>
        </is>
      </c>
      <c r="W28" s="1" t="inlineStr">
        <is>
          <t>DCF 目標價 116.4（Val!B23）；Comparable 目標價 139.6（Val!B41）；市場共識目標價 341.4（Val!B42，外部、僅供對照）；價格帶 C～A 情境 DCF 71.0～147.4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52.61793498372541</v>
      </c>
      <c r="AF28" s="4" t="n">
        <v>3.83971098</v>
      </c>
      <c r="AG28" t="inlineStr">
        <is>
          <t>[Derived] mrvl/dist/20261025_邁威爾模型_v0.2.xlsx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IF(S28="未上市","未上市",IF(AH28="不通過","收支不足",S28))</f>
        <v/>
      </c>
      <c r="AJ28">
        <f>IF(Q28&gt;0.5,"大於 50%",IF(Q28&gt;0.25,"25%–50%",IF(Q28&gt;=0,"0%–25%",IF(Q28&gt;=-0.25,"0%～−25%",IF(Q28&gt;=-0.5,"−25%～−50%","小於 −50%")))))</f>
        <v/>
      </c>
      <c r="AK28" s="1" t="inlineStr">
        <is>
          <t>上檔空間 mrvl/dist/20261025_邁威爾模型_v0.2.xlsx Val!B43；投資建議：模型尚未補列，依 AI半導體 固定規則自算；級距：模型尚未補列，依 AI半導體 固定規則自算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alchip/dist/20261025_世芯-KY模型_v0.1.xlsx Val!B39</t>
        </is>
      </c>
      <c r="J29" s="4" t="n">
        <v>1226.24410533878</v>
      </c>
      <c r="K29" t="inlineStr">
        <is>
          <t>alchip/dist/20261025_世芯-KY模型_v0.1.xlsx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>
        <f>IF(Q29&gt;0.5,"強力買進",IF(Q29&gt;0.25,"買進",IF(Q29&gt;=-0.25,"中立",IF(Q29&gt;=-0.5,"放空","強力放空"))))</f>
        <v/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IF(S29="未上市","未上市",IF(AH29="不通過","收支不足",S29))</f>
        <v/>
      </c>
      <c r="AJ29">
        <f>IF(Q29&gt;0.5,"大於 50%",IF(Q29&gt;0.25,"25%–50%",IF(Q29&gt;=0,"0%–25%",IF(Q29&gt;=-0.25,"0%～−25%",IF(Q29&gt;=-0.5,"−25%～−50%","小於 −50%")))))</f>
        <v/>
      </c>
      <c r="AK29" s="1" t="inlineStr">
        <is>
          <t>上檔空間 alchip/dist/20261025_世芯-KY模型_v0.1.xlsx Val!B42；投資建議：模型尚未補列，依 AI半導體 固定規則自算；級距：模型尚未補列，依 AI半導體 固定規則自算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guc/dist/20261025_創意模型_v0.1.xlsx Val!B39</t>
        </is>
      </c>
      <c r="J30" s="4" t="n">
        <v>662.1199432503749</v>
      </c>
      <c r="K30" t="inlineStr">
        <is>
          <t>guc/dist/20261025_創意模型_v0.1.xlsx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>
        <f>IF(Q30&gt;0.5,"強力買進",IF(Q30&gt;0.25,"買進",IF(Q30&gt;=-0.25,"中立",IF(Q30&gt;=-0.5,"放空","強力放空"))))</f>
        <v/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IF(S30="未上市","未上市",IF(AH30="不通過","收支不足",S30))</f>
        <v/>
      </c>
      <c r="AJ30">
        <f>IF(Q30&gt;0.5,"大於 50%",IF(Q30&gt;0.25,"25%–50%",IF(Q30&gt;=0,"0%–25%",IF(Q30&gt;=-0.25,"0%～−25%",IF(Q30&gt;=-0.5,"−25%～−50%","小於 −50%")))))</f>
        <v/>
      </c>
      <c r="AK30" s="1" t="inlineStr">
        <is>
          <t>上檔空間 guc/dist/20261025_創意模型_v0.1.xlsx Val!B42；投資建議：模型尚未補列，依 AI半導體 固定規則自算；級距：模型尚未補列，依 AI半導體 固定規則自算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22268.387890365</v>
      </c>
      <c r="G31" t="inlineStr">
        <is>
          <t>kioxia/dist/20261025_Kioxia模型_v0.1.xlsx Val!B49</t>
        </is>
      </c>
      <c r="J31" s="4" t="n">
        <v>8694.574447047809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0.745855577449238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24,180.1（Val!B24）；Comparable 目標價 20,356.7（Val!B50）；市場共識目標價 36,929.2（Val!B51，外部、僅供對照）；價格帶 C～A 情境 DCF 8,694.6～45,985.8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76685.97111484918</v>
      </c>
      <c r="AF31" s="4" t="n">
        <v>887.008999145095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IF(S31="未上市","未上市",IF(AH31="不通過","收支不足",S31))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952.858954177605</v>
      </c>
      <c r="G32" t="inlineStr">
        <is>
          <t>sndk/dist/20261025_SanDisk模型_v0.1.xlsx Val!B49</t>
        </is>
      </c>
      <c r="J32" s="4" t="n">
        <v>492.984401359775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-0.230342597370335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1,139.2（Val!B24）；Comparable 目標價 766.6（Val!B50）；市場共識目標價 2,144.0（Val!B51，外部、僅供對照）；價格帶 C～A 情境 DCF 493.0～2,275.1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287.879028604861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IF(S32="未上市","未上市",IF(AH32="不通過","收支不足",S32))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322.275820410306</v>
      </c>
      <c r="G33" t="inlineStr">
        <is>
          <t>cohr/dist/20261025_Coherent模型_v0.2.xlsx Val!B39</t>
        </is>
      </c>
      <c r="J33" s="4" t="n">
        <v>126.539219389886</v>
      </c>
      <c r="K33" t="inlineStr">
        <is>
          <t>cohr/dist/20261025_Coherent模型_v0.2.xlsx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0.540736340824717</v>
      </c>
      <c r="R33">
        <f>P33/N33-1</f>
        <v/>
      </c>
      <c r="S33">
        <f>IF(Q33&gt;0.5,"強力買進",IF(Q33&gt;0.25,"買進",IF(Q33&gt;=-0.25,"中立",IF(Q33&gt;=-0.5,"放空","強力放空"))))</f>
        <v/>
      </c>
      <c r="T33">
        <f>319.789455314265/N33-1</f>
        <v/>
      </c>
      <c r="U33" t="inlineStr">
        <is>
          <t>舊法：規則值情境加權價（參考，Val!B53）</t>
        </is>
      </c>
      <c r="V33" t="inlineStr">
        <is>
          <t>14.3 ／ 15.5 ／ 17.0</t>
        </is>
      </c>
      <c r="W33" s="1" t="inlineStr">
        <is>
          <t>DCF 目標價 206.3（Val!B24）；Comparable 目標價 438.2（Val!B40）；市場共識目標價 394.8（Val!B41，外部、僅供對照）；價格帶 C～A 情境 DCF 126.5～272.6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16 個情境年度淨利（不含實績），全部為正</t>
        </is>
      </c>
      <c r="AE33" s="4" t="n">
        <v>51.46480793420181</v>
      </c>
      <c r="AF33" s="4" t="n">
        <v>2.07656731774848</v>
      </c>
      <c r="AG33" t="inlineStr">
        <is>
          <t>[Derived] cohr/dist/20261025_Coherent模型_v0.2.xlsx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IF(S33="未上市","未上市",IF(AH33="不通過","收支不足",S33))</f>
        <v/>
      </c>
      <c r="AJ33">
        <f>IF(Q33&gt;0.5,"大於 50%",IF(Q33&gt;0.25,"25%–50%",IF(Q33&gt;=0,"0%–25%",IF(Q33&gt;=-0.25,"0%～−25%",IF(Q33&gt;=-0.5,"−25%～−50%","小於 −50%")))))</f>
        <v/>
      </c>
      <c r="AK33" s="1" t="inlineStr">
        <is>
          <t>上檔空間 cohr/dist/20261025_Coherent模型_v0.2.xlsx Val!B42；投資建議：模型尚未補列，依 AI半導體 固定規則自算；級距：模型尚未補列，依 AI半導體 固定規則自算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611.903536008153</v>
      </c>
      <c r="G34" t="inlineStr">
        <is>
          <t>lite/dist/20261025_Lumentum模型_v0.2.xlsx Val!B39</t>
        </is>
      </c>
      <c r="J34" s="4" t="n">
        <v>216.979769703727</v>
      </c>
      <c r="K34" t="inlineStr">
        <is>
          <t>lite/dist/20261025_Lumentum模型_v0.2.xlsx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-0.190785754515317</v>
      </c>
      <c r="R34">
        <f>P34/N34-1</f>
        <v/>
      </c>
      <c r="S34">
        <f>IF(Q34&gt;0.5,"強力買進",IF(Q34&gt;0.25,"買進",IF(Q34&gt;=-0.25,"中立",IF(Q34&gt;=-0.5,"放空","強力放空"))))</f>
        <v/>
      </c>
      <c r="T34">
        <f>409.473484390874/N34-1</f>
        <v/>
      </c>
      <c r="U34" t="inlineStr">
        <is>
          <t>舊法：規則值情境加權價（參考，Val!B53）</t>
        </is>
      </c>
      <c r="V34" t="inlineStr">
        <is>
          <t>24.1 ／ 26.6 ／ 29.7</t>
        </is>
      </c>
      <c r="W34" s="1" t="inlineStr">
        <is>
          <t>DCF 目標價 375.8（Val!B24）；Comparable 目標價 848.1（Val!B40）；市場共識目標價 1,165.0（Val!B41，外部、僅供對照）；價格帶 C～A 情境 DCF 217.0～508.3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16 個情境年度淨利（不含實績），全部為正</t>
        </is>
      </c>
      <c r="AE34" s="4" t="n">
        <v>48.07362009652756</v>
      </c>
      <c r="AF34" s="4" t="n">
        <v>1.70727274119044</v>
      </c>
      <c r="AG34" t="inlineStr">
        <is>
          <t>[Derived] lite/dist/20261025_Lumentum模型_v0.2.xlsx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IF(S34="未上市","未上市",IF(AH34="不通過","收支不足",S34))</f>
        <v/>
      </c>
      <c r="AJ34">
        <f>IF(Q34&gt;0.5,"大於 50%",IF(Q34&gt;0.25,"25%–50%",IF(Q34&gt;=0,"0%–25%",IF(Q34&gt;=-0.25,"0%～−25%",IF(Q34&gt;=-0.5,"−25%～−50%","小於 −50%")))))</f>
        <v/>
      </c>
      <c r="AK34" s="1" t="inlineStr">
        <is>
          <t>上檔空間 lite/dist/20261025_Lumentum模型_v0.2.xlsx Val!B42；投資建議：模型尚未補列，依 AI半導體 固定規則自算；級距：模型尚未補列，依 AI半導體 固定規則自算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797.810166290206</v>
      </c>
      <c r="G35" t="inlineStr">
        <is>
          <t>eoptolink/dist/20261025_新易盛模型_v0.2.xlsx Val!B39</t>
        </is>
      </c>
      <c r="J35" s="4" t="n">
        <v>304.979041887906</v>
      </c>
      <c r="K35" t="inlineStr">
        <is>
          <t>eoptolink/dist/20261025_新易盛模型_v0.2.xlsx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2.05674393214638</v>
      </c>
      <c r="R35">
        <f>P35/N35-1</f>
        <v/>
      </c>
      <c r="S35">
        <f>IF(Q35&gt;0.5,"強力買進",IF(Q35&gt;0.25,"買進",IF(Q35&gt;=-0.25,"中立",IF(Q35&gt;=-0.5,"放空","強力放空"))))</f>
        <v/>
      </c>
      <c r="T35">
        <f>1150.67817266164/N35-1</f>
        <v/>
      </c>
      <c r="U35" t="inlineStr">
        <is>
          <t>舊法：規則值情境加權價（參考，Val!B53）</t>
        </is>
      </c>
      <c r="V35" t="inlineStr">
        <is>
          <t>9.0 ／ 11.4 ／ 15.6</t>
        </is>
      </c>
      <c r="W35" s="1" t="inlineStr">
        <is>
          <t>DCF 目標價 516.2（Val!B24）；Comparable 目標價 1,079.4（Val!B40）；市場共識目標價 460.9（Val!B41，外部、僅供對照）；價格帶 C～A 情境 DCF 305.0～652.7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17 個情境年度淨利（不含實績），全部為正</t>
        </is>
      </c>
      <c r="AE35" s="4" t="n">
        <v>721.2419002987186</v>
      </c>
      <c r="AF35" s="4" t="n">
        <v>20.0605180178692</v>
      </c>
      <c r="AG35" t="inlineStr">
        <is>
          <t>[Derived] eoptolink/dist/20261025_新易盛模型_v0.2.xlsx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IF(S35="未上市","未上市",IF(AH35="不通過","收支不足",S35))</f>
        <v/>
      </c>
      <c r="AJ35">
        <f>IF(Q35&gt;0.5,"大於 50%",IF(Q35&gt;0.25,"25%–50%",IF(Q35&gt;=0,"0%–25%",IF(Q35&gt;=-0.25,"0%～−25%",IF(Q35&gt;=-0.5,"−25%～−50%","小於 −50%")))))</f>
        <v/>
      </c>
      <c r="AK35" s="1" t="inlineStr">
        <is>
          <t>上檔空間 eoptolink/dist/20261025_新易盛模型_v0.2.xlsx Val!B42；投資建議：模型尚未補列，依 AI半導體 固定規則自算；級距：模型尚未補列，依 AI半導體 固定規則自算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accton/dist/20261025_智邦模型_v0.2.xlsx Val!B39</t>
        </is>
      </c>
      <c r="J36" s="4" t="n">
        <v>1519.31098875966</v>
      </c>
      <c r="K36" t="inlineStr">
        <is>
          <t>accton/dist/20261025_智邦模型_v0.2.xlsx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>
        <f>IF(Q36&gt;0.5,"強力買進",IF(Q36&gt;0.25,"買進",IF(Q36&gt;=-0.25,"中立",IF(Q36&gt;=-0.5,"放空","強力放空"))))</f>
        <v/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IF(S36="未上市","未上市",IF(AH36="不通過","收支不足",S36))</f>
        <v/>
      </c>
      <c r="AJ36">
        <f>IF(Q36&gt;0.5,"大於 50%",IF(Q36&gt;0.25,"25%–50%",IF(Q36&gt;=0,"0%–25%",IF(Q36&gt;=-0.25,"0%～−25%",IF(Q36&gt;=-0.5,"−25%～−50%","小於 −50%")))))</f>
        <v/>
      </c>
      <c r="AK36" s="1" t="inlineStr">
        <is>
          <t>上檔空間 accton/dist/20261025_智邦模型_v0.2.xlsx Val!B42；投資建議：模型尚未補列，依 AI半導體 固定規則自算；級距：模型尚未補列，依 AI半導體 固定規則自算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360.601895050031</v>
      </c>
      <c r="G37" t="inlineStr">
        <is>
          <t>fabrinet/dist/20261025_Fabrinet模型_v0.1.xlsx Val!B39</t>
        </is>
      </c>
      <c r="J37" s="4" t="n">
        <v>164.552284506867</v>
      </c>
      <c r="K37" t="inlineStr">
        <is>
          <t>fabrinet/dist/20261025_Fabrinet模型_v0.1.xlsx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0.144986013367724</v>
      </c>
      <c r="R37">
        <f>P37/N37-1</f>
        <v/>
      </c>
      <c r="S37">
        <f>IF(Q37&gt;0.5,"強力買進",IF(Q37&gt;0.25,"買進",IF(Q37&gt;=-0.25,"中立",IF(Q37&gt;=-0.5,"放空","強力放空"))))</f>
        <v/>
      </c>
      <c r="T37">
        <f>406.817486657285/N37-1</f>
        <v/>
      </c>
      <c r="U37" t="inlineStr">
        <is>
          <t>舊法：規則值情境加權價（參考，Val!B53）</t>
        </is>
      </c>
      <c r="V37" t="inlineStr">
        <is>
          <t>11.7 ／ 14.3 ／ 18.1</t>
        </is>
      </c>
      <c r="W37" s="1" t="inlineStr">
        <is>
          <t>DCF 目標價 332.2（Val!B24）；Comparable 目標價 389.0（Val!B40）；市場共識目標價 687.8（Val!B41，外部、僅供對照）；價格帶 C～A 情境 DCF 164.6～505.0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15.77740453289506</v>
      </c>
      <c r="AF37" s="4" t="n">
        <v>0.452041842422224</v>
      </c>
      <c r="AG37" t="inlineStr">
        <is>
          <t>[Derived] fabrinet/dist/20261025_Fabrinet模型_v0.1.xlsx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IF(S37="未上市","未上市",IF(AH37="不通過","收支不足",S37))</f>
        <v/>
      </c>
      <c r="AJ37">
        <f>IF(Q37&gt;0.5,"大於 50%",IF(Q37&gt;0.25,"25%–50%",IF(Q37&gt;=0,"0%–25%",IF(Q37&gt;=-0.25,"0%～−25%",IF(Q37&gt;=-0.5,"−25%～−50%","小於 −50%")))))</f>
        <v/>
      </c>
      <c r="AK37" s="1" t="inlineStr">
        <is>
          <t>上檔空間 fabrinet/dist/20261025_Fabrinet模型_v0.1.xlsx Val!B42；投資建議：模型尚未補列，依 AI半導體 固定規則自算；級距：模型尚未補列，依 AI半導體 固定規則自算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195.696397392632</v>
      </c>
      <c r="G38" t="inlineStr">
        <is>
          <t>crdo/dist/20261025_Credo模型_v0.2.xlsx Val!B39</t>
        </is>
      </c>
      <c r="J38" s="4" t="n">
        <v>53.1251226501538</v>
      </c>
      <c r="K38" t="inlineStr">
        <is>
          <t>crdo/dist/20261025_Credo模型_v0.2.xlsx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0.328646869391217</v>
      </c>
      <c r="R38">
        <f>P38/N38-1</f>
        <v/>
      </c>
      <c r="S38">
        <f>IF(Q38&gt;0.5,"強力買進",IF(Q38&gt;0.25,"買進",IF(Q38&gt;=-0.25,"中立",IF(Q38&gt;=-0.5,"放空","強力放空"))))</f>
        <v/>
      </c>
      <c r="T38">
        <f>620.46087778403/N38-1</f>
        <v/>
      </c>
      <c r="U38" t="inlineStr">
        <is>
          <t>舊法：規則值情境加權價（參考，Val!B53）</t>
        </is>
      </c>
      <c r="V38" t="inlineStr">
        <is>
          <t>16.0 ／ 17.3 ／ 18.9</t>
        </is>
      </c>
      <c r="W38" s="1" t="inlineStr">
        <is>
          <t>DCF 目標價 101.3（Val!B24）；Comparable 目標價 290.1（Val!B40）；市場共識目標價 279.1（Val!B41，外部、僅供對照）；價格帶 C～A 情境 DCF 53.1～143.4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26.24478412100936</v>
      </c>
      <c r="AF38" s="4" t="n">
        <v>0.791263045056819</v>
      </c>
      <c r="AG38" t="inlineStr">
        <is>
          <t>[Derived] crdo/dist/20261025_Credo模型_v0.2.xlsx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IF(S38="未上市","未上市",IF(AH38="不通過","收支不足",S38))</f>
        <v/>
      </c>
      <c r="AJ38">
        <f>IF(Q38&gt;0.5,"大於 50%",IF(Q38&gt;0.25,"25%–50%",IF(Q38&gt;=0,"0%–25%",IF(Q38&gt;=-0.25,"0%～−25%",IF(Q38&gt;=-0.5,"−25%～−50%","小於 −50%")))))</f>
        <v/>
      </c>
      <c r="AK38" s="1" t="inlineStr">
        <is>
          <t>上檔空間 crdo/dist/20261025_Credo模型_v0.2.xlsx Val!B42；投資建議：模型尚未補列，依 AI半導體 固定規則自算；級距：模型尚未補列，依 AI半導體 固定規則自算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Labs模型_v0.1.xlsx Val!B39</t>
        </is>
      </c>
      <c r="J39" s="4" t="n">
        <v>52.3189901504964</v>
      </c>
      <c r="K39" t="inlineStr">
        <is>
          <t>alab/dist/20261025_Astera Labs模型_v0.1.xlsx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>
        <f>IF(Q39&gt;0.5,"強力買進",IF(Q39&gt;0.25,"買進",IF(Q39&gt;=-0.25,"中立",IF(Q39&gt;=-0.5,"放空","強力放空"))))</f>
        <v/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IF(S39="未上市","未上市",IF(AH39="不通過","收支不足",S39))</f>
        <v/>
      </c>
      <c r="AJ39">
        <f>IF(Q39&gt;0.5,"大於 50%",IF(Q39&gt;0.25,"25%–50%",IF(Q39&gt;=0,"0%–25%",IF(Q39&gt;=-0.25,"0%～−25%",IF(Q39&gt;=-0.5,"−25%～−50%","小於 −50%")))))</f>
        <v/>
      </c>
      <c r="AK39" s="1" t="inlineStr">
        <is>
          <t>上檔空間 alab/dist/20261025_Astera Labs模型_v0.1.xlsx Val!B42；投資建議：模型尚未補列，依 AI半導體 固定規則自算；級距：模型尚未補列，依 AI半導體 固定規則自算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價值鏈!A11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kyec/dist/20261025_京元電模型_v0.2.xlsx Val!B39</t>
        </is>
      </c>
      <c r="J40" s="4" t="n">
        <v>85.7331075295227</v>
      </c>
      <c r="K40" t="inlineStr">
        <is>
          <t>kyec/dist/20261025_京元電模型_v0.2.xlsx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>
        <f>IF(Q40&gt;0.5,"強力買進",IF(Q40&gt;0.25,"買進",IF(Q40&gt;=-0.25,"中立",IF(Q40&gt;=-0.5,"放空","強力放空"))))</f>
        <v/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IF(S40="未上市","未上市",IF(AH40="不通過","收支不足",S40))</f>
        <v/>
      </c>
      <c r="AJ40">
        <f>IF(Q40&gt;0.5,"大於 50%",IF(Q40&gt;0.25,"25%–50%",IF(Q40&gt;=0,"0%–25%",IF(Q40&gt;=-0.25,"0%～−25%",IF(Q40&gt;=-0.5,"−25%～−50%","小於 −50%")))))</f>
        <v/>
      </c>
      <c r="AK40" s="1" t="inlineStr">
        <is>
          <t>上檔空間 kyec/dist/20261025_京元電模型_v0.2.xlsx Val!B42；投資建議：模型尚未補列，依 AI半導體 固定規則自算；級距：模型尚未補列，依 AI半導體 固定規則自算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價值鏈!A11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amkr/dist/20261025_艾克爾模型_v0.2.xlsx Val!B39</t>
        </is>
      </c>
      <c r="J41" s="4" t="n">
        <v>22.0213163292156</v>
      </c>
      <c r="K41" t="inlineStr">
        <is>
          <t>amkr/dist/20261025_艾克爾模型_v0.2.xlsx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>
        <f>IF(Q41&gt;0.5,"強力買進",IF(Q41&gt;0.25,"買進",IF(Q41&gt;=-0.25,"中立",IF(Q41&gt;=-0.5,"放空","強力放空"))))</f>
        <v/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IF(S41="未上市","未上市",IF(AH41="不通過","收支不足",S41))</f>
        <v/>
      </c>
      <c r="AJ41">
        <f>IF(Q41&gt;0.5,"大於 50%",IF(Q41&gt;0.25,"25%–50%",IF(Q41&gt;=0,"0%–25%",IF(Q41&gt;=-0.25,"0%～−25%",IF(Q41&gt;=-0.5,"−25%～−50%","小於 −50%")))))</f>
        <v/>
      </c>
      <c r="AK41" s="1" t="inlineStr">
        <is>
          <t>上檔空間 amkr/dist/20261025_艾克爾模型_v0.2.xlsx Val!B42；投資建議：模型尚未補列，依 AI半導體 固定規則自算；級距：模型尚未補列，依 AI半導體 固定規則自算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價值鏈!A8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5477.38585591289</v>
      </c>
      <c r="G42" t="inlineStr">
        <is>
          <t>emc/dist/20261025_台光電模型_v0.2.xlsx Val!B118</t>
        </is>
      </c>
      <c r="J42" s="4" t="n">
        <v>2690.62334592878</v>
      </c>
      <c r="K42" t="inlineStr">
        <is>
          <t>emc/dist/20261025_台光電模型_v0.2.xlsx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</v>
      </c>
      <c r="R42">
        <f>P42/N42-1</f>
        <v/>
      </c>
      <c r="S42">
        <f>IF(Q42&gt;0.5,"強力買進",IF(Q42&gt;0.25,"買進",IF(Q42&gt;=-0.25,"中立",IF(Q42&gt;=-0.5,"放空","強力放空"))))</f>
        <v/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</v>
      </c>
      <c r="AF42" s="4" t="n">
        <v>42.891099295</v>
      </c>
      <c r="AG42" t="inlineStr">
        <is>
          <t>[Derived] emc/dist/20261025_台光電模型_v0.2.xlsx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IF(S42="未上市","未上市",IF(AH42="不通過","收支不足",S42))</f>
        <v/>
      </c>
      <c r="AJ42">
        <f>IF(Q42&gt;0.5,"大於 50%",IF(Q42&gt;0.25,"25%–50%",IF(Q42&gt;=0,"0%–25%",IF(Q42&gt;=-0.25,"0%～−25%",IF(Q42&gt;=-0.5,"−25%～−50%","小於 −50%")))))</f>
        <v/>
      </c>
      <c r="AK42" s="1" t="inlineStr">
        <is>
          <t>上檔空間 emc/dist/20261025_台光電模型_v0.2.xlsx Val!B121；投資建議：模型尚未補列，依 AI半導體 固定規則自算；級距：模型尚未補列，依 AI半導體 固定規則自算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價值鏈!A8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unimicron/dist/20261025_欣興模型_v0.1.xlsx Val!B39</t>
        </is>
      </c>
      <c r="J43" s="4" t="n">
        <v>219.433206126356</v>
      </c>
      <c r="K43" t="inlineStr">
        <is>
          <t>unimicron/dist/20261025_欣興模型_v0.1.xlsx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-0.330150331939242</v>
      </c>
      <c r="R43">
        <f>P43/N43-1</f>
        <v/>
      </c>
      <c r="S43">
        <f>IF(Q43&gt;0.5,"強力買進",IF(Q43&gt;0.25,"買進",IF(Q43&gt;=-0.25,"中立",IF(Q43&gt;=-0.5,"放空","強力放空"))))</f>
        <v/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</v>
      </c>
      <c r="AF43" s="4" t="n">
        <v>26.3193287897213</v>
      </c>
      <c r="AG43" t="inlineStr">
        <is>
          <t>[Derived] unimicron/dist/20261025_欣興模型_v0.1.xlsx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IF(S43="未上市","未上市",IF(AH43="不通過","收支不足",S43))</f>
        <v/>
      </c>
      <c r="AJ43">
        <f>IF(Q43&gt;0.5,"大於 50%",IF(Q43&gt;0.25,"25%–50%",IF(Q43&gt;=0,"0%–25%",IF(Q43&gt;=-0.25,"0%～−25%",IF(Q43&gt;=-0.5,"−25%～−50%","小於 −50%")))))</f>
        <v/>
      </c>
      <c r="AK43" s="1" t="inlineStr">
        <is>
          <t>上檔空間 unimicron/dist/20261025_欣興模型_v0.1.xlsx Val!B42；投資建議：模型尚未補列，依 AI半導體 固定規則自算；級距：模型尚未補列，依 AI半導體 固定規則自算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價值鏈!A8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nanya_pcb/dist/20261025_南電模型_v0.1.xlsx Val!B39</t>
        </is>
      </c>
      <c r="J44" s="4" t="n">
        <v>262.218925758325</v>
      </c>
      <c r="K44" t="inlineStr">
        <is>
          <t>nanya_pcb/dist/20261025_南電模型_v0.1.xlsx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>
        <f>IF(Q44&gt;0.5,"強力買進",IF(Q44&gt;0.25,"買進",IF(Q44&gt;=-0.25,"中立",IF(Q44&gt;=-0.5,"放空","強力放空"))))</f>
        <v/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IF(S44="未上市","未上市",IF(AH44="不通過","收支不足",S44))</f>
        <v/>
      </c>
      <c r="AJ44">
        <f>IF(Q44&gt;0.5,"大於 50%",IF(Q44&gt;0.25,"25%–50%",IF(Q44&gt;=0,"0%–25%",IF(Q44&gt;=-0.25,"0%～−25%",IF(Q44&gt;=-0.5,"−25%～−50%","小於 −50%")))))</f>
        <v/>
      </c>
      <c r="AK44" s="1" t="inlineStr">
        <is>
          <t>上檔空間 nanya_pcb/dist/20261025_南電模型_v0.1.xlsx Val!B42；投資建議：模型尚未補列，依 AI半導體 固定規則自算；級距：模型尚未補列，依 AI半導體 固定規則自算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價值鏈!A8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gce/dist/20261025_金像電模型_v0.1.xlsx Val!B40</t>
        </is>
      </c>
      <c r="J45" s="4" t="n">
        <v>559.015397539126</v>
      </c>
      <c r="K45" t="inlineStr">
        <is>
          <t>gce/dist/20261025_金像電模型_v0.1.xlsx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>
        <f>IF(Q45&gt;0.5,"強力買進",IF(Q45&gt;0.25,"買進",IF(Q45&gt;=-0.25,"中立",IF(Q45&gt;=-0.5,"放空","強力放空"))))</f>
        <v/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777.5639942335221</v>
      </c>
      <c r="AF45" s="4" t="n">
        <v>19.6977289395284</v>
      </c>
      <c r="AG45" t="inlineStr">
        <is>
          <t>[Derived] gce/dist/20261025_金像電模型_v0.1.xlsx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IF(S45="未上市","未上市",IF(AH45="不通過","收支不足",S45))</f>
        <v/>
      </c>
      <c r="AJ45">
        <f>IF(Q45&gt;0.5,"大於 50%",IF(Q45&gt;0.25,"25%–50%",IF(Q45&gt;=0,"0%–25%",IF(Q45&gt;=-0.25,"0%～−25%",IF(Q45&gt;=-0.5,"−25%～−50%","小於 −50%")))))</f>
        <v/>
      </c>
      <c r="AK45" s="1" t="inlineStr">
        <is>
          <t>上檔空間 gce/dist/20261025_金像電模型_v0.1.xlsx Val!B43；投資建議：模型尚未補列，依 AI半導體 固定規則自算；級距：模型尚未補列，依 AI半導體 固定規則自算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價值鏈!A8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</v>
      </c>
      <c r="G46" t="inlineStr">
        <is>
          <t>victory_giant/dist/20261025_勝宏科技模型_v0.1.xlsx Val!B39</t>
        </is>
      </c>
      <c r="J46" s="4" t="n">
        <v>98.54908044337679</v>
      </c>
      <c r="K46" t="inlineStr">
        <is>
          <t>victory_giant/dist/20261025_勝宏科技模型_v0.1.xlsx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0.759558314537008</v>
      </c>
      <c r="R46">
        <f>P46/N46-1</f>
        <v/>
      </c>
      <c r="S46">
        <f>IF(Q46&gt;0.5,"強力買進",IF(Q46&gt;0.25,"買進",IF(Q46&gt;=-0.25,"中立",IF(Q46&gt;=-0.5,"放空","強力放空"))))</f>
        <v/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253.1375330231429</v>
      </c>
      <c r="AF46" s="4" t="n">
        <v>6.5441924845173</v>
      </c>
      <c r="AG46" t="inlineStr">
        <is>
          <t>[Derived] victory_giant/dist/20261025_勝宏科技模型_v0.1.xlsx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IF(S46="未上市","未上市",IF(AH46="不通過","收支不足",S46))</f>
        <v/>
      </c>
      <c r="AJ46">
        <f>IF(Q46&gt;0.5,"大於 50%",IF(Q46&gt;0.25,"25%–50%",IF(Q46&gt;=0,"0%–25%",IF(Q46&gt;=-0.25,"0%～−25%",IF(Q46&gt;=-0.5,"−25%～−50%","小於 −50%")))))</f>
        <v/>
      </c>
      <c r="AK46" s="1" t="inlineStr">
        <is>
          <t>上檔空間 victory_giant/dist/20261025_勝宏科技模型_v0.1.xlsx Val!B42；投資建議：模型尚未補列，依 AI半導體 固定規則自算；級距：模型尚未補列，依 AI半導體 固定規則自算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價值鏈!A12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asml/dist/20261025_ASML模型_v0.2.xlsx Val!B115</t>
        </is>
      </c>
      <c r="J47" s="4" t="n">
        <v>506.037679478892</v>
      </c>
      <c r="K47" t="inlineStr">
        <is>
          <t>asml/dist/20261025_ASML模型_v0.2.xlsx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>
        <f>IF(Q47&gt;0.5,"強力買進",IF(Q47&gt;0.25,"買進",IF(Q47&gt;=-0.25,"中立",IF(Q47&gt;=-0.5,"放空","強力放空"))))</f>
        <v/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IF(S47="未上市","未上市",IF(AH47="不通過","收支不足",S47))</f>
        <v/>
      </c>
      <c r="AJ47">
        <f>IF(Q47&gt;0.5,"大於 50%",IF(Q47&gt;0.25,"25%–50%",IF(Q47&gt;=0,"0%–25%",IF(Q47&gt;=-0.25,"0%～−25%",IF(Q47&gt;=-0.5,"−25%～−50%","小於 −50%")))))</f>
        <v/>
      </c>
      <c r="AK47" s="1" t="inlineStr">
        <is>
          <t>上檔空間 asml/dist/20261025_ASML模型_v0.2.xlsx Val!B118；投資建議：模型尚未補列，依 AI半導體 固定規則自算；級距：模型尚未補列，依 AI半導體 固定規則自算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價值鏈!A12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amat/dist/20261025_應用材料模型_v0.2.xlsx Val!B136</t>
        </is>
      </c>
      <c r="J48" s="4" t="n">
        <v>160.769815499115</v>
      </c>
      <c r="K48" t="inlineStr">
        <is>
          <t>amat/dist/20261025_應用材料模型_v0.2.xlsx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>
        <f>IF(Q48&gt;0.5,"強力買進",IF(Q48&gt;0.25,"買進",IF(Q48&gt;=-0.25,"中立",IF(Q48&gt;=-0.5,"放空","強力放空"))))</f>
        <v/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IF(S48="未上市","未上市",IF(AH48="不通過","收支不足",S48))</f>
        <v/>
      </c>
      <c r="AJ48">
        <f>IF(Q48&gt;0.5,"大於 50%",IF(Q48&gt;0.25,"25%–50%",IF(Q48&gt;=0,"0%–25%",IF(Q48&gt;=-0.25,"0%～−25%",IF(Q48&gt;=-0.5,"−25%～−50%","小於 −50%")))))</f>
        <v/>
      </c>
      <c r="AK48" s="1" t="inlineStr">
        <is>
          <t>上檔空間 amat/dist/20261025_應用材料模型_v0.2.xlsx Val!B139；投資建議：模型尚未補列，依 AI半導體 固定規則自算；級距：模型尚未補列，依 AI半導體 固定規則自算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價值鏈!A12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lrcx/dist/20261025_科林研發模型_v0.2.xlsx Val!B128</t>
        </is>
      </c>
      <c r="J49" s="4" t="n">
        <v>85.7603441123795</v>
      </c>
      <c r="K49" t="inlineStr">
        <is>
          <t>lrcx/dist/20261025_科林研發模型_v0.2.xlsx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>
        <f>IF(Q49&gt;0.5,"強力買進",IF(Q49&gt;0.25,"買進",IF(Q49&gt;=-0.25,"中立",IF(Q49&gt;=-0.5,"放空","強力放空"))))</f>
        <v/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IF(S49="未上市","未上市",IF(AH49="不通過","收支不足",S49))</f>
        <v/>
      </c>
      <c r="AJ49">
        <f>IF(Q49&gt;0.5,"大於 50%",IF(Q49&gt;0.25,"25%–50%",IF(Q49&gt;=0,"0%–25%",IF(Q49&gt;=-0.25,"0%～−25%",IF(Q49&gt;=-0.5,"−25%～−50%","小於 −50%")))))</f>
        <v/>
      </c>
      <c r="AK49" s="1" t="inlineStr">
        <is>
          <t>上檔空間 lrcx/dist/20261025_科林研發模型_v0.2.xlsx Val!B131；投資建議：模型尚未補列，依 AI半導體 固定規則自算；級距：模型尚未補列，依 AI半導體 固定規則自算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價值鏈!A12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klac/dist/20261025_科磊模型_v0.2.xlsx Val!B129</t>
        </is>
      </c>
      <c r="J50" s="4" t="n">
        <v>57.6757051396901</v>
      </c>
      <c r="K50" t="inlineStr">
        <is>
          <t>klac/dist/20261025_科磊模型_v0.2.xlsx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>
        <f>IF(Q50&gt;0.5,"強力買進",IF(Q50&gt;0.25,"買進",IF(Q50&gt;=-0.25,"中立",IF(Q50&gt;=-0.5,"放空","強力放空"))))</f>
        <v/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IF(S50="未上市","未上市",IF(AH50="不通過","收支不足",S50))</f>
        <v/>
      </c>
      <c r="AJ50">
        <f>IF(Q50&gt;0.5,"大於 50%",IF(Q50&gt;0.25,"25%–50%",IF(Q50&gt;=0,"0%–25%",IF(Q50&gt;=-0.25,"0%～−25%",IF(Q50&gt;=-0.5,"−25%～−50%","小於 −50%")))))</f>
        <v/>
      </c>
      <c r="AK50" s="1" t="inlineStr">
        <is>
          <t>上檔空間 klac/dist/20261025_科磊模型_v0.2.xlsx Val!B132；投資建議：模型尚未補列，依 AI半導體 固定規則自算；級距：模型尚未補列，依 AI半導體 固定規則自算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價值鏈!A12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hanmi/dist/20261025_韓美半導體模型_v0.2.1.xlsx Val!B111</t>
        </is>
      </c>
      <c r="J51" s="4" t="n">
        <v>16072.8325490973</v>
      </c>
      <c r="K51" t="inlineStr">
        <is>
          <t>hanmi/dist/20261025_韓美半導體模型_v0.2.1.xlsx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>
        <f>IF(Q51&gt;0.5,"強力買進",IF(Q51&gt;0.25,"買進",IF(Q51&gt;=-0.25,"中立",IF(Q51&gt;=-0.5,"放空","強力放空"))))</f>
        <v/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hanmi/dist/20261025_韓美半導體模型_v0.2.1.xlsx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IF(S51="未上市","未上市",IF(AH51="不通過","收支不足",S51))</f>
        <v/>
      </c>
      <c r="AJ51">
        <f>IF(Q51&gt;0.5,"大於 50%",IF(Q51&gt;0.25,"25%–50%",IF(Q51&gt;=0,"0%–25%",IF(Q51&gt;=-0.25,"0%～−25%",IF(Q51&gt;=-0.5,"−25%～−50%","小於 −50%")))))</f>
        <v/>
      </c>
      <c r="AK51" s="1" t="inlineStr">
        <is>
          <t>上檔空間 hanmi/dist/20261025_韓美半導體模型_v0.2.1.xlsx Val!B114；投資建議：模型尚未補列，依 AI半導體 固定規則自算；級距：模型尚未補列，依 AI半導體 固定規則自算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價值鏈!A12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ter/dist/20261025_泰瑞達模型_v0.1.xlsx Val!B126</t>
        </is>
      </c>
      <c r="J52" s="4" t="n">
        <v>153.841873065318</v>
      </c>
      <c r="K52" t="inlineStr">
        <is>
          <t>ter/dist/20261025_泰瑞達模型_v0.1.xlsx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>
        <f>IF(Q52&gt;0.5,"強力買進",IF(Q52&gt;0.25,"買進",IF(Q52&gt;=-0.25,"中立",IF(Q52&gt;=-0.5,"放空","強力放空"))))</f>
        <v/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IF(S52="未上市","未上市",IF(AH52="不通過","收支不足",S52))</f>
        <v/>
      </c>
      <c r="AJ52">
        <f>IF(Q52&gt;0.5,"大於 50%",IF(Q52&gt;0.25,"25%–50%",IF(Q52&gt;=0,"0%–25%",IF(Q52&gt;=-0.25,"0%～−25%",IF(Q52&gt;=-0.5,"−25%～−50%","小於 −50%")))))</f>
        <v/>
      </c>
      <c r="AK52" s="1" t="inlineStr">
        <is>
          <t>上檔空間 ter/dist/20261025_泰瑞達模型_v0.1.xlsx Val!B129；投資建議：模型尚未補列，依 AI半導體 固定規則自算；級距：模型尚未補列，依 AI半導體 固定規則自算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價值鏈!A12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besi/dist/20261025_BESI模型_v0.1.xlsx Val!B112</t>
        </is>
      </c>
      <c r="J53" s="4" t="n">
        <v>44.8181747206361</v>
      </c>
      <c r="K53" t="inlineStr">
        <is>
          <t>besi/dist/20261025_BESI模型_v0.1.xlsx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>
        <f>IF(Q53&gt;0.5,"強力買進",IF(Q53&gt;0.25,"買進",IF(Q53&gt;=-0.25,"中立",IF(Q53&gt;=-0.5,"放空","強力放空"))))</f>
        <v/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IF(S53="未上市","未上市",IF(AH53="不通過","收支不足",S53))</f>
        <v/>
      </c>
      <c r="AJ53">
        <f>IF(Q53&gt;0.5,"大於 50%",IF(Q53&gt;0.25,"25%–50%",IF(Q53&gt;=0,"0%–25%",IF(Q53&gt;=-0.25,"0%～−25%",IF(Q53&gt;=-0.5,"−25%～−50%","小於 −50%")))))</f>
        <v/>
      </c>
      <c r="AK53" s="1" t="inlineStr">
        <is>
          <t>上檔空間 besi/dist/20261025_BESI模型_v0.1.xlsx Val!B115；投資建議：模型尚未補列，依 AI半導體 固定規則自算；級距：模型尚未補列，依 AI半導體 固定規則自算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價值鏈!A12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towa/dist/20261025_TOWA模型_v0.1.xlsx Val!B39</t>
        </is>
      </c>
      <c r="J54" s="4" t="n">
        <v>759.567964433826</v>
      </c>
      <c r="K54" t="inlineStr">
        <is>
          <t>towa/dist/20261025_TOWA模型_v0.1.xlsx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>
        <f>IF(Q54&gt;0.5,"強力買進",IF(Q54&gt;0.25,"買進",IF(Q54&gt;=-0.25,"中立",IF(Q54&gt;=-0.5,"放空","強力放空"))))</f>
        <v/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IF(S54="未上市","未上市",IF(AH54="不通過","收支不足",S54))</f>
        <v/>
      </c>
      <c r="AJ54">
        <f>IF(Q54&gt;0.5,"大於 50%",IF(Q54&gt;0.25,"25%–50%",IF(Q54&gt;=0,"0%–25%",IF(Q54&gt;=-0.25,"0%～−25%",IF(Q54&gt;=-0.5,"−25%～−50%","小於 −50%")))))</f>
        <v/>
      </c>
      <c r="AK54" s="1" t="inlineStr">
        <is>
          <t>上檔空間 towa/dist/20261025_TOWA模型_v0.1.xlsx Val!B42；投資建議：模型尚未補列，依 AI半導體 固定規則自算；級距：模型尚未補列，依 AI半導體 固定規則自算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價值鏈!A12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accretech/dist/20261025_東京精密模型_v0.1.xlsx Val!B40</t>
        </is>
      </c>
      <c r="J55" s="4" t="n">
        <v>6136.30379041145</v>
      </c>
      <c r="K55" t="inlineStr">
        <is>
          <t>accretech/dist/20261025_東京精密模型_v0.1.xlsx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>
        <f>IF(Q55&gt;0.5,"強力買進",IF(Q55&gt;0.25,"買進",IF(Q55&gt;=-0.25,"中立",IF(Q55&gt;=-0.5,"放空","強力放空"))))</f>
        <v/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IF(S55="未上市","未上市",IF(AH55="不通過","收支不足",S55))</f>
        <v/>
      </c>
      <c r="AJ55">
        <f>IF(Q55&gt;0.5,"大於 50%",IF(Q55&gt;0.25,"25%–50%",IF(Q55&gt;=0,"0%–25%",IF(Q55&gt;=-0.25,"0%～−25%",IF(Q55&gt;=-0.5,"−25%～−50%","小於 −50%")))))</f>
        <v/>
      </c>
      <c r="AK55" s="1" t="inlineStr">
        <is>
          <t>上檔空間 accretech/dist/20261025_東京精密模型_v0.1.xlsx Val!B43；投資建議：模型尚未補列，依 AI半導體 固定規則自算；級距：模型尚未補列，依 AI半導體 固定規則自算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價值鏈!A10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349.917288066706</v>
      </c>
      <c r="G56" t="inlineStr">
        <is>
          <t>foxconn/dist/20261025_鴻海模型_v0.2.xlsx Val!B120</t>
        </is>
      </c>
      <c r="J56" s="4" t="n">
        <v>209.885963820218</v>
      </c>
      <c r="K56" t="inlineStr">
        <is>
          <t>foxconn/dist/20261025_鴻海模型_v0.2.xlsx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0.428233828843698</v>
      </c>
      <c r="R56">
        <f>P56/N56-1</f>
        <v/>
      </c>
      <c r="S56">
        <f>IF(Q56&gt;0.5,"強力買進",IF(Q56&gt;0.25,"買進",IF(Q56&gt;=-0.25,"中立",IF(Q56&gt;=-0.5,"放空","強力放空"))))</f>
        <v/>
      </c>
      <c r="T56">
        <f>261.429965980011/N56-1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3063.319471023556</v>
      </c>
      <c r="AF56" s="4" t="n">
        <v>275.25708735</v>
      </c>
      <c r="AG56" t="inlineStr">
        <is>
          <t>[Derived] foxconn/dist/20261025_鴻海模型_v0.2.xlsx PL!D13…PL!G39</t>
        </is>
      </c>
      <c r="AH56">
        <f>IF(AB56="淨利",IF(AF56&gt;0,"通過（淨利）","不通過"),IF(AE56&lt;0,"不通過","通過（現金流）"))</f>
        <v/>
      </c>
      <c r="AI56">
        <f>IF(S56="未上市","未上市",IF(AH56="不通過","收支不足",S56))</f>
        <v/>
      </c>
      <c r="AJ56">
        <f>IF(Q56&gt;0.5,"大於 50%",IF(Q56&gt;0.25,"25%–50%",IF(Q56&gt;=0,"0%–25%",IF(Q56&gt;=-0.25,"0%～−25%",IF(Q56&gt;=-0.5,"−25%～−50%","小於 −50%")))))</f>
        <v/>
      </c>
      <c r="AK56" s="1" t="inlineStr">
        <is>
          <t>上檔空間 foxconn/dist/20261025_鴻海模型_v0.2.xlsx Val!B123；投資建議：模型尚未補列，依 AI半導體 固定規則自算；級距：模型尚未補列，依 AI半導體 固定規則自算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價值鏈!A10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355.133563866587</v>
      </c>
      <c r="G57" t="inlineStr">
        <is>
          <t>wistron/dist/20261025_緯創模型_v0.1.xlsx Val!B39</t>
        </is>
      </c>
      <c r="J57" s="4" t="n">
        <v>252.685401446693</v>
      </c>
      <c r="K57" t="inlineStr">
        <is>
          <t>wistron/dist/20261025_緯創模型_v0.1.xlsx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0.869124020350456</v>
      </c>
      <c r="R57">
        <f>P57/N57-1</f>
        <v/>
      </c>
      <c r="S57">
        <f>IF(Q57&gt;0.5,"強力買進",IF(Q57&gt;0.25,"買進",IF(Q57&gt;=-0.25,"中立",IF(Q57&gt;=-0.5,"放空","強力放空"))))</f>
        <v/>
      </c>
      <c r="V57" t="inlineStr">
        <is>
          <t>5.7 ／ 7.0 ／ 9.2</t>
        </is>
      </c>
      <c r="W57" s="1" t="inlineStr">
        <is>
          <t>DCF 目標價 397.0（Val!B24）；Comparable 目標價 313.3（Val!B40）；市場共識目標價 268.7（Val!B41，外部、僅供對照）；價格帶 C～A 情境 DCF 252.7～495.5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1686.22072536712</v>
      </c>
      <c r="AF57" s="4" t="n">
        <v>59.6707048338912</v>
      </c>
      <c r="AG57" t="inlineStr">
        <is>
          <t>[Derived] wistron/dist/20261025_緯創模型_v0.1.xlsx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IF(S57="未上市","未上市",IF(AH57="不通過","收支不足",S57))</f>
        <v/>
      </c>
      <c r="AJ57">
        <f>IF(Q57&gt;0.5,"大於 50%",IF(Q57&gt;0.25,"25%–50%",IF(Q57&gt;=0,"0%–25%",IF(Q57&gt;=-0.25,"0%～−25%",IF(Q57&gt;=-0.5,"−25%～−50%","小於 −50%")))))</f>
        <v/>
      </c>
      <c r="AK57" s="1" t="inlineStr">
        <is>
          <t>上檔空間 wistron/dist/20261025_緯創模型_v0.1.xlsx Val!B42；投資建議：模型尚未補列，依 AI半導體 固定規則自算；級距：模型尚未補列，依 AI半導體 固定規則自算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價值鏈!A10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wiwynn/dist/20261025_緯穎模型_v0.1.xlsx Val!B39</t>
        </is>
      </c>
      <c r="J58" s="4" t="n">
        <v>2411.99384333378</v>
      </c>
      <c r="K58" t="inlineStr">
        <is>
          <t>wiwynn/dist/20261025_緯穎模型_v0.1.xlsx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0.801317023195681</v>
      </c>
      <c r="R58">
        <f>P58/N58-1</f>
        <v/>
      </c>
      <c r="S58">
        <f>IF(Q58&gt;0.5,"強力買進",IF(Q58&gt;0.25,"買進",IF(Q58&gt;=-0.25,"中立",IF(Q58&gt;=-0.5,"放空","強力放空"))))</f>
        <v/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2434.816945249124</v>
      </c>
      <c r="AF58" s="4" t="n">
        <v>77.0324485376</v>
      </c>
      <c r="AG58" t="inlineStr">
        <is>
          <t>[Derived] wiwynn/dist/20261025_緯穎模型_v0.1.xlsx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IF(S58="未上市","未上市",IF(AH58="不通過","收支不足",S58))</f>
        <v/>
      </c>
      <c r="AJ58">
        <f>IF(Q58&gt;0.5,"大於 50%",IF(Q58&gt;0.25,"25%–50%",IF(Q58&gt;=0,"0%–25%",IF(Q58&gt;=-0.25,"0%～−25%",IF(Q58&gt;=-0.5,"−25%～−50%","小於 −50%")))))</f>
        <v/>
      </c>
      <c r="AK58" s="1" t="inlineStr">
        <is>
          <t>上檔空間 wiwynn/dist/20261025_緯穎模型_v0.1.xlsx Val!B42；投資建議：模型尚未補列，依 AI半導體 固定規則自算；級距：模型尚未補列，依 AI半導體 固定規則自算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價值鏈!A10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366.647549690362</v>
      </c>
      <c r="G59" t="inlineStr">
        <is>
          <t>dell/dist/20261025_戴爾模型_v0.1.xlsx Val!B39</t>
        </is>
      </c>
      <c r="J59" s="4" t="n">
        <v>288.038263857982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-0.196723447352638</v>
      </c>
      <c r="R59">
        <f>P59/N59-1</f>
        <v/>
      </c>
      <c r="S59" s="4" t="inlineStr">
        <is>
          <t>中立</t>
        </is>
      </c>
      <c r="V59" t="inlineStr">
        <is>
          <t>15.1 ／ 15.1 ／ 15.1</t>
        </is>
      </c>
      <c r="W59" s="1" t="inlineStr">
        <is>
          <t>DCF 目標價 411.9（Val!B24）；Comparable 目標價 321.4（Val!B40）；市場共識目標價 593.0（Val!B41，外部、僅供對照）；價格帶 C～A 情境 DCF 288.0～510.8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245.4895093175961</v>
      </c>
      <c r="AF59" s="4" t="n">
        <v>12.0997764519591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IF(S59="未上市","未上市",IF(AH59="不通過","收支不足",S59))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價值鏈!A10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smci/dist/20261025_美超微模型_v0.1.xlsx Val!B39</t>
        </is>
      </c>
      <c r="J60" s="4" t="n">
        <v>31.419993199526</v>
      </c>
      <c r="K60" t="inlineStr">
        <is>
          <t>smci/dist/20261025_美超微模型_v0.1.xlsx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>
        <f>IF(Q60&gt;0.5,"強力買進",IF(Q60&gt;0.25,"買進",IF(Q60&gt;=-0.25,"中立",IF(Q60&gt;=-0.5,"放空","強力放空"))))</f>
        <v/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IF(S60="未上市","未上市",IF(AH60="不通過","收支不足",S60))</f>
        <v/>
      </c>
      <c r="AJ60">
        <f>IF(Q60&gt;0.5,"大於 50%",IF(Q60&gt;0.25,"25%–50%",IF(Q60&gt;=0,"0%–25%",IF(Q60&gt;=-0.25,"0%～−25%",IF(Q60&gt;=-0.5,"−25%～−50%","小於 −50%")))))</f>
        <v/>
      </c>
      <c r="AK60" s="1" t="inlineStr">
        <is>
          <t>上檔空間 smci/dist/20261025_美超微模型_v0.1.xlsx Val!B42；投資建議：模型尚未補列，依 AI半導體 固定規則自算；級距：模型尚未補列，依 AI半導體 固定規則自算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價值鏈!A9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3955.89398288466</v>
      </c>
      <c r="G61" t="inlineStr">
        <is>
          <t>avc/dist/20261025_奇鋐模型_v0.2.xlsx Val!B119</t>
        </is>
      </c>
      <c r="J61" s="4" t="n">
        <v>2016.1990416386</v>
      </c>
      <c r="K61" t="inlineStr">
        <is>
          <t>avc/dist/20261025_奇鋐模型_v0.2.xlsx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0.257835924605614</v>
      </c>
      <c r="R61">
        <f>P61/N61-1</f>
        <v/>
      </c>
      <c r="S61">
        <f>IF(Q61&gt;0.5,"強力買進",IF(Q61&gt;0.25,"買進",IF(Q61&gt;=-0.25,"中立",IF(Q61&gt;=-0.5,"放空","強力放空"))))</f>
        <v/>
      </c>
      <c r="T61">
        <f>2025.40760731771/N61-1</f>
        <v/>
      </c>
      <c r="U61" t="inlineStr">
        <is>
          <t>舊法：規則值情境加權價（參考，Val!B75）</t>
        </is>
      </c>
      <c r="V61" t="inlineStr">
        <is>
          <t>15.0 ／ 17.7 ／ 21.9</t>
        </is>
      </c>
      <c r="W61" s="1" t="inlineStr">
        <is>
          <t>DCF 目標價 3,027.2（Val!B105）；Comparable 目標價 4,884.6（Val!B120）；市場共識目標價 4,130.0（Val!B121，外部、僅供對照）；價格帶 C～A 情境 DCF 2,016.2～3,706.7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8 個情境年度淨利（不含實績），全部為正</t>
        </is>
      </c>
      <c r="AE61" s="4" t="n">
        <v>547.0033990860203</v>
      </c>
      <c r="AF61" s="4" t="n">
        <v>41.5923093275</v>
      </c>
      <c r="AG61" t="inlineStr">
        <is>
          <t>[Derived] avc/dist/20261025_奇鋐模型_v0.2.xlsx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IF(S61="未上市","未上市",IF(AH61="不通過","收支不足",S61))</f>
        <v/>
      </c>
      <c r="AJ61">
        <f>IF(Q61&gt;0.5,"大於 50%",IF(Q61&gt;0.25,"25%–50%",IF(Q61&gt;=0,"0%–25%",IF(Q61&gt;=-0.25,"0%～−25%",IF(Q61&gt;=-0.5,"−25%～−50%","小於 −50%")))))</f>
        <v/>
      </c>
      <c r="AK61" s="1" t="inlineStr">
        <is>
          <t>上檔空間 avc/dist/20261025_奇鋐模型_v0.2.xlsx Val!B122；投資建議：模型尚未補列，依 AI半導體 固定規則自算；級距：模型尚未補列，依 AI半導體 固定規則自算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價值鏈!A9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423.952672244219</v>
      </c>
      <c r="G62" t="inlineStr">
        <is>
          <t>liteon/dist/20261025_光寶模型_v0.1.xlsx Val!B40</t>
        </is>
      </c>
      <c r="J62" s="4" t="n">
        <v>120.896373289929</v>
      </c>
      <c r="K62" t="inlineStr">
        <is>
          <t>liteon/dist/20261025_光寶模型_v0.1.xlsx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0.6593059579030091</v>
      </c>
      <c r="R62">
        <f>P62/N62-1</f>
        <v/>
      </c>
      <c r="S62">
        <f>IF(Q62&gt;0.5,"強力買進",IF(Q62&gt;0.25,"買進",IF(Q62&gt;=-0.25,"中立",IF(Q62&gt;=-0.5,"放空","強力放空"))))</f>
        <v/>
      </c>
      <c r="V62" t="inlineStr">
        <is>
          <t>8.5 ／ 12.2 ／ 18.7</t>
        </is>
      </c>
      <c r="W62" s="1" t="inlineStr">
        <is>
          <t>DCF 目標價 318.7（Val!B24）；Comparable 目標價 529.2（Val!B41）；市場共識目標價 314.2（Val!B42，外部、僅供對照）；價格帶 C～A 情境 DCF 120.9～530.8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1037.716035148552</v>
      </c>
      <c r="AF62" s="4" t="n">
        <v>20.477547021345</v>
      </c>
      <c r="AG62" t="inlineStr">
        <is>
          <t>[Derived] liteon/dist/20261025_光寶模型_v0.1.xlsx PL!D12…PL!J38</t>
        </is>
      </c>
      <c r="AH62">
        <f>IF(AB62="淨利",IF(AF62&gt;0,"通過（淨利）","不通過"),IF(AE62&lt;0,"不通過","通過（現金流）"))</f>
        <v/>
      </c>
      <c r="AI62">
        <f>IF(S62="未上市","未上市",IF(AH62="不通過","收支不足",S62))</f>
        <v/>
      </c>
      <c r="AJ62">
        <f>IF(Q62&gt;0.5,"大於 50%",IF(Q62&gt;0.25,"25%–50%",IF(Q62&gt;=0,"0%–25%",IF(Q62&gt;=-0.25,"0%～−25%",IF(Q62&gt;=-0.5,"−25%～−50%","小於 −50%")))))</f>
        <v/>
      </c>
      <c r="AK62" s="1" t="inlineStr">
        <is>
          <t>上檔空間 liteon/dist/20261025_光寶模型_v0.1.xlsx Val!B43；投資建議：模型尚未補列，依 AI半導體 固定規則自算；級距：模型尚未補列，依 AI半導體 固定規則自算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價值鏈!A9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auras/dist/20261025_雙鴻模型_v0.1.xlsx Val!B39</t>
        </is>
      </c>
      <c r="J63" s="4" t="n">
        <v>700.059483037327</v>
      </c>
      <c r="K63" t="inlineStr">
        <is>
          <t>auras/dist/20261025_雙鴻模型_v0.1.xlsx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1.03586299619186</v>
      </c>
      <c r="R63">
        <f>P63/N63-1</f>
        <v/>
      </c>
      <c r="S63">
        <f>IF(Q63&gt;0.5,"強力買進",IF(Q63&gt;0.25,"買進",IF(Q63&gt;=-0.25,"中立",IF(Q63&gt;=-0.5,"放空","強力放空"))))</f>
        <v/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106.7851434762805</v>
      </c>
      <c r="AF63" s="4" t="n">
        <v>4.923841117248</v>
      </c>
      <c r="AG63" t="inlineStr">
        <is>
          <t>[Derived] auras/dist/20261025_雙鴻模型_v0.1.xlsx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IF(S63="未上市","未上市",IF(AH63="不通過","收支不足",S63))</f>
        <v/>
      </c>
      <c r="AJ63">
        <f>IF(Q63&gt;0.5,"大於 50%",IF(Q63&gt;0.25,"25%–50%",IF(Q63&gt;=0,"0%–25%",IF(Q63&gt;=-0.25,"0%～−25%",IF(Q63&gt;=-0.5,"−25%～−50%","小於 −50%")))))</f>
        <v/>
      </c>
      <c r="AK63" s="1" t="inlineStr">
        <is>
          <t>上檔空間 auras/dist/20261025_雙鴻模型_v0.1.xlsx Val!B42；投資建議：模型尚未補列，依 AI半導體 固定規則自算；級距：模型尚未補列，依 AI半導體 固定規則自算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價值鏈!A9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3889.06729451463</v>
      </c>
      <c r="G64" t="inlineStr">
        <is>
          <t>jentech/dist/20261025_健策模型_v0.1.xlsx Val!B40</t>
        </is>
      </c>
      <c r="J64" s="4" t="n">
        <v>1371.95946165303</v>
      </c>
      <c r="K64" t="inlineStr">
        <is>
          <t>jentech/dist/20261025_健策模型_v0.1.xlsx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-0.359296986076668</v>
      </c>
      <c r="R64">
        <f>P64/N64-1</f>
        <v/>
      </c>
      <c r="S64" s="4" t="inlineStr">
        <is>
          <t>放空</t>
        </is>
      </c>
      <c r="V64" t="inlineStr">
        <is>
          <t>23.7 ／ 36.4 ／ 59.8</t>
        </is>
      </c>
      <c r="W64" s="1" t="inlineStr">
        <is>
          <t>DCF 目標價 3,242.1（Val!B24）；Comparable 目標價 4,536.0（Val!B41）；市場共識目標價 7,204.0（Val!B42，外部、僅供對照）；價格帶 C～A 情境 DCF 1,372.0～5,003.3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568.2809424571311</v>
      </c>
      <c r="AF64" s="4" t="n">
        <v>10.3442061825</v>
      </c>
      <c r="AG64" t="inlineStr">
        <is>
          <t>[Derived] jentech/dist/20261025_健策模型_v0.1.xlsx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IF(S64="未上市","未上市",IF(AH64="不通過","收支不足",S64))</f>
        <v/>
      </c>
      <c r="AJ64" s="4" t="inlineStr">
        <is>
          <t>−25%～−50%</t>
        </is>
      </c>
      <c r="AK64" s="1" t="inlineStr">
        <is>
          <t>上檔空間 jentech/dist/20261025_健策模型_v0.1.xlsx Val!B43；投資建議 jentech/dist/20261025_健策模型_v0.1.xlsx Val!B46；級距 jentech/dist/20261025_健策模型_v0.1.xlsx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2026-10-26T02:18:26Z</dcterms:created>
  <dcterms:modified xmlns:dcterms="http://purl.org/dc/terms/" xmlns:xsi="http://www.w3.org/2001/XMLSchema-instance" xsi:type="dcterms:W3CDTF">2026-10-26T02:18:26Z</dcterms:modified>
</cp:coreProperties>
</file>