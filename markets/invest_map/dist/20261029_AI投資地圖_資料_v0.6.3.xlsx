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v0.6.3（20261029）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價值鏈!F8</f>
        <v/>
      </c>
      <c r="J40">
        <f>價值鏈!G8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價值鏈!F8</f>
        <v/>
      </c>
      <c r="J41">
        <f>價值鏈!G8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價值鏈!F9</f>
        <v/>
      </c>
      <c r="J42">
        <f>價值鏈!G9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價值鏈!F9</f>
        <v/>
      </c>
      <c r="J43">
        <f>價值鏈!G9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價值鏈!F13</f>
        <v/>
      </c>
      <c r="J47">
        <f>價值鏈!G13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價值鏈!F13</f>
        <v/>
      </c>
      <c r="J48">
        <f>價值鏈!G13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價值鏈!F11</f>
        <v/>
      </c>
      <c r="J56">
        <f>價值鏈!G11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價值鏈!F11</f>
        <v/>
      </c>
      <c r="J57">
        <f>價值鏈!G11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價值鏈!F10</f>
        <v/>
      </c>
      <c r="J61">
        <f>價值鏈!G10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價值鏈!F10</f>
        <v/>
      </c>
      <c r="J62">
        <f>價值鏈!G10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nvidia/dist/20261028_NVIDIA個股模型_v0.2.2.xlsx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avgo/dist/20261028_Broadcom個股模型_v0.3.xlsx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skhynix/dist/20261025_SK海力士模型_v0.5.1.xlsx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samsung/dist/20261028_三星電子個股模型_v0.3.2.xlsx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micron/dist/20261028_美光個股模型_v0.4.2.xlsx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tsmc/dist/20261028_台積電個股模型_v0.4.xlsx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arista/dist/20261028_Arista個股模型_v0.3.xlsx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innolight/dist/20261028_中際旭創個股模型_v0.2.3.xlsx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delta/dist/20261028_台達電個股模型_v0.3.xlsx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quanta/dist/20261028_廣達個股模型_v0.3.xlsx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ibiden/dist/20261028_Ibiden個股模型_v0.3.xlsx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advantest/dist/20261028_Advantest個股模型_v0.4.xlsx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disco/dist/20261025_Disco模型_v0.2.2.xlsx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microsoft/dist/20261029_Microsoft個股模型_v0.3.1.xlsx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alphabet/dist/20261029_Alphabet個股模型_v0.3.1.xlsx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oracle/dist/20261027_Oracle個股模型_v0.4.xlsx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nebius/dist/20261022_Nebius收支模型_v0_5_1.xlsx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amd/dist/20261025_AMD模型_v0.2.2.xlsx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mediatek/dist/20261028_聯發科個股模型_v0.1.2.xlsx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mrvl/dist/20261028_邁威爾個股模型_v0.2.3.xlsx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alchip/dist/20261028_世芯-KY個股模型_v0.1.2.xlsx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guc/dist/20261028_創意個股模型_v0.1.2.xlsx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kioxia/dist/20261028_Kioxia個股模型_v0.2.xlsx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sndk/dist/20261028_SanDisk個股模型_v0.2.xlsx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cohr/dist/20261028_Coherent個股模型_v0.2.3.xlsx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lite/dist/20261028_Lumentum個股模型_v0.3.xlsx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eoptolink/dist/20261028_新易盛個股模型_v0.2.3.xlsx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accton/dist/20261028_智邦個股模型_v0.3.xlsx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fabrinet/dist/20261028_Fabrinet個股模型_v0.1.3.xlsx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crdo/dist/20261028_Credo個股模型_v0.2.3.xlsx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alab/dist/20261028_Astera Labs個股模型_v0.1.2.xlsx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kyec/dist/20261028_京元電個股模型_v0.2.2.xlsx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amkr/dist/20261028_艾克爾個股模型_v0.2.2.xlsx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emc/dist/20261028_台光電個股模型_v0.3.xlsx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unimicron/dist/20261028_欣興個股模型_v0.2.xlsx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nanya_pcb/dist/20261028_南電個股模型_v0.2.xlsx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gce/dist/20261028_金像電個股模型_v0.2.xlsx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victory_giant/dist/20261028_勝宏科技個股模型_v0.1.2.xlsx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asml/dist/20261028_ASML個股模型_v0.2.2.xlsx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amat/dist/20261028_應用材料個股模型_v0.3.xlsx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lrcx/dist/20261025_科林研發模型_v0.2.1.xlsx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klac/dist/20261028_科磊個股模型_v0.2.2.xlsx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hanmi/dist/20261028_韓美半導體個股模型_v0.2.3.xlsx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ter/dist/20261028_泰瑞達個股模型_v0.2.xlsx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towa/dist/20261028_TOWA個股模型_v0.2.xlsx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accretech/dist/20261028_東京精密個股模型_v0.1.2.xlsx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foxconn/dist/20261028_鴻海個股模型_v0.3.xlsx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wistron/dist/20261028_緯創個股模型_v0.2.xlsx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wiwynn/dist/20261028_緯穎個股模型_v0.1.2.xlsx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dell/dist/20261028_戴爾個股模型_v0.1.1.xlsx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smci/dist/20261028_美超微個股模型_v0.1.2.xlsx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avc/dist/20261028_奇鋐個股模型_v0.2.2.xlsx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liteon/dist/20261028_光寶個股模型_v0.2.xlsx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auras/dist/20261028_雙鴻個股模型_v0.1.2.xlsx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jentech/dist/20261028_健策個股模型_v0.1.2.xlsx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251.880296390576</v>
      </c>
      <c r="G2" t="inlineStr">
        <is>
          <t>nvidia/dist/20261028_NVIDIA個股模型_v0.2.2.xlsx Val!B40</t>
        </is>
      </c>
      <c r="J2" s="4" t="n">
        <v>128.622689303977</v>
      </c>
      <c r="K2" t="inlineStr">
        <is>
          <t>nvidia/dist/20261028_NVIDIA個股模型_v0.2.2.xlsx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0.193971825893893</v>
      </c>
      <c r="R2">
        <f>P2/N2-1</f>
        <v/>
      </c>
      <c r="S2" s="4" t="inlineStr">
        <is>
          <t>中立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nvidia/dist/20261028_NVIDIA個股模型_v0.2.2.xlsx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0%–25%</t>
        </is>
      </c>
      <c r="AK2" s="1" t="inlineStr">
        <is>
          <t>上檔空間 nvidia/dist/20261028_NVIDIA個股模型_v0.2.2.xlsx Val!B43；投資建議 nvidia/dist/20261028_NVIDIA個股模型_v0.2.2.xlsx Val!B179；級距 nvidia/dist/20261028_NVIDIA個股模型_v0.2.2.xlsx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340.643248720447</v>
      </c>
      <c r="G3" t="inlineStr">
        <is>
          <t>avgo/dist/20261028_Broadcom個股模型_v0.3.xlsx Val!B40</t>
        </is>
      </c>
      <c r="J3" s="4" t="n">
        <v>221.914547314327</v>
      </c>
      <c r="K3" t="inlineStr">
        <is>
          <t>avgo/dist/20261028_Broadcom個股模型_v0.3.xlsx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0.058950661279678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avgo/dist/20261028_Broadcom個股模型_v0.3.xlsx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0%–25%</t>
        </is>
      </c>
      <c r="AK3" s="1" t="inlineStr">
        <is>
          <t>上檔空間 avgo/dist/20261028_Broadcom個股模型_v0.3.xlsx Val!B43；投資建議 avgo/dist/20261028_Broadcom個股模型_v0.3.xlsx Val!B113；級距 avgo/dist/20261028_Broadcom個股模型_v0.3.xlsx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3087845.415541</v>
      </c>
      <c r="G4" t="inlineStr">
        <is>
          <t>skhynix/dist/20261025_SK海力士模型_v0.5.1.xlsx Val!B161</t>
        </is>
      </c>
      <c r="J4" s="4" t="n">
        <v>1308904.14697498</v>
      </c>
      <c r="K4" t="inlineStr">
        <is>
          <t>skhynix/dist/20261025_SK海力士模型_v0.5.1.xlsx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1.41804652744009</v>
      </c>
      <c r="R4">
        <f>P4/N4-1</f>
        <v/>
      </c>
      <c r="S4" s="4" t="inlineStr">
        <is>
          <t>強力買進</t>
        </is>
      </c>
      <c r="T4">
        <f>1392208.55280262/N4-1</f>
        <v/>
      </c>
      <c r="U4" t="inlineStr">
        <is>
          <t>舊法：規則值情境加權價（參考，Val!B176）</t>
        </is>
      </c>
      <c r="W4" s="1" t="inlineStr">
        <is>
          <t>DCF 目標價 3,709,129.8（Val!B146）；Comparable 目標價 2,466,561.0（Val!B162）；市場共識目標價 3,096,288.0（Val!B163，外部、僅供對照）；價格帶 C～A 情境 DCF 1,308,904.1～6,513,978.2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372.3、2027 B 293.3、2028 B 151.6、2029 B 188.0、2027 C 293.3、2028 C 77.1、2029 C 63.7</t>
        </is>
      </c>
      <c r="AE4" s="4" t="n">
        <v>2307.957748876296</v>
      </c>
      <c r="AF4" s="4" t="n">
        <v>63.7338503409949</v>
      </c>
      <c r="AG4" t="inlineStr">
        <is>
          <t>[Derived] skhynix/dist/20261025_SK海力士模型_v0.5.1.xlsx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skhynix/dist/20261025_SK海力士模型_v0.5.1.xlsx Val!B164；投資建議 skhynix/dist/20261025_SK海力士模型_v0.5.1.xlsx Val!B185；級距 skhynix/dist/20261025_SK海力士模型_v0.5.1.xlsx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477143.173864418</v>
      </c>
      <c r="G5" t="inlineStr">
        <is>
          <t>samsung/dist/20261028_三星電子個股模型_v0.3.2.xlsx Val!B161</t>
        </is>
      </c>
      <c r="J5" s="4" t="n">
        <v>218882.499300042</v>
      </c>
      <c r="K5" t="inlineStr">
        <is>
          <t>samsung/dist/20261028_三星電子個股模型_v0.3.2.xlsx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1.21412145644741</v>
      </c>
      <c r="R5">
        <f>P5/N5-1</f>
        <v/>
      </c>
      <c r="S5" s="4" t="inlineStr">
        <is>
          <t>強力買進</t>
        </is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samsung/dist/20261028_三星電子個股模型_v0.3.2.xlsx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samsung/dist/20261028_三星電子個股模型_v0.3.2.xlsx Val!B164；投資建議 samsung/dist/20261028_三星電子個股模型_v0.3.2.xlsx Val!B185；級距 samsung/dist/20261028_三星電子個股模型_v0.3.2.xlsx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684.089469121124</v>
      </c>
      <c r="G6" t="inlineStr">
        <is>
          <t>micron/dist/20261028_美光個股模型_v0.4.2.xlsx Val!B208</t>
        </is>
      </c>
      <c r="J6" s="4" t="n">
        <v>321.896486338575</v>
      </c>
      <c r="K6" t="inlineStr">
        <is>
          <t>micron/dist/20261028_美光個股模型_v0.4.2.xlsx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-0.220455279902998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micron/dist/20261028_美光個股模型_v0.4.2.xlsx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micron/dist/20261028_美光個股模型_v0.4.2.xlsx Val!B211；投資建議 micron/dist/20261028_美光個股模型_v0.4.2.xlsx Val!B232；級距 micron/dist/20261028_美光個股模型_v0.4.2.xlsx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2450.23630789608</v>
      </c>
      <c r="G7" t="inlineStr">
        <is>
          <t>tsmc/dist/20261028_台積電個股模型_v0.4.xlsx Val!B94</t>
        </is>
      </c>
      <c r="J7" s="4" t="n">
        <v>1499.97466657645</v>
      </c>
      <c r="K7" t="inlineStr">
        <is>
          <t>tsmc/dist/20261028_台積電個股模型_v0.4.xlsx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0.0273527496419603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tsmc/dist/20261028_台積電個股模型_v0.4.xlsx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tsmc/dist/20261028_台積電個股模型_v0.4.xlsx Val!B97；投資建議 tsmc/dist/20261028_台積電個股模型_v0.4.xlsx Val!B116；級距 tsmc/dist/20261028_台積電個股模型_v0.4.xlsx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99.46303815597879</v>
      </c>
      <c r="G8" t="inlineStr">
        <is>
          <t>arista/dist/20261028_Arista個股模型_v0.3.xlsx Val!B40</t>
        </is>
      </c>
      <c r="J8" s="4" t="n">
        <v>66.5504868771763</v>
      </c>
      <c r="K8" t="inlineStr">
        <is>
          <t>arista/dist/20261028_Arista個股模型_v0.3.xlsx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-0.422967812519703</v>
      </c>
      <c r="R8">
        <f>P8/N8-1</f>
        <v/>
      </c>
      <c r="S8" s="4" t="inlineStr">
        <is>
          <t>放空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arista/dist/20261028_Arista個股模型_v0.3.xlsx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−25%～−50%</t>
        </is>
      </c>
      <c r="AK8" s="1" t="inlineStr">
        <is>
          <t>上檔空間 arista/dist/20261028_Arista個股模型_v0.3.xlsx Val!B43；投資建議 arista/dist/20261028_Arista個股模型_v0.3.xlsx Val!B53；級距 arista/dist/20261028_Arista個股模型_v0.3.xlsx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1340.41039896108</v>
      </c>
      <c r="G9" t="inlineStr">
        <is>
          <t>innolight/dist/20261028_中際旭創個股模型_v0.2.3.xlsx Val!B39</t>
        </is>
      </c>
      <c r="J9" s="4" t="n">
        <v>502.868761281007</v>
      </c>
      <c r="K9" t="inlineStr">
        <is>
          <t>innolight/dist/20261028_中際旭創個股模型_v0.2.3.xlsx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1.1879607576532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innolight/dist/20261028_中際旭創個股模型_v0.2.3.xlsx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innolight/dist/20261028_中際旭創個股模型_v0.2.3.xlsx Val!B42；投資建議 innolight/dist/20261028_中際旭創個股模型_v0.2.3.xlsx Val!B50；級距 innolight/dist/20261028_中際旭創個股模型_v0.2.3.xlsx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1214.61166264439</v>
      </c>
      <c r="G10" t="inlineStr">
        <is>
          <t>delta/dist/20261028_台達電個股模型_v0.3.xlsx Val!B119</t>
        </is>
      </c>
      <c r="J10" s="4" t="n">
        <v>640.554270753996</v>
      </c>
      <c r="K10" t="inlineStr">
        <is>
          <t>delta/dist/20261028_台達電個股模型_v0.3.xlsx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-0.243232608944303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delta/dist/20261028_台達電個股模型_v0.3.xlsx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delta/dist/20261028_台達電個股模型_v0.3.xlsx Val!B122；投資建議 delta/dist/20261028_台達電個股模型_v0.3.xlsx Val!B135；級距 delta/dist/20261028_台達電個股模型_v0.3.xlsx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566.562292345013</v>
      </c>
      <c r="G11" t="inlineStr">
        <is>
          <t>quanta/dist/20261028_廣達個股模型_v0.3.xlsx Val!B120</t>
        </is>
      </c>
      <c r="J11" s="4" t="n">
        <v>404.067828743699</v>
      </c>
      <c r="K11" t="inlineStr">
        <is>
          <t>quanta/dist/20261028_廣達個股模型_v0.3.xlsx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0.759510224673953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quanta/dist/20261028_廣達個股模型_v0.3.xlsx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quanta/dist/20261028_廣達個股模型_v0.3.xlsx Val!B123；投資建議 quanta/dist/20261028_廣達個股模型_v0.3.xlsx Val!B136；級距 quanta/dist/20261028_廣達個股模型_v0.3.xlsx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5236.24114444144</v>
      </c>
      <c r="G12" t="inlineStr">
        <is>
          <t>ibiden/dist/20261028_Ibiden個股模型_v0.3.xlsx Val!B96</t>
        </is>
      </c>
      <c r="J12" s="4" t="n">
        <v>1293.75775376326</v>
      </c>
      <c r="K12" t="inlineStr">
        <is>
          <t>ibiden/dist/20261028_Ibiden個股模型_v0.3.xlsx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-0.384840091113553</v>
      </c>
      <c r="R12">
        <f>P12/N12-1</f>
        <v/>
      </c>
      <c r="S12" s="4" t="inlineStr">
        <is>
          <t>放空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ibiden/dist/20261028_Ibiden個股模型_v0.3.xlsx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−25%～−50%</t>
        </is>
      </c>
      <c r="AK12" s="1" t="inlineStr">
        <is>
          <t>上檔空間 ibiden/dist/20261028_Ibiden個股模型_v0.3.xlsx Val!B99；投資建議 ibiden/dist/20261028_Ibiden個股模型_v0.3.xlsx Val!B110；級距 ibiden/dist/20261028_Ibiden個股模型_v0.3.xlsx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23221.5916701459</v>
      </c>
      <c r="G13" t="inlineStr">
        <is>
          <t>advantest/dist/20261028_Advantest個股模型_v0.4.xlsx Val!B146</t>
        </is>
      </c>
      <c r="J13" s="4" t="n">
        <v>7893.3662518531</v>
      </c>
      <c r="K13" t="inlineStr">
        <is>
          <t>advantest/dist/20261028_Advantest個股模型_v0.4.xlsx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-0.281954493811198</v>
      </c>
      <c r="R13">
        <f>P13/N13-1</f>
        <v/>
      </c>
      <c r="S13" s="4" t="inlineStr">
        <is>
          <t>放空</t>
        </is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advantest/dist/20261028_Advantest個股模型_v0.4.xlsx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advantest/dist/20261028_Advantest個股模型_v0.4.xlsx Val!B149；投資建議 advantest/dist/20261028_Advantest個股模型_v0.4.xlsx Val!B158；級距 advantest/dist/20261028_Advantest個股模型_v0.4.xlsx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40374.830353198</v>
      </c>
      <c r="G14" t="inlineStr">
        <is>
          <t>disco/dist/20261025_Disco模型_v0.2.2.xlsx Val!B107</t>
        </is>
      </c>
      <c r="J14" s="4" t="n">
        <v>16343.6091101662</v>
      </c>
      <c r="K14" t="inlineStr">
        <is>
          <t>disco/dist/20261025_Disco模型_v0.2.2.xlsx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-0.180871772099859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disco/dist/20261025_Disco模型_v0.2.2.xlsx Val!B110；投資建議 disco/dist/20261025_Disco模型_v0.2.2.xlsx Val!B119；級距 disco/dist/20261025_Disco模型_v0.2.2.xlsx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microsoft/dist/20261029_Microsoft個股模型_v0.3.1.xlsx Val!B36</t>
        </is>
      </c>
      <c r="J15" s="4" t="n">
        <v>280.67266317972</v>
      </c>
      <c r="K15" t="inlineStr">
        <is>
          <t>microsoft/dist/20261029_Microsoft個股模型_v0.3.1.xlsx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microsoft/dist/20261029_Microsoft個股模型_v0.3.1.xlsx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microsoft/dist/20261029_Microsoft個股模型_v0.3.1.xlsx Val!B40；投資建議 microsoft/dist/20261029_Microsoft個股模型_v0.3.1.xlsx Val!B43；級距 microsoft/dist/20261029_Microsoft個股模型_v0.3.1.xlsx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alphabet/dist/20261029_Alphabet個股模型_v0.3.1.xlsx Val!B8</t>
        </is>
      </c>
      <c r="J17" s="4" t="n">
        <v>149.346874196369</v>
      </c>
      <c r="K17" t="inlineStr">
        <is>
          <t>alphabet/dist/20261029_Alphabet個股模型_v0.3.1.xlsx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alphabet/dist/20261029_Alphabet個股模型_v0.3.1.xlsx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alphabet/dist/20261029_Alphabet個股模型_v0.3.1.xlsx Val!B11；投資建議 alphabet/dist/20261029_Alphabet個股模型_v0.3.1.xlsx Val!B14；級距 alphabet/dist/20261029_Alphabet個股模型_v0.3.1.xlsx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oracle/dist/20261027_Oracle個股模型_v0.4.xlsx Val!C74</t>
        </is>
      </c>
      <c r="J18" s="4" t="n">
        <v>17.1600249327927</v>
      </c>
      <c r="K18" t="inlineStr">
        <is>
          <t>oracle/dist/20261027_Oracle個股模型_v0.4.xlsx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oracle/dist/20261027_Oracle個股模型_v0.4.xlsx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oracle/dist/20261027_Oracle個股模型_v0.4.xlsx Val!C77；投資建議 oracle/dist/20261027_Oracle個股模型_v0.4.xlsx Val!C80；級距 oracle/dist/20261027_Oracle個股模型_v0.4.xlsx Val!C79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IF(Q19&gt;0.5,"強力買進",IF(Q19&gt;0.25,"買進",IF(Q19&gt;=-0.25,"中立",IF(Q19&gt;=-0.5,"放空","強力放空"))))</f>
        <v/>
      </c>
      <c r="W19" s="1" t="inlineStr">
        <is>
          <t>模型點位 $32.0（模型日現價 $90.13）；情境區間 $14.7–$42.7，方法區間 $19.7–$32.0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IF(S19="未上市","未上市",IF(AND(AH19="不通過",OR(S19="強力買進",S19="買進",S19="未估值")),"收支不足",S19))</f>
        <v/>
      </c>
      <c r="AJ19">
        <f>IF(Q19&gt;0.5,"大於 50%",IF(Q19&gt;0.25,"25%–50%",IF(Q19&gt;=0,"0%–25%",IF(Q19&gt;=-0.25,"0%～−25%",IF(Q19&gt;=-0.5,"−25%～−50%","小於 −50%")))))</f>
        <v/>
      </c>
      <c r="AK19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</t>
        </is>
      </c>
      <c r="F20" s="4" t="n">
        <v>21.3792054477074</v>
      </c>
      <c r="G20" t="inlineStr">
        <is>
          <t>nebius/dist/20261022_Nebius收支模型_v0_5_1.xlsx 摘要!C7</t>
        </is>
      </c>
      <c r="J20" s="4" t="n">
        <v>21.3792054477074</v>
      </c>
      <c r="K20" t="inlineStr">
        <is>
          <t>nebius/dist/20261022_Nebius收支模型_v0_5_1.xlsx 摘要!C7</t>
        </is>
      </c>
      <c r="L20" s="4" t="n">
        <v>19.431647062533</v>
      </c>
      <c r="M20" t="inlineStr">
        <is>
          <t>nebius/dist/20261022_Nebius收支模型_v0_5_1.xlsx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IF(Q20&gt;0.5,"強力買進",IF(Q20&gt;0.25,"買進",IF(Q20&gt;=-0.25,"中立",IF(Q20&gt;=-0.5,"放空","強力放空"))))</f>
        <v/>
      </c>
      <c r="W20" s="1" t="inlineStr">
        <is>
          <t>模型點位 $21.4（模型日現價 $249.87）；情境區間 $19.4–$29.5，方法區間 $12.5–$21.4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nebius/dist/20261022_Nebius收支模型_v0_5_1.xlsx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>
        <f>IF(Q20&gt;0.5,"大於 50%",IF(Q20&gt;0.25,"25%–50%",IF(Q20&gt;=0,"0%–25%",IF(Q20&gt;=-0.25,"0%～−25%",IF(Q20&gt;=-0.5,"−25%～−50%","小於 −50%")))))</f>
        <v/>
      </c>
      <c r="AK20" t="inlineStr">
        <is>
          <t>上檔空間＝模型加權目標價 nebius/dist/20261022_Nebius收支模型_v0_5_1.xlsx 摘要!C7 ÷ 外部收盤價 − 1，依本地圖五級規則自算（模型自身評等以模型日價計、級距不同，不採用；原值見模型摘要頁）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$15.2（模型日現價 $16.83）；情境區間 $11.5–$25.4，方法區間 $15.1–$15.2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177.104004476736</v>
      </c>
      <c r="G26" t="inlineStr">
        <is>
          <t>amd/dist/20261025_AMD模型_v0.2.2.xlsx Val!B40</t>
        </is>
      </c>
      <c r="J26" s="4" t="n">
        <v>120.521244989712</v>
      </c>
      <c r="K26" t="inlineStr">
        <is>
          <t>amd/dist/20261025_AMD模型_v0.2.2.xlsx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-0.657299861690947</v>
      </c>
      <c r="R26">
        <f>P26/N26-1</f>
        <v/>
      </c>
      <c r="S26" s="4" t="inlineStr">
        <is>
          <t>強力放空</t>
        </is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amd/dist/20261025_AMD模型_v0.2.2.xlsx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  <c r="AJ26" s="4" t="inlineStr">
        <is>
          <t>小於 −50%</t>
        </is>
      </c>
      <c r="AK26" s="1" t="inlineStr">
        <is>
          <t>上檔空間 amd/dist/20261025_AMD模型_v0.2.2.xlsx Val!B43；投資建議 amd/dist/20261025_AMD模型_v0.2.2.xlsx Val!B177；級距 amd/dist/20261025_AMD模型_v0.2.2.xlsx Val!B176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2056.72998586345</v>
      </c>
      <c r="G27" t="inlineStr">
        <is>
          <t>mediatek/dist/20261028_聯發科個股模型_v0.1.2.xlsx Val!B39</t>
        </is>
      </c>
      <c r="J27" s="4" t="n">
        <v>1011.80776357573</v>
      </c>
      <c r="K27" t="inlineStr">
        <is>
          <t>mediatek/dist/20261028_聯發科個股模型_v0.1.2.xlsx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-0.487099754148765</v>
      </c>
      <c r="R27">
        <f>P27/N27-1</f>
        <v/>
      </c>
      <c r="S27" s="4" t="inlineStr">
        <is>
          <t>放空</t>
        </is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mediatek/dist/20261028_聯發科個股模型_v0.1.2.xlsx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  <c r="AJ27" s="4" t="inlineStr">
        <is>
          <t>−25%～−50%</t>
        </is>
      </c>
      <c r="AK27" s="1" t="inlineStr">
        <is>
          <t>上檔空間 mediatek/dist/20261028_聯發科個股模型_v0.1.2.xlsx Val!B42；投資建議 mediatek/dist/20261028_聯發科個股模型_v0.1.2.xlsx Val!B135；級距 mediatek/dist/20261028_聯發科個股模型_v0.1.2.xlsx Val!B134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126.964605060311</v>
      </c>
      <c r="G28" t="inlineStr">
        <is>
          <t>mrvl/dist/20261028_邁威爾個股模型_v0.2.3.xlsx Val!B40</t>
        </is>
      </c>
      <c r="J28" s="4" t="n">
        <v>71.8838596724305</v>
      </c>
      <c r="K28" t="inlineStr">
        <is>
          <t>mrvl/dist/20261028_邁威爾個股模型_v0.2.3.xlsx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-0.44438053012861</v>
      </c>
      <c r="R28">
        <f>P28/N28-1</f>
        <v/>
      </c>
      <c r="S28" s="4" t="inlineStr">
        <is>
          <t>放空</t>
        </is>
      </c>
      <c r="T28">
        <f>202.512511941354/N28-1</f>
        <v/>
      </c>
      <c r="U28" t="inlineStr">
        <is>
          <t>舊法：規則值情境加權價（參考，Val!B57）</t>
        </is>
      </c>
      <c r="V28" t="inlineStr">
        <is>
          <t>35.5 ／ 35.1 ／ 34.8</t>
        </is>
      </c>
      <c r="W28" s="1" t="inlineStr">
        <is>
          <t>DCF 目標價 115.2（Val!B23）；Comparable 目標價 138.8（Val!B41）；市場共識目標價 341.4（Val!B42，外部、僅供對照）；價格帶 C～A 情境 DCF 71.9～142.6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10 個情境年度淨利（不含實績），全部為正</t>
        </is>
      </c>
      <c r="AE28" s="4" t="n">
        <v>64.19063650443796</v>
      </c>
      <c r="AF28" s="4" t="n">
        <v>3.83971098</v>
      </c>
      <c r="AG28" t="inlineStr">
        <is>
          <t>[Derived] mrvl/dist/20261028_邁威爾個股模型_v0.2.3.xlsx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mrvl/dist/20261028_邁威爾個股模型_v0.2.3.xlsx Val!B43；投資建議 mrvl/dist/20261028_邁威爾個股模型_v0.2.3.xlsx Val!B151；級距 mrvl/dist/20261028_邁威爾個股模型_v0.2.3.xlsx Val!B150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5925.8607469146</v>
      </c>
      <c r="G29" t="inlineStr">
        <is>
          <t>alchip/dist/20261028_世芯-KY個股模型_v0.1.2.xlsx Val!B39</t>
        </is>
      </c>
      <c r="J29" s="4" t="n">
        <v>1226.24410533878</v>
      </c>
      <c r="K29" t="inlineStr">
        <is>
          <t>alchip/dist/20261028_世芯-KY個股模型_v0.1.2.xlsx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0.695525249474849</v>
      </c>
      <c r="R29">
        <f>P29/N29-1</f>
        <v/>
      </c>
      <c r="S29" s="4" t="inlineStr">
        <is>
          <t>強力買進</t>
        </is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alchip/dist/20261028_世芯-KY個股模型_v0.1.2.xlsx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大於 50%</t>
        </is>
      </c>
      <c r="AK29" s="1" t="inlineStr">
        <is>
          <t>上檔空間 alchip/dist/20261028_世芯-KY個股模型_v0.1.2.xlsx Val!B42；投資建議 alchip/dist/20261028_世芯-KY個股模型_v0.1.2.xlsx Val!B135；級距 alchip/dist/20261028_世芯-KY個股模型_v0.1.2.xlsx Val!B134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2879.20410090305</v>
      </c>
      <c r="G30" t="inlineStr">
        <is>
          <t>guc/dist/20261028_創意個股模型_v0.1.2.xlsx Val!B39</t>
        </is>
      </c>
      <c r="J30" s="4" t="n">
        <v>662.1199432503749</v>
      </c>
      <c r="K30" t="inlineStr">
        <is>
          <t>guc/dist/20261028_創意個股模型_v0.1.2.xlsx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-0.6204081607247141</v>
      </c>
      <c r="R30">
        <f>P30/N30-1</f>
        <v/>
      </c>
      <c r="S30" s="4" t="inlineStr">
        <is>
          <t>強力放空</t>
        </is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guc/dist/20261028_創意個股模型_v0.1.2.xlsx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guc/dist/20261028_創意個股模型_v0.1.2.xlsx Val!B42；投資建議 guc/dist/20261028_創意個股模型_v0.1.2.xlsx Val!B135；級距 guc/dist/20261028_創意個股模型_v0.1.2.xlsx Val!B134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22465.1722139785</v>
      </c>
      <c r="G31" t="inlineStr">
        <is>
          <t>kioxia/dist/20261028_Kioxia個股模型_v0.2.xlsx Val!B49</t>
        </is>
      </c>
      <c r="J31" s="4" t="n">
        <v>8833.830738950141</v>
      </c>
      <c r="K31" t="inlineStr">
        <is>
          <t>kioxia/dist/20261028_Kioxia個股模型_v0.2.xlsx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0.761283591844647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76831.5922583466</v>
      </c>
      <c r="AF31" s="4" t="n">
        <v>888.696562503859</v>
      </c>
      <c r="AG31" t="inlineStr">
        <is>
          <t>[Derived] kioxia/dist/20261028_Kioxia個股模型_v0.2.xlsx PL!D13…PL!G167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kioxia/dist/20261028_Kioxia個股模型_v0.2.xlsx Val!B52；投資建議 kioxia/dist/20261028_Kioxia個股模型_v0.2.xlsx Val!B55；級距 kioxia/dist/20261028_Kioxia個股模型_v0.2.xlsx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954.642410125009</v>
      </c>
      <c r="G32" t="inlineStr">
        <is>
          <t>sndk/dist/20261028_SanDisk個股模型_v0.2.xlsx Val!B49</t>
        </is>
      </c>
      <c r="J32" s="4" t="n">
        <v>493.729904251831</v>
      </c>
      <c r="K32" t="inlineStr">
        <is>
          <t>sndk/dist/20261028_SanDisk個股模型_v0.2.xlsx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-0.228902037814101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288.0673061089713</v>
      </c>
      <c r="AF32" s="4" t="n">
        <v>3.615</v>
      </c>
      <c r="AG32" t="inlineStr">
        <is>
          <t>[Derived] sndk/dist/20261028_SanDisk個股模型_v0.2.xlsx PL!E13…PL!G73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0%～−25%</t>
        </is>
      </c>
      <c r="AK32" s="1" t="inlineStr">
        <is>
          <t>上檔空間 sndk/dist/20261028_SanDisk個股模型_v0.2.xlsx Val!B52；投資建議 sndk/dist/20261028_SanDisk個股模型_v0.2.xlsx Val!B55；級距 sndk/dist/20261028_SanDisk個股模型_v0.2.xlsx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322.534682310793</v>
      </c>
      <c r="G33" t="inlineStr">
        <is>
          <t>cohr/dist/20261028_Coherent個股模型_v0.2.3.xlsx Val!B39</t>
        </is>
      </c>
      <c r="J33" s="4" t="n">
        <v>126.00352198982</v>
      </c>
      <c r="K33" t="inlineStr">
        <is>
          <t>cohr/dist/20261028_Coherent個股模型_v0.2.3.xlsx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0.54197390787777</v>
      </c>
      <c r="R33">
        <f>P33/N33-1</f>
        <v/>
      </c>
      <c r="S33" s="4" t="inlineStr">
        <is>
          <t>強力買進</t>
        </is>
      </c>
      <c r="T33">
        <f>319.571046584482/N33-1</f>
        <v/>
      </c>
      <c r="U33" t="inlineStr">
        <is>
          <t>舊法：規則值情境加權價（參考，Val!B53）</t>
        </is>
      </c>
      <c r="V33" t="inlineStr">
        <is>
          <t>14.4 ／ 15.5 ／ 17.0</t>
        </is>
      </c>
      <c r="W33" s="1" t="inlineStr">
        <is>
          <t>DCF 目標價 207.0（Val!B24）；Comparable 目標價 438.0（Val!B40）；市場共識目標價 394.8（Val!B41，外部、僅供對照）；價格帶 C～A 情境 DCF 126.0～275.4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18 個情境年度淨利（不含實績），全部為正</t>
        </is>
      </c>
      <c r="AE33" s="4" t="n">
        <v>55.73323142808181</v>
      </c>
      <c r="AF33" s="4" t="n">
        <v>2.06947608283373</v>
      </c>
      <c r="AG33" t="inlineStr">
        <is>
          <t>[Derived] cohr/dist/20261028_Coherent個股模型_v0.2.3.xlsx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cohr/dist/20261028_Coherent個股模型_v0.2.3.xlsx Val!B42；投資建議 cohr/dist/20261028_Coherent個股模型_v0.2.3.xlsx Val!B50；級距 cohr/dist/20261028_Coherent個股模型_v0.2.3.xlsx Val!B49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623.399886042049</v>
      </c>
      <c r="G34" t="inlineStr">
        <is>
          <t>lite/dist/20261028_Lumentum個股模型_v0.3.xlsx Val!B39</t>
        </is>
      </c>
      <c r="J34" s="4" t="n">
        <v>211.148558750336</v>
      </c>
      <c r="K34" t="inlineStr">
        <is>
          <t>lite/dist/20261028_Lumentum個股模型_v0.3.xlsx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-0.175582361053666</v>
      </c>
      <c r="R34">
        <f>P34/N34-1</f>
        <v/>
      </c>
      <c r="S34" s="4" t="inlineStr">
        <is>
          <t>中立</t>
        </is>
      </c>
      <c r="T34">
        <f>410.587041312467/N34-1</f>
        <v/>
      </c>
      <c r="U34" t="inlineStr">
        <is>
          <t>舊法：規則值情境加權價（參考，Val!B53）</t>
        </is>
      </c>
      <c r="V34" t="inlineStr">
        <is>
          <t>23.1 ／ 26.6 ／ 30.2</t>
        </is>
      </c>
      <c r="W34" s="1" t="inlineStr">
        <is>
          <t>DCF 目標價 387.1（Val!B24）；Comparable 目標價 859.7（Val!B40）；市場共識目標價 1,165.0（Val!B41，外部、僅供對照）；價格帶 C～A 情境 DCF 211.1～549.9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18 個情境年度淨利（不含實績），全部為正</t>
        </is>
      </c>
      <c r="AE34" s="4" t="n">
        <v>54.05090141367878</v>
      </c>
      <c r="AF34" s="4" t="n">
        <v>1.65482793612448</v>
      </c>
      <c r="AG34" t="inlineStr">
        <is>
          <t>[Derived] lite/dist/20261028_Lumentum個股模型_v0.3.xlsx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lite/dist/20261028_Lumentum個股模型_v0.3.xlsx Val!B42；投資建議 lite/dist/20261028_Lumentum個股模型_v0.3.xlsx Val!B50；級距 lite/dist/20261028_Lumentum個股模型_v0.3.xlsx Val!B49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789.599980165757</v>
      </c>
      <c r="G35" t="inlineStr">
        <is>
          <t>eoptolink/dist/20261028_新易盛個股模型_v0.2.3.xlsx Val!B39</t>
        </is>
      </c>
      <c r="J35" s="4" t="n">
        <v>306.597966415317</v>
      </c>
      <c r="K35" t="inlineStr">
        <is>
          <t>eoptolink/dist/20261028_新易盛個股模型_v0.2.3.xlsx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2.02528728032857</v>
      </c>
      <c r="R35">
        <f>P35/N35-1</f>
        <v/>
      </c>
      <c r="S35" s="4" t="inlineStr">
        <is>
          <t>強力買進</t>
        </is>
      </c>
      <c r="T35">
        <f>1145.94570088063/N35-1</f>
        <v/>
      </c>
      <c r="U35" t="inlineStr">
        <is>
          <t>舊法：規則值情境加權價（參考，Val!B53）</t>
        </is>
      </c>
      <c r="V35" t="inlineStr">
        <is>
          <t>9.3 ／ 11.4 ／ 15.4</t>
        </is>
      </c>
      <c r="W35" s="1" t="inlineStr">
        <is>
          <t>DCF 目標價 510.2（Val!B24）；Comparable 目標價 1,069.0（Val!B40）；市場共識目標價 460.9（Val!B41，外部、僅供對照）；價格帶 C～A 情境 DCF 306.6～634.8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19 個情境年度淨利（不含實績），全部為正</t>
        </is>
      </c>
      <c r="AE35" s="4" t="n">
        <v>785.4126827575913</v>
      </c>
      <c r="AF35" s="4" t="n">
        <v>20.0605180178692</v>
      </c>
      <c r="AG35" t="inlineStr">
        <is>
          <t>[Derived] eoptolink/dist/20261028_新易盛個股模型_v0.2.3.xlsx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eoptolink/dist/20261028_新易盛個股模型_v0.2.3.xlsx Val!B42；投資建議 eoptolink/dist/20261028_新易盛個股模型_v0.2.3.xlsx Val!B50；級距 eoptolink/dist/20261028_新易盛個股模型_v0.2.3.xlsx Val!B49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2275.03974290026</v>
      </c>
      <c r="G36" t="inlineStr">
        <is>
          <t>accton/dist/20261028_智邦個股模型_v0.3.xlsx Val!B39</t>
        </is>
      </c>
      <c r="J36" s="4" t="n">
        <v>1519.31098875966</v>
      </c>
      <c r="K36" t="inlineStr">
        <is>
          <t>accton/dist/20261028_智邦個股模型_v0.3.xlsx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0.281712531211416</v>
      </c>
      <c r="R36">
        <f>P36/N36-1</f>
        <v/>
      </c>
      <c r="S36" s="4" t="inlineStr">
        <is>
          <t>買進</t>
        </is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accton/dist/20261028_智邦個股模型_v0.3.xlsx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25%–50%</t>
        </is>
      </c>
      <c r="AK36" s="1" t="inlineStr">
        <is>
          <t>上檔空間 accton/dist/20261028_智邦個股模型_v0.3.xlsx Val!B42；投資建議 accton/dist/20261028_智邦個股模型_v0.3.xlsx Val!B52；級距 accton/dist/20261028_智邦個股模型_v0.3.xlsx Val!B51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373.123198537049</v>
      </c>
      <c r="G37" t="inlineStr">
        <is>
          <t>fabrinet/dist/20261028_Fabrinet個股模型_v0.1.3.xlsx Val!B39</t>
        </is>
      </c>
      <c r="J37" s="4" t="n">
        <v>163.840959069597</v>
      </c>
      <c r="K37" t="inlineStr">
        <is>
          <t>fabrinet/dist/20261028_Fabrinet個股模型_v0.1.3.xlsx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0.184743756071152</v>
      </c>
      <c r="R37">
        <f>P37/N37-1</f>
        <v/>
      </c>
      <c r="S37" s="4" t="inlineStr">
        <is>
          <t>中立</t>
        </is>
      </c>
      <c r="T37">
        <f>408.001544364806/N37-1</f>
        <v/>
      </c>
      <c r="U37" t="inlineStr">
        <is>
          <t>舊法：規則值情境加權價（參考，Val!B53）</t>
        </is>
      </c>
      <c r="V37" t="inlineStr">
        <is>
          <t>11.3 ／ 14.3 ／ 18.0</t>
        </is>
      </c>
      <c r="W37" s="1" t="inlineStr">
        <is>
          <t>DCF 目標價 349.8（Val!B24）；Comparable 目標價 396.5（Val!B40）；市場共識目標價 687.8（Val!B41，外部、僅供對照）；價格帶 C～A 情境 DCF 163.8～564.3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16.45838145404598</v>
      </c>
      <c r="AF37" s="4" t="n">
        <v>0.449392515917191</v>
      </c>
      <c r="AG37" t="inlineStr">
        <is>
          <t>[Derived] fabrinet/dist/20261028_Fabrinet個股模型_v0.1.3.xlsx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0%–25%</t>
        </is>
      </c>
      <c r="AK37" s="1" t="inlineStr">
        <is>
          <t>上檔空間 fabrinet/dist/20261028_Fabrinet個股模型_v0.1.3.xlsx Val!B42；投資建議 fabrinet/dist/20261028_Fabrinet個股模型_v0.1.3.xlsx Val!B50；級距 fabrinet/dist/20261028_Fabrinet個股模型_v0.1.3.xlsx Val!B49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194.503855731343</v>
      </c>
      <c r="G38" t="inlineStr">
        <is>
          <t>crdo/dist/20261028_Credo個股模型_v0.2.3.xlsx Val!B39</t>
        </is>
      </c>
      <c r="J38" s="4" t="n">
        <v>53.662353127775</v>
      </c>
      <c r="K38" t="inlineStr">
        <is>
          <t>crdo/dist/20261028_Credo個股模型_v0.2.3.xlsx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0.320550313879711</v>
      </c>
      <c r="R38">
        <f>P38/N38-1</f>
        <v/>
      </c>
      <c r="S38" s="4" t="inlineStr">
        <is>
          <t>買進</t>
        </is>
      </c>
      <c r="T38">
        <f>619.6489358636/N38-1</f>
        <v/>
      </c>
      <c r="U38" t="inlineStr">
        <is>
          <t>舊法：規則值情境加權價（參考，Val!B53）</t>
        </is>
      </c>
      <c r="V38" t="inlineStr">
        <is>
          <t>16.2 ／ 17.3 ／ 18.8</t>
        </is>
      </c>
      <c r="W38" s="1" t="inlineStr">
        <is>
          <t>DCF 目標價 100.2（Val!B24）；Comparable 目標價 288.8（Val!B40）；市場共識目標價 279.1（Val!B41，外部、僅供對照）；價格帶 C～A 情境 DCF 53.7～139.2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26.00564440421192</v>
      </c>
      <c r="AF38" s="4" t="n">
        <v>0.801215260866878</v>
      </c>
      <c r="AG38" t="inlineStr">
        <is>
          <t>[Derived] crdo/dist/20261028_Credo個股模型_v0.2.3.xlsx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25%–50%</t>
        </is>
      </c>
      <c r="AK38" s="1" t="inlineStr">
        <is>
          <t>上檔空間 crdo/dist/20261028_Credo個股模型_v0.2.3.xlsx Val!B42；投資建議 crdo/dist/20261028_Credo個股模型_v0.2.3.xlsx Val!B130；級距 crdo/dist/20261028_Credo個股模型_v0.2.3.xlsx Val!B129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alab/dist/20261028_Astera Labs個股模型_v0.1.2.xlsx Val!B39</t>
        </is>
      </c>
      <c r="J39" s="4" t="n">
        <v>52.3189901504964</v>
      </c>
      <c r="K39" t="inlineStr">
        <is>
          <t>alab/dist/20261028_Astera Labs個股模型_v0.1.2.xlsx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 s="4" t="inlineStr">
        <is>
          <t>放空</t>
        </is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alab/dist/20261028_Astera Labs個股模型_v0.1.2.xlsx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−25%～−50%</t>
        </is>
      </c>
      <c r="AK39" s="1" t="inlineStr">
        <is>
          <t>上檔空間 alab/dist/20261028_Astera Labs個股模型_v0.1.2.xlsx Val!B42；投資建議 alab/dist/20261028_Astera Labs個股模型_v0.1.2.xlsx Val!B130；級距 alab/dist/20261028_Astera Labs個股模型_v0.1.2.xlsx Val!B129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173.353091385714</v>
      </c>
      <c r="G40" t="inlineStr">
        <is>
          <t>kyec/dist/20261028_京元電個股模型_v0.2.2.xlsx Val!B39</t>
        </is>
      </c>
      <c r="J40" s="4" t="n">
        <v>85.7331075295227</v>
      </c>
      <c r="K40" t="inlineStr">
        <is>
          <t>kyec/dist/20261028_京元電個股模型_v0.2.2.xlsx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-0.339607270911564</v>
      </c>
      <c r="R40">
        <f>P40/N40-1</f>
        <v/>
      </c>
      <c r="S40" s="4" t="inlineStr">
        <is>
          <t>放空</t>
        </is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kyec/dist/20261028_京元電個股模型_v0.2.2.xlsx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−25%～−50%</t>
        </is>
      </c>
      <c r="AK40" s="1" t="inlineStr">
        <is>
          <t>上檔空間 kyec/dist/20261028_京元電個股模型_v0.2.2.xlsx Val!B42；投資建議 kyec/dist/20261028_京元電個股模型_v0.2.2.xlsx Val!B50；級距 kyec/dist/20261028_京元電個股模型_v0.2.2.xlsx Val!B49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55.6688470720086</v>
      </c>
      <c r="G41" t="inlineStr">
        <is>
          <t>amkr/dist/20261028_艾克爾個股模型_v0.2.2.xlsx Val!B39</t>
        </is>
      </c>
      <c r="J41" s="4" t="n">
        <v>22.0213163292156</v>
      </c>
      <c r="K41" t="inlineStr">
        <is>
          <t>amkr/dist/20261028_艾克爾個股模型_v0.2.2.xlsx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0.41651010361345</v>
      </c>
      <c r="R41">
        <f>P41/N41-1</f>
        <v/>
      </c>
      <c r="S41" s="4" t="inlineStr">
        <is>
          <t>買進</t>
        </is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amkr/dist/20261028_艾克爾個股模型_v0.2.2.xlsx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25%–50%</t>
        </is>
      </c>
      <c r="AK41" s="1" t="inlineStr">
        <is>
          <t>上檔空間 amkr/dist/20261028_艾克爾個股模型_v0.2.2.xlsx Val!B42；投資建議 amkr/dist/20261028_艾克爾個股模型_v0.2.2.xlsx Val!B50；級距 amkr/dist/20261028_艾克爾個股模型_v0.2.2.xlsx Val!B49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5477.3858559129</v>
      </c>
      <c r="G42" t="inlineStr">
        <is>
          <t>emc/dist/20261028_台光電個股模型_v0.3.xlsx Val!B118</t>
        </is>
      </c>
      <c r="J42" s="4" t="n">
        <v>2690.62334592879</v>
      </c>
      <c r="K42" t="inlineStr">
        <is>
          <t>emc/dist/20261028_台光電個股模型_v0.3.xlsx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0.0803522398250287</v>
      </c>
      <c r="R42">
        <f>P42/N42-1</f>
        <v/>
      </c>
      <c r="S42" s="4" t="inlineStr">
        <is>
          <t>中立</t>
        </is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691.4638836018763</v>
      </c>
      <c r="AF42" s="4" t="n">
        <v>42.891099295</v>
      </c>
      <c r="AG42" t="inlineStr">
        <is>
          <t>[Derived] emc/dist/20261028_台光電個股模型_v0.3.xlsx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0%–25%</t>
        </is>
      </c>
      <c r="AK42" s="1" t="inlineStr">
        <is>
          <t>上檔空間 emc/dist/20261028_台光電個股模型_v0.3.xlsx Val!B121；投資建議 emc/dist/20261028_台光電個股模型_v0.3.xlsx Val!B132；級距 emc/dist/20261028_台光電個股模型_v0.3.xlsx Val!B131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724.143972489108</v>
      </c>
      <c r="G43" t="inlineStr">
        <is>
          <t>unimicron/dist/20261028_欣興個股模型_v0.2.xlsx Val!B39</t>
        </is>
      </c>
      <c r="J43" s="4" t="n">
        <v>218.045818267173</v>
      </c>
      <c r="K43" t="inlineStr">
        <is>
          <t>unimicron/dist/20261028_欣興個股模型_v0.2.xlsx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-0.332586200470868</v>
      </c>
      <c r="R43">
        <f>P43/N43-1</f>
        <v/>
      </c>
      <c r="S43" s="4" t="inlineStr">
        <is>
          <t>放空</t>
        </is>
      </c>
      <c r="V43" t="inlineStr">
        <is>
          <t>35.8 ／ 46.9 ／ 67.9</t>
        </is>
      </c>
      <c r="W43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742.8408312462974</v>
      </c>
      <c r="AF43" s="4" t="n">
        <v>26.2249677304969</v>
      </c>
      <c r="AG43" t="inlineStr">
        <is>
          <t>[Derived] unimicron/dist/20261028_欣興個股模型_v0.2.xlsx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−25%～−50%</t>
        </is>
      </c>
      <c r="AK43" s="1" t="inlineStr">
        <is>
          <t>上檔空間 unimicron/dist/20261028_欣興個股模型_v0.2.xlsx Val!B42；投資建議 unimicron/dist/20261028_欣興個股模型_v0.2.xlsx Val!B134；級距 unimicron/dist/20261028_欣興個股模型_v0.2.xlsx Val!B133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904.950368142567</v>
      </c>
      <c r="G44" t="inlineStr">
        <is>
          <t>nanya_pcb/dist/20261028_南電個股模型_v0.2.xlsx Val!B39</t>
        </is>
      </c>
      <c r="J44" s="4" t="n">
        <v>261.203089981269</v>
      </c>
      <c r="K44" t="inlineStr">
        <is>
          <t>nanya_pcb/dist/20261028_南電個股模型_v0.2.xlsx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-0.284624214907061</v>
      </c>
      <c r="R44">
        <f>P44/N44-1</f>
        <v/>
      </c>
      <c r="S44" s="4" t="inlineStr">
        <is>
          <t>放空</t>
        </is>
      </c>
      <c r="V44" t="inlineStr">
        <is>
          <t>35.2 ／ 41.4 ／ 54.4</t>
        </is>
      </c>
      <c r="W44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382.1897642771631</v>
      </c>
      <c r="AF44" s="4" t="n">
        <v>11.509862075</v>
      </c>
      <c r="AG44" t="inlineStr">
        <is>
          <t>[Derived] nanya_pcb/dist/20261028_南電個股模型_v0.2.xlsx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−25%～−50%</t>
        </is>
      </c>
      <c r="AK44" s="1" t="inlineStr">
        <is>
          <t>上檔空間 nanya_pcb/dist/20261028_南電個股模型_v0.2.xlsx Val!B42；投資建議 nanya_pcb/dist/20261028_南電個股模型_v0.2.xlsx Val!B134；級距 nanya_pcb/dist/20261028_南電個股模型_v0.2.xlsx Val!B133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1267.21703750953</v>
      </c>
      <c r="G45" t="inlineStr">
        <is>
          <t>gce/dist/20261028_金像電個股模型_v0.2.xlsx Val!B40</t>
        </is>
      </c>
      <c r="J45" s="4" t="n">
        <v>559.015397539127</v>
      </c>
      <c r="K45" t="inlineStr">
        <is>
          <t>gce/dist/20261028_金像電個股模型_v0.2.xlsx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0.136517522430072</v>
      </c>
      <c r="R45">
        <f>P45/N45-1</f>
        <v/>
      </c>
      <c r="S45" s="4" t="inlineStr">
        <is>
          <t>中立</t>
        </is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777.5639942335223</v>
      </c>
      <c r="AF45" s="4" t="n">
        <v>19.6977289395284</v>
      </c>
      <c r="AG45" t="inlineStr">
        <is>
          <t>[Derived] gce/dist/20261028_金像電個股模型_v0.2.xlsx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0%–25%</t>
        </is>
      </c>
      <c r="AK45" s="1" t="inlineStr">
        <is>
          <t>上檔空間 gce/dist/20261028_金像電個股模型_v0.2.xlsx Val!B43；投資建議 gce/dist/20261028_金像電個股模型_v0.2.xlsx Val!B119；級距 gce/dist/20261028_金像電個股模型_v0.2.xlsx Val!B118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322.843759551251</v>
      </c>
      <c r="G46" t="inlineStr">
        <is>
          <t>victory_giant/dist/20261028_勝宏科技個股模型_v0.1.2.xlsx Val!B39</t>
        </is>
      </c>
      <c r="J46" s="4" t="n">
        <v>98.54908044337679</v>
      </c>
      <c r="K46" t="inlineStr">
        <is>
          <t>victory_giant/dist/20261028_勝宏科技個股模型_v0.1.2.xlsx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0.7595583145370099</v>
      </c>
      <c r="R46">
        <f>P46/N46-1</f>
        <v/>
      </c>
      <c r="S46" s="4" t="inlineStr">
        <is>
          <t>強力買進</t>
        </is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253.1375330231432</v>
      </c>
      <c r="AF46" s="4" t="n">
        <v>6.5441924845173</v>
      </c>
      <c r="AG46" t="inlineStr">
        <is>
          <t>[Derived] victory_giant/dist/20261028_勝宏科技個股模型_v0.1.2.xlsx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大於 50%</t>
        </is>
      </c>
      <c r="AK46" s="1" t="inlineStr">
        <is>
          <t>上檔空間 victory_giant/dist/20261028_勝宏科技個股模型_v0.1.2.xlsx Val!B42；投資建議 victory_giant/dist/20261028_勝宏科技個股模型_v0.1.2.xlsx Val!B119；級距 victory_giant/dist/20261028_勝宏科技個股模型_v0.1.2.xlsx Val!B118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1126.49336848612</v>
      </c>
      <c r="G47" t="inlineStr">
        <is>
          <t>asml/dist/20261028_ASML個股模型_v0.2.2.xlsx Val!B115</t>
        </is>
      </c>
      <c r="J47" s="4" t="n">
        <v>506.037679478892</v>
      </c>
      <c r="K47" t="inlineStr">
        <is>
          <t>asml/dist/20261028_ASML個股模型_v0.2.2.xlsx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-0.199478845589741</v>
      </c>
      <c r="R47">
        <f>P47/N47-1</f>
        <v/>
      </c>
      <c r="S47" s="4" t="inlineStr">
        <is>
          <t>中立</t>
        </is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asml/dist/20261028_ASML個股模型_v0.2.2.xlsx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0%～−25%</t>
        </is>
      </c>
      <c r="AK47" s="1" t="inlineStr">
        <is>
          <t>上檔空間 asml/dist/20261028_ASML個股模型_v0.2.2.xlsx Val!B118；投資建議 asml/dist/20261028_ASML個股模型_v0.2.2.xlsx Val!B126；級距 asml/dist/20261028_ASML個股模型_v0.2.2.xlsx Val!B125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351.972505028033</v>
      </c>
      <c r="G48" t="inlineStr">
        <is>
          <t>amat/dist/20261028_應用材料個股模型_v0.3.xlsx Val!B136</t>
        </is>
      </c>
      <c r="J48" s="4" t="n">
        <v>160.769815499115</v>
      </c>
      <c r="K48" t="inlineStr">
        <is>
          <t>amat/dist/20261028_應用材料個股模型_v0.3.xlsx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-0.0669798933622297</v>
      </c>
      <c r="R48">
        <f>P48/N48-1</f>
        <v/>
      </c>
      <c r="S48" s="4" t="inlineStr">
        <is>
          <t>中立</t>
        </is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amat/dist/20261028_應用材料個股模型_v0.3.xlsx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0%～−25%</t>
        </is>
      </c>
      <c r="AK48" s="1" t="inlineStr">
        <is>
          <t>上檔空間 amat/dist/20261028_應用材料個股模型_v0.3.xlsx Val!B139；投資建議 amat/dist/20261028_應用材料個股模型_v0.3.xlsx Val!B147；級距 amat/dist/20261028_應用材料個股模型_v0.3.xlsx Val!B146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202.859992549315</v>
      </c>
      <c r="G49" t="inlineStr">
        <is>
          <t>lrcx/dist/20261025_科林研發模型_v0.2.1.xlsx Val!B128</t>
        </is>
      </c>
      <c r="J49" s="4" t="n">
        <v>85.7603441123795</v>
      </c>
      <c r="K49" t="inlineStr">
        <is>
          <t>lrcx/dist/20261025_科林研發模型_v0.2.1.xlsx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-0.118383343983856</v>
      </c>
      <c r="R49">
        <f>P49/N49-1</f>
        <v/>
      </c>
      <c r="S49" s="4" t="inlineStr">
        <is>
          <t>中立</t>
        </is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lrcx/dist/20261025_科林研發模型_v0.2.1.xlsx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0%～−25%</t>
        </is>
      </c>
      <c r="AK49" s="1" t="inlineStr">
        <is>
          <t>上檔空間 lrcx/dist/20261025_科林研發模型_v0.2.1.xlsx Val!B131；投資建議 lrcx/dist/20261025_科林研發模型_v0.2.1.xlsx Val!B139；級距 lrcx/dist/20261025_科林研發模型_v0.2.1.xlsx Val!B138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121.381279915322</v>
      </c>
      <c r="G50" t="inlineStr">
        <is>
          <t>klac/dist/20261028_科磊個股模型_v0.2.2.xlsx Val!B129</t>
        </is>
      </c>
      <c r="J50" s="4" t="n">
        <v>57.6757051396901</v>
      </c>
      <c r="K50" t="inlineStr">
        <is>
          <t>klac/dist/20261028_科磊個股模型_v0.2.2.xlsx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-0.166394616335952</v>
      </c>
      <c r="R50">
        <f>P50/N50-1</f>
        <v/>
      </c>
      <c r="S50" s="4" t="inlineStr">
        <is>
          <t>中立</t>
        </is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klac/dist/20261028_科磊個股模型_v0.2.2.xlsx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klac/dist/20261028_科磊個股模型_v0.2.2.xlsx Val!B132；投資建議 klac/dist/20261028_科磊個股模型_v0.2.2.xlsx Val!B140；級距 klac/dist/20261028_科磊個股模型_v0.2.2.xlsx Val!B139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48379.3271291536</v>
      </c>
      <c r="G51" t="inlineStr">
        <is>
          <t>hanmi/dist/20261028_韓美半導體個股模型_v0.2.3.xlsx Val!B111</t>
        </is>
      </c>
      <c r="J51" s="4" t="n">
        <v>16072.8325490973</v>
      </c>
      <c r="K51" t="inlineStr">
        <is>
          <t>hanmi/dist/20261028_韓美半導體個股模型_v0.2.3.xlsx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-0.743345744672925</v>
      </c>
      <c r="R51">
        <f>P51/N51-1</f>
        <v/>
      </c>
      <c r="S51" s="4" t="inlineStr">
        <is>
          <t>強力放空</t>
        </is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hanmi/dist/20261028_韓美半導體個股模型_v0.2.3.xlsx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小於 −50%</t>
        </is>
      </c>
      <c r="AK51" s="1" t="inlineStr">
        <is>
          <t>上檔空間 hanmi/dist/20261028_韓美半導體個股模型_v0.2.3.xlsx Val!B114；投資建議 hanmi/dist/20261028_韓美半導體個股模型_v0.2.3.xlsx Val!B123；級距 hanmi/dist/20261028_韓美半導體個股模型_v0.2.3.xlsx Val!B122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312.24974554145</v>
      </c>
      <c r="G52" t="inlineStr">
        <is>
          <t>ter/dist/20261028_泰瑞達個股模型_v0.2.xlsx Val!B126</t>
        </is>
      </c>
      <c r="J52" s="4" t="n">
        <v>153.841873065318</v>
      </c>
      <c r="K52" t="inlineStr">
        <is>
          <t>ter/dist/20261028_泰瑞達個股模型_v0.2.xlsx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0.0110077563265327</v>
      </c>
      <c r="R52">
        <f>P52/N52-1</f>
        <v/>
      </c>
      <c r="S52" s="4" t="inlineStr">
        <is>
          <t>中立</t>
        </is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ter/dist/20261028_泰瑞達個股模型_v0.2.xlsx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0%–25%</t>
        </is>
      </c>
      <c r="AK52" s="1" t="inlineStr">
        <is>
          <t>上檔空間 ter/dist/20261028_泰瑞達個股模型_v0.2.xlsx Val!B129；投資建議 ter/dist/20261028_泰瑞達個股模型_v0.2.xlsx Val!B138；級距 ter/dist/20261028_泰瑞達個股模型_v0.2.xlsx Val!B137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133.694918094684</v>
      </c>
      <c r="G53" t="inlineStr">
        <is>
          <t>besi/dist/20261025_BESI模型_v0.1.1.xlsx Val!B112</t>
        </is>
      </c>
      <c r="J53" s="4" t="n">
        <v>44.8181747206361</v>
      </c>
      <c r="K53" t="inlineStr">
        <is>
          <t>besi/dist/20261025_BESI模型_v0.1.1.xlsx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-0.0786015293267841</v>
      </c>
      <c r="R53">
        <f>P53/N53-1</f>
        <v/>
      </c>
      <c r="S53" s="4" t="inlineStr">
        <is>
          <t>中立</t>
        </is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0%～−25%</t>
        </is>
      </c>
      <c r="AK53" s="1" t="inlineStr">
        <is>
          <t>上檔空間 besi/dist/20261025_BESI模型_v0.1.1.xlsx Val!B115；投資建議 besi/dist/20261025_BESI模型_v0.1.1.xlsx Val!B124；級距 besi/dist/20261025_BESI模型_v0.1.1.xlsx Val!B123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1725.84500411319</v>
      </c>
      <c r="G54" t="inlineStr">
        <is>
          <t>towa/dist/20261028_TOWA個股模型_v0.2.xlsx Val!B39</t>
        </is>
      </c>
      <c r="J54" s="4" t="n">
        <v>759.567964433826</v>
      </c>
      <c r="K54" t="inlineStr">
        <is>
          <t>towa/dist/20261028_TOWA個股模型_v0.2.xlsx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-0.123046237747364</v>
      </c>
      <c r="R54">
        <f>P54/N54-1</f>
        <v/>
      </c>
      <c r="S54" s="4" t="inlineStr">
        <is>
          <t>中立</t>
        </is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towa/dist/20261028_TOWA個股模型_v0.2.xlsx PL!D16…PL!G48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0%～−25%</t>
        </is>
      </c>
      <c r="AK54" s="1" t="inlineStr">
        <is>
          <t>上檔空間 towa/dist/20261028_TOWA個股模型_v0.2.xlsx Val!B42；投資建議 towa/dist/20261028_TOWA個股模型_v0.2.xlsx Val!B125；級距 towa/dist/20261028_TOWA個股模型_v0.2.xlsx Val!B124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19528.0923097883</v>
      </c>
      <c r="G55" t="inlineStr">
        <is>
          <t>accretech/dist/20261028_東京精密個股模型_v0.1.2.xlsx Val!B40</t>
        </is>
      </c>
      <c r="J55" s="4" t="n">
        <v>6136.30379041145</v>
      </c>
      <c r="K55" t="inlineStr">
        <is>
          <t>accretech/dist/20261028_東京精密個股模型_v0.1.2.xlsx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0.258253370476048</v>
      </c>
      <c r="R55">
        <f>P55/N55-1</f>
        <v/>
      </c>
      <c r="S55" s="4" t="inlineStr">
        <is>
          <t>買進</t>
        </is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accretech/dist/20261028_東京精密個股模型_v0.1.2.xlsx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25%–50%</t>
        </is>
      </c>
      <c r="AK55" s="1" t="inlineStr">
        <is>
          <t>上檔空間 accretech/dist/20261028_東京精密個股模型_v0.1.2.xlsx Val!B43；投資建議 accretech/dist/20261028_東京精密個股模型_v0.1.2.xlsx Val!B116；級距 accretech/dist/20261028_東京精密個股模型_v0.1.2.xlsx Val!B115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349.917288066707</v>
      </c>
      <c r="G56" t="inlineStr">
        <is>
          <t>foxconn/dist/20261028_鴻海個股模型_v0.3.xlsx Val!B120</t>
        </is>
      </c>
      <c r="J56" s="4" t="n">
        <v>209.885963820218</v>
      </c>
      <c r="K56" t="inlineStr">
        <is>
          <t>foxconn/dist/20261028_鴻海個股模型_v0.3.xlsx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0.4282338288437</v>
      </c>
      <c r="R56">
        <f>P56/N56-1</f>
        <v/>
      </c>
      <c r="S56" s="4" t="inlineStr">
        <is>
          <t>買進</t>
        </is>
      </c>
      <c r="T56">
        <f>261.429965980012/N56-1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3063.319471023561</v>
      </c>
      <c r="AF56" s="4" t="n">
        <v>275.25708735</v>
      </c>
      <c r="AG56" t="inlineStr">
        <is>
          <t>[Derived] foxconn/dist/20261028_鴻海個股模型_v0.3.xlsx PL!D17…PL!G51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25%–50%</t>
        </is>
      </c>
      <c r="AK56" s="1" t="inlineStr">
        <is>
          <t>上檔空間 foxconn/dist/20261028_鴻海個股模型_v0.3.xlsx Val!B123；投資建議 foxconn/dist/20261028_鴻海個股模型_v0.3.xlsx Val!B136；級距 foxconn/dist/20261028_鴻海個股模型_v0.3.xlsx Val!B135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349.418497840522</v>
      </c>
      <c r="G57" t="inlineStr">
        <is>
          <t>wistron/dist/20261028_緯創個股模型_v0.2.xlsx Val!B39</t>
        </is>
      </c>
      <c r="J57" s="4" t="n">
        <v>250.722079146534</v>
      </c>
      <c r="K57" t="inlineStr">
        <is>
          <t>wistron/dist/20261028_緯創個股模型_v0.2.xlsx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0.8390447254764331</v>
      </c>
      <c r="R57">
        <f>P57/N57-1</f>
        <v/>
      </c>
      <c r="S57" s="4" t="inlineStr">
        <is>
          <t>強力買進</t>
        </is>
      </c>
      <c r="V57" t="inlineStr">
        <is>
          <t>5.8 ／ 7.1 ／ 9.3</t>
        </is>
      </c>
      <c r="W57" s="1" t="inlineStr">
        <is>
          <t>DCF 目標價 390.0（Val!B24）；Comparable 目標價 308.8（Val!B40）；市場共識目標價 268.7（Val!B41，外部、僅供對照）；價格帶 C～A 情境 DCF 250.7～485.5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1660.535735525453</v>
      </c>
      <c r="AF57" s="4" t="n">
        <v>59.6707048338912</v>
      </c>
      <c r="AG57" t="inlineStr">
        <is>
          <t>[Derived] wistron/dist/20261028_緯創個股模型_v0.2.xlsx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大於 50%</t>
        </is>
      </c>
      <c r="AK57" s="1" t="inlineStr">
        <is>
          <t>上檔空間 wistron/dist/20261028_緯創個股模型_v0.2.xlsx Val!B42；投資建議 wistron/dist/20261028_緯創個股模型_v0.2.xlsx Val!B136；級距 wistron/dist/20261028_緯創個股模型_v0.2.xlsx Val!B135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3314.42332268005</v>
      </c>
      <c r="G58" t="inlineStr">
        <is>
          <t>wiwynn/dist/20261028_緯穎個股模型_v0.1.2.xlsx Val!B39</t>
        </is>
      </c>
      <c r="J58" s="4" t="n">
        <v>2411.99384333378</v>
      </c>
      <c r="K58" t="inlineStr">
        <is>
          <t>wiwynn/dist/20261028_緯穎個股模型_v0.1.2.xlsx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0.801317023195682</v>
      </c>
      <c r="R58">
        <f>P58/N58-1</f>
        <v/>
      </c>
      <c r="S58" s="4" t="inlineStr">
        <is>
          <t>強力買進</t>
        </is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2434.816945249128</v>
      </c>
      <c r="AF58" s="4" t="n">
        <v>77.0324485376</v>
      </c>
      <c r="AG58" t="inlineStr">
        <is>
          <t>[Derived] wiwynn/dist/20261028_緯穎個股模型_v0.1.2.xlsx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大於 50%</t>
        </is>
      </c>
      <c r="AK58" s="1" t="inlineStr">
        <is>
          <t>上檔空間 wiwynn/dist/20261028_緯穎個股模型_v0.1.2.xlsx Val!B42；投資建議 wiwynn/dist/20261028_緯穎個股模型_v0.1.2.xlsx Val!B136；級距 wiwynn/dist/20261028_緯穎個股模型_v0.1.2.xlsx Val!B135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378.124733282739</v>
      </c>
      <c r="G59" t="inlineStr">
        <is>
          <t>dell/dist/20261028_戴爾個股模型_v0.1.1.xlsx Val!B39</t>
        </is>
      </c>
      <c r="J59" s="4" t="n">
        <v>294.174960847299</v>
      </c>
      <c r="K59" t="inlineStr">
        <is>
          <t>dell/dist/20261028_戴爾個股模型_v0.1.1.xlsx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-0.171578447807512</v>
      </c>
      <c r="R59">
        <f>P59/N59-1</f>
        <v/>
      </c>
      <c r="S59" s="4" t="inlineStr">
        <is>
          <t>中立</t>
        </is>
      </c>
      <c r="V59" t="inlineStr">
        <is>
          <t>14.6 ／ 14.6 ／ 14.6</t>
        </is>
      </c>
      <c r="W59" s="1" t="inlineStr">
        <is>
          <t>DCF 目標價 425.0（Val!B24）；Comparable 目標價 331.3（Val!B40）；市場共識目標價 593.0（Val!B41，外部、僅供對照）；價格帶 C～A 情境 DCF 294.2～529.2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252.4599787054823</v>
      </c>
      <c r="AF59" s="4" t="n">
        <v>12.345214564461</v>
      </c>
      <c r="AG59" t="inlineStr">
        <is>
          <t>[Derived] dell/dist/20261028_戴爾個股模型_v0.1.1.xlsx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0%～−25%</t>
        </is>
      </c>
      <c r="AK59" s="1" t="inlineStr">
        <is>
          <t>上檔空間 dell/dist/20261028_戴爾個股模型_v0.1.1.xlsx Val!B42；投資建議 dell/dist/20261028_戴爾個股模型_v0.1.1.xlsx Val!B49；級距 dell/dist/20261028_戴爾個股模型_v0.1.1.xlsx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76.5884933063349</v>
      </c>
      <c r="G60" t="inlineStr">
        <is>
          <t>smci/dist/20261028_美超微個股模型_v0.1.2.xlsx Val!B39</t>
        </is>
      </c>
      <c r="J60" s="4" t="n">
        <v>31.419993199526</v>
      </c>
      <c r="K60" t="inlineStr">
        <is>
          <t>smci/dist/20261028_美超微個股模型_v0.1.2.xlsx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1.32509087147343</v>
      </c>
      <c r="R60">
        <f>P60/N60-1</f>
        <v/>
      </c>
      <c r="S60" s="4" t="inlineStr">
        <is>
          <t>強力買進</t>
        </is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smci/dist/20261028_美超微個股模型_v0.1.2.xlsx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smci/dist/20261028_美超微個股模型_v0.1.2.xlsx Val!B42；投資建議 smci/dist/20261028_美超微個股模型_v0.1.2.xlsx Val!B136；級距 smci/dist/20261028_美超微個股模型_v0.1.2.xlsx Val!B135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3965.52216912283</v>
      </c>
      <c r="G61" t="inlineStr">
        <is>
          <t>avc/dist/20261028_奇鋐個股模型_v0.2.2.xlsx Val!B119</t>
        </is>
      </c>
      <c r="J61" s="4" t="n">
        <v>1834.66717881609</v>
      </c>
      <c r="K61" t="inlineStr">
        <is>
          <t>avc/dist/20261028_奇鋐個股模型_v0.2.2.xlsx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0.260897351072441</v>
      </c>
      <c r="R61">
        <f>P61/N61-1</f>
        <v/>
      </c>
      <c r="S61" s="4" t="inlineStr">
        <is>
          <t>買進</t>
        </is>
      </c>
      <c r="T61">
        <f>2031.07059401483/N61-1</f>
        <v/>
      </c>
      <c r="U61" t="inlineStr">
        <is>
          <t>舊法：規則值情境加權價（參考，Val!B75）</t>
        </is>
      </c>
      <c r="V61" t="inlineStr">
        <is>
          <t>14.0 ／ 17.7 ／ 24.1</t>
        </is>
      </c>
      <c r="W61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10 個情境年度淨利（不含實績），全部為正</t>
        </is>
      </c>
      <c r="AE61" s="4" t="n">
        <v>671.2521938360476</v>
      </c>
      <c r="AF61" s="4" t="n">
        <v>41.5923093275</v>
      </c>
      <c r="AG61" t="inlineStr">
        <is>
          <t>[Derived] avc/dist/20261028_奇鋐個股模型_v0.2.2.xlsx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25%–50%</t>
        </is>
      </c>
      <c r="AK61" s="1" t="inlineStr">
        <is>
          <t>上檔空間 avc/dist/20261028_奇鋐個股模型_v0.2.2.xlsx Val!B122；投資建議 avc/dist/20261028_奇鋐個股模型_v0.2.2.xlsx Val!B135；級距 avc/dist/20261028_奇鋐個股模型_v0.2.2.xlsx Val!B134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423.55158041803</v>
      </c>
      <c r="G62" t="inlineStr">
        <is>
          <t>liteon/dist/20261028_光寶個股模型_v0.2.xlsx Val!B40</t>
        </is>
      </c>
      <c r="J62" s="4" t="n">
        <v>120.655384312938</v>
      </c>
      <c r="K62" t="inlineStr">
        <is>
          <t>liteon/dist/20261028_光寶個股模型_v0.2.xlsx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0.657736126880745</v>
      </c>
      <c r="R62">
        <f>P62/N62-1</f>
        <v/>
      </c>
      <c r="S62" s="4" t="inlineStr">
        <is>
          <t>強力買進</t>
        </is>
      </c>
      <c r="V62" t="inlineStr">
        <is>
          <t>8.5 ／ 12.2 ／ 18.7</t>
        </is>
      </c>
      <c r="W62" s="1" t="inlineStr">
        <is>
          <t>DCF 目標價 318.4（Val!B24）；Comparable 目標價 528.7（Val!B41）；市場共識目標價 314.2（Val!B42，外部、僅供對照）；價格帶 C～A 情境 DCF 120.7～530.4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1036.70410106156</v>
      </c>
      <c r="AF62" s="4" t="n">
        <v>20.4329207236288</v>
      </c>
      <c r="AG62" t="inlineStr">
        <is>
          <t>[Derived] liteon/dist/20261028_光寶個股模型_v0.2.xlsx PL!D16…PL!J50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liteon/dist/20261028_光寶個股模型_v0.2.xlsx Val!B43；投資建議 liteon/dist/20261028_光寶個股模型_v0.2.xlsx Val!B119；級距 liteon/dist/20261028_光寶個股模型_v0.2.xlsx Val!B118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2768.77367482094</v>
      </c>
      <c r="G63" t="inlineStr">
        <is>
          <t>auras/dist/20261028_雙鴻個股模型_v0.1.2.xlsx Val!B39</t>
        </is>
      </c>
      <c r="J63" s="4" t="n">
        <v>700.0594830373281</v>
      </c>
      <c r="K63" t="inlineStr">
        <is>
          <t>auras/dist/20261028_雙鴻個股模型_v0.1.2.xlsx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1.03586299619187</v>
      </c>
      <c r="R63">
        <f>P63/N63-1</f>
        <v/>
      </c>
      <c r="S63" s="4" t="inlineStr">
        <is>
          <t>強力買進</t>
        </is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106.7851434762806</v>
      </c>
      <c r="AF63" s="4" t="n">
        <v>4.923841117248</v>
      </c>
      <c r="AG63" t="inlineStr">
        <is>
          <t>[Derived] auras/dist/20261028_雙鴻個股模型_v0.1.2.xlsx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大於 50%</t>
        </is>
      </c>
      <c r="AK63" s="1" t="inlineStr">
        <is>
          <t>上檔空間 auras/dist/20261028_雙鴻個股模型_v0.1.2.xlsx Val!B42；投資建議 auras/dist/20261028_雙鴻個股模型_v0.1.2.xlsx Val!B130；級距 auras/dist/20261028_雙鴻個股模型_v0.1.2.xlsx Val!B129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3902.82839585769</v>
      </c>
      <c r="G64" t="inlineStr">
        <is>
          <t>jentech/dist/20261028_健策個股模型_v0.1.2.xlsx Val!B40</t>
        </is>
      </c>
      <c r="J64" s="4" t="n">
        <v>1351.67225447468</v>
      </c>
      <c r="K64" t="inlineStr">
        <is>
          <t>jentech/dist/20261028_健策個股模型_v0.1.2.xlsx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-0.3570299183101</v>
      </c>
      <c r="R64">
        <f>P64/N64-1</f>
        <v/>
      </c>
      <c r="S64" s="4" t="inlineStr">
        <is>
          <t>放空</t>
        </is>
      </c>
      <c r="V64" t="inlineStr">
        <is>
          <t>23.4 ／ 36.4 ／ 60.3</t>
        </is>
      </c>
      <c r="W64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569.3703689419929</v>
      </c>
      <c r="AF64" s="4" t="n">
        <v>10.3442061825</v>
      </c>
      <c r="AG64" t="inlineStr">
        <is>
          <t>[Derived] jentech/dist/20261028_健策個股模型_v0.1.2.xlsx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−25%～−50%</t>
        </is>
      </c>
      <c r="AK64" s="1" t="inlineStr">
        <is>
          <t>上檔空間 jentech/dist/20261028_健策個股模型_v0.1.2.xlsx Val!B43；投資建議 jentech/dist/20261028_健策個股模型_v0.1.2.xlsx Val!B46；級距 jentech/dist/20261028_健策個股模型_v0.1.2.xlsx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2026-10-29T01:06:48Z</dcterms:created>
  <dcterms:modified xmlns:dcterms="http://purl.org/dc/terms/" xmlns:xsi="http://www.w3.org/2001/XMLSchema-instance" xsi:type="dcterms:W3CDTF">2026-10-29T01:06:48Z</dcterms:modified>
</cp:coreProperties>
</file>