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v0.6（20261027）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價值鏈!F8</f>
        <v/>
      </c>
      <c r="J40">
        <f>價值鏈!G8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價值鏈!F8</f>
        <v/>
      </c>
      <c r="J41">
        <f>價值鏈!G8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價值鏈!F9</f>
        <v/>
      </c>
      <c r="J42">
        <f>價值鏈!G9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價值鏈!F9</f>
        <v/>
      </c>
      <c r="J43">
        <f>價值鏈!G9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價值鏈!F13</f>
        <v/>
      </c>
      <c r="J47">
        <f>價值鏈!G13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價值鏈!F13</f>
        <v/>
      </c>
      <c r="J48">
        <f>價值鏈!G13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價值鏈!F11</f>
        <v/>
      </c>
      <c r="J56">
        <f>價值鏈!G11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價值鏈!F11</f>
        <v/>
      </c>
      <c r="J57">
        <f>價值鏈!G11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價值鏈!F10</f>
        <v/>
      </c>
      <c r="J61">
        <f>價值鏈!G10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價值鏈!F10</f>
        <v/>
      </c>
      <c r="J62">
        <f>價值鏈!G10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nvidia/dist/20261025_NVIDIA模型_v0.2.1.xlsx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samsung/dist/20261025_三星電子模型_v0.3.1.xlsx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micron/dist/20261025_美光模型_v0.4.1.xlsx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tsmc/dist/20261025_台積電模型_v0.3.1.xlsx In!E135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innolight/dist/20261026_中際旭創模型_v0.2.2.xlsx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delta/dist/20261025_台達電模型_v0.2.1.xlsx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advantest/dist/20261025_Advantest模型_v0.3.1.xlsx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532.6</v>
      </c>
      <c r="D15" t="inlineStr">
        <is>
          <t>2026-10-26</t>
        </is>
      </c>
      <c r="E15" t="inlineStr">
        <is>
          <t>microsoft/dist/20261027_Microsoft個股模型_v0.3.xlsx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316.8</v>
      </c>
      <c r="D17" t="inlineStr">
        <is>
          <t>2026-10-26</t>
        </is>
      </c>
      <c r="E17" t="inlineStr">
        <is>
          <t>alphabet/dist/20261027_Alphabet個股模型_v0.3.xlsx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oracle/dist/20261027_Oracle個股模型_v0.4.xlsx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nebius/dist/20261022_Nebius收支模型_v0_5_1.xlsx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amd/dist/20261025_AMD模型_v0.2.2.xlsx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mrvl/dist/20261026_邁威爾模型_v0.2.2.xlsx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kioxia/dist/20261025_Kioxia模型_v0.1.xlsx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sndk/dist/20261025_SanDisk模型_v0.1.xlsx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cohr/dist/20261026_Coherent模型_v0.2.2.xlsx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lite/dist/20261026_Lumentum模型_v0.2.2.xlsx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eoptolink/dist/20261026_新易盛模型_v0.2.2.xlsx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accton/dist/20261025_智邦模型_v0.2.1.xlsx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fabrinet/dist/20261026_Fabrinet模型_v0.1.2.xlsx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crdo/dist/20261026_Credo模型_v0.2.2.xlsx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kyec/dist/20261025_京元電模型_v0.2.1.xlsx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amkr/dist/20261025_艾克爾模型_v0.2.1.xlsx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emc/dist/20261025_台光電模型_v0.2.1.xlsx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asml/dist/20261025_ASML模型_v0.2.1.xlsx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amat/dist/20261025_應用材料模型_v0.2.1.xlsx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lrcx/dist/20261025_科林研發模型_v0.2.1.xlsx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klac/dist/20261025_科磊模型_v0.2.1.xlsx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hanmi/dist/20261025_韓美半導體模型_v0.2.2.xlsx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foxconn/dist/20261025_鴻海模型_v0.2.1.xlsx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avc/dist/20261025_奇鋐模型_v0.2.1.xlsx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liteon/dist/20261025_光寶模型_v0.1.1.xlsx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nvidia/dist/20261025_NVIDIA模型_v0.2.1.xlsx Val!B40</t>
        </is>
      </c>
      <c r="J2" s="4" t="n">
        <v>128.622689303977</v>
      </c>
      <c r="K2" t="inlineStr">
        <is>
          <t>nvidia/dist/20261025_NVIDIA模型_v0.2.1.xlsx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 s="4" t="inlineStr">
        <is>
          <t>中立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nvidia/dist/20261025_NVIDIA模型_v0.2.1.xlsx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0%–25%</t>
        </is>
      </c>
      <c r="AK2" s="1" t="inlineStr">
        <is>
          <t>上檔空間 nvidia/dist/20261025_NVIDIA模型_v0.2.1.xlsx Val!B43；投資建議 nvidia/dist/20261025_NVIDIA模型_v0.2.1.xlsx Val!B179；級距 nvidia/dist/20261025_NVIDIA模型_v0.2.1.xlsx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avgo/dist/20261025_Broadcom模型_v0.2.1.xlsx Val!B40</t>
        </is>
      </c>
      <c r="J3" s="4" t="n">
        <v>221.914547314327</v>
      </c>
      <c r="K3" t="inlineStr">
        <is>
          <t>avgo/dist/20261025_Broadcom模型_v0.2.1.xlsx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0%–25%</t>
        </is>
      </c>
      <c r="AK3" s="1" t="inlineStr">
        <is>
          <t>上檔空間 avgo/dist/20261025_Broadcom模型_v0.2.1.xlsx Val!B43；投資建議 avgo/dist/20261025_Broadcom模型_v0.2.1.xlsx Val!B113；級距 avgo/dist/20261025_Broadcom模型_v0.2.1.xlsx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skhynix/dist/20261025_SK海力士模型_v0.5.1.xlsx Val!B161</t>
        </is>
      </c>
      <c r="J4" s="4" t="n">
        <v>1308904.14697498</v>
      </c>
      <c r="K4" t="inlineStr">
        <is>
          <t>skhynix/dist/20261025_SK海力士模型_v0.5.1.xlsx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 s="4" t="inlineStr">
        <is>
          <t>強力買進</t>
        </is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skhynix/dist/20261025_SK海力士模型_v0.5.1.xlsx Val!B164；投資建議 skhynix/dist/20261025_SK海力士模型_v0.5.1.xlsx Val!B185；級距 skhynix/dist/20261025_SK海力士模型_v0.5.1.xlsx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samsung/dist/20261025_三星電子模型_v0.3.1.xlsx Val!B161</t>
        </is>
      </c>
      <c r="J5" s="4" t="n">
        <v>218882.499300042</v>
      </c>
      <c r="K5" t="inlineStr">
        <is>
          <t>samsung/dist/20261025_三星電子模型_v0.3.1.xlsx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 s="4" t="inlineStr">
        <is>
          <t>強力買進</t>
        </is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samsung/dist/20261025_三星電子模型_v0.3.1.xlsx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samsung/dist/20261025_三星電子模型_v0.3.1.xlsx Val!B164；投資建議 samsung/dist/20261025_三星電子模型_v0.3.1.xlsx Val!B185；級距 samsung/dist/20261025_三星電子模型_v0.3.1.xlsx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micron/dist/20261025_美光模型_v0.4.1.xlsx Val!B208</t>
        </is>
      </c>
      <c r="J6" s="4" t="n">
        <v>321.896486338575</v>
      </c>
      <c r="K6" t="inlineStr">
        <is>
          <t>micron/dist/20261025_美光模型_v0.4.1.xlsx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micron/dist/20261025_美光模型_v0.4.1.xlsx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micron/dist/20261025_美光模型_v0.4.1.xlsx Val!B211；投資建議 micron/dist/20261025_美光模型_v0.4.1.xlsx Val!B232；級距 micron/dist/20261025_美光模型_v0.4.1.xlsx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2446.02329898547</v>
      </c>
      <c r="G7" t="inlineStr">
        <is>
          <t>tsmc/dist/20261025_台積電模型_v0.3.1.xlsx Val!B94</t>
        </is>
      </c>
      <c r="J7" s="4" t="n">
        <v>1495.88897703241</v>
      </c>
      <c r="K7" t="inlineStr">
        <is>
          <t>tsmc/dist/20261025_台積電模型_v0.3.1.xlsx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0.0255862888827967</v>
      </c>
      <c r="R7">
        <f>P7/N7-1</f>
        <v/>
      </c>
      <c r="S7" s="4" t="inlineStr">
        <is>
          <t>中立</t>
        </is>
      </c>
      <c r="T7">
        <f>3022.97680876707/N7-1</f>
        <v/>
      </c>
      <c r="U7" t="inlineStr">
        <is>
          <t>舊法：規則值情境加權價（參考，Val!B107）</t>
        </is>
      </c>
      <c r="W7" s="1" t="inlineStr">
        <is>
          <t>DCF 目標價 2,150.2（Val!B79）；Comparable 目標價 2,741.9（Val!B95）；市場共識目標價 3,390.4（Val!B96，外部、僅供對照）；價格帶 C～A 情境 DCF 1,495.9～2,769.1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2206.965905618294</v>
      </c>
      <c r="AF7" s="4" t="n">
        <v>84.633409367754</v>
      </c>
      <c r="AG7" t="inlineStr">
        <is>
          <t>[Derived] tsmc/dist/20261025_台積電模型_v0.3.1.xlsx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tsmc/dist/20261025_台積電模型_v0.3.1.xlsx Val!B97；投資建議 tsmc/dist/20261025_台積電模型_v0.3.1.xlsx Val!B116；級距 tsmc/dist/20261025_台積電模型_v0.3.1.xlsx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arista/dist/20261025_Arista模型_v0.2.1.xlsx Val!B40</t>
        </is>
      </c>
      <c r="J8" s="4" t="n">
        <v>66.5504868771763</v>
      </c>
      <c r="K8" t="inlineStr">
        <is>
          <t>arista/dist/20261025_Arista模型_v0.2.1.xlsx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 s="4" t="inlineStr">
        <is>
          <t>放空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−25%～−50%</t>
        </is>
      </c>
      <c r="AK8" s="1" t="inlineStr">
        <is>
          <t>上檔空間 arista/dist/20261025_Arista模型_v0.2.1.xlsx Val!B43；投資建議 arista/dist/20261025_Arista模型_v0.2.1.xlsx Val!B53；級距 arista/dist/20261025_Arista模型_v0.2.1.xlsx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1343.19997585911</v>
      </c>
      <c r="G9" t="inlineStr">
        <is>
          <t>innolight/dist/20261026_中際旭創模型_v0.2.2.xlsx Val!B39</t>
        </is>
      </c>
      <c r="J9" s="4" t="n">
        <v>503.748980706021</v>
      </c>
      <c r="K9" t="inlineStr">
        <is>
          <t>innolight/dist/20261026_中際旭創模型_v0.2.2.xlsx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1.19251420246985</v>
      </c>
      <c r="R9">
        <f>P9/N9-1</f>
        <v/>
      </c>
      <c r="S9" s="4" t="inlineStr">
        <is>
          <t>強力買進</t>
        </is>
      </c>
      <c r="T9">
        <f>2256.55339542562/N9-1</f>
        <v/>
      </c>
      <c r="U9" t="inlineStr">
        <is>
          <t>舊法：規則值情境加權價（參考，Val!B133）</t>
        </is>
      </c>
      <c r="V9" t="inlineStr">
        <is>
          <t>12.7 ／ 15.5 ／ 20.7</t>
        </is>
      </c>
      <c r="W9" s="1" t="inlineStr">
        <is>
          <t>DCF 目標價 822.8（Val!B24）；Comparable 目標價 1,863.6（Val!B40）；市場共識目標價 1,321.0（Val!B41，外部、僅供對照）；價格帶 C～A 情境 DCF 503.7～1,016.9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1134.801727141911</v>
      </c>
      <c r="AF9" s="4" t="n">
        <v>31.8281188474012</v>
      </c>
      <c r="AG9" t="inlineStr">
        <is>
          <t>[Derived] innolight/dist/20261026_中際旭創模型_v0.2.2.xlsx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innolight/dist/20261026_中際旭創模型_v0.2.2.xlsx Val!B42；投資建議 innolight/dist/20261026_中際旭創模型_v0.2.2.xlsx Val!B50；級距 innolight/dist/20261026_中際旭創模型_v0.2.2.xlsx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1213.77022935506</v>
      </c>
      <c r="G10" t="inlineStr">
        <is>
          <t>delta/dist/20261025_台達電模型_v0.2.1.xlsx Val!B119</t>
        </is>
      </c>
      <c r="J10" s="4" t="n">
        <v>639.329478515099</v>
      </c>
      <c r="K10" t="inlineStr">
        <is>
          <t>delta/dist/20261025_台達電模型_v0.2.1.xlsx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-0.243756866445447</v>
      </c>
      <c r="R10">
        <f>P10/N10-1</f>
        <v/>
      </c>
      <c r="S10" s="4" t="inlineStr">
        <is>
          <t>中立</t>
        </is>
      </c>
      <c r="T10">
        <f>1360.0134167175/N10-1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999.1（Val!B105）；Comparable 目標價 1,428.4（Val!B120）；市場共識目標價 2,502.4（Val!B121，外部、僅供對照）；價格帶 C～A 情境 DCF 639.3～1,234.7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delta/dist/20261025_台達電模型_v0.2.1.xlsx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delta/dist/20261025_台達電模型_v0.2.1.xlsx Val!B122；投資建議 delta/dist/20261025_台達電模型_v0.2.1.xlsx Val!B135；級距 delta/dist/20261025_台達電模型_v0.2.1.xlsx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566.562292345012</v>
      </c>
      <c r="G11" t="inlineStr">
        <is>
          <t>quanta/dist/20261025_廣達模型_v0.2.1.xlsx Val!B120</t>
        </is>
      </c>
      <c r="J11" s="4" t="n">
        <v>404.067828743699</v>
      </c>
      <c r="K11" t="inlineStr">
        <is>
          <t>quanta/dist/20261025_廣達模型_v0.2.1.xlsx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quanta/dist/20261025_廣達模型_v0.2.1.xlsx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quanta/dist/20261025_廣達模型_v0.2.1.xlsx Val!B123；投資建議 quanta/dist/20261025_廣達模型_v0.2.1.xlsx Val!B136；級距 quanta/dist/20261025_廣達模型_v0.2.1.xlsx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ibiden/dist/20261025_Ibiden模型_v0.2.1.xlsx Val!B96</t>
        </is>
      </c>
      <c r="J12" s="4" t="n">
        <v>1293.75775376326</v>
      </c>
      <c r="K12" t="inlineStr">
        <is>
          <t>ibiden/dist/20261025_Ibiden模型_v0.2.1.xlsx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 s="4" t="inlineStr">
        <is>
          <t>放空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−25%～−50%</t>
        </is>
      </c>
      <c r="AK12" s="1" t="inlineStr">
        <is>
          <t>上檔空間 ibiden/dist/20261025_Ibiden模型_v0.2.1.xlsx Val!B99；投資建議 ibiden/dist/20261025_Ibiden模型_v0.2.1.xlsx Val!B110；級距 ibiden/dist/20261025_Ibiden模型_v0.2.1.xlsx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advantest/dist/20261025_Advantest模型_v0.3.1.xlsx Val!B146</t>
        </is>
      </c>
      <c r="J13" s="4" t="n">
        <v>7893.3662518531</v>
      </c>
      <c r="K13" t="inlineStr">
        <is>
          <t>advantest/dist/20261025_Advantest模型_v0.3.1.xlsx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 s="4" t="inlineStr">
        <is>
          <t>放空</t>
        </is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advantest/dist/20261025_Advantest模型_v0.3.1.xlsx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advantest/dist/20261025_Advantest模型_v0.3.1.xlsx Val!B149；投資建議 advantest/dist/20261025_Advantest模型_v0.3.1.xlsx Val!B158；級距 advantest/dist/20261025_Advantest模型_v0.3.1.xlsx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385.56245022499</v>
      </c>
      <c r="G15" t="inlineStr">
        <is>
          <t>microsoft/dist/20261027_Microsoft個股模型_v0.3.xlsx Val!B36</t>
        </is>
      </c>
      <c r="J15" s="4" t="n">
        <v>283.645287089587</v>
      </c>
      <c r="K15" t="inlineStr">
        <is>
          <t>microsoft/dist/20261027_Microsoft個股模型_v0.3.xlsx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-0.276075008965471</v>
      </c>
      <c r="R15">
        <f>P15/N15-1</f>
        <v/>
      </c>
      <c r="S15" s="4" t="inlineStr">
        <is>
          <t>放空</t>
        </is>
      </c>
      <c r="V15" t="inlineStr">
        <is>
          <t>21.4 ／ 22.6 ／ 24.2</t>
        </is>
      </c>
      <c r="W15" s="1" t="inlineStr">
        <is>
          <t>DCF 目標價 327.6（Val!B14）；Comparable 目標價 443.6（Val!B31）；市場共識目標價 603.4（Val!B38，外部、僅供對照）；價格帶 C～A 情境 DCF 283.6～367.6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375.6、C 148.3）</t>
        </is>
      </c>
      <c r="AD15" t="inlineStr">
        <is>
          <t>情境 B 五年合計 270.9</t>
        </is>
      </c>
      <c r="AE15" s="4" t="n">
        <v>270.92548377809</v>
      </c>
      <c r="AF15" s="4" t="n">
        <v>270.92548377809</v>
      </c>
      <c r="AG15" t="inlineStr">
        <is>
          <t>[Derived] microsoft/dist/20261027_Microsoft個股模型_v0.3.xlsx CF!C5…CF!C5</t>
        </is>
      </c>
      <c r="AH15">
        <f>IF(AB15="淨利",IF(AF15&gt;0,"通過（淨利）","不通過"),IF(AE15&lt;0,"不通過","通過（現金流）"))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microsoft/dist/20261027_Microsoft個股模型_v0.3.xlsx Val!B40；投資建議 microsoft/dist/20261027_Microsoft個股模型_v0.3.xlsx Val!B43；級距 microsoft/dist/20261027_Microsoft個股模型_v0.3.xlsx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IF(AB16="淨利",IF(AF16&gt;0,"通過（淨利）","不通過"),IF(AE16&lt;0,"不通過","通過（現金流）"))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258.700923108513</v>
      </c>
      <c r="G17" t="inlineStr">
        <is>
          <t>alphabet/dist/20261027_Alphabet個股模型_v0.3.xlsx Val!B8</t>
        </is>
      </c>
      <c r="J17" s="4" t="n">
        <v>159.056504163638</v>
      </c>
      <c r="K17" t="inlineStr">
        <is>
          <t>alphabet/dist/20261027_Alphabet個股模型_v0.3.xlsx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-0.183393550793835</v>
      </c>
      <c r="R17">
        <f>P17/N17-1</f>
        <v/>
      </c>
      <c r="S17" s="4" t="inlineStr">
        <is>
          <t>中立</t>
        </is>
      </c>
      <c r="W17" s="1" t="inlineStr">
        <is>
          <t>DCF 目標價 200.4（Val!B6）；Comparable 目標價 317.0（Val!B7）；市場共識目標價 429.1（Val!B10，外部、僅供對照）；價格帶 C～A 情境 DCF 159.1～231.3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261.2、C 29.8）</t>
        </is>
      </c>
      <c r="AD17" t="inlineStr">
        <is>
          <t>情境 B 五年合計 180.1</t>
        </is>
      </c>
      <c r="AE17" s="4" t="n">
        <v>180.050215907833</v>
      </c>
      <c r="AF17" s="4" t="n">
        <v>180.050215907833</v>
      </c>
      <c r="AG17" t="inlineStr">
        <is>
          <t>[Derived] alphabet/dist/20261027_Alphabet個股模型_v0.3.xlsx CF!C6…CF!C6</t>
        </is>
      </c>
      <c r="AH17">
        <f>IF(AB17="淨利",IF(AF17&gt;0,"通過（淨利）","不通過"),IF(AE17&lt;0,"不通過","通過（現金流）"))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alphabet/dist/20261027_Alphabet個股模型_v0.3.xlsx Val!B11；投資建議 alphabet/dist/20261027_Alphabet個股模型_v0.3.xlsx Val!B14；級距 alphabet/dist/20261027_Alphabet個股模型_v0.3.xlsx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oracle/dist/20261027_Oracle個股模型_v0.4.xlsx Val!C74</t>
        </is>
      </c>
      <c r="J18" s="4" t="n">
        <v>17.1600249327927</v>
      </c>
      <c r="K18" t="inlineStr">
        <is>
          <t>oracle/dist/20261027_Oracle個股模型_v0.4.xlsx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oracle/dist/20261027_Oracle個股模型_v0.4.xlsx CF!D4…CF!D4</t>
        </is>
      </c>
      <c r="AH18">
        <f>IF(AB18="淨利",IF(AF18&gt;0,"通過（淨利）","不通過"),IF(AE18&lt;0,"不通過","通過（現金流）"))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oracle/dist/20261027_Oracle個股模型_v0.4.xlsx Val!C77；投資建議 oracle/dist/20261027_Oracle個股模型_v0.4.xlsx Val!C80；級距 oracle/dist/20261027_Oracle個股模型_v0.4.xlsx Val!C79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nebius/dist/20261022_Nebius收支模型_v0_5_1.xlsx 摘要!C7</t>
        </is>
      </c>
      <c r="J20" s="4" t="n">
        <v>21.3792054477074</v>
      </c>
      <c r="K20" t="inlineStr">
        <is>
          <t>nebius/dist/20261022_Nebius收支模型_v0_5_1.xlsx 摘要!C7</t>
        </is>
      </c>
      <c r="L20" s="4" t="n">
        <v>19.431647062533</v>
      </c>
      <c r="M20" t="inlineStr">
        <is>
          <t>nebius/dist/20261022_Nebius收支模型_v0_5_1.xlsx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nebius/dist/20261022_Nebius收支模型_v0_5_1.xlsx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nebius/dist/20261022_Nebius收支模型_v0_5_1.xlsx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amd/dist/20261025_AMD模型_v0.2.2.xlsx Val!B40</t>
        </is>
      </c>
      <c r="J26" s="4" t="n">
        <v>120.521244989712</v>
      </c>
      <c r="K26" t="inlineStr">
        <is>
          <t>amd/dist/20261025_AMD模型_v0.2.2.xlsx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 s="4" t="inlineStr">
        <is>
          <t>強力放空</t>
        </is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amd/dist/20261025_AMD模型_v0.2.2.xlsx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 s="4" t="inlineStr">
        <is>
          <t>小於 −50%</t>
        </is>
      </c>
      <c r="AK26" s="1" t="inlineStr">
        <is>
          <t>上檔空間 amd/dist/20261025_AMD模型_v0.2.2.xlsx Val!B43；投資建議 amd/dist/20261025_AMD模型_v0.2.2.xlsx Val!B177；級距 amd/dist/20261025_AMD模型_v0.2.2.xlsx Val!B176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mediatek/dist/20261025_聯發科模型_v0.1.1.xlsx Val!B39</t>
        </is>
      </c>
      <c r="J27" s="4" t="n">
        <v>1011.80776357573</v>
      </c>
      <c r="K27" t="inlineStr">
        <is>
          <t>mediatek/dist/20261025_聯發科模型_v0.1.1.xlsx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 s="4" t="inlineStr">
        <is>
          <t>放空</t>
        </is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 s="4" t="inlineStr">
        <is>
          <t>−25%～−50%</t>
        </is>
      </c>
      <c r="AK27" s="1" t="inlineStr">
        <is>
          <t>上檔空間 mediatek/dist/20261025_聯發科模型_v0.1.1.xlsx Val!B42；投資建議 mediatek/dist/20261025_聯發科模型_v0.1.1.xlsx Val!B135；級距 mediatek/dist/20261025_聯發科模型_v0.1.1.xlsx Val!B134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126.964605060311</v>
      </c>
      <c r="G28" t="inlineStr">
        <is>
          <t>mrvl/dist/20261026_邁威爾模型_v0.2.2.xlsx Val!B40</t>
        </is>
      </c>
      <c r="J28" s="4" t="n">
        <v>71.8838596724305</v>
      </c>
      <c r="K28" t="inlineStr">
        <is>
          <t>mrvl/dist/20261026_邁威爾模型_v0.2.2.xlsx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-0.44438053012861</v>
      </c>
      <c r="R28">
        <f>P28/N28-1</f>
        <v/>
      </c>
      <c r="S28" s="4" t="inlineStr">
        <is>
          <t>放空</t>
        </is>
      </c>
      <c r="T28">
        <f>202.512511941354/N28-1</f>
        <v/>
      </c>
      <c r="U28" t="inlineStr">
        <is>
          <t>舊法：規則值情境加權價（參考，Val!B57）</t>
        </is>
      </c>
      <c r="V28" t="inlineStr">
        <is>
          <t>35.5 ／ 35.1 ／ 34.8</t>
        </is>
      </c>
      <c r="W28" s="1" t="inlineStr">
        <is>
          <t>DCF 目標價 115.2（Val!B23）；Comparable 目標價 138.8（Val!B41）；市場共識目標價 341.4（Val!B42，外部、僅供對照）；價格帶 C～A 情境 DCF 71.9～142.6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10 個情境年度淨利（不含實績），全部為正</t>
        </is>
      </c>
      <c r="AE28" s="4" t="n">
        <v>64.19063650443796</v>
      </c>
      <c r="AF28" s="4" t="n">
        <v>3.83971098</v>
      </c>
      <c r="AG28" t="inlineStr">
        <is>
          <t>[Derived] mrvl/dist/20261026_邁威爾模型_v0.2.2.xlsx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mrvl/dist/20261026_邁威爾模型_v0.2.2.xlsx Val!B43；投資建議 mrvl/dist/20261026_邁威爾模型_v0.2.2.xlsx Val!B151；級距 mrvl/dist/20261026_邁威爾模型_v0.2.2.xlsx Val!B150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alchip/dist/20261025_世芯-KY模型_v0.1.1.xlsx Val!B39</t>
        </is>
      </c>
      <c r="J29" s="4" t="n">
        <v>1226.24410533878</v>
      </c>
      <c r="K29" t="inlineStr">
        <is>
          <t>alchip/dist/20261025_世芯-KY模型_v0.1.1.xlsx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 s="4" t="inlineStr">
        <is>
          <t>強力買進</t>
        </is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大於 50%</t>
        </is>
      </c>
      <c r="AK29" s="1" t="inlineStr">
        <is>
          <t>上檔空間 alchip/dist/20261025_世芯-KY模型_v0.1.1.xlsx Val!B42；投資建議 alchip/dist/20261025_世芯-KY模型_v0.1.1.xlsx Val!B135；級距 alchip/dist/20261025_世芯-KY模型_v0.1.1.xlsx Val!B134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guc/dist/20261025_創意模型_v0.1.1.xlsx Val!B39</t>
        </is>
      </c>
      <c r="J30" s="4" t="n">
        <v>662.1199432503749</v>
      </c>
      <c r="K30" t="inlineStr">
        <is>
          <t>guc/dist/20261025_創意模型_v0.1.1.xlsx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 s="4" t="inlineStr">
        <is>
          <t>強力放空</t>
        </is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guc/dist/20261025_創意模型_v0.1.1.xlsx Val!B42；投資建議 guc/dist/20261025_創意模型_v0.1.1.xlsx Val!B135；級距 guc/dist/20261025_創意模型_v0.1.1.xlsx Val!B134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22268.387890365</v>
      </c>
      <c r="G31" t="inlineStr">
        <is>
          <t>kioxia/dist/20261025_Kioxia模型_v0.1.xlsx Val!B49</t>
        </is>
      </c>
      <c r="J31" s="4" t="n">
        <v>8694.574447047809</v>
      </c>
      <c r="K31" t="inlineStr">
        <is>
          <t>kioxia/dist/20261025_Kioxia模型_v0.1.xlsx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0.745855577449238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24,180.1（Val!B24）；Comparable 目標價 20,356.7（Val!B50）；市場共識目標價 36,929.2（Val!B51，外部、僅供對照）；價格帶 C～A 情境 DCF 8,694.6～45,985.8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76685.97111484918</v>
      </c>
      <c r="AF31" s="4" t="n">
        <v>887.008999145095</v>
      </c>
      <c r="AG31" t="inlineStr">
        <is>
          <t>[Derived] kioxia/dist/20261025_Kioxia模型_v0.1.xlsx PL!D9…PL!G123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kioxia/dist/20261025_Kioxia模型_v0.1.xlsx Val!B52；投資建議 kioxia/dist/20261025_Kioxia模型_v0.1.xlsx Val!B55；級距 kioxia/dist/20261025_Kioxia模型_v0.1.xlsx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952.858954177605</v>
      </c>
      <c r="G32" t="inlineStr">
        <is>
          <t>sndk/dist/20261025_SanDisk模型_v0.1.xlsx Val!B49</t>
        </is>
      </c>
      <c r="J32" s="4" t="n">
        <v>492.984401359775</v>
      </c>
      <c r="K32" t="inlineStr">
        <is>
          <t>sndk/dist/20261025_SanDisk模型_v0.1.xlsx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-0.230342597370335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1,139.2（Val!B24）；Comparable 目標價 766.6（Val!B50）；市場共識目標價 2,144.0（Val!B51，外部、僅供對照）；價格帶 C～A 情境 DCF 493.0～2,275.1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287.879028604861</v>
      </c>
      <c r="AF32" s="4" t="n">
        <v>3.615</v>
      </c>
      <c r="AG32" t="inlineStr">
        <is>
          <t>[Derived] sndk/dist/20261025_SanDisk模型_v0.1.xlsx PL!E9…PL!G51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sndk/dist/20261025_SanDisk模型_v0.1.xlsx Val!B52；投資建議 sndk/dist/20261025_SanDisk模型_v0.1.xlsx Val!B55；級距 sndk/dist/20261025_SanDisk模型_v0.1.xlsx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322.534682310793</v>
      </c>
      <c r="G33" t="inlineStr">
        <is>
          <t>cohr/dist/20261026_Coherent模型_v0.2.2.xlsx Val!B39</t>
        </is>
      </c>
      <c r="J33" s="4" t="n">
        <v>126.00352198982</v>
      </c>
      <c r="K33" t="inlineStr">
        <is>
          <t>cohr/dist/20261026_Coherent模型_v0.2.2.xlsx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0.54197390787777</v>
      </c>
      <c r="R33">
        <f>P33/N33-1</f>
        <v/>
      </c>
      <c r="S33" s="4" t="inlineStr">
        <is>
          <t>強力買進</t>
        </is>
      </c>
      <c r="T33">
        <f>319.571046584482/N33-1</f>
        <v/>
      </c>
      <c r="U33" t="inlineStr">
        <is>
          <t>舊法：規則值情境加權價（參考，Val!B53）</t>
        </is>
      </c>
      <c r="V33" t="inlineStr">
        <is>
          <t>14.4 ／ 15.5 ／ 17.0</t>
        </is>
      </c>
      <c r="W33" s="1" t="inlineStr">
        <is>
          <t>DCF 目標價 207.0（Val!B24）；Comparable 目標價 438.0（Val!B40）；市場共識目標價 394.8（Val!B41，外部、僅供對照）；價格帶 C～A 情境 DCF 126.0～275.4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18 個情境年度淨利（不含實績），全部為正</t>
        </is>
      </c>
      <c r="AE33" s="4" t="n">
        <v>55.73323142808181</v>
      </c>
      <c r="AF33" s="4" t="n">
        <v>2.06947608283373</v>
      </c>
      <c r="AG33" t="inlineStr">
        <is>
          <t>[Derived] cohr/dist/20261026_Coherent模型_v0.2.2.xlsx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cohr/dist/20261026_Coherent模型_v0.2.2.xlsx Val!B42；投資建議 cohr/dist/20261026_Coherent模型_v0.2.2.xlsx Val!B50；級距 cohr/dist/20261026_Coherent模型_v0.2.2.xlsx Val!B49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623.399886042049</v>
      </c>
      <c r="G34" t="inlineStr">
        <is>
          <t>lite/dist/20261026_Lumentum模型_v0.2.2.xlsx Val!B39</t>
        </is>
      </c>
      <c r="J34" s="4" t="n">
        <v>211.148558750336</v>
      </c>
      <c r="K34" t="inlineStr">
        <is>
          <t>lite/dist/20261026_Lumentum模型_v0.2.2.xlsx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-0.175582361053666</v>
      </c>
      <c r="R34">
        <f>P34/N34-1</f>
        <v/>
      </c>
      <c r="S34" s="4" t="inlineStr">
        <is>
          <t>中立</t>
        </is>
      </c>
      <c r="T34">
        <f>410.587041312467/N34-1</f>
        <v/>
      </c>
      <c r="U34" t="inlineStr">
        <is>
          <t>舊法：規則值情境加權價（參考，Val!B53）</t>
        </is>
      </c>
      <c r="V34" t="inlineStr">
        <is>
          <t>23.1 ／ 26.6 ／ 30.2</t>
        </is>
      </c>
      <c r="W34" s="1" t="inlineStr">
        <is>
          <t>DCF 目標價 387.1（Val!B24）；Comparable 目標價 859.7（Val!B40）；市場共識目標價 1,165.0（Val!B41，外部、僅供對照）；價格帶 C～A 情境 DCF 211.1～549.9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18 個情境年度淨利（不含實績），全部為正</t>
        </is>
      </c>
      <c r="AE34" s="4" t="n">
        <v>54.05090141367878</v>
      </c>
      <c r="AF34" s="4" t="n">
        <v>1.65482793612448</v>
      </c>
      <c r="AG34" t="inlineStr">
        <is>
          <t>[Derived] lite/dist/20261026_Lumentum模型_v0.2.2.xlsx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lite/dist/20261026_Lumentum模型_v0.2.2.xlsx Val!B42；投資建議 lite/dist/20261026_Lumentum模型_v0.2.2.xlsx Val!B50；級距 lite/dist/20261026_Lumentum模型_v0.2.2.xlsx Val!B49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791.558609426747</v>
      </c>
      <c r="G35" t="inlineStr">
        <is>
          <t>eoptolink/dist/20261026_新易盛模型_v0.2.2.xlsx Val!B39</t>
        </is>
      </c>
      <c r="J35" s="4" t="n">
        <v>307.265758949729</v>
      </c>
      <c r="K35" t="inlineStr">
        <is>
          <t>eoptolink/dist/20261026_新易盛模型_v0.2.2.xlsx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2.03279160699903</v>
      </c>
      <c r="R35">
        <f>P35/N35-1</f>
        <v/>
      </c>
      <c r="S35" s="4" t="inlineStr">
        <is>
          <t>強力買進</t>
        </is>
      </c>
      <c r="T35">
        <f>1146.39392147938/N35-1</f>
        <v/>
      </c>
      <c r="U35" t="inlineStr">
        <is>
          <t>舊法：規則值情境加權價（參考，Val!B53）</t>
        </is>
      </c>
      <c r="V35" t="inlineStr">
        <is>
          <t>9.3 ／ 11.4 ／ 15.4</t>
        </is>
      </c>
      <c r="W35" s="1" t="inlineStr">
        <is>
          <t>DCF 目標價 512.7（Val!B24）；Comparable 目標價 1,070.4（Val!B40）；市場共識目標價 460.9（Val!B41，外部、僅供對照）；價格帶 C～A 情境 DCF 307.3～639.5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19 個情境年度淨利（不含實績），全部為正</t>
        </is>
      </c>
      <c r="AE35" s="4" t="n">
        <v>788.309493718513</v>
      </c>
      <c r="AF35" s="4" t="n">
        <v>20.0605180178692</v>
      </c>
      <c r="AG35" t="inlineStr">
        <is>
          <t>[Derived] eoptolink/dist/20261026_新易盛模型_v0.2.2.xlsx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eoptolink/dist/20261026_新易盛模型_v0.2.2.xlsx Val!B42；投資建議 eoptolink/dist/20261026_新易盛模型_v0.2.2.xlsx Val!B50；級距 eoptolink/dist/20261026_新易盛模型_v0.2.2.xlsx Val!B49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accton/dist/20261025_智邦模型_v0.2.1.xlsx Val!B39</t>
        </is>
      </c>
      <c r="J36" s="4" t="n">
        <v>1519.31098875966</v>
      </c>
      <c r="K36" t="inlineStr">
        <is>
          <t>accton/dist/20261025_智邦模型_v0.2.1.xlsx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 s="4" t="inlineStr">
        <is>
          <t>買進</t>
        </is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accton/dist/20261025_智邦模型_v0.2.1.xlsx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25%–50%</t>
        </is>
      </c>
      <c r="AK36" s="1" t="inlineStr">
        <is>
          <t>上檔空間 accton/dist/20261025_智邦模型_v0.2.1.xlsx Val!B42；投資建議 accton/dist/20261025_智邦模型_v0.2.1.xlsx Val!B52；級距 accton/dist/20261025_智邦模型_v0.2.1.xlsx Val!B51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373.123198537049</v>
      </c>
      <c r="G37" t="inlineStr">
        <is>
          <t>fabrinet/dist/20261026_Fabrinet模型_v0.1.2.xlsx Val!B39</t>
        </is>
      </c>
      <c r="J37" s="4" t="n">
        <v>163.840959069597</v>
      </c>
      <c r="K37" t="inlineStr">
        <is>
          <t>fabrinet/dist/20261026_Fabrinet模型_v0.1.2.xlsx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0.184743756071152</v>
      </c>
      <c r="R37">
        <f>P37/N37-1</f>
        <v/>
      </c>
      <c r="S37" s="4" t="inlineStr">
        <is>
          <t>中立</t>
        </is>
      </c>
      <c r="T37">
        <f>408.001544364806/N37-1</f>
        <v/>
      </c>
      <c r="U37" t="inlineStr">
        <is>
          <t>舊法：規則值情境加權價（參考，Val!B53）</t>
        </is>
      </c>
      <c r="V37" t="inlineStr">
        <is>
          <t>11.3 ／ 14.3 ／ 18.0</t>
        </is>
      </c>
      <c r="W37" s="1" t="inlineStr">
        <is>
          <t>DCF 目標價 349.8（Val!B24）；Comparable 目標價 396.5（Val!B40）；市場共識目標價 687.8（Val!B41，外部、僅供對照）；價格帶 C～A 情境 DCF 163.8～564.3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16.45838145404598</v>
      </c>
      <c r="AF37" s="4" t="n">
        <v>0.449392515917191</v>
      </c>
      <c r="AG37" t="inlineStr">
        <is>
          <t>[Derived] fabrinet/dist/20261026_Fabrinet模型_v0.1.2.xlsx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0%–25%</t>
        </is>
      </c>
      <c r="AK37" s="1" t="inlineStr">
        <is>
          <t>上檔空間 fabrinet/dist/20261026_Fabrinet模型_v0.1.2.xlsx Val!B42；投資建議 fabrinet/dist/20261026_Fabrinet模型_v0.1.2.xlsx Val!B50；級距 fabrinet/dist/20261026_Fabrinet模型_v0.1.2.xlsx Val!B49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194.503855731343</v>
      </c>
      <c r="G38" t="inlineStr">
        <is>
          <t>crdo/dist/20261026_Credo模型_v0.2.2.xlsx Val!B39</t>
        </is>
      </c>
      <c r="J38" s="4" t="n">
        <v>53.662353127775</v>
      </c>
      <c r="K38" t="inlineStr">
        <is>
          <t>crdo/dist/20261026_Credo模型_v0.2.2.xlsx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0.320550313879711</v>
      </c>
      <c r="R38">
        <f>P38/N38-1</f>
        <v/>
      </c>
      <c r="S38" s="4" t="inlineStr">
        <is>
          <t>買進</t>
        </is>
      </c>
      <c r="T38">
        <f>619.6489358636/N38-1</f>
        <v/>
      </c>
      <c r="U38" t="inlineStr">
        <is>
          <t>舊法：規則值情境加權價（參考，Val!B53）</t>
        </is>
      </c>
      <c r="V38" t="inlineStr">
        <is>
          <t>16.2 ／ 17.3 ／ 18.8</t>
        </is>
      </c>
      <c r="W38" s="1" t="inlineStr">
        <is>
          <t>DCF 目標價 100.2（Val!B24）；Comparable 目標價 288.8（Val!B40）；市場共識目標價 279.1（Val!B41，外部、僅供對照）；價格帶 C～A 情境 DCF 53.7～139.2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26.00564440421192</v>
      </c>
      <c r="AF38" s="4" t="n">
        <v>0.801215260866878</v>
      </c>
      <c r="AG38" t="inlineStr">
        <is>
          <t>[Derived] crdo/dist/20261026_Credo模型_v0.2.2.xlsx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25%–50%</t>
        </is>
      </c>
      <c r="AK38" s="1" t="inlineStr">
        <is>
          <t>上檔空間 crdo/dist/20261026_Credo模型_v0.2.2.xlsx Val!B42；投資建議 crdo/dist/20261026_Credo模型_v0.2.2.xlsx Val!B130；級距 crdo/dist/20261026_Credo模型_v0.2.2.xlsx Val!B129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Labs模型_v0.1.1.xlsx Val!B39</t>
        </is>
      </c>
      <c r="J39" s="4" t="n">
        <v>52.3189901504964</v>
      </c>
      <c r="K39" t="inlineStr">
        <is>
          <t>alab/dist/20261025_Astera Labs模型_v0.1.1.xlsx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 s="4" t="inlineStr">
        <is>
          <t>放空</t>
        </is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−25%～−50%</t>
        </is>
      </c>
      <c r="AK39" s="1" t="inlineStr">
        <is>
          <t>上檔空間 alab/dist/20261025_Astera Labs模型_v0.1.1.xlsx Val!B42；投資建議 alab/dist/20261025_Astera Labs模型_v0.1.1.xlsx Val!B130；級距 alab/dist/20261025_Astera Labs模型_v0.1.1.xlsx Val!B129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kyec/dist/20261025_京元電模型_v0.2.1.xlsx Val!B39</t>
        </is>
      </c>
      <c r="J40" s="4" t="n">
        <v>85.7331075295227</v>
      </c>
      <c r="K40" t="inlineStr">
        <is>
          <t>kyec/dist/20261025_京元電模型_v0.2.1.xlsx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 s="4" t="inlineStr">
        <is>
          <t>放空</t>
        </is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kyec/dist/20261025_京元電模型_v0.2.1.xlsx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−25%～−50%</t>
        </is>
      </c>
      <c r="AK40" s="1" t="inlineStr">
        <is>
          <t>上檔空間 kyec/dist/20261025_京元電模型_v0.2.1.xlsx Val!B42；投資建議 kyec/dist/20261025_京元電模型_v0.2.1.xlsx Val!B50；級距 kyec/dist/20261025_京元電模型_v0.2.1.xlsx Val!B49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amkr/dist/20261025_艾克爾模型_v0.2.1.xlsx Val!B39</t>
        </is>
      </c>
      <c r="J41" s="4" t="n">
        <v>22.0213163292156</v>
      </c>
      <c r="K41" t="inlineStr">
        <is>
          <t>amkr/dist/20261025_艾克爾模型_v0.2.1.xlsx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 s="4" t="inlineStr">
        <is>
          <t>買進</t>
        </is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amkr/dist/20261025_艾克爾模型_v0.2.1.xlsx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25%–50%</t>
        </is>
      </c>
      <c r="AK41" s="1" t="inlineStr">
        <is>
          <t>上檔空間 amkr/dist/20261025_艾克爾模型_v0.2.1.xlsx Val!B42；投資建議 amkr/dist/20261025_艾克爾模型_v0.2.1.xlsx Val!B50；級距 amkr/dist/20261025_艾克爾模型_v0.2.1.xlsx Val!B49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5477.38585591289</v>
      </c>
      <c r="G42" t="inlineStr">
        <is>
          <t>emc/dist/20261025_台光電模型_v0.2.1.xlsx Val!B118</t>
        </is>
      </c>
      <c r="J42" s="4" t="n">
        <v>2690.62334592878</v>
      </c>
      <c r="K42" t="inlineStr">
        <is>
          <t>emc/dist/20261025_台光電模型_v0.2.1.xlsx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</v>
      </c>
      <c r="R42">
        <f>P42/N42-1</f>
        <v/>
      </c>
      <c r="S42" s="4" t="inlineStr">
        <is>
          <t>中立</t>
        </is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</v>
      </c>
      <c r="AF42" s="4" t="n">
        <v>42.891099295</v>
      </c>
      <c r="AG42" t="inlineStr">
        <is>
          <t>[Derived] emc/dist/20261025_台光電模型_v0.2.1.xlsx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0%–25%</t>
        </is>
      </c>
      <c r="AK42" s="1" t="inlineStr">
        <is>
          <t>上檔空間 emc/dist/20261025_台光電模型_v0.2.1.xlsx Val!B121；投資建議 emc/dist/20261025_台光電模型_v0.2.1.xlsx Val!B132；級距 emc/dist/20261025_台光電模型_v0.2.1.xlsx Val!B131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unimicron/dist/20261025_欣興模型_v0.1.1.xlsx Val!B39</t>
        </is>
      </c>
      <c r="J43" s="4" t="n">
        <v>219.433206126356</v>
      </c>
      <c r="K43" t="inlineStr">
        <is>
          <t>unimicron/dist/20261025_欣興模型_v0.1.1.xlsx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-0.330150331939242</v>
      </c>
      <c r="R43">
        <f>P43/N43-1</f>
        <v/>
      </c>
      <c r="S43" s="4" t="inlineStr">
        <is>
          <t>放空</t>
        </is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</v>
      </c>
      <c r="AF43" s="4" t="n">
        <v>26.3193287897213</v>
      </c>
      <c r="AG43" t="inlineStr">
        <is>
          <t>[Derived] unimicron/dist/20261025_欣興模型_v0.1.1.xlsx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−25%～−50%</t>
        </is>
      </c>
      <c r="AK43" s="1" t="inlineStr">
        <is>
          <t>上檔空間 unimicron/dist/20261025_欣興模型_v0.1.1.xlsx Val!B42；投資建議 unimicron/dist/20261025_欣興模型_v0.1.1.xlsx Val!B134；級距 unimicron/dist/20261025_欣興模型_v0.1.1.xlsx Val!B133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nanya_pcb/dist/20261025_南電模型_v0.1.1.xlsx Val!B39</t>
        </is>
      </c>
      <c r="J44" s="4" t="n">
        <v>262.218925758325</v>
      </c>
      <c r="K44" t="inlineStr">
        <is>
          <t>nanya_pcb/dist/20261025_南電模型_v0.1.1.xlsx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 s="4" t="inlineStr">
        <is>
          <t>放空</t>
        </is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−25%～−50%</t>
        </is>
      </c>
      <c r="AK44" s="1" t="inlineStr">
        <is>
          <t>上檔空間 nanya_pcb/dist/20261025_南電模型_v0.1.1.xlsx Val!B42；投資建議 nanya_pcb/dist/20261025_南電模型_v0.1.1.xlsx Val!B134；級距 nanya_pcb/dist/20261025_南電模型_v0.1.1.xlsx Val!B133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gce/dist/20261025_金像電模型_v0.1.1.xlsx Val!B40</t>
        </is>
      </c>
      <c r="J45" s="4" t="n">
        <v>559.015397539126</v>
      </c>
      <c r="K45" t="inlineStr">
        <is>
          <t>gce/dist/20261025_金像電模型_v0.1.1.xlsx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 s="4" t="inlineStr">
        <is>
          <t>中立</t>
        </is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777.5639942335221</v>
      </c>
      <c r="AF45" s="4" t="n">
        <v>19.6977289395284</v>
      </c>
      <c r="AG45" t="inlineStr">
        <is>
          <t>[Derived] gce/dist/20261025_金像電模型_v0.1.1.xlsx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0%–25%</t>
        </is>
      </c>
      <c r="AK45" s="1" t="inlineStr">
        <is>
          <t>上檔空間 gce/dist/20261025_金像電模型_v0.1.1.xlsx Val!B43；投資建議 gce/dist/20261025_金像電模型_v0.1.1.xlsx Val!B119；級距 gce/dist/20261025_金像電模型_v0.1.1.xlsx Val!B118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</v>
      </c>
      <c r="G46" t="inlineStr">
        <is>
          <t>victory_giant/dist/20261025_勝宏科技模型_v0.1.1.xlsx Val!B39</t>
        </is>
      </c>
      <c r="J46" s="4" t="n">
        <v>98.54908044337679</v>
      </c>
      <c r="K46" t="inlineStr">
        <is>
          <t>victory_giant/dist/20261025_勝宏科技模型_v0.1.1.xlsx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0.759558314537008</v>
      </c>
      <c r="R46">
        <f>P46/N46-1</f>
        <v/>
      </c>
      <c r="S46" s="4" t="inlineStr">
        <is>
          <t>強力買進</t>
        </is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253.1375330231429</v>
      </c>
      <c r="AF46" s="4" t="n">
        <v>6.5441924845173</v>
      </c>
      <c r="AG46" t="inlineStr">
        <is>
          <t>[Derived] victory_giant/dist/20261025_勝宏科技模型_v0.1.1.xlsx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大於 50%</t>
        </is>
      </c>
      <c r="AK46" s="1" t="inlineStr">
        <is>
          <t>上檔空間 victory_giant/dist/20261025_勝宏科技模型_v0.1.1.xlsx Val!B42；投資建議 victory_giant/dist/20261025_勝宏科技模型_v0.1.1.xlsx Val!B119；級距 victory_giant/dist/20261025_勝宏科技模型_v0.1.1.xlsx Val!B118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asml/dist/20261025_ASML模型_v0.2.1.xlsx Val!B115</t>
        </is>
      </c>
      <c r="J47" s="4" t="n">
        <v>506.037679478892</v>
      </c>
      <c r="K47" t="inlineStr">
        <is>
          <t>asml/dist/20261025_ASML模型_v0.2.1.xlsx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 s="4" t="inlineStr">
        <is>
          <t>中立</t>
        </is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asml/dist/20261025_ASML模型_v0.2.1.xlsx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0%～−25%</t>
        </is>
      </c>
      <c r="AK47" s="1" t="inlineStr">
        <is>
          <t>上檔空間 asml/dist/20261025_ASML模型_v0.2.1.xlsx Val!B118；投資建議 asml/dist/20261025_ASML模型_v0.2.1.xlsx Val!B126；級距 asml/dist/20261025_ASML模型_v0.2.1.xlsx Val!B125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amat/dist/20261025_應用材料模型_v0.2.1.xlsx Val!B136</t>
        </is>
      </c>
      <c r="J48" s="4" t="n">
        <v>160.769815499115</v>
      </c>
      <c r="K48" t="inlineStr">
        <is>
          <t>amat/dist/20261025_應用材料模型_v0.2.1.xlsx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 s="4" t="inlineStr">
        <is>
          <t>中立</t>
        </is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amat/dist/20261025_應用材料模型_v0.2.1.xlsx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0%～−25%</t>
        </is>
      </c>
      <c r="AK48" s="1" t="inlineStr">
        <is>
          <t>上檔空間 amat/dist/20261025_應用材料模型_v0.2.1.xlsx Val!B139；投資建議 amat/dist/20261025_應用材料模型_v0.2.1.xlsx Val!B147；級距 amat/dist/20261025_應用材料模型_v0.2.1.xlsx Val!B146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lrcx/dist/20261025_科林研發模型_v0.2.1.xlsx Val!B128</t>
        </is>
      </c>
      <c r="J49" s="4" t="n">
        <v>85.7603441123795</v>
      </c>
      <c r="K49" t="inlineStr">
        <is>
          <t>lrcx/dist/20261025_科林研發模型_v0.2.1.xlsx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 s="4" t="inlineStr">
        <is>
          <t>中立</t>
        </is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lrcx/dist/20261025_科林研發模型_v0.2.1.xlsx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0%～−25%</t>
        </is>
      </c>
      <c r="AK49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klac/dist/20261025_科磊模型_v0.2.1.xlsx Val!B129</t>
        </is>
      </c>
      <c r="J50" s="4" t="n">
        <v>57.6757051396901</v>
      </c>
      <c r="K50" t="inlineStr">
        <is>
          <t>klac/dist/20261025_科磊模型_v0.2.1.xlsx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 s="4" t="inlineStr">
        <is>
          <t>中立</t>
        </is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klac/dist/20261025_科磊模型_v0.2.1.xlsx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klac/dist/20261025_科磊模型_v0.2.1.xlsx Val!B132；投資建議 klac/dist/20261025_科磊模型_v0.2.1.xlsx Val!B140；級距 klac/dist/20261025_科磊模型_v0.2.1.xlsx Val!B139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hanmi/dist/20261025_韓美半導體模型_v0.2.2.xlsx Val!B111</t>
        </is>
      </c>
      <c r="J51" s="4" t="n">
        <v>16072.8325490973</v>
      </c>
      <c r="K51" t="inlineStr">
        <is>
          <t>hanmi/dist/20261025_韓美半導體模型_v0.2.2.xlsx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 s="4" t="inlineStr">
        <is>
          <t>強力放空</t>
        </is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hanmi/dist/20261025_韓美半導體模型_v0.2.2.xlsx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小於 −50%</t>
        </is>
      </c>
      <c r="AK51" s="1" t="inlineStr">
        <is>
          <t>上檔空間 hanmi/dist/20261025_韓美半導體模型_v0.2.2.xlsx Val!B114；投資建議 hanmi/dist/20261025_韓美半導體模型_v0.2.2.xlsx Val!B123；級距 hanmi/dist/20261025_韓美半導體模型_v0.2.2.xlsx Val!B122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ter/dist/20261025_泰瑞達模型_v0.1.1.xlsx Val!B126</t>
        </is>
      </c>
      <c r="J52" s="4" t="n">
        <v>153.841873065318</v>
      </c>
      <c r="K52" t="inlineStr">
        <is>
          <t>ter/dist/20261025_泰瑞達模型_v0.1.1.xlsx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 s="4" t="inlineStr">
        <is>
          <t>中立</t>
        </is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0%–25%</t>
        </is>
      </c>
      <c r="AK52" s="1" t="inlineStr">
        <is>
          <t>上檔空間 ter/dist/20261025_泰瑞達模型_v0.1.1.xlsx Val!B129；投資建議 ter/dist/20261025_泰瑞達模型_v0.1.1.xlsx Val!B138；級距 ter/dist/20261025_泰瑞達模型_v0.1.1.xlsx Val!B137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besi/dist/20261025_BESI模型_v0.1.1.xlsx Val!B112</t>
        </is>
      </c>
      <c r="J53" s="4" t="n">
        <v>44.8181747206361</v>
      </c>
      <c r="K53" t="inlineStr">
        <is>
          <t>besi/dist/20261025_BESI模型_v0.1.1.xlsx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 s="4" t="inlineStr">
        <is>
          <t>中立</t>
        </is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0%～−25%</t>
        </is>
      </c>
      <c r="AK53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towa/dist/20261025_TOWA模型_v0.1.1.xlsx Val!B39</t>
        </is>
      </c>
      <c r="J54" s="4" t="n">
        <v>759.567964433826</v>
      </c>
      <c r="K54" t="inlineStr">
        <is>
          <t>towa/dist/20261025_TOWA模型_v0.1.1.xlsx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 s="4" t="inlineStr">
        <is>
          <t>中立</t>
        </is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0%～−25%</t>
        </is>
      </c>
      <c r="AK54" s="1" t="inlineStr">
        <is>
          <t>上檔空間 towa/dist/20261025_TOWA模型_v0.1.1.xlsx Val!B42；投資建議 towa/dist/20261025_TOWA模型_v0.1.1.xlsx Val!B125；級距 towa/dist/20261025_TOWA模型_v0.1.1.xlsx Val!B124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accretech/dist/20261025_東京精密模型_v0.1.1.xlsx Val!B40</t>
        </is>
      </c>
      <c r="J55" s="4" t="n">
        <v>6136.30379041145</v>
      </c>
      <c r="K55" t="inlineStr">
        <is>
          <t>accretech/dist/20261025_東京精密模型_v0.1.1.xlsx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 s="4" t="inlineStr">
        <is>
          <t>買進</t>
        </is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25%–50%</t>
        </is>
      </c>
      <c r="AK55" s="1" t="inlineStr">
        <is>
          <t>上檔空間 accretech/dist/20261025_東京精密模型_v0.1.1.xlsx Val!B43；投資建議 accretech/dist/20261025_東京精密模型_v0.1.1.xlsx Val!B116；級距 accretech/dist/20261025_東京精密模型_v0.1.1.xlsx Val!B115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349.917288066706</v>
      </c>
      <c r="G56" t="inlineStr">
        <is>
          <t>foxconn/dist/20261025_鴻海模型_v0.2.1.xlsx Val!B120</t>
        </is>
      </c>
      <c r="J56" s="4" t="n">
        <v>209.885963820218</v>
      </c>
      <c r="K56" t="inlineStr">
        <is>
          <t>foxconn/dist/20261025_鴻海模型_v0.2.1.xlsx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0.428233828843698</v>
      </c>
      <c r="R56">
        <f>P56/N56-1</f>
        <v/>
      </c>
      <c r="S56" s="4" t="inlineStr">
        <is>
          <t>買進</t>
        </is>
      </c>
      <c r="T56">
        <f>261.429965980011/N56-1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3063.319471023556</v>
      </c>
      <c r="AF56" s="4" t="n">
        <v>275.25708735</v>
      </c>
      <c r="AG56" t="inlineStr">
        <is>
          <t>[Derived] foxconn/dist/20261025_鴻海模型_v0.2.1.xlsx PL!D13…PL!G39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25%–50%</t>
        </is>
      </c>
      <c r="AK56" s="1" t="inlineStr">
        <is>
          <t>上檔空間 foxconn/dist/20261025_鴻海模型_v0.2.1.xlsx Val!B123；投資建議 foxconn/dist/20261025_鴻海模型_v0.2.1.xlsx Val!B136；級距 foxconn/dist/20261025_鴻海模型_v0.2.1.xlsx Val!B135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355.133563866587</v>
      </c>
      <c r="G57" t="inlineStr">
        <is>
          <t>wistron/dist/20261025_緯創模型_v0.1.1.xlsx Val!B39</t>
        </is>
      </c>
      <c r="J57" s="4" t="n">
        <v>252.685401446693</v>
      </c>
      <c r="K57" t="inlineStr">
        <is>
          <t>wistron/dist/20261025_緯創模型_v0.1.1.xlsx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0.869124020350456</v>
      </c>
      <c r="R57">
        <f>P57/N57-1</f>
        <v/>
      </c>
      <c r="S57" s="4" t="inlineStr">
        <is>
          <t>強力買進</t>
        </is>
      </c>
      <c r="V57" t="inlineStr">
        <is>
          <t>5.7 ／ 7.0 ／ 9.2</t>
        </is>
      </c>
      <c r="W57" s="1" t="inlineStr">
        <is>
          <t>DCF 目標價 397.0（Val!B24）；Comparable 目標價 313.3（Val!B40）；市場共識目標價 268.7（Val!B41，外部、僅供對照）；價格帶 C～A 情境 DCF 252.7～495.5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1686.22072536712</v>
      </c>
      <c r="AF57" s="4" t="n">
        <v>59.6707048338912</v>
      </c>
      <c r="AG57" t="inlineStr">
        <is>
          <t>[Derived] wistron/dist/20261025_緯創模型_v0.1.1.xlsx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大於 50%</t>
        </is>
      </c>
      <c r="AK57" s="1" t="inlineStr">
        <is>
          <t>上檔空間 wistron/dist/20261025_緯創模型_v0.1.1.xlsx Val!B42；投資建議 wistron/dist/20261025_緯創模型_v0.1.1.xlsx Val!B136；級距 wistron/dist/20261025_緯創模型_v0.1.1.xlsx Val!B135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wiwynn/dist/20261025_緯穎模型_v0.1.1.xlsx Val!B39</t>
        </is>
      </c>
      <c r="J58" s="4" t="n">
        <v>2411.99384333378</v>
      </c>
      <c r="K58" t="inlineStr">
        <is>
          <t>wiwynn/dist/20261025_緯穎模型_v0.1.1.xlsx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0.801317023195681</v>
      </c>
      <c r="R58">
        <f>P58/N58-1</f>
        <v/>
      </c>
      <c r="S58" s="4" t="inlineStr">
        <is>
          <t>強力買進</t>
        </is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2434.816945249124</v>
      </c>
      <c r="AF58" s="4" t="n">
        <v>77.0324485376</v>
      </c>
      <c r="AG58" t="inlineStr">
        <is>
          <t>[Derived] wiwynn/dist/20261025_緯穎模型_v0.1.1.xlsx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大於 50%</t>
        </is>
      </c>
      <c r="AK58" s="1" t="inlineStr">
        <is>
          <t>上檔空間 wiwynn/dist/20261025_緯穎模型_v0.1.1.xlsx Val!B42；投資建議 wiwynn/dist/20261025_緯穎模型_v0.1.1.xlsx Val!B136；級距 wiwynn/dist/20261025_緯穎模型_v0.1.1.xlsx Val!B135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366.647549690362</v>
      </c>
      <c r="G59" t="inlineStr">
        <is>
          <t>dell/dist/20261025_戴爾模型_v0.1.xlsx Val!B39</t>
        </is>
      </c>
      <c r="J59" s="4" t="n">
        <v>288.038263857982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-0.196723447352638</v>
      </c>
      <c r="R59">
        <f>P59/N59-1</f>
        <v/>
      </c>
      <c r="S59" s="4" t="inlineStr">
        <is>
          <t>中立</t>
        </is>
      </c>
      <c r="V59" t="inlineStr">
        <is>
          <t>15.1 ／ 15.1 ／ 15.1</t>
        </is>
      </c>
      <c r="W59" s="1" t="inlineStr">
        <is>
          <t>DCF 目標價 411.9（Val!B24）；Comparable 目標價 321.4（Val!B40）；市場共識目標價 593.0（Val!B41，外部、僅供對照）；價格帶 C～A 情境 DCF 288.0～510.8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245.4895093175961</v>
      </c>
      <c r="AF59" s="4" t="n">
        <v>12.0997764519591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smci/dist/20261025_美超微模型_v0.1.1.xlsx Val!B39</t>
        </is>
      </c>
      <c r="J60" s="4" t="n">
        <v>31.419993199526</v>
      </c>
      <c r="K60" t="inlineStr">
        <is>
          <t>smci/dist/20261025_美超微模型_v0.1.1.xlsx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 s="4" t="inlineStr">
        <is>
          <t>強力買進</t>
        </is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smci/dist/20261025_美超微模型_v0.1.1.xlsx Val!B42；投資建議 smci/dist/20261025_美超微模型_v0.1.1.xlsx Val!B136；級距 smci/dist/20261025_美超微模型_v0.1.1.xlsx Val!B135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3965.52216912282</v>
      </c>
      <c r="G61" t="inlineStr">
        <is>
          <t>avc/dist/20261025_奇鋐模型_v0.2.1.xlsx Val!B119</t>
        </is>
      </c>
      <c r="J61" s="4" t="n">
        <v>1834.66717881608</v>
      </c>
      <c r="K61" t="inlineStr">
        <is>
          <t>avc/dist/20261025_奇鋐模型_v0.2.1.xlsx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0.26089735107244</v>
      </c>
      <c r="R61">
        <f>P61/N61-1</f>
        <v/>
      </c>
      <c r="S61" s="4" t="inlineStr">
        <is>
          <t>買進</t>
        </is>
      </c>
      <c r="T61">
        <f>2031.07059401483/N61-1</f>
        <v/>
      </c>
      <c r="U61" t="inlineStr">
        <is>
          <t>舊法：規則值情境加權價（參考，Val!B75）</t>
        </is>
      </c>
      <c r="V61" t="inlineStr">
        <is>
          <t>14.0 ／ 17.7 ／ 24.1</t>
        </is>
      </c>
      <c r="W61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10 個情境年度淨利（不含實績），全部為正</t>
        </is>
      </c>
      <c r="AE61" s="4" t="n">
        <v>671.2521938360467</v>
      </c>
      <c r="AF61" s="4" t="n">
        <v>41.5923093275</v>
      </c>
      <c r="AG61" t="inlineStr">
        <is>
          <t>[Derived] avc/dist/20261025_奇鋐模型_v0.2.1.xlsx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25%–50%</t>
        </is>
      </c>
      <c r="AK61" s="1" t="inlineStr">
        <is>
          <t>上檔空間 avc/dist/20261025_奇鋐模型_v0.2.1.xlsx Val!B122；投資建議 avc/dist/20261025_奇鋐模型_v0.2.1.xlsx Val!B135；級距 avc/dist/20261025_奇鋐模型_v0.2.1.xlsx Val!B134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423.952672244219</v>
      </c>
      <c r="G62" t="inlineStr">
        <is>
          <t>liteon/dist/20261025_光寶模型_v0.1.1.xlsx Val!B40</t>
        </is>
      </c>
      <c r="J62" s="4" t="n">
        <v>120.896373289929</v>
      </c>
      <c r="K62" t="inlineStr">
        <is>
          <t>liteon/dist/20261025_光寶模型_v0.1.1.xlsx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0.6593059579030091</v>
      </c>
      <c r="R62">
        <f>P62/N62-1</f>
        <v/>
      </c>
      <c r="S62" s="4" t="inlineStr">
        <is>
          <t>強力買進</t>
        </is>
      </c>
      <c r="V62" t="inlineStr">
        <is>
          <t>8.5 ／ 12.2 ／ 18.7</t>
        </is>
      </c>
      <c r="W62" s="1" t="inlineStr">
        <is>
          <t>DCF 目標價 318.7（Val!B24）；Comparable 目標價 529.2（Val!B41）；市場共識目標價 314.2（Val!B42，外部、僅供對照）；價格帶 C～A 情境 DCF 120.9～530.8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1037.716035148552</v>
      </c>
      <c r="AF62" s="4" t="n">
        <v>20.477547021345</v>
      </c>
      <c r="AG62" t="inlineStr">
        <is>
          <t>[Derived] liteon/dist/20261025_光寶模型_v0.1.1.xlsx PL!D12…PL!J38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liteon/dist/20261025_光寶模型_v0.1.1.xlsx Val!B43；投資建議 liteon/dist/20261025_光寶模型_v0.1.1.xlsx Val!B119；級距 liteon/dist/20261025_光寶模型_v0.1.1.xlsx Val!B118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auras/dist/20261025_雙鴻模型_v0.1.1.xlsx Val!B39</t>
        </is>
      </c>
      <c r="J63" s="4" t="n">
        <v>700.059483037327</v>
      </c>
      <c r="K63" t="inlineStr">
        <is>
          <t>auras/dist/20261025_雙鴻模型_v0.1.1.xlsx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1.03586299619186</v>
      </c>
      <c r="R63">
        <f>P63/N63-1</f>
        <v/>
      </c>
      <c r="S63" s="4" t="inlineStr">
        <is>
          <t>強力買進</t>
        </is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106.7851434762805</v>
      </c>
      <c r="AF63" s="4" t="n">
        <v>4.923841117248</v>
      </c>
      <c r="AG63" t="inlineStr">
        <is>
          <t>[Derived] auras/dist/20261025_雙鴻模型_v0.1.1.xlsx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大於 50%</t>
        </is>
      </c>
      <c r="AK63" s="1" t="inlineStr">
        <is>
          <t>上檔空間 auras/dist/20261025_雙鴻模型_v0.1.1.xlsx Val!B42；投資建議 auras/dist/20261025_雙鴻模型_v0.1.1.xlsx Val!B130；級距 auras/dist/20261025_雙鴻模型_v0.1.1.xlsx Val!B129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3902.82839585769</v>
      </c>
      <c r="G64" t="inlineStr">
        <is>
          <t>jentech/dist/20261025_健策模型_v0.1.1.xlsx Val!B40</t>
        </is>
      </c>
      <c r="J64" s="4" t="n">
        <v>1351.67225447468</v>
      </c>
      <c r="K64" t="inlineStr">
        <is>
          <t>jentech/dist/20261025_健策模型_v0.1.1.xlsx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-0.3570299183101</v>
      </c>
      <c r="R64">
        <f>P64/N64-1</f>
        <v/>
      </c>
      <c r="S64" s="4" t="inlineStr">
        <is>
          <t>放空</t>
        </is>
      </c>
      <c r="V64" t="inlineStr">
        <is>
          <t>23.4 ／ 36.4 ／ 60.3</t>
        </is>
      </c>
      <c r="W64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569.3703689419929</v>
      </c>
      <c r="AF64" s="4" t="n">
        <v>10.3442061825</v>
      </c>
      <c r="AG64" t="inlineStr">
        <is>
          <t>[Derived] jentech/dist/20261025_健策模型_v0.1.1.xlsx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−25%～−50%</t>
        </is>
      </c>
      <c r="AK64" s="1" t="inlineStr">
        <is>
          <t>上檔空間 jentech/dist/20261025_健策模型_v0.1.1.xlsx Val!B43；投資建議 jentech/dist/20261025_健策模型_v0.1.1.xlsx Val!B46；級距 jentech/dist/20261025_健策模型_v0.1.1.xlsx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2026-10-27T07:41:35Z</dcterms:created>
  <dcterms:modified xmlns:dcterms="http://purl.org/dc/terms/" xmlns:xsi="http://www.w3.org/2001/XMLSchema-instance" xsi:type="dcterms:W3CDTF">2026-10-27T07:41:35Z</dcterms:modified>
</cp:coreProperties>
</file>