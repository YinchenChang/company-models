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v0.6.16（20261031）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advantest/dist/20261031_Advantest個股模型_v0.6.xlsx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guc/dist/20261031_創意個股模型_v0.2.xlsx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kioxia/dist/20261031_Kioxia個股模型_v0.3.xlsx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sndk/dist/20261031_SanDisk個股模型_v0.3.xlsx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fabrinet/dist/20261031_Fabrinet個股模型_v0.1.5.xlsx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amkr/dist/20261031_艾克爾個股模型_v0.3.xlsx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gce/dist/20261031_金像電個股模型_v0.2.3.xlsx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victory_giant/dist/20261031_勝宏科技個股模型_v0.2.xlsx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klac/dist/20261031_科磊個股模型_v0.3.xlsx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hanmi/dist/20261031_韓美半導體個股模型_v0.2.5.xlsx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ter/dist/20261031_泰瑞達個股模型_v0.3.xlsx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besi/dist/20261031_BESI模型_v0.1.3.xlsx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smci/dist/20261031_美超微個股模型_v0.1.4.xlsx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avc/dist/20261031_奇鋐個股模型_v0.2.4.xlsx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liteon/dist/20261031_光寶個股模型_v0.3.xlsx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auras/dist/20261031_雙鴻個股模型_v0.1.4.xlsx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jentech/dist/20261031_健策個股模型_v0.1.4.xlsx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27769.0002668995</v>
      </c>
      <c r="G13" t="inlineStr">
        <is>
          <t>advantest/dist/20261031_Advantest個股模型_v0.6.xlsx Val!B146</t>
        </is>
      </c>
      <c r="J13" s="4" t="n">
        <v>8391.187939500071</v>
      </c>
      <c r="K13" t="inlineStr">
        <is>
          <t>advantest/dist/20261031_Advantest個股模型_v0.6.xlsx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-0.14134198308907</v>
      </c>
      <c r="R13">
        <f>P13/N13-1</f>
        <v/>
      </c>
      <c r="S13" s="4" t="inlineStr">
        <is>
          <t>中立</t>
        </is>
      </c>
      <c r="T13">
        <f>28914.4443962601/N13-1</f>
        <v/>
      </c>
      <c r="U13" t="inlineStr">
        <is>
          <t>舊法：規則值情境加權價（參考，Val!B102）</t>
        </is>
      </c>
      <c r="W13" s="1" t="inlineStr">
        <is>
          <t>DCF 目標價 19,090.5（Val!B131）；Comparable 目標價 34,883.6（Val!B147）；市場共識目標價 42,686.0（Val!B148，外部、僅供對照）；價格帶 C～A 情境 DCF 8,391.2～27,055.7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9093.624256173165</v>
      </c>
      <c r="AF13" s="4" t="n">
        <v>606.843925464113</v>
      </c>
      <c r="AG13" t="inlineStr">
        <is>
          <t>[Derived] advantest/dist/20261031_Advantest個股模型_v0.6.xlsx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0%～−25%</t>
        </is>
      </c>
      <c r="AK13" s="1" t="inlineStr">
        <is>
          <t>上檔空間 advantest/dist/20261031_Advantest個股模型_v0.6.xlsx Val!B149；投資建議 advantest/dist/20261031_Advantest個股模型_v0.6.xlsx Val!B158；級距 advantest/dist/20261031_Advantest個股模型_v0.6.xlsx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3968.04190837397</v>
      </c>
      <c r="G32" t="inlineStr">
        <is>
          <t>guc/dist/20261031_創意個股模型_v0.2.xlsx Val!B39</t>
        </is>
      </c>
      <c r="J32" s="4" t="n">
        <v>682.22739883973</v>
      </c>
      <c r="K32" t="inlineStr">
        <is>
          <t>guc/dist/20261031_創意個股模型_v0.2.xlsx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-0.476856702917078</v>
      </c>
      <c r="R32">
        <f>P32/N32-1</f>
        <v/>
      </c>
      <c r="S32" s="4" t="inlineStr">
        <is>
          <t>放空</t>
        </is>
      </c>
      <c r="V32" t="inlineStr">
        <is>
          <t>38.0 ／ 65.9 ／ 145.8</t>
        </is>
      </c>
      <c r="W32" s="1" t="inlineStr">
        <is>
          <t>DCF 目標價 2,267.8（Val!B24）；Comparable 目標價 3,573.3（Val!B40）；市場共識目標價 6,722.4（Val!B41，外部、僅供對照）；價格帶 C～A 情境 DCF 682.2～3,785.3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347.435412837389</v>
      </c>
      <c r="AF32" s="4" t="n">
        <v>6.28281541665569</v>
      </c>
      <c r="AG32" t="inlineStr">
        <is>
          <t>[Derived] guc/dist/20261031_創意個股模型_v0.2.xlsx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guc/dist/20261031_創意個股模型_v0.2.xlsx Val!B42；投資建議 guc/dist/20261031_創意個股模型_v0.2.xlsx Val!B135；級距 guc/dist/20261031_創意個股模型_v0.2.xlsx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24032.4231551143</v>
      </c>
      <c r="G33" t="inlineStr">
        <is>
          <t>kioxia/dist/20261031_Kioxia個股模型_v0.3.xlsx Val!B49</t>
        </is>
      </c>
      <c r="J33" s="4" t="n">
        <v>9612.25181139798</v>
      </c>
      <c r="K33" t="inlineStr">
        <is>
          <t>kioxia/dist/20261031_Kioxia個股模型_v0.3.xlsx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0.884157048617353</v>
      </c>
      <c r="R33">
        <f>P33/N33-1</f>
        <v/>
      </c>
      <c r="S33" s="4" t="inlineStr">
        <is>
          <t>強力買進</t>
        </is>
      </c>
      <c r="T33">
        <f>14045.100840694/N33-1</f>
        <v/>
      </c>
      <c r="U33" t="inlineStr">
        <is>
          <t>舊法：規則值情境加權價（參考，Val!B155）</t>
        </is>
      </c>
      <c r="V33" t="inlineStr">
        <is>
          <t>2.1 ／ 7.9 ／ 18.1</t>
        </is>
      </c>
      <c r="W33" s="1" t="inlineStr">
        <is>
          <t>DCF 目標價 26,392.1（Val!B24）；Comparable 目標價 21,672.7（Val!B50）；市場共識目標價 36,929.2（Val!B51，外部、僅供對照）；價格帶 C～A 情境 DCF 9,612.3～49,770.1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81726.32372892986</v>
      </c>
      <c r="AF33" s="4" t="n">
        <v>1038.96970838811</v>
      </c>
      <c r="AG33" t="inlineStr">
        <is>
          <t>[Derived] kioxia/dist/20261031_Kioxia個股模型_v0.3.xlsx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kioxia/dist/20261031_Kioxia個股模型_v0.3.xlsx Val!B52；投資建議 kioxia/dist/20261031_Kioxia個股模型_v0.3.xlsx Val!B55；級距 kioxia/dist/20261031_Kioxia個股模型_v0.3.xlsx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1045.58604165497</v>
      </c>
      <c r="G34" t="inlineStr">
        <is>
          <t>sndk/dist/20261031_SanDisk個股模型_v0.3.xlsx Val!B49</t>
        </is>
      </c>
      <c r="J34" s="4" t="n">
        <v>550.628819624431</v>
      </c>
      <c r="K34" t="inlineStr">
        <is>
          <t>sndk/dist/20261031_SanDisk個股模型_v0.3.xlsx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-0.155443695504175</v>
      </c>
      <c r="R34">
        <f>P34/N34-1</f>
        <v/>
      </c>
      <c r="S34" s="4" t="inlineStr">
        <is>
          <t>中立</t>
        </is>
      </c>
      <c r="T34">
        <f>474.250476449704/N34-1</f>
        <v/>
      </c>
      <c r="U34" t="inlineStr">
        <is>
          <t>舊法：規則值情境加權價（參考，Val!B155）</t>
        </is>
      </c>
      <c r="V34" t="inlineStr">
        <is>
          <t>3.2 ／ 5.1 ／ 5.7</t>
        </is>
      </c>
      <c r="W34" s="1" t="inlineStr">
        <is>
          <t>DCF 目標價 1,274.2（Val!B24）；Comparable 目標價 817.0（Val!B50）；市場共識目標價 2,144.0（Val!B51，外部、僅供對照）；價格帶 C～A 情境 DCF 550.6～2,546.8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306.0676090716939</v>
      </c>
      <c r="AF34" s="4" t="n">
        <v>3.615</v>
      </c>
      <c r="AG34" t="inlineStr">
        <is>
          <t>[Derived] sndk/dist/20261031_SanDisk個股模型_v0.3.xlsx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sndk/dist/20261031_SanDisk個股模型_v0.3.xlsx Val!B52；投資建議 sndk/dist/20261031_SanDisk個股模型_v0.3.xlsx Val!B55；級距 sndk/dist/20261031_SanDisk個股模型_v0.3.xlsx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fabrinet/dist/20261031_Fabrinet個股模型_v0.1.5.xlsx Val!B39</t>
        </is>
      </c>
      <c r="J39" s="4" t="n">
        <v>163.840959069597</v>
      </c>
      <c r="K39" t="inlineStr">
        <is>
          <t>fabrinet/dist/20261031_Fabrinet個股模型_v0.1.5.xlsx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fabrinet/dist/20261031_Fabrinet個股模型_v0.1.5.xlsx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fabrinet/dist/20261031_Fabrinet個股模型_v0.1.5.xlsx Val!B42；投資建議 fabrinet/dist/20261031_Fabrinet個股模型_v0.1.5.xlsx Val!B50；級距 fabrinet/dist/20261031_Fabrinet個股模型_v0.1.5.xlsx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61.7701299373206</v>
      </c>
      <c r="G43" t="inlineStr">
        <is>
          <t>amkr/dist/20261031_艾克爾個股模型_v0.3.xlsx Val!B39</t>
        </is>
      </c>
      <c r="J43" s="4" t="n">
        <v>21.2110888160172</v>
      </c>
      <c r="K43" t="inlineStr">
        <is>
          <t>amkr/dist/20261031_艾克爾個股模型_v0.3.xlsx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0.571759031483984</v>
      </c>
      <c r="R43">
        <f>P43/N43-1</f>
        <v/>
      </c>
      <c r="S43" s="4" t="inlineStr">
        <is>
          <t>強力買進</t>
        </is>
      </c>
      <c r="V43" t="inlineStr">
        <is>
          <t>10.6 ／ 13.1 ／ 18.4</t>
        </is>
      </c>
      <c r="W43" s="1" t="inlineStr">
        <is>
          <t>DCF 目標價 33.9（Val!B24）；Comparable 目標價 69.8（Val!B40）；市場共識目標價 76.4（Val!B41，外部、僅供對照）；價格帶 C～A 情境 DCF 21.2～45.7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16479.54750258677</v>
      </c>
      <c r="AF43" s="4" t="n">
        <v>534.596034019182</v>
      </c>
      <c r="AG43" t="inlineStr">
        <is>
          <t>[Derived] amkr/dist/20261031_艾克爾個股模型_v0.3.xlsx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amkr/dist/20261031_艾克爾個股模型_v0.3.xlsx Val!B42；投資建議 amkr/dist/20261031_艾克爾個股模型_v0.3.xlsx Val!B50；級距 amkr/dist/20261031_艾克爾個股模型_v0.3.xlsx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gce/dist/20261031_金像電個股模型_v0.2.3.xlsx Val!B40</t>
        </is>
      </c>
      <c r="J47" s="4" t="n">
        <v>559.015397539127</v>
      </c>
      <c r="K47" t="inlineStr">
        <is>
          <t>gce/dist/20261031_金像電個股模型_v0.2.3.xlsx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gce/dist/20261031_金像電個股模型_v0.2.3.xlsx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gce/dist/20261031_金像電個股模型_v0.2.3.xlsx Val!B43；投資建議 gce/dist/20261031_金像電個股模型_v0.2.3.xlsx Val!B119；級距 gce/dist/20261031_金像電個股模型_v0.2.3.xlsx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290.7783783632</v>
      </c>
      <c r="G48" t="inlineStr">
        <is>
          <t>victory_giant/dist/20261031_勝宏科技個股模型_v0.2.xlsx Val!B39</t>
        </is>
      </c>
      <c r="J48" s="4" t="n">
        <v>93.9743487266784</v>
      </c>
      <c r="K48" t="inlineStr">
        <is>
          <t>victory_giant/dist/20261031_勝宏科技個股模型_v0.2.xlsx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0.584796045144974</v>
      </c>
      <c r="R48">
        <f>P48/N48-1</f>
        <v/>
      </c>
      <c r="S48" s="4" t="inlineStr">
        <is>
          <t>強力買進</t>
        </is>
      </c>
      <c r="V48" t="inlineStr">
        <is>
          <t>10.8 ／ 13.3 ／ 17.6</t>
        </is>
      </c>
      <c r="W48" s="1" t="inlineStr">
        <is>
          <t>DCF 目標價 193.7（Val!B24）；Comparable 目標價 425.5（Val!B40）；市場共識目標價 388.3（Val!B41，外部、僅供對照）；價格帶 C～A 情境 DCF 94.0～275.0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241.3705845401136</v>
      </c>
      <c r="AF48" s="4" t="n">
        <v>5.29420369307833</v>
      </c>
      <c r="AG48" t="inlineStr">
        <is>
          <t>[Derived] victory_giant/dist/20261031_勝宏科技個股模型_v0.2.xlsx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victory_giant/dist/20261031_勝宏科技個股模型_v0.2.xlsx Val!B42；投資建議 victory_giant/dist/20261031_勝宏科技個股模型_v0.2.xlsx Val!B119；級距 victory_giant/dist/20261031_勝宏科技個股模型_v0.2.xlsx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118.897052166628</v>
      </c>
      <c r="G52" t="inlineStr">
        <is>
          <t>klac/dist/20261031_科磊個股模型_v0.3.xlsx Val!B129</t>
        </is>
      </c>
      <c r="J52" s="4" t="n">
        <v>58.2160282703962</v>
      </c>
      <c r="K52" t="inlineStr">
        <is>
          <t>klac/dist/20261031_科磊個股模型_v0.3.xlsx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-0.183455448344015</v>
      </c>
      <c r="R52">
        <f>P52/N52-1</f>
        <v/>
      </c>
      <c r="S52" s="4" t="inlineStr">
        <is>
          <t>中立</t>
        </is>
      </c>
      <c r="T52">
        <f>105.48537779437/N52-1</f>
        <v/>
      </c>
      <c r="U52" t="inlineStr">
        <is>
          <t>舊法：規則值情境加權價（參考，Val!B6）</t>
        </is>
      </c>
      <c r="V52" t="inlineStr">
        <is>
          <t>22.7 ／ 24.5 ／ 28.1</t>
        </is>
      </c>
      <c r="W52" s="1" t="inlineStr">
        <is>
          <t>DCF 目標價 95.0（Val!B114）；Comparable 目標價 150.0（Val!B130）；市場共識目標價 232.4（Val!B131，外部、僅供對照）；價格帶 C～A 情境 DCF 58.2～132.6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67729.98732566486</v>
      </c>
      <c r="AF52" s="4" t="n">
        <v>6197.93313628252</v>
      </c>
      <c r="AG52" t="inlineStr">
        <is>
          <t>[Derived] klac/dist/20261031_科磊個股模型_v0.3.xlsx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klac/dist/20261031_科磊個股模型_v0.3.xlsx Val!B132；投資建議 klac/dist/20261031_科磊個股模型_v0.3.xlsx Val!B140；級距 klac/dist/20261031_科磊個股模型_v0.3.xlsx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hanmi/dist/20261031_韓美半導體個股模型_v0.2.5.xlsx Val!B111</t>
        </is>
      </c>
      <c r="J53" s="4" t="n">
        <v>16072.8325490973</v>
      </c>
      <c r="K53" t="inlineStr">
        <is>
          <t>hanmi/dist/20261031_韓美半導體個股模型_v0.2.5.xlsx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hanmi/dist/20261031_韓美半導體個股模型_v0.2.5.xlsx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hanmi/dist/20261031_韓美半導體個股模型_v0.2.5.xlsx Val!B114；投資建議 hanmi/dist/20261031_韓美半導體個股模型_v0.2.5.xlsx Val!B123；級距 hanmi/dist/20261031_韓美半導體個股模型_v0.2.5.xlsx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373.778613879716</v>
      </c>
      <c r="G54" t="inlineStr">
        <is>
          <t>ter/dist/20261031_泰瑞達個股模型_v0.3.xlsx Val!B126</t>
        </is>
      </c>
      <c r="J54" s="4" t="n">
        <v>172.348161850466</v>
      </c>
      <c r="K54" t="inlineStr">
        <is>
          <t>ter/dist/20261031_泰瑞達個股模型_v0.3.xlsx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0.210227015961523</v>
      </c>
      <c r="R54">
        <f>P54/N54-1</f>
        <v/>
      </c>
      <c r="S54" s="4" t="inlineStr">
        <is>
          <t>中立</t>
        </is>
      </c>
      <c r="T54">
        <f>397.809026598135/N54-1</f>
        <v/>
      </c>
      <c r="U54" t="inlineStr">
        <is>
          <t>舊法：規則值情境加權價（參考，Val!B82）</t>
        </is>
      </c>
      <c r="V54" t="inlineStr">
        <is>
          <t>18.1 ／ 21.2 ／ 21.3</t>
        </is>
      </c>
      <c r="W54" s="1" t="inlineStr">
        <is>
          <t>DCF 目標價 229.6（Val!B111）；Comparable 目標價 425.4（Val!B127）；市場共識目標價 446.5（Val!B128，外部、僅供對照）；價格帶 C～A 情境 DCF 172.3～296.3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23694.85224973933</v>
      </c>
      <c r="AF54" s="4" t="n">
        <v>1435.525</v>
      </c>
      <c r="AG54" t="inlineStr">
        <is>
          <t>[Derived] ter/dist/20261031_泰瑞達個股模型_v0.3.xlsx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ter/dist/20261031_泰瑞達個股模型_v0.3.xlsx Val!B129；投資建議 ter/dist/20261031_泰瑞達個股模型_v0.3.xlsx Val!B138；級距 ter/dist/20261031_泰瑞達個股模型_v0.3.xlsx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besi/dist/20261031_BESI模型_v0.1.3.xlsx Val!B112</t>
        </is>
      </c>
      <c r="J55" s="4" t="n">
        <v>43.9240158537741</v>
      </c>
      <c r="K55" t="inlineStr">
        <is>
          <t>besi/dist/20261031_BESI模型_v0.1.3.xlsx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besi/dist/20261031_BESI模型_v0.1.3.xlsx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besi/dist/20261031_BESI模型_v0.1.3.xlsx Val!B115；投資建議 besi/dist/20261031_BESI模型_v0.1.3.xlsx Val!B124；級距 besi/dist/20261031_BESI模型_v0.1.3.xlsx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smci/dist/20261031_美超微個股模型_v0.1.4.xlsx Val!B39</t>
        </is>
      </c>
      <c r="J62" s="4" t="n">
        <v>31.419993199526</v>
      </c>
      <c r="K62" t="inlineStr">
        <is>
          <t>smci/dist/20261031_美超微個股模型_v0.1.4.xlsx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smci/dist/20261031_美超微個股模型_v0.1.4.xlsx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smci/dist/20261031_美超微個股模型_v0.1.4.xlsx Val!B42；投資建議 smci/dist/20261031_美超微個股模型_v0.1.4.xlsx Val!B136；級距 smci/dist/20261031_美超微個股模型_v0.1.4.xlsx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avc/dist/20261031_奇鋐個股模型_v0.2.4.xlsx Val!B119</t>
        </is>
      </c>
      <c r="J63" s="4" t="n">
        <v>1834.66717881609</v>
      </c>
      <c r="K63" t="inlineStr">
        <is>
          <t>avc/dist/20261031_奇鋐個股模型_v0.2.4.xlsx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avc/dist/20261031_奇鋐個股模型_v0.2.4.xlsx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avc/dist/20261031_奇鋐個股模型_v0.2.4.xlsx Val!B122；投資建議 avc/dist/20261031_奇鋐個股模型_v0.2.4.xlsx Val!B135；級距 avc/dist/20261031_奇鋐個股模型_v0.2.4.xlsx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322.179465003464</v>
      </c>
      <c r="G64" t="inlineStr">
        <is>
          <t>liteon/dist/20261031_光寶個股模型_v0.3.xlsx Val!B40</t>
        </is>
      </c>
      <c r="J64" s="4" t="n">
        <v>121.332763437476</v>
      </c>
      <c r="K64" t="inlineStr">
        <is>
          <t>liteon/dist/20261031_光寶個股模型_v0.3.xlsx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0.260976379661307</v>
      </c>
      <c r="R64">
        <f>P64/N64-1</f>
        <v/>
      </c>
      <c r="S64" s="4" t="inlineStr">
        <is>
          <t>買進</t>
        </is>
      </c>
      <c r="V64" t="inlineStr">
        <is>
          <t>8.4 ／ 12.0 ／ 18.4</t>
        </is>
      </c>
      <c r="W64" s="1" t="inlineStr">
        <is>
          <t>DCF 目標價 321.0（Val!B24）；Comparable 目標價 534.5（Val!B41）；市場共識目標價 314.2（Val!B42，外部、僅供對照）；價格帶 C～A 情境 DCF 121.3～534.9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1046.873324121932</v>
      </c>
      <c r="AF64" s="4" t="n">
        <v>20.4573090423823</v>
      </c>
      <c r="AG64" t="inlineStr">
        <is>
          <t>[Derived] liteon/dist/20261031_光寶個股模型_v0.3.xlsx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25%–50%</t>
        </is>
      </c>
      <c r="AK64" s="1" t="inlineStr">
        <is>
          <t>上檔空間 liteon/dist/20261031_光寶個股模型_v0.3.xlsx Val!B43；投資建議 liteon/dist/20261031_光寶個股模型_v0.3.xlsx Val!B119；級距 liteon/dist/20261031_光寶個股模型_v0.3.xlsx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auras/dist/20261031_雙鴻個股模型_v0.1.4.xlsx Val!B39</t>
        </is>
      </c>
      <c r="J65" s="4" t="n">
        <v>700.0594830373281</v>
      </c>
      <c r="K65" t="inlineStr">
        <is>
          <t>auras/dist/20261031_雙鴻個股模型_v0.1.4.xlsx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auras/dist/20261031_雙鴻個股模型_v0.1.4.xlsx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auras/dist/20261031_雙鴻個股模型_v0.1.4.xlsx Val!B42；投資建議 auras/dist/20261031_雙鴻個股模型_v0.1.4.xlsx Val!B130；級距 auras/dist/20261031_雙鴻個股模型_v0.1.4.xlsx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jentech/dist/20261031_健策個股模型_v0.1.4.xlsx Val!B40</t>
        </is>
      </c>
      <c r="J66" s="4" t="n">
        <v>1351.67225447468</v>
      </c>
      <c r="K66" t="inlineStr">
        <is>
          <t>jentech/dist/20261031_健策個股模型_v0.1.4.xlsx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jentech/dist/20261031_健策個股模型_v0.1.4.xlsx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jentech/dist/20261031_健策個股模型_v0.1.4.xlsx Val!B43；投資建議 jentech/dist/20261031_健策個股模型_v0.1.4.xlsx Val!B46；級距 jentech/dist/20261031_健策個股模型_v0.1.4.xlsx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2026-10-30T21:51:57Z</dcterms:created>
  <dcterms:modified xmlns:dcterms="http://purl.org/dc/terms/" xmlns:xsi="http://www.w3.org/2001/XMLSchema-instance" xsi:type="dcterms:W3CDTF">2026-10-30T21:51:57Z</dcterms:modified>
</cp:coreProperties>
</file>