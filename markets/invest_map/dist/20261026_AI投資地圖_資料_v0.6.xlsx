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w_irr">參數!$B$2</definedName>
    <definedName name="w_pos">參數!$B$3</definedName>
    <definedName name="w_vc">參數!$B$4</definedName>
    <definedName name="s_irr1">參數!$B$5</definedName>
    <definedName name="s_irr2">參數!$B$6</definedName>
    <definedName name="s_irr3">參數!$B$7</definedName>
    <definedName name="s_pos1">參數!$B$8</definedName>
    <definedName name="s_pos2">參數!$B$9</definedName>
    <definedName name="s_pos3">參數!$B$10</definedName>
    <definedName name="s_pos4">參數!$B$11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v0.6（20261026）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收支關卡（Andy 2026-10-25 10:48）：先看收支、再看評價。模型期間（2026 起約五年）現金收支合計為負＝入不敷出、有資金缺口，評價為買進以上（或未估值）者，最終分級改為「收支不足」；評價為中立、放空、強力放空者維持原評價，入不敷出只加重放空理由（Andy 2026-10-26 修訂）。口徑：雲端／neocloud／MAG 模板一律用「營運缺口＋股東回饋（股利、回購）」；記憶體、模型商用自由現金流；只有損益的半導體模型以「各情境淨利皆為正」判定（現金流本專案未建立）。</t>
        </is>
      </c>
    </row>
    <row r="9">
      <c r="A9" s="1" t="inlineStr">
        <is>
          <t>可投資性口徑（v0.5，Andy 2026-10-25 18:14：數字引用個股模型，模型沒有的才自算）：半導體 52 家的中心價＝模型「目標價（DCF 與 Comparable 加權）」、中心空間＝模型「上檔空間：加權目標價」、現價＝模型現價（上檔空間的分母）、投資建議與上檔空間級距＝模型 Val 列；模型尚未補列者依 AI半導體 固定規則（&gt;+50% 強力買進、+25～+50% 買進、−25～+25% 中立、−50～−25% 放空、&lt;−50% 強力放空）以模型上檔空間自算。悲觀情境空間（v0.5.1 前稱「下檔空間」）＝C 情境 DCF 價值 ÷ 模型現價 − 1（模型無此欄，自算）；不是一般所說目標價相對現價的下跌幅度。雲端與 neocloud（v0.5.1）：上檔空間＝模型加權目標價 ÷ 最近外部收盤價 − 1，依同一五級規則自算（不用模型自身評等，不再出現「賣出」）；MiniMax 用反向檢驗折現價值，依同一固定規則自算。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w_irr</t>
        </is>
      </c>
      <c r="B2" s="3" t="n">
        <v>0.4</v>
      </c>
      <c r="C2" t="inlineStr">
        <is>
          <t>地位分數權重：不可替代性</t>
        </is>
      </c>
    </row>
    <row r="3">
      <c r="A3" t="inlineStr">
        <is>
          <t>w_pos</t>
        </is>
      </c>
      <c r="B3" s="3" t="n">
        <v>0.35</v>
      </c>
      <c r="C3" t="inlineStr">
        <is>
          <t>地位分數權重：市場位置</t>
        </is>
      </c>
    </row>
    <row r="4">
      <c r="A4" t="inlineStr">
        <is>
          <t>w_vc</t>
        </is>
      </c>
      <c r="B4" s="3" t="n">
        <v>0.25</v>
      </c>
      <c r="C4" t="inlineStr">
        <is>
          <t>地位分數權重：價值鏈分量</t>
        </is>
      </c>
    </row>
    <row r="5">
      <c r="A5" t="inlineStr">
        <is>
          <t>s_irr1</t>
        </is>
      </c>
      <c r="B5" s="3" t="n">
        <v>100</v>
      </c>
      <c r="C5" t="inlineStr">
        <is>
          <t>不可替代性／重要性 1 → 分數</t>
        </is>
      </c>
    </row>
    <row r="6">
      <c r="A6" t="inlineStr">
        <is>
          <t>s_irr2</t>
        </is>
      </c>
      <c r="B6" s="3" t="n">
        <v>60</v>
      </c>
      <c r="C6" t="inlineStr">
        <is>
          <t>2 → 分數</t>
        </is>
      </c>
    </row>
    <row r="7">
      <c r="A7" t="inlineStr">
        <is>
          <t>s_irr3</t>
        </is>
      </c>
      <c r="B7" s="3" t="n">
        <v>30</v>
      </c>
      <c r="C7" t="inlineStr">
        <is>
          <t>3 → 分數</t>
        </is>
      </c>
    </row>
    <row r="8">
      <c r="A8" t="inlineStr">
        <is>
          <t>s_pos1</t>
        </is>
      </c>
      <c r="B8" s="3" t="n">
        <v>100</v>
      </c>
      <c r="C8" t="inlineStr">
        <is>
          <t>市場位置 1 龍頭 → 分數</t>
        </is>
      </c>
    </row>
    <row r="9">
      <c r="A9" t="inlineStr">
        <is>
          <t>s_pos2</t>
        </is>
      </c>
      <c r="B9" s="3" t="n">
        <v>75</v>
      </c>
      <c r="C9" t="inlineStr">
        <is>
          <t>2 前二或寡占 → 分數</t>
        </is>
      </c>
    </row>
    <row r="10">
      <c r="A10" t="inlineStr">
        <is>
          <t>s_pos3</t>
        </is>
      </c>
      <c r="B10" s="3" t="n">
        <v>50</v>
      </c>
      <c r="C10" t="inlineStr">
        <is>
          <t>3 主要參與者 → 分數</t>
        </is>
      </c>
    </row>
    <row r="11">
      <c r="A11" t="inlineStr">
        <is>
          <t>s_pos4</t>
        </is>
      </c>
      <c r="B11" s="3" t="n">
        <v>25</v>
      </c>
      <c r="C11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51.6%（VR200 2027 33.2%）</t>
        </is>
      </c>
      <c r="D5" s="4" t="n">
        <v>0.516</v>
      </c>
      <c r="E5">
        <f>D5*每GW!$D$2</f>
        <v/>
      </c>
      <c r="F5" s="3" t="n">
        <v>1</v>
      </c>
      <c r="G5" s="3" t="n">
        <v>100</v>
      </c>
      <c r="H5" s="1" t="inlineStr">
        <is>
          <t>AI半導體 次產業排序 v0.2.3：NVIDIA GPU 晶片毛利＋CPU；HBM、台積電、網通晶片不在此塊；只含 NVIDIA 平台 [Derived]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13.5%（VR200 2027 22.8%）</t>
        </is>
      </c>
      <c r="D6" s="4" t="n">
        <v>0.135</v>
      </c>
      <c r="E6">
        <f>D6*每GW!$D$2</f>
        <v/>
      </c>
      <c r="F6" s="3" t="n">
        <v>1</v>
      </c>
      <c r="G6" s="3" t="n">
        <v>100</v>
      </c>
      <c r="H6" s="1" t="inlineStr">
        <is>
          <t>AI半導體 次產業排序 v0.2.3：HBM＋LPDDR5X＋機架內 NAND（NAND 為 Assumed）；2027 HBM 合約價約翻倍 [Derived]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17.5%（VR200 2027 19.0%）</t>
        </is>
      </c>
      <c r="D7" s="4" t="n">
        <v>0.175</v>
      </c>
      <c r="E7">
        <f>D7*每GW!$D$2</f>
        <v/>
      </c>
      <c r="F7" s="3" t="n">
        <v>2</v>
      </c>
      <c r="G7" s="3" t="n">
        <v>75</v>
      </c>
      <c r="H7" s="1" t="inlineStr">
        <is>
          <t>AI半導體 次產業排序 v0.2.3：NVLink 交換晶片＋交換匣其他＋scale-out 機架外＋SuperNIC／DPU [Derived]</t>
        </is>
      </c>
    </row>
    <row r="8">
      <c r="A8" t="inlineStr">
        <is>
          <t>L3 IT 設備</t>
        </is>
      </c>
      <c r="B8" t="inlineStr">
        <is>
          <t>代工與封測</t>
        </is>
      </c>
      <c r="C8" t="inlineStr">
        <is>
          <t>5.4%（VR200 2027 3.0%）</t>
        </is>
      </c>
      <c r="D8" s="4" t="n">
        <v>0.05400000000000001</v>
      </c>
      <c r="E8">
        <f>D8*每GW!$D$2</f>
        <v/>
      </c>
      <c r="F8" s="3" t="n">
        <v>1</v>
      </c>
      <c r="G8" s="3" t="n">
        <v>75</v>
      </c>
      <c r="H8" s="1" t="inlineStr">
        <is>
          <t>AI半導體 次產業排序 v0.2.3：台積電（GPU 晶片＋CoWoS）＋其他製造（測試、良率損失），扣除 ABF；比例小但先進製程與 CoWoS 近獨占，分量分例外給 75 [Derived]／[判斷]</t>
        </is>
      </c>
    </row>
    <row r="9">
      <c r="A9" t="inlineStr">
        <is>
          <t>L3 IT 設備</t>
        </is>
      </c>
      <c r="B9" t="inlineStr">
        <is>
          <t>載板與 PCB</t>
        </is>
      </c>
      <c r="C9" t="inlineStr">
        <is>
          <t>0.3%（VR200 2027 0.3%；ABF，0.2–0.4%；PCB／CCL 在伺服器組裝內）</t>
        </is>
      </c>
      <c r="D9" s="4" t="n">
        <v>0.003</v>
      </c>
      <c r="E9">
        <f>D9*每GW!$D$2</f>
        <v/>
      </c>
      <c r="F9" s="3" t="n">
        <v>2</v>
      </c>
      <c r="G9" s="3" t="n">
        <v>25</v>
      </c>
      <c r="H9" s="1" t="inlineStr">
        <is>
          <t>AI半導體 次產業排序 v0.2.3：ABF 自「其他製造」切出 [Assumed] 區間</t>
        </is>
      </c>
    </row>
    <row r="10">
      <c r="A10" t="inlineStr">
        <is>
          <t>L3 IT 設備</t>
        </is>
      </c>
      <c r="B10" t="inlineStr">
        <is>
          <t>電源與散熱</t>
        </is>
      </c>
      <c r="C10" t="inlineStr">
        <is>
          <t>6.3%（VR200 2027 6.3%；含機構、整合；電源＋散熱約 3–5%）</t>
        </is>
      </c>
      <c r="D10" s="4" t="n">
        <v>0.063</v>
      </c>
      <c r="E10">
        <f>D10*每GW!$D$2</f>
        <v/>
      </c>
      <c r="F10" s="3" t="n">
        <v>2</v>
      </c>
      <c r="G10" s="3" t="n">
        <v>25</v>
      </c>
      <c r="H10" s="1" t="inlineStr">
        <is>
          <t>AI半導體 次產業排序 v0.2.3：非 NVIDIA 機架內容全額；電源＋散熱 3–5% 為判斷，級距依 3–5% 給 25 [Derived]／[Assumed]</t>
        </is>
      </c>
    </row>
    <row r="11">
      <c r="A11" t="inlineStr">
        <is>
          <t>L3 IT 設備</t>
        </is>
      </c>
      <c r="B11" t="inlineStr">
        <is>
          <t>伺服器組裝</t>
        </is>
      </c>
      <c r="C11" t="inlineStr">
        <is>
          <t>4.6%（VR200 2027 14.9%；殘差，未拆；ODM 附加價值約 1–3%）</t>
        </is>
      </c>
      <c r="D11" s="4" t="n">
        <v>0.046</v>
      </c>
      <c r="E11">
        <f>D11*每GW!$D$2</f>
        <v/>
      </c>
      <c r="F11" s="3" t="n">
        <v>3</v>
      </c>
      <c r="G11" s="3" t="n">
        <v>25</v>
      </c>
      <c r="H11" s="1" t="inlineStr">
        <is>
          <t>AI半導體 次產業排序 v0.2.3：橋接表殘差（匣級電路板含 PCB、匣級供電、NVIDIA／ODM 匣級加價），未拆；組裝廠附加價值 1–3% 為判斷 [Derived]</t>
        </is>
      </c>
    </row>
    <row r="12">
      <c r="A12" t="inlineStr">
        <is>
          <t>L3 IT 設備</t>
        </is>
      </c>
      <c r="B12" t="inlineStr">
        <is>
          <t>儲存與管理</t>
        </is>
      </c>
      <c r="C12" t="inlineStr">
        <is>
          <t>0.8%（VR200 2027 0.4%；機架外儲存、管理網路，未拆）</t>
        </is>
      </c>
      <c r="D12" s="4" t="n">
        <v>0.008</v>
      </c>
      <c r="E12">
        <f>D12*每GW!$D$2</f>
        <v/>
      </c>
      <c r="F12" s="3" t="n">
        <v>3</v>
      </c>
      <c r="G12" s="3" t="n">
        <v>25</v>
      </c>
      <c r="H12" s="1" t="inlineStr">
        <is>
          <t>AI半導體 次產業排序 v0.2.3：橋接表儲存與管理列（機架外儲存、管理網路），未拆、不建模；不可替代性 3 為判斷 [Derived]／[判斷]</t>
        </is>
      </c>
    </row>
    <row r="13">
      <c r="A13" t="inlineStr">
        <is>
          <t>L2 半導體製造與設備</t>
        </is>
      </c>
      <c r="B13" t="inlineStr">
        <is>
          <t>設備與材料</t>
        </is>
      </c>
      <c r="C13" t="inlineStr">
        <is>
          <t>約 7.5%（軸 B，不可與軸 A 相加）</t>
        </is>
      </c>
      <c r="D13" s="4" t="n">
        <v>0.075</v>
      </c>
      <c r="F13" s="3" t="n">
        <v>1</v>
      </c>
      <c r="G13" s="3" t="n">
        <v>50</v>
      </c>
      <c r="H13" s="1" t="inlineStr">
        <is>
          <t>AI半導體 次產業排序 v0.2.3（設備模型情境 A：2027 AI 相關設備 117.8B ÷ 1,565B）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RANK(M2,$M$2:$M$64,0)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RANK(M3,$M$2:$M$64,0)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RANK(M4,$M$2:$M$64,0)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RANK(M5,$M$2:$M$64,0)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RANK(M6,$M$2:$M$64,0)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RANK(M7,$M$2:$M$64,0)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RANK(M8,$M$2:$M$64,0)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價值鏈!A8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價值鏈!F8</f>
        <v/>
      </c>
      <c r="J9">
        <f>價值鏈!G8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RANK(M9,$M$2:$M$64,0)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價值鏈!A9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價值鏈!F9</f>
        <v/>
      </c>
      <c r="J10">
        <f>價值鏈!G9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RANK(M10,$M$2:$M$64,0)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價值鏈!A10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價值鏈!F10</f>
        <v/>
      </c>
      <c r="J11">
        <f>價值鏈!G10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RANK(M11,$M$2:$M$64,0)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價值鏈!A11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價值鏈!F11</f>
        <v/>
      </c>
      <c r="J12">
        <f>價值鏈!G11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RANK(M12,$M$2:$M$64,0)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價值鏈!A13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價值鏈!F13</f>
        <v/>
      </c>
      <c r="J13">
        <f>價值鏈!G13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RANK(M13,$M$2:$M$64,0)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價值鏈!A13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價值鏈!F13</f>
        <v/>
      </c>
      <c r="J14">
        <f>價值鏈!G13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RANK(M14,$M$2:$M$64,0)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RANK(M15,$M$2:$M$64,0)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RANK(M16,$M$2:$M$64,0)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RANK(M17,$M$2:$M$64,0)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RANK(M18,$M$2:$M$64,0)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RANK(M19,$M$2:$M$64,0)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RANK(M20,$M$2:$M$64,0)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RANK(M21,$M$2:$M$64,0)</f>
        <v/>
      </c>
    </row>
    <row r="22">
      <c r="A22" t="inlineStr">
        <is>
          <t>OpenAI</t>
        </is>
      </c>
      <c r="B22" t="inlineStr">
        <is>
          <t>OpenAI</t>
        </is>
      </c>
      <c r="C22">
        <f>價值鏈!A2</f>
        <v/>
      </c>
      <c r="D22" t="inlineStr">
        <is>
          <t>AI 模型商</t>
        </is>
      </c>
      <c r="E22" s="3" t="n">
        <v>1</v>
      </c>
      <c r="F22" s="3" t="n">
        <v>1</v>
      </c>
      <c r="G22" s="1" t="inlineStr">
        <is>
          <t>ChatGPT 與 API 用量最大的模型商；算力承諾最大（本專案 OpenAI 模型）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RANK(M22,$M$2:$M$64,0)</f>
        <v/>
      </c>
    </row>
    <row r="23">
      <c r="A23" t="inlineStr">
        <is>
          <t>Anthropic</t>
        </is>
      </c>
      <c r="B23" t="inlineStr">
        <is>
          <t>Anthropic</t>
        </is>
      </c>
      <c r="C23">
        <f>價值鏈!A2</f>
        <v/>
      </c>
      <c r="D23" t="inlineStr">
        <is>
          <t>AI 模型商</t>
        </is>
      </c>
      <c r="E23" s="3" t="n">
        <v>1</v>
      </c>
      <c r="F23" s="3" t="n">
        <v>2</v>
      </c>
      <c r="G23" s="1" t="inlineStr">
        <is>
          <t>企業與程式開發用途為主的前沿模型商（本專案 Anthropic 模型）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RANK(M23,$M$2:$M$64,0)</f>
        <v/>
      </c>
    </row>
    <row r="24">
      <c r="A24" t="inlineStr">
        <is>
          <t>00100</t>
        </is>
      </c>
      <c r="B24" t="inlineStr">
        <is>
          <t>MiniMax</t>
        </is>
      </c>
      <c r="C24">
        <f>價值鏈!A2</f>
        <v/>
      </c>
      <c r="D24" t="inlineStr">
        <is>
          <t>AI 模型商</t>
        </is>
      </c>
      <c r="E24" s="3" t="n">
        <v>3</v>
      </c>
      <c r="F24" s="3" t="n">
        <v>3</v>
      </c>
      <c r="G24" s="1" t="inlineStr">
        <is>
          <t>中國第二梯隊模型商；多模態、海外營收占比高</t>
        </is>
      </c>
      <c r="H24" t="inlineStr">
        <is>
          <t>[判斷]</t>
        </is>
      </c>
      <c r="I24">
        <f>價值鏈!F2</f>
        <v/>
      </c>
      <c r="J24">
        <f>價值鏈!G2</f>
        <v/>
      </c>
      <c r="K24">
        <f>(CHOOSE(I24,s_irr1,s_irr2,s_irr3)+CHOOSE(E24,s_irr1,s_irr2,s_irr3))/2</f>
        <v/>
      </c>
      <c r="L24">
        <f>CHOOSE(F24,s_pos1,s_pos2,s_pos3,s_pos4)</f>
        <v/>
      </c>
      <c r="M24">
        <f>w_irr*K24+w_pos*L24+w_vc*J24</f>
        <v/>
      </c>
      <c r="N24">
        <f>RANK(M24,$M$2:$M$64,0)</f>
        <v/>
      </c>
    </row>
    <row r="25">
      <c r="A25" t="inlineStr">
        <is>
          <t>02513</t>
        </is>
      </c>
      <c r="B25" t="inlineStr">
        <is>
          <t>智譜</t>
        </is>
      </c>
      <c r="C25">
        <f>價值鏈!A2</f>
        <v/>
      </c>
      <c r="D25" t="inlineStr">
        <is>
          <t>AI 模型商</t>
        </is>
      </c>
      <c r="E25" s="3" t="n">
        <v>3</v>
      </c>
      <c r="F25" s="3" t="n">
        <v>3</v>
      </c>
      <c r="G25" s="1" t="inlineStr">
        <is>
          <t>中國第二梯隊模型商；政企本地化部署</t>
        </is>
      </c>
      <c r="H25" t="inlineStr">
        <is>
          <t>[判斷]</t>
        </is>
      </c>
      <c r="I25">
        <f>價值鏈!F2</f>
        <v/>
      </c>
      <c r="J25">
        <f>價值鏈!G2</f>
        <v/>
      </c>
      <c r="K25">
        <f>(CHOOSE(I25,s_irr1,s_irr2,s_irr3)+CHOOSE(E25,s_irr1,s_irr2,s_irr3))/2</f>
        <v/>
      </c>
      <c r="L25">
        <f>CHOOSE(F25,s_pos1,s_pos2,s_pos3,s_pos4)</f>
        <v/>
      </c>
      <c r="M25">
        <f>w_irr*K25+w_pos*L25+w_vc*J25</f>
        <v/>
      </c>
      <c r="N25">
        <f>RANK(M25,$M$2:$M$64,0)</f>
        <v/>
      </c>
    </row>
    <row r="26">
      <c r="A26" t="inlineStr">
        <is>
          <t>AMD</t>
        </is>
      </c>
      <c r="B26" t="inlineStr">
        <is>
          <t>AMD</t>
        </is>
      </c>
      <c r="C26">
        <f>價值鏈!A5</f>
        <v/>
      </c>
      <c r="D26" t="inlineStr">
        <is>
          <t>運算</t>
        </is>
      </c>
      <c r="E26" s="3" t="n">
        <v>2</v>
      </c>
      <c r="F26" s="3" t="n">
        <v>3</v>
      </c>
      <c r="G26" s="1" t="inlineStr">
        <is>
          <t>AI 加速器金額份額 CY2027 約 3–6%（本專案推導）；2027 資料中心「超過一倍」（公司）（AI半導體 候選母體 v0.2.2；市場位置由次產業內優先序 3 換算）</t>
        </is>
      </c>
      <c r="H26" t="inlineStr">
        <is>
          <t>[判斷]</t>
        </is>
      </c>
      <c r="I26">
        <f>價值鏈!F5</f>
        <v/>
      </c>
      <c r="J26">
        <f>價值鏈!G5</f>
        <v/>
      </c>
      <c r="K26">
        <f>(CHOOSE(I26,s_irr1,s_irr2,s_irr3)+CHOOSE(E26,s_irr1,s_irr2,s_irr3))/2</f>
        <v/>
      </c>
      <c r="L26">
        <f>CHOOSE(F26,s_pos1,s_pos2,s_pos3,s_pos4)</f>
        <v/>
      </c>
      <c r="M26">
        <f>w_irr*K26+w_pos*L26+w_vc*J26</f>
        <v/>
      </c>
      <c r="N26">
        <f>RANK(M26,$M$2:$M$64,0)</f>
        <v/>
      </c>
    </row>
    <row r="27">
      <c r="A27" t="inlineStr">
        <is>
          <t>2454</t>
        </is>
      </c>
      <c r="B27" t="inlineStr">
        <is>
          <t>聯發科</t>
        </is>
      </c>
      <c r="C27">
        <f>價值鏈!A5</f>
        <v/>
      </c>
      <c r="D27" t="inlineStr">
        <is>
          <t>運算</t>
        </is>
      </c>
      <c r="E27" s="3" t="n">
        <v>2</v>
      </c>
      <c r="F27" s="3" t="n">
        <v>3</v>
      </c>
      <c r="G27" s="1" t="inlineStr">
        <is>
          <t>Google TPU 合作（媒體報導）（AI半導體 候選母體 v0.2.2；市場位置由次產業內優先序 4 換算）</t>
        </is>
      </c>
      <c r="H27" t="inlineStr">
        <is>
          <t>[判斷]</t>
        </is>
      </c>
      <c r="I27">
        <f>價值鏈!F5</f>
        <v/>
      </c>
      <c r="J27">
        <f>價值鏈!G5</f>
        <v/>
      </c>
      <c r="K27">
        <f>(CHOOSE(I27,s_irr1,s_irr2,s_irr3)+CHOOSE(E27,s_irr1,s_irr2,s_irr3))/2</f>
        <v/>
      </c>
      <c r="L27">
        <f>CHOOSE(F27,s_pos1,s_pos2,s_pos3,s_pos4)</f>
        <v/>
      </c>
      <c r="M27">
        <f>w_irr*K27+w_pos*L27+w_vc*J27</f>
        <v/>
      </c>
      <c r="N27">
        <f>RANK(M27,$M$2:$M$64,0)</f>
        <v/>
      </c>
    </row>
    <row r="28">
      <c r="A28" t="inlineStr">
        <is>
          <t>MRVL</t>
        </is>
      </c>
      <c r="B28" t="inlineStr">
        <is>
          <t>Marvell</t>
        </is>
      </c>
      <c r="C28">
        <f>價值鏈!A5</f>
        <v/>
      </c>
      <c r="D28" t="inlineStr">
        <is>
          <t>運算</t>
        </is>
      </c>
      <c r="E28" s="3" t="n">
        <v>2</v>
      </c>
      <c r="F28" s="3" t="n">
        <v>3</v>
      </c>
      <c r="G28" s="1" t="inlineStr">
        <is>
          <t>光 DSP 主要供應商之一（AI半導體 候選母體 v0.2.2；市場位置由次產業內優先序 5 換算）</t>
        </is>
      </c>
      <c r="H28" t="inlineStr">
        <is>
          <t>[判斷]</t>
        </is>
      </c>
      <c r="I28">
        <f>價值鏈!F5</f>
        <v/>
      </c>
      <c r="J28">
        <f>價值鏈!G5</f>
        <v/>
      </c>
      <c r="K28">
        <f>(CHOOSE(I28,s_irr1,s_irr2,s_irr3)+CHOOSE(E28,s_irr1,s_irr2,s_irr3))/2</f>
        <v/>
      </c>
      <c r="L28">
        <f>CHOOSE(F28,s_pos1,s_pos2,s_pos3,s_pos4)</f>
        <v/>
      </c>
      <c r="M28">
        <f>w_irr*K28+w_pos*L28+w_vc*J28</f>
        <v/>
      </c>
      <c r="N28">
        <f>RANK(M28,$M$2:$M$64,0)</f>
        <v/>
      </c>
    </row>
    <row r="29">
      <c r="A29" t="inlineStr">
        <is>
          <t>3661</t>
        </is>
      </c>
      <c r="B29" t="inlineStr">
        <is>
          <t>世芯-KY</t>
        </is>
      </c>
      <c r="C29">
        <f>價值鏈!A5</f>
        <v/>
      </c>
      <c r="D29" t="inlineStr">
        <is>
          <t>運算</t>
        </is>
      </c>
      <c r="E29" s="3" t="n">
        <v>2</v>
      </c>
      <c r="F29" s="3" t="n">
        <v>4</v>
      </c>
      <c r="G29" s="1" t="inlineStr">
        <is>
          <t>雲端客製晶片設計服務（AI半導體 候選母體 v0.2.2；市場位置由次產業內優先序 6 換算）</t>
        </is>
      </c>
      <c r="H29" t="inlineStr">
        <is>
          <t>[判斷]</t>
        </is>
      </c>
      <c r="I29">
        <f>價值鏈!F5</f>
        <v/>
      </c>
      <c r="J29">
        <f>價值鏈!G5</f>
        <v/>
      </c>
      <c r="K29">
        <f>(CHOOSE(I29,s_irr1,s_irr2,s_irr3)+CHOOSE(E29,s_irr1,s_irr2,s_irr3))/2</f>
        <v/>
      </c>
      <c r="L29">
        <f>CHOOSE(F29,s_pos1,s_pos2,s_pos3,s_pos4)</f>
        <v/>
      </c>
      <c r="M29">
        <f>w_irr*K29+w_pos*L29+w_vc*J29</f>
        <v/>
      </c>
      <c r="N29">
        <f>RANK(M29,$M$2:$M$64,0)</f>
        <v/>
      </c>
    </row>
    <row r="30">
      <c r="A30" t="inlineStr">
        <is>
          <t>3443</t>
        </is>
      </c>
      <c r="B30" t="inlineStr">
        <is>
          <t>創意</t>
        </is>
      </c>
      <c r="C30">
        <f>價值鏈!A5</f>
        <v/>
      </c>
      <c r="D30" t="inlineStr">
        <is>
          <t>運算</t>
        </is>
      </c>
      <c r="E30" s="3" t="n">
        <v>3</v>
      </c>
      <c r="F30" s="3" t="n">
        <v>4</v>
      </c>
      <c r="G30" s="1" t="inlineStr">
        <is>
          <t>台積電轉投資的設計服務廠（AI半導體 候選母體 v0.2.2；市場位置由次產業內優先序 7 換算）</t>
        </is>
      </c>
      <c r="H30" t="inlineStr">
        <is>
          <t>[判斷]</t>
        </is>
      </c>
      <c r="I30">
        <f>價值鏈!F5</f>
        <v/>
      </c>
      <c r="J30">
        <f>價值鏈!G5</f>
        <v/>
      </c>
      <c r="K30">
        <f>(CHOOSE(I30,s_irr1,s_irr2,s_irr3)+CHOOSE(E30,s_irr1,s_irr2,s_irr3))/2</f>
        <v/>
      </c>
      <c r="L30">
        <f>CHOOSE(F30,s_pos1,s_pos2,s_pos3,s_pos4)</f>
        <v/>
      </c>
      <c r="M30">
        <f>w_irr*K30+w_pos*L30+w_vc*J30</f>
        <v/>
      </c>
      <c r="N30">
        <f>RANK(M30,$M$2:$M$64,0)</f>
        <v/>
      </c>
    </row>
    <row r="31">
      <c r="A31" t="inlineStr">
        <is>
          <t>285A</t>
        </is>
      </c>
      <c r="B31" t="inlineStr">
        <is>
          <t>Kioxia</t>
        </is>
      </c>
      <c r="C31">
        <f>價值鏈!A6</f>
        <v/>
      </c>
      <c r="D31" t="inlineStr">
        <is>
          <t>記憶體</t>
        </is>
      </c>
      <c r="E31" s="3" t="n">
        <v>3</v>
      </c>
      <c r="F31" s="3" t="n">
        <v>3</v>
      </c>
      <c r="G31" s="1" t="inlineStr">
        <is>
          <t>NAND 主要廠之一；10-23 曾因「不能由既有層推得」排除，15:59 已取消該關卡（AI半導體 候選母體 v0.2.2；市場位置由次產業內優先序 4 換算）</t>
        </is>
      </c>
      <c r="H31" t="inlineStr">
        <is>
          <t>[判斷]</t>
        </is>
      </c>
      <c r="I31">
        <f>價值鏈!F6</f>
        <v/>
      </c>
      <c r="J31">
        <f>價值鏈!G6</f>
        <v/>
      </c>
      <c r="K31">
        <f>(CHOOSE(I31,s_irr1,s_irr2,s_irr3)+CHOOSE(E31,s_irr1,s_irr2,s_irr3))/2</f>
        <v/>
      </c>
      <c r="L31">
        <f>CHOOSE(F31,s_pos1,s_pos2,s_pos3,s_pos4)</f>
        <v/>
      </c>
      <c r="M31">
        <f>w_irr*K31+w_pos*L31+w_vc*J31</f>
        <v/>
      </c>
      <c r="N31">
        <f>RANK(M31,$M$2:$M$64,0)</f>
        <v/>
      </c>
    </row>
    <row r="32">
      <c r="A32" t="inlineStr">
        <is>
          <t>SNDK</t>
        </is>
      </c>
      <c r="B32" t="inlineStr">
        <is>
          <t>SanDisk</t>
        </is>
      </c>
      <c r="C32">
        <f>價值鏈!A6</f>
        <v/>
      </c>
      <c r="D32" t="inlineStr">
        <is>
          <t>記憶體</t>
        </is>
      </c>
      <c r="E32" s="3" t="n">
        <v>3</v>
      </c>
      <c r="F32" s="3" t="n">
        <v>3</v>
      </c>
      <c r="G32" s="1" t="inlineStr">
        <is>
          <t>與 Kioxia 合資產能（AI半導體 候選母體 v0.2.2；市場位置由次產業內優先序 5 換算）</t>
        </is>
      </c>
      <c r="H32" t="inlineStr">
        <is>
          <t>[判斷]</t>
        </is>
      </c>
      <c r="I32">
        <f>價值鏈!F6</f>
        <v/>
      </c>
      <c r="J32">
        <f>價值鏈!G6</f>
        <v/>
      </c>
      <c r="K32">
        <f>(CHOOSE(I32,s_irr1,s_irr2,s_irr3)+CHOOSE(E32,s_irr1,s_irr2,s_irr3))/2</f>
        <v/>
      </c>
      <c r="L32">
        <f>CHOOSE(F32,s_pos1,s_pos2,s_pos3,s_pos4)</f>
        <v/>
      </c>
      <c r="M32">
        <f>w_irr*K32+w_pos*L32+w_vc*J32</f>
        <v/>
      </c>
      <c r="N32">
        <f>RANK(M32,$M$2:$M$64,0)</f>
        <v/>
      </c>
    </row>
    <row r="33">
      <c r="A33" t="inlineStr">
        <is>
          <t>COHR</t>
        </is>
      </c>
      <c r="B33" t="inlineStr">
        <is>
          <t>Coherent</t>
        </is>
      </c>
      <c r="C33">
        <f>價值鏈!A7</f>
        <v/>
      </c>
      <c r="D33" t="inlineStr">
        <is>
          <t>網通</t>
        </is>
      </c>
      <c r="E33" s="3" t="n">
        <v>2</v>
      </c>
      <c r="F33" s="3" t="n">
        <v>3</v>
      </c>
      <c r="G33" s="1" t="inlineStr">
        <is>
          <t>光模組與元件垂直整合廠（AI半導體 候選母體 v0.2.2；市場位置由次產業內優先序 3 換算）</t>
        </is>
      </c>
      <c r="H33" t="inlineStr">
        <is>
          <t>[判斷]</t>
        </is>
      </c>
      <c r="I33">
        <f>價值鏈!F7</f>
        <v/>
      </c>
      <c r="J33">
        <f>價值鏈!G7</f>
        <v/>
      </c>
      <c r="K33">
        <f>(CHOOSE(I33,s_irr1,s_irr2,s_irr3)+CHOOSE(E33,s_irr1,s_irr2,s_irr3))/2</f>
        <v/>
      </c>
      <c r="L33">
        <f>CHOOSE(F33,s_pos1,s_pos2,s_pos3,s_pos4)</f>
        <v/>
      </c>
      <c r="M33">
        <f>w_irr*K33+w_pos*L33+w_vc*J33</f>
        <v/>
      </c>
      <c r="N33">
        <f>RANK(M33,$M$2:$M$64,0)</f>
        <v/>
      </c>
    </row>
    <row r="34">
      <c r="A34" t="inlineStr">
        <is>
          <t>LITE</t>
        </is>
      </c>
      <c r="B34" t="inlineStr">
        <is>
          <t>Lumentum</t>
        </is>
      </c>
      <c r="C34">
        <f>價值鏈!A7</f>
        <v/>
      </c>
      <c r="D34" t="inlineStr">
        <is>
          <t>網通</t>
        </is>
      </c>
      <c r="E34" s="3" t="n">
        <v>2</v>
      </c>
      <c r="F34" s="3" t="n">
        <v>3</v>
      </c>
      <c r="G34" s="1" t="inlineStr">
        <is>
          <t>高速 EML 雷射主要供應商之一（AI半導體 候選母體 v0.2.2；市場位置由次產業內優先序 4 換算）</t>
        </is>
      </c>
      <c r="H34" t="inlineStr">
        <is>
          <t>[判斷]</t>
        </is>
      </c>
      <c r="I34">
        <f>價值鏈!F7</f>
        <v/>
      </c>
      <c r="J34">
        <f>價值鏈!G7</f>
        <v/>
      </c>
      <c r="K34">
        <f>(CHOOSE(I34,s_irr1,s_irr2,s_irr3)+CHOOSE(E34,s_irr1,s_irr2,s_irr3))/2</f>
        <v/>
      </c>
      <c r="L34">
        <f>CHOOSE(F34,s_pos1,s_pos2,s_pos3,s_pos4)</f>
        <v/>
      </c>
      <c r="M34">
        <f>w_irr*K34+w_pos*L34+w_vc*J34</f>
        <v/>
      </c>
      <c r="N34">
        <f>RANK(M34,$M$2:$M$64,0)</f>
        <v/>
      </c>
    </row>
    <row r="35">
      <c r="A35" t="inlineStr">
        <is>
          <t>300502</t>
        </is>
      </c>
      <c r="B35" t="inlineStr">
        <is>
          <t>新易盛</t>
        </is>
      </c>
      <c r="C35">
        <f>價值鏈!A7</f>
        <v/>
      </c>
      <c r="D35" t="inlineStr">
        <is>
          <t>網通</t>
        </is>
      </c>
      <c r="E35" s="3" t="n">
        <v>2</v>
      </c>
      <c r="F35" s="3" t="n">
        <v>3</v>
      </c>
      <c r="G35" s="1" t="inlineStr">
        <is>
          <t>高速光模組第二梯隊領先者（AI半導體 候選母體 v0.2.2；市場位置由次產業內優先序 5 換算）</t>
        </is>
      </c>
      <c r="H35" t="inlineStr">
        <is>
          <t>[判斷]</t>
        </is>
      </c>
      <c r="I35">
        <f>價值鏈!F7</f>
        <v/>
      </c>
      <c r="J35">
        <f>價值鏈!G7</f>
        <v/>
      </c>
      <c r="K35">
        <f>(CHOOSE(I35,s_irr1,s_irr2,s_irr3)+CHOOSE(E35,s_irr1,s_irr2,s_irr3))/2</f>
        <v/>
      </c>
      <c r="L35">
        <f>CHOOSE(F35,s_pos1,s_pos2,s_pos3,s_pos4)</f>
        <v/>
      </c>
      <c r="M35">
        <f>w_irr*K35+w_pos*L35+w_vc*J35</f>
        <v/>
      </c>
      <c r="N35">
        <f>RANK(M35,$M$2:$M$64,0)</f>
        <v/>
      </c>
    </row>
    <row r="36">
      <c r="A36" t="inlineStr">
        <is>
          <t>2345</t>
        </is>
      </c>
      <c r="B36" t="inlineStr">
        <is>
          <t>智邦</t>
        </is>
      </c>
      <c r="C36">
        <f>價值鏈!A7</f>
        <v/>
      </c>
      <c r="D36" t="inlineStr">
        <is>
          <t>網通</t>
        </is>
      </c>
      <c r="E36" s="3" t="n">
        <v>2</v>
      </c>
      <c r="F36" s="3" t="n">
        <v>4</v>
      </c>
      <c r="G36" s="1" t="inlineStr">
        <is>
          <t>雲端白牌交換器主要 ODM（AI半導體 候選母體 v0.2.2；市場位置由次產業內優先序 6 換算）</t>
        </is>
      </c>
      <c r="H36" t="inlineStr">
        <is>
          <t>[判斷]</t>
        </is>
      </c>
      <c r="I36">
        <f>價值鏈!F7</f>
        <v/>
      </c>
      <c r="J36">
        <f>價值鏈!G7</f>
        <v/>
      </c>
      <c r="K36">
        <f>(CHOOSE(I36,s_irr1,s_irr2,s_irr3)+CHOOSE(E36,s_irr1,s_irr2,s_irr3))/2</f>
        <v/>
      </c>
      <c r="L36">
        <f>CHOOSE(F36,s_pos1,s_pos2,s_pos3,s_pos4)</f>
        <v/>
      </c>
      <c r="M36">
        <f>w_irr*K36+w_pos*L36+w_vc*J36</f>
        <v/>
      </c>
      <c r="N36">
        <f>RANK(M36,$M$2:$M$64,0)</f>
        <v/>
      </c>
    </row>
    <row r="37">
      <c r="A37" t="inlineStr">
        <is>
          <t>FN</t>
        </is>
      </c>
      <c r="B37" t="inlineStr">
        <is>
          <t>Fabrinet</t>
        </is>
      </c>
      <c r="C37">
        <f>價值鏈!A7</f>
        <v/>
      </c>
      <c r="D37" t="inlineStr">
        <is>
          <t>網通</t>
        </is>
      </c>
      <c r="E37" s="3" t="n">
        <v>2</v>
      </c>
      <c r="F37" s="3" t="n">
        <v>4</v>
      </c>
      <c r="G37" s="1" t="inlineStr">
        <is>
          <t>NVIDIA 光模組主要代工之一（AI半導體 候選母體 v0.2.2；市場位置由次產業內優先序 7 換算）</t>
        </is>
      </c>
      <c r="H37" t="inlineStr">
        <is>
          <t>[判斷]</t>
        </is>
      </c>
      <c r="I37">
        <f>價值鏈!F7</f>
        <v/>
      </c>
      <c r="J37">
        <f>價值鏈!G7</f>
        <v/>
      </c>
      <c r="K37">
        <f>(CHOOSE(I37,s_irr1,s_irr2,s_irr3)+CHOOSE(E37,s_irr1,s_irr2,s_irr3))/2</f>
        <v/>
      </c>
      <c r="L37">
        <f>CHOOSE(F37,s_pos1,s_pos2,s_pos3,s_pos4)</f>
        <v/>
      </c>
      <c r="M37">
        <f>w_irr*K37+w_pos*L37+w_vc*J37</f>
        <v/>
      </c>
      <c r="N37">
        <f>RANK(M37,$M$2:$M$64,0)</f>
        <v/>
      </c>
    </row>
    <row r="38">
      <c r="A38" t="inlineStr">
        <is>
          <t>CRDO</t>
        </is>
      </c>
      <c r="B38" t="inlineStr">
        <is>
          <t>Credo</t>
        </is>
      </c>
      <c r="C38">
        <f>價值鏈!A7</f>
        <v/>
      </c>
      <c r="D38" t="inlineStr">
        <is>
          <t>網通</t>
        </is>
      </c>
      <c r="E38" s="3" t="n">
        <v>2</v>
      </c>
      <c r="F38" s="3" t="n">
        <v>4</v>
      </c>
      <c r="G38" s="1" t="inlineStr">
        <is>
          <t>AEC 主要供應商（AI半導體 候選母體 v0.2.2；市場位置由次產業內優先序 8 換算）</t>
        </is>
      </c>
      <c r="H38" t="inlineStr">
        <is>
          <t>[判斷]</t>
        </is>
      </c>
      <c r="I38">
        <f>價值鏈!F7</f>
        <v/>
      </c>
      <c r="J38">
        <f>價值鏈!G7</f>
        <v/>
      </c>
      <c r="K38">
        <f>(CHOOSE(I38,s_irr1,s_irr2,s_irr3)+CHOOSE(E38,s_irr1,s_irr2,s_irr3))/2</f>
        <v/>
      </c>
      <c r="L38">
        <f>CHOOSE(F38,s_pos1,s_pos2,s_pos3,s_pos4)</f>
        <v/>
      </c>
      <c r="M38">
        <f>w_irr*K38+w_pos*L38+w_vc*J38</f>
        <v/>
      </c>
      <c r="N38">
        <f>RANK(M38,$M$2:$M$64,0)</f>
        <v/>
      </c>
    </row>
    <row r="39">
      <c r="A39" t="inlineStr">
        <is>
          <t>ALAB</t>
        </is>
      </c>
      <c r="B39" t="inlineStr">
        <is>
          <t>Astera Labs</t>
        </is>
      </c>
      <c r="C39">
        <f>價值鏈!A7</f>
        <v/>
      </c>
      <c r="D39" t="inlineStr">
        <is>
          <t>網通</t>
        </is>
      </c>
      <c r="E39" s="3" t="n">
        <v>3</v>
      </c>
      <c r="F39" s="3" t="n">
        <v>4</v>
      </c>
      <c r="G39" s="1" t="inlineStr">
        <is>
          <t>retimer 主要供應商（AI半導體 候選母體 v0.2.2；市場位置由次產業內優先序 9 換算）</t>
        </is>
      </c>
      <c r="H39" t="inlineStr">
        <is>
          <t>[判斷]</t>
        </is>
      </c>
      <c r="I39">
        <f>價值鏈!F7</f>
        <v/>
      </c>
      <c r="J39">
        <f>價值鏈!G7</f>
        <v/>
      </c>
      <c r="K39">
        <f>(CHOOSE(I39,s_irr1,s_irr2,s_irr3)+CHOOSE(E39,s_irr1,s_irr2,s_irr3))/2</f>
        <v/>
      </c>
      <c r="L39">
        <f>CHOOSE(F39,s_pos1,s_pos2,s_pos3,s_pos4)</f>
        <v/>
      </c>
      <c r="M39">
        <f>w_irr*K39+w_pos*L39+w_vc*J39</f>
        <v/>
      </c>
      <c r="N39">
        <f>RANK(M39,$M$2:$M$64,0)</f>
        <v/>
      </c>
    </row>
    <row r="40">
      <c r="A40" t="inlineStr">
        <is>
          <t>2449</t>
        </is>
      </c>
      <c r="B40" t="inlineStr">
        <is>
          <t>京元電</t>
        </is>
      </c>
      <c r="C40">
        <f>價值鏈!A8</f>
        <v/>
      </c>
      <c r="D40" t="inlineStr">
        <is>
          <t>代工與封測</t>
        </is>
      </c>
      <c r="E40" s="3" t="n">
        <v>2</v>
      </c>
      <c r="F40" s="3" t="n">
        <v>3</v>
      </c>
      <c r="G40" s="1" t="inlineStr">
        <is>
          <t>AI GPU 測試主要代工之一（媒體）（AI半導體 候選母體 v0.2.2；市場位置由次產業內優先序 3 換算）</t>
        </is>
      </c>
      <c r="H40" t="inlineStr">
        <is>
          <t>[判斷]</t>
        </is>
      </c>
      <c r="I40">
        <f>價值鏈!F8</f>
        <v/>
      </c>
      <c r="J40">
        <f>價值鏈!G8</f>
        <v/>
      </c>
      <c r="K40">
        <f>(CHOOSE(I40,s_irr1,s_irr2,s_irr3)+CHOOSE(E40,s_irr1,s_irr2,s_irr3))/2</f>
        <v/>
      </c>
      <c r="L40">
        <f>CHOOSE(F40,s_pos1,s_pos2,s_pos3,s_pos4)</f>
        <v/>
      </c>
      <c r="M40">
        <f>w_irr*K40+w_pos*L40+w_vc*J40</f>
        <v/>
      </c>
      <c r="N40">
        <f>RANK(M40,$M$2:$M$64,0)</f>
        <v/>
      </c>
    </row>
    <row r="41">
      <c r="A41" t="inlineStr">
        <is>
          <t>AMKR</t>
        </is>
      </c>
      <c r="B41" t="inlineStr">
        <is>
          <t>Amkor</t>
        </is>
      </c>
      <c r="C41">
        <f>價值鏈!A8</f>
        <v/>
      </c>
      <c r="D41" t="inlineStr">
        <is>
          <t>代工與封測</t>
        </is>
      </c>
      <c r="E41" s="3" t="n">
        <v>2</v>
      </c>
      <c r="F41" s="3" t="n">
        <v>3</v>
      </c>
      <c r="G41" s="1" t="inlineStr">
        <is>
          <t>全球第二大封測廠（AI半導體 候選母體 v0.2.2；市場位置由次產業內優先序 4 換算）</t>
        </is>
      </c>
      <c r="H41" t="inlineStr">
        <is>
          <t>[判斷]</t>
        </is>
      </c>
      <c r="I41">
        <f>價值鏈!F8</f>
        <v/>
      </c>
      <c r="J41">
        <f>價值鏈!G8</f>
        <v/>
      </c>
      <c r="K41">
        <f>(CHOOSE(I41,s_irr1,s_irr2,s_irr3)+CHOOSE(E41,s_irr1,s_irr2,s_irr3))/2</f>
        <v/>
      </c>
      <c r="L41">
        <f>CHOOSE(F41,s_pos1,s_pos2,s_pos3,s_pos4)</f>
        <v/>
      </c>
      <c r="M41">
        <f>w_irr*K41+w_pos*L41+w_vc*J41</f>
        <v/>
      </c>
      <c r="N41">
        <f>RANK(M41,$M$2:$M$64,0)</f>
        <v/>
      </c>
    </row>
    <row r="42">
      <c r="A42" t="inlineStr">
        <is>
          <t>2383</t>
        </is>
      </c>
      <c r="B42" t="inlineStr">
        <is>
          <t>台光電</t>
        </is>
      </c>
      <c r="C42">
        <f>價值鏈!A9</f>
        <v/>
      </c>
      <c r="D42" t="inlineStr">
        <is>
          <t>載板與 PCB</t>
        </is>
      </c>
      <c r="E42" s="3" t="n">
        <v>1</v>
      </c>
      <c r="F42" s="3" t="n">
        <v>2</v>
      </c>
      <c r="G42" s="1" t="inlineStr">
        <is>
          <t>AI 伺服器高速 CCL 主要供應者（AI半導體 候選母體 v0.2.2；市場位置由次產業內優先序 2 換算）</t>
        </is>
      </c>
      <c r="H42" t="inlineStr">
        <is>
          <t>[判斷]</t>
        </is>
      </c>
      <c r="I42">
        <f>價值鏈!F9</f>
        <v/>
      </c>
      <c r="J42">
        <f>價值鏈!G9</f>
        <v/>
      </c>
      <c r="K42">
        <f>(CHOOSE(I42,s_irr1,s_irr2,s_irr3)+CHOOSE(E42,s_irr1,s_irr2,s_irr3))/2</f>
        <v/>
      </c>
      <c r="L42">
        <f>CHOOSE(F42,s_pos1,s_pos2,s_pos3,s_pos4)</f>
        <v/>
      </c>
      <c r="M42">
        <f>w_irr*K42+w_pos*L42+w_vc*J42</f>
        <v/>
      </c>
      <c r="N42">
        <f>RANK(M42,$M$2:$M$64,0)</f>
        <v/>
      </c>
    </row>
    <row r="43">
      <c r="A43" t="inlineStr">
        <is>
          <t>3037</t>
        </is>
      </c>
      <c r="B43" t="inlineStr">
        <is>
          <t>欣興</t>
        </is>
      </c>
      <c r="C43">
        <f>價值鏈!A9</f>
        <v/>
      </c>
      <c r="D43" t="inlineStr">
        <is>
          <t>載板與 PCB</t>
        </is>
      </c>
      <c r="E43" s="3" t="n">
        <v>1</v>
      </c>
      <c r="F43" s="3" t="n">
        <v>3</v>
      </c>
      <c r="G43" s="1" t="inlineStr">
        <is>
          <t>ABF 載板主要廠之一（AI半導體 候選母體 v0.2.2；市場位置由次產業內優先序 3 換算）</t>
        </is>
      </c>
      <c r="H43" t="inlineStr">
        <is>
          <t>[判斷]</t>
        </is>
      </c>
      <c r="I43">
        <f>價值鏈!F9</f>
        <v/>
      </c>
      <c r="J43">
        <f>價值鏈!G9</f>
        <v/>
      </c>
      <c r="K43">
        <f>(CHOOSE(I43,s_irr1,s_irr2,s_irr3)+CHOOSE(E43,s_irr1,s_irr2,s_irr3))/2</f>
        <v/>
      </c>
      <c r="L43">
        <f>CHOOSE(F43,s_pos1,s_pos2,s_pos3,s_pos4)</f>
        <v/>
      </c>
      <c r="M43">
        <f>w_irr*K43+w_pos*L43+w_vc*J43</f>
        <v/>
      </c>
      <c r="N43">
        <f>RANK(M43,$M$2:$M$64,0)</f>
        <v/>
      </c>
    </row>
    <row r="44">
      <c r="A44" t="inlineStr">
        <is>
          <t>8046</t>
        </is>
      </c>
      <c r="B44" t="inlineStr">
        <is>
          <t>南電</t>
        </is>
      </c>
      <c r="C44">
        <f>價值鏈!A9</f>
        <v/>
      </c>
      <c r="D44" t="inlineStr">
        <is>
          <t>載板與 PCB</t>
        </is>
      </c>
      <c r="E44" s="3" t="n">
        <v>2</v>
      </c>
      <c r="F44" s="3" t="n">
        <v>3</v>
      </c>
      <c r="G44" s="1" t="inlineStr">
        <is>
          <t>ABF 載板主要廠之一（AI半導體 候選母體 v0.2.2；市場位置由次產業內優先序 5 換算）</t>
        </is>
      </c>
      <c r="H44" t="inlineStr">
        <is>
          <t>[判斷]</t>
        </is>
      </c>
      <c r="I44">
        <f>價值鏈!F9</f>
        <v/>
      </c>
      <c r="J44">
        <f>價值鏈!G9</f>
        <v/>
      </c>
      <c r="K44">
        <f>(CHOOSE(I44,s_irr1,s_irr2,s_irr3)+CHOOSE(E44,s_irr1,s_irr2,s_irr3))/2</f>
        <v/>
      </c>
      <c r="L44">
        <f>CHOOSE(F44,s_pos1,s_pos2,s_pos3,s_pos4)</f>
        <v/>
      </c>
      <c r="M44">
        <f>w_irr*K44+w_pos*L44+w_vc*J44</f>
        <v/>
      </c>
      <c r="N44">
        <f>RANK(M44,$M$2:$M$64,0)</f>
        <v/>
      </c>
    </row>
    <row r="45">
      <c r="A45" t="inlineStr">
        <is>
          <t>2368</t>
        </is>
      </c>
      <c r="B45" t="inlineStr">
        <is>
          <t>金像電</t>
        </is>
      </c>
      <c r="C45">
        <f>價值鏈!A9</f>
        <v/>
      </c>
      <c r="D45" t="inlineStr">
        <is>
          <t>載板與 PCB</t>
        </is>
      </c>
      <c r="E45" s="3" t="n">
        <v>2</v>
      </c>
      <c r="F45" s="3" t="n">
        <v>4</v>
      </c>
      <c r="G45" s="1" t="inlineStr">
        <is>
          <t>雲端伺服器 PCB 主要廠（AI半導體 候選母體 v0.2.2；市場位置由次產業內優先序 6 換算）</t>
        </is>
      </c>
      <c r="H45" t="inlineStr">
        <is>
          <t>[判斷]</t>
        </is>
      </c>
      <c r="I45">
        <f>價值鏈!F9</f>
        <v/>
      </c>
      <c r="J45">
        <f>價值鏈!G9</f>
        <v/>
      </c>
      <c r="K45">
        <f>(CHOOSE(I45,s_irr1,s_irr2,s_irr3)+CHOOSE(E45,s_irr1,s_irr2,s_irr3))/2</f>
        <v/>
      </c>
      <c r="L45">
        <f>CHOOSE(F45,s_pos1,s_pos2,s_pos3,s_pos4)</f>
        <v/>
      </c>
      <c r="M45">
        <f>w_irr*K45+w_pos*L45+w_vc*J45</f>
        <v/>
      </c>
      <c r="N45">
        <f>RANK(M45,$M$2:$M$64,0)</f>
        <v/>
      </c>
    </row>
    <row r="46">
      <c r="A46" t="inlineStr">
        <is>
          <t>300476</t>
        </is>
      </c>
      <c r="B46" t="inlineStr">
        <is>
          <t>勝宏科技</t>
        </is>
      </c>
      <c r="C46">
        <f>價值鏈!A9</f>
        <v/>
      </c>
      <c r="D46" t="inlineStr">
        <is>
          <t>載板與 PCB</t>
        </is>
      </c>
      <c r="E46" s="3" t="n">
        <v>2</v>
      </c>
      <c r="F46" s="3" t="n">
        <v>4</v>
      </c>
      <c r="G46" s="1" t="inlineStr">
        <is>
          <t>NVIDIA 加速卡 PCB 主要供應商之一（媒體）（AI半導體 候選母體 v0.2.2；市場位置由次產業內優先序 7 換算）</t>
        </is>
      </c>
      <c r="H46" t="inlineStr">
        <is>
          <t>[判斷]</t>
        </is>
      </c>
      <c r="I46">
        <f>價值鏈!F9</f>
        <v/>
      </c>
      <c r="J46">
        <f>價值鏈!G9</f>
        <v/>
      </c>
      <c r="K46">
        <f>(CHOOSE(I46,s_irr1,s_irr2,s_irr3)+CHOOSE(E46,s_irr1,s_irr2,s_irr3))/2</f>
        <v/>
      </c>
      <c r="L46">
        <f>CHOOSE(F46,s_pos1,s_pos2,s_pos3,s_pos4)</f>
        <v/>
      </c>
      <c r="M46">
        <f>w_irr*K46+w_pos*L46+w_vc*J46</f>
        <v/>
      </c>
      <c r="N46">
        <f>RANK(M46,$M$2:$M$64,0)</f>
        <v/>
      </c>
    </row>
    <row r="47">
      <c r="A47" t="inlineStr">
        <is>
          <t>ASML</t>
        </is>
      </c>
      <c r="B47" t="inlineStr">
        <is>
          <t>ASML</t>
        </is>
      </c>
      <c r="C47">
        <f>價值鏈!A13</f>
        <v/>
      </c>
      <c r="D47" t="inlineStr">
        <is>
          <t>設備與材料</t>
        </is>
      </c>
      <c r="E47" s="3" t="n">
        <v>1</v>
      </c>
      <c r="F47" s="3" t="n">
        <v>1</v>
      </c>
      <c r="G47" s="1" t="inlineStr">
        <is>
          <t>EUV 唯一供應者（AI半導體 候選母體 v0.2.2；市場位置由次產業內優先序 1 換算）</t>
        </is>
      </c>
      <c r="H47" t="inlineStr">
        <is>
          <t>[判斷]</t>
        </is>
      </c>
      <c r="I47">
        <f>價值鏈!F13</f>
        <v/>
      </c>
      <c r="J47">
        <f>價值鏈!G13</f>
        <v/>
      </c>
      <c r="K47">
        <f>(CHOOSE(I47,s_irr1,s_irr2,s_irr3)+CHOOSE(E47,s_irr1,s_irr2,s_irr3))/2</f>
        <v/>
      </c>
      <c r="L47">
        <f>CHOOSE(F47,s_pos1,s_pos2,s_pos3,s_pos4)</f>
        <v/>
      </c>
      <c r="M47">
        <f>w_irr*K47+w_pos*L47+w_vc*J47</f>
        <v/>
      </c>
      <c r="N47">
        <f>RANK(M47,$M$2:$M$64,0)</f>
        <v/>
      </c>
    </row>
    <row r="48">
      <c r="A48" t="inlineStr">
        <is>
          <t>AMAT</t>
        </is>
      </c>
      <c r="B48" t="inlineStr">
        <is>
          <t>Applied Materials</t>
        </is>
      </c>
      <c r="C48">
        <f>價值鏈!A13</f>
        <v/>
      </c>
      <c r="D48" t="inlineStr">
        <is>
          <t>設備與材料</t>
        </is>
      </c>
      <c r="E48" s="3" t="n">
        <v>1</v>
      </c>
      <c r="F48" s="3" t="n">
        <v>2</v>
      </c>
      <c r="G48" s="1" t="inlineStr">
        <is>
          <t>全球營收最大的設備商之一（AI半導體 候選母體 v0.2.2；市場位置由次產業內優先序 2 換算）</t>
        </is>
      </c>
      <c r="H48" t="inlineStr">
        <is>
          <t>[判斷]</t>
        </is>
      </c>
      <c r="I48">
        <f>價值鏈!F13</f>
        <v/>
      </c>
      <c r="J48">
        <f>價值鏈!G13</f>
        <v/>
      </c>
      <c r="K48">
        <f>(CHOOSE(I48,s_irr1,s_irr2,s_irr3)+CHOOSE(E48,s_irr1,s_irr2,s_irr3))/2</f>
        <v/>
      </c>
      <c r="L48">
        <f>CHOOSE(F48,s_pos1,s_pos2,s_pos3,s_pos4)</f>
        <v/>
      </c>
      <c r="M48">
        <f>w_irr*K48+w_pos*L48+w_vc*J48</f>
        <v/>
      </c>
      <c r="N48">
        <f>RANK(M48,$M$2:$M$64,0)</f>
        <v/>
      </c>
    </row>
    <row r="49">
      <c r="A49" t="inlineStr">
        <is>
          <t>LRCX</t>
        </is>
      </c>
      <c r="B49" t="inlineStr">
        <is>
          <t>Lam Research</t>
        </is>
      </c>
      <c r="C49">
        <f>價值鏈!A13</f>
        <v/>
      </c>
      <c r="D49" t="inlineStr">
        <is>
          <t>設備與材料</t>
        </is>
      </c>
      <c r="E49" s="3" t="n">
        <v>1</v>
      </c>
      <c r="F49" s="3" t="n">
        <v>3</v>
      </c>
      <c r="G49" s="1" t="inlineStr">
        <is>
          <t>記憶體蝕刻主要供應者（AI半導體 候選母體 v0.2.2；市場位置由次產業內優先序 3 換算）</t>
        </is>
      </c>
      <c r="H49" t="inlineStr">
        <is>
          <t>[判斷]</t>
        </is>
      </c>
      <c r="I49">
        <f>價值鏈!F13</f>
        <v/>
      </c>
      <c r="J49">
        <f>價值鏈!G13</f>
        <v/>
      </c>
      <c r="K49">
        <f>(CHOOSE(I49,s_irr1,s_irr2,s_irr3)+CHOOSE(E49,s_irr1,s_irr2,s_irr3))/2</f>
        <v/>
      </c>
      <c r="L49">
        <f>CHOOSE(F49,s_pos1,s_pos2,s_pos3,s_pos4)</f>
        <v/>
      </c>
      <c r="M49">
        <f>w_irr*K49+w_pos*L49+w_vc*J49</f>
        <v/>
      </c>
      <c r="N49">
        <f>RANK(M49,$M$2:$M$64,0)</f>
        <v/>
      </c>
    </row>
    <row r="50">
      <c r="A50" t="inlineStr">
        <is>
          <t>KLAC</t>
        </is>
      </c>
      <c r="B50" t="inlineStr">
        <is>
          <t>KLA</t>
        </is>
      </c>
      <c r="C50">
        <f>價值鏈!A13</f>
        <v/>
      </c>
      <c r="D50" t="inlineStr">
        <is>
          <t>設備與材料</t>
        </is>
      </c>
      <c r="E50" s="3" t="n">
        <v>1</v>
      </c>
      <c r="F50" s="3" t="n">
        <v>3</v>
      </c>
      <c r="G50" s="1" t="inlineStr">
        <is>
          <t>製程控制龍頭（AI半導體 候選母體 v0.2.2；市場位置由次產業內優先序 5 換算）</t>
        </is>
      </c>
      <c r="H50" t="inlineStr">
        <is>
          <t>[判斷]</t>
        </is>
      </c>
      <c r="I50">
        <f>價值鏈!F13</f>
        <v/>
      </c>
      <c r="J50">
        <f>價值鏈!G13</f>
        <v/>
      </c>
      <c r="K50">
        <f>(CHOOSE(I50,s_irr1,s_irr2,s_irr3)+CHOOSE(E50,s_irr1,s_irr2,s_irr3))/2</f>
        <v/>
      </c>
      <c r="L50">
        <f>CHOOSE(F50,s_pos1,s_pos2,s_pos3,s_pos4)</f>
        <v/>
      </c>
      <c r="M50">
        <f>w_irr*K50+w_pos*L50+w_vc*J50</f>
        <v/>
      </c>
      <c r="N50">
        <f>RANK(M50,$M$2:$M$64,0)</f>
        <v/>
      </c>
    </row>
    <row r="51">
      <c r="A51" t="inlineStr">
        <is>
          <t>042700</t>
        </is>
      </c>
      <c r="B51" t="inlineStr">
        <is>
          <t>Hanmi</t>
        </is>
      </c>
      <c r="C51">
        <f>價值鏈!A13</f>
        <v/>
      </c>
      <c r="D51" t="inlineStr">
        <is>
          <t>設備與材料</t>
        </is>
      </c>
      <c r="E51" s="3" t="n">
        <v>2</v>
      </c>
      <c r="F51" s="3" t="n">
        <v>4</v>
      </c>
      <c r="G51" s="1" t="inlineStr">
        <is>
          <t>HBM TC 鍵合機約 71%（本專案 HBM 比對）（AI半導體 候選母體 v0.2.2；市場位置由次產業內優先序 8 換算）</t>
        </is>
      </c>
      <c r="H51" t="inlineStr">
        <is>
          <t>[判斷]</t>
        </is>
      </c>
      <c r="I51">
        <f>價值鏈!F13</f>
        <v/>
      </c>
      <c r="J51">
        <f>價值鏈!G13</f>
        <v/>
      </c>
      <c r="K51">
        <f>(CHOOSE(I51,s_irr1,s_irr2,s_irr3)+CHOOSE(E51,s_irr1,s_irr2,s_irr3))/2</f>
        <v/>
      </c>
      <c r="L51">
        <f>CHOOSE(F51,s_pos1,s_pos2,s_pos3,s_pos4)</f>
        <v/>
      </c>
      <c r="M51">
        <f>w_irr*K51+w_pos*L51+w_vc*J51</f>
        <v/>
      </c>
      <c r="N51">
        <f>RANK(M51,$M$2:$M$64,0)</f>
        <v/>
      </c>
    </row>
    <row r="52">
      <c r="A52" t="inlineStr">
        <is>
          <t>TER</t>
        </is>
      </c>
      <c r="B52" t="inlineStr">
        <is>
          <t>Teradyne</t>
        </is>
      </c>
      <c r="C52">
        <f>價值鏈!A13</f>
        <v/>
      </c>
      <c r="D52" t="inlineStr">
        <is>
          <t>設備與材料</t>
        </is>
      </c>
      <c r="E52" s="3" t="n">
        <v>2</v>
      </c>
      <c r="F52" s="3" t="n">
        <v>4</v>
      </c>
      <c r="G52" s="1" t="inlineStr">
        <is>
          <t>SoC 測試第 2（Advantest 之後）（AI半導體 候選母體 v0.2.2；市場位置由次產業內優先序 9 換算）</t>
        </is>
      </c>
      <c r="H52" t="inlineStr">
        <is>
          <t>[判斷]</t>
        </is>
      </c>
      <c r="I52">
        <f>價值鏈!F13</f>
        <v/>
      </c>
      <c r="J52">
        <f>價值鏈!G13</f>
        <v/>
      </c>
      <c r="K52">
        <f>(CHOOSE(I52,s_irr1,s_irr2,s_irr3)+CHOOSE(E52,s_irr1,s_irr2,s_irr3))/2</f>
        <v/>
      </c>
      <c r="L52">
        <f>CHOOSE(F52,s_pos1,s_pos2,s_pos3,s_pos4)</f>
        <v/>
      </c>
      <c r="M52">
        <f>w_irr*K52+w_pos*L52+w_vc*J52</f>
        <v/>
      </c>
      <c r="N52">
        <f>RANK(M52,$M$2:$M$64,0)</f>
        <v/>
      </c>
    </row>
    <row r="53">
      <c r="A53" t="inlineStr">
        <is>
          <t>BESI</t>
        </is>
      </c>
      <c r="B53" t="inlineStr">
        <is>
          <t>BESI</t>
        </is>
      </c>
      <c r="C53">
        <f>價值鏈!A13</f>
        <v/>
      </c>
      <c r="D53" t="inlineStr">
        <is>
          <t>設備與材料</t>
        </is>
      </c>
      <c r="E53" s="3" t="n">
        <v>3</v>
      </c>
      <c r="F53" s="3" t="n">
        <v>4</v>
      </c>
      <c r="G53" s="1" t="inlineStr">
        <is>
          <t>混合鍵合領先者；主流化時點約 2029–30（本專案）（AI半導體 候選母體 v0.2.2；市場位置由次產業內優先序 10 換算）</t>
        </is>
      </c>
      <c r="H53" t="inlineStr">
        <is>
          <t>[判斷]</t>
        </is>
      </c>
      <c r="I53">
        <f>價值鏈!F13</f>
        <v/>
      </c>
      <c r="J53">
        <f>價值鏈!G13</f>
        <v/>
      </c>
      <c r="K53">
        <f>(CHOOSE(I53,s_irr1,s_irr2,s_irr3)+CHOOSE(E53,s_irr1,s_irr2,s_irr3))/2</f>
        <v/>
      </c>
      <c r="L53">
        <f>CHOOSE(F53,s_pos1,s_pos2,s_pos3,s_pos4)</f>
        <v/>
      </c>
      <c r="M53">
        <f>w_irr*K53+w_pos*L53+w_vc*J53</f>
        <v/>
      </c>
      <c r="N53">
        <f>RANK(M53,$M$2:$M$64,0)</f>
        <v/>
      </c>
    </row>
    <row r="54">
      <c r="A54" t="inlineStr">
        <is>
          <t>6315</t>
        </is>
      </c>
      <c r="B54" t="inlineStr">
        <is>
          <t>TOWA</t>
        </is>
      </c>
      <c r="C54">
        <f>價值鏈!A13</f>
        <v/>
      </c>
      <c r="D54" t="inlineStr">
        <is>
          <t>設備與材料</t>
        </is>
      </c>
      <c r="E54" s="3" t="n">
        <v>3</v>
      </c>
      <c r="F54" s="3" t="n">
        <v>4</v>
      </c>
      <c r="G54" s="1" t="inlineStr">
        <is>
          <t>市占約 2/3（本專案候選表）（AI半導體 候選母體 v0.2.2；市場位置由次產業內優先序 11 換算）</t>
        </is>
      </c>
      <c r="H54" t="inlineStr">
        <is>
          <t>[判斷]</t>
        </is>
      </c>
      <c r="I54">
        <f>價值鏈!F13</f>
        <v/>
      </c>
      <c r="J54">
        <f>價值鏈!G13</f>
        <v/>
      </c>
      <c r="K54">
        <f>(CHOOSE(I54,s_irr1,s_irr2,s_irr3)+CHOOSE(E54,s_irr1,s_irr2,s_irr3))/2</f>
        <v/>
      </c>
      <c r="L54">
        <f>CHOOSE(F54,s_pos1,s_pos2,s_pos3,s_pos4)</f>
        <v/>
      </c>
      <c r="M54">
        <f>w_irr*K54+w_pos*L54+w_vc*J54</f>
        <v/>
      </c>
      <c r="N54">
        <f>RANK(M54,$M$2:$M$64,0)</f>
        <v/>
      </c>
    </row>
    <row r="55">
      <c r="A55" t="inlineStr">
        <is>
          <t>7729</t>
        </is>
      </c>
      <c r="B55" t="inlineStr">
        <is>
          <t>東京精密</t>
        </is>
      </c>
      <c r="C55">
        <f>價值鏈!A13</f>
        <v/>
      </c>
      <c r="D55" t="inlineStr">
        <is>
          <t>設備與材料</t>
        </is>
      </c>
      <c r="E55" s="3" t="n">
        <v>3</v>
      </c>
      <c r="F55" s="3" t="n">
        <v>4</v>
      </c>
      <c r="G55" s="1" t="inlineStr">
        <is>
          <t>探針台主要廠之一（AI半導體 候選母體 v0.2.2；市場位置由次產業內優先序 12 換算）</t>
        </is>
      </c>
      <c r="H55" t="inlineStr">
        <is>
          <t>[判斷]</t>
        </is>
      </c>
      <c r="I55">
        <f>價值鏈!F13</f>
        <v/>
      </c>
      <c r="J55">
        <f>價值鏈!G13</f>
        <v/>
      </c>
      <c r="K55">
        <f>(CHOOSE(I55,s_irr1,s_irr2,s_irr3)+CHOOSE(E55,s_irr1,s_irr2,s_irr3))/2</f>
        <v/>
      </c>
      <c r="L55">
        <f>CHOOSE(F55,s_pos1,s_pos2,s_pos3,s_pos4)</f>
        <v/>
      </c>
      <c r="M55">
        <f>w_irr*K55+w_pos*L55+w_vc*J55</f>
        <v/>
      </c>
      <c r="N55">
        <f>RANK(M55,$M$2:$M$64,0)</f>
        <v/>
      </c>
    </row>
    <row r="56">
      <c r="A56" t="inlineStr">
        <is>
          <t>2317</t>
        </is>
      </c>
      <c r="B56" t="inlineStr">
        <is>
          <t>鴻海</t>
        </is>
      </c>
      <c r="C56">
        <f>價值鏈!A11</f>
        <v/>
      </c>
      <c r="D56" t="inlineStr">
        <is>
          <t>伺服器組裝</t>
        </is>
      </c>
      <c r="E56" s="3" t="n">
        <v>1</v>
      </c>
      <c r="F56" s="3" t="n">
        <v>1</v>
      </c>
      <c r="G56" s="1" t="inlineStr">
        <is>
          <t>NVIDIA 整櫃最大組裝廠（AI半導體 候選母體 v0.2.2；市場位置由次產業內優先序 1 換算）</t>
        </is>
      </c>
      <c r="H56" t="inlineStr">
        <is>
          <t>[判斷]</t>
        </is>
      </c>
      <c r="I56">
        <f>價值鏈!F11</f>
        <v/>
      </c>
      <c r="J56">
        <f>價值鏈!G11</f>
        <v/>
      </c>
      <c r="K56">
        <f>(CHOOSE(I56,s_irr1,s_irr2,s_irr3)+CHOOSE(E56,s_irr1,s_irr2,s_irr3))/2</f>
        <v/>
      </c>
      <c r="L56">
        <f>CHOOSE(F56,s_pos1,s_pos2,s_pos3,s_pos4)</f>
        <v/>
      </c>
      <c r="M56">
        <f>w_irr*K56+w_pos*L56+w_vc*J56</f>
        <v/>
      </c>
      <c r="N56">
        <f>RANK(M56,$M$2:$M$64,0)</f>
        <v/>
      </c>
    </row>
    <row r="57">
      <c r="A57" t="inlineStr">
        <is>
          <t>3231</t>
        </is>
      </c>
      <c r="B57" t="inlineStr">
        <is>
          <t>緯創</t>
        </is>
      </c>
      <c r="C57">
        <f>價值鏈!A11</f>
        <v/>
      </c>
      <c r="D57" t="inlineStr">
        <is>
          <t>伺服器組裝</t>
        </is>
      </c>
      <c r="E57" s="3" t="n">
        <v>1</v>
      </c>
      <c r="F57" s="3" t="n">
        <v>3</v>
      </c>
      <c r="G57" s="1" t="inlineStr">
        <is>
          <t>NVIDIA GPU 基板主要供應者（AI半導體 候選母體 v0.2.2；市場位置由次產業內優先序 3 換算）</t>
        </is>
      </c>
      <c r="H57" t="inlineStr">
        <is>
          <t>[判斷]</t>
        </is>
      </c>
      <c r="I57">
        <f>價值鏈!F11</f>
        <v/>
      </c>
      <c r="J57">
        <f>價值鏈!G11</f>
        <v/>
      </c>
      <c r="K57">
        <f>(CHOOSE(I57,s_irr1,s_irr2,s_irr3)+CHOOSE(E57,s_irr1,s_irr2,s_irr3))/2</f>
        <v/>
      </c>
      <c r="L57">
        <f>CHOOSE(F57,s_pos1,s_pos2,s_pos3,s_pos4)</f>
        <v/>
      </c>
      <c r="M57">
        <f>w_irr*K57+w_pos*L57+w_vc*J57</f>
        <v/>
      </c>
      <c r="N57">
        <f>RANK(M57,$M$2:$M$64,0)</f>
        <v/>
      </c>
    </row>
    <row r="58">
      <c r="A58" t="inlineStr">
        <is>
          <t>6669</t>
        </is>
      </c>
      <c r="B58" t="inlineStr">
        <is>
          <t>緯穎</t>
        </is>
      </c>
      <c r="C58">
        <f>價值鏈!A11</f>
        <v/>
      </c>
      <c r="D58" t="inlineStr">
        <is>
          <t>伺服器組裝</t>
        </is>
      </c>
      <c r="E58" s="3" t="n">
        <v>2</v>
      </c>
      <c r="F58" s="3" t="n">
        <v>3</v>
      </c>
      <c r="G58" s="1" t="inlineStr">
        <is>
          <t>雲端白牌伺服器主要 ODM（AI半導體 候選母體 v0.2.2；市場位置由次產業內優先序 4 換算）</t>
        </is>
      </c>
      <c r="H58" t="inlineStr">
        <is>
          <t>[判斷]</t>
        </is>
      </c>
      <c r="I58">
        <f>價值鏈!F11</f>
        <v/>
      </c>
      <c r="J58">
        <f>價值鏈!G11</f>
        <v/>
      </c>
      <c r="K58">
        <f>(CHOOSE(I58,s_irr1,s_irr2,s_irr3)+CHOOSE(E58,s_irr1,s_irr2,s_irr3))/2</f>
        <v/>
      </c>
      <c r="L58">
        <f>CHOOSE(F58,s_pos1,s_pos2,s_pos3,s_pos4)</f>
        <v/>
      </c>
      <c r="M58">
        <f>w_irr*K58+w_pos*L58+w_vc*J58</f>
        <v/>
      </c>
      <c r="N58">
        <f>RANK(M58,$M$2:$M$64,0)</f>
        <v/>
      </c>
    </row>
    <row r="59">
      <c r="A59" t="inlineStr">
        <is>
          <t>DELL</t>
        </is>
      </c>
      <c r="B59" t="inlineStr">
        <is>
          <t>Dell</t>
        </is>
      </c>
      <c r="C59">
        <f>價值鏈!A11</f>
        <v/>
      </c>
      <c r="D59" t="inlineStr">
        <is>
          <t>伺服器組裝</t>
        </is>
      </c>
      <c r="E59" s="3" t="n">
        <v>2</v>
      </c>
      <c r="F59" s="3" t="n">
        <v>3</v>
      </c>
      <c r="G59" s="1" t="inlineStr">
        <is>
          <t>企業與 neocloud 主要品牌（AI半導體 候選母體 v0.2.2；市場位置由次產業內優先序 5 換算）</t>
        </is>
      </c>
      <c r="H59" t="inlineStr">
        <is>
          <t>[判斷]</t>
        </is>
      </c>
      <c r="I59">
        <f>價值鏈!F11</f>
        <v/>
      </c>
      <c r="J59">
        <f>價值鏈!G11</f>
        <v/>
      </c>
      <c r="K59">
        <f>(CHOOSE(I59,s_irr1,s_irr2,s_irr3)+CHOOSE(E59,s_irr1,s_irr2,s_irr3))/2</f>
        <v/>
      </c>
      <c r="L59">
        <f>CHOOSE(F59,s_pos1,s_pos2,s_pos3,s_pos4)</f>
        <v/>
      </c>
      <c r="M59">
        <f>w_irr*K59+w_pos*L59+w_vc*J59</f>
        <v/>
      </c>
      <c r="N59">
        <f>RANK(M59,$M$2:$M$64,0)</f>
        <v/>
      </c>
    </row>
    <row r="60">
      <c r="A60" t="inlineStr">
        <is>
          <t>SMCI</t>
        </is>
      </c>
      <c r="B60" t="inlineStr">
        <is>
          <t>Supermicro</t>
        </is>
      </c>
      <c r="C60">
        <f>價值鏈!A11</f>
        <v/>
      </c>
      <c r="D60" t="inlineStr">
        <is>
          <t>伺服器組裝</t>
        </is>
      </c>
      <c r="E60" s="3" t="n">
        <v>3</v>
      </c>
      <c r="F60" s="3" t="n">
        <v>4</v>
      </c>
      <c r="G60" s="1" t="inlineStr">
        <is>
          <t>品牌伺服器第二梯隊；治理風險（AI半導體 候選母體 v0.2.2；市場位置由次產業內優先序 6 換算）</t>
        </is>
      </c>
      <c r="H60" t="inlineStr">
        <is>
          <t>[判斷]</t>
        </is>
      </c>
      <c r="I60">
        <f>價值鏈!F11</f>
        <v/>
      </c>
      <c r="J60">
        <f>價值鏈!G11</f>
        <v/>
      </c>
      <c r="K60">
        <f>(CHOOSE(I60,s_irr1,s_irr2,s_irr3)+CHOOSE(E60,s_irr1,s_irr2,s_irr3))/2</f>
        <v/>
      </c>
      <c r="L60">
        <f>CHOOSE(F60,s_pos1,s_pos2,s_pos3,s_pos4)</f>
        <v/>
      </c>
      <c r="M60">
        <f>w_irr*K60+w_pos*L60+w_vc*J60</f>
        <v/>
      </c>
      <c r="N60">
        <f>RANK(M60,$M$2:$M$64,0)</f>
        <v/>
      </c>
    </row>
    <row r="61">
      <c r="A61" t="inlineStr">
        <is>
          <t>3017</t>
        </is>
      </c>
      <c r="B61" t="inlineStr">
        <is>
          <t>奇鋐</t>
        </is>
      </c>
      <c r="C61">
        <f>價值鏈!A10</f>
        <v/>
      </c>
      <c r="D61" t="inlineStr">
        <is>
          <t>電源與散熱</t>
        </is>
      </c>
      <c r="E61" s="3" t="n">
        <v>1</v>
      </c>
      <c r="F61" s="3" t="n">
        <v>2</v>
      </c>
      <c r="G61" s="1" t="inlineStr">
        <is>
          <t>AI 液冷冷板主要供應者（AI半導體 候選母體 v0.2.2；市場位置由次產業內優先序 2 換算）</t>
        </is>
      </c>
      <c r="H61" t="inlineStr">
        <is>
          <t>[判斷]</t>
        </is>
      </c>
      <c r="I61">
        <f>價值鏈!F10</f>
        <v/>
      </c>
      <c r="J61">
        <f>價值鏈!G10</f>
        <v/>
      </c>
      <c r="K61">
        <f>(CHOOSE(I61,s_irr1,s_irr2,s_irr3)+CHOOSE(E61,s_irr1,s_irr2,s_irr3))/2</f>
        <v/>
      </c>
      <c r="L61">
        <f>CHOOSE(F61,s_pos1,s_pos2,s_pos3,s_pos4)</f>
        <v/>
      </c>
      <c r="M61">
        <f>w_irr*K61+w_pos*L61+w_vc*J61</f>
        <v/>
      </c>
      <c r="N61">
        <f>RANK(M61,$M$2:$M$64,0)</f>
        <v/>
      </c>
    </row>
    <row r="62">
      <c r="A62" t="inlineStr">
        <is>
          <t>2301</t>
        </is>
      </c>
      <c r="B62" t="inlineStr">
        <is>
          <t>光寶</t>
        </is>
      </c>
      <c r="C62">
        <f>價值鏈!A10</f>
        <v/>
      </c>
      <c r="D62" t="inlineStr">
        <is>
          <t>電源與散熱</t>
        </is>
      </c>
      <c r="E62" s="3" t="n">
        <v>2</v>
      </c>
      <c r="F62" s="3" t="n">
        <v>3</v>
      </c>
      <c r="G62" s="1" t="inlineStr">
        <is>
          <t>伺服器電源第二大（AI半導體 候選母體 v0.2.2；市場位置由次產業內優先序 3 換算）</t>
        </is>
      </c>
      <c r="H62" t="inlineStr">
        <is>
          <t>[判斷]</t>
        </is>
      </c>
      <c r="I62">
        <f>價值鏈!F10</f>
        <v/>
      </c>
      <c r="J62">
        <f>價值鏈!G10</f>
        <v/>
      </c>
      <c r="K62">
        <f>(CHOOSE(I62,s_irr1,s_irr2,s_irr3)+CHOOSE(E62,s_irr1,s_irr2,s_irr3))/2</f>
        <v/>
      </c>
      <c r="L62">
        <f>CHOOSE(F62,s_pos1,s_pos2,s_pos3,s_pos4)</f>
        <v/>
      </c>
      <c r="M62">
        <f>w_irr*K62+w_pos*L62+w_vc*J62</f>
        <v/>
      </c>
      <c r="N62">
        <f>RANK(M62,$M$2:$M$64,0)</f>
        <v/>
      </c>
    </row>
    <row r="63">
      <c r="A63" t="inlineStr">
        <is>
          <t>3324</t>
        </is>
      </c>
      <c r="B63" t="inlineStr">
        <is>
          <t>雙鴻</t>
        </is>
      </c>
      <c r="C63">
        <f>價值鏈!A10</f>
        <v/>
      </c>
      <c r="D63" t="inlineStr">
        <is>
          <t>電源與散熱</t>
        </is>
      </c>
      <c r="E63" s="3" t="n">
        <v>2</v>
      </c>
      <c r="F63" s="3" t="n">
        <v>3</v>
      </c>
      <c r="G63" s="1" t="inlineStr">
        <is>
          <t>液冷主要廠之一（AI半導體 候選母體 v0.2.2；市場位置由次產業內優先序 4 換算）</t>
        </is>
      </c>
      <c r="H63" t="inlineStr">
        <is>
          <t>[判斷]</t>
        </is>
      </c>
      <c r="I63">
        <f>價值鏈!F10</f>
        <v/>
      </c>
      <c r="J63">
        <f>價值鏈!G10</f>
        <v/>
      </c>
      <c r="K63">
        <f>(CHOOSE(I63,s_irr1,s_irr2,s_irr3)+CHOOSE(E63,s_irr1,s_irr2,s_irr3))/2</f>
        <v/>
      </c>
      <c r="L63">
        <f>CHOOSE(F63,s_pos1,s_pos2,s_pos3,s_pos4)</f>
        <v/>
      </c>
      <c r="M63">
        <f>w_irr*K63+w_pos*L63+w_vc*J63</f>
        <v/>
      </c>
      <c r="N63">
        <f>RANK(M63,$M$2:$M$64,0)</f>
        <v/>
      </c>
    </row>
    <row r="64">
      <c r="A64" t="inlineStr">
        <is>
          <t>3653</t>
        </is>
      </c>
      <c r="B64" t="inlineStr">
        <is>
          <t>健策</t>
        </is>
      </c>
      <c r="C64">
        <f>價值鏈!A10</f>
        <v/>
      </c>
      <c r="D64" t="inlineStr">
        <is>
          <t>電源與散熱</t>
        </is>
      </c>
      <c r="E64" s="3" t="n">
        <v>3</v>
      </c>
      <c r="F64" s="3" t="n">
        <v>4</v>
      </c>
      <c r="G64" s="1" t="inlineStr">
        <is>
          <t>散熱元件（AI半導體 候選母體 v0.2.2；市場位置由次產業內優先序 6 換算）</t>
        </is>
      </c>
      <c r="H64" t="inlineStr">
        <is>
          <t>[判斷]</t>
        </is>
      </c>
      <c r="I64">
        <f>價值鏈!F10</f>
        <v/>
      </c>
      <c r="J64">
        <f>價值鏈!G10</f>
        <v/>
      </c>
      <c r="K64">
        <f>(CHOOSE(I64,s_irr1,s_irr2,s_irr3)+CHOOSE(E64,s_irr1,s_irr2,s_irr3))/2</f>
        <v/>
      </c>
      <c r="L64">
        <f>CHOOSE(F64,s_pos1,s_pos2,s_pos3,s_pos4)</f>
        <v/>
      </c>
      <c r="M64">
        <f>w_irr*K64+w_pos*L64+w_vc*J64</f>
        <v/>
      </c>
      <c r="N64">
        <f>RANK(M64,$M$2:$M$64,0)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外部收盤（非半導體模型）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210.96</v>
      </c>
      <c r="D2" t="inlineStr">
        <is>
          <t>2026-10-23</t>
        </is>
      </c>
      <c r="E2" t="inlineStr">
        <is>
          <t>nvidia/dist/20261025_NVIDIA模型_v0.2.xlsx Val!B57</t>
        </is>
      </c>
      <c r="H2">
        <f>C2</f>
        <v/>
      </c>
    </row>
    <row r="3">
      <c r="A3" t="inlineStr">
        <is>
          <t>AVGO</t>
        </is>
      </c>
      <c r="B3" t="inlineStr">
        <is>
          <t>USD</t>
        </is>
      </c>
      <c r="C3" s="4" t="n">
        <v>321.68</v>
      </c>
      <c r="D3" t="inlineStr">
        <is>
          <t>2026-10-23</t>
        </is>
      </c>
      <c r="E3" t="inlineStr">
        <is>
          <t>avgo/dist/20261025_Broadcom模型_v0.2.xlsx Val!B57</t>
        </is>
      </c>
      <c r="H3">
        <f>C3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1277000</v>
      </c>
      <c r="D4" t="inlineStr">
        <is>
          <t>2026-10-23</t>
        </is>
      </c>
      <c r="E4" t="inlineStr">
        <is>
          <t>skhynix/dist/20261025_SK海力士模型_v0.5.xlsx In!E6</t>
        </is>
      </c>
      <c r="H4">
        <f>C4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215500</v>
      </c>
      <c r="D5" t="inlineStr">
        <is>
          <t>2026-10-23</t>
        </is>
      </c>
      <c r="E5" t="inlineStr">
        <is>
          <t>samsung/dist/20261025_三星電子模型_v0.3.xlsx In!E6</t>
        </is>
      </c>
      <c r="H5">
        <f>C5</f>
        <v/>
      </c>
    </row>
    <row r="6">
      <c r="A6" t="inlineStr">
        <is>
          <t>MU</t>
        </is>
      </c>
      <c r="B6" t="inlineStr">
        <is>
          <t>USD</t>
        </is>
      </c>
      <c r="C6" s="4" t="n">
        <v>877.55</v>
      </c>
      <c r="D6" t="inlineStr">
        <is>
          <t>2026-10-23</t>
        </is>
      </c>
      <c r="E6" t="inlineStr">
        <is>
          <t>micron/dist/20261025_美光模型_v0.4.xlsx In!E5</t>
        </is>
      </c>
      <c r="H6">
        <f>C6</f>
        <v/>
      </c>
    </row>
    <row r="7">
      <c r="A7" t="inlineStr">
        <is>
          <t>2330</t>
        </is>
      </c>
      <c r="B7" t="inlineStr">
        <is>
          <t>TWD</t>
        </is>
      </c>
      <c r="C7" s="4" t="n">
        <v>2385</v>
      </c>
      <c r="D7" t="inlineStr">
        <is>
          <t>2026-10-22</t>
        </is>
      </c>
      <c r="E7" t="inlineStr">
        <is>
          <t>tsmc/dist/20261025_台積電模型_v0.3.xlsx In!E135</t>
        </is>
      </c>
      <c r="H7">
        <f>C7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arista/dist/20261025_Arista模型_v0.2.xlsx Val!B57</t>
        </is>
      </c>
      <c r="H8">
        <f>C8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innolight/dist/20261025_中際旭創模型_v0.2.xlsx Val!B53</t>
        </is>
      </c>
      <c r="H9">
        <f>C9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delta/dist/20261025_台達電模型_v0.2.xlsx Val!B6</t>
        </is>
      </c>
      <c r="H10">
        <f>C10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quanta/dist/20261025_廣達模型_v0.2.xlsx Val!B6</t>
        </is>
      </c>
      <c r="H11">
        <f>C11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8512</v>
      </c>
      <c r="D12" t="inlineStr">
        <is>
          <t>2026-10-23</t>
        </is>
      </c>
      <c r="E12" t="inlineStr">
        <is>
          <t>ibiden/dist/20261025_Ibiden模型_v0.2.xlsx Val!B6</t>
        </is>
      </c>
      <c r="H12">
        <f>C12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32340</v>
      </c>
      <c r="D13" t="inlineStr">
        <is>
          <t>2026-10-23</t>
        </is>
      </c>
      <c r="E13" t="inlineStr">
        <is>
          <t>advantest/dist/20261025_Advantest模型_v0.3.xlsx Val!B92</t>
        </is>
      </c>
      <c r="H13">
        <f>C13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49290</v>
      </c>
      <c r="D14" t="inlineStr">
        <is>
          <t>2026-10-23</t>
        </is>
      </c>
      <c r="E14" t="inlineStr">
        <is>
          <t>disco/dist/20261025_Disco模型_v0.2.1.xlsx Val!B53</t>
        </is>
      </c>
      <c r="H14">
        <f>C14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microsoft/dist/20261025_Microsoft收支模型_v0_2_2.xlsx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amazon/dist/20261025_Amazon收支模型_v0_2_2.xlsx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alphabet/dist/20261025_Alphabet收支模型_v0_2_2.xlsx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  <row r="24">
      <c r="A24" t="inlineStr">
        <is>
          <t>OpenAI</t>
        </is>
      </c>
      <c r="B24" t="inlineStr">
        <is>
          <t>USD</t>
        </is>
      </c>
      <c r="D24" t="inlineStr"/>
      <c r="E24" t="inlineStr"/>
      <c r="H24" t="inlineStr">
        <is>
          <t>未上市</t>
        </is>
      </c>
    </row>
    <row r="25">
      <c r="A25" t="inlineStr">
        <is>
          <t>Anthropic</t>
        </is>
      </c>
      <c r="B25" t="inlineStr">
        <is>
          <t>USD</t>
        </is>
      </c>
      <c r="D25" t="inlineStr"/>
      <c r="E25" t="inlineStr"/>
      <c r="H25" t="inlineStr">
        <is>
          <t>未上市</t>
        </is>
      </c>
    </row>
    <row r="26">
      <c r="A26" t="inlineStr">
        <is>
          <t>AMD</t>
        </is>
      </c>
      <c r="B26" t="inlineStr">
        <is>
          <t>USD</t>
        </is>
      </c>
      <c r="C26" s="4" t="n">
        <v>516.79</v>
      </c>
      <c r="D26" t="inlineStr">
        <is>
          <t>2026-10-23</t>
        </is>
      </c>
      <c r="E26" t="inlineStr">
        <is>
          <t>amd/dist/20261025_AMD模型_v0.2.1.xlsx Val!B67</t>
        </is>
      </c>
      <c r="H26">
        <f>C26</f>
        <v/>
      </c>
    </row>
    <row r="27">
      <c r="A27" t="inlineStr">
        <is>
          <t>2454</t>
        </is>
      </c>
      <c r="B27" t="inlineStr">
        <is>
          <t>TWD</t>
        </is>
      </c>
      <c r="C27" s="4" t="n">
        <v>4010</v>
      </c>
      <c r="D27" t="inlineStr">
        <is>
          <t>2026-10-22</t>
        </is>
      </c>
      <c r="E27" t="inlineStr">
        <is>
          <t>mediatek/dist/20261025_聯發科模型_v0.1.xlsx Val!B53</t>
        </is>
      </c>
      <c r="H27">
        <f>C27</f>
        <v/>
      </c>
    </row>
    <row r="28">
      <c r="A28" t="inlineStr">
        <is>
          <t>MRVL</t>
        </is>
      </c>
      <c r="B28" t="inlineStr">
        <is>
          <t>USD</t>
        </is>
      </c>
      <c r="C28" s="4" t="n">
        <v>228.51</v>
      </c>
      <c r="D28" t="inlineStr">
        <is>
          <t>2026-10-23</t>
        </is>
      </c>
      <c r="E28" t="inlineStr">
        <is>
          <t>mrvl/dist/20261025_邁威爾模型_v0.2.xlsx Val!B68</t>
        </is>
      </c>
      <c r="H28">
        <f>C28</f>
        <v/>
      </c>
    </row>
    <row r="29">
      <c r="A29" t="inlineStr">
        <is>
          <t>3661</t>
        </is>
      </c>
      <c r="B29" t="inlineStr">
        <is>
          <t>TWD</t>
        </is>
      </c>
      <c r="C29" s="4" t="n">
        <v>3495</v>
      </c>
      <c r="D29" t="inlineStr">
        <is>
          <t>2026-10-22</t>
        </is>
      </c>
      <c r="E29" t="inlineStr">
        <is>
          <t>alchip/dist/20261025_世芯-KY模型_v0.1.xlsx Val!B53</t>
        </is>
      </c>
      <c r="H29">
        <f>C29</f>
        <v/>
      </c>
    </row>
    <row r="30">
      <c r="A30" t="inlineStr">
        <is>
          <t>3443</t>
        </is>
      </c>
      <c r="B30" t="inlineStr">
        <is>
          <t>TWD</t>
        </is>
      </c>
      <c r="C30" s="4" t="n">
        <v>7585</v>
      </c>
      <c r="D30" t="inlineStr">
        <is>
          <t>2026-10-22</t>
        </is>
      </c>
      <c r="E30" t="inlineStr">
        <is>
          <t>guc/dist/20261025_創意模型_v0.1.xlsx Val!B53</t>
        </is>
      </c>
      <c r="H30">
        <f>C30</f>
        <v/>
      </c>
    </row>
    <row r="31">
      <c r="A31" t="inlineStr">
        <is>
          <t>285A</t>
        </is>
      </c>
      <c r="B31" t="inlineStr">
        <is>
          <t>JPY</t>
        </is>
      </c>
      <c r="C31" s="4" t="n">
        <v>12755</v>
      </c>
      <c r="D31" t="inlineStr">
        <is>
          <t>2026-10-23</t>
        </is>
      </c>
      <c r="E31" t="inlineStr">
        <is>
          <t>kioxia/dist/20261025_Kioxia模型_v0.1.xlsx Val!B82</t>
        </is>
      </c>
      <c r="H31">
        <f>C31</f>
        <v/>
      </c>
    </row>
    <row r="32">
      <c r="A32" t="inlineStr">
        <is>
          <t>SNDK</t>
        </is>
      </c>
      <c r="B32" t="inlineStr">
        <is>
          <t>USD</t>
        </is>
      </c>
      <c r="C32" s="4" t="n">
        <v>1238.03</v>
      </c>
      <c r="D32" t="inlineStr">
        <is>
          <t>2026-10-23</t>
        </is>
      </c>
      <c r="E32" t="inlineStr">
        <is>
          <t>sndk/dist/20261025_SanDisk模型_v0.1.xlsx Val!B82</t>
        </is>
      </c>
      <c r="H32">
        <f>C32</f>
        <v/>
      </c>
    </row>
    <row r="33">
      <c r="A33" t="inlineStr">
        <is>
          <t>COHR</t>
        </is>
      </c>
      <c r="B33" t="inlineStr">
        <is>
          <t>USD</t>
        </is>
      </c>
      <c r="C33" s="4" t="n">
        <v>209.17</v>
      </c>
      <c r="D33" t="inlineStr">
        <is>
          <t>2026-10-23</t>
        </is>
      </c>
      <c r="E33" t="inlineStr">
        <is>
          <t>cohr/dist/20261025_Coherent模型_v0.2.xlsx Val!B64</t>
        </is>
      </c>
      <c r="H33">
        <f>C33</f>
        <v/>
      </c>
    </row>
    <row r="34">
      <c r="A34" t="inlineStr">
        <is>
          <t>LITE</t>
        </is>
      </c>
      <c r="B34" t="inlineStr">
        <is>
          <t>USD</t>
        </is>
      </c>
      <c r="C34" s="4" t="n">
        <v>756.17</v>
      </c>
      <c r="D34" t="inlineStr">
        <is>
          <t>2026-10-23</t>
        </is>
      </c>
      <c r="E34" t="inlineStr">
        <is>
          <t>lite/dist/20261025_Lumentum模型_v0.2.xlsx Val!B63</t>
        </is>
      </c>
      <c r="H34">
        <f>C34</f>
        <v/>
      </c>
    </row>
    <row r="35">
      <c r="A35" t="inlineStr">
        <is>
          <t>300502</t>
        </is>
      </c>
      <c r="B35" t="inlineStr">
        <is>
          <t>CNY</t>
        </is>
      </c>
      <c r="C35" s="4" t="n">
        <v>261</v>
      </c>
      <c r="D35" t="inlineStr">
        <is>
          <t>2026-10-23</t>
        </is>
      </c>
      <c r="E35" t="inlineStr">
        <is>
          <t>eoptolink/dist/20261025_新易盛模型_v0.2.xlsx Val!B63</t>
        </is>
      </c>
      <c r="H35">
        <f>C35</f>
        <v/>
      </c>
    </row>
    <row r="36">
      <c r="A36" t="inlineStr">
        <is>
          <t>2345</t>
        </is>
      </c>
      <c r="B36" t="inlineStr">
        <is>
          <t>TWD</t>
        </is>
      </c>
      <c r="C36" s="4" t="n">
        <v>1775</v>
      </c>
      <c r="D36" t="inlineStr">
        <is>
          <t>2026-10-22</t>
        </is>
      </c>
      <c r="E36" t="inlineStr">
        <is>
          <t>accton/dist/20261025_智邦模型_v0.2.xlsx Val!B66</t>
        </is>
      </c>
      <c r="H36">
        <f>C36</f>
        <v/>
      </c>
    </row>
    <row r="37">
      <c r="A37" t="inlineStr">
        <is>
          <t>FN</t>
        </is>
      </c>
      <c r="B37" t="inlineStr">
        <is>
          <t>USD</t>
        </is>
      </c>
      <c r="C37" s="4" t="n">
        <v>314.94</v>
      </c>
      <c r="D37" t="inlineStr">
        <is>
          <t>2026-10-23</t>
        </is>
      </c>
      <c r="E37" t="inlineStr">
        <is>
          <t>fabrinet/dist/20261025_Fabrinet模型_v0.1.xlsx Val!B64</t>
        </is>
      </c>
      <c r="H37">
        <f>C37</f>
        <v/>
      </c>
    </row>
    <row r="38">
      <c r="A38" t="inlineStr">
        <is>
          <t>CRDO</t>
        </is>
      </c>
      <c r="B38" t="inlineStr">
        <is>
          <t>USD</t>
        </is>
      </c>
      <c r="C38" s="4" t="n">
        <v>147.29</v>
      </c>
      <c r="D38" t="inlineStr">
        <is>
          <t>2026-10-23</t>
        </is>
      </c>
      <c r="E38" t="inlineStr">
        <is>
          <t>crdo/dist/20261025_Credo模型_v0.2.xlsx Val!B63</t>
        </is>
      </c>
      <c r="H38">
        <f>C38</f>
        <v/>
      </c>
    </row>
    <row r="39">
      <c r="A39" t="inlineStr">
        <is>
          <t>ALAB</t>
        </is>
      </c>
      <c r="B39" t="inlineStr">
        <is>
          <t>USD</t>
        </is>
      </c>
      <c r="C39" s="4" t="n">
        <v>257.16</v>
      </c>
      <c r="D39" t="inlineStr">
        <is>
          <t>2026-10-23</t>
        </is>
      </c>
      <c r="E39" t="inlineStr">
        <is>
          <t>alab/dist/20261025_Astera Labs模型_v0.1.xlsx Val!B63</t>
        </is>
      </c>
      <c r="H39">
        <f>C39</f>
        <v/>
      </c>
    </row>
    <row r="40">
      <c r="A40" t="inlineStr">
        <is>
          <t>2449</t>
        </is>
      </c>
      <c r="B40" t="inlineStr">
        <is>
          <t>TWD</t>
        </is>
      </c>
      <c r="C40" s="4" t="n">
        <v>262.5</v>
      </c>
      <c r="D40" t="inlineStr">
        <is>
          <t>2026-10-22</t>
        </is>
      </c>
      <c r="E40" t="inlineStr">
        <is>
          <t>kyec/dist/20261025_京元電模型_v0.2.xlsx Val!B53</t>
        </is>
      </c>
      <c r="H40">
        <f>C40</f>
        <v/>
      </c>
    </row>
    <row r="41">
      <c r="A41" t="inlineStr">
        <is>
          <t>AMKR</t>
        </is>
      </c>
      <c r="B41" t="inlineStr">
        <is>
          <t>USD</t>
        </is>
      </c>
      <c r="C41" s="4" t="n">
        <v>39.3</v>
      </c>
      <c r="D41" t="inlineStr">
        <is>
          <t>2026-10-23</t>
        </is>
      </c>
      <c r="E41" t="inlineStr">
        <is>
          <t>amkr/dist/20261025_艾克爾模型_v0.2.xlsx Val!B53</t>
        </is>
      </c>
      <c r="H41">
        <f>C41</f>
        <v/>
      </c>
    </row>
    <row r="42">
      <c r="A42" t="inlineStr">
        <is>
          <t>2383</t>
        </is>
      </c>
      <c r="B42" t="inlineStr">
        <is>
          <t>TWD</t>
        </is>
      </c>
      <c r="C42" s="4" t="n">
        <v>5070</v>
      </c>
      <c r="D42" t="inlineStr">
        <is>
          <t>2026-10-22</t>
        </is>
      </c>
      <c r="E42" t="inlineStr">
        <is>
          <t>emc/dist/20261025_台光電模型_v0.2.xlsx Val!B6</t>
        </is>
      </c>
      <c r="H42">
        <f>C42</f>
        <v/>
      </c>
    </row>
    <row r="43">
      <c r="A43" t="inlineStr">
        <is>
          <t>3037</t>
        </is>
      </c>
      <c r="B43" t="inlineStr">
        <is>
          <t>TWD</t>
        </is>
      </c>
      <c r="C43" s="4" t="n">
        <v>1085</v>
      </c>
      <c r="D43" t="inlineStr">
        <is>
          <t>2026-10-22</t>
        </is>
      </c>
      <c r="E43" t="inlineStr">
        <is>
          <t>unimicron/dist/20261025_欣興模型_v0.1.xlsx Val!B53</t>
        </is>
      </c>
      <c r="H43">
        <f>C43</f>
        <v/>
      </c>
    </row>
    <row r="44">
      <c r="A44" t="inlineStr">
        <is>
          <t>8046</t>
        </is>
      </c>
      <c r="B44" t="inlineStr">
        <is>
          <t>TWD</t>
        </is>
      </c>
      <c r="C44" s="4" t="n">
        <v>1265</v>
      </c>
      <c r="D44" t="inlineStr">
        <is>
          <t>2026-10-22</t>
        </is>
      </c>
      <c r="E44" t="inlineStr">
        <is>
          <t>nanya_pcb/dist/20261025_南電模型_v0.1.xlsx Val!B53</t>
        </is>
      </c>
      <c r="H44">
        <f>C44</f>
        <v/>
      </c>
    </row>
    <row r="45">
      <c r="A45" t="inlineStr">
        <is>
          <t>2368</t>
        </is>
      </c>
      <c r="B45" t="inlineStr">
        <is>
          <t>TWD</t>
        </is>
      </c>
      <c r="C45" s="4" t="n">
        <v>1115</v>
      </c>
      <c r="D45" t="inlineStr">
        <is>
          <t>2026-10-22</t>
        </is>
      </c>
      <c r="E45" t="inlineStr">
        <is>
          <t>gce/dist/20261025_金像電模型_v0.1.xlsx Val!B53</t>
        </is>
      </c>
      <c r="H45">
        <f>C45</f>
        <v/>
      </c>
    </row>
    <row r="46">
      <c r="A46" t="inlineStr">
        <is>
          <t>300476</t>
        </is>
      </c>
      <c r="B46" t="inlineStr">
        <is>
          <t>CNY</t>
        </is>
      </c>
      <c r="C46" s="4" t="n">
        <v>183.48</v>
      </c>
      <c r="D46" t="inlineStr">
        <is>
          <t>2026-10-23</t>
        </is>
      </c>
      <c r="E46" t="inlineStr">
        <is>
          <t>victory_giant/dist/20261025_勝宏科技模型_v0.1.xlsx Val!B53</t>
        </is>
      </c>
      <c r="H46">
        <f>C46</f>
        <v/>
      </c>
    </row>
    <row r="47">
      <c r="A47" t="inlineStr">
        <is>
          <t>ASML</t>
        </is>
      </c>
      <c r="B47" t="inlineStr">
        <is>
          <t>EUR</t>
        </is>
      </c>
      <c r="C47" s="4" t="n">
        <v>1407.2</v>
      </c>
      <c r="D47" t="inlineStr">
        <is>
          <t>2026-10-23</t>
        </is>
      </c>
      <c r="E47" t="inlineStr">
        <is>
          <t>asml/dist/20261025_ASML模型_v0.2.xlsx Val!B16</t>
        </is>
      </c>
      <c r="H47">
        <f>C47</f>
        <v/>
      </c>
    </row>
    <row r="48">
      <c r="A48" t="inlineStr">
        <is>
          <t>AMAT</t>
        </is>
      </c>
      <c r="B48" t="inlineStr">
        <is>
          <t>USD</t>
        </is>
      </c>
      <c r="C48" s="4" t="n">
        <v>377.24</v>
      </c>
      <c r="D48" t="inlineStr">
        <is>
          <t>2026-10-23</t>
        </is>
      </c>
      <c r="E48" t="inlineStr">
        <is>
          <t>amat/dist/20261025_應用材料模型_v0.2.xlsx In!E139</t>
        </is>
      </c>
      <c r="H48">
        <f>C48</f>
        <v/>
      </c>
    </row>
    <row r="49">
      <c r="A49" t="inlineStr">
        <is>
          <t>LRCX</t>
        </is>
      </c>
      <c r="B49" t="inlineStr">
        <is>
          <t>USD</t>
        </is>
      </c>
      <c r="C49" s="4" t="n">
        <v>230.1</v>
      </c>
      <c r="D49" t="inlineStr">
        <is>
          <t>2026-10-23</t>
        </is>
      </c>
      <c r="E49" t="inlineStr">
        <is>
          <t>lrcx/dist/20261025_科林研發模型_v0.2.xlsx In!E124</t>
        </is>
      </c>
      <c r="H49">
        <f>C49</f>
        <v/>
      </c>
    </row>
    <row r="50">
      <c r="A50" t="inlineStr">
        <is>
          <t>KLAC</t>
        </is>
      </c>
      <c r="B50" t="inlineStr">
        <is>
          <t>USD</t>
        </is>
      </c>
      <c r="C50" s="4" t="n">
        <v>145.61</v>
      </c>
      <c r="D50" t="inlineStr">
        <is>
          <t>2026-10-23</t>
        </is>
      </c>
      <c r="E50" t="inlineStr">
        <is>
          <t>klac/dist/20261025_科磊模型_v0.2.xlsx In!E55</t>
        </is>
      </c>
      <c r="H50">
        <f>C50</f>
        <v/>
      </c>
    </row>
    <row r="51">
      <c r="A51" t="inlineStr">
        <is>
          <t>042700</t>
        </is>
      </c>
      <c r="B51" t="inlineStr">
        <is>
          <t>KRW</t>
        </is>
      </c>
      <c r="C51" s="4" t="n">
        <v>188500</v>
      </c>
      <c r="D51" t="inlineStr">
        <is>
          <t>2026-10-23</t>
        </is>
      </c>
      <c r="E51" t="inlineStr">
        <is>
          <t>hanmi/dist/20261025_韓美半導體模型_v0.2.1.xlsx In!E95</t>
        </is>
      </c>
      <c r="H51">
        <f>C51</f>
        <v/>
      </c>
    </row>
    <row r="52">
      <c r="A52" t="inlineStr">
        <is>
          <t>TER</t>
        </is>
      </c>
      <c r="B52" t="inlineStr">
        <is>
          <t>USD</t>
        </is>
      </c>
      <c r="C52" s="4" t="n">
        <v>308.85</v>
      </c>
      <c r="D52" t="inlineStr">
        <is>
          <t>2026-10-23</t>
        </is>
      </c>
      <c r="E52" t="inlineStr">
        <is>
          <t>ter/dist/20261025_泰瑞達模型_v0.1.xlsx Val!B73</t>
        </is>
      </c>
      <c r="H52">
        <f>C52</f>
        <v/>
      </c>
    </row>
    <row r="53">
      <c r="A53" t="inlineStr">
        <is>
          <t>BESI</t>
        </is>
      </c>
      <c r="B53" t="inlineStr">
        <is>
          <t>EUR</t>
        </is>
      </c>
      <c r="C53" s="4" t="n">
        <v>145.1</v>
      </c>
      <c r="D53" t="inlineStr">
        <is>
          <t>2026-10-23</t>
        </is>
      </c>
      <c r="E53" t="inlineStr">
        <is>
          <t>besi/dist/20261025_BESI模型_v0.1.xlsx In!E117</t>
        </is>
      </c>
      <c r="H53">
        <f>C53</f>
        <v/>
      </c>
    </row>
    <row r="54">
      <c r="A54" t="inlineStr">
        <is>
          <t>6315</t>
        </is>
      </c>
      <c r="B54" t="inlineStr">
        <is>
          <t>JPY</t>
        </is>
      </c>
      <c r="C54" s="4" t="n">
        <v>1968</v>
      </c>
      <c r="D54" t="inlineStr">
        <is>
          <t>2026-10-23</t>
        </is>
      </c>
      <c r="E54" t="inlineStr">
        <is>
          <t>towa/dist/20261025_TOWA模型_v0.1.xlsx Val!B110</t>
        </is>
      </c>
      <c r="H54">
        <f>C54</f>
        <v/>
      </c>
    </row>
    <row r="55">
      <c r="A55" t="inlineStr">
        <is>
          <t>7729</t>
        </is>
      </c>
      <c r="B55" t="inlineStr">
        <is>
          <t>JPY</t>
        </is>
      </c>
      <c r="C55" s="4" t="n">
        <v>15520</v>
      </c>
      <c r="D55" t="inlineStr">
        <is>
          <t>2026-10-23</t>
        </is>
      </c>
      <c r="E55" t="inlineStr">
        <is>
          <t>accretech/dist/20261025_東京精密模型_v0.1.xlsx Val!B53</t>
        </is>
      </c>
      <c r="H55">
        <f>C55</f>
        <v/>
      </c>
    </row>
    <row r="56">
      <c r="A56" t="inlineStr">
        <is>
          <t>2317</t>
        </is>
      </c>
      <c r="B56" t="inlineStr">
        <is>
          <t>TWD</t>
        </is>
      </c>
      <c r="C56" s="4" t="n">
        <v>245</v>
      </c>
      <c r="D56" t="inlineStr">
        <is>
          <t>2026-10-22</t>
        </is>
      </c>
      <c r="E56" t="inlineStr">
        <is>
          <t>foxconn/dist/20261025_鴻海模型_v0.2.xlsx Val!B6</t>
        </is>
      </c>
      <c r="H56">
        <f>C56</f>
        <v/>
      </c>
    </row>
    <row r="57">
      <c r="A57" t="inlineStr">
        <is>
          <t>3231</t>
        </is>
      </c>
      <c r="B57" t="inlineStr">
        <is>
          <t>TWD</t>
        </is>
      </c>
      <c r="C57" s="4" t="n">
        <v>190</v>
      </c>
      <c r="D57" t="inlineStr">
        <is>
          <t>2026-10-22</t>
        </is>
      </c>
      <c r="E57" t="inlineStr">
        <is>
          <t>wistron/dist/20261025_緯創模型_v0.1.xlsx Val!B53</t>
        </is>
      </c>
      <c r="H57">
        <f>C57</f>
        <v/>
      </c>
    </row>
    <row r="58">
      <c r="A58" t="inlineStr">
        <is>
          <t>6669</t>
        </is>
      </c>
      <c r="B58" t="inlineStr">
        <is>
          <t>TWD</t>
        </is>
      </c>
      <c r="C58" s="4" t="n">
        <v>1840</v>
      </c>
      <c r="D58" t="inlineStr">
        <is>
          <t>2026-10-22</t>
        </is>
      </c>
      <c r="E58" t="inlineStr">
        <is>
          <t>wiwynn/dist/20261025_緯穎模型_v0.1.xlsx Val!B53</t>
        </is>
      </c>
      <c r="H58">
        <f>C58</f>
        <v/>
      </c>
    </row>
    <row r="59">
      <c r="A59" t="inlineStr">
        <is>
          <t>DELL</t>
        </is>
      </c>
      <c r="B59" t="inlineStr">
        <is>
          <t>USD</t>
        </is>
      </c>
      <c r="C59" s="4" t="n">
        <v>456.44</v>
      </c>
      <c r="D59" t="inlineStr">
        <is>
          <t>2026-10-23</t>
        </is>
      </c>
      <c r="E59" t="inlineStr">
        <is>
          <t>dell/dist/20261025_戴爾模型_v0.1.xlsx Val!B55</t>
        </is>
      </c>
      <c r="H59">
        <f>C59</f>
        <v/>
      </c>
    </row>
    <row r="60">
      <c r="A60" t="inlineStr">
        <is>
          <t>SMCI</t>
        </is>
      </c>
      <c r="B60" t="inlineStr">
        <is>
          <t>USD</t>
        </is>
      </c>
      <c r="C60" s="4" t="n">
        <v>32.94</v>
      </c>
      <c r="D60" t="inlineStr">
        <is>
          <t>2026-10-23</t>
        </is>
      </c>
      <c r="E60" t="inlineStr">
        <is>
          <t>smci/dist/20261025_美超微模型_v0.1.xlsx Val!B53</t>
        </is>
      </c>
      <c r="H60">
        <f>C60</f>
        <v/>
      </c>
    </row>
    <row r="61">
      <c r="A61" t="inlineStr">
        <is>
          <t>3017</t>
        </is>
      </c>
      <c r="B61" t="inlineStr">
        <is>
          <t>TWD</t>
        </is>
      </c>
      <c r="C61" s="4" t="n">
        <v>3145</v>
      </c>
      <c r="D61" t="inlineStr">
        <is>
          <t>2026-10-22</t>
        </is>
      </c>
      <c r="E61" t="inlineStr">
        <is>
          <t>avc/dist/20261025_奇鋐模型_v0.2.xlsx Val!B6</t>
        </is>
      </c>
      <c r="H61">
        <f>C61</f>
        <v/>
      </c>
    </row>
    <row r="62">
      <c r="A62" t="inlineStr">
        <is>
          <t>2301</t>
        </is>
      </c>
      <c r="B62" t="inlineStr">
        <is>
          <t>TWD</t>
        </is>
      </c>
      <c r="C62" s="4" t="n">
        <v>255.5</v>
      </c>
      <c r="D62" t="inlineStr">
        <is>
          <t>2026-10-22</t>
        </is>
      </c>
      <c r="E62" t="inlineStr">
        <is>
          <t>liteon/dist/20261025_光寶模型_v0.1.xlsx Val!B53</t>
        </is>
      </c>
      <c r="H62">
        <f>C62</f>
        <v/>
      </c>
    </row>
    <row r="63">
      <c r="A63" t="inlineStr">
        <is>
          <t>3324</t>
        </is>
      </c>
      <c r="B63" t="inlineStr">
        <is>
          <t>TWD</t>
        </is>
      </c>
      <c r="C63" s="4" t="n">
        <v>1360</v>
      </c>
      <c r="D63" t="inlineStr">
        <is>
          <t>2026-10-22</t>
        </is>
      </c>
      <c r="E63" t="inlineStr">
        <is>
          <t>auras/dist/20261025_雙鴻模型_v0.1.xlsx Val!B62</t>
        </is>
      </c>
      <c r="H63">
        <f>C63</f>
        <v/>
      </c>
    </row>
    <row r="64">
      <c r="A64" t="inlineStr">
        <is>
          <t>3653</t>
        </is>
      </c>
      <c r="B64" t="inlineStr">
        <is>
          <t>TWD</t>
        </is>
      </c>
      <c r="C64" s="4" t="n">
        <v>6070</v>
      </c>
      <c r="D64" t="inlineStr">
        <is>
          <t>2026-10-22</t>
        </is>
      </c>
      <c r="E64" t="inlineStr">
        <is>
          <t>jentech/dist/20261025_健策模型_v0.1.xlsx Val!B56</t>
        </is>
      </c>
      <c r="H64">
        <f>C64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  <col width="9" customWidth="1" min="28" max="28"/>
    <col width="30" customWidth="1" min="29" max="29"/>
    <col width="46" customWidth="1" min="30" max="30"/>
    <col width="10" customWidth="1" min="31" max="31"/>
    <col width="10" customWidth="1" min="32" max="32"/>
    <col width="44" customWidth="1" min="33" max="33"/>
    <col width="14" customWidth="1" min="34" max="34"/>
    <col width="12" customWidth="1" min="35" max="35"/>
    <col width="12" customWidth="1" min="36" max="36"/>
    <col width="60" customWidth="1" min="37" max="3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悲觀情境候選 1</t>
        </is>
      </c>
      <c r="K1" s="2" t="inlineStr">
        <is>
          <t>悲觀情境候選 1 來源</t>
        </is>
      </c>
      <c r="L1" s="2" t="inlineStr">
        <is>
          <t>悲觀情境候選 2</t>
        </is>
      </c>
      <c r="M1" s="2" t="inlineStr">
        <is>
          <t>悲觀情境候選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悲觀情境價</t>
        </is>
      </c>
      <c r="Q1" s="2" t="inlineStr">
        <is>
          <t>中心空間</t>
        </is>
      </c>
      <c r="R1" s="2" t="inlineStr">
        <is>
          <t>悲觀情境空間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  <c r="AB1" s="2" t="inlineStr">
        <is>
          <t>收支口徑</t>
        </is>
      </c>
      <c r="AC1" s="2" t="inlineStr">
        <is>
          <t>收支列（模型）</t>
        </is>
      </c>
      <c r="AD1" s="2" t="inlineStr">
        <is>
          <t>收支序列</t>
        </is>
      </c>
      <c r="AE1" s="2" t="inlineStr">
        <is>
          <t>期間合計</t>
        </is>
      </c>
      <c r="AF1" s="2" t="inlineStr">
        <is>
          <t>最小值</t>
        </is>
      </c>
      <c r="AG1" s="2" t="inlineStr">
        <is>
          <t>收支來源</t>
        </is>
      </c>
      <c r="AH1" s="2" t="inlineStr">
        <is>
          <t>收支關卡</t>
        </is>
      </c>
      <c r="AI1" s="2" t="inlineStr">
        <is>
          <t>最終分級</t>
        </is>
      </c>
      <c r="AJ1" s="2" t="inlineStr">
        <is>
          <t>上檔空間級距</t>
        </is>
      </c>
      <c r="AK1" s="2" t="inlineStr">
        <is>
          <t>投資建議與上檔空間依據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加權目標價（DCF 50%＋Comparable 50%）</t>
        </is>
      </c>
      <c r="F2" s="4" t="n">
        <v>251.880296390576</v>
      </c>
      <c r="G2" t="inlineStr">
        <is>
          <t>nvidia/dist/20261025_NVIDIA模型_v0.2.xlsx Val!B40</t>
        </is>
      </c>
      <c r="J2" s="4" t="n">
        <v>128.622689303977</v>
      </c>
      <c r="K2" t="inlineStr">
        <is>
          <t>nvidia/dist/20261025_NVIDIA模型_v0.2.xlsx Val!B47</t>
        </is>
      </c>
      <c r="N2">
        <f>價格!H2</f>
        <v/>
      </c>
      <c r="O2">
        <f>MIN(F2,H2)</f>
        <v/>
      </c>
      <c r="P2">
        <f>MIN(J2,L2)</f>
        <v/>
      </c>
      <c r="Q2" s="4" t="n">
        <v>0.193971825893893</v>
      </c>
      <c r="R2">
        <f>P2/N2-1</f>
        <v/>
      </c>
      <c r="S2">
        <f>IF(Q2&gt;0.5,"強力買進",IF(Q2&gt;0.25,"買進",IF(Q2&gt;=-0.25,"中立",IF(Q2&gt;=-0.5,"放空","強力放空"))))</f>
        <v/>
      </c>
      <c r="T2">
        <f>467.571184194614/N2-1</f>
        <v/>
      </c>
      <c r="U2" t="inlineStr">
        <is>
          <t>舊法：規則值情境加權價（參考，Val!B170）</t>
        </is>
      </c>
      <c r="V2" t="inlineStr">
        <is>
          <t>14.3 ／ 14.3 ／ 14.3</t>
        </is>
      </c>
      <c r="W2" s="1" t="inlineStr">
        <is>
          <t>DCF 目標價 235.0（Val!B23）；Comparable 目標價 268.7（Val!B41）；市場共識目標價 328.9（Val!B42，外部、僅供對照）；價格帶 C～A 情境 DCF 128.6～313.1</t>
        </is>
      </c>
      <c r="Z2">
        <f>IF(ISNUMBER(價格!C2),價格!H2/價格!C2-1,"")</f>
        <v/>
      </c>
      <c r="AA2">
        <f>IF(Z2="","",IF(ABS(Z2)&gt;0.2,"模型尚未反映期間變化",""))</f>
        <v/>
      </c>
      <c r="AB2" t="inlineStr">
        <is>
          <t>淨利</t>
        </is>
      </c>
      <c r="AC2" t="inlineStr">
        <is>
          <t>PL 頁各情境模型年度淨利（不含實績）</t>
        </is>
      </c>
      <c r="AD2" t="inlineStr">
        <is>
          <t>12 個情境年度淨利（不含實績），全部為正</t>
        </is>
      </c>
      <c r="AE2" s="4" t="n">
        <v>4314.771494494909</v>
      </c>
      <c r="AF2" s="4" t="n">
        <v>219.760389832454</v>
      </c>
      <c r="AG2" t="inlineStr">
        <is>
          <t>[Derived] nvidia/dist/20261025_NVIDIA模型_v0.2.xlsx PL!D12…PL!G292</t>
        </is>
      </c>
      <c r="AH2">
        <f>IF(AB2="淨利",IF(AF2&gt;0,"通過（淨利）","不通過"),IF(AE2&lt;0,"不通過","通過（現金流）"))</f>
        <v/>
      </c>
      <c r="AI2">
        <f>IF(S2="未上市","未上市",IF(AND(AH2="不通過",OR(S2="強力買進",S2="買進",S2="未估值")),"收支不足",S2))</f>
        <v/>
      </c>
      <c r="AJ2">
        <f>IF(Q2&gt;0.5,"大於 50%",IF(Q2&gt;0.25,"25%–50%",IF(Q2&gt;=0,"0%–25%",IF(Q2&gt;=-0.25,"0%～−25%",IF(Q2&gt;=-0.5,"−25%～−50%","小於 −50%")))))</f>
        <v/>
      </c>
      <c r="AK2" s="1" t="inlineStr">
        <is>
          <t>上檔空間 nvidia/dist/20261025_NVIDIA模型_v0.2.xlsx Val!B43；投資建議：模型尚未補列，依 AI半導體 固定規則自算；級距：模型尚未補列，依 AI半導體 固定規則自算</t>
        </is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加權目標價（DCF 50%＋Comparable 50%）</t>
        </is>
      </c>
      <c r="F3" s="4" t="n">
        <v>340.643248720447</v>
      </c>
      <c r="G3" t="inlineStr">
        <is>
          <t>avgo/dist/20261025_Broadcom模型_v0.2.xlsx Val!B40</t>
        </is>
      </c>
      <c r="J3" s="4" t="n">
        <v>221.914547314327</v>
      </c>
      <c r="K3" t="inlineStr">
        <is>
          <t>avgo/dist/20261025_Broadcom模型_v0.2.xlsx Val!B47</t>
        </is>
      </c>
      <c r="N3">
        <f>價格!H3</f>
        <v/>
      </c>
      <c r="O3">
        <f>MIN(F3,H3)</f>
        <v/>
      </c>
      <c r="P3">
        <f>MIN(J3,L3)</f>
        <v/>
      </c>
      <c r="Q3" s="4" t="n">
        <v>0.058950661279678</v>
      </c>
      <c r="R3">
        <f>P3/N3-1</f>
        <v/>
      </c>
      <c r="S3">
        <f>IF(Q3&gt;0.5,"強力買進",IF(Q3&gt;0.25,"買進",IF(Q3&gt;=-0.25,"中立",IF(Q3&gt;=-0.5,"放空","強力放空"))))</f>
        <v/>
      </c>
      <c r="T3">
        <f>647.367676593253/N3-1</f>
        <v/>
      </c>
      <c r="U3" t="inlineStr">
        <is>
          <t>舊法：規則值情境加權價（參考，Val!B104）</t>
        </is>
      </c>
      <c r="V3" t="inlineStr">
        <is>
          <t>15.3 ／ 18.0 ／ 21.7</t>
        </is>
      </c>
      <c r="W3" s="1" t="inlineStr">
        <is>
          <t>DCF 目標價 324.6（Val!B23）；Comparable 目標價 356.7（Val!B41）；市場共識目標價 529.1（Val!B42，外部、僅供對照）；價格帶 C～A 情境 DCF 221.9～394.3</t>
        </is>
      </c>
      <c r="Z3">
        <f>IF(ISNUMBER(價格!C3),價格!H3/價格!C3-1,"")</f>
        <v/>
      </c>
      <c r="AA3">
        <f>IF(Z3="","",IF(ABS(Z3)&gt;0.2,"模型尚未反映期間變化",""))</f>
        <v/>
      </c>
      <c r="AB3" t="inlineStr">
        <is>
          <t>淨利</t>
        </is>
      </c>
      <c r="AC3" t="inlineStr">
        <is>
          <t>PL 頁各情境模型年度淨利（不含實績）</t>
        </is>
      </c>
      <c r="AD3" t="inlineStr">
        <is>
          <t>8 個情境年度淨利（不含實績），全部為正</t>
        </is>
      </c>
      <c r="AE3" s="4" t="n">
        <v>711.2280417774298</v>
      </c>
      <c r="AF3" s="4" t="n">
        <v>57.42012</v>
      </c>
      <c r="AG3" t="inlineStr">
        <is>
          <t>[Derived] avgo/dist/20261025_Broadcom模型_v0.2.xlsx PL!D13…PL!G39</t>
        </is>
      </c>
      <c r="AH3">
        <f>IF(AB3="淨利",IF(AF3&gt;0,"通過（淨利）","不通過"),IF(AE3&lt;0,"不通過","通過（現金流）"))</f>
        <v/>
      </c>
      <c r="AI3">
        <f>IF(S3="未上市","未上市",IF(AND(AH3="不通過",OR(S3="強力買進",S3="買進",S3="未估值")),"收支不足",S3))</f>
        <v/>
      </c>
      <c r="AJ3">
        <f>IF(Q3&gt;0.5,"大於 50%",IF(Q3&gt;0.25,"25%–50%",IF(Q3&gt;=0,"0%–25%",IF(Q3&gt;=-0.25,"0%～−25%",IF(Q3&gt;=-0.5,"−25%～−50%","小於 −50%")))))</f>
        <v/>
      </c>
      <c r="AK3" s="1" t="inlineStr">
        <is>
          <t>上檔空間 avgo/dist/20261025_Broadcom模型_v0.2.xlsx Val!B43；投資建議：模型尚未補列，依 AI半導體 固定規則自算；級距：模型尚未補列，依 AI半導體 固定規則自算</t>
        </is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加權目標價（DCF 50%＋Comparable 50%）</t>
        </is>
      </c>
      <c r="F4" s="4" t="n">
        <v>3087845.415541</v>
      </c>
      <c r="G4" t="inlineStr">
        <is>
          <t>skhynix/dist/20261025_SK海力士模型_v0.5.xlsx Val!B161</t>
        </is>
      </c>
      <c r="J4" s="4" t="n">
        <v>1308904.14697498</v>
      </c>
      <c r="K4" t="inlineStr">
        <is>
          <t>skhynix/dist/20261025_SK海力士模型_v0.5.xlsx Val!D145</t>
        </is>
      </c>
      <c r="N4">
        <f>價格!H4</f>
        <v/>
      </c>
      <c r="O4">
        <f>MIN(F4,H4)</f>
        <v/>
      </c>
      <c r="P4">
        <f>MIN(J4,L4)</f>
        <v/>
      </c>
      <c r="Q4" s="4" t="n">
        <v>1.41804652744009</v>
      </c>
      <c r="R4">
        <f>P4/N4-1</f>
        <v/>
      </c>
      <c r="S4">
        <f>IF(Q4&gt;0.5,"強力買進",IF(Q4&gt;0.25,"買進",IF(Q4&gt;=-0.25,"中立",IF(Q4&gt;=-0.5,"放空","強力放空"))))</f>
        <v/>
      </c>
      <c r="T4">
        <f>1392208.55280262/N4-1</f>
        <v/>
      </c>
      <c r="U4" t="inlineStr">
        <is>
          <t>舊法：規則值情境加權價（參考，Val!B176）</t>
        </is>
      </c>
      <c r="W4" s="1" t="inlineStr">
        <is>
          <t>DCF 目標價 3,709,129.8（Val!B146）；Comparable 目標價 2,466,561.0（Val!B162）；市場共識目標價 3,096,288.0（Val!B163，外部、僅供對照）；價格帶 C～A 情境 DCF 1,308,904.1～6,513,978.2</t>
        </is>
      </c>
      <c r="Z4">
        <f>IF(ISNUMBER(價格!C4),價格!H4/價格!C4-1,"")</f>
        <v/>
      </c>
      <c r="AA4">
        <f>IF(Z4="","",IF(ABS(Z4)&gt;0.2,"模型尚未反映期間變化",""))</f>
        <v/>
      </c>
      <c r="AB4" t="inlineStr">
        <is>
          <t>現金流</t>
        </is>
      </c>
      <c r="AC4" t="inlineStr">
        <is>
          <t>自由現金流（淨利＋折舊 − 資本支出）</t>
        </is>
      </c>
      <c r="AD4" t="inlineStr">
        <is>
          <t>2026（基準） 232.9、2027 A 301.3、2028 A 334.4、2029 A 372.3、2027 B 293.3、2028 B 151.6、2029 B 188.0、2027 C 293.3、2028 C 77.1、2029 C 63.7</t>
        </is>
      </c>
      <c r="AE4" s="4" t="n">
        <v>2307.957748876296</v>
      </c>
      <c r="AF4" s="4" t="n">
        <v>63.7338503409949</v>
      </c>
      <c r="AG4" t="inlineStr">
        <is>
          <t>[Derived] skhynix/dist/20261025_SK海力士模型_v0.5.xlsx Y!C22…Y!L22</t>
        </is>
      </c>
      <c r="AH4">
        <f>IF(AB4="淨利",IF(AF4&gt;0,"通過（淨利）","不通過"),IF(AE4&lt;0,"不通過","通過（現金流）"))</f>
        <v/>
      </c>
      <c r="AI4">
        <f>IF(S4="未上市","未上市",IF(AND(AH4="不通過",OR(S4="強力買進",S4="買進",S4="未估值")),"收支不足",S4))</f>
        <v/>
      </c>
      <c r="AJ4">
        <f>IF(Q4&gt;0.5,"大於 50%",IF(Q4&gt;0.25,"25%–50%",IF(Q4&gt;=0,"0%–25%",IF(Q4&gt;=-0.25,"0%～−25%",IF(Q4&gt;=-0.5,"−25%～−50%","小於 −50%")))))</f>
        <v/>
      </c>
      <c r="AK4" s="1" t="inlineStr">
        <is>
          <t>上檔空間 skhynix/dist/20261025_SK海力士模型_v0.5.xlsx Val!B164；投資建議：模型尚未補列，依 AI半導體 固定規則自算；級距：模型尚未補列，依 AI半導體 固定規則自算</t>
        </is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加權目標價（DCF 50%＋Comparable 50%）</t>
        </is>
      </c>
      <c r="F5" s="4" t="n">
        <v>477143.173864418</v>
      </c>
      <c r="G5" t="inlineStr">
        <is>
          <t>samsung/dist/20261025_三星電子模型_v0.3.xlsx Val!B161</t>
        </is>
      </c>
      <c r="J5" s="4" t="n">
        <v>218882.499300042</v>
      </c>
      <c r="K5" t="inlineStr">
        <is>
          <t>samsung/dist/20261025_三星電子模型_v0.3.xlsx Val!D145</t>
        </is>
      </c>
      <c r="N5">
        <f>價格!H5</f>
        <v/>
      </c>
      <c r="O5">
        <f>MIN(F5,H5)</f>
        <v/>
      </c>
      <c r="P5">
        <f>MIN(J5,L5)</f>
        <v/>
      </c>
      <c r="Q5" s="4" t="n">
        <v>1.21412145644741</v>
      </c>
      <c r="R5">
        <f>P5/N5-1</f>
        <v/>
      </c>
      <c r="S5">
        <f>IF(Q5&gt;0.5,"強力買進",IF(Q5&gt;0.25,"買進",IF(Q5&gt;=-0.25,"中立",IF(Q5&gt;=-0.5,"放空","強力放空"))))</f>
        <v/>
      </c>
      <c r="T5">
        <f>255831.994790815/N5-1</f>
        <v/>
      </c>
      <c r="U5" t="inlineStr">
        <is>
          <t>舊法：規則值情境加權價（參考，Val!B176）</t>
        </is>
      </c>
      <c r="W5" s="1" t="inlineStr">
        <is>
          <t>DCF 目標價 486,542.2（Val!B146）；Comparable 目標價 467,744.1（Val!B162）；市場共識目標價 478,906.0（Val!B163，外部、僅供對照）；價格帶 C～A 情境 DCF 218,882.5～818,535.4</t>
        </is>
      </c>
      <c r="Z5">
        <f>IF(ISNUMBER(價格!C5),價格!H5/價格!C5-1,"")</f>
        <v/>
      </c>
      <c r="AA5">
        <f>IF(Z5="","",IF(ABS(Z5)&gt;0.2,"模型尚未反映期間變化",""))</f>
        <v/>
      </c>
      <c r="AB5" t="inlineStr">
        <is>
          <t>現金流</t>
        </is>
      </c>
      <c r="AC5" t="inlineStr">
        <is>
          <t>自由現金流（淨利＋折舊 − 資本支出）</t>
        </is>
      </c>
      <c r="AD5" t="inlineStr">
        <is>
          <t>2026（基準） 291.2、2027 A 506.0、2028 A 561.3、2029 A 611.6、2027 B 492.5、2028 B 274.2、2029 B 324.1、2027 C 492.5、2028 C 165.3、2029 C 138.4</t>
        </is>
      </c>
      <c r="AE5" s="4" t="n">
        <v>3857.267412225889</v>
      </c>
      <c r="AF5" s="4" t="n">
        <v>138.429996291849</v>
      </c>
      <c r="AG5" t="inlineStr">
        <is>
          <t>[Derived] samsung/dist/20261025_三星電子模型_v0.3.xlsx Y!C22…Y!L22</t>
        </is>
      </c>
      <c r="AH5">
        <f>IF(AB5="淨利",IF(AF5&gt;0,"通過（淨利）","不通過"),IF(AE5&lt;0,"不通過","通過（現金流）"))</f>
        <v/>
      </c>
      <c r="AI5">
        <f>IF(S5="未上市","未上市",IF(AND(AH5="不通過",OR(S5="強力買進",S5="買進",S5="未估值")),"收支不足",S5))</f>
        <v/>
      </c>
      <c r="AJ5">
        <f>IF(Q5&gt;0.5,"大於 50%",IF(Q5&gt;0.25,"25%–50%",IF(Q5&gt;=0,"0%–25%",IF(Q5&gt;=-0.25,"0%～−25%",IF(Q5&gt;=-0.5,"−25%～−50%","小於 −50%")))))</f>
        <v/>
      </c>
      <c r="AK5" s="1" t="inlineStr">
        <is>
          <t>上檔空間 samsung/dist/20261025_三星電子模型_v0.3.xlsx Val!B164；投資建議：模型尚未補列，依 AI半導體 固定規則自算；級距：模型尚未補列，依 AI半導體 固定規則自算</t>
        </is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加權目標價（DCF 50%＋Comparable 50%）</t>
        </is>
      </c>
      <c r="F6" s="4" t="n">
        <v>684.089469121124</v>
      </c>
      <c r="G6" t="inlineStr">
        <is>
          <t>micron/dist/20261025_美光模型_v0.4.xlsx Val!B208</t>
        </is>
      </c>
      <c r="J6" s="4" t="n">
        <v>321.896486338575</v>
      </c>
      <c r="K6" t="inlineStr">
        <is>
          <t>micron/dist/20261025_美光模型_v0.4.xlsx Val!D192</t>
        </is>
      </c>
      <c r="N6">
        <f>價格!H6</f>
        <v/>
      </c>
      <c r="O6">
        <f>MIN(F6,H6)</f>
        <v/>
      </c>
      <c r="P6">
        <f>MIN(J6,L6)</f>
        <v/>
      </c>
      <c r="Q6" s="4" t="n">
        <v>-0.220455279902998</v>
      </c>
      <c r="R6">
        <f>P6/N6-1</f>
        <v/>
      </c>
      <c r="S6">
        <f>IF(Q6&gt;0.5,"強力買進",IF(Q6&gt;0.25,"買進",IF(Q6&gt;=-0.25,"中立",IF(Q6&gt;=-0.5,"放空","強力放空"))))</f>
        <v/>
      </c>
      <c r="T6">
        <f>348.754265504643/N6-1</f>
        <v/>
      </c>
      <c r="U6" t="inlineStr">
        <is>
          <t>舊法：規則值情境加權價（參考，Val!B223）</t>
        </is>
      </c>
      <c r="W6" s="1" t="inlineStr">
        <is>
          <t>DCF 目標價 932.6（Val!B193）；Comparable 目標價 435.6（Val!B209）；市場共識目標價 1,560.6（Val!B210，外部、僅供對照）；價格帶 C～A 情境 DCF 321.9～1,714.0</t>
        </is>
      </c>
      <c r="Z6">
        <f>IF(ISNUMBER(價格!C6),價格!H6/價格!C6-1,"")</f>
        <v/>
      </c>
      <c r="AA6">
        <f>IF(Z6="","",IF(ABS(Z6)&gt;0.2,"模型尚未反映期間變化",""))</f>
        <v/>
      </c>
      <c r="AB6" t="inlineStr">
        <is>
          <t>現金流</t>
        </is>
      </c>
      <c r="AC6" t="inlineStr">
        <is>
          <t>自由現金流（淨利＋折舊 − 資本支出）</t>
        </is>
      </c>
      <c r="AD6" t="inlineStr">
        <is>
          <t>FY2026（基準） 67.1、FY2027 A 152.2、FY2028 A 172.3、FY2029 A 191.8、FY2027 B 154.2、FY2028 B 87.7、FY2029 B 77.3、FY2027 C 154.2、FY2028 C 59.6、FY2029 C 8.8</t>
        </is>
      </c>
      <c r="AE6" s="4" t="n">
        <v>1125.299057771034</v>
      </c>
      <c r="AF6" s="4" t="n">
        <v>8.800765438015929</v>
      </c>
      <c r="AG6" t="inlineStr">
        <is>
          <t>[Derived] micron/dist/20261025_美光模型_v0.4.xlsx Y!C22…Y!L22</t>
        </is>
      </c>
      <c r="AH6">
        <f>IF(AB6="淨利",IF(AF6&gt;0,"通過（淨利）","不通過"),IF(AE6&lt;0,"不通過","通過（現金流）"))</f>
        <v/>
      </c>
      <c r="AI6">
        <f>IF(S6="未上市","未上市",IF(AND(AH6="不通過",OR(S6="強力買進",S6="買進",S6="未估值")),"收支不足",S6))</f>
        <v/>
      </c>
      <c r="AJ6">
        <f>IF(Q6&gt;0.5,"大於 50%",IF(Q6&gt;0.25,"25%–50%",IF(Q6&gt;=0,"0%–25%",IF(Q6&gt;=-0.25,"0%～−25%",IF(Q6&gt;=-0.5,"−25%～−50%","小於 −50%")))))</f>
        <v/>
      </c>
      <c r="AK6" s="1" t="inlineStr">
        <is>
          <t>上檔空間 micron/dist/20261025_美光模型_v0.4.xlsx Val!B211；投資建議：模型尚未補列，依 AI半導體 固定規則自算；級距：模型尚未補列，依 AI半導體 固定規則自算</t>
        </is>
      </c>
    </row>
    <row r="7">
      <c r="A7" t="inlineStr">
        <is>
          <t>2330</t>
        </is>
      </c>
      <c r="B7" t="inlineStr">
        <is>
          <t>台積電</t>
        </is>
      </c>
      <c r="C7">
        <f>價值鏈!A8</f>
        <v/>
      </c>
      <c r="D7" t="inlineStr">
        <is>
          <t>代工與封測</t>
        </is>
      </c>
      <c r="E7" t="inlineStr">
        <is>
          <t>加權目標價（DCF 50%＋Comparable 50%）</t>
        </is>
      </c>
      <c r="F7" s="4" t="n">
        <v>2446.02329898547</v>
      </c>
      <c r="G7" t="inlineStr">
        <is>
          <t>tsmc/dist/20261025_台積電模型_v0.3.xlsx Val!B94</t>
        </is>
      </c>
      <c r="J7" s="4" t="n">
        <v>1495.88897703241</v>
      </c>
      <c r="K7" t="inlineStr">
        <is>
          <t>tsmc/dist/20261025_台積電模型_v0.3.xlsx Val!D78</t>
        </is>
      </c>
      <c r="N7">
        <f>價格!H7</f>
        <v/>
      </c>
      <c r="O7">
        <f>MIN(F7,H7)</f>
        <v/>
      </c>
      <c r="P7">
        <f>MIN(J7,L7)</f>
        <v/>
      </c>
      <c r="Q7" s="4" t="n">
        <v>0.0255862888827967</v>
      </c>
      <c r="R7">
        <f>P7/N7-1</f>
        <v/>
      </c>
      <c r="S7">
        <f>IF(Q7&gt;0.5,"強力買進",IF(Q7&gt;0.25,"買進",IF(Q7&gt;=-0.25,"中立",IF(Q7&gt;=-0.5,"放空","強力放空"))))</f>
        <v/>
      </c>
      <c r="T7">
        <f>3022.97680876707/N7-1</f>
        <v/>
      </c>
      <c r="U7" t="inlineStr">
        <is>
          <t>舊法：規則值情境加權價（參考，Val!B107）</t>
        </is>
      </c>
      <c r="W7" s="1" t="inlineStr">
        <is>
          <t>DCF 目標價 2,150.2（Val!B79）；Comparable 目標價 2,741.9（Val!B95）；市場共識目標價 3,390.4（Val!B96，外部、僅供對照）；價格帶 C～A 情境 DCF 1,495.9～2,769.1</t>
        </is>
      </c>
      <c r="Z7">
        <f>IF(ISNUMBER(價格!C7),價格!H7/價格!C7-1,"")</f>
        <v/>
      </c>
      <c r="AA7">
        <f>IF(Z7="","",IF(ABS(Z7)&gt;0.2,"模型尚未反映期間變化",""))</f>
        <v/>
      </c>
      <c r="AB7" t="inlineStr">
        <is>
          <t>淨利</t>
        </is>
      </c>
      <c r="AC7" t="inlineStr">
        <is>
          <t>PL 頁各情境模型年度淨利（不含實績）</t>
        </is>
      </c>
      <c r="AD7" t="inlineStr">
        <is>
          <t>19 個情境年度淨利（不含實績），全部為正</t>
        </is>
      </c>
      <c r="AE7" s="4" t="n">
        <v>2206.965905618294</v>
      </c>
      <c r="AF7" s="4" t="n">
        <v>84.633409367754</v>
      </c>
      <c r="AG7" t="inlineStr">
        <is>
          <t>[Derived] tsmc/dist/20261025_台積電模型_v0.3.xlsx PL!B12…PL!T12</t>
        </is>
      </c>
      <c r="AH7">
        <f>IF(AB7="淨利",IF(AF7&gt;0,"通過（淨利）","不通過"),IF(AE7&lt;0,"不通過","通過（現金流）"))</f>
        <v/>
      </c>
      <c r="AI7">
        <f>IF(S7="未上市","未上市",IF(AND(AH7="不通過",OR(S7="強力買進",S7="買進",S7="未估值")),"收支不足",S7))</f>
        <v/>
      </c>
      <c r="AJ7">
        <f>IF(Q7&gt;0.5,"大於 50%",IF(Q7&gt;0.25,"25%–50%",IF(Q7&gt;=0,"0%–25%",IF(Q7&gt;=-0.25,"0%～−25%",IF(Q7&gt;=-0.5,"−25%～−50%","小於 −50%")))))</f>
        <v/>
      </c>
      <c r="AK7" s="1" t="inlineStr">
        <is>
          <t>上檔空間 tsmc/dist/20261025_台積電模型_v0.3.xlsx Val!B97；投資建議：模型尚未補列，依 AI半導體 固定規則自算；級距：模型尚未補列，依 AI半導體 固定規則自算</t>
        </is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加權目標價（DCF 50%＋Comparable 50%）</t>
        </is>
      </c>
      <c r="F8" s="4" t="n">
        <v>99.46303815597879</v>
      </c>
      <c r="G8" t="inlineStr">
        <is>
          <t>arista/dist/20261025_Arista模型_v0.2.xlsx Val!B40</t>
        </is>
      </c>
      <c r="J8" s="4" t="n">
        <v>66.5504868771763</v>
      </c>
      <c r="K8" t="inlineStr">
        <is>
          <t>arista/dist/20261025_Arista模型_v0.2.xlsx Val!B47</t>
        </is>
      </c>
      <c r="N8">
        <f>價格!H8</f>
        <v/>
      </c>
      <c r="O8">
        <f>MIN(F8,H8)</f>
        <v/>
      </c>
      <c r="P8">
        <f>MIN(J8,L8)</f>
        <v/>
      </c>
      <c r="Q8" s="4" t="n">
        <v>-0.422967812519703</v>
      </c>
      <c r="R8">
        <f>P8/N8-1</f>
        <v/>
      </c>
      <c r="S8">
        <f>IF(Q8&gt;0.5,"強力買進",IF(Q8&gt;0.25,"買進",IF(Q8&gt;=-0.25,"中立",IF(Q8&gt;=-0.5,"放空","強力放空"))))</f>
        <v/>
      </c>
      <c r="T8">
        <f>174.075889279442/N8-1</f>
        <v/>
      </c>
      <c r="U8" t="inlineStr">
        <is>
          <t>舊法：規則值情境加權價（參考，Val!B137）</t>
        </is>
      </c>
      <c r="V8" t="inlineStr">
        <is>
          <t>28.8 ／ 31.3 ／ 34.7</t>
        </is>
      </c>
      <c r="W8" s="1" t="inlineStr">
        <is>
          <t>DCF 目標價 87.2（Val!B23）；Comparable 目標價 111.7（Val!B41）；市場共識目標價 243.6（Val!B42，外部、僅供對照）；價格帶 C～A 情境 DCF 66.6～101.9</t>
        </is>
      </c>
      <c r="Z8">
        <f>IF(ISNUMBER(價格!C8),價格!H8/價格!C8-1,"")</f>
        <v/>
      </c>
      <c r="AA8">
        <f>IF(Z8="","",IF(ABS(Z8)&gt;0.2,"模型尚未反映期間變化",""))</f>
        <v/>
      </c>
      <c r="AB8" t="inlineStr">
        <is>
          <t>淨利</t>
        </is>
      </c>
      <c r="AC8" t="inlineStr">
        <is>
          <t>PL 頁各情境模型年度淨利（不含實績）</t>
        </is>
      </c>
      <c r="AD8" t="inlineStr">
        <is>
          <t>8 個情境年度淨利（不含實績），全部為正</t>
        </is>
      </c>
      <c r="AE8" s="4" t="n">
        <v>56.29032871517846</v>
      </c>
      <c r="AF8" s="4" t="n">
        <v>5.224907</v>
      </c>
      <c r="AG8" t="inlineStr">
        <is>
          <t>[Derived] arista/dist/20261025_Arista模型_v0.2.xlsx PL!D12…PL!G36</t>
        </is>
      </c>
      <c r="AH8">
        <f>IF(AB8="淨利",IF(AF8&gt;0,"通過（淨利）","不通過"),IF(AE8&lt;0,"不通過","通過（現金流）"))</f>
        <v/>
      </c>
      <c r="AI8">
        <f>IF(S8="未上市","未上市",IF(AND(AH8="不通過",OR(S8="強力買進",S8="買進",S8="未估值")),"收支不足",S8))</f>
        <v/>
      </c>
      <c r="AJ8">
        <f>IF(Q8&gt;0.5,"大於 50%",IF(Q8&gt;0.25,"25%–50%",IF(Q8&gt;=0,"0%–25%",IF(Q8&gt;=-0.25,"0%～−25%",IF(Q8&gt;=-0.5,"−25%～−50%","小於 −50%")))))</f>
        <v/>
      </c>
      <c r="AK8" s="1" t="inlineStr">
        <is>
          <t>上檔空間 arista/dist/20261025_Arista模型_v0.2.xlsx Val!B43；投資建議：模型尚未補列，依 AI半導體 固定規則自算；級距：模型尚未補列，依 AI半導體 固定規則自算</t>
        </is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加權目標價（DCF 50%＋Comparable 50%）</t>
        </is>
      </c>
      <c r="F9" s="4" t="n">
        <v>1355.25565207254</v>
      </c>
      <c r="G9" t="inlineStr">
        <is>
          <t>innolight/dist/20261025_中際旭創模型_v0.2.xlsx Val!B39</t>
        </is>
      </c>
      <c r="J9" s="4" t="n">
        <v>498.176089619339</v>
      </c>
      <c r="K9" t="inlineStr">
        <is>
          <t>innolight/dist/20261025_中際旭創模型_v0.2.xlsx Val!D23</t>
        </is>
      </c>
      <c r="N9">
        <f>價格!H9</f>
        <v/>
      </c>
      <c r="O9">
        <f>MIN(F9,H9)</f>
        <v/>
      </c>
      <c r="P9">
        <f>MIN(J9,L9)</f>
        <v/>
      </c>
      <c r="Q9" s="4" t="n">
        <v>1.21219276247089</v>
      </c>
      <c r="R9">
        <f>P9/N9-1</f>
        <v/>
      </c>
      <c r="S9">
        <f>IF(Q9&gt;0.5,"強力買進",IF(Q9&gt;0.25,"買進",IF(Q9&gt;=-0.25,"中立",IF(Q9&gt;=-0.5,"放空","強力放空"))))</f>
        <v/>
      </c>
      <c r="T9">
        <f>2265.72535634618/N9-1</f>
        <v/>
      </c>
      <c r="U9" t="inlineStr">
        <is>
          <t>舊法：規則值情境加權價（參考，Val!B133）</t>
        </is>
      </c>
      <c r="V9" t="inlineStr">
        <is>
          <t>12.3 ／ 15.5 ／ 21.0</t>
        </is>
      </c>
      <c r="W9" s="1" t="inlineStr">
        <is>
          <t>DCF 目標價 831.5（Val!B24）；Comparable 目標價 1,879.1（Val!B40）；市場共識目標價 1,321.0（Val!B41，外部、僅供對照）；價格帶 C～A 情境 DCF 498.2～1,049.4</t>
        </is>
      </c>
      <c r="Z9">
        <f>IF(ISNUMBER(價格!C9),價格!H9/價格!C9-1,"")</f>
        <v/>
      </c>
      <c r="AA9">
        <f>IF(Z9="","",IF(ABS(Z9)&gt;0.2,"模型尚未反映期間變化",""))</f>
        <v/>
      </c>
      <c r="AB9" t="inlineStr">
        <is>
          <t>淨利</t>
        </is>
      </c>
      <c r="AC9" t="inlineStr">
        <is>
          <t>PL 頁各情境模型年度淨利（不含實績）</t>
        </is>
      </c>
      <c r="AD9" t="inlineStr">
        <is>
          <t>17 個情境年度淨利（不含實績），全部為正</t>
        </is>
      </c>
      <c r="AE9" s="4" t="n">
        <v>1034.162783109114</v>
      </c>
      <c r="AF9" s="4" t="n">
        <v>31.8281188474012</v>
      </c>
      <c r="AG9" t="inlineStr">
        <is>
          <t>[Derived] innolight/dist/20261025_中際旭創模型_v0.2.xlsx PL!D12…PL!J36</t>
        </is>
      </c>
      <c r="AH9">
        <f>IF(AB9="淨利",IF(AF9&gt;0,"通過（淨利）","不通過"),IF(AE9&lt;0,"不通過","通過（現金流）"))</f>
        <v/>
      </c>
      <c r="AI9">
        <f>IF(S9="未上市","未上市",IF(AND(AH9="不通過",OR(S9="強力買進",S9="買進",S9="未估值")),"收支不足",S9))</f>
        <v/>
      </c>
      <c r="AJ9">
        <f>IF(Q9&gt;0.5,"大於 50%",IF(Q9&gt;0.25,"25%–50%",IF(Q9&gt;=0,"0%–25%",IF(Q9&gt;=-0.25,"0%～−25%",IF(Q9&gt;=-0.5,"−25%～−50%","小於 −50%")))))</f>
        <v/>
      </c>
      <c r="AK9" s="1" t="inlineStr">
        <is>
          <t>上檔空間 innolight/dist/20261025_中際旭創模型_v0.2.xlsx Val!B42；投資建議：模型尚未補列，依 AI半導體 固定規則自算；級距：模型尚未補列，依 AI半導體 固定規則自算</t>
        </is>
      </c>
    </row>
    <row r="10">
      <c r="A10" t="inlineStr">
        <is>
          <t>2308</t>
        </is>
      </c>
      <c r="B10" t="inlineStr">
        <is>
          <t>台達電</t>
        </is>
      </c>
      <c r="C10">
        <f>價值鏈!A10</f>
        <v/>
      </c>
      <c r="D10" t="inlineStr">
        <is>
          <t>電源與散熱</t>
        </is>
      </c>
      <c r="E10" t="inlineStr">
        <is>
          <t>加權目標價（DCF 50%＋Comparable 50%）</t>
        </is>
      </c>
      <c r="F10" s="4" t="n">
        <v>1213.77022935506</v>
      </c>
      <c r="G10" t="inlineStr">
        <is>
          <t>delta/dist/20261025_台達電模型_v0.2.xlsx Val!B119</t>
        </is>
      </c>
      <c r="J10" s="4" t="n">
        <v>639.329478515099</v>
      </c>
      <c r="K10" t="inlineStr">
        <is>
          <t>delta/dist/20261025_台達電模型_v0.2.xlsx Val!D104</t>
        </is>
      </c>
      <c r="N10">
        <f>價格!H10</f>
        <v/>
      </c>
      <c r="O10">
        <f>MIN(F10,H10)</f>
        <v/>
      </c>
      <c r="P10">
        <f>MIN(J10,L10)</f>
        <v/>
      </c>
      <c r="Q10" s="4" t="n">
        <v>-0.243756866445447</v>
      </c>
      <c r="R10">
        <f>P10/N10-1</f>
        <v/>
      </c>
      <c r="S10">
        <f>IF(Q10&gt;0.5,"強力買進",IF(Q10&gt;0.25,"買進",IF(Q10&gt;=-0.25,"中立",IF(Q10&gt;=-0.5,"放空","強力放空"))))</f>
        <v/>
      </c>
      <c r="T10">
        <f>1360.0134167175/N10-1</f>
        <v/>
      </c>
      <c r="U10" t="inlineStr">
        <is>
          <t>舊法：規則值情境加權價（參考，Val!B42）</t>
        </is>
      </c>
      <c r="V10" t="inlineStr">
        <is>
          <t>20.8 ／ 24.5 ／ 31.8</t>
        </is>
      </c>
      <c r="W10" s="1" t="inlineStr">
        <is>
          <t>DCF 目標價 999.1（Val!B105）；Comparable 目標價 1,428.4（Val!B120）；市場共識目標價 2,502.4（Val!B121，外部、僅供對照）；價格帶 C～A 情境 DCF 639.3～1,234.7</t>
        </is>
      </c>
      <c r="Z10">
        <f>IF(ISNUMBER(價格!C10),價格!H10/價格!C10-1,"")</f>
        <v/>
      </c>
      <c r="AA10">
        <f>IF(Z10="","",IF(ABS(Z10)&gt;0.2,"模型尚未反映期間變化",""))</f>
        <v/>
      </c>
      <c r="AB10" t="inlineStr">
        <is>
          <t>淨利</t>
        </is>
      </c>
      <c r="AC10" t="inlineStr">
        <is>
          <t>PL 頁各情境模型年度淨利（不含實績）</t>
        </is>
      </c>
      <c r="AD10" t="inlineStr">
        <is>
          <t>8 個情境年度淨利（不含實績），全部為正</t>
        </is>
      </c>
      <c r="AE10" s="4" t="n">
        <v>1331.031109556913</v>
      </c>
      <c r="AF10" s="4" t="n">
        <v>98.429235925</v>
      </c>
      <c r="AG10" t="inlineStr">
        <is>
          <t>[Derived] delta/dist/20261025_台達電模型_v0.2.xlsx PL!D13…PL!G39</t>
        </is>
      </c>
      <c r="AH10">
        <f>IF(AB10="淨利",IF(AF10&gt;0,"通過（淨利）","不通過"),IF(AE10&lt;0,"不通過","通過（現金流）"))</f>
        <v/>
      </c>
      <c r="AI10">
        <f>IF(S10="未上市","未上市",IF(AND(AH10="不通過",OR(S10="強力買進",S10="買進",S10="未估值")),"收支不足",S10))</f>
        <v/>
      </c>
      <c r="AJ10">
        <f>IF(Q10&gt;0.5,"大於 50%",IF(Q10&gt;0.25,"25%–50%",IF(Q10&gt;=0,"0%–25%",IF(Q10&gt;=-0.25,"0%～−25%",IF(Q10&gt;=-0.5,"−25%～−50%","小於 −50%")))))</f>
        <v/>
      </c>
      <c r="AK10" s="1" t="inlineStr">
        <is>
          <t>上檔空間 delta/dist/20261025_台達電模型_v0.2.xlsx Val!B122；投資建議：模型尚未補列，依 AI半導體 固定規則自算；級距：模型尚未補列，依 AI半導體 固定規則自算</t>
        </is>
      </c>
    </row>
    <row r="11">
      <c r="A11" t="inlineStr">
        <is>
          <t>2382</t>
        </is>
      </c>
      <c r="B11" t="inlineStr">
        <is>
          <t>廣達</t>
        </is>
      </c>
      <c r="C11">
        <f>價值鏈!A11</f>
        <v/>
      </c>
      <c r="D11" t="inlineStr">
        <is>
          <t>伺服器組裝</t>
        </is>
      </c>
      <c r="E11" t="inlineStr">
        <is>
          <t>加權目標價（DCF 50%＋Comparable 50%）</t>
        </is>
      </c>
      <c r="F11" s="4" t="n">
        <v>566.562292345012</v>
      </c>
      <c r="G11" t="inlineStr">
        <is>
          <t>quanta/dist/20261025_廣達模型_v0.2.xlsx Val!B120</t>
        </is>
      </c>
      <c r="J11" s="4" t="n">
        <v>404.067828743699</v>
      </c>
      <c r="K11" t="inlineStr">
        <is>
          <t>quanta/dist/20261025_廣達模型_v0.2.xlsx Val!D104</t>
        </is>
      </c>
      <c r="N11">
        <f>價格!H11</f>
        <v/>
      </c>
      <c r="O11">
        <f>MIN(F11,H11)</f>
        <v/>
      </c>
      <c r="P11">
        <f>MIN(J11,L11)</f>
        <v/>
      </c>
      <c r="Q11" s="4" t="n">
        <v>0.75951022467395</v>
      </c>
      <c r="R11">
        <f>P11/N11-1</f>
        <v/>
      </c>
      <c r="S11">
        <f>IF(Q11&gt;0.5,"強力買進",IF(Q11&gt;0.25,"買進",IF(Q11&gt;=-0.25,"中立",IF(Q11&gt;=-0.5,"放空","強力放空"))))</f>
        <v/>
      </c>
      <c r="T11">
        <f>490.548184039647/N11-1</f>
        <v/>
      </c>
      <c r="U11" t="inlineStr">
        <is>
          <t>舊法：規則值情境加權價（參考，Val!B42）</t>
        </is>
      </c>
      <c r="V11" t="inlineStr">
        <is>
          <t>6.2 ／ 7.7 ／ 10.2</t>
        </is>
      </c>
      <c r="W11" s="1" t="inlineStr">
        <is>
          <t>DCF 目標價 644.3（Val!B105）；Comparable 目標價 488.9（Val!B121）；市場共識目標價 427.8（Val!B122，外部、僅供對照）；價格帶 C～A 情境 DCF 404.1～808.7</t>
        </is>
      </c>
      <c r="Z11">
        <f>IF(ISNUMBER(價格!C11),價格!H11/價格!C11-1,"")</f>
        <v/>
      </c>
      <c r="AA11">
        <f>IF(Z11="","",IF(ABS(Z11)&gt;0.2,"模型尚未反映期間變化",""))</f>
        <v/>
      </c>
      <c r="AB11" t="inlineStr">
        <is>
          <t>淨利</t>
        </is>
      </c>
      <c r="AC11" t="inlineStr">
        <is>
          <t>PL 頁各情境模型年度淨利（不含實績）</t>
        </is>
      </c>
      <c r="AD11" t="inlineStr">
        <is>
          <t>8 個情境年度淨利（不含實績），全部為正</t>
        </is>
      </c>
      <c r="AE11" s="4" t="n">
        <v>1294.029322125413</v>
      </c>
      <c r="AF11" s="4" t="n">
        <v>110.713671625</v>
      </c>
      <c r="AG11" t="inlineStr">
        <is>
          <t>[Derived] quanta/dist/20261025_廣達模型_v0.2.xlsx PL!D13…PL!G39</t>
        </is>
      </c>
      <c r="AH11">
        <f>IF(AB11="淨利",IF(AF11&gt;0,"通過（淨利）","不通過"),IF(AE11&lt;0,"不通過","通過（現金流）"))</f>
        <v/>
      </c>
      <c r="AI11">
        <f>IF(S11="未上市","未上市",IF(AND(AH11="不通過",OR(S11="強力買進",S11="買進",S11="未估值")),"收支不足",S11))</f>
        <v/>
      </c>
      <c r="AJ11">
        <f>IF(Q11&gt;0.5,"大於 50%",IF(Q11&gt;0.25,"25%–50%",IF(Q11&gt;=0,"0%–25%",IF(Q11&gt;=-0.25,"0%～−25%",IF(Q11&gt;=-0.5,"−25%～−50%","小於 −50%")))))</f>
        <v/>
      </c>
      <c r="AK11" s="1" t="inlineStr">
        <is>
          <t>上檔空間 quanta/dist/20261025_廣達模型_v0.2.xlsx Val!B123；投資建議：模型尚未補列，依 AI半導體 固定規則自算；級距：模型尚未補列，依 AI半導體 固定規則自算</t>
        </is>
      </c>
    </row>
    <row r="12">
      <c r="A12" t="inlineStr">
        <is>
          <t>4062</t>
        </is>
      </c>
      <c r="B12" t="inlineStr">
        <is>
          <t>Ibiden</t>
        </is>
      </c>
      <c r="C12">
        <f>價值鏈!A9</f>
        <v/>
      </c>
      <c r="D12" t="inlineStr">
        <is>
          <t>載板與 PCB</t>
        </is>
      </c>
      <c r="E12" t="inlineStr">
        <is>
          <t>加權目標價（DCF 50%＋Comparable 50%）</t>
        </is>
      </c>
      <c r="F12" s="4" t="n">
        <v>5236.24114444144</v>
      </c>
      <c r="G12" t="inlineStr">
        <is>
          <t>ibiden/dist/20261025_Ibiden模型_v0.2.xlsx Val!B96</t>
        </is>
      </c>
      <c r="J12" s="4" t="n">
        <v>1293.75775376326</v>
      </c>
      <c r="K12" t="inlineStr">
        <is>
          <t>ibiden/dist/20261025_Ibiden模型_v0.2.xlsx Val!D80</t>
        </is>
      </c>
      <c r="N12">
        <f>價格!H12</f>
        <v/>
      </c>
      <c r="O12">
        <f>MIN(F12,H12)</f>
        <v/>
      </c>
      <c r="P12">
        <f>MIN(J12,L12)</f>
        <v/>
      </c>
      <c r="Q12" s="4" t="n">
        <v>-0.384840091113553</v>
      </c>
      <c r="R12">
        <f>P12/N12-1</f>
        <v/>
      </c>
      <c r="S12">
        <f>IF(Q12&gt;0.5,"強力買進",IF(Q12&gt;0.25,"買進",IF(Q12&gt;=-0.25,"中立",IF(Q12&gt;=-0.5,"放空","強力放空"))))</f>
        <v/>
      </c>
      <c r="T12">
        <f>9531.45203105499/N12-1</f>
        <v/>
      </c>
      <c r="U12" t="inlineStr">
        <is>
          <t>舊法：規則值情境加權價（參考，Val!B38）</t>
        </is>
      </c>
      <c r="V12" t="inlineStr">
        <is>
          <t>38.9 ／ 46.1 ／ 56.8</t>
        </is>
      </c>
      <c r="W12" s="1" t="inlineStr">
        <is>
          <t>DCF 目標價 1,931.2（Val!B81）；Comparable 目標價 8,541.2（Val!B97）；市場共識目標價 12,432.4（Val!B98，外部、僅供對照）；價格帶 C～A 情境 DCF 1,293.8～2,378.3</t>
        </is>
      </c>
      <c r="Z12">
        <f>IF(ISNUMBER(價格!C12),價格!H12/價格!C12-1,"")</f>
        <v/>
      </c>
      <c r="AA12">
        <f>IF(Z12="","",IF(ABS(Z12)&gt;0.2,"模型尚未反映期間變化",""))</f>
        <v/>
      </c>
      <c r="AB12" t="inlineStr">
        <is>
          <t>淨利</t>
        </is>
      </c>
      <c r="AC12" t="inlineStr">
        <is>
          <t>PL 頁各情境模型年度淨利（不含實績）</t>
        </is>
      </c>
      <c r="AD12" t="inlineStr">
        <is>
          <t>8 個情境年度淨利（不含實績），全部為正</t>
        </is>
      </c>
      <c r="AE12" s="4" t="n">
        <v>854.6935870581774</v>
      </c>
      <c r="AF12" s="4" t="n">
        <v>84</v>
      </c>
      <c r="AG12" t="inlineStr">
        <is>
          <t>[Derived] ibiden/dist/20261025_Ibiden模型_v0.2.xlsx PL!D11…PL!G33</t>
        </is>
      </c>
      <c r="AH12">
        <f>IF(AB12="淨利",IF(AF12&gt;0,"通過（淨利）","不通過"),IF(AE12&lt;0,"不通過","通過（現金流）"))</f>
        <v/>
      </c>
      <c r="AI12">
        <f>IF(S12="未上市","未上市",IF(AND(AH12="不通過",OR(S12="強力買進",S12="買進",S12="未估值")),"收支不足",S12))</f>
        <v/>
      </c>
      <c r="AJ12">
        <f>IF(Q12&gt;0.5,"大於 50%",IF(Q12&gt;0.25,"25%–50%",IF(Q12&gt;=0,"0%–25%",IF(Q12&gt;=-0.25,"0%～−25%",IF(Q12&gt;=-0.5,"−25%～−50%","小於 −50%")))))</f>
        <v/>
      </c>
      <c r="AK12" s="1" t="inlineStr">
        <is>
          <t>上檔空間 ibiden/dist/20261025_Ibiden模型_v0.2.xlsx Val!B99；投資建議：模型尚未補列，依 AI半導體 固定規則自算；級距：模型尚未補列，依 AI半導體 固定規則自算</t>
        </is>
      </c>
    </row>
    <row r="13">
      <c r="A13" t="inlineStr">
        <is>
          <t>6857</t>
        </is>
      </c>
      <c r="B13" t="inlineStr">
        <is>
          <t>Advantest</t>
        </is>
      </c>
      <c r="C13">
        <f>價值鏈!A13</f>
        <v/>
      </c>
      <c r="D13" t="inlineStr">
        <is>
          <t>設備與材料</t>
        </is>
      </c>
      <c r="E13" t="inlineStr">
        <is>
          <t>加權目標價（DCF 50%＋Comparable 50%）</t>
        </is>
      </c>
      <c r="F13" s="4" t="n">
        <v>23221.5916701459</v>
      </c>
      <c r="G13" t="inlineStr">
        <is>
          <t>advantest/dist/20261025_Advantest模型_v0.3.xlsx Val!B146</t>
        </is>
      </c>
      <c r="J13" s="4" t="n">
        <v>7893.3662518531</v>
      </c>
      <c r="K13" t="inlineStr">
        <is>
          <t>advantest/dist/20261025_Advantest模型_v0.3.xlsx Val!D130</t>
        </is>
      </c>
      <c r="N13">
        <f>價格!H13</f>
        <v/>
      </c>
      <c r="O13">
        <f>MIN(F13,H13)</f>
        <v/>
      </c>
      <c r="P13">
        <f>MIN(J13,L13)</f>
        <v/>
      </c>
      <c r="Q13" s="4" t="n">
        <v>-0.281954493811198</v>
      </c>
      <c r="R13">
        <f>P13/N13-1</f>
        <v/>
      </c>
      <c r="S13">
        <f>IF(Q13&gt;0.5,"強力買進",IF(Q13&gt;0.25,"買進",IF(Q13&gt;=-0.25,"中立",IF(Q13&gt;=-0.5,"放空","強力放空"))))</f>
        <v/>
      </c>
      <c r="T13">
        <f>24494.453736442/N13-1</f>
        <v/>
      </c>
      <c r="U13" t="inlineStr">
        <is>
          <t>舊法：規則值情境加權價（參考，Val!B102）</t>
        </is>
      </c>
      <c r="W13" s="1" t="inlineStr">
        <is>
          <t>DCF 目標價 16,539.5（Val!B131）；Comparable 目標價 29,903.7（Val!B147）；市場共識目標價 42,686.0（Val!B148，外部、僅供對照）；價格帶 C～A 情境 DCF 7,893.4～23,027.5</t>
        </is>
      </c>
      <c r="Z13">
        <f>IF(ISNUMBER(價格!C13),價格!H13/價格!C13-1,"")</f>
        <v/>
      </c>
      <c r="AA13">
        <f>IF(Z13="","",IF(ABS(Z13)&gt;0.2,"模型尚未反映期間變化",""))</f>
        <v/>
      </c>
      <c r="AB13" t="inlineStr">
        <is>
          <t>淨利</t>
        </is>
      </c>
      <c r="AC13" t="inlineStr">
        <is>
          <t>PL 頁各情境模型年度淨利（不含實績）</t>
        </is>
      </c>
      <c r="AD13" t="inlineStr">
        <is>
          <t>10 個情境年度淨利（不含實績），全部為正</t>
        </is>
      </c>
      <c r="AE13" s="4" t="n">
        <v>7834.34551344892</v>
      </c>
      <c r="AF13" s="4" t="n">
        <v>574.3864027252999</v>
      </c>
      <c r="AG13" t="inlineStr">
        <is>
          <t>[Derived] advantest/dist/20261025_Advantest模型_v0.3.xlsx PL!D12…PL!G34</t>
        </is>
      </c>
      <c r="AH13">
        <f>IF(AB13="淨利",IF(AF13&gt;0,"通過（淨利）","不通過"),IF(AE13&lt;0,"不通過","通過（現金流）"))</f>
        <v/>
      </c>
      <c r="AI13">
        <f>IF(S13="未上市","未上市",IF(AND(AH13="不通過",OR(S13="強力買進",S13="買進",S13="未估值")),"收支不足",S13))</f>
        <v/>
      </c>
      <c r="AJ13">
        <f>IF(Q13&gt;0.5,"大於 50%",IF(Q13&gt;0.25,"25%–50%",IF(Q13&gt;=0,"0%–25%",IF(Q13&gt;=-0.25,"0%～−25%",IF(Q13&gt;=-0.5,"−25%～−50%","小於 −50%")))))</f>
        <v/>
      </c>
      <c r="AK13" s="1" t="inlineStr">
        <is>
          <t>上檔空間 advantest/dist/20261025_Advantest模型_v0.3.xlsx Val!B149；投資建議：模型尚未補列，依 AI半導體 固定規則自算；級距：模型尚未補列，依 AI半導體 固定規則自算</t>
        </is>
      </c>
    </row>
    <row r="14">
      <c r="A14" t="inlineStr">
        <is>
          <t>6146</t>
        </is>
      </c>
      <c r="B14" t="inlineStr">
        <is>
          <t>Disco</t>
        </is>
      </c>
      <c r="C14">
        <f>價值鏈!A13</f>
        <v/>
      </c>
      <c r="D14" t="inlineStr">
        <is>
          <t>設備與材料</t>
        </is>
      </c>
      <c r="E14" t="inlineStr">
        <is>
          <t>加權目標價（DCF 50%＋Comparable 50%）</t>
        </is>
      </c>
      <c r="F14" s="4" t="n">
        <v>40374.830353198</v>
      </c>
      <c r="G14" t="inlineStr">
        <is>
          <t>disco/dist/20261025_Disco模型_v0.2.1.xlsx Val!B107</t>
        </is>
      </c>
      <c r="J14" s="4" t="n">
        <v>16343.6091101662</v>
      </c>
      <c r="K14" t="inlineStr">
        <is>
          <t>disco/dist/20261025_Disco模型_v0.2.1.xlsx Val!D91</t>
        </is>
      </c>
      <c r="N14">
        <f>價格!H14</f>
        <v/>
      </c>
      <c r="O14">
        <f>MIN(F14,H14)</f>
        <v/>
      </c>
      <c r="P14">
        <f>MIN(J14,L14)</f>
        <v/>
      </c>
      <c r="Q14" s="4" t="n">
        <v>-0.180871772099859</v>
      </c>
      <c r="R14">
        <f>P14/N14-1</f>
        <v/>
      </c>
      <c r="S14">
        <f>IF(Q14&gt;0.5,"強力買進",IF(Q14&gt;0.25,"買進",IF(Q14&gt;=-0.25,"中立",IF(Q14&gt;=-0.5,"放空","強力放空"))))</f>
        <v/>
      </c>
      <c r="T14">
        <f>45104.6418701108/N14-1</f>
        <v/>
      </c>
      <c r="U14" t="inlineStr">
        <is>
          <t>舊法：規則值情境加權價（參考，Val!B63）</t>
        </is>
      </c>
      <c r="W14" s="1" t="inlineStr">
        <is>
          <t>DCF 目標價 22,991.0（Val!B92）；Comparable 目標價 57,758.6（Val!B108）；市場共識目標價 81,575.0（Val!B109，外部、僅供對照）；價格帶 C～A 情境 DCF 16,343.6～27,699.3</t>
        </is>
      </c>
      <c r="Z14">
        <f>IF(ISNUMBER(價格!C14),價格!H14/價格!C14-1,"")</f>
        <v/>
      </c>
      <c r="AA14">
        <f>IF(Z14="","",IF(ABS(Z14)&gt;0.2,"模型尚未反映期間變化",""))</f>
        <v/>
      </c>
      <c r="AB14" t="inlineStr">
        <is>
          <t>淨利</t>
        </is>
      </c>
      <c r="AC14" t="inlineStr">
        <is>
          <t>PL 頁各情境模型年度淨利（不含實績）</t>
        </is>
      </c>
      <c r="AD14" t="inlineStr">
        <is>
          <t>10 個情境年度淨利（不含實績），全部為正</t>
        </is>
      </c>
      <c r="AE14" s="4" t="n">
        <v>1803.967163318959</v>
      </c>
      <c r="AF14" s="4" t="n">
        <v>143.891188584055</v>
      </c>
      <c r="AG14" t="inlineStr">
        <is>
          <t>[Derived] disco/dist/20261025_Disco模型_v0.2.1.xlsx PL!D16…PL!G52</t>
        </is>
      </c>
      <c r="AH14">
        <f>IF(AB14="淨利",IF(AF14&gt;0,"通過（淨利）","不通過"),IF(AE14&lt;0,"不通過","通過（現金流）"))</f>
        <v/>
      </c>
      <c r="AI14">
        <f>IF(S14="未上市","未上市",IF(AND(AH14="不通過",OR(S14="強力買進",S14="買進",S14="未估值")),"收支不足",S14))</f>
        <v/>
      </c>
      <c r="AJ14">
        <f>IF(Q14&gt;0.5,"大於 50%",IF(Q14&gt;0.25,"25%–50%",IF(Q14&gt;=0,"0%–25%",IF(Q14&gt;=-0.25,"0%～−25%",IF(Q14&gt;=-0.5,"−25%～−50%","小於 −50%")))))</f>
        <v/>
      </c>
      <c r="AK14" s="1" t="inlineStr">
        <is>
          <t>上檔空間 disco/dist/20261025_Disco模型_v0.2.1.xlsx Val!B110；投資建議：模型尚未補列，依 AI半導體 固定規則自算；級距：模型尚未補列，依 AI半導體 固定規則自算</t>
        </is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</t>
        </is>
      </c>
      <c r="F15" s="4" t="n">
        <v>359.058838816622</v>
      </c>
      <c r="G15" t="inlineStr">
        <is>
          <t>microsoft/dist/20261025_Microsoft收支模型_v0_2_2.xlsx 摘要!C7</t>
        </is>
      </c>
      <c r="J15" s="4" t="n">
        <v>359.058838816622</v>
      </c>
      <c r="K15" t="inlineStr">
        <is>
          <t>microsoft/dist/20261025_Microsoft收支模型_v0_2_2.xlsx 摘要!C7</t>
        </is>
      </c>
      <c r="L15" s="4" t="n">
        <v>360.157606985669</v>
      </c>
      <c r="M15" t="inlineStr">
        <is>
          <t>microsoft/dist/20261025_Microsoft收支模型_v0_2_2.xlsx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>
        <f>IF(Q15&gt;0.5,"強力買進",IF(Q15&gt;0.25,"買進",IF(Q15&gt;=-0.25,"中立",IF(Q15&gt;=-0.5,"放空","強力放空"))))</f>
        <v/>
      </c>
      <c r="W15" s="1" t="inlineStr">
        <is>
          <t>模型點位 $359.1（模型日現價 $529.76）；情境區間 $360.2–$380.6，方法區間 $353.5–$359.1｜MAG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  <c r="AB15" t="inlineStr">
        <is>
          <t>現金流</t>
        </is>
      </c>
      <c r="AC15" t="inlineStr">
        <is>
          <t>營運缺口＋股利＋回購</t>
        </is>
      </c>
      <c r="AD15" t="inlineStr">
        <is>
          <t>FY27 -7.8、FY28 27.7、FY29 70.2、FY30 76.7、FY31 11.2</t>
        </is>
      </c>
      <c r="AE15" s="4" t="n">
        <v>178.0401267004849</v>
      </c>
      <c r="AF15" s="4" t="n">
        <v>-7.831738650858899</v>
      </c>
      <c r="AG15" t="inlineStr">
        <is>
          <t>[Derived] microsoft/dist/20261025_Microsoft收支模型_v0_2_2.xlsx 各期收支!C54＋C23＋C24…各期收支!G54＋G23＋G24</t>
        </is>
      </c>
      <c r="AH15">
        <f>IF(AB15="淨利",IF(AF15&gt;0,"通過（淨利）","不通過"),IF(AE15&lt;0,"不通過","通過（現金流）"))</f>
        <v/>
      </c>
      <c r="AI15">
        <f>IF(S15="未上市","未上市",IF(AND(AH15="不通過",OR(S15="強力買進",S15="買進",S15="未估值")),"收支不足",S15))</f>
        <v/>
      </c>
      <c r="AJ15">
        <f>IF(Q15&gt;0.5,"大於 50%",IF(Q15&gt;0.25,"25%–50%",IF(Q15&gt;=0,"0%–25%",IF(Q15&gt;=-0.25,"0%～−25%",IF(Q15&gt;=-0.5,"−25%～−50%","小於 −50%")))))</f>
        <v/>
      </c>
      <c r="AK15" t="inlineStr">
        <is>
          <t>上檔空間＝模型加權目標價 microsoft/dist/20261025_Microsoft收支模型_v0_2_2.xlsx 摘要!C7 ÷ 外部收盤價 − 1，依本地圖五級規則自算（模型自身評等以模型日價計、級距不同，不採用；原值見模型摘要頁）</t>
        </is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</t>
        </is>
      </c>
      <c r="F16" s="4" t="n">
        <v>201.7143092677</v>
      </c>
      <c r="G16" t="inlineStr">
        <is>
          <t>amazon/dist/20261025_Amazon收支模型_v0_2_2.xlsx 摘要!C7</t>
        </is>
      </c>
      <c r="J16" s="4" t="n">
        <v>201.7143092677</v>
      </c>
      <c r="K16" t="inlineStr">
        <is>
          <t>amazon/dist/20261025_Amazon收支模型_v0_2_2.xlsx 摘要!C7</t>
        </is>
      </c>
      <c r="L16" s="4" t="n">
        <v>201.136157296701</v>
      </c>
      <c r="M16" t="inlineStr">
        <is>
          <t>amazon/dist/20261025_Amazon收支模型_v0_2_2.xlsx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>
        <f>IF(Q16&gt;0.5,"強力買進",IF(Q16&gt;0.25,"買進",IF(Q16&gt;=-0.25,"中立",IF(Q16&gt;=-0.5,"放空","強力放空"))))</f>
        <v/>
      </c>
      <c r="W16" s="1" t="inlineStr">
        <is>
          <t>模型點位 $201.7（模型日現價 $259.92）；情境區間 $201.1–$212.3，方法區間 $197.5–$201.7｜MAG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  <c r="AB16" t="inlineStr">
        <is>
          <t>現金流</t>
        </is>
      </c>
      <c r="AC16" t="inlineStr">
        <is>
          <t>營運缺口＋股利＋回購</t>
        </is>
      </c>
      <c r="AD16" t="inlineStr">
        <is>
          <t>2026 -122.8、2027 -71.8、2028 -34.2、2029 6.1、2030 -70.1</t>
        </is>
      </c>
      <c r="AE16" s="4" t="n">
        <v>-292.8415771813029</v>
      </c>
      <c r="AF16" s="4" t="n">
        <v>-122.819739543556</v>
      </c>
      <c r="AG16" t="inlineStr">
        <is>
          <t>[Derived] amazon/dist/20261025_Amazon收支模型_v0_2_2.xlsx 各期收支!C54＋C23＋C24…各期收支!G54＋G23＋G24</t>
        </is>
      </c>
      <c r="AH16">
        <f>IF(AB16="淨利",IF(AF16&gt;0,"通過（淨利）","不通過"),IF(AE16&lt;0,"不通過","通過（現金流）"))</f>
        <v/>
      </c>
      <c r="AI16">
        <f>IF(S16="未上市","未上市",IF(AND(AH16="不通過",OR(S16="強力買進",S16="買進",S16="未估值")),"收支不足",S16))</f>
        <v/>
      </c>
      <c r="AJ16">
        <f>IF(Q16&gt;0.5,"大於 50%",IF(Q16&gt;0.25,"25%–50%",IF(Q16&gt;=0,"0%–25%",IF(Q16&gt;=-0.25,"0%～−25%",IF(Q16&gt;=-0.5,"−25%～−50%","小於 −50%")))))</f>
        <v/>
      </c>
      <c r="AK16" t="inlineStr">
        <is>
          <t>上檔空間＝模型加權目標價 amazon/dist/20261025_Amazon收支模型_v0_2_2.xlsx 摘要!C7 ÷ 外部收盤價 − 1，依本地圖五級規則自算（模型自身評等以模型日價計、級距不同，不採用；原值見模型摘要頁）</t>
        </is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</t>
        </is>
      </c>
      <c r="F17" s="4" t="n">
        <v>146.09287356031</v>
      </c>
      <c r="G17" t="inlineStr">
        <is>
          <t>alphabet/dist/20261025_Alphabet收支模型_v0_2_2.xlsx 摘要!C7</t>
        </is>
      </c>
      <c r="J17" s="4" t="n">
        <v>146.09287356031</v>
      </c>
      <c r="K17" t="inlineStr">
        <is>
          <t>alphabet/dist/20261025_Alphabet收支模型_v0_2_2.xlsx 摘要!C7</t>
        </is>
      </c>
      <c r="L17" s="4" t="n">
        <v>122.889116020962</v>
      </c>
      <c r="M17" t="inlineStr">
        <is>
          <t>alphabet/dist/20261025_Alphabet收支模型_v0_2_2.xlsx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>
        <f>IF(Q17&gt;0.5,"強力買進",IF(Q17&gt;0.25,"買進",IF(Q17&gt;=-0.25,"中立",IF(Q17&gt;=-0.5,"放空","強力放空"))))</f>
        <v/>
      </c>
      <c r="W17" s="1" t="inlineStr">
        <is>
          <t>模型點位 $146.1（模型日現價 $350.50）；情境區間 $122.9–$175.1，方法區間 $144.1–$146.1｜MAG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  <c r="AB17" t="inlineStr">
        <is>
          <t>現金流</t>
        </is>
      </c>
      <c r="AC17" t="inlineStr">
        <is>
          <t>營運缺口＋股利＋回購</t>
        </is>
      </c>
      <c r="AD17" t="inlineStr">
        <is>
          <t>2026 -62.0、2027 -11.4、2028 10.9、2029 23.1、2030 -67.6</t>
        </is>
      </c>
      <c r="AE17" s="4" t="n">
        <v>-106.9279391300797</v>
      </c>
      <c r="AF17" s="4" t="n">
        <v>-67.601689194111</v>
      </c>
      <c r="AG17" t="inlineStr">
        <is>
          <t>[Derived] alphabet/dist/20261025_Alphabet收支模型_v0_2_2.xlsx 各期收支!C54＋C23＋C24…各期收支!G54＋G23＋G24</t>
        </is>
      </c>
      <c r="AH17">
        <f>IF(AB17="淨利",IF(AF17&gt;0,"通過（淨利）","不通過"),IF(AE17&lt;0,"不通過","通過（現金流）"))</f>
        <v/>
      </c>
      <c r="AI17">
        <f>IF(S17="未上市","未上市",IF(AND(AH17="不通過",OR(S17="強力買進",S17="買進",S17="未估值")),"收支不足",S17))</f>
        <v/>
      </c>
      <c r="AJ17">
        <f>IF(Q17&gt;0.5,"大於 50%",IF(Q17&gt;0.25,"25%–50%",IF(Q17&gt;=0,"0%–25%",IF(Q17&gt;=-0.25,"0%～−25%",IF(Q17&gt;=-0.5,"−25%～−50%","小於 −50%")))))</f>
        <v/>
      </c>
      <c r="AK17" t="inlineStr">
        <is>
          <t>上檔空間＝模型加權目標價 alphabet/dist/20261025_Alphabet收支模型_v0_2_2.xlsx 摘要!C7 ÷ 外部收盤價 − 1，依本地圖五級規則自算（模型自身評等以模型日價計、級距不同，不採用；原值見模型摘要頁）</t>
        </is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>
        <f>IF(Q18&gt;0.5,"強力買進",IF(Q18&gt;0.25,"買進",IF(Q18&gt;=-0.25,"中立",IF(Q18&gt;=-0.5,"放空","強力放空"))))</f>
        <v/>
      </c>
      <c r="W18" s="1" t="inlineStr">
        <is>
          <t>模型點位 $84.2（模型日現價 $129.13）；情境區間 $77.4–$91.9，方法區間 $78.7–$84.2</t>
        </is>
      </c>
      <c r="Z18">
        <f>IF(ISNUMBER(價格!C18),價格!H18/價格!C18-1,"")</f>
        <v/>
      </c>
      <c r="AA18">
        <f>IF(Z18="","",IF(ABS(Z18)&gt;0.2,"模型尚未反映期間變化",""))</f>
        <v/>
      </c>
      <c r="AB18" t="inlineStr">
        <is>
          <t>現金流</t>
        </is>
      </c>
      <c r="AC18" t="inlineStr">
        <is>
          <t>營運缺口＋股利</t>
        </is>
      </c>
      <c r="AD18" t="inlineStr">
        <is>
          <t>FY27 -25.8、FY28 -21.1、FY29 23.7、FY30 9.7、FY31 8.1</t>
        </is>
      </c>
      <c r="AE18" s="4" t="n">
        <v>-5.431099371743606</v>
      </c>
      <c r="AF18" s="4" t="n">
        <v>-25.8031832210438</v>
      </c>
      <c r="AG18" t="inlineStr">
        <is>
          <t>[Derived] oracle/dist/20261022_Oracle收支模型_v0_3_1.xlsx 各期收支!C50＋C23…各期收支!G50＋G23</t>
        </is>
      </c>
      <c r="AH18">
        <f>IF(AB18="淨利",IF(AF18&gt;0,"通過（淨利）","不通過"),IF(AE18&lt;0,"不通過","通過（現金流）"))</f>
        <v/>
      </c>
      <c r="AI18">
        <f>IF(S18="未上市","未上市",IF(AND(AH18="不通過",OR(S18="強力買進",S18="買進",S18="未估值")),"收支不足",S18))</f>
        <v/>
      </c>
      <c r="AJ18">
        <f>IF(Q18&gt;0.5,"大於 50%",IF(Q18&gt;0.25,"25%–50%",IF(Q18&gt;=0,"0%–25%",IF(Q18&gt;=-0.25,"0%～−25%",IF(Q18&gt;=-0.5,"−25%～−50%","小於 −50%")))))</f>
        <v/>
      </c>
      <c r="AK18" t="inlineStr">
        <is>
          <t>上檔空間＝模型加權目標價 oracle/dist/20261022_Oracle收支模型_v0_3_1.xlsx 摘要!C7 ÷ 外部收盤價 − 1，依本地圖五級規則自算（模型自身評等以模型日價計、級距不同，不採用；原值見模型摘要頁）</t>
        </is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>
        <f>IF(Q19&gt;0.5,"強力買進",IF(Q19&gt;0.25,"買進",IF(Q19&gt;=-0.25,"中立",IF(Q19&gt;=-0.5,"放空","強力放空"))))</f>
        <v/>
      </c>
      <c r="W19" s="1" t="inlineStr">
        <is>
          <t>模型點位 $32.0（模型日現價 $90.13）；情境區間 $14.7–$42.7，方法區間 $19.7–$32.0</t>
        </is>
      </c>
      <c r="Z19">
        <f>IF(ISNUMBER(價格!C19),價格!H19/價格!C19-1,"")</f>
        <v/>
      </c>
      <c r="AA19">
        <f>IF(Z19="","",IF(ABS(Z19)&gt;0.2,"模型尚未反映期間變化",""))</f>
        <v/>
      </c>
      <c r="AB19" t="inlineStr">
        <is>
          <t>現金流</t>
        </is>
      </c>
      <c r="AC19" t="inlineStr">
        <is>
          <t>營運缺口（不含融資、不含還本；無股利與回購）</t>
        </is>
      </c>
      <c r="AD19" t="inlineStr">
        <is>
          <t>FY26 -28.0、FY27 -30.4、FY28 -17.6、FY29 -13.4、FY30 -16.3</t>
        </is>
      </c>
      <c r="AE19" s="4" t="n">
        <v>-105.7055627525181</v>
      </c>
      <c r="AF19" s="4" t="n">
        <v>-30.399857894978</v>
      </c>
      <c r="AG19" t="inlineStr">
        <is>
          <t>[Derived] coreweave/dist/20261021_CoreWeave收支模型_v4_12.xlsx 各期收支!C39…各期收支!G39</t>
        </is>
      </c>
      <c r="AH19">
        <f>IF(AB19="淨利",IF(AF19&gt;0,"通過（淨利）","不通過"),IF(AE19&lt;0,"不通過","通過（現金流）"))</f>
        <v/>
      </c>
      <c r="AI19">
        <f>IF(S19="未上市","未上市",IF(AND(AH19="不通過",OR(S19="強力買進",S19="買進",S19="未估值")),"收支不足",S19))</f>
        <v/>
      </c>
      <c r="AJ19">
        <f>IF(Q19&gt;0.5,"大於 50%",IF(Q19&gt;0.25,"25%–50%",IF(Q19&gt;=0,"0%–25%",IF(Q19&gt;=-0.25,"0%～−25%",IF(Q19&gt;=-0.5,"−25%～−50%","小於 −50%")))))</f>
        <v/>
      </c>
      <c r="AK19" t="inlineStr">
        <is>
          <t>上檔空間＝模型加權目標價 coreweave/dist/20261021_CoreWeave收支模型_v4_12.xlsx 摘要!C7 ÷ 外部收盤價 − 1，依本地圖五級規則自算（模型自身評等以模型日價計、級距不同，不採用；原值見模型摘要頁）</t>
        </is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>
        <f>IF(Q20&gt;0.5,"強力買進",IF(Q20&gt;0.25,"買進",IF(Q20&gt;=-0.25,"中立",IF(Q20&gt;=-0.5,"放空","強力放空"))))</f>
        <v/>
      </c>
      <c r="W20" s="1" t="inlineStr">
        <is>
          <t>模型點位 $21.4（模型日現價 $249.87）；情境區間 $19.4–$29.5，方法區間 $12.5–$21.4</t>
        </is>
      </c>
      <c r="Z20">
        <f>IF(ISNUMBER(價格!C20),價格!H20/價格!C20-1,"")</f>
        <v/>
      </c>
      <c r="AA20">
        <f>IF(Z20="","",IF(ABS(Z20)&gt;0.2,"模型尚未反映期間變化",""))</f>
        <v/>
      </c>
      <c r="AB20" t="inlineStr">
        <is>
          <t>現金流</t>
        </is>
      </c>
      <c r="AC20" t="inlineStr">
        <is>
          <t>營運缺口（不含融資、不含還本；無股利與回購）</t>
        </is>
      </c>
      <c r="AD20" t="inlineStr">
        <is>
          <t>FY26 -15.1、FY27 -17.9、FY28 -18.2、FY29 -17.2、FY30 -25.5</t>
        </is>
      </c>
      <c r="AE20" s="4" t="n">
        <v>-94.001644749039</v>
      </c>
      <c r="AF20" s="4" t="n">
        <v>-25.5402170366338</v>
      </c>
      <c r="AG20" t="inlineStr">
        <is>
          <t>[Derived] nebius/dist/20261022_Nebius收支模型_v0_5.xlsx 各期收支!C45…各期收支!G45</t>
        </is>
      </c>
      <c r="AH20">
        <f>IF(AB20="淨利",IF(AF20&gt;0,"通過（淨利）","不通過"),IF(AE20&lt;0,"不通過","通過（現金流）"))</f>
        <v/>
      </c>
      <c r="AI20">
        <f>IF(S20="未上市","未上市",IF(AND(AH20="不通過",OR(S20="強力買進",S20="買進",S20="未估值")),"收支不足",S20))</f>
        <v/>
      </c>
      <c r="AJ20">
        <f>IF(Q20&gt;0.5,"大於 50%",IF(Q20&gt;0.25,"25%–50%",IF(Q20&gt;=0,"0%–25%",IF(Q20&gt;=-0.25,"0%～−25%",IF(Q20&gt;=-0.5,"−25%～−50%","小於 −50%")))))</f>
        <v/>
      </c>
      <c r="AK20" t="inlineStr">
        <is>
          <t>上檔空間＝模型加權目標價 nebius/dist/20261022_Nebius收支模型_v0_5.xlsx 摘要!C7 ÷ 外部收盤價 − 1，依本地圖五級規則自算（模型自身評等以模型日價計、級距不同，不採用；原值見模型摘要頁）</t>
        </is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>
        <f>IF(Q21&gt;0.5,"強力買進",IF(Q21&gt;0.25,"買進",IF(Q21&gt;=-0.25,"中立",IF(Q21&gt;=-0.5,"放空","強力放空"))))</f>
        <v/>
      </c>
      <c r="W21" s="1" t="inlineStr">
        <is>
          <t>模型點位 $15.2（模型日現價 $16.83）；情境區間 $11.5–$25.4，方法區間 $15.1–$15.2</t>
        </is>
      </c>
      <c r="Z21">
        <f>IF(ISNUMBER(價格!C21),價格!H21/價格!C21-1,"")</f>
        <v/>
      </c>
      <c r="AA21">
        <f>IF(Z21="","",IF(ABS(Z21)&gt;0.2,"模型尚未反映期間變化",""))</f>
        <v/>
      </c>
      <c r="AB21" t="inlineStr">
        <is>
          <t>現金流</t>
        </is>
      </c>
      <c r="AC21" t="inlineStr">
        <is>
          <t>營運缺口＋股利</t>
        </is>
      </c>
      <c r="AD21" t="inlineStr">
        <is>
          <t>FY26 -371.1、FY27 -383.6、FY28 -40.7、FY29 -1.9、FY30 -22.2</t>
        </is>
      </c>
      <c r="AE21" s="4" t="n">
        <v>-819.4510890267885</v>
      </c>
      <c r="AF21" s="4" t="n">
        <v>-383.618038613095</v>
      </c>
      <c r="AG21" t="inlineStr">
        <is>
          <t>[Derived] whitefiber/dist/20261022_WhiteFiber收支模型_v0_2.xlsx 各期收支!C52＋C24…各期收支!G52＋G24</t>
        </is>
      </c>
      <c r="AH21">
        <f>IF(AB21="淨利",IF(AF21&gt;0,"通過（淨利）","不通過"),IF(AE21&lt;0,"不通過","通過（現金流）"))</f>
        <v/>
      </c>
      <c r="AI21">
        <f>IF(S21="未上市","未上市",IF(AND(AH21="不通過",OR(S21="強力買進",S21="買進",S21="未估值")),"收支不足",S21))</f>
        <v/>
      </c>
      <c r="AJ21">
        <f>IF(Q21&gt;0.5,"大於 50%",IF(Q21&gt;0.25,"25%–50%",IF(Q21&gt;=0,"0%–25%",IF(Q21&gt;=-0.25,"0%～−25%",IF(Q21&gt;=-0.5,"−25%～−50%","小於 −50%")))))</f>
        <v/>
      </c>
      <c r="AK21" t="inlineStr">
        <is>
          <t>上檔空間＝模型加權目標價 whitefiber/dist/20261022_WhiteFiber收支模型_v0_2.xlsx 摘要!C7 ÷ 外部收盤價 − 1，依本地圖五級規則自算（模型自身評等以模型日價計、級距不同，不採用；原值見模型摘要頁）</t>
        </is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IF(Q22&gt;0.5,"強力買進",IF(Q22&gt;0.25,"買進",IF(Q22&gt;=-0.25,"中立",IF(Q22&gt;=-0.5,"放空","強力放空"))))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  <c r="AB22" t="inlineStr">
        <is>
          <t>現金流</t>
        </is>
      </c>
      <c r="AC22" t="inlineStr">
        <is>
          <t>F06 營運燒錢（經調整淨利）＋F07 算力預付與自建資本支出</t>
        </is>
      </c>
      <c r="AD22" t="inlineStr">
        <is>
          <t>FY2026 -900.3、FY2027 -826.5、FY2028 -1,129.9、FY2029 -1,433.3、FY2030 -1,693.3</t>
        </is>
      </c>
      <c r="AE22" s="4" t="n">
        <v>-5983.185548552452</v>
      </c>
      <c r="AF22" s="4" t="n">
        <v>-1693.27864140096</v>
      </c>
      <c r="AG22" t="inlineStr">
        <is>
          <t>[Derived] minimax/dist/20261022_MiniMax收支模型_v0_2.xlsx Funding!E13＋E14…Funding!I13＋I14</t>
        </is>
      </c>
      <c r="AH22">
        <f>IF(AB22="淨利",IF(AF22&gt;0,"通過（淨利）","不通過"),IF(AE22&lt;0,"不通過","通過（現金流）"))</f>
        <v/>
      </c>
      <c r="AI22">
        <f>IF(S22="未上市","未上市",IF(AND(AH22="不通過",OR(S22="強力買進",S22="買進",S22="未估值")),"收支不足",S22))</f>
        <v/>
      </c>
      <c r="AJ22">
        <f>IF(Q22&gt;0.5,"大於 50%",IF(Q22&gt;0.25,"25%–50%",IF(Q22&gt;=0,"0%–25%",IF(Q22&gt;=-0.25,"0%～−25%",IF(Q22&gt;=-0.5,"−25%～−50%","小於 −50%")))))</f>
        <v/>
      </c>
      <c r="AK22" t="inlineStr">
        <is>
          <t>模型無評等；依 AI半導體 固定規則自算</t>
        </is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  <c r="AB23" t="inlineStr">
        <is>
          <t>現金流</t>
        </is>
      </c>
      <c r="AC23" t="inlineStr">
        <is>
          <t>F09 自由現金流</t>
        </is>
      </c>
      <c r="AD23" t="inlineStr">
        <is>
          <t>2026 -41.3、2027 -40.9、2028 -40.5、2029 -59.4、2030 -99.1</t>
        </is>
      </c>
      <c r="AE23" s="4" t="n">
        <v>-281.188184190984</v>
      </c>
      <c r="AF23" s="4" t="n">
        <v>-99.0538108419448</v>
      </c>
      <c r="AG23" t="inlineStr">
        <is>
          <t>[Derived] zhipu/dist/20261022_智譜收支模型_v0_1_1.xlsx Funding!E16…Funding!I16</t>
        </is>
      </c>
      <c r="AH23">
        <f>IF(AB23="淨利",IF(AF23&gt;0,"通過（淨利）","不通過"),IF(AE23&lt;0,"不通過","通過（現金流）"))</f>
        <v/>
      </c>
      <c r="AI23">
        <f>IF(S23="未上市","未上市",IF(AND(AH23="不通過",OR(S23="強力買進",S23="買進",S23="未估值")),"收支不足",S23))</f>
        <v/>
      </c>
    </row>
    <row r="24">
      <c r="A24" t="inlineStr">
        <is>
          <t>OpenAI</t>
        </is>
      </c>
      <c r="B24" t="inlineStr">
        <is>
          <t>OpenAI</t>
        </is>
      </c>
      <c r="C24">
        <f>價值鏈!A2</f>
        <v/>
      </c>
      <c r="D24" t="inlineStr">
        <is>
          <t>AI 模型商</t>
        </is>
      </c>
      <c r="E24" t="inlineStr">
        <is>
          <t>未上市</t>
        </is>
      </c>
      <c r="N24">
        <f>價格!H24</f>
        <v/>
      </c>
      <c r="S24" t="inlineStr">
        <is>
          <t>未上市</t>
        </is>
      </c>
      <c r="W24" s="1" t="inlineStr">
        <is>
          <t>未上市：不評估可投資性；收支關卡結果只作參考。</t>
        </is>
      </c>
      <c r="Z24">
        <f>IF(ISNUMBER(價格!C24),價格!H24/價格!C24-1,"")</f>
        <v/>
      </c>
      <c r="AA24">
        <f>IF(Z24="","",IF(ABS(Z24)&gt;0.2,"模型尚未反映期間變化",""))</f>
        <v/>
      </c>
      <c r="AB24" t="inlineStr">
        <is>
          <t>現金流</t>
        </is>
      </c>
      <c r="AC24" t="inlineStr">
        <is>
          <t>F06 自由現金流</t>
        </is>
      </c>
      <c r="AD24" t="inlineStr">
        <is>
          <t>2026 -39.4、2027 -116.0、2028 -134.9、2029 -137.6、2030 -131.9</t>
        </is>
      </c>
      <c r="AE24" s="4" t="n">
        <v>-559.844811653528</v>
      </c>
      <c r="AF24" s="4" t="n">
        <v>-137.624622192723</v>
      </c>
      <c r="AG24" t="inlineStr">
        <is>
          <t>[Derived] openai/dist/20261025_OpenAI收支模型_v0_6_3.xlsx Funding!E13…Funding!I13</t>
        </is>
      </c>
      <c r="AH24">
        <f>IF(AB24="淨利",IF(AF24&gt;0,"通過（淨利）","不通過"),IF(AE24&lt;0,"不通過","通過（現金流）"))</f>
        <v/>
      </c>
      <c r="AI24">
        <f>IF(S24="未上市","未上市",IF(AND(AH24="不通過",OR(S24="強力買進",S24="買進",S24="未估值")),"收支不足",S24))</f>
        <v/>
      </c>
    </row>
    <row r="25">
      <c r="A25" t="inlineStr">
        <is>
          <t>Anthropic</t>
        </is>
      </c>
      <c r="B25" t="inlineStr">
        <is>
          <t>Anthropic</t>
        </is>
      </c>
      <c r="C25">
        <f>價值鏈!A2</f>
        <v/>
      </c>
      <c r="D25" t="inlineStr">
        <is>
          <t>AI 模型商</t>
        </is>
      </c>
      <c r="E25" t="inlineStr">
        <is>
          <t>未上市</t>
        </is>
      </c>
      <c r="N25">
        <f>價格!H25</f>
        <v/>
      </c>
      <c r="S25" t="inlineStr">
        <is>
          <t>未上市</t>
        </is>
      </c>
      <c r="W25" s="1" t="inlineStr">
        <is>
          <t>未上市：不評估可投資性；收支關卡結果只作參考。</t>
        </is>
      </c>
      <c r="Z25">
        <f>IF(ISNUMBER(價格!C25),價格!H25/價格!C25-1,"")</f>
        <v/>
      </c>
      <c r="AA25">
        <f>IF(Z25="","",IF(ABS(Z25)&gt;0.2,"模型尚未反映期間變化",""))</f>
        <v/>
      </c>
      <c r="AB25" t="inlineStr">
        <is>
          <t>現金流</t>
        </is>
      </c>
      <c r="AC25" t="inlineStr">
        <is>
          <t>F07 自由現金流</t>
        </is>
      </c>
      <c r="AD25" t="inlineStr">
        <is>
          <t>2026 -2.6、2027 -18.5、2028 -15.0、2029 47.6、2030 96.1</t>
        </is>
      </c>
      <c r="AE25" s="4" t="n">
        <v>107.6782012460332</v>
      </c>
      <c r="AF25" s="4" t="n">
        <v>-18.5037194506051</v>
      </c>
      <c r="AG25" t="inlineStr">
        <is>
          <t>[Derived] anthropic/dist/20261024_Anthropic收支模型_v0_1_5.xlsx Funding!E14…Funding!I14</t>
        </is>
      </c>
      <c r="AH25">
        <f>IF(AB25="淨利",IF(AF25&gt;0,"通過（淨利）","不通過"),IF(AE25&lt;0,"不通過","通過（現金流）"))</f>
        <v/>
      </c>
      <c r="AI25">
        <f>IF(S25="未上市","未上市",IF(AND(AH25="不通過",OR(S25="強力買進",S25="買進",S25="未估值")),"收支不足",S25))</f>
        <v/>
      </c>
    </row>
    <row r="26">
      <c r="A26" t="inlineStr">
        <is>
          <t>AMD</t>
        </is>
      </c>
      <c r="B26" t="inlineStr">
        <is>
          <t>AMD</t>
        </is>
      </c>
      <c r="C26">
        <f>價值鏈!A5</f>
        <v/>
      </c>
      <c r="D26" t="inlineStr">
        <is>
          <t>運算</t>
        </is>
      </c>
      <c r="E26" t="inlineStr">
        <is>
          <t>加權目標價（DCF 50%＋Comparable 50%）</t>
        </is>
      </c>
      <c r="F26" s="4" t="n">
        <v>177.104004476736</v>
      </c>
      <c r="G26" t="inlineStr">
        <is>
          <t>amd/dist/20261025_AMD模型_v0.2.1.xlsx Val!B40</t>
        </is>
      </c>
      <c r="J26" s="4" t="n">
        <v>120.521244989712</v>
      </c>
      <c r="K26" t="inlineStr">
        <is>
          <t>amd/dist/20261025_AMD模型_v0.2.1.xlsx Val!B47</t>
        </is>
      </c>
      <c r="N26">
        <f>價格!H26</f>
        <v/>
      </c>
      <c r="O26">
        <f>MIN(F26,H26)</f>
        <v/>
      </c>
      <c r="P26">
        <f>MIN(J26,L26)</f>
        <v/>
      </c>
      <c r="Q26" s="4" t="n">
        <v>-0.657299861690947</v>
      </c>
      <c r="R26">
        <f>P26/N26-1</f>
        <v/>
      </c>
      <c r="S26">
        <f>IF(Q26&gt;0.5,"強力買進",IF(Q26&gt;0.25,"買進",IF(Q26&gt;=-0.25,"中立",IF(Q26&gt;=-0.5,"放空","強力放空"))))</f>
        <v/>
      </c>
      <c r="T26">
        <f>471.572606000429/N26-1</f>
        <v/>
      </c>
      <c r="U26" t="inlineStr">
        <is>
          <t>舊法：規則值情境加權價（參考，Val!B57）</t>
        </is>
      </c>
      <c r="V26" t="inlineStr">
        <is>
          <t>45.4 ／ 46.5 ／ 52.3</t>
        </is>
      </c>
      <c r="W26" s="1" t="inlineStr">
        <is>
          <t>DCF 目標價 152.1（Val!B23）；Comparable 目標價 202.1（Val!B41）；市場共識目標價 637.6（Val!B42，外部、僅供對照）；價格帶 C～A 情境 DCF 120.5～168.7</t>
        </is>
      </c>
      <c r="Z26">
        <f>IF(ISNUMBER(價格!C26),價格!H26/價格!C26-1,"")</f>
        <v/>
      </c>
      <c r="AA26">
        <f>IF(Z26="","",IF(ABS(Z26)&gt;0.2,"模型尚未反映期間變化",""))</f>
        <v/>
      </c>
      <c r="AB26" t="inlineStr">
        <is>
          <t>淨利</t>
        </is>
      </c>
      <c r="AC26" t="inlineStr">
        <is>
          <t>PL 頁各情境模型年度淨利（不含實績）</t>
        </is>
      </c>
      <c r="AD26" t="inlineStr">
        <is>
          <t>8 個情境年度淨利（不含實績），全部為正</t>
        </is>
      </c>
      <c r="AE26" s="4" t="n">
        <v>150.2972904543469</v>
      </c>
      <c r="AF26" s="4" t="n">
        <v>12.11686349532</v>
      </c>
      <c r="AG26" t="inlineStr">
        <is>
          <t>[Derived] amd/dist/20261025_AMD模型_v0.2.1.xlsx PL!D15…PL!G47</t>
        </is>
      </c>
      <c r="AH26">
        <f>IF(AB26="淨利",IF(AF26&gt;0,"通過（淨利）","不通過"),IF(AE26&lt;0,"不通過","通過（現金流）"))</f>
        <v/>
      </c>
      <c r="AI26">
        <f>IF(S26="未上市","未上市",IF(AND(AH26="不通過",OR(S26="強力買進",S26="買進",S26="未估值")),"收支不足",S26))</f>
        <v/>
      </c>
      <c r="AJ26">
        <f>IF(Q26&gt;0.5,"大於 50%",IF(Q26&gt;0.25,"25%–50%",IF(Q26&gt;=0,"0%–25%",IF(Q26&gt;=-0.25,"0%～−25%",IF(Q26&gt;=-0.5,"−25%～−50%","小於 −50%")))))</f>
        <v/>
      </c>
      <c r="AK26" s="1" t="inlineStr">
        <is>
          <t>上檔空間 amd/dist/20261025_AMD模型_v0.2.1.xlsx Val!B43；投資建議：模型尚未補列，依 AI半導體 固定規則自算；級距：模型尚未補列，依 AI半導體 固定規則自算</t>
        </is>
      </c>
    </row>
    <row r="27">
      <c r="A27" t="inlineStr">
        <is>
          <t>2454</t>
        </is>
      </c>
      <c r="B27" t="inlineStr">
        <is>
          <t>聯發科</t>
        </is>
      </c>
      <c r="C27">
        <f>價值鏈!A5</f>
        <v/>
      </c>
      <c r="D27" t="inlineStr">
        <is>
          <t>運算</t>
        </is>
      </c>
      <c r="E27" t="inlineStr">
        <is>
          <t>加權目標價（DCF 50%＋Comparable 50%）</t>
        </is>
      </c>
      <c r="F27" s="4" t="n">
        <v>2056.72998586345</v>
      </c>
      <c r="G27" t="inlineStr">
        <is>
          <t>mediatek/dist/20261025_聯發科模型_v0.1.xlsx Val!B39</t>
        </is>
      </c>
      <c r="J27" s="4" t="n">
        <v>1011.80776357573</v>
      </c>
      <c r="K27" t="inlineStr">
        <is>
          <t>mediatek/dist/20261025_聯發科模型_v0.1.xlsx Val!D23</t>
        </is>
      </c>
      <c r="N27">
        <f>價格!H27</f>
        <v/>
      </c>
      <c r="O27">
        <f>MIN(F27,H27)</f>
        <v/>
      </c>
      <c r="P27">
        <f>MIN(J27,L27)</f>
        <v/>
      </c>
      <c r="Q27" s="4" t="n">
        <v>-0.487099754148765</v>
      </c>
      <c r="R27">
        <f>P27/N27-1</f>
        <v/>
      </c>
      <c r="S27">
        <f>IF(Q27&gt;0.5,"強力買進",IF(Q27&gt;0.25,"買進",IF(Q27&gt;=-0.25,"中立",IF(Q27&gt;=-0.5,"放空","強力放空"))))</f>
        <v/>
      </c>
      <c r="V27" t="inlineStr">
        <is>
          <t>26.9 ／ 33.6 ／ 47.0</t>
        </is>
      </c>
      <c r="W27" s="1" t="inlineStr">
        <is>
          <t>DCF 目標價 1,845.6（Val!B24）；Comparable 目標價 2,267.9（Val!B40）；市場共識目標價 6,067.0（Val!B41，外部、僅供對照）；價格帶 C～A 情境 DCF 1,011.8～2,466.1</t>
        </is>
      </c>
      <c r="Z27">
        <f>IF(ISNUMBER(價格!C27),價格!H27/價格!C27-1,"")</f>
        <v/>
      </c>
      <c r="AA27">
        <f>IF(Z27="","",IF(ABS(Z27)&gt;0.2,"模型尚未反映期間變化",""))</f>
        <v/>
      </c>
      <c r="AB27" t="inlineStr">
        <is>
          <t>淨利</t>
        </is>
      </c>
      <c r="AC27" t="inlineStr">
        <is>
          <t>PL 頁各情境模型年度淨利（不含實績）</t>
        </is>
      </c>
      <c r="AD27" t="inlineStr">
        <is>
          <t>19 個情境年度淨利（不含實績），全部為正</t>
        </is>
      </c>
      <c r="AE27" s="4" t="n">
        <v>3774.280334375853</v>
      </c>
      <c r="AF27" s="4" t="n">
        <v>116.644935348433</v>
      </c>
      <c r="AG27" t="inlineStr">
        <is>
          <t>[Derived] mediatek/dist/20261025_聯發科模型_v0.1.xlsx PL!D13…PL!J41</t>
        </is>
      </c>
      <c r="AH27">
        <f>IF(AB27="淨利",IF(AF27&gt;0,"通過（淨利）","不通過"),IF(AE27&lt;0,"不通過","通過（現金流）"))</f>
        <v/>
      </c>
      <c r="AI27">
        <f>IF(S27="未上市","未上市",IF(AND(AH27="不通過",OR(S27="強力買進",S27="買進",S27="未估值")),"收支不足",S27))</f>
        <v/>
      </c>
      <c r="AJ27">
        <f>IF(Q27&gt;0.5,"大於 50%",IF(Q27&gt;0.25,"25%–50%",IF(Q27&gt;=0,"0%–25%",IF(Q27&gt;=-0.25,"0%～−25%",IF(Q27&gt;=-0.5,"−25%～−50%","小於 −50%")))))</f>
        <v/>
      </c>
      <c r="AK27" s="1" t="inlineStr">
        <is>
          <t>上檔空間 mediatek/dist/20261025_聯發科模型_v0.1.xlsx Val!B42；投資建議：模型尚未補列，依 AI半導體 固定規則自算；級距：模型尚未補列，依 AI半導體 固定規則自算</t>
        </is>
      </c>
    </row>
    <row r="28">
      <c r="A28" t="inlineStr">
        <is>
          <t>MRVL</t>
        </is>
      </c>
      <c r="B28" t="inlineStr">
        <is>
          <t>Marvell</t>
        </is>
      </c>
      <c r="C28">
        <f>價值鏈!A5</f>
        <v/>
      </c>
      <c r="D28" t="inlineStr">
        <is>
          <t>運算</t>
        </is>
      </c>
      <c r="E28" t="inlineStr">
        <is>
          <t>加權目標價（DCF 50%＋Comparable 50%）</t>
        </is>
      </c>
      <c r="F28" s="4" t="n">
        <v>128.033003490757</v>
      </c>
      <c r="G28" t="inlineStr">
        <is>
          <t>mrvl/dist/20261025_邁威爾模型_v0.2.xlsx Val!B40</t>
        </is>
      </c>
      <c r="J28" s="4" t="n">
        <v>71.0382339875876</v>
      </c>
      <c r="K28" t="inlineStr">
        <is>
          <t>mrvl/dist/20261025_邁威爾模型_v0.2.xlsx Val!B47</t>
        </is>
      </c>
      <c r="N28">
        <f>價格!H28</f>
        <v/>
      </c>
      <c r="O28">
        <f>MIN(F28,H28)</f>
        <v/>
      </c>
      <c r="P28">
        <f>MIN(J28,L28)</f>
        <v/>
      </c>
      <c r="Q28" s="4" t="n">
        <v>-0.439705030454872</v>
      </c>
      <c r="R28">
        <f>P28/N28-1</f>
        <v/>
      </c>
      <c r="S28">
        <f>IF(Q28&gt;0.5,"強力買進",IF(Q28&gt;0.25,"買進",IF(Q28&gt;=-0.25,"中立",IF(Q28&gt;=-0.5,"放空","強力放空"))))</f>
        <v/>
      </c>
      <c r="T28">
        <f>203.164070486016/N28-1</f>
        <v/>
      </c>
      <c r="U28" t="inlineStr">
        <is>
          <t>舊法：規則值情境加權價（參考，Val!B57）</t>
        </is>
      </c>
      <c r="V28" t="inlineStr">
        <is>
          <t>35.1 ／ 35.1 ／ 35.1</t>
        </is>
      </c>
      <c r="W28" s="1" t="inlineStr">
        <is>
          <t>DCF 目標價 116.4（Val!B23）；Comparable 目標價 139.6（Val!B41）；市場共識目標價 341.4（Val!B42，外部、僅供對照）；價格帶 C～A 情境 DCF 71.0～147.4</t>
        </is>
      </c>
      <c r="Z28">
        <f>IF(ISNUMBER(價格!C28),價格!H28/價格!C28-1,"")</f>
        <v/>
      </c>
      <c r="AA28">
        <f>IF(Z28="","",IF(ABS(Z28)&gt;0.2,"模型尚未反映期間變化",""))</f>
        <v/>
      </c>
      <c r="AB28" t="inlineStr">
        <is>
          <t>淨利</t>
        </is>
      </c>
      <c r="AC28" t="inlineStr">
        <is>
          <t>PL 頁各情境模型年度淨利（不含實績）</t>
        </is>
      </c>
      <c r="AD28" t="inlineStr">
        <is>
          <t>8 個情境年度淨利（不含實績），全部為正</t>
        </is>
      </c>
      <c r="AE28" s="4" t="n">
        <v>52.61793498372541</v>
      </c>
      <c r="AF28" s="4" t="n">
        <v>3.83971098</v>
      </c>
      <c r="AG28" t="inlineStr">
        <is>
          <t>[Derived] mrvl/dist/20261025_邁威爾模型_v0.2.xlsx PL!D13…PL!G39</t>
        </is>
      </c>
      <c r="AH28">
        <f>IF(AB28="淨利",IF(AF28&gt;0,"通過（淨利）","不通過"),IF(AE28&lt;0,"不通過","通過（現金流）"))</f>
        <v/>
      </c>
      <c r="AI28">
        <f>IF(S28="未上市","未上市",IF(AND(AH28="不通過",OR(S28="強力買進",S28="買進",S28="未估值")),"收支不足",S28))</f>
        <v/>
      </c>
      <c r="AJ28">
        <f>IF(Q28&gt;0.5,"大於 50%",IF(Q28&gt;0.25,"25%–50%",IF(Q28&gt;=0,"0%–25%",IF(Q28&gt;=-0.25,"0%～−25%",IF(Q28&gt;=-0.5,"−25%～−50%","小於 −50%")))))</f>
        <v/>
      </c>
      <c r="AK28" s="1" t="inlineStr">
        <is>
          <t>上檔空間 mrvl/dist/20261025_邁威爾模型_v0.2.xlsx Val!B43；投資建議：模型尚未補列，依 AI半導體 固定規則自算；級距：模型尚未補列，依 AI半導體 固定規則自算</t>
        </is>
      </c>
    </row>
    <row r="29">
      <c r="A29" t="inlineStr">
        <is>
          <t>3661</t>
        </is>
      </c>
      <c r="B29" t="inlineStr">
        <is>
          <t>世芯-KY</t>
        </is>
      </c>
      <c r="C29">
        <f>價值鏈!A5</f>
        <v/>
      </c>
      <c r="D29" t="inlineStr">
        <is>
          <t>運算</t>
        </is>
      </c>
      <c r="E29" t="inlineStr">
        <is>
          <t>加權目標價（DCF 50%＋Comparable 50%）</t>
        </is>
      </c>
      <c r="F29" s="4" t="n">
        <v>5925.8607469146</v>
      </c>
      <c r="G29" t="inlineStr">
        <is>
          <t>alchip/dist/20261025_世芯-KY模型_v0.1.xlsx Val!B39</t>
        </is>
      </c>
      <c r="J29" s="4" t="n">
        <v>1226.24410533878</v>
      </c>
      <c r="K29" t="inlineStr">
        <is>
          <t>alchip/dist/20261025_世芯-KY模型_v0.1.xlsx Val!D23</t>
        </is>
      </c>
      <c r="N29">
        <f>價格!H29</f>
        <v/>
      </c>
      <c r="O29">
        <f>MIN(F29,H29)</f>
        <v/>
      </c>
      <c r="P29">
        <f>MIN(J29,L29)</f>
        <v/>
      </c>
      <c r="Q29" s="4" t="n">
        <v>0.695525249474849</v>
      </c>
      <c r="R29">
        <f>P29/N29-1</f>
        <v/>
      </c>
      <c r="S29">
        <f>IF(Q29&gt;0.5,"強力買進",IF(Q29&gt;0.25,"買進",IF(Q29&gt;=-0.25,"中立",IF(Q29&gt;=-0.5,"放空","強力放空"))))</f>
        <v/>
      </c>
      <c r="V29" t="inlineStr">
        <is>
          <t>10.3 ／ 17.8 ／ 33.8</t>
        </is>
      </c>
      <c r="W29" s="1" t="inlineStr">
        <is>
          <t>DCF 目標價 3,503.2（Val!B24）；Comparable 目標價 8,348.5（Val!B40）；市場共識目標價 5,803.2（Val!B41，外部、僅供對照）；價格帶 C～A 情境 DCF 1,226.2～5,691.2</t>
        </is>
      </c>
      <c r="Z29">
        <f>IF(ISNUMBER(價格!C29),價格!H29/價格!C29-1,"")</f>
        <v/>
      </c>
      <c r="AA29">
        <f>IF(Z29="","",IF(ABS(Z29)&gt;0.2,"模型尚未反映期間變化",""))</f>
        <v/>
      </c>
      <c r="AB29" t="inlineStr">
        <is>
          <t>淨利</t>
        </is>
      </c>
      <c r="AC29" t="inlineStr">
        <is>
          <t>PL 頁各情境模型年度淨利（不含實績）</t>
        </is>
      </c>
      <c r="AD29" t="inlineStr">
        <is>
          <t>19 個情境年度淨利（不含實績），全部為正</t>
        </is>
      </c>
      <c r="AE29" s="4" t="n">
        <v>389.366413778084</v>
      </c>
      <c r="AF29" s="4" t="n">
        <v>8.17984934367048</v>
      </c>
      <c r="AG29" t="inlineStr">
        <is>
          <t>[Derived] alchip/dist/20261025_世芯-KY模型_v0.1.xlsx PL!D11…PL!J35</t>
        </is>
      </c>
      <c r="AH29">
        <f>IF(AB29="淨利",IF(AF29&gt;0,"通過（淨利）","不通過"),IF(AE29&lt;0,"不通過","通過（現金流）"))</f>
        <v/>
      </c>
      <c r="AI29">
        <f>IF(S29="未上市","未上市",IF(AND(AH29="不通過",OR(S29="強力買進",S29="買進",S29="未估值")),"收支不足",S29))</f>
        <v/>
      </c>
      <c r="AJ29">
        <f>IF(Q29&gt;0.5,"大於 50%",IF(Q29&gt;0.25,"25%–50%",IF(Q29&gt;=0,"0%–25%",IF(Q29&gt;=-0.25,"0%～−25%",IF(Q29&gt;=-0.5,"−25%～−50%","小於 −50%")))))</f>
        <v/>
      </c>
      <c r="AK29" s="1" t="inlineStr">
        <is>
          <t>上檔空間 alchip/dist/20261025_世芯-KY模型_v0.1.xlsx Val!B42；投資建議：模型尚未補列，依 AI半導體 固定規則自算；級距：模型尚未補列，依 AI半導體 固定規則自算</t>
        </is>
      </c>
    </row>
    <row r="30">
      <c r="A30" t="inlineStr">
        <is>
          <t>3443</t>
        </is>
      </c>
      <c r="B30" t="inlineStr">
        <is>
          <t>創意</t>
        </is>
      </c>
      <c r="C30">
        <f>價值鏈!A5</f>
        <v/>
      </c>
      <c r="D30" t="inlineStr">
        <is>
          <t>運算</t>
        </is>
      </c>
      <c r="E30" t="inlineStr">
        <is>
          <t>加權目標價（DCF 50%＋Comparable 50%）</t>
        </is>
      </c>
      <c r="F30" s="4" t="n">
        <v>2879.20410090305</v>
      </c>
      <c r="G30" t="inlineStr">
        <is>
          <t>guc/dist/20261025_創意模型_v0.1.xlsx Val!B39</t>
        </is>
      </c>
      <c r="J30" s="4" t="n">
        <v>662.1199432503749</v>
      </c>
      <c r="K30" t="inlineStr">
        <is>
          <t>guc/dist/20261025_創意模型_v0.1.xlsx Val!D23</t>
        </is>
      </c>
      <c r="N30">
        <f>價格!H30</f>
        <v/>
      </c>
      <c r="O30">
        <f>MIN(F30,H30)</f>
        <v/>
      </c>
      <c r="P30">
        <f>MIN(J30,L30)</f>
        <v/>
      </c>
      <c r="Q30" s="4" t="n">
        <v>-0.6204081607247141</v>
      </c>
      <c r="R30">
        <f>P30/N30-1</f>
        <v/>
      </c>
      <c r="S30">
        <f>IF(Q30&gt;0.5,"強力買進",IF(Q30&gt;0.25,"買進",IF(Q30&gt;=-0.25,"中立",IF(Q30&gt;=-0.5,"放空","強力放空"))))</f>
        <v/>
      </c>
      <c r="V30" t="inlineStr">
        <is>
          <t>38.4 ／ 66.9 ／ 150.3</t>
        </is>
      </c>
      <c r="W30" s="1" t="inlineStr">
        <is>
          <t>DCF 目標價 2,237.7（Val!B24）；Comparable 目標價 3,520.7（Val!B40）；市場共識目標價 6,722.4（Val!B41，外部、僅供對照）；價格帶 C～A 情境 DCF 662.1～3,747.5</t>
        </is>
      </c>
      <c r="Z30">
        <f>IF(ISNUMBER(價格!C30),價格!H30/價格!C30-1,"")</f>
        <v/>
      </c>
      <c r="AA30">
        <f>IF(Z30="","",IF(ABS(Z30)&gt;0.2,"模型尚未反映期間變化",""))</f>
        <v/>
      </c>
      <c r="AB30" t="inlineStr">
        <is>
          <t>淨利</t>
        </is>
      </c>
      <c r="AC30" t="inlineStr">
        <is>
          <t>PL 頁各情境模型年度淨利（不含實績）</t>
        </is>
      </c>
      <c r="AD30" t="inlineStr">
        <is>
          <t>19 個情境年度淨利（不含實績），全部為正</t>
        </is>
      </c>
      <c r="AE30" s="4" t="n">
        <v>342.4490553861288</v>
      </c>
      <c r="AF30" s="4" t="n">
        <v>6.09163501040108</v>
      </c>
      <c r="AG30" t="inlineStr">
        <is>
          <t>[Derived] guc/dist/20261025_創意模型_v0.1.xlsx PL!D13…PL!J41</t>
        </is>
      </c>
      <c r="AH30">
        <f>IF(AB30="淨利",IF(AF30&gt;0,"通過（淨利）","不通過"),IF(AE30&lt;0,"不通過","通過（現金流）"))</f>
        <v/>
      </c>
      <c r="AI30">
        <f>IF(S30="未上市","未上市",IF(AND(AH30="不通過",OR(S30="強力買進",S30="買進",S30="未估值")),"收支不足",S30))</f>
        <v/>
      </c>
      <c r="AJ30">
        <f>IF(Q30&gt;0.5,"大於 50%",IF(Q30&gt;0.25,"25%–50%",IF(Q30&gt;=0,"0%–25%",IF(Q30&gt;=-0.25,"0%～−25%",IF(Q30&gt;=-0.5,"−25%～−50%","小於 −50%")))))</f>
        <v/>
      </c>
      <c r="AK30" s="1" t="inlineStr">
        <is>
          <t>上檔空間 guc/dist/20261025_創意模型_v0.1.xlsx Val!B42；投資建議：模型尚未補列，依 AI半導體 固定規則自算；級距：模型尚未補列，依 AI半導體 固定規則自算</t>
        </is>
      </c>
    </row>
    <row r="31">
      <c r="A31" t="inlineStr">
        <is>
          <t>285A</t>
        </is>
      </c>
      <c r="B31" t="inlineStr">
        <is>
          <t>Kioxia</t>
        </is>
      </c>
      <c r="C31">
        <f>價值鏈!A6</f>
        <v/>
      </c>
      <c r="D31" t="inlineStr">
        <is>
          <t>記憶體</t>
        </is>
      </c>
      <c r="E31" t="inlineStr">
        <is>
          <t>加權目標價（DCF 50%＋Comparable 50%）</t>
        </is>
      </c>
      <c r="F31" s="4" t="n">
        <v>22268.387890365</v>
      </c>
      <c r="G31" t="inlineStr">
        <is>
          <t>kioxia/dist/20261025_Kioxia模型_v0.1.xlsx Val!B49</t>
        </is>
      </c>
      <c r="J31" s="4" t="n">
        <v>8694.574447047809</v>
      </c>
      <c r="K31" t="inlineStr">
        <is>
          <t>kioxia/dist/20261025_Kioxia模型_v0.1.xlsx Val!D23</t>
        </is>
      </c>
      <c r="N31">
        <f>價格!H31</f>
        <v/>
      </c>
      <c r="O31">
        <f>MIN(F31,H31)</f>
        <v/>
      </c>
      <c r="P31">
        <f>MIN(J31,L31)</f>
        <v/>
      </c>
      <c r="Q31" s="4" t="n">
        <v>0.745855577449238</v>
      </c>
      <c r="R31">
        <f>P31/N31-1</f>
        <v/>
      </c>
      <c r="S31" s="4" t="inlineStr">
        <is>
          <t>強力買進</t>
        </is>
      </c>
      <c r="T31">
        <f>13291.9681066088/N31-1</f>
        <v/>
      </c>
      <c r="U31" t="inlineStr">
        <is>
          <t>舊法：規則值情境加權價（參考，Val!B155）</t>
        </is>
      </c>
      <c r="V31" t="inlineStr">
        <is>
          <t>2.2 ／ 8.8 ／ 21.3</t>
        </is>
      </c>
      <c r="W31" s="1" t="inlineStr">
        <is>
          <t>DCF 目標價 24,180.1（Val!B24）；Comparable 目標價 20,356.7（Val!B50）；市場共識目標價 36,929.2（Val!B51，外部、僅供對照）；價格帶 C～A 情境 DCF 8,694.6～45,985.8</t>
        </is>
      </c>
      <c r="Z31">
        <f>IF(ISNUMBER(價格!C31),價格!H31/價格!C31-1,"")</f>
        <v/>
      </c>
      <c r="AA31">
        <f>IF(Z31="","",IF(ABS(Z31)&gt;0.2,"模型尚未反映期間變化",""))</f>
        <v/>
      </c>
      <c r="AB31" t="inlineStr">
        <is>
          <t>淨利</t>
        </is>
      </c>
      <c r="AC31" t="inlineStr">
        <is>
          <t>PL 頁各情境模型年度淨利（不含實績）</t>
        </is>
      </c>
      <c r="AD31" t="inlineStr">
        <is>
          <t>22 個情境年度淨利（不含實績），全部為正</t>
        </is>
      </c>
      <c r="AE31" s="4" t="n">
        <v>76685.97111484918</v>
      </c>
      <c r="AF31" s="4" t="n">
        <v>887.008999145095</v>
      </c>
      <c r="AG31" t="inlineStr">
        <is>
          <t>[Derived] kioxia/dist/20261025_Kioxia模型_v0.1.xlsx PL!D9…PL!G123</t>
        </is>
      </c>
      <c r="AH31">
        <f>IF(AB31="淨利",IF(AF31&gt;0,"通過（淨利）","不通過"),IF(AE31&lt;0,"不通過","通過（現金流）"))</f>
        <v/>
      </c>
      <c r="AI31">
        <f>IF(S31="未上市","未上市",IF(AND(AH31="不通過",OR(S31="強力買進",S31="買進",S31="未估值")),"收支不足",S31))</f>
        <v/>
      </c>
      <c r="AJ31" s="4" t="inlineStr">
        <is>
          <t>大於 50%</t>
        </is>
      </c>
      <c r="AK31" s="1" t="inlineStr">
        <is>
          <t>上檔空間 kioxia/dist/20261025_Kioxia模型_v0.1.xlsx Val!B52；投資建議 kioxia/dist/20261025_Kioxia模型_v0.1.xlsx Val!B55；級距 kioxia/dist/20261025_Kioxia模型_v0.1.xlsx Val!B54</t>
        </is>
      </c>
    </row>
    <row r="32">
      <c r="A32" t="inlineStr">
        <is>
          <t>SNDK</t>
        </is>
      </c>
      <c r="B32" t="inlineStr">
        <is>
          <t>SanDisk</t>
        </is>
      </c>
      <c r="C32">
        <f>價值鏈!A6</f>
        <v/>
      </c>
      <c r="D32" t="inlineStr">
        <is>
          <t>記憶體</t>
        </is>
      </c>
      <c r="E32" t="inlineStr">
        <is>
          <t>加權目標價（DCF 50%＋Comparable 50%）</t>
        </is>
      </c>
      <c r="F32" s="4" t="n">
        <v>952.858954177605</v>
      </c>
      <c r="G32" t="inlineStr">
        <is>
          <t>sndk/dist/20261025_SanDisk模型_v0.1.xlsx Val!B49</t>
        </is>
      </c>
      <c r="J32" s="4" t="n">
        <v>492.984401359775</v>
      </c>
      <c r="K32" t="inlineStr">
        <is>
          <t>sndk/dist/20261025_SanDisk模型_v0.1.xlsx Val!D23</t>
        </is>
      </c>
      <c r="N32">
        <f>價格!H32</f>
        <v/>
      </c>
      <c r="O32">
        <f>MIN(F32,H32)</f>
        <v/>
      </c>
      <c r="P32">
        <f>MIN(J32,L32)</f>
        <v/>
      </c>
      <c r="Q32" s="4" t="n">
        <v>-0.230342597370335</v>
      </c>
      <c r="R32">
        <f>P32/N32-1</f>
        <v/>
      </c>
      <c r="S32" s="4" t="inlineStr">
        <is>
          <t>中立</t>
        </is>
      </c>
      <c r="T32">
        <f>456.06461830986/N32-1</f>
        <v/>
      </c>
      <c r="U32" t="inlineStr">
        <is>
          <t>舊法：規則值情境加權價（參考，Val!B155）</t>
        </is>
      </c>
      <c r="V32" t="inlineStr">
        <is>
          <t>3.6 ／ 5.6 ／ 6.3</t>
        </is>
      </c>
      <c r="W32" s="1" t="inlineStr">
        <is>
          <t>DCF 目標價 1,139.2（Val!B24）；Comparable 目標價 766.6（Val!B50）；市場共識目標價 2,144.0（Val!B51，外部、僅供對照）；價格帶 C～A 情境 DCF 493.0～2,275.1</t>
        </is>
      </c>
      <c r="Z32">
        <f>IF(ISNUMBER(價格!C32),價格!H32/價格!C32-1,"")</f>
        <v/>
      </c>
      <c r="AA32">
        <f>IF(Z32="","",IF(ABS(Z32)&gt;0.2,"模型尚未反映期間變化",""))</f>
        <v/>
      </c>
      <c r="AB32" t="inlineStr">
        <is>
          <t>淨利</t>
        </is>
      </c>
      <c r="AC32" t="inlineStr">
        <is>
          <t>PL 頁各情境模型年度淨利（不含實績）</t>
        </is>
      </c>
      <c r="AD32" t="inlineStr">
        <is>
          <t>12 個情境年度淨利（不含實績），全部為正</t>
        </is>
      </c>
      <c r="AE32" s="4" t="n">
        <v>287.879028604861</v>
      </c>
      <c r="AF32" s="4" t="n">
        <v>3.615</v>
      </c>
      <c r="AG32" t="inlineStr">
        <is>
          <t>[Derived] sndk/dist/20261025_SanDisk模型_v0.1.xlsx PL!E9…PL!G51</t>
        </is>
      </c>
      <c r="AH32">
        <f>IF(AB32="淨利",IF(AF32&gt;0,"通過（淨利）","不通過"),IF(AE32&lt;0,"不通過","通過（現金流）"))</f>
        <v/>
      </c>
      <c r="AI32">
        <f>IF(S32="未上市","未上市",IF(AND(AH32="不通過",OR(S32="強力買進",S32="買進",S32="未估值")),"收支不足",S32))</f>
        <v/>
      </c>
      <c r="AJ32" s="4" t="inlineStr">
        <is>
          <t>0%～−25%</t>
        </is>
      </c>
      <c r="AK32" s="1" t="inlineStr">
        <is>
          <t>上檔空間 sndk/dist/20261025_SanDisk模型_v0.1.xlsx Val!B52；投資建議 sndk/dist/20261025_SanDisk模型_v0.1.xlsx Val!B55；級距 sndk/dist/20261025_SanDisk模型_v0.1.xlsx Val!B54</t>
        </is>
      </c>
    </row>
    <row r="33">
      <c r="A33" t="inlineStr">
        <is>
          <t>COHR</t>
        </is>
      </c>
      <c r="B33" t="inlineStr">
        <is>
          <t>Coherent</t>
        </is>
      </c>
      <c r="C33">
        <f>價值鏈!A7</f>
        <v/>
      </c>
      <c r="D33" t="inlineStr">
        <is>
          <t>網通</t>
        </is>
      </c>
      <c r="E33" t="inlineStr">
        <is>
          <t>加權目標價（DCF 50%＋Comparable 50%）</t>
        </is>
      </c>
      <c r="F33" s="4" t="n">
        <v>322.275820410306</v>
      </c>
      <c r="G33" t="inlineStr">
        <is>
          <t>cohr/dist/20261025_Coherent模型_v0.2.xlsx Val!B39</t>
        </is>
      </c>
      <c r="J33" s="4" t="n">
        <v>126.539219389886</v>
      </c>
      <c r="K33" t="inlineStr">
        <is>
          <t>cohr/dist/20261025_Coherent模型_v0.2.xlsx Val!D23</t>
        </is>
      </c>
      <c r="N33">
        <f>價格!H33</f>
        <v/>
      </c>
      <c r="O33">
        <f>MIN(F33,H33)</f>
        <v/>
      </c>
      <c r="P33">
        <f>MIN(J33,L33)</f>
        <v/>
      </c>
      <c r="Q33" s="4" t="n">
        <v>0.540736340824717</v>
      </c>
      <c r="R33">
        <f>P33/N33-1</f>
        <v/>
      </c>
      <c r="S33">
        <f>IF(Q33&gt;0.5,"強力買進",IF(Q33&gt;0.25,"買進",IF(Q33&gt;=-0.25,"中立",IF(Q33&gt;=-0.5,"放空","強力放空"))))</f>
        <v/>
      </c>
      <c r="T33">
        <f>319.789455314265/N33-1</f>
        <v/>
      </c>
      <c r="U33" t="inlineStr">
        <is>
          <t>舊法：規則值情境加權價（參考，Val!B53）</t>
        </is>
      </c>
      <c r="V33" t="inlineStr">
        <is>
          <t>14.3 ／ 15.5 ／ 17.0</t>
        </is>
      </c>
      <c r="W33" s="1" t="inlineStr">
        <is>
          <t>DCF 目標價 206.3（Val!B24）；Comparable 目標價 438.2（Val!B40）；市場共識目標價 394.8（Val!B41，外部、僅供對照）；價格帶 C～A 情境 DCF 126.5～272.6</t>
        </is>
      </c>
      <c r="Z33">
        <f>IF(ISNUMBER(價格!C33),價格!H33/價格!C33-1,"")</f>
        <v/>
      </c>
      <c r="AA33">
        <f>IF(Z33="","",IF(ABS(Z33)&gt;0.2,"模型尚未反映期間變化",""))</f>
        <v/>
      </c>
      <c r="AB33" t="inlineStr">
        <is>
          <t>淨利</t>
        </is>
      </c>
      <c r="AC33" t="inlineStr">
        <is>
          <t>PL 頁各情境模型年度淨利（不含實績）</t>
        </is>
      </c>
      <c r="AD33" t="inlineStr">
        <is>
          <t>16 個情境年度淨利（不含實績），全部為正</t>
        </is>
      </c>
      <c r="AE33" s="4" t="n">
        <v>51.46480793420181</v>
      </c>
      <c r="AF33" s="4" t="n">
        <v>2.07656731774848</v>
      </c>
      <c r="AG33" t="inlineStr">
        <is>
          <t>[Derived] cohr/dist/20261025_Coherent模型_v0.2.xlsx PL!E13…PL!J39</t>
        </is>
      </c>
      <c r="AH33">
        <f>IF(AB33="淨利",IF(AF33&gt;0,"通過（淨利）","不通過"),IF(AE33&lt;0,"不通過","通過（現金流）"))</f>
        <v/>
      </c>
      <c r="AI33">
        <f>IF(S33="未上市","未上市",IF(AND(AH33="不通過",OR(S33="強力買進",S33="買進",S33="未估值")),"收支不足",S33))</f>
        <v/>
      </c>
      <c r="AJ33">
        <f>IF(Q33&gt;0.5,"大於 50%",IF(Q33&gt;0.25,"25%–50%",IF(Q33&gt;=0,"0%–25%",IF(Q33&gt;=-0.25,"0%～−25%",IF(Q33&gt;=-0.5,"−25%～−50%","小於 −50%")))))</f>
        <v/>
      </c>
      <c r="AK33" s="1" t="inlineStr">
        <is>
          <t>上檔空間 cohr/dist/20261025_Coherent模型_v0.2.xlsx Val!B42；投資建議：模型尚未補列，依 AI半導體 固定規則自算；級距：模型尚未補列，依 AI半導體 固定規則自算</t>
        </is>
      </c>
    </row>
    <row r="34">
      <c r="A34" t="inlineStr">
        <is>
          <t>LITE</t>
        </is>
      </c>
      <c r="B34" t="inlineStr">
        <is>
          <t>Lumentum</t>
        </is>
      </c>
      <c r="C34">
        <f>價值鏈!A7</f>
        <v/>
      </c>
      <c r="D34" t="inlineStr">
        <is>
          <t>網通</t>
        </is>
      </c>
      <c r="E34" t="inlineStr">
        <is>
          <t>加權目標價（DCF 50%＋Comparable 50%）</t>
        </is>
      </c>
      <c r="F34" s="4" t="n">
        <v>611.903536008153</v>
      </c>
      <c r="G34" t="inlineStr">
        <is>
          <t>lite/dist/20261025_Lumentum模型_v0.2.xlsx Val!B39</t>
        </is>
      </c>
      <c r="J34" s="4" t="n">
        <v>216.979769703727</v>
      </c>
      <c r="K34" t="inlineStr">
        <is>
          <t>lite/dist/20261025_Lumentum模型_v0.2.xlsx Val!D23</t>
        </is>
      </c>
      <c r="N34">
        <f>價格!H34</f>
        <v/>
      </c>
      <c r="O34">
        <f>MIN(F34,H34)</f>
        <v/>
      </c>
      <c r="P34">
        <f>MIN(J34,L34)</f>
        <v/>
      </c>
      <c r="Q34" s="4" t="n">
        <v>-0.190785754515317</v>
      </c>
      <c r="R34">
        <f>P34/N34-1</f>
        <v/>
      </c>
      <c r="S34">
        <f>IF(Q34&gt;0.5,"強力買進",IF(Q34&gt;0.25,"買進",IF(Q34&gt;=-0.25,"中立",IF(Q34&gt;=-0.5,"放空","強力放空"))))</f>
        <v/>
      </c>
      <c r="T34">
        <f>409.473484390874/N34-1</f>
        <v/>
      </c>
      <c r="U34" t="inlineStr">
        <is>
          <t>舊法：規則值情境加權價（參考，Val!B53）</t>
        </is>
      </c>
      <c r="V34" t="inlineStr">
        <is>
          <t>24.1 ／ 26.6 ／ 29.7</t>
        </is>
      </c>
      <c r="W34" s="1" t="inlineStr">
        <is>
          <t>DCF 目標價 375.8（Val!B24）；Comparable 目標價 848.1（Val!B40）；市場共識目標價 1,165.0（Val!B41，外部、僅供對照）；價格帶 C～A 情境 DCF 217.0～508.3</t>
        </is>
      </c>
      <c r="Z34">
        <f>IF(ISNUMBER(價格!C34),價格!H34/價格!C34-1,"")</f>
        <v/>
      </c>
      <c r="AA34">
        <f>IF(Z34="","",IF(ABS(Z34)&gt;0.2,"模型尚未反映期間變化",""))</f>
        <v/>
      </c>
      <c r="AB34" t="inlineStr">
        <is>
          <t>淨利</t>
        </is>
      </c>
      <c r="AC34" t="inlineStr">
        <is>
          <t>PL 頁各情境模型年度淨利（不含實績）</t>
        </is>
      </c>
      <c r="AD34" t="inlineStr">
        <is>
          <t>16 個情境年度淨利（不含實績），全部為正</t>
        </is>
      </c>
      <c r="AE34" s="4" t="n">
        <v>48.07362009652756</v>
      </c>
      <c r="AF34" s="4" t="n">
        <v>1.70727274119044</v>
      </c>
      <c r="AG34" t="inlineStr">
        <is>
          <t>[Derived] lite/dist/20261025_Lumentum模型_v0.2.xlsx PL!E13…PL!J39</t>
        </is>
      </c>
      <c r="AH34">
        <f>IF(AB34="淨利",IF(AF34&gt;0,"通過（淨利）","不通過"),IF(AE34&lt;0,"不通過","通過（現金流）"))</f>
        <v/>
      </c>
      <c r="AI34">
        <f>IF(S34="未上市","未上市",IF(AND(AH34="不通過",OR(S34="強力買進",S34="買進",S34="未估值")),"收支不足",S34))</f>
        <v/>
      </c>
      <c r="AJ34">
        <f>IF(Q34&gt;0.5,"大於 50%",IF(Q34&gt;0.25,"25%–50%",IF(Q34&gt;=0,"0%–25%",IF(Q34&gt;=-0.25,"0%～−25%",IF(Q34&gt;=-0.5,"−25%～−50%","小於 −50%")))))</f>
        <v/>
      </c>
      <c r="AK34" s="1" t="inlineStr">
        <is>
          <t>上檔空間 lite/dist/20261025_Lumentum模型_v0.2.xlsx Val!B42；投資建議：模型尚未補列，依 AI半導體 固定規則自算；級距：模型尚未補列，依 AI半導體 固定規則自算</t>
        </is>
      </c>
    </row>
    <row r="35">
      <c r="A35" t="inlineStr">
        <is>
          <t>300502</t>
        </is>
      </c>
      <c r="B35" t="inlineStr">
        <is>
          <t>新易盛</t>
        </is>
      </c>
      <c r="C35">
        <f>價值鏈!A7</f>
        <v/>
      </c>
      <c r="D35" t="inlineStr">
        <is>
          <t>網通</t>
        </is>
      </c>
      <c r="E35" t="inlineStr">
        <is>
          <t>加權目標價（DCF 50%＋Comparable 50%）</t>
        </is>
      </c>
      <c r="F35" s="4" t="n">
        <v>797.810166290206</v>
      </c>
      <c r="G35" t="inlineStr">
        <is>
          <t>eoptolink/dist/20261025_新易盛模型_v0.2.xlsx Val!B39</t>
        </is>
      </c>
      <c r="J35" s="4" t="n">
        <v>304.979041887906</v>
      </c>
      <c r="K35" t="inlineStr">
        <is>
          <t>eoptolink/dist/20261025_新易盛模型_v0.2.xlsx Val!D23</t>
        </is>
      </c>
      <c r="N35">
        <f>價格!H35</f>
        <v/>
      </c>
      <c r="O35">
        <f>MIN(F35,H35)</f>
        <v/>
      </c>
      <c r="P35">
        <f>MIN(J35,L35)</f>
        <v/>
      </c>
      <c r="Q35" s="4" t="n">
        <v>2.05674393214638</v>
      </c>
      <c r="R35">
        <f>P35/N35-1</f>
        <v/>
      </c>
      <c r="S35">
        <f>IF(Q35&gt;0.5,"強力買進",IF(Q35&gt;0.25,"買進",IF(Q35&gt;=-0.25,"中立",IF(Q35&gt;=-0.5,"放空","強力放空"))))</f>
        <v/>
      </c>
      <c r="T35">
        <f>1150.67817266164/N35-1</f>
        <v/>
      </c>
      <c r="U35" t="inlineStr">
        <is>
          <t>舊法：規則值情境加權價（參考，Val!B53）</t>
        </is>
      </c>
      <c r="V35" t="inlineStr">
        <is>
          <t>9.0 ／ 11.4 ／ 15.6</t>
        </is>
      </c>
      <c r="W35" s="1" t="inlineStr">
        <is>
          <t>DCF 目標價 516.2（Val!B24）；Comparable 目標價 1,079.4（Val!B40）；市場共識目標價 460.9（Val!B41，外部、僅供對照）；價格帶 C～A 情境 DCF 305.0～652.7</t>
        </is>
      </c>
      <c r="Z35">
        <f>IF(ISNUMBER(價格!C35),價格!H35/價格!C35-1,"")</f>
        <v/>
      </c>
      <c r="AA35">
        <f>IF(Z35="","",IF(ABS(Z35)&gt;0.2,"模型尚未反映期間變化",""))</f>
        <v/>
      </c>
      <c r="AB35" t="inlineStr">
        <is>
          <t>淨利</t>
        </is>
      </c>
      <c r="AC35" t="inlineStr">
        <is>
          <t>PL 頁各情境模型年度淨利（不含實績）</t>
        </is>
      </c>
      <c r="AD35" t="inlineStr">
        <is>
          <t>17 個情境年度淨利（不含實績），全部為正</t>
        </is>
      </c>
      <c r="AE35" s="4" t="n">
        <v>721.2419002987186</v>
      </c>
      <c r="AF35" s="4" t="n">
        <v>20.0605180178692</v>
      </c>
      <c r="AG35" t="inlineStr">
        <is>
          <t>[Derived] eoptolink/dist/20261025_新易盛模型_v0.2.xlsx PL!D12…PL!J36</t>
        </is>
      </c>
      <c r="AH35">
        <f>IF(AB35="淨利",IF(AF35&gt;0,"通過（淨利）","不通過"),IF(AE35&lt;0,"不通過","通過（現金流）"))</f>
        <v/>
      </c>
      <c r="AI35">
        <f>IF(S35="未上市","未上市",IF(AND(AH35="不通過",OR(S35="強力買進",S35="買進",S35="未估值")),"收支不足",S35))</f>
        <v/>
      </c>
      <c r="AJ35">
        <f>IF(Q35&gt;0.5,"大於 50%",IF(Q35&gt;0.25,"25%–50%",IF(Q35&gt;=0,"0%–25%",IF(Q35&gt;=-0.25,"0%～−25%",IF(Q35&gt;=-0.5,"−25%～−50%","小於 −50%")))))</f>
        <v/>
      </c>
      <c r="AK35" s="1" t="inlineStr">
        <is>
          <t>上檔空間 eoptolink/dist/20261025_新易盛模型_v0.2.xlsx Val!B42；投資建議：模型尚未補列，依 AI半導體 固定規則自算；級距：模型尚未補列，依 AI半導體 固定規則自算</t>
        </is>
      </c>
    </row>
    <row r="36">
      <c r="A36" t="inlineStr">
        <is>
          <t>2345</t>
        </is>
      </c>
      <c r="B36" t="inlineStr">
        <is>
          <t>智邦</t>
        </is>
      </c>
      <c r="C36">
        <f>價值鏈!A7</f>
        <v/>
      </c>
      <c r="D36" t="inlineStr">
        <is>
          <t>網通</t>
        </is>
      </c>
      <c r="E36" t="inlineStr">
        <is>
          <t>加權目標價（DCF 50%＋Comparable 50%）</t>
        </is>
      </c>
      <c r="F36" s="4" t="n">
        <v>2275.03974290026</v>
      </c>
      <c r="G36" t="inlineStr">
        <is>
          <t>accton/dist/20261025_智邦模型_v0.2.xlsx Val!B39</t>
        </is>
      </c>
      <c r="J36" s="4" t="n">
        <v>1519.31098875966</v>
      </c>
      <c r="K36" t="inlineStr">
        <is>
          <t>accton/dist/20261025_智邦模型_v0.2.xlsx Val!B46</t>
        </is>
      </c>
      <c r="N36">
        <f>價格!H36</f>
        <v/>
      </c>
      <c r="O36">
        <f>MIN(F36,H36)</f>
        <v/>
      </c>
      <c r="P36">
        <f>MIN(J36,L36)</f>
        <v/>
      </c>
      <c r="Q36" s="4" t="n">
        <v>0.281712531211416</v>
      </c>
      <c r="R36">
        <f>P36/N36-1</f>
        <v/>
      </c>
      <c r="S36">
        <f>IF(Q36&gt;0.5,"強力買進",IF(Q36&gt;0.25,"買進",IF(Q36&gt;=-0.25,"中立",IF(Q36&gt;=-0.5,"放空","強力放空"))))</f>
        <v/>
      </c>
      <c r="T36">
        <f>3452.51414467191/N36-1</f>
        <v/>
      </c>
      <c r="U36" t="inlineStr">
        <is>
          <t>舊法：規則值情境加權價（參考，Val!B56）</t>
        </is>
      </c>
      <c r="V36" t="inlineStr">
        <is>
          <t>10.5 ／ 13.3 ／ 18.5</t>
        </is>
      </c>
      <c r="W36" s="1" t="inlineStr">
        <is>
          <t>DCF 目標價 2,583.7（Val!B23）；Comparable 目標價 1,966.4（Val!B40）；市場共識目標價 3,500.0（Val!B41，外部、僅供對照）；價格帶 C～A 情境 DCF 1,519.3～3,280.3</t>
        </is>
      </c>
      <c r="Z36">
        <f>IF(ISNUMBER(價格!C36),價格!H36/價格!C36-1,"")</f>
        <v/>
      </c>
      <c r="AA36">
        <f>IF(Z36="","",IF(ABS(Z36)&gt;0.2,"模型尚未反映期間變化",""))</f>
        <v/>
      </c>
      <c r="AB36" t="inlineStr">
        <is>
          <t>淨利</t>
        </is>
      </c>
      <c r="AC36" t="inlineStr">
        <is>
          <t>PL 頁各情境模型年度淨利（不含實績）</t>
        </is>
      </c>
      <c r="AD36" t="inlineStr">
        <is>
          <t>8 個情境年度淨利（不含實績），全部為正</t>
        </is>
      </c>
      <c r="AE36" s="4" t="n">
        <v>624.9476316168748</v>
      </c>
      <c r="AF36" s="4" t="n">
        <v>47.8258552</v>
      </c>
      <c r="AG36" t="inlineStr">
        <is>
          <t>[Derived] accton/dist/20261025_智邦模型_v0.2.xlsx PL!D13…PL!G39</t>
        </is>
      </c>
      <c r="AH36">
        <f>IF(AB36="淨利",IF(AF36&gt;0,"通過（淨利）","不通過"),IF(AE36&lt;0,"不通過","通過（現金流）"))</f>
        <v/>
      </c>
      <c r="AI36">
        <f>IF(S36="未上市","未上市",IF(AND(AH36="不通過",OR(S36="強力買進",S36="買進",S36="未估值")),"收支不足",S36))</f>
        <v/>
      </c>
      <c r="AJ36">
        <f>IF(Q36&gt;0.5,"大於 50%",IF(Q36&gt;0.25,"25%–50%",IF(Q36&gt;=0,"0%–25%",IF(Q36&gt;=-0.25,"0%～−25%",IF(Q36&gt;=-0.5,"−25%～−50%","小於 −50%")))))</f>
        <v/>
      </c>
      <c r="AK36" s="1" t="inlineStr">
        <is>
          <t>上檔空間 accton/dist/20261025_智邦模型_v0.2.xlsx Val!B42；投資建議：模型尚未補列，依 AI半導體 固定規則自算；級距：模型尚未補列，依 AI半導體 固定規則自算</t>
        </is>
      </c>
    </row>
    <row r="37">
      <c r="A37" t="inlineStr">
        <is>
          <t>FN</t>
        </is>
      </c>
      <c r="B37" t="inlineStr">
        <is>
          <t>Fabrinet</t>
        </is>
      </c>
      <c r="C37">
        <f>價值鏈!A7</f>
        <v/>
      </c>
      <c r="D37" t="inlineStr">
        <is>
          <t>網通</t>
        </is>
      </c>
      <c r="E37" t="inlineStr">
        <is>
          <t>加權目標價（DCF 50%＋Comparable 50%）</t>
        </is>
      </c>
      <c r="F37" s="4" t="n">
        <v>360.601895050031</v>
      </c>
      <c r="G37" t="inlineStr">
        <is>
          <t>fabrinet/dist/20261025_Fabrinet模型_v0.1.xlsx Val!B39</t>
        </is>
      </c>
      <c r="J37" s="4" t="n">
        <v>164.552284506867</v>
      </c>
      <c r="K37" t="inlineStr">
        <is>
          <t>fabrinet/dist/20261025_Fabrinet模型_v0.1.xlsx Val!D23</t>
        </is>
      </c>
      <c r="N37">
        <f>價格!H37</f>
        <v/>
      </c>
      <c r="O37">
        <f>MIN(F37,H37)</f>
        <v/>
      </c>
      <c r="P37">
        <f>MIN(J37,L37)</f>
        <v/>
      </c>
      <c r="Q37" s="4" t="n">
        <v>0.144986013367724</v>
      </c>
      <c r="R37">
        <f>P37/N37-1</f>
        <v/>
      </c>
      <c r="S37">
        <f>IF(Q37&gt;0.5,"強力買進",IF(Q37&gt;0.25,"買進",IF(Q37&gt;=-0.25,"中立",IF(Q37&gt;=-0.5,"放空","強力放空"))))</f>
        <v/>
      </c>
      <c r="T37">
        <f>406.817486657285/N37-1</f>
        <v/>
      </c>
      <c r="U37" t="inlineStr">
        <is>
          <t>舊法：規則值情境加權價（參考，Val!B53）</t>
        </is>
      </c>
      <c r="V37" t="inlineStr">
        <is>
          <t>11.7 ／ 14.3 ／ 18.1</t>
        </is>
      </c>
      <c r="W37" s="1" t="inlineStr">
        <is>
          <t>DCF 目標價 332.2（Val!B24）；Comparable 目標價 389.0（Val!B40）；市場共識目標價 687.8（Val!B41，外部、僅供對照）；價格帶 C～A 情境 DCF 164.6～505.0</t>
        </is>
      </c>
      <c r="Z37">
        <f>IF(ISNUMBER(價格!C37),價格!H37/價格!C37-1,"")</f>
        <v/>
      </c>
      <c r="AA37">
        <f>IF(Z37="","",IF(ABS(Z37)&gt;0.2,"模型尚未反映期間變化",""))</f>
        <v/>
      </c>
      <c r="AB37" t="inlineStr">
        <is>
          <t>淨利</t>
        </is>
      </c>
      <c r="AC37" t="inlineStr">
        <is>
          <t>PL 頁各情境模型年度淨利（不含實績）</t>
        </is>
      </c>
      <c r="AD37" t="inlineStr">
        <is>
          <t>18 個情境年度淨利（不含實績），全部為正</t>
        </is>
      </c>
      <c r="AE37" s="4" t="n">
        <v>15.77740453289506</v>
      </c>
      <c r="AF37" s="4" t="n">
        <v>0.452041842422224</v>
      </c>
      <c r="AG37" t="inlineStr">
        <is>
          <t>[Derived] fabrinet/dist/20261025_Fabrinet模型_v0.1.xlsx PL!E15…PL!J45</t>
        </is>
      </c>
      <c r="AH37">
        <f>IF(AB37="淨利",IF(AF37&gt;0,"通過（淨利）","不通過"),IF(AE37&lt;0,"不通過","通過（現金流）"))</f>
        <v/>
      </c>
      <c r="AI37">
        <f>IF(S37="未上市","未上市",IF(AND(AH37="不通過",OR(S37="強力買進",S37="買進",S37="未估值")),"收支不足",S37))</f>
        <v/>
      </c>
      <c r="AJ37">
        <f>IF(Q37&gt;0.5,"大於 50%",IF(Q37&gt;0.25,"25%–50%",IF(Q37&gt;=0,"0%–25%",IF(Q37&gt;=-0.25,"0%～−25%",IF(Q37&gt;=-0.5,"−25%～−50%","小於 −50%")))))</f>
        <v/>
      </c>
      <c r="AK37" s="1" t="inlineStr">
        <is>
          <t>上檔空間 fabrinet/dist/20261025_Fabrinet模型_v0.1.xlsx Val!B42；投資建議：模型尚未補列，依 AI半導體 固定規則自算；級距：模型尚未補列，依 AI半導體 固定規則自算</t>
        </is>
      </c>
    </row>
    <row r="38">
      <c r="A38" t="inlineStr">
        <is>
          <t>CRDO</t>
        </is>
      </c>
      <c r="B38" t="inlineStr">
        <is>
          <t>Credo</t>
        </is>
      </c>
      <c r="C38">
        <f>價值鏈!A7</f>
        <v/>
      </c>
      <c r="D38" t="inlineStr">
        <is>
          <t>網通</t>
        </is>
      </c>
      <c r="E38" t="inlineStr">
        <is>
          <t>加權目標價（DCF 50%＋Comparable 50%）</t>
        </is>
      </c>
      <c r="F38" s="4" t="n">
        <v>195.696397392632</v>
      </c>
      <c r="G38" t="inlineStr">
        <is>
          <t>crdo/dist/20261025_Credo模型_v0.2.xlsx Val!B39</t>
        </is>
      </c>
      <c r="J38" s="4" t="n">
        <v>53.1251226501538</v>
      </c>
      <c r="K38" t="inlineStr">
        <is>
          <t>crdo/dist/20261025_Credo模型_v0.2.xlsx Val!D23</t>
        </is>
      </c>
      <c r="N38">
        <f>價格!H38</f>
        <v/>
      </c>
      <c r="O38">
        <f>MIN(F38,H38)</f>
        <v/>
      </c>
      <c r="P38">
        <f>MIN(J38,L38)</f>
        <v/>
      </c>
      <c r="Q38" s="4" t="n">
        <v>0.328646869391217</v>
      </c>
      <c r="R38">
        <f>P38/N38-1</f>
        <v/>
      </c>
      <c r="S38">
        <f>IF(Q38&gt;0.5,"強力買進",IF(Q38&gt;0.25,"買進",IF(Q38&gt;=-0.25,"中立",IF(Q38&gt;=-0.5,"放空","強力放空"))))</f>
        <v/>
      </c>
      <c r="T38">
        <f>620.46087778403/N38-1</f>
        <v/>
      </c>
      <c r="U38" t="inlineStr">
        <is>
          <t>舊法：規則值情境加權價（參考，Val!B53）</t>
        </is>
      </c>
      <c r="V38" t="inlineStr">
        <is>
          <t>16.0 ／ 17.3 ／ 18.9</t>
        </is>
      </c>
      <c r="W38" s="1" t="inlineStr">
        <is>
          <t>DCF 目標價 101.3（Val!B24）；Comparable 目標價 290.1（Val!B40）；市場共識目標價 279.1（Val!B41，外部、僅供對照）；價格帶 C～A 情境 DCF 53.1～143.4</t>
        </is>
      </c>
      <c r="Z38">
        <f>IF(ISNUMBER(價格!C38),價格!H38/價格!C38-1,"")</f>
        <v/>
      </c>
      <c r="AA38">
        <f>IF(Z38="","",IF(ABS(Z38)&gt;0.2,"模型尚未反映期間變化",""))</f>
        <v/>
      </c>
      <c r="AB38" t="inlineStr">
        <is>
          <t>淨利</t>
        </is>
      </c>
      <c r="AC38" t="inlineStr">
        <is>
          <t>PL 頁各情境模型年度淨利（不含實績）</t>
        </is>
      </c>
      <c r="AD38" t="inlineStr">
        <is>
          <t>16 個情境年度淨利（不含實績），全部為正</t>
        </is>
      </c>
      <c r="AE38" s="4" t="n">
        <v>26.24478412100936</v>
      </c>
      <c r="AF38" s="4" t="n">
        <v>0.791263045056819</v>
      </c>
      <c r="AG38" t="inlineStr">
        <is>
          <t>[Derived] crdo/dist/20261025_Credo模型_v0.2.xlsx PL!E13…PL!J39</t>
        </is>
      </c>
      <c r="AH38">
        <f>IF(AB38="淨利",IF(AF38&gt;0,"通過（淨利）","不通過"),IF(AE38&lt;0,"不通過","通過（現金流）"))</f>
        <v/>
      </c>
      <c r="AI38">
        <f>IF(S38="未上市","未上市",IF(AND(AH38="不通過",OR(S38="強力買進",S38="買進",S38="未估值")),"收支不足",S38))</f>
        <v/>
      </c>
      <c r="AJ38">
        <f>IF(Q38&gt;0.5,"大於 50%",IF(Q38&gt;0.25,"25%–50%",IF(Q38&gt;=0,"0%–25%",IF(Q38&gt;=-0.25,"0%～−25%",IF(Q38&gt;=-0.5,"−25%～−50%","小於 −50%")))))</f>
        <v/>
      </c>
      <c r="AK38" s="1" t="inlineStr">
        <is>
          <t>上檔空間 crdo/dist/20261025_Credo模型_v0.2.xlsx Val!B42；投資建議：模型尚未補列，依 AI半導體 固定規則自算；級距：模型尚未補列，依 AI半導體 固定規則自算</t>
        </is>
      </c>
    </row>
    <row r="39">
      <c r="A39" t="inlineStr">
        <is>
          <t>ALAB</t>
        </is>
      </c>
      <c r="B39" t="inlineStr">
        <is>
          <t>Astera Labs</t>
        </is>
      </c>
      <c r="C39">
        <f>價值鏈!A7</f>
        <v/>
      </c>
      <c r="D39" t="inlineStr">
        <is>
          <t>網通</t>
        </is>
      </c>
      <c r="E39" t="inlineStr">
        <is>
          <t>加權目標價（DCF 50%＋Comparable 50%）</t>
        </is>
      </c>
      <c r="F39" s="4" t="n">
        <v>132.485292978441</v>
      </c>
      <c r="G39" t="inlineStr">
        <is>
          <t>alab/dist/20261025_Astera Labs模型_v0.1.xlsx Val!B39</t>
        </is>
      </c>
      <c r="J39" s="4" t="n">
        <v>52.3189901504964</v>
      </c>
      <c r="K39" t="inlineStr">
        <is>
          <t>alab/dist/20261025_Astera Labs模型_v0.1.xlsx Val!D23</t>
        </is>
      </c>
      <c r="N39">
        <f>價格!H39</f>
        <v/>
      </c>
      <c r="O39">
        <f>MIN(F39,H39)</f>
        <v/>
      </c>
      <c r="P39">
        <f>MIN(J39,L39)</f>
        <v/>
      </c>
      <c r="Q39" s="4" t="n">
        <v>-0.484813761944156</v>
      </c>
      <c r="R39">
        <f>P39/N39-1</f>
        <v/>
      </c>
      <c r="S39">
        <f>IF(Q39&gt;0.5,"強力買進",IF(Q39&gt;0.25,"買進",IF(Q39&gt;=-0.25,"中立",IF(Q39&gt;=-0.5,"放空","強力放空"))))</f>
        <v/>
      </c>
      <c r="T39">
        <f>616.322122932452/N39-1</f>
        <v/>
      </c>
      <c r="U39" t="inlineStr">
        <is>
          <t>舊法：規則值情境加權價（參考，Val!B53）</t>
        </is>
      </c>
      <c r="V39" t="inlineStr">
        <is>
          <t>31.7 ／ 42.0 ／ 71.5</t>
        </is>
      </c>
      <c r="W39" s="1" t="inlineStr">
        <is>
          <t>DCF 目標價 105.3（Val!B24）；Comparable 目標價 159.6（Val!B40）；市場共識目標價 388.4（Val!B41，外部、僅供對照）；價格帶 C～A 情境 DCF 52.3～138.7</t>
        </is>
      </c>
      <c r="Z39">
        <f>IF(ISNUMBER(價格!C39),價格!H39/價格!C39-1,"")</f>
        <v/>
      </c>
      <c r="AA39">
        <f>IF(Z39="","",IF(ABS(Z39)&gt;0.2,"模型尚未反映期間變化",""))</f>
        <v/>
      </c>
      <c r="AB39" t="inlineStr">
        <is>
          <t>淨利</t>
        </is>
      </c>
      <c r="AC39" t="inlineStr">
        <is>
          <t>PL 頁各情境模型年度淨利（不含實績）</t>
        </is>
      </c>
      <c r="AD39" t="inlineStr">
        <is>
          <t>17 個情境年度淨利（不含實績），全部為正</t>
        </is>
      </c>
      <c r="AE39" s="4" t="n">
        <v>22.82233008952841</v>
      </c>
      <c r="AF39" s="4" t="n">
        <v>0.6816759684871539</v>
      </c>
      <c r="AG39" t="inlineStr">
        <is>
          <t>[Derived] alab/dist/20261025_Astera Labs模型_v0.1.xlsx PL!D12…PL!J36</t>
        </is>
      </c>
      <c r="AH39">
        <f>IF(AB39="淨利",IF(AF39&gt;0,"通過（淨利）","不通過"),IF(AE39&lt;0,"不通過","通過（現金流）"))</f>
        <v/>
      </c>
      <c r="AI39">
        <f>IF(S39="未上市","未上市",IF(AND(AH39="不通過",OR(S39="強力買進",S39="買進",S39="未估值")),"收支不足",S39))</f>
        <v/>
      </c>
      <c r="AJ39">
        <f>IF(Q39&gt;0.5,"大於 50%",IF(Q39&gt;0.25,"25%–50%",IF(Q39&gt;=0,"0%–25%",IF(Q39&gt;=-0.25,"0%～−25%",IF(Q39&gt;=-0.5,"−25%～−50%","小於 −50%")))))</f>
        <v/>
      </c>
      <c r="AK39" s="1" t="inlineStr">
        <is>
          <t>上檔空間 alab/dist/20261025_Astera Labs模型_v0.1.xlsx Val!B42；投資建議：模型尚未補列，依 AI半導體 固定規則自算；級距：模型尚未補列，依 AI半導體 固定規則自算</t>
        </is>
      </c>
    </row>
    <row r="40">
      <c r="A40" t="inlineStr">
        <is>
          <t>2449</t>
        </is>
      </c>
      <c r="B40" t="inlineStr">
        <is>
          <t>京元電</t>
        </is>
      </c>
      <c r="C40">
        <f>價值鏈!A8</f>
        <v/>
      </c>
      <c r="D40" t="inlineStr">
        <is>
          <t>代工與封測</t>
        </is>
      </c>
      <c r="E40" t="inlineStr">
        <is>
          <t>加權目標價（DCF 50%＋Comparable 50%）</t>
        </is>
      </c>
      <c r="F40" s="4" t="n">
        <v>173.353091385714</v>
      </c>
      <c r="G40" t="inlineStr">
        <is>
          <t>kyec/dist/20261025_京元電模型_v0.2.xlsx Val!B39</t>
        </is>
      </c>
      <c r="J40" s="4" t="n">
        <v>85.7331075295227</v>
      </c>
      <c r="K40" t="inlineStr">
        <is>
          <t>kyec/dist/20261025_京元電模型_v0.2.xlsx Val!D23</t>
        </is>
      </c>
      <c r="N40">
        <f>價格!H40</f>
        <v/>
      </c>
      <c r="O40">
        <f>MIN(F40,H40)</f>
        <v/>
      </c>
      <c r="P40">
        <f>MIN(J40,L40)</f>
        <v/>
      </c>
      <c r="Q40" s="4" t="n">
        <v>-0.339607270911564</v>
      </c>
      <c r="R40">
        <f>P40/N40-1</f>
        <v/>
      </c>
      <c r="S40">
        <f>IF(Q40&gt;0.5,"強力買進",IF(Q40&gt;0.25,"買進",IF(Q40&gt;=-0.25,"中立",IF(Q40&gt;=-0.5,"放空","強力放空"))))</f>
        <v/>
      </c>
      <c r="V40" t="inlineStr">
        <is>
          <t>23.7 ／ 29.1 ／ 42.5</t>
        </is>
      </c>
      <c r="W40" s="1" t="inlineStr">
        <is>
          <t>DCF 目標價 138.6（Val!B24）；Comparable 目標價 208.1（Val!B40）；市場共識目標價 340.7（Val!B41，外部、僅供對照）；價格帶 C～A 情境 DCF 85.7～170.6</t>
        </is>
      </c>
      <c r="Z40">
        <f>IF(ISNUMBER(價格!C40),價格!H40/價格!C40-1,"")</f>
        <v/>
      </c>
      <c r="AA40">
        <f>IF(Z40="","",IF(ABS(Z40)&gt;0.2,"模型尚未反映期間變化",""))</f>
        <v/>
      </c>
      <c r="AB40" t="inlineStr">
        <is>
          <t>淨利</t>
        </is>
      </c>
      <c r="AC40" t="inlineStr">
        <is>
          <t>PL 頁各情境模型年度淨利（不含實績）</t>
        </is>
      </c>
      <c r="AD40" t="inlineStr">
        <is>
          <t>17 個情境年度淨利（不含實績），全部為正</t>
        </is>
      </c>
      <c r="AE40" s="4" t="n">
        <v>223.5721078945607</v>
      </c>
      <c r="AF40" s="4" t="n">
        <v>7.91566635032308</v>
      </c>
      <c r="AG40" t="inlineStr">
        <is>
          <t>[Derived] kyec/dist/20261025_京元電模型_v0.2.xlsx PL!D14…PL!J42</t>
        </is>
      </c>
      <c r="AH40">
        <f>IF(AB40="淨利",IF(AF40&gt;0,"通過（淨利）","不通過"),IF(AE40&lt;0,"不通過","通過（現金流）"))</f>
        <v/>
      </c>
      <c r="AI40">
        <f>IF(S40="未上市","未上市",IF(AND(AH40="不通過",OR(S40="強力買進",S40="買進",S40="未估值")),"收支不足",S40))</f>
        <v/>
      </c>
      <c r="AJ40">
        <f>IF(Q40&gt;0.5,"大於 50%",IF(Q40&gt;0.25,"25%–50%",IF(Q40&gt;=0,"0%–25%",IF(Q40&gt;=-0.25,"0%～−25%",IF(Q40&gt;=-0.5,"−25%～−50%","小於 −50%")))))</f>
        <v/>
      </c>
      <c r="AK40" s="1" t="inlineStr">
        <is>
          <t>上檔空間 kyec/dist/20261025_京元電模型_v0.2.xlsx Val!B42；投資建議：模型尚未補列，依 AI半導體 固定規則自算；級距：模型尚未補列，依 AI半導體 固定規則自算</t>
        </is>
      </c>
    </row>
    <row r="41">
      <c r="A41" t="inlineStr">
        <is>
          <t>AMKR</t>
        </is>
      </c>
      <c r="B41" t="inlineStr">
        <is>
          <t>Amkor</t>
        </is>
      </c>
      <c r="C41">
        <f>價值鏈!A8</f>
        <v/>
      </c>
      <c r="D41" t="inlineStr">
        <is>
          <t>代工與封測</t>
        </is>
      </c>
      <c r="E41" t="inlineStr">
        <is>
          <t>加權目標價（DCF 50%＋Comparable 50%）</t>
        </is>
      </c>
      <c r="F41" s="4" t="n">
        <v>55.6688470720086</v>
      </c>
      <c r="G41" t="inlineStr">
        <is>
          <t>amkr/dist/20261025_艾克爾模型_v0.2.xlsx Val!B39</t>
        </is>
      </c>
      <c r="J41" s="4" t="n">
        <v>22.0213163292156</v>
      </c>
      <c r="K41" t="inlineStr">
        <is>
          <t>amkr/dist/20261025_艾克爾模型_v0.2.xlsx Val!D23</t>
        </is>
      </c>
      <c r="N41">
        <f>價格!H41</f>
        <v/>
      </c>
      <c r="O41">
        <f>MIN(F41,H41)</f>
        <v/>
      </c>
      <c r="P41">
        <f>MIN(J41,L41)</f>
        <v/>
      </c>
      <c r="Q41" s="4" t="n">
        <v>0.41651010361345</v>
      </c>
      <c r="R41">
        <f>P41/N41-1</f>
        <v/>
      </c>
      <c r="S41">
        <f>IF(Q41&gt;0.5,"強力買進",IF(Q41&gt;0.25,"買進",IF(Q41&gt;=-0.25,"中立",IF(Q41&gt;=-0.5,"放空","強力放空"))))</f>
        <v/>
      </c>
      <c r="V41" t="inlineStr">
        <is>
          <t>9.8 ／ 12.1 ／ 17.0</t>
        </is>
      </c>
      <c r="W41" s="1" t="inlineStr">
        <is>
          <t>DCF 目標價 36.0（Val!B24）；Comparable 目標價 75.3（Val!B40）；市場共識目標價 76.4（Val!B41，外部、僅供對照）；價格帶 C～A 情境 DCF 22.0～48.9</t>
        </is>
      </c>
      <c r="Z41">
        <f>IF(ISNUMBER(價格!C41),價格!H41/價格!C41-1,"")</f>
        <v/>
      </c>
      <c r="AA41">
        <f>IF(Z41="","",IF(ABS(Z41)&gt;0.2,"模型尚未反映期間變化",""))</f>
        <v/>
      </c>
      <c r="AB41" t="inlineStr">
        <is>
          <t>淨利</t>
        </is>
      </c>
      <c r="AC41" t="inlineStr">
        <is>
          <t>PL 頁各情境模型年度淨利（不含實績）</t>
        </is>
      </c>
      <c r="AD41" t="inlineStr">
        <is>
          <t>19 個情境年度淨利（不含實績），全部為正</t>
        </is>
      </c>
      <c r="AE41" s="4" t="n">
        <v>17601.2910409353</v>
      </c>
      <c r="AF41" s="4" t="n">
        <v>579.138472970483</v>
      </c>
      <c r="AG41" t="inlineStr">
        <is>
          <t>[Derived] amkr/dist/20261025_艾克爾模型_v0.2.xlsx PL!D14…PL!J44</t>
        </is>
      </c>
      <c r="AH41">
        <f>IF(AB41="淨利",IF(AF41&gt;0,"通過（淨利）","不通過"),IF(AE41&lt;0,"不通過","通過（現金流）"))</f>
        <v/>
      </c>
      <c r="AI41">
        <f>IF(S41="未上市","未上市",IF(AND(AH41="不通過",OR(S41="強力買進",S41="買進",S41="未估值")),"收支不足",S41))</f>
        <v/>
      </c>
      <c r="AJ41">
        <f>IF(Q41&gt;0.5,"大於 50%",IF(Q41&gt;0.25,"25%–50%",IF(Q41&gt;=0,"0%–25%",IF(Q41&gt;=-0.25,"0%～−25%",IF(Q41&gt;=-0.5,"−25%～−50%","小於 −50%")))))</f>
        <v/>
      </c>
      <c r="AK41" s="1" t="inlineStr">
        <is>
          <t>上檔空間 amkr/dist/20261025_艾克爾模型_v0.2.xlsx Val!B42；投資建議：模型尚未補列，依 AI半導體 固定規則自算；級距：模型尚未補列，依 AI半導體 固定規則自算</t>
        </is>
      </c>
    </row>
    <row r="42">
      <c r="A42" t="inlineStr">
        <is>
          <t>2383</t>
        </is>
      </c>
      <c r="B42" t="inlineStr">
        <is>
          <t>台光電</t>
        </is>
      </c>
      <c r="C42">
        <f>價值鏈!A9</f>
        <v/>
      </c>
      <c r="D42" t="inlineStr">
        <is>
          <t>載板與 PCB</t>
        </is>
      </c>
      <c r="E42" t="inlineStr">
        <is>
          <t>加權目標價（DCF 50%＋Comparable 50%）</t>
        </is>
      </c>
      <c r="F42" s="4" t="n">
        <v>5477.38585591289</v>
      </c>
      <c r="G42" t="inlineStr">
        <is>
          <t>emc/dist/20261025_台光電模型_v0.2.xlsx Val!B118</t>
        </is>
      </c>
      <c r="J42" s="4" t="n">
        <v>2690.62334592878</v>
      </c>
      <c r="K42" t="inlineStr">
        <is>
          <t>emc/dist/20261025_台光電模型_v0.2.xlsx Val!D104</t>
        </is>
      </c>
      <c r="N42">
        <f>價格!H42</f>
        <v/>
      </c>
      <c r="O42">
        <f>MIN(F42,H42)</f>
        <v/>
      </c>
      <c r="P42">
        <f>MIN(J42,L42)</f>
        <v/>
      </c>
      <c r="Q42" s="4" t="n">
        <v>0.080352239825028</v>
      </c>
      <c r="R42">
        <f>P42/N42-1</f>
        <v/>
      </c>
      <c r="S42">
        <f>IF(Q42&gt;0.5,"強力買進",IF(Q42&gt;0.25,"買進",IF(Q42&gt;=-0.25,"中立",IF(Q42&gt;=-0.5,"放空","強力放空"))))</f>
        <v/>
      </c>
      <c r="T42">
        <f>2904.876796827/N42-1</f>
        <v/>
      </c>
      <c r="U42" t="inlineStr">
        <is>
          <t>舊法：規則值情境加權價（參考，Val!B36）</t>
        </is>
      </c>
      <c r="V42" t="inlineStr">
        <is>
          <t>16.9 ／ 19.2 ／ 24.4</t>
        </is>
      </c>
      <c r="W42" s="1" t="inlineStr">
        <is>
          <t>DCF 目標價 4,252.1（Val!B105）；Comparable 目標價 6,702.7（Val!B119）；市場共識目標價 7,803.0（Val!B120，外部、僅供對照）；價格帶 C～A 情境 DCF 2,690.6～5,427.6</t>
        </is>
      </c>
      <c r="Z42">
        <f>IF(ISNUMBER(價格!C42),價格!H42/價格!C42-1,"")</f>
        <v/>
      </c>
      <c r="AA42">
        <f>IF(Z42="","",IF(ABS(Z42)&gt;0.2,"模型尚未反映期間變化",""))</f>
        <v/>
      </c>
      <c r="AB42" t="inlineStr">
        <is>
          <t>淨利</t>
        </is>
      </c>
      <c r="AC42" t="inlineStr">
        <is>
          <t>PL 頁各情境模型年度淨利（不含實績）</t>
        </is>
      </c>
      <c r="AD42" t="inlineStr">
        <is>
          <t>8 個情境年度淨利（不含實績），全部為正</t>
        </is>
      </c>
      <c r="AE42" s="4" t="n">
        <v>691.463883601876</v>
      </c>
      <c r="AF42" s="4" t="n">
        <v>42.891099295</v>
      </c>
      <c r="AG42" t="inlineStr">
        <is>
          <t>[Derived] emc/dist/20261025_台光電模型_v0.2.xlsx PL!D12…PL!G36</t>
        </is>
      </c>
      <c r="AH42">
        <f>IF(AB42="淨利",IF(AF42&gt;0,"通過（淨利）","不通過"),IF(AE42&lt;0,"不通過","通過（現金流）"))</f>
        <v/>
      </c>
      <c r="AI42">
        <f>IF(S42="未上市","未上市",IF(AND(AH42="不通過",OR(S42="強力買進",S42="買進",S42="未估值")),"收支不足",S42))</f>
        <v/>
      </c>
      <c r="AJ42">
        <f>IF(Q42&gt;0.5,"大於 50%",IF(Q42&gt;0.25,"25%–50%",IF(Q42&gt;=0,"0%–25%",IF(Q42&gt;=-0.25,"0%～−25%",IF(Q42&gt;=-0.5,"−25%～−50%","小於 −50%")))))</f>
        <v/>
      </c>
      <c r="AK42" s="1" t="inlineStr">
        <is>
          <t>上檔空間 emc/dist/20261025_台光電模型_v0.2.xlsx Val!B121；投資建議：模型尚未補列，依 AI半導體 固定規則自算；級距：模型尚未補列，依 AI半導體 固定規則自算</t>
        </is>
      </c>
    </row>
    <row r="43">
      <c r="A43" t="inlineStr">
        <is>
          <t>3037</t>
        </is>
      </c>
      <c r="B43" t="inlineStr">
        <is>
          <t>欣興</t>
        </is>
      </c>
      <c r="C43">
        <f>價值鏈!A9</f>
        <v/>
      </c>
      <c r="D43" t="inlineStr">
        <is>
          <t>載板與 PCB</t>
        </is>
      </c>
      <c r="E43" t="inlineStr">
        <is>
          <t>加權目標價（DCF 50%＋Comparable 50%）</t>
        </is>
      </c>
      <c r="F43" s="4" t="n">
        <v>726.786889845923</v>
      </c>
      <c r="G43" t="inlineStr">
        <is>
          <t>unimicron/dist/20261025_欣興模型_v0.1.xlsx Val!B39</t>
        </is>
      </c>
      <c r="J43" s="4" t="n">
        <v>219.433206126356</v>
      </c>
      <c r="K43" t="inlineStr">
        <is>
          <t>unimicron/dist/20261025_欣興模型_v0.1.xlsx Val!D23</t>
        </is>
      </c>
      <c r="N43">
        <f>價格!H43</f>
        <v/>
      </c>
      <c r="O43">
        <f>MIN(F43,H43)</f>
        <v/>
      </c>
      <c r="P43">
        <f>MIN(J43,L43)</f>
        <v/>
      </c>
      <c r="Q43" s="4" t="n">
        <v>-0.330150331939242</v>
      </c>
      <c r="R43">
        <f>P43/N43-1</f>
        <v/>
      </c>
      <c r="S43">
        <f>IF(Q43&gt;0.5,"強力買進",IF(Q43&gt;0.25,"買進",IF(Q43&gt;=-0.25,"中立",IF(Q43&gt;=-0.5,"放空","強力放空"))))</f>
        <v/>
      </c>
      <c r="V43" t="inlineStr">
        <is>
          <t>35.6 ／ 46.7 ／ 67.6</t>
        </is>
      </c>
      <c r="W43" s="1" t="inlineStr">
        <is>
          <t>DCF 目標價 388.5（Val!B24）；Comparable 目標價 1,065.0（Val!B40）；市場共識目標價 1,317.4（Val!B41，外部、僅供對照）；價格帶 C～A 情境 DCF 219.4～505.7</t>
        </is>
      </c>
      <c r="Z43">
        <f>IF(ISNUMBER(價格!C43),價格!H43/價格!C43-1,"")</f>
        <v/>
      </c>
      <c r="AA43">
        <f>IF(Z43="","",IF(ABS(Z43)&gt;0.2,"模型尚未反映期間變化",""))</f>
        <v/>
      </c>
      <c r="AB43" t="inlineStr">
        <is>
          <t>淨利</t>
        </is>
      </c>
      <c r="AC43" t="inlineStr">
        <is>
          <t>PL 頁各情境模型年度淨利（不含實績）</t>
        </is>
      </c>
      <c r="AD43" t="inlineStr">
        <is>
          <t>17 個情境年度淨利（不含實績），全部為正</t>
        </is>
      </c>
      <c r="AE43" s="4" t="n">
        <v>746.296567164486</v>
      </c>
      <c r="AF43" s="4" t="n">
        <v>26.3193287897213</v>
      </c>
      <c r="AG43" t="inlineStr">
        <is>
          <t>[Derived] unimicron/dist/20261025_欣興模型_v0.1.xlsx PL!D13…PL!J41</t>
        </is>
      </c>
      <c r="AH43">
        <f>IF(AB43="淨利",IF(AF43&gt;0,"通過（淨利）","不通過"),IF(AE43&lt;0,"不通過","通過（現金流）"))</f>
        <v/>
      </c>
      <c r="AI43">
        <f>IF(S43="未上市","未上市",IF(AND(AH43="不通過",OR(S43="強力買進",S43="買進",S43="未估值")),"收支不足",S43))</f>
        <v/>
      </c>
      <c r="AJ43">
        <f>IF(Q43&gt;0.5,"大於 50%",IF(Q43&gt;0.25,"25%–50%",IF(Q43&gt;=0,"0%–25%",IF(Q43&gt;=-0.25,"0%～−25%",IF(Q43&gt;=-0.5,"−25%～−50%","小於 −50%")))))</f>
        <v/>
      </c>
      <c r="AK43" s="1" t="inlineStr">
        <is>
          <t>上檔空間 unimicron/dist/20261025_欣興模型_v0.1.xlsx Val!B42；投資建議：模型尚未補列，依 AI半導體 固定規則自算；級距：模型尚未補列，依 AI半導體 固定規則自算</t>
        </is>
      </c>
    </row>
    <row r="44">
      <c r="A44" t="inlineStr">
        <is>
          <t>8046</t>
        </is>
      </c>
      <c r="B44" t="inlineStr">
        <is>
          <t>南電</t>
        </is>
      </c>
      <c r="C44">
        <f>價值鏈!A9</f>
        <v/>
      </c>
      <c r="D44" t="inlineStr">
        <is>
          <t>載板與 PCB</t>
        </is>
      </c>
      <c r="E44" t="inlineStr">
        <is>
          <t>加權目標價（DCF 50%＋Comparable 50%）</t>
        </is>
      </c>
      <c r="F44" s="4" t="n">
        <v>906.7951275175531</v>
      </c>
      <c r="G44" t="inlineStr">
        <is>
          <t>nanya_pcb/dist/20261025_南電模型_v0.1.xlsx Val!B39</t>
        </is>
      </c>
      <c r="J44" s="4" t="n">
        <v>262.218925758325</v>
      </c>
      <c r="K44" t="inlineStr">
        <is>
          <t>nanya_pcb/dist/20261025_南電模型_v0.1.xlsx Val!D23</t>
        </is>
      </c>
      <c r="N44">
        <f>價格!H44</f>
        <v/>
      </c>
      <c r="O44">
        <f>MIN(F44,H44)</f>
        <v/>
      </c>
      <c r="P44">
        <f>MIN(J44,L44)</f>
        <v/>
      </c>
      <c r="Q44" s="4" t="n">
        <v>-0.283165907100749</v>
      </c>
      <c r="R44">
        <f>P44/N44-1</f>
        <v/>
      </c>
      <c r="S44">
        <f>IF(Q44&gt;0.5,"強力買進",IF(Q44&gt;0.25,"買進",IF(Q44&gt;=-0.25,"中立",IF(Q44&gt;=-0.5,"放空","強力放空"))))</f>
        <v/>
      </c>
      <c r="V44" t="inlineStr">
        <is>
          <t>35.2 ／ 41.3 ／ 54.2</t>
        </is>
      </c>
      <c r="W44" s="1" t="inlineStr">
        <is>
          <t>DCF 目標價 466.3（Val!B24）；Comparable 目標價 1,347.3（Val!B40）；市場共識目標價 1,651.3（Val!B41，外部、僅供對照）；價格帶 C～A 情境 DCF 262.2～621.7</t>
        </is>
      </c>
      <c r="Z44">
        <f>IF(ISNUMBER(價格!C44),價格!H44/價格!C44-1,"")</f>
        <v/>
      </c>
      <c r="AA44">
        <f>IF(Z44="","",IF(ABS(Z44)&gt;0.2,"模型尚未反映期間變化",""))</f>
        <v/>
      </c>
      <c r="AB44" t="inlineStr">
        <is>
          <t>淨利</t>
        </is>
      </c>
      <c r="AC44" t="inlineStr">
        <is>
          <t>PL 頁各情境模型年度淨利（不含實績）</t>
        </is>
      </c>
      <c r="AD44" t="inlineStr">
        <is>
          <t>19 個情境年度淨利（不含實績），全部為正</t>
        </is>
      </c>
      <c r="AE44" s="4" t="n">
        <v>383.273388219964</v>
      </c>
      <c r="AF44" s="4" t="n">
        <v>11.509862075</v>
      </c>
      <c r="AG44" t="inlineStr">
        <is>
          <t>[Derived] nanya_pcb/dist/20261025_南電模型_v0.1.xlsx PL!D13…PL!J41</t>
        </is>
      </c>
      <c r="AH44">
        <f>IF(AB44="淨利",IF(AF44&gt;0,"通過（淨利）","不通過"),IF(AE44&lt;0,"不通過","通過（現金流）"))</f>
        <v/>
      </c>
      <c r="AI44">
        <f>IF(S44="未上市","未上市",IF(AND(AH44="不通過",OR(S44="強力買進",S44="買進",S44="未估值")),"收支不足",S44))</f>
        <v/>
      </c>
      <c r="AJ44">
        <f>IF(Q44&gt;0.5,"大於 50%",IF(Q44&gt;0.25,"25%–50%",IF(Q44&gt;=0,"0%–25%",IF(Q44&gt;=-0.25,"0%～−25%",IF(Q44&gt;=-0.5,"−25%～−50%","小於 −50%")))))</f>
        <v/>
      </c>
      <c r="AK44" s="1" t="inlineStr">
        <is>
          <t>上檔空間 nanya_pcb/dist/20261025_南電模型_v0.1.xlsx Val!B42；投資建議：模型尚未補列，依 AI半導體 固定規則自算；級距：模型尚未補列，依 AI半導體 固定規則自算</t>
        </is>
      </c>
    </row>
    <row r="45">
      <c r="A45" t="inlineStr">
        <is>
          <t>2368</t>
        </is>
      </c>
      <c r="B45" t="inlineStr">
        <is>
          <t>金像電</t>
        </is>
      </c>
      <c r="C45">
        <f>價值鏈!A9</f>
        <v/>
      </c>
      <c r="D45" t="inlineStr">
        <is>
          <t>載板與 PCB</t>
        </is>
      </c>
      <c r="E45" t="inlineStr">
        <is>
          <t>加權目標價（DCF 50%＋Comparable 50%）</t>
        </is>
      </c>
      <c r="F45" s="4" t="n">
        <v>1267.21703750953</v>
      </c>
      <c r="G45" t="inlineStr">
        <is>
          <t>gce/dist/20261025_金像電模型_v0.1.xlsx Val!B40</t>
        </is>
      </c>
      <c r="J45" s="4" t="n">
        <v>559.015397539126</v>
      </c>
      <c r="K45" t="inlineStr">
        <is>
          <t>gce/dist/20261025_金像電模型_v0.1.xlsx Val!D23</t>
        </is>
      </c>
      <c r="N45">
        <f>價格!H45</f>
        <v/>
      </c>
      <c r="O45">
        <f>MIN(F45,H45)</f>
        <v/>
      </c>
      <c r="P45">
        <f>MIN(J45,L45)</f>
        <v/>
      </c>
      <c r="Q45" s="4" t="n">
        <v>0.136517522430072</v>
      </c>
      <c r="R45">
        <f>P45/N45-1</f>
        <v/>
      </c>
      <c r="S45">
        <f>IF(Q45&gt;0.5,"強力買進",IF(Q45&gt;0.25,"買進",IF(Q45&gt;=-0.25,"中立",IF(Q45&gt;=-0.5,"放空","強力放空"))))</f>
        <v/>
      </c>
      <c r="V45" t="inlineStr">
        <is>
          <t>12.4 ／ 14.6 ／ 24.6</t>
        </is>
      </c>
      <c r="W45" s="1" t="inlineStr">
        <is>
          <t>DCF 目標價 1,203.1（Val!B24）；Comparable 目標價 1,331.4（Val!B41）；市場共識目標價 1,554.0（Val!B42，外部、僅供對照）；價格帶 C～A 情境 DCF 559.0～1,723.4</t>
        </is>
      </c>
      <c r="Z45">
        <f>IF(ISNUMBER(價格!C45),價格!H45/價格!C45-1,"")</f>
        <v/>
      </c>
      <c r="AA45">
        <f>IF(Z45="","",IF(ABS(Z45)&gt;0.2,"模型尚未反映期間變化",""))</f>
        <v/>
      </c>
      <c r="AB45" t="inlineStr">
        <is>
          <t>淨利</t>
        </is>
      </c>
      <c r="AC45" t="inlineStr">
        <is>
          <t>PL 頁各情境模型年度淨利（不含實績）</t>
        </is>
      </c>
      <c r="AD45" t="inlineStr">
        <is>
          <t>19 個情境年度淨利（不含實績），全部為正</t>
        </is>
      </c>
      <c r="AE45" s="4" t="n">
        <v>777.5639942335221</v>
      </c>
      <c r="AF45" s="4" t="n">
        <v>19.6977289395284</v>
      </c>
      <c r="AG45" t="inlineStr">
        <is>
          <t>[Derived] gce/dist/20261025_金像電模型_v0.1.xlsx PL!D12…PL!J38</t>
        </is>
      </c>
      <c r="AH45">
        <f>IF(AB45="淨利",IF(AF45&gt;0,"通過（淨利）","不通過"),IF(AE45&lt;0,"不通過","通過（現金流）"))</f>
        <v/>
      </c>
      <c r="AI45">
        <f>IF(S45="未上市","未上市",IF(AND(AH45="不通過",OR(S45="強力買進",S45="買進",S45="未估值")),"收支不足",S45))</f>
        <v/>
      </c>
      <c r="AJ45">
        <f>IF(Q45&gt;0.5,"大於 50%",IF(Q45&gt;0.25,"25%–50%",IF(Q45&gt;=0,"0%–25%",IF(Q45&gt;=-0.25,"0%～−25%",IF(Q45&gt;=-0.5,"−25%～−50%","小於 −50%")))))</f>
        <v/>
      </c>
      <c r="AK45" s="1" t="inlineStr">
        <is>
          <t>上檔空間 gce/dist/20261025_金像電模型_v0.1.xlsx Val!B43；投資建議：模型尚未補列，依 AI半導體 固定規則自算；級距：模型尚未補列，依 AI半導體 固定規則自算</t>
        </is>
      </c>
    </row>
    <row r="46">
      <c r="A46" t="inlineStr">
        <is>
          <t>300476</t>
        </is>
      </c>
      <c r="B46" t="inlineStr">
        <is>
          <t>勝宏科技</t>
        </is>
      </c>
      <c r="C46">
        <f>價值鏈!A9</f>
        <v/>
      </c>
      <c r="D46" t="inlineStr">
        <is>
          <t>載板與 PCB</t>
        </is>
      </c>
      <c r="E46" t="inlineStr">
        <is>
          <t>加權目標價（DCF 50%＋Comparable 50%）</t>
        </is>
      </c>
      <c r="F46" s="4" t="n">
        <v>322.84375955125</v>
      </c>
      <c r="G46" t="inlineStr">
        <is>
          <t>victory_giant/dist/20261025_勝宏科技模型_v0.1.xlsx Val!B39</t>
        </is>
      </c>
      <c r="J46" s="4" t="n">
        <v>98.54908044337679</v>
      </c>
      <c r="K46" t="inlineStr">
        <is>
          <t>victory_giant/dist/20261025_勝宏科技模型_v0.1.xlsx Val!D23</t>
        </is>
      </c>
      <c r="N46">
        <f>價格!H46</f>
        <v/>
      </c>
      <c r="O46">
        <f>MIN(F46,H46)</f>
        <v/>
      </c>
      <c r="P46">
        <f>MIN(J46,L46)</f>
        <v/>
      </c>
      <c r="Q46" s="4" t="n">
        <v>0.759558314537008</v>
      </c>
      <c r="R46">
        <f>P46/N46-1</f>
        <v/>
      </c>
      <c r="S46">
        <f>IF(Q46&gt;0.5,"強力買進",IF(Q46&gt;0.25,"買進",IF(Q46&gt;=-0.25,"中立",IF(Q46&gt;=-0.5,"放空","強力放空"))))</f>
        <v/>
      </c>
      <c r="V46" t="inlineStr">
        <is>
          <t>10.3 ／ 12.7 ／ 16.9</t>
        </is>
      </c>
      <c r="W46" s="1" t="inlineStr">
        <is>
          <t>DCF 目標價 202.7（Val!B24）；Comparable 目標價 443.0（Val!B40）；市場共識目標價 388.3（Val!B41，外部、僅供對照）；價格帶 C～A 情境 DCF 98.5～287.4</t>
        </is>
      </c>
      <c r="Z46">
        <f>IF(ISNUMBER(價格!C46),價格!H46/價格!C46-1,"")</f>
        <v/>
      </c>
      <c r="AA46">
        <f>IF(Z46="","",IF(ABS(Z46)&gt;0.2,"模型尚未反映期間變化",""))</f>
        <v/>
      </c>
      <c r="AB46" t="inlineStr">
        <is>
          <t>淨利</t>
        </is>
      </c>
      <c r="AC46" t="inlineStr">
        <is>
          <t>PL 頁各情境模型年度淨利（不含實績）</t>
        </is>
      </c>
      <c r="AD46" t="inlineStr">
        <is>
          <t>17 個情境年度淨利（不含實績），全部為正</t>
        </is>
      </c>
      <c r="AE46" s="4" t="n">
        <v>253.1375330231429</v>
      </c>
      <c r="AF46" s="4" t="n">
        <v>6.5441924845173</v>
      </c>
      <c r="AG46" t="inlineStr">
        <is>
          <t>[Derived] victory_giant/dist/20261025_勝宏科技模型_v0.1.xlsx PL!D12…PL!J38</t>
        </is>
      </c>
      <c r="AH46">
        <f>IF(AB46="淨利",IF(AF46&gt;0,"通過（淨利）","不通過"),IF(AE46&lt;0,"不通過","通過（現金流）"))</f>
        <v/>
      </c>
      <c r="AI46">
        <f>IF(S46="未上市","未上市",IF(AND(AH46="不通過",OR(S46="強力買進",S46="買進",S46="未估值")),"收支不足",S46))</f>
        <v/>
      </c>
      <c r="AJ46">
        <f>IF(Q46&gt;0.5,"大於 50%",IF(Q46&gt;0.25,"25%–50%",IF(Q46&gt;=0,"0%–25%",IF(Q46&gt;=-0.25,"0%～−25%",IF(Q46&gt;=-0.5,"−25%～−50%","小於 −50%")))))</f>
        <v/>
      </c>
      <c r="AK46" s="1" t="inlineStr">
        <is>
          <t>上檔空間 victory_giant/dist/20261025_勝宏科技模型_v0.1.xlsx Val!B42；投資建議：模型尚未補列，依 AI半導體 固定規則自算；級距：模型尚未補列，依 AI半導體 固定規則自算</t>
        </is>
      </c>
    </row>
    <row r="47">
      <c r="A47" t="inlineStr">
        <is>
          <t>ASML</t>
        </is>
      </c>
      <c r="B47" t="inlineStr">
        <is>
          <t>ASML</t>
        </is>
      </c>
      <c r="C47">
        <f>價值鏈!A13</f>
        <v/>
      </c>
      <c r="D47" t="inlineStr">
        <is>
          <t>設備與材料</t>
        </is>
      </c>
      <c r="E47" t="inlineStr">
        <is>
          <t>加權目標價（DCF 50%＋Comparable 50%）</t>
        </is>
      </c>
      <c r="F47" s="4" t="n">
        <v>1126.49336848612</v>
      </c>
      <c r="G47" t="inlineStr">
        <is>
          <t>asml/dist/20261025_ASML模型_v0.2.xlsx Val!B115</t>
        </is>
      </c>
      <c r="J47" s="4" t="n">
        <v>506.037679478892</v>
      </c>
      <c r="K47" t="inlineStr">
        <is>
          <t>asml/dist/20261025_ASML模型_v0.2.xlsx Val!D99</t>
        </is>
      </c>
      <c r="N47">
        <f>價格!H47</f>
        <v/>
      </c>
      <c r="O47">
        <f>MIN(F47,H47)</f>
        <v/>
      </c>
      <c r="P47">
        <f>MIN(J47,L47)</f>
        <v/>
      </c>
      <c r="Q47" s="4" t="n">
        <v>-0.199478845589741</v>
      </c>
      <c r="R47">
        <f>P47/N47-1</f>
        <v/>
      </c>
      <c r="S47">
        <f>IF(Q47&gt;0.5,"強力買進",IF(Q47&gt;0.25,"買進",IF(Q47&gt;=-0.25,"中立",IF(Q47&gt;=-0.5,"放空","強力放空"))))</f>
        <v/>
      </c>
      <c r="T47">
        <f>1829.12787571104/N47-1</f>
        <v/>
      </c>
      <c r="U47" t="inlineStr">
        <is>
          <t>舊法：規則值情境加權價（參考，Val!B6）</t>
        </is>
      </c>
      <c r="V47" t="inlineStr">
        <is>
          <t>21.7 ／ 25.4 ／ 34.1</t>
        </is>
      </c>
      <c r="W47" s="1" t="inlineStr">
        <is>
          <t>DCF 目標價 836.8（Val!B100）；Comparable 目標價 1,416.2（Val!B116）；市場共識目標價 2,108.0（Val!B117，外部、僅供對照）；價格帶 C～A 情境 DCF 506.0～1,218.9</t>
        </is>
      </c>
      <c r="Z47">
        <f>IF(ISNUMBER(價格!C47),價格!H47/價格!C47-1,"")</f>
        <v/>
      </c>
      <c r="AA47">
        <f>IF(Z47="","",IF(ABS(Z47)&gt;0.2,"模型尚未反映期間變化",""))</f>
        <v/>
      </c>
      <c r="AB47" t="inlineStr">
        <is>
          <t>淨利</t>
        </is>
      </c>
      <c r="AC47" t="inlineStr">
        <is>
          <t>PL 頁各情境模型年度淨利（不含實績）</t>
        </is>
      </c>
      <c r="AD47" t="inlineStr">
        <is>
          <t>10 個情境年度淨利（不含實績），全部為正</t>
        </is>
      </c>
      <c r="AE47" s="4" t="n">
        <v>199.6391339792138</v>
      </c>
      <c r="AF47" s="4" t="n">
        <v>15.4344257512672</v>
      </c>
      <c r="AG47" t="inlineStr">
        <is>
          <t>[Derived] asml/dist/20261025_ASML模型_v0.2.xlsx PL!D12…PL!G34</t>
        </is>
      </c>
      <c r="AH47">
        <f>IF(AB47="淨利",IF(AF47&gt;0,"通過（淨利）","不通過"),IF(AE47&lt;0,"不通過","通過（現金流）"))</f>
        <v/>
      </c>
      <c r="AI47">
        <f>IF(S47="未上市","未上市",IF(AND(AH47="不通過",OR(S47="強力買進",S47="買進",S47="未估值")),"收支不足",S47))</f>
        <v/>
      </c>
      <c r="AJ47">
        <f>IF(Q47&gt;0.5,"大於 50%",IF(Q47&gt;0.25,"25%–50%",IF(Q47&gt;=0,"0%–25%",IF(Q47&gt;=-0.25,"0%～−25%",IF(Q47&gt;=-0.5,"−25%～−50%","小於 −50%")))))</f>
        <v/>
      </c>
      <c r="AK47" s="1" t="inlineStr">
        <is>
          <t>上檔空間 asml/dist/20261025_ASML模型_v0.2.xlsx Val!B118；投資建議：模型尚未補列，依 AI半導體 固定規則自算；級距：模型尚未補列，依 AI半導體 固定規則自算</t>
        </is>
      </c>
    </row>
    <row r="48">
      <c r="A48" t="inlineStr">
        <is>
          <t>AMAT</t>
        </is>
      </c>
      <c r="B48" t="inlineStr">
        <is>
          <t>Applied Materials</t>
        </is>
      </c>
      <c r="C48">
        <f>價值鏈!A13</f>
        <v/>
      </c>
      <c r="D48" t="inlineStr">
        <is>
          <t>設備與材料</t>
        </is>
      </c>
      <c r="E48" t="inlineStr">
        <is>
          <t>加權目標價（DCF 50%＋Comparable 50%）</t>
        </is>
      </c>
      <c r="F48" s="4" t="n">
        <v>351.972505028033</v>
      </c>
      <c r="G48" t="inlineStr">
        <is>
          <t>amat/dist/20261025_應用材料模型_v0.2.xlsx Val!B136</t>
        </is>
      </c>
      <c r="J48" s="4" t="n">
        <v>160.769815499115</v>
      </c>
      <c r="K48" t="inlineStr">
        <is>
          <t>amat/dist/20261025_應用材料模型_v0.2.xlsx Val!D121</t>
        </is>
      </c>
      <c r="N48">
        <f>價格!H48</f>
        <v/>
      </c>
      <c r="O48">
        <f>MIN(F48,H48)</f>
        <v/>
      </c>
      <c r="P48">
        <f>MIN(J48,L48)</f>
        <v/>
      </c>
      <c r="Q48" s="4" t="n">
        <v>-0.0669798933622297</v>
      </c>
      <c r="R48">
        <f>P48/N48-1</f>
        <v/>
      </c>
      <c r="S48">
        <f>IF(Q48&gt;0.5,"強力買進",IF(Q48&gt;0.25,"買進",IF(Q48&gt;=-0.25,"中立",IF(Q48&gt;=-0.5,"放空","強力放空"))))</f>
        <v/>
      </c>
      <c r="T48">
        <f>309.834449680392/N48-1</f>
        <v/>
      </c>
      <c r="U48" t="inlineStr">
        <is>
          <t>舊法：規則值情境加權價（參考，Val!B47）</t>
        </is>
      </c>
      <c r="V48" t="inlineStr">
        <is>
          <t>19.0 ／ 21.4 ／ 27.0</t>
        </is>
      </c>
      <c r="W48" s="1" t="inlineStr">
        <is>
          <t>DCF 目標價 252.9（Val!B122）；Comparable 目標價 451.0（Val!B137）；市場共識目標價 627.8（Val!B138，外部、僅供對照）；價格帶 C～A 情境 DCF 160.8～355.1</t>
        </is>
      </c>
      <c r="Z48">
        <f>IF(ISNUMBER(價格!C48),價格!H48/價格!C48-1,"")</f>
        <v/>
      </c>
      <c r="AA48">
        <f>IF(Z48="","",IF(ABS(Z48)&gt;0.2,"模型尚未反映期間變化",""))</f>
        <v/>
      </c>
      <c r="AB48" t="inlineStr">
        <is>
          <t>淨利</t>
        </is>
      </c>
      <c r="AC48" t="inlineStr">
        <is>
          <t>PL 頁各情境模型年度淨利（不含實績）</t>
        </is>
      </c>
      <c r="AD48" t="inlineStr">
        <is>
          <t>10 個情境年度淨利（不含實績），全部為正</t>
        </is>
      </c>
      <c r="AE48" s="4" t="n">
        <v>130460.7465641116</v>
      </c>
      <c r="AF48" s="4" t="n">
        <v>10179.92</v>
      </c>
      <c r="AG48" t="inlineStr">
        <is>
          <t>[Derived] amat/dist/20261025_應用材料模型_v0.2.xlsx PL!D11…PL!G31</t>
        </is>
      </c>
      <c r="AH48">
        <f>IF(AB48="淨利",IF(AF48&gt;0,"通過（淨利）","不通過"),IF(AE48&lt;0,"不通過","通過（現金流）"))</f>
        <v/>
      </c>
      <c r="AI48">
        <f>IF(S48="未上市","未上市",IF(AND(AH48="不通過",OR(S48="強力買進",S48="買進",S48="未估值")),"收支不足",S48))</f>
        <v/>
      </c>
      <c r="AJ48">
        <f>IF(Q48&gt;0.5,"大於 50%",IF(Q48&gt;0.25,"25%–50%",IF(Q48&gt;=0,"0%–25%",IF(Q48&gt;=-0.25,"0%～−25%",IF(Q48&gt;=-0.5,"−25%～−50%","小於 −50%")))))</f>
        <v/>
      </c>
      <c r="AK48" s="1" t="inlineStr">
        <is>
          <t>上檔空間 amat/dist/20261025_應用材料模型_v0.2.xlsx Val!B139；投資建議：模型尚未補列，依 AI半導體 固定規則自算；級距：模型尚未補列，依 AI半導體 固定規則自算</t>
        </is>
      </c>
    </row>
    <row r="49">
      <c r="A49" t="inlineStr">
        <is>
          <t>LRCX</t>
        </is>
      </c>
      <c r="B49" t="inlineStr">
        <is>
          <t>Lam Research</t>
        </is>
      </c>
      <c r="C49">
        <f>價值鏈!A13</f>
        <v/>
      </c>
      <c r="D49" t="inlineStr">
        <is>
          <t>設備與材料</t>
        </is>
      </c>
      <c r="E49" t="inlineStr">
        <is>
          <t>加權目標價（DCF 50%＋Comparable 50%）</t>
        </is>
      </c>
      <c r="F49" s="4" t="n">
        <v>202.859992549315</v>
      </c>
      <c r="G49" t="inlineStr">
        <is>
          <t>lrcx/dist/20261025_科林研發模型_v0.2.xlsx Val!B128</t>
        </is>
      </c>
      <c r="J49" s="4" t="n">
        <v>85.7603441123795</v>
      </c>
      <c r="K49" t="inlineStr">
        <is>
          <t>lrcx/dist/20261025_科林研發模型_v0.2.xlsx Val!D113</t>
        </is>
      </c>
      <c r="N49">
        <f>價格!H49</f>
        <v/>
      </c>
      <c r="O49">
        <f>MIN(F49,H49)</f>
        <v/>
      </c>
      <c r="P49">
        <f>MIN(J49,L49)</f>
        <v/>
      </c>
      <c r="Q49" s="4" t="n">
        <v>-0.118383343983856</v>
      </c>
      <c r="R49">
        <f>P49/N49-1</f>
        <v/>
      </c>
      <c r="S49">
        <f>IF(Q49&gt;0.5,"強力買進",IF(Q49&gt;0.25,"買進",IF(Q49&gt;=-0.25,"中立",IF(Q49&gt;=-0.5,"放空","強力放空"))))</f>
        <v/>
      </c>
      <c r="T49">
        <f>154.25592051976/N49-1</f>
        <v/>
      </c>
      <c r="U49" t="inlineStr">
        <is>
          <t>舊法：規則值情境加權價（參考，Val!B6）</t>
        </is>
      </c>
      <c r="V49" t="inlineStr">
        <is>
          <t>21.5 ／ 23.0 ／ 26.3</t>
        </is>
      </c>
      <c r="W49" s="1" t="inlineStr">
        <is>
          <t>DCF 目標價 146.9（Val!B114）；Comparable 目標價 258.8（Val!B129）；市場共識目標價 364.0（Val!B130，外部、僅供對照）；價格帶 C～A 情境 DCF 85.8～204.7</t>
        </is>
      </c>
      <c r="Z49">
        <f>IF(ISNUMBER(價格!C49),價格!H49/價格!C49-1,"")</f>
        <v/>
      </c>
      <c r="AA49">
        <f>IF(Z49="","",IF(ABS(Z49)&gt;0.2,"模型尚未反映期間變化",""))</f>
        <v/>
      </c>
      <c r="AB49" t="inlineStr">
        <is>
          <t>淨利</t>
        </is>
      </c>
      <c r="AC49" t="inlineStr">
        <is>
          <t>PL 頁各情境模型年度淨利（不含實績）</t>
        </is>
      </c>
      <c r="AD49" t="inlineStr">
        <is>
          <t>7 個情境年度淨利（不含實績），全部為正</t>
        </is>
      </c>
      <c r="AE49" s="4" t="n">
        <v>84.68407544653741</v>
      </c>
      <c r="AF49" s="4" t="n">
        <v>9.30262463976181</v>
      </c>
      <c r="AG49" t="inlineStr">
        <is>
          <t>[Derived] lrcx/dist/20261025_科林研發模型_v0.2.xlsx PL!E11…PL!G31</t>
        </is>
      </c>
      <c r="AH49">
        <f>IF(AB49="淨利",IF(AF49&gt;0,"通過（淨利）","不通過"),IF(AE49&lt;0,"不通過","通過（現金流）"))</f>
        <v/>
      </c>
      <c r="AI49">
        <f>IF(S49="未上市","未上市",IF(AND(AH49="不通過",OR(S49="強力買進",S49="買進",S49="未估值")),"收支不足",S49))</f>
        <v/>
      </c>
      <c r="AJ49">
        <f>IF(Q49&gt;0.5,"大於 50%",IF(Q49&gt;0.25,"25%–50%",IF(Q49&gt;=0,"0%–25%",IF(Q49&gt;=-0.25,"0%～−25%",IF(Q49&gt;=-0.5,"−25%～−50%","小於 −50%")))))</f>
        <v/>
      </c>
      <c r="AK49" s="1" t="inlineStr">
        <is>
          <t>上檔空間 lrcx/dist/20261025_科林研發模型_v0.2.xlsx Val!B131；投資建議：模型尚未補列，依 AI半導體 固定規則自算；級距：模型尚未補列，依 AI半導體 固定規則自算</t>
        </is>
      </c>
    </row>
    <row r="50">
      <c r="A50" t="inlineStr">
        <is>
          <t>KLAC</t>
        </is>
      </c>
      <c r="B50" t="inlineStr">
        <is>
          <t>KLA</t>
        </is>
      </c>
      <c r="C50">
        <f>價值鏈!A13</f>
        <v/>
      </c>
      <c r="D50" t="inlineStr">
        <is>
          <t>設備與材料</t>
        </is>
      </c>
      <c r="E50" t="inlineStr">
        <is>
          <t>加權目標價（DCF 50%＋Comparable 50%）</t>
        </is>
      </c>
      <c r="F50" s="4" t="n">
        <v>121.381279915322</v>
      </c>
      <c r="G50" t="inlineStr">
        <is>
          <t>klac/dist/20261025_科磊模型_v0.2.xlsx Val!B129</t>
        </is>
      </c>
      <c r="J50" s="4" t="n">
        <v>57.6757051396901</v>
      </c>
      <c r="K50" t="inlineStr">
        <is>
          <t>klac/dist/20261025_科磊模型_v0.2.xlsx Val!D113</t>
        </is>
      </c>
      <c r="N50">
        <f>價格!H50</f>
        <v/>
      </c>
      <c r="O50">
        <f>MIN(F50,H50)</f>
        <v/>
      </c>
      <c r="P50">
        <f>MIN(J50,L50)</f>
        <v/>
      </c>
      <c r="Q50" s="4" t="n">
        <v>-0.166394616335952</v>
      </c>
      <c r="R50">
        <f>P50/N50-1</f>
        <v/>
      </c>
      <c r="S50">
        <f>IF(Q50&gt;0.5,"強力買進",IF(Q50&gt;0.25,"買進",IF(Q50&gt;=-0.25,"中立",IF(Q50&gt;=-0.5,"放空","強力放空"))))</f>
        <v/>
      </c>
      <c r="T50">
        <f>102.08226284068/N50-1</f>
        <v/>
      </c>
      <c r="U50" t="inlineStr">
        <is>
          <t>舊法：規則值情境加權價（參考，Val!B6）</t>
        </is>
      </c>
      <c r="V50" t="inlineStr">
        <is>
          <t>22.9 ／ 24.7 ／ 28.3</t>
        </is>
      </c>
      <c r="W50" s="1" t="inlineStr">
        <is>
          <t>DCF 目標價 94.1（Val!B114）；Comparable 目標價 148.6（Val!B130）；市場共識目標價 232.4（Val!B131，外部、僅供對照）；價格帶 C～A 情境 DCF 57.7～131.3</t>
        </is>
      </c>
      <c r="Z50">
        <f>IF(ISNUMBER(價格!C50),價格!H50/價格!C50-1,"")</f>
        <v/>
      </c>
      <c r="AA50">
        <f>IF(Z50="","",IF(ABS(Z50)&gt;0.2,"模型尚未反映期間變化",""))</f>
        <v/>
      </c>
      <c r="AB50" t="inlineStr">
        <is>
          <t>淨利</t>
        </is>
      </c>
      <c r="AC50" t="inlineStr">
        <is>
          <t>PL 頁各情境模型年度淨利（不含實績）</t>
        </is>
      </c>
      <c r="AD50" t="inlineStr">
        <is>
          <t>9 個情境年度淨利（不含實績），全部為正</t>
        </is>
      </c>
      <c r="AE50" s="4" t="n">
        <v>66658.65274708942</v>
      </c>
      <c r="AF50" s="4" t="n">
        <v>6143.68969170788</v>
      </c>
      <c r="AG50" t="inlineStr">
        <is>
          <t>[Derived] klac/dist/20261025_科磊模型_v0.2.xlsx PL!E12…PL!G34</t>
        </is>
      </c>
      <c r="AH50">
        <f>IF(AB50="淨利",IF(AF50&gt;0,"通過（淨利）","不通過"),IF(AE50&lt;0,"不通過","通過（現金流）"))</f>
        <v/>
      </c>
      <c r="AI50">
        <f>IF(S50="未上市","未上市",IF(AND(AH50="不通過",OR(S50="強力買進",S50="買進",S50="未估值")),"收支不足",S50))</f>
        <v/>
      </c>
      <c r="AJ50">
        <f>IF(Q50&gt;0.5,"大於 50%",IF(Q50&gt;0.25,"25%–50%",IF(Q50&gt;=0,"0%–25%",IF(Q50&gt;=-0.25,"0%～−25%",IF(Q50&gt;=-0.5,"−25%～−50%","小於 −50%")))))</f>
        <v/>
      </c>
      <c r="AK50" s="1" t="inlineStr">
        <is>
          <t>上檔空間 klac/dist/20261025_科磊模型_v0.2.xlsx Val!B132；投資建議：模型尚未補列，依 AI半導體 固定規則自算；級距：模型尚未補列，依 AI半導體 固定規則自算</t>
        </is>
      </c>
    </row>
    <row r="51">
      <c r="A51" t="inlineStr">
        <is>
          <t>042700</t>
        </is>
      </c>
      <c r="B51" t="inlineStr">
        <is>
          <t>Hanmi</t>
        </is>
      </c>
      <c r="C51">
        <f>價值鏈!A13</f>
        <v/>
      </c>
      <c r="D51" t="inlineStr">
        <is>
          <t>設備與材料</t>
        </is>
      </c>
      <c r="E51" t="inlineStr">
        <is>
          <t>加權目標價（DCF 50%＋Comparable 50%）</t>
        </is>
      </c>
      <c r="F51" s="4" t="n">
        <v>48379.3271291536</v>
      </c>
      <c r="G51" t="inlineStr">
        <is>
          <t>hanmi/dist/20261025_韓美半導體模型_v0.2.1.xlsx Val!B111</t>
        </is>
      </c>
      <c r="J51" s="4" t="n">
        <v>16072.8325490973</v>
      </c>
      <c r="K51" t="inlineStr">
        <is>
          <t>hanmi/dist/20261025_韓美半導體模型_v0.2.1.xlsx Val!D96</t>
        </is>
      </c>
      <c r="N51">
        <f>價格!H51</f>
        <v/>
      </c>
      <c r="O51">
        <f>MIN(F51,H51)</f>
        <v/>
      </c>
      <c r="P51">
        <f>MIN(J51,L51)</f>
        <v/>
      </c>
      <c r="Q51" s="4" t="n">
        <v>-0.743345744672925</v>
      </c>
      <c r="R51">
        <f>P51/N51-1</f>
        <v/>
      </c>
      <c r="S51">
        <f>IF(Q51&gt;0.5,"強力買進",IF(Q51&gt;0.25,"買進",IF(Q51&gt;=-0.25,"中立",IF(Q51&gt;=-0.5,"放空","強力放空"))))</f>
        <v/>
      </c>
      <c r="T51">
        <f>64078.0210298826/N51-1</f>
        <v/>
      </c>
      <c r="U51" t="inlineStr">
        <is>
          <t>舊法：規則值情境加權價（參考，Val!B6）</t>
        </is>
      </c>
      <c r="V51" t="inlineStr">
        <is>
          <t>79.8 ／ 64.4 ／ 93.6</t>
        </is>
      </c>
      <c r="W51" s="1" t="inlineStr">
        <is>
          <t>DCF 目標價 27,779.9（Val!B97）；Comparable 目標價 68,978.7（Val!B112）；市場共識目標價 271,429.0（Val!B113，外部、僅供對照）；價格帶 C～A 情境 DCF 16,072.8～36,052.3</t>
        </is>
      </c>
      <c r="Z51">
        <f>IF(ISNUMBER(價格!C51),價格!H51/價格!C51-1,"")</f>
        <v/>
      </c>
      <c r="AA51">
        <f>IF(Z51="","",IF(ABS(Z51)&gt;0.2,"模型尚未反映期間變化",""))</f>
        <v/>
      </c>
      <c r="AB51" t="inlineStr">
        <is>
          <t>淨利</t>
        </is>
      </c>
      <c r="AC51" t="inlineStr">
        <is>
          <t>PL 頁各情境模型年度淨利（不含實績）</t>
        </is>
      </c>
      <c r="AD51" t="inlineStr">
        <is>
          <t>8 個情境年度淨利（不含實績），全部為正</t>
        </is>
      </c>
      <c r="AE51" s="4" t="n">
        <v>18743.41232250685</v>
      </c>
      <c r="AF51" s="4" t="n">
        <v>1335.38902964754</v>
      </c>
      <c r="AG51" t="inlineStr">
        <is>
          <t>[Derived] hanmi/dist/20261025_韓美半導體模型_v0.2.1.xlsx PL!D11…PL!G31</t>
        </is>
      </c>
      <c r="AH51">
        <f>IF(AB51="淨利",IF(AF51&gt;0,"通過（淨利）","不通過"),IF(AE51&lt;0,"不通過","通過（現金流）"))</f>
        <v/>
      </c>
      <c r="AI51">
        <f>IF(S51="未上市","未上市",IF(AND(AH51="不通過",OR(S51="強力買進",S51="買進",S51="未估值")),"收支不足",S51))</f>
        <v/>
      </c>
      <c r="AJ51">
        <f>IF(Q51&gt;0.5,"大於 50%",IF(Q51&gt;0.25,"25%–50%",IF(Q51&gt;=0,"0%–25%",IF(Q51&gt;=-0.25,"0%～−25%",IF(Q51&gt;=-0.5,"−25%～−50%","小於 −50%")))))</f>
        <v/>
      </c>
      <c r="AK51" s="1" t="inlineStr">
        <is>
          <t>上檔空間 hanmi/dist/20261025_韓美半導體模型_v0.2.1.xlsx Val!B114；投資建議：模型尚未補列，依 AI半導體 固定規則自算；級距：模型尚未補列，依 AI半導體 固定規則自算</t>
        </is>
      </c>
    </row>
    <row r="52">
      <c r="A52" t="inlineStr">
        <is>
          <t>TER</t>
        </is>
      </c>
      <c r="B52" t="inlineStr">
        <is>
          <t>Teradyne</t>
        </is>
      </c>
      <c r="C52">
        <f>價值鏈!A13</f>
        <v/>
      </c>
      <c r="D52" t="inlineStr">
        <is>
          <t>設備與材料</t>
        </is>
      </c>
      <c r="E52" t="inlineStr">
        <is>
          <t>加權目標價（DCF 50%＋Comparable 50%）</t>
        </is>
      </c>
      <c r="F52" s="4" t="n">
        <v>312.24974554145</v>
      </c>
      <c r="G52" t="inlineStr">
        <is>
          <t>ter/dist/20261025_泰瑞達模型_v0.1.xlsx Val!B126</t>
        </is>
      </c>
      <c r="J52" s="4" t="n">
        <v>153.841873065318</v>
      </c>
      <c r="K52" t="inlineStr">
        <is>
          <t>ter/dist/20261025_泰瑞達模型_v0.1.xlsx Val!D110</t>
        </is>
      </c>
      <c r="N52">
        <f>價格!H52</f>
        <v/>
      </c>
      <c r="O52">
        <f>MIN(F52,H52)</f>
        <v/>
      </c>
      <c r="P52">
        <f>MIN(J52,L52)</f>
        <v/>
      </c>
      <c r="Q52" s="4" t="n">
        <v>0.0110077563265327</v>
      </c>
      <c r="R52">
        <f>P52/N52-1</f>
        <v/>
      </c>
      <c r="S52">
        <f>IF(Q52&gt;0.5,"強力買進",IF(Q52&gt;0.25,"買進",IF(Q52&gt;=-0.25,"中立",IF(Q52&gt;=-0.5,"放空","強力放空"))))</f>
        <v/>
      </c>
      <c r="T52">
        <f>388.636638757835/N52-1</f>
        <v/>
      </c>
      <c r="U52" t="inlineStr">
        <is>
          <t>舊法：規則值情境加權價（參考，Val!B82）</t>
        </is>
      </c>
      <c r="V52" t="inlineStr">
        <is>
          <t>18.6 ／ 21.8 ／ 25.1</t>
        </is>
      </c>
      <c r="W52" s="1" t="inlineStr">
        <is>
          <t>DCF 目標價 219.3（Val!B111）；Comparable 目標價 405.2（Val!B127）；市場共識目標價 446.5（Val!B128，外部、僅供對照）；價格帶 C～A 情境 DCF 153.8～286.3</t>
        </is>
      </c>
      <c r="Z52">
        <f>IF(ISNUMBER(價格!C52),價格!H52/價格!C52-1,"")</f>
        <v/>
      </c>
      <c r="AA52">
        <f>IF(Z52="","",IF(ABS(Z52)&gt;0.2,"模型尚未反映期間變化",""))</f>
        <v/>
      </c>
      <c r="AB52" t="inlineStr">
        <is>
          <t>淨利</t>
        </is>
      </c>
      <c r="AC52" t="inlineStr">
        <is>
          <t>PL 頁各情境模型年度淨利（不含實績）</t>
        </is>
      </c>
      <c r="AD52" t="inlineStr">
        <is>
          <t>10 個情境年度淨利（不含實績），全部為正</t>
        </is>
      </c>
      <c r="AE52" s="4" t="n">
        <v>22484.1670377317</v>
      </c>
      <c r="AF52" s="4" t="n">
        <v>1385.276</v>
      </c>
      <c r="AG52" t="inlineStr">
        <is>
          <t>[Derived] ter/dist/20261025_泰瑞達模型_v0.1.xlsx PL!D12…PL!G34</t>
        </is>
      </c>
      <c r="AH52">
        <f>IF(AB52="淨利",IF(AF52&gt;0,"通過（淨利）","不通過"),IF(AE52&lt;0,"不通過","通過（現金流）"))</f>
        <v/>
      </c>
      <c r="AI52">
        <f>IF(S52="未上市","未上市",IF(AND(AH52="不通過",OR(S52="強力買進",S52="買進",S52="未估值")),"收支不足",S52))</f>
        <v/>
      </c>
      <c r="AJ52">
        <f>IF(Q52&gt;0.5,"大於 50%",IF(Q52&gt;0.25,"25%–50%",IF(Q52&gt;=0,"0%–25%",IF(Q52&gt;=-0.25,"0%～−25%",IF(Q52&gt;=-0.5,"−25%～−50%","小於 −50%")))))</f>
        <v/>
      </c>
      <c r="AK52" s="1" t="inlineStr">
        <is>
          <t>上檔空間 ter/dist/20261025_泰瑞達模型_v0.1.xlsx Val!B129；投資建議：模型尚未補列，依 AI半導體 固定規則自算；級距：模型尚未補列，依 AI半導體 固定規則自算</t>
        </is>
      </c>
    </row>
    <row r="53">
      <c r="A53" t="inlineStr">
        <is>
          <t>BESI</t>
        </is>
      </c>
      <c r="B53" t="inlineStr">
        <is>
          <t>BESI</t>
        </is>
      </c>
      <c r="C53">
        <f>價值鏈!A13</f>
        <v/>
      </c>
      <c r="D53" t="inlineStr">
        <is>
          <t>設備與材料</t>
        </is>
      </c>
      <c r="E53" t="inlineStr">
        <is>
          <t>加權目標價（DCF 50%＋Comparable 50%）</t>
        </is>
      </c>
      <c r="F53" s="4" t="n">
        <v>133.694918094684</v>
      </c>
      <c r="G53" t="inlineStr">
        <is>
          <t>besi/dist/20261025_BESI模型_v0.1.xlsx Val!B112</t>
        </is>
      </c>
      <c r="J53" s="4" t="n">
        <v>44.8181747206361</v>
      </c>
      <c r="K53" t="inlineStr">
        <is>
          <t>besi/dist/20261025_BESI模型_v0.1.xlsx Val!D96</t>
        </is>
      </c>
      <c r="N53">
        <f>價格!H53</f>
        <v/>
      </c>
      <c r="O53">
        <f>MIN(F53,H53)</f>
        <v/>
      </c>
      <c r="P53">
        <f>MIN(J53,L53)</f>
        <v/>
      </c>
      <c r="Q53" s="4" t="n">
        <v>-0.0786015293267841</v>
      </c>
      <c r="R53">
        <f>P53/N53-1</f>
        <v/>
      </c>
      <c r="S53">
        <f>IF(Q53&gt;0.5,"強力買進",IF(Q53&gt;0.25,"買進",IF(Q53&gt;=-0.25,"中立",IF(Q53&gt;=-0.5,"放空","強力放空"))))</f>
        <v/>
      </c>
      <c r="T53">
        <f>188.684289175905/N53-1</f>
        <v/>
      </c>
      <c r="U53" t="inlineStr">
        <is>
          <t>舊法：規則值情境加權價（參考，Val!B6）</t>
        </is>
      </c>
      <c r="V53" t="inlineStr">
        <is>
          <t>15.5 ／ 22.0 ／ 44.6</t>
        </is>
      </c>
      <c r="W53" s="1" t="inlineStr">
        <is>
          <t>DCF 目標價 97.7（Val!B97）；Comparable 目標價 169.7（Val!B113）；市場共識目標價 270.6（Val!B114，外部、僅供對照）；價格帶 C～A 情境 DCF 44.8～158.4</t>
        </is>
      </c>
      <c r="Z53">
        <f>IF(ISNUMBER(價格!C53),價格!H53/價格!C53-1,"")</f>
        <v/>
      </c>
      <c r="AA53">
        <f>IF(Z53="","",IF(ABS(Z53)&gt;0.2,"模型尚未反映期間變化",""))</f>
        <v/>
      </c>
      <c r="AB53" t="inlineStr">
        <is>
          <t>淨利</t>
        </is>
      </c>
      <c r="AC53" t="inlineStr">
        <is>
          <t>PL 頁各情境模型年度淨利（不含實績）</t>
        </is>
      </c>
      <c r="AD53" t="inlineStr">
        <is>
          <t>10 個情境年度淨利（不含實績），全部為正</t>
        </is>
      </c>
      <c r="AE53" s="4" t="n">
        <v>4792.39461307724</v>
      </c>
      <c r="AF53" s="4" t="n">
        <v>262.5014472923</v>
      </c>
      <c r="AG53" t="inlineStr">
        <is>
          <t>[Derived] besi/dist/20261025_BESI模型_v0.1.xlsx PL!D11…PL!G31</t>
        </is>
      </c>
      <c r="AH53">
        <f>IF(AB53="淨利",IF(AF53&gt;0,"通過（淨利）","不通過"),IF(AE53&lt;0,"不通過","通過（現金流）"))</f>
        <v/>
      </c>
      <c r="AI53">
        <f>IF(S53="未上市","未上市",IF(AND(AH53="不通過",OR(S53="強力買進",S53="買進",S53="未估值")),"收支不足",S53))</f>
        <v/>
      </c>
      <c r="AJ53">
        <f>IF(Q53&gt;0.5,"大於 50%",IF(Q53&gt;0.25,"25%–50%",IF(Q53&gt;=0,"0%–25%",IF(Q53&gt;=-0.25,"0%～−25%",IF(Q53&gt;=-0.5,"−25%～−50%","小於 −50%")))))</f>
        <v/>
      </c>
      <c r="AK53" s="1" t="inlineStr">
        <is>
          <t>上檔空間 besi/dist/20261025_BESI模型_v0.1.xlsx Val!B115；投資建議：模型尚未補列，依 AI半導體 固定規則自算；級距：模型尚未補列，依 AI半導體 固定規則自算</t>
        </is>
      </c>
    </row>
    <row r="54">
      <c r="A54" t="inlineStr">
        <is>
          <t>6315</t>
        </is>
      </c>
      <c r="B54" t="inlineStr">
        <is>
          <t>TOWA</t>
        </is>
      </c>
      <c r="C54">
        <f>價值鏈!A13</f>
        <v/>
      </c>
      <c r="D54" t="inlineStr">
        <is>
          <t>設備與材料</t>
        </is>
      </c>
      <c r="E54" t="inlineStr">
        <is>
          <t>加權目標價（DCF 50%＋Comparable 50%）</t>
        </is>
      </c>
      <c r="F54" s="4" t="n">
        <v>1725.84500411319</v>
      </c>
      <c r="G54" t="inlineStr">
        <is>
          <t>towa/dist/20261025_TOWA模型_v0.1.xlsx Val!B39</t>
        </is>
      </c>
      <c r="J54" s="4" t="n">
        <v>759.567964433826</v>
      </c>
      <c r="K54" t="inlineStr">
        <is>
          <t>towa/dist/20261025_TOWA模型_v0.1.xlsx Val!D23</t>
        </is>
      </c>
      <c r="N54">
        <f>價格!H54</f>
        <v/>
      </c>
      <c r="O54">
        <f>MIN(F54,H54)</f>
        <v/>
      </c>
      <c r="P54">
        <f>MIN(J54,L54)</f>
        <v/>
      </c>
      <c r="Q54" s="4" t="n">
        <v>-0.123046237747364</v>
      </c>
      <c r="R54">
        <f>P54/N54-1</f>
        <v/>
      </c>
      <c r="S54">
        <f>IF(Q54&gt;0.5,"強力買進",IF(Q54&gt;0.25,"買進",IF(Q54&gt;=-0.25,"中立",IF(Q54&gt;=-0.5,"放空","強力放空"))))</f>
        <v/>
      </c>
      <c r="T54">
        <f>1478.20786366597/N54-1</f>
        <v/>
      </c>
      <c r="U54" t="inlineStr">
        <is>
          <t>舊法：規則值情境加權價（參考，Val!B120）</t>
        </is>
      </c>
      <c r="V54" t="inlineStr">
        <is>
          <t>17.1 ／ 20.3 ／ 27.6</t>
        </is>
      </c>
      <c r="W54" s="1" t="inlineStr">
        <is>
          <t>DCF 目標價 1,015.4（Val!B24）；Comparable 目標價 2,436.3（Val!B40）；市場共識目標價 3,300.0（Val!B41，外部、僅供對照）；價格帶 C～A 情境 DCF 759.6～1,353.8</t>
        </is>
      </c>
      <c r="Z54">
        <f>IF(ISNUMBER(價格!C54),價格!H54/價格!C54-1,"")</f>
        <v/>
      </c>
      <c r="AA54">
        <f>IF(Z54="","",IF(ABS(Z54)&gt;0.2,"模型尚未反映期間變化",""))</f>
        <v/>
      </c>
      <c r="AB54" t="inlineStr">
        <is>
          <t>淨利</t>
        </is>
      </c>
      <c r="AC54" t="inlineStr">
        <is>
          <t>PL 頁各情境模型年度淨利（不含實績）</t>
        </is>
      </c>
      <c r="AD54" t="inlineStr">
        <is>
          <t>10 個情境年度淨利（不含實績），全部為正</t>
        </is>
      </c>
      <c r="AE54" s="4" t="n">
        <v>69.95924195194875</v>
      </c>
      <c r="AF54" s="4" t="n">
        <v>5.35310769200747</v>
      </c>
      <c r="AG54" t="inlineStr">
        <is>
          <t>[Derived] towa/dist/20261025_TOWA模型_v0.1.xlsx PL!D14…PL!G42</t>
        </is>
      </c>
      <c r="AH54">
        <f>IF(AB54="淨利",IF(AF54&gt;0,"通過（淨利）","不通過"),IF(AE54&lt;0,"不通過","通過（現金流）"))</f>
        <v/>
      </c>
      <c r="AI54">
        <f>IF(S54="未上市","未上市",IF(AND(AH54="不通過",OR(S54="強力買進",S54="買進",S54="未估值")),"收支不足",S54))</f>
        <v/>
      </c>
      <c r="AJ54">
        <f>IF(Q54&gt;0.5,"大於 50%",IF(Q54&gt;0.25,"25%–50%",IF(Q54&gt;=0,"0%–25%",IF(Q54&gt;=-0.25,"0%～−25%",IF(Q54&gt;=-0.5,"−25%～−50%","小於 −50%")))))</f>
        <v/>
      </c>
      <c r="AK54" s="1" t="inlineStr">
        <is>
          <t>上檔空間 towa/dist/20261025_TOWA模型_v0.1.xlsx Val!B42；投資建議：模型尚未補列，依 AI半導體 固定規則自算；級距：模型尚未補列，依 AI半導體 固定規則自算</t>
        </is>
      </c>
    </row>
    <row r="55">
      <c r="A55" t="inlineStr">
        <is>
          <t>7729</t>
        </is>
      </c>
      <c r="B55" t="inlineStr">
        <is>
          <t>東京精密</t>
        </is>
      </c>
      <c r="C55">
        <f>價值鏈!A13</f>
        <v/>
      </c>
      <c r="D55" t="inlineStr">
        <is>
          <t>設備與材料</t>
        </is>
      </c>
      <c r="E55" t="inlineStr">
        <is>
          <t>加權目標價（DCF 50%＋Comparable 50%）</t>
        </is>
      </c>
      <c r="F55" s="4" t="n">
        <v>19528.0923097883</v>
      </c>
      <c r="G55" t="inlineStr">
        <is>
          <t>accretech/dist/20261025_東京精密模型_v0.1.xlsx Val!B40</t>
        </is>
      </c>
      <c r="J55" s="4" t="n">
        <v>6136.30379041145</v>
      </c>
      <c r="K55" t="inlineStr">
        <is>
          <t>accretech/dist/20261025_東京精密模型_v0.1.xlsx Val!D23</t>
        </is>
      </c>
      <c r="N55">
        <f>價格!H55</f>
        <v/>
      </c>
      <c r="O55">
        <f>MIN(F55,H55)</f>
        <v/>
      </c>
      <c r="P55">
        <f>MIN(J55,L55)</f>
        <v/>
      </c>
      <c r="Q55" s="4" t="n">
        <v>0.258253370476048</v>
      </c>
      <c r="R55">
        <f>P55/N55-1</f>
        <v/>
      </c>
      <c r="S55">
        <f>IF(Q55&gt;0.5,"強力買進",IF(Q55&gt;0.25,"買進",IF(Q55&gt;=-0.25,"中立",IF(Q55&gt;=-0.5,"放空","強力放空"))))</f>
        <v/>
      </c>
      <c r="T55">
        <f>11632.8169386252/N55-1</f>
        <v/>
      </c>
      <c r="U55" t="inlineStr">
        <is>
          <t>舊法：規則值情境加權價（參考，Val!B111）</t>
        </is>
      </c>
      <c r="V55" t="inlineStr">
        <is>
          <t>14.4 ／ 18.7 ／ 27.6</t>
        </is>
      </c>
      <c r="W55" s="1" t="inlineStr">
        <is>
          <t>DCF 目標價 10,189.2（Val!B24）；Comparable 目標價 28,867.0（Val!B41）；市場共識目標價 20,900.0（Val!B42，外部、僅供對照）；價格帶 C～A 情境 DCF 6,136.3～15,099.6</t>
        </is>
      </c>
      <c r="Z55">
        <f>IF(ISNUMBER(價格!C55),價格!H55/價格!C55-1,"")</f>
        <v/>
      </c>
      <c r="AA55">
        <f>IF(Z55="","",IF(ABS(Z55)&gt;0.2,"模型尚未反映期間變化",""))</f>
        <v/>
      </c>
      <c r="AB55" t="inlineStr">
        <is>
          <t>淨利</t>
        </is>
      </c>
      <c r="AC55" t="inlineStr">
        <is>
          <t>PL 頁各情境模型年度淨利（不含實績）</t>
        </is>
      </c>
      <c r="AD55" t="inlineStr">
        <is>
          <t>10 個情境年度淨利（不含實績），全部為正</t>
        </is>
      </c>
      <c r="AE55" s="4" t="n">
        <v>335.6546994343125</v>
      </c>
      <c r="AF55" s="4" t="n">
        <v>22.1787798337895</v>
      </c>
      <c r="AG55" t="inlineStr">
        <is>
          <t>[Derived] accretech/dist/20261025_東京精密模型_v0.1.xlsx PL!D12…PL!G34</t>
        </is>
      </c>
      <c r="AH55">
        <f>IF(AB55="淨利",IF(AF55&gt;0,"通過（淨利）","不通過"),IF(AE55&lt;0,"不通過","通過（現金流）"))</f>
        <v/>
      </c>
      <c r="AI55">
        <f>IF(S55="未上市","未上市",IF(AND(AH55="不通過",OR(S55="強力買進",S55="買進",S55="未估值")),"收支不足",S55))</f>
        <v/>
      </c>
      <c r="AJ55">
        <f>IF(Q55&gt;0.5,"大於 50%",IF(Q55&gt;0.25,"25%–50%",IF(Q55&gt;=0,"0%–25%",IF(Q55&gt;=-0.25,"0%～−25%",IF(Q55&gt;=-0.5,"−25%～−50%","小於 −50%")))))</f>
        <v/>
      </c>
      <c r="AK55" s="1" t="inlineStr">
        <is>
          <t>上檔空間 accretech/dist/20261025_東京精密模型_v0.1.xlsx Val!B43；投資建議：模型尚未補列，依 AI半導體 固定規則自算；級距：模型尚未補列，依 AI半導體 固定規則自算</t>
        </is>
      </c>
    </row>
    <row r="56">
      <c r="A56" t="inlineStr">
        <is>
          <t>2317</t>
        </is>
      </c>
      <c r="B56" t="inlineStr">
        <is>
          <t>鴻海</t>
        </is>
      </c>
      <c r="C56">
        <f>價值鏈!A11</f>
        <v/>
      </c>
      <c r="D56" t="inlineStr">
        <is>
          <t>伺服器組裝</t>
        </is>
      </c>
      <c r="E56" t="inlineStr">
        <is>
          <t>加權目標價（DCF 50%＋Comparable 50%）</t>
        </is>
      </c>
      <c r="F56" s="4" t="n">
        <v>349.917288066706</v>
      </c>
      <c r="G56" t="inlineStr">
        <is>
          <t>foxconn/dist/20261025_鴻海模型_v0.2.xlsx Val!B120</t>
        </is>
      </c>
      <c r="J56" s="4" t="n">
        <v>209.885963820218</v>
      </c>
      <c r="K56" t="inlineStr">
        <is>
          <t>foxconn/dist/20261025_鴻海模型_v0.2.xlsx Val!D104</t>
        </is>
      </c>
      <c r="N56">
        <f>價格!H56</f>
        <v/>
      </c>
      <c r="O56">
        <f>MIN(F56,H56)</f>
        <v/>
      </c>
      <c r="P56">
        <f>MIN(J56,L56)</f>
        <v/>
      </c>
      <c r="Q56" s="4" t="n">
        <v>0.428233828843698</v>
      </c>
      <c r="R56">
        <f>P56/N56-1</f>
        <v/>
      </c>
      <c r="S56">
        <f>IF(Q56&gt;0.5,"強力買進",IF(Q56&gt;0.25,"買進",IF(Q56&gt;=-0.25,"中立",IF(Q56&gt;=-0.5,"放空","強力放空"))))</f>
        <v/>
      </c>
      <c r="T56">
        <f>261.429965980011/N56-1</f>
        <v/>
      </c>
      <c r="U56" t="inlineStr">
        <is>
          <t>舊法：規則值情境加權價（參考，Val!B38）</t>
        </is>
      </c>
      <c r="V56" t="inlineStr">
        <is>
          <t>7.8 ／ 8.8 ／ 10.4</t>
        </is>
      </c>
      <c r="W56" s="1" t="inlineStr">
        <is>
          <t>DCF 目標價 290.3（Val!B105）；Comparable 目標價 409.5（Val!B121）；市場共識目標價 347.4（Val!B122，外部、僅供對照）；價格帶 C～A 情境 DCF 209.9～347.2</t>
        </is>
      </c>
      <c r="Z56">
        <f>IF(ISNUMBER(價格!C56),價格!H56/價格!C56-1,"")</f>
        <v/>
      </c>
      <c r="AA56">
        <f>IF(Z56="","",IF(ABS(Z56)&gt;0.2,"模型尚未反映期間變化",""))</f>
        <v/>
      </c>
      <c r="AB56" t="inlineStr">
        <is>
          <t>淨利</t>
        </is>
      </c>
      <c r="AC56" t="inlineStr">
        <is>
          <t>PL 頁各情境模型年度淨利（不含實績）</t>
        </is>
      </c>
      <c r="AD56" t="inlineStr">
        <is>
          <t>8 個情境年度淨利（不含實績），全部為正</t>
        </is>
      </c>
      <c r="AE56" s="4" t="n">
        <v>3063.319471023556</v>
      </c>
      <c r="AF56" s="4" t="n">
        <v>275.25708735</v>
      </c>
      <c r="AG56" t="inlineStr">
        <is>
          <t>[Derived] foxconn/dist/20261025_鴻海模型_v0.2.xlsx PL!D13…PL!G39</t>
        </is>
      </c>
      <c r="AH56">
        <f>IF(AB56="淨利",IF(AF56&gt;0,"通過（淨利）","不通過"),IF(AE56&lt;0,"不通過","通過（現金流）"))</f>
        <v/>
      </c>
      <c r="AI56">
        <f>IF(S56="未上市","未上市",IF(AND(AH56="不通過",OR(S56="強力買進",S56="買進",S56="未估值")),"收支不足",S56))</f>
        <v/>
      </c>
      <c r="AJ56">
        <f>IF(Q56&gt;0.5,"大於 50%",IF(Q56&gt;0.25,"25%–50%",IF(Q56&gt;=0,"0%–25%",IF(Q56&gt;=-0.25,"0%～−25%",IF(Q56&gt;=-0.5,"−25%～−50%","小於 −50%")))))</f>
        <v/>
      </c>
      <c r="AK56" s="1" t="inlineStr">
        <is>
          <t>上檔空間 foxconn/dist/20261025_鴻海模型_v0.2.xlsx Val!B123；投資建議：模型尚未補列，依 AI半導體 固定規則自算；級距：模型尚未補列，依 AI半導體 固定規則自算</t>
        </is>
      </c>
    </row>
    <row r="57">
      <c r="A57" t="inlineStr">
        <is>
          <t>3231</t>
        </is>
      </c>
      <c r="B57" t="inlineStr">
        <is>
          <t>緯創</t>
        </is>
      </c>
      <c r="C57">
        <f>價值鏈!A11</f>
        <v/>
      </c>
      <c r="D57" t="inlineStr">
        <is>
          <t>伺服器組裝</t>
        </is>
      </c>
      <c r="E57" t="inlineStr">
        <is>
          <t>加權目標價（DCF 50%＋Comparable 50%）</t>
        </is>
      </c>
      <c r="F57" s="4" t="n">
        <v>355.133563866587</v>
      </c>
      <c r="G57" t="inlineStr">
        <is>
          <t>wistron/dist/20261025_緯創模型_v0.1.xlsx Val!B39</t>
        </is>
      </c>
      <c r="J57" s="4" t="n">
        <v>252.685401446693</v>
      </c>
      <c r="K57" t="inlineStr">
        <is>
          <t>wistron/dist/20261025_緯創模型_v0.1.xlsx Val!D23</t>
        </is>
      </c>
      <c r="N57">
        <f>價格!H57</f>
        <v/>
      </c>
      <c r="O57">
        <f>MIN(F57,H57)</f>
        <v/>
      </c>
      <c r="P57">
        <f>MIN(J57,L57)</f>
        <v/>
      </c>
      <c r="Q57" s="4" t="n">
        <v>0.869124020350456</v>
      </c>
      <c r="R57">
        <f>P57/N57-1</f>
        <v/>
      </c>
      <c r="S57">
        <f>IF(Q57&gt;0.5,"強力買進",IF(Q57&gt;0.25,"買進",IF(Q57&gt;=-0.25,"中立",IF(Q57&gt;=-0.5,"放空","強力放空"))))</f>
        <v/>
      </c>
      <c r="V57" t="inlineStr">
        <is>
          <t>5.7 ／ 7.0 ／ 9.2</t>
        </is>
      </c>
      <c r="W57" s="1" t="inlineStr">
        <is>
          <t>DCF 目標價 397.0（Val!B24）；Comparable 目標價 313.3（Val!B40）；市場共識目標價 268.7（Val!B41，外部、僅供對照）；價格帶 C～A 情境 DCF 252.7～495.5</t>
        </is>
      </c>
      <c r="Z57">
        <f>IF(ISNUMBER(價格!C57),價格!H57/價格!C57-1,"")</f>
        <v/>
      </c>
      <c r="AA57">
        <f>IF(Z57="","",IF(ABS(Z57)&gt;0.2,"模型尚未反映期間變化",""))</f>
        <v/>
      </c>
      <c r="AB57" t="inlineStr">
        <is>
          <t>淨利</t>
        </is>
      </c>
      <c r="AC57" t="inlineStr">
        <is>
          <t>PL 頁各情境模型年度淨利（不含實績）</t>
        </is>
      </c>
      <c r="AD57" t="inlineStr">
        <is>
          <t>17 個情境年度淨利（不含實績），全部為正</t>
        </is>
      </c>
      <c r="AE57" s="4" t="n">
        <v>1686.22072536712</v>
      </c>
      <c r="AF57" s="4" t="n">
        <v>59.6707048338912</v>
      </c>
      <c r="AG57" t="inlineStr">
        <is>
          <t>[Derived] wistron/dist/20261025_緯創模型_v0.1.xlsx PL!D13…PL!J41</t>
        </is>
      </c>
      <c r="AH57">
        <f>IF(AB57="淨利",IF(AF57&gt;0,"通過（淨利）","不通過"),IF(AE57&lt;0,"不通過","通過（現金流）"))</f>
        <v/>
      </c>
      <c r="AI57">
        <f>IF(S57="未上市","未上市",IF(AND(AH57="不通過",OR(S57="強力買進",S57="買進",S57="未估值")),"收支不足",S57))</f>
        <v/>
      </c>
      <c r="AJ57">
        <f>IF(Q57&gt;0.5,"大於 50%",IF(Q57&gt;0.25,"25%–50%",IF(Q57&gt;=0,"0%–25%",IF(Q57&gt;=-0.25,"0%～−25%",IF(Q57&gt;=-0.5,"−25%～−50%","小於 −50%")))))</f>
        <v/>
      </c>
      <c r="AK57" s="1" t="inlineStr">
        <is>
          <t>上檔空間 wistron/dist/20261025_緯創模型_v0.1.xlsx Val!B42；投資建議：模型尚未補列，依 AI半導體 固定規則自算；級距：模型尚未補列，依 AI半導體 固定規則自算</t>
        </is>
      </c>
    </row>
    <row r="58">
      <c r="A58" t="inlineStr">
        <is>
          <t>6669</t>
        </is>
      </c>
      <c r="B58" t="inlineStr">
        <is>
          <t>緯穎</t>
        </is>
      </c>
      <c r="C58">
        <f>價值鏈!A11</f>
        <v/>
      </c>
      <c r="D58" t="inlineStr">
        <is>
          <t>伺服器組裝</t>
        </is>
      </c>
      <c r="E58" t="inlineStr">
        <is>
          <t>加權目標價（DCF 50%＋Comparable 50%）</t>
        </is>
      </c>
      <c r="F58" s="4" t="n">
        <v>3314.42332268005</v>
      </c>
      <c r="G58" t="inlineStr">
        <is>
          <t>wiwynn/dist/20261025_緯穎模型_v0.1.xlsx Val!B39</t>
        </is>
      </c>
      <c r="J58" s="4" t="n">
        <v>2411.99384333378</v>
      </c>
      <c r="K58" t="inlineStr">
        <is>
          <t>wiwynn/dist/20261025_緯穎模型_v0.1.xlsx Val!D23</t>
        </is>
      </c>
      <c r="N58">
        <f>價格!H58</f>
        <v/>
      </c>
      <c r="O58">
        <f>MIN(F58,H58)</f>
        <v/>
      </c>
      <c r="P58">
        <f>MIN(J58,L58)</f>
        <v/>
      </c>
      <c r="Q58" s="4" t="n">
        <v>0.801317023195681</v>
      </c>
      <c r="R58">
        <f>P58/N58-1</f>
        <v/>
      </c>
      <c r="S58">
        <f>IF(Q58&gt;0.5,"強力買進",IF(Q58&gt;0.25,"買進",IF(Q58&gt;=-0.25,"中立",IF(Q58&gt;=-0.5,"放空","強力放空"))))</f>
        <v/>
      </c>
      <c r="V58" t="inlineStr">
        <is>
          <t>6.3 ／ 7.4 ／ 9.3</t>
        </is>
      </c>
      <c r="W58" s="1" t="inlineStr">
        <is>
          <t>DCF 目標價 3,755.8（Val!B24）；Comparable 目標價 2,873.0（Val!B40）；市場共識目標價 2,845.7（Val!B41，外部、僅供對照）；價格帶 C～A 情境 DCF 2,412.0～4,736.9</t>
        </is>
      </c>
      <c r="Z58">
        <f>IF(ISNUMBER(價格!C58),價格!H58/價格!C58-1,"")</f>
        <v/>
      </c>
      <c r="AA58">
        <f>IF(Z58="","",IF(ABS(Z58)&gt;0.2,"模型尚未反映期間變化",""))</f>
        <v/>
      </c>
      <c r="AB58" t="inlineStr">
        <is>
          <t>淨利</t>
        </is>
      </c>
      <c r="AC58" t="inlineStr">
        <is>
          <t>PL 頁各情境模型年度淨利（不含實績）</t>
        </is>
      </c>
      <c r="AD58" t="inlineStr">
        <is>
          <t>17 個情境年度淨利（不含實績），全部為正</t>
        </is>
      </c>
      <c r="AE58" s="4" t="n">
        <v>2434.816945249124</v>
      </c>
      <c r="AF58" s="4" t="n">
        <v>77.0324485376</v>
      </c>
      <c r="AG58" t="inlineStr">
        <is>
          <t>[Derived] wiwynn/dist/20261025_緯穎模型_v0.1.xlsx PL!D12…PL!J38</t>
        </is>
      </c>
      <c r="AH58">
        <f>IF(AB58="淨利",IF(AF58&gt;0,"通過（淨利）","不通過"),IF(AE58&lt;0,"不通過","通過（現金流）"))</f>
        <v/>
      </c>
      <c r="AI58">
        <f>IF(S58="未上市","未上市",IF(AND(AH58="不通過",OR(S58="強力買進",S58="買進",S58="未估值")),"收支不足",S58))</f>
        <v/>
      </c>
      <c r="AJ58">
        <f>IF(Q58&gt;0.5,"大於 50%",IF(Q58&gt;0.25,"25%–50%",IF(Q58&gt;=0,"0%–25%",IF(Q58&gt;=-0.25,"0%～−25%",IF(Q58&gt;=-0.5,"−25%～−50%","小於 −50%")))))</f>
        <v/>
      </c>
      <c r="AK58" s="1" t="inlineStr">
        <is>
          <t>上檔空間 wiwynn/dist/20261025_緯穎模型_v0.1.xlsx Val!B42；投資建議：模型尚未補列，依 AI半導體 固定規則自算；級距：模型尚未補列，依 AI半導體 固定規則自算</t>
        </is>
      </c>
    </row>
    <row r="59">
      <c r="A59" t="inlineStr">
        <is>
          <t>DELL</t>
        </is>
      </c>
      <c r="B59" t="inlineStr">
        <is>
          <t>Dell</t>
        </is>
      </c>
      <c r="C59">
        <f>價值鏈!A11</f>
        <v/>
      </c>
      <c r="D59" t="inlineStr">
        <is>
          <t>伺服器組裝</t>
        </is>
      </c>
      <c r="E59" t="inlineStr">
        <is>
          <t>加權目標價（DCF 50%＋Comparable 50%）</t>
        </is>
      </c>
      <c r="F59" s="4" t="n">
        <v>366.647549690362</v>
      </c>
      <c r="G59" t="inlineStr">
        <is>
          <t>dell/dist/20261025_戴爾模型_v0.1.xlsx Val!B39</t>
        </is>
      </c>
      <c r="J59" s="4" t="n">
        <v>288.038263857982</v>
      </c>
      <c r="K59" t="inlineStr">
        <is>
          <t>dell/dist/20261025_戴爾模型_v0.1.xlsx Val!D23</t>
        </is>
      </c>
      <c r="N59">
        <f>價格!H59</f>
        <v/>
      </c>
      <c r="O59">
        <f>MIN(F59,H59)</f>
        <v/>
      </c>
      <c r="P59">
        <f>MIN(J59,L59)</f>
        <v/>
      </c>
      <c r="Q59" s="4" t="n">
        <v>-0.196723447352638</v>
      </c>
      <c r="R59">
        <f>P59/N59-1</f>
        <v/>
      </c>
      <c r="S59" s="4" t="inlineStr">
        <is>
          <t>中立</t>
        </is>
      </c>
      <c r="V59" t="inlineStr">
        <is>
          <t>15.1 ／ 15.1 ／ 15.1</t>
        </is>
      </c>
      <c r="W59" s="1" t="inlineStr">
        <is>
          <t>DCF 目標價 411.9（Val!B24）；Comparable 目標價 321.4（Val!B40）；市場共識目標價 593.0（Val!B41，外部、僅供對照）；價格帶 C～A 情境 DCF 288.0～510.8</t>
        </is>
      </c>
      <c r="Z59">
        <f>IF(ISNUMBER(價格!C59),價格!H59/價格!C59-1,"")</f>
        <v/>
      </c>
      <c r="AA59">
        <f>IF(Z59="","",IF(ABS(Z59)&gt;0.2,"模型尚未反映期間變化",""))</f>
        <v/>
      </c>
      <c r="AB59" t="inlineStr">
        <is>
          <t>淨利</t>
        </is>
      </c>
      <c r="AC59" t="inlineStr">
        <is>
          <t>PL 頁各情境模型年度淨利（不含實績）</t>
        </is>
      </c>
      <c r="AD59" t="inlineStr">
        <is>
          <t>14 個情境年度淨利（不含實績），全部為正</t>
        </is>
      </c>
      <c r="AE59" s="4" t="n">
        <v>245.4895093175961</v>
      </c>
      <c r="AF59" s="4" t="n">
        <v>12.0997764519591</v>
      </c>
      <c r="AG59" t="inlineStr">
        <is>
          <t>[Derived] dell/dist/20261025_戴爾模型_v0.1.xlsx PL!D13…PL!I41</t>
        </is>
      </c>
      <c r="AH59">
        <f>IF(AB59="淨利",IF(AF59&gt;0,"通過（淨利）","不通過"),IF(AE59&lt;0,"不通過","通過（現金流）"))</f>
        <v/>
      </c>
      <c r="AI59">
        <f>IF(S59="未上市","未上市",IF(AND(AH59="不通過",OR(S59="強力買進",S59="買進",S59="未估值")),"收支不足",S59))</f>
        <v/>
      </c>
      <c r="AJ59" s="4" t="inlineStr">
        <is>
          <t>0%～−25%</t>
        </is>
      </c>
      <c r="AK59" s="1" t="inlineStr">
        <is>
          <t>上檔空間 dell/dist/20261025_戴爾模型_v0.1.xlsx Val!B42；投資建議 dell/dist/20261025_戴爾模型_v0.1.xlsx Val!B49；級距 dell/dist/20261025_戴爾模型_v0.1.xlsx Val!B48</t>
        </is>
      </c>
    </row>
    <row r="60">
      <c r="A60" t="inlineStr">
        <is>
          <t>SMCI</t>
        </is>
      </c>
      <c r="B60" t="inlineStr">
        <is>
          <t>Supermicro</t>
        </is>
      </c>
      <c r="C60">
        <f>價值鏈!A11</f>
        <v/>
      </c>
      <c r="D60" t="inlineStr">
        <is>
          <t>伺服器組裝</t>
        </is>
      </c>
      <c r="E60" t="inlineStr">
        <is>
          <t>加權目標價（DCF 50%＋Comparable 50%）</t>
        </is>
      </c>
      <c r="F60" s="4" t="n">
        <v>76.5884933063349</v>
      </c>
      <c r="G60" t="inlineStr">
        <is>
          <t>smci/dist/20261025_美超微模型_v0.1.xlsx Val!B39</t>
        </is>
      </c>
      <c r="J60" s="4" t="n">
        <v>31.419993199526</v>
      </c>
      <c r="K60" t="inlineStr">
        <is>
          <t>smci/dist/20261025_美超微模型_v0.1.xlsx Val!D23</t>
        </is>
      </c>
      <c r="N60">
        <f>價格!H60</f>
        <v/>
      </c>
      <c r="O60">
        <f>MIN(F60,H60)</f>
        <v/>
      </c>
      <c r="P60">
        <f>MIN(J60,L60)</f>
        <v/>
      </c>
      <c r="Q60" s="4" t="n">
        <v>1.32509087147343</v>
      </c>
      <c r="R60">
        <f>P60/N60-1</f>
        <v/>
      </c>
      <c r="S60">
        <f>IF(Q60&gt;0.5,"強力買進",IF(Q60&gt;0.25,"買進",IF(Q60&gt;=-0.25,"中立",IF(Q60&gt;=-0.5,"放空","強力放空"))))</f>
        <v/>
      </c>
      <c r="V60" t="inlineStr">
        <is>
          <t>3.8 ／ 5.4 ／ 9.2</t>
        </is>
      </c>
      <c r="W60" s="1" t="inlineStr">
        <is>
          <t>DCF 目標價 78.0（Val!B24）；Comparable 目標價 75.2（Val!B40）；市場共識目標價 43.3（Val!B41，外部、僅供對照）；價格帶 C～A 情境 DCF 31.4～128.1</t>
        </is>
      </c>
      <c r="Z60">
        <f>IF(ISNUMBER(價格!C60),價格!H60/價格!C60-1,"")</f>
        <v/>
      </c>
      <c r="AA60">
        <f>IF(Z60="","",IF(ABS(Z60)&gt;0.2,"模型尚未反映期間變化",""))</f>
        <v/>
      </c>
      <c r="AB60" t="inlineStr">
        <is>
          <t>淨利</t>
        </is>
      </c>
      <c r="AC60" t="inlineStr">
        <is>
          <t>PL 頁各情境模型年度淨利（不含實績）</t>
        </is>
      </c>
      <c r="AD60" t="inlineStr">
        <is>
          <t>18 個情境年度淨利（不含實績），全部為正</t>
        </is>
      </c>
      <c r="AE60" s="4" t="n">
        <v>87.28958129908457</v>
      </c>
      <c r="AF60" s="4" t="n">
        <v>2.01201595667954</v>
      </c>
      <c r="AG60" t="inlineStr">
        <is>
          <t>[Derived] smci/dist/20261025_美超微模型_v0.1.xlsx PL!E12…PL!J38</t>
        </is>
      </c>
      <c r="AH60">
        <f>IF(AB60="淨利",IF(AF60&gt;0,"通過（淨利）","不通過"),IF(AE60&lt;0,"不通過","通過（現金流）"))</f>
        <v/>
      </c>
      <c r="AI60">
        <f>IF(S60="未上市","未上市",IF(AND(AH60="不通過",OR(S60="強力買進",S60="買進",S60="未估值")),"收支不足",S60))</f>
        <v/>
      </c>
      <c r="AJ60">
        <f>IF(Q60&gt;0.5,"大於 50%",IF(Q60&gt;0.25,"25%–50%",IF(Q60&gt;=0,"0%–25%",IF(Q60&gt;=-0.25,"0%～−25%",IF(Q60&gt;=-0.5,"−25%～−50%","小於 −50%")))))</f>
        <v/>
      </c>
      <c r="AK60" s="1" t="inlineStr">
        <is>
          <t>上檔空間 smci/dist/20261025_美超微模型_v0.1.xlsx Val!B42；投資建議：模型尚未補列，依 AI半導體 固定規則自算；級距：模型尚未補列，依 AI半導體 固定規則自算</t>
        </is>
      </c>
    </row>
    <row r="61">
      <c r="A61" t="inlineStr">
        <is>
          <t>3017</t>
        </is>
      </c>
      <c r="B61" t="inlineStr">
        <is>
          <t>奇鋐</t>
        </is>
      </c>
      <c r="C61">
        <f>價值鏈!A10</f>
        <v/>
      </c>
      <c r="D61" t="inlineStr">
        <is>
          <t>電源與散熱</t>
        </is>
      </c>
      <c r="E61" t="inlineStr">
        <is>
          <t>加權目標價（DCF 50%＋Comparable 50%）</t>
        </is>
      </c>
      <c r="F61" s="4" t="n">
        <v>3955.89398288466</v>
      </c>
      <c r="G61" t="inlineStr">
        <is>
          <t>avc/dist/20261025_奇鋐模型_v0.2.xlsx Val!B119</t>
        </is>
      </c>
      <c r="J61" s="4" t="n">
        <v>2016.1990416386</v>
      </c>
      <c r="K61" t="inlineStr">
        <is>
          <t>avc/dist/20261025_奇鋐模型_v0.2.xlsx Val!D104</t>
        </is>
      </c>
      <c r="N61">
        <f>價格!H61</f>
        <v/>
      </c>
      <c r="O61">
        <f>MIN(F61,H61)</f>
        <v/>
      </c>
      <c r="P61">
        <f>MIN(J61,L61)</f>
        <v/>
      </c>
      <c r="Q61" s="4" t="n">
        <v>0.257835924605614</v>
      </c>
      <c r="R61">
        <f>P61/N61-1</f>
        <v/>
      </c>
      <c r="S61">
        <f>IF(Q61&gt;0.5,"強力買進",IF(Q61&gt;0.25,"買進",IF(Q61&gt;=-0.25,"中立",IF(Q61&gt;=-0.5,"放空","強力放空"))))</f>
        <v/>
      </c>
      <c r="T61">
        <f>2025.40760731771/N61-1</f>
        <v/>
      </c>
      <c r="U61" t="inlineStr">
        <is>
          <t>舊法：規則值情境加權價（參考，Val!B75）</t>
        </is>
      </c>
      <c r="V61" t="inlineStr">
        <is>
          <t>15.0 ／ 17.7 ／ 21.9</t>
        </is>
      </c>
      <c r="W61" s="1" t="inlineStr">
        <is>
          <t>DCF 目標價 3,027.2（Val!B105）；Comparable 目標價 4,884.6（Val!B120）；市場共識目標價 4,130.0（Val!B121，外部、僅供對照）；價格帶 C～A 情境 DCF 2,016.2～3,706.7</t>
        </is>
      </c>
      <c r="Z61">
        <f>IF(ISNUMBER(價格!C61),價格!H61/價格!C61-1,"")</f>
        <v/>
      </c>
      <c r="AA61">
        <f>IF(Z61="","",IF(ABS(Z61)&gt;0.2,"模型尚未反映期間變化",""))</f>
        <v/>
      </c>
      <c r="AB61" t="inlineStr">
        <is>
          <t>淨利</t>
        </is>
      </c>
      <c r="AC61" t="inlineStr">
        <is>
          <t>PL 頁各情境模型年度淨利（不含實績）</t>
        </is>
      </c>
      <c r="AD61" t="inlineStr">
        <is>
          <t>8 個情境年度淨利（不含實績），全部為正</t>
        </is>
      </c>
      <c r="AE61" s="4" t="n">
        <v>547.0033990860203</v>
      </c>
      <c r="AF61" s="4" t="n">
        <v>41.5923093275</v>
      </c>
      <c r="AG61" t="inlineStr">
        <is>
          <t>[Derived] avc/dist/20261025_奇鋐模型_v0.2.xlsx PL!D14…PL!G42</t>
        </is>
      </c>
      <c r="AH61">
        <f>IF(AB61="淨利",IF(AF61&gt;0,"通過（淨利）","不通過"),IF(AE61&lt;0,"不通過","通過（現金流）"))</f>
        <v/>
      </c>
      <c r="AI61">
        <f>IF(S61="未上市","未上市",IF(AND(AH61="不通過",OR(S61="強力買進",S61="買進",S61="未估值")),"收支不足",S61))</f>
        <v/>
      </c>
      <c r="AJ61">
        <f>IF(Q61&gt;0.5,"大於 50%",IF(Q61&gt;0.25,"25%–50%",IF(Q61&gt;=0,"0%–25%",IF(Q61&gt;=-0.25,"0%～−25%",IF(Q61&gt;=-0.5,"−25%～−50%","小於 −50%")))))</f>
        <v/>
      </c>
      <c r="AK61" s="1" t="inlineStr">
        <is>
          <t>上檔空間 avc/dist/20261025_奇鋐模型_v0.2.xlsx Val!B122；投資建議：模型尚未補列，依 AI半導體 固定規則自算；級距：模型尚未補列，依 AI半導體 固定規則自算</t>
        </is>
      </c>
    </row>
    <row r="62">
      <c r="A62" t="inlineStr">
        <is>
          <t>2301</t>
        </is>
      </c>
      <c r="B62" t="inlineStr">
        <is>
          <t>光寶</t>
        </is>
      </c>
      <c r="C62">
        <f>價值鏈!A10</f>
        <v/>
      </c>
      <c r="D62" t="inlineStr">
        <is>
          <t>電源與散熱</t>
        </is>
      </c>
      <c r="E62" t="inlineStr">
        <is>
          <t>加權目標價（DCF 50%＋Comparable 50%）</t>
        </is>
      </c>
      <c r="F62" s="4" t="n">
        <v>423.952672244219</v>
      </c>
      <c r="G62" t="inlineStr">
        <is>
          <t>liteon/dist/20261025_光寶模型_v0.1.xlsx Val!B40</t>
        </is>
      </c>
      <c r="J62" s="4" t="n">
        <v>120.896373289929</v>
      </c>
      <c r="K62" t="inlineStr">
        <is>
          <t>liteon/dist/20261025_光寶模型_v0.1.xlsx Val!D23</t>
        </is>
      </c>
      <c r="N62">
        <f>價格!H62</f>
        <v/>
      </c>
      <c r="O62">
        <f>MIN(F62,H62)</f>
        <v/>
      </c>
      <c r="P62">
        <f>MIN(J62,L62)</f>
        <v/>
      </c>
      <c r="Q62" s="4" t="n">
        <v>0.6593059579030091</v>
      </c>
      <c r="R62">
        <f>P62/N62-1</f>
        <v/>
      </c>
      <c r="S62">
        <f>IF(Q62&gt;0.5,"強力買進",IF(Q62&gt;0.25,"買進",IF(Q62&gt;=-0.25,"中立",IF(Q62&gt;=-0.5,"放空","強力放空"))))</f>
        <v/>
      </c>
      <c r="V62" t="inlineStr">
        <is>
          <t>8.5 ／ 12.2 ／ 18.7</t>
        </is>
      </c>
      <c r="W62" s="1" t="inlineStr">
        <is>
          <t>DCF 目標價 318.7（Val!B24）；Comparable 目標價 529.2（Val!B41）；市場共識目標價 314.2（Val!B42，外部、僅供對照）；價格帶 C～A 情境 DCF 120.9～530.8</t>
        </is>
      </c>
      <c r="Z62">
        <f>IF(ISNUMBER(價格!C62),價格!H62/價格!C62-1,"")</f>
        <v/>
      </c>
      <c r="AA62">
        <f>IF(Z62="","",IF(ABS(Z62)&gt;0.2,"模型尚未反映期間變化",""))</f>
        <v/>
      </c>
      <c r="AB62" t="inlineStr">
        <is>
          <t>淨利</t>
        </is>
      </c>
      <c r="AC62" t="inlineStr">
        <is>
          <t>PL 頁各情境模型年度淨利（不含實績）</t>
        </is>
      </c>
      <c r="AD62" t="inlineStr">
        <is>
          <t>19 個情境年度淨利（不含實績），全部為正</t>
        </is>
      </c>
      <c r="AE62" s="4" t="n">
        <v>1037.716035148552</v>
      </c>
      <c r="AF62" s="4" t="n">
        <v>20.477547021345</v>
      </c>
      <c r="AG62" t="inlineStr">
        <is>
          <t>[Derived] liteon/dist/20261025_光寶模型_v0.1.xlsx PL!D12…PL!J38</t>
        </is>
      </c>
      <c r="AH62">
        <f>IF(AB62="淨利",IF(AF62&gt;0,"通過（淨利）","不通過"),IF(AE62&lt;0,"不通過","通過（現金流）"))</f>
        <v/>
      </c>
      <c r="AI62">
        <f>IF(S62="未上市","未上市",IF(AND(AH62="不通過",OR(S62="強力買進",S62="買進",S62="未估值")),"收支不足",S62))</f>
        <v/>
      </c>
      <c r="AJ62">
        <f>IF(Q62&gt;0.5,"大於 50%",IF(Q62&gt;0.25,"25%–50%",IF(Q62&gt;=0,"0%–25%",IF(Q62&gt;=-0.25,"0%～−25%",IF(Q62&gt;=-0.5,"−25%～−50%","小於 −50%")))))</f>
        <v/>
      </c>
      <c r="AK62" s="1" t="inlineStr">
        <is>
          <t>上檔空間 liteon/dist/20261025_光寶模型_v0.1.xlsx Val!B43；投資建議：模型尚未補列，依 AI半導體 固定規則自算；級距：模型尚未補列，依 AI半導體 固定規則自算</t>
        </is>
      </c>
    </row>
    <row r="63">
      <c r="A63" t="inlineStr">
        <is>
          <t>3324</t>
        </is>
      </c>
      <c r="B63" t="inlineStr">
        <is>
          <t>雙鴻</t>
        </is>
      </c>
      <c r="C63">
        <f>價值鏈!A10</f>
        <v/>
      </c>
      <c r="D63" t="inlineStr">
        <is>
          <t>電源與散熱</t>
        </is>
      </c>
      <c r="E63" t="inlineStr">
        <is>
          <t>加權目標價（DCF 50%＋Comparable 50%）</t>
        </is>
      </c>
      <c r="F63" s="4" t="n">
        <v>2768.77367482094</v>
      </c>
      <c r="G63" t="inlineStr">
        <is>
          <t>auras/dist/20261025_雙鴻模型_v0.1.xlsx Val!B39</t>
        </is>
      </c>
      <c r="J63" s="4" t="n">
        <v>700.059483037327</v>
      </c>
      <c r="K63" t="inlineStr">
        <is>
          <t>auras/dist/20261025_雙鴻模型_v0.1.xlsx Val!D23</t>
        </is>
      </c>
      <c r="N63">
        <f>價格!H63</f>
        <v/>
      </c>
      <c r="O63">
        <f>MIN(F63,H63)</f>
        <v/>
      </c>
      <c r="P63">
        <f>MIN(J63,L63)</f>
        <v/>
      </c>
      <c r="Q63" s="4" t="n">
        <v>1.03586299619186</v>
      </c>
      <c r="R63">
        <f>P63/N63-1</f>
        <v/>
      </c>
      <c r="S63">
        <f>IF(Q63&gt;0.5,"強力買進",IF(Q63&gt;0.25,"買進",IF(Q63&gt;=-0.25,"中立",IF(Q63&gt;=-0.5,"放空","強力放空"))))</f>
        <v/>
      </c>
      <c r="V63" t="inlineStr">
        <is>
          <t>7.2 ／ 11.5 ／ 22.2</t>
        </is>
      </c>
      <c r="W63" s="1" t="inlineStr">
        <is>
          <t>DCF 目標價 1,978.6（Val!B24）；Comparable 目標價 3,558.9（Val!B40）；市場共識目標價 1,523.0（Val!B41，外部、僅供對照）；價格帶 C～A 情境 DCF 700.1～3,222.7</t>
        </is>
      </c>
      <c r="Z63">
        <f>IF(ISNUMBER(價格!C63),價格!H63/價格!C63-1,"")</f>
        <v/>
      </c>
      <c r="AA63">
        <f>IF(Z63="","",IF(ABS(Z63)&gt;0.2,"模型尚未反映期間變化",""))</f>
        <v/>
      </c>
      <c r="AB63" t="inlineStr">
        <is>
          <t>淨利</t>
        </is>
      </c>
      <c r="AC63" t="inlineStr">
        <is>
          <t>PL 頁各情境模型年度淨利（不含實績）</t>
        </is>
      </c>
      <c r="AD63" t="inlineStr">
        <is>
          <t>10 個情境年度淨利（不含實績），全部為正</t>
        </is>
      </c>
      <c r="AE63" s="4" t="n">
        <v>106.7851434762805</v>
      </c>
      <c r="AF63" s="4" t="n">
        <v>4.923841117248</v>
      </c>
      <c r="AG63" t="inlineStr">
        <is>
          <t>[Derived] auras/dist/20261025_雙鴻模型_v0.1.xlsx PL!D14…PL!G42</t>
        </is>
      </c>
      <c r="AH63">
        <f>IF(AB63="淨利",IF(AF63&gt;0,"通過（淨利）","不通過"),IF(AE63&lt;0,"不通過","通過（現金流）"))</f>
        <v/>
      </c>
      <c r="AI63">
        <f>IF(S63="未上市","未上市",IF(AND(AH63="不通過",OR(S63="強力買進",S63="買進",S63="未估值")),"收支不足",S63))</f>
        <v/>
      </c>
      <c r="AJ63">
        <f>IF(Q63&gt;0.5,"大於 50%",IF(Q63&gt;0.25,"25%–50%",IF(Q63&gt;=0,"0%–25%",IF(Q63&gt;=-0.25,"0%～−25%",IF(Q63&gt;=-0.5,"−25%～−50%","小於 −50%")))))</f>
        <v/>
      </c>
      <c r="AK63" s="1" t="inlineStr">
        <is>
          <t>上檔空間 auras/dist/20261025_雙鴻模型_v0.1.xlsx Val!B42；投資建議：模型尚未補列，依 AI半導體 固定規則自算；級距：模型尚未補列，依 AI半導體 固定規則自算</t>
        </is>
      </c>
    </row>
    <row r="64">
      <c r="A64" t="inlineStr">
        <is>
          <t>3653</t>
        </is>
      </c>
      <c r="B64" t="inlineStr">
        <is>
          <t>健策</t>
        </is>
      </c>
      <c r="C64">
        <f>價值鏈!A10</f>
        <v/>
      </c>
      <c r="D64" t="inlineStr">
        <is>
          <t>電源與散熱</t>
        </is>
      </c>
      <c r="E64" t="inlineStr">
        <is>
          <t>加權目標價（DCF 50%＋Comparable 50%）</t>
        </is>
      </c>
      <c r="F64" s="4" t="n">
        <v>3889.06729451463</v>
      </c>
      <c r="G64" t="inlineStr">
        <is>
          <t>jentech/dist/20261025_健策模型_v0.1.xlsx Val!B40</t>
        </is>
      </c>
      <c r="J64" s="4" t="n">
        <v>1371.95946165303</v>
      </c>
      <c r="K64" t="inlineStr">
        <is>
          <t>jentech/dist/20261025_健策模型_v0.1.xlsx Val!D23</t>
        </is>
      </c>
      <c r="N64">
        <f>價格!H64</f>
        <v/>
      </c>
      <c r="O64">
        <f>MIN(F64,H64)</f>
        <v/>
      </c>
      <c r="P64">
        <f>MIN(J64,L64)</f>
        <v/>
      </c>
      <c r="Q64" s="4" t="n">
        <v>-0.359296986076668</v>
      </c>
      <c r="R64">
        <f>P64/N64-1</f>
        <v/>
      </c>
      <c r="S64" s="4" t="inlineStr">
        <is>
          <t>放空</t>
        </is>
      </c>
      <c r="V64" t="inlineStr">
        <is>
          <t>23.7 ／ 36.4 ／ 59.8</t>
        </is>
      </c>
      <c r="W64" s="1" t="inlineStr">
        <is>
          <t>DCF 目標價 3,242.1（Val!B24）；Comparable 目標價 4,536.0（Val!B41）；市場共識目標價 7,204.0（Val!B42，外部、僅供對照）；價格帶 C～A 情境 DCF 1,372.0～5,003.3</t>
        </is>
      </c>
      <c r="Z64">
        <f>IF(ISNUMBER(價格!C64),價格!H64/價格!C64-1,"")</f>
        <v/>
      </c>
      <c r="AA64">
        <f>IF(Z64="","",IF(ABS(Z64)&gt;0.2,"模型尚未反映期間變化",""))</f>
        <v/>
      </c>
      <c r="AB64" t="inlineStr">
        <is>
          <t>淨利</t>
        </is>
      </c>
      <c r="AC64" t="inlineStr">
        <is>
          <t>PL 頁各情境模型年度淨利（不含實績）</t>
        </is>
      </c>
      <c r="AD64" t="inlineStr">
        <is>
          <t>19 個情境年度淨利（不含實績），全部為正</t>
        </is>
      </c>
      <c r="AE64" s="4" t="n">
        <v>568.2809424571311</v>
      </c>
      <c r="AF64" s="4" t="n">
        <v>10.3442061825</v>
      </c>
      <c r="AG64" t="inlineStr">
        <is>
          <t>[Derived] jentech/dist/20261025_健策模型_v0.1.xlsx PL!D13…PL!J41</t>
        </is>
      </c>
      <c r="AH64">
        <f>IF(AB64="淨利",IF(AF64&gt;0,"通過（淨利）","不通過"),IF(AE64&lt;0,"不通過","通過（現金流）"))</f>
        <v/>
      </c>
      <c r="AI64">
        <f>IF(S64="未上市","未上市",IF(AND(AH64="不通過",OR(S64="強力買進",S64="買進",S64="未估值")),"收支不足",S64))</f>
        <v/>
      </c>
      <c r="AJ64" s="4" t="inlineStr">
        <is>
          <t>−25%～−50%</t>
        </is>
      </c>
      <c r="AK64" s="1" t="inlineStr">
        <is>
          <t>上檔空間 jentech/dist/20261025_健策模型_v0.1.xlsx Val!B43；投資建議 jentech/dist/20261025_健策模型_v0.1.xlsx Val!B46；級距 jentech/dist/20261025_健策模型_v0.1.xlsx Val!B45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有模型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有模型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有模型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有模型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有模型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有模型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有模型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有模型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有模型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有模型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有模型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有模型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有模型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有模型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有模型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有模型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有模型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有模型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有模型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有模型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有模型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有模型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有模型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有模型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有模型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有模型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有模型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有模型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有模型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有模型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有模型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有模型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有模型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有模型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有模型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有模型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有模型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有模型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有模型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OpenAI</t>
        </is>
      </c>
      <c r="D69" t="inlineStr">
        <is>
          <t>OpenAI</t>
        </is>
      </c>
      <c r="E69" t="inlineStr">
        <is>
          <t>未上市</t>
        </is>
      </c>
      <c r="F69" t="inlineStr"/>
      <c r="G69" t="n">
        <v>1</v>
      </c>
      <c r="H69" t="inlineStr">
        <is>
          <t>ChatGPT 與 API 用量最大的模型商；算力承諾最大（本專案 OpenAI 模型）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Anthropic</t>
        </is>
      </c>
      <c r="D70" t="inlineStr">
        <is>
          <t>Anthropic</t>
        </is>
      </c>
      <c r="E70" t="inlineStr">
        <is>
          <t>未上市</t>
        </is>
      </c>
      <c r="F70" t="inlineStr"/>
      <c r="G70" t="n">
        <v>1</v>
      </c>
      <c r="H70" t="inlineStr">
        <is>
          <t>企業與程式開發用途為主的前沿模型商（本專案 Anthropic 模型）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MiniMax</t>
        </is>
      </c>
      <c r="D71" t="inlineStr">
        <is>
          <t>00100</t>
        </is>
      </c>
      <c r="E71" t="inlineStr">
        <is>
          <t>港</t>
        </is>
      </c>
      <c r="F71" t="inlineStr"/>
      <c r="G71" t="n">
        <v>3</v>
      </c>
      <c r="H71" t="inlineStr">
        <is>
          <t>中國第二梯隊模型商；多模態、海外營收占比高</t>
        </is>
      </c>
      <c r="I71" t="inlineStr">
        <is>
          <t>[判斷]</t>
        </is>
      </c>
      <c r="J71" t="inlineStr">
        <is>
          <t>有模型</t>
        </is>
      </c>
    </row>
    <row r="72">
      <c r="A72" t="inlineStr">
        <is>
          <t>AI 模型商</t>
        </is>
      </c>
      <c r="B72" t="inlineStr"/>
      <c r="C72" t="inlineStr">
        <is>
          <t>智譜</t>
        </is>
      </c>
      <c r="D72" t="inlineStr">
        <is>
          <t>02513</t>
        </is>
      </c>
      <c r="E72" t="inlineStr">
        <is>
          <t>港</t>
        </is>
      </c>
      <c r="F72" t="inlineStr"/>
      <c r="G72" t="n">
        <v>3</v>
      </c>
      <c r="H72" t="inlineStr">
        <is>
          <t>中國第二梯隊模型商；政企本地化部署</t>
        </is>
      </c>
      <c r="I72" t="inlineStr">
        <is>
          <t>[判斷]</t>
        </is>
      </c>
      <c r="J72" t="inlineStr">
        <is>
          <t>有模型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2026-10-27T06:29:05Z</dcterms:created>
  <dcterms:modified xmlns:dcterms="http://purl.org/dc/terms/" xmlns:xsi="http://www.w3.org/2001/XMLSchema-instance" xsi:type="dcterms:W3CDTF">2026-10-27T06:29:05Z</dcterms:modified>
</cp:coreProperties>
</file>