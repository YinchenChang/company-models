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Ann" sheetId="3" state="visible" r:id="rId5"/>
    <sheet name="Path" sheetId="4" state="visible" r:id="rId6"/>
    <sheet name="Mkt" sheetId="5" state="visible" r:id="rId7"/>
    <sheet name="Sup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25" vbProcedure="false">In!$E$70</definedName>
    <definedName function="false" hidden="false" name="ai25_hi" vbProcedure="false">In!$F$70</definedName>
    <definedName function="false" hidden="false" name="ai25_lo" vbProcedure="false">In!$D$70</definedName>
    <definedName function="false" hidden="false" name="bits25" vbProcedure="false">In!$E$67</definedName>
    <definedName function="false" hidden="false" name="bits25_hi" vbProcedure="false">In!$F$67</definedName>
    <definedName function="false" hidden="false" name="bits25_lo" vbProcedure="false">In!$D$67</definedName>
    <definedName function="false" hidden="false" name="dr_jv_A" vbProcedure="false">In!$E$139</definedName>
    <definedName function="false" hidden="false" name="dr_jv_A_hi" vbProcedure="false">In!$F$139</definedName>
    <definedName function="false" hidden="false" name="dr_jv_A_lo" vbProcedure="false">In!$D$139</definedName>
    <definedName function="false" hidden="false" name="dr_jv_B" vbProcedure="false">In!$E$140</definedName>
    <definedName function="false" hidden="false" name="dr_jv_B_hi" vbProcedure="false">In!$F$140</definedName>
    <definedName function="false" hidden="false" name="dr_jv_B_lo" vbProcedure="false">In!$D$140</definedName>
    <definedName function="false" hidden="false" name="dr_jv_C" vbProcedure="false">In!$E$141</definedName>
    <definedName function="false" hidden="false" name="dr_jv_C_hi" vbProcedure="false">In!$F$141</definedName>
    <definedName function="false" hidden="false" name="dr_jv_C_lo" vbProcedure="false">In!$D$141</definedName>
    <definedName function="false" hidden="false" name="dr_mu" vbProcedure="false">In!$E$138</definedName>
    <definedName function="false" hidden="false" name="dr_mu_hi" vbProcedure="false">In!$F$138</definedName>
    <definedName function="false" hidden="false" name="dr_mu_lo" vbProcedure="false">In!$D$138</definedName>
    <definedName function="false" hidden="false" name="dr_sk" vbProcedure="false">In!$E$137</definedName>
    <definedName function="false" hidden="false" name="dr_sk_hi" vbProcedure="false">In!$F$137</definedName>
    <definedName function="false" hidden="false" name="dr_sk_lo" vbProcedure="false">In!$D$137</definedName>
    <definedName function="false" hidden="false" name="dr_ss" vbProcedure="false">In!$E$136</definedName>
    <definedName function="false" hidden="false" name="dr_ss_hi" vbProcedure="false">In!$F$136</definedName>
    <definedName function="false" hidden="false" name="dr_ss_lo" vbProcedure="false">In!$D$136</definedName>
    <definedName function="false" hidden="false" name="g25" vbProcedure="false">In!$E$68</definedName>
    <definedName function="false" hidden="false" name="g25_hi" vbProcedure="false">In!$F$68</definedName>
    <definedName function="false" hidden="false" name="g25_lo" vbProcedure="false">In!$D$68</definedName>
    <definedName function="false" hidden="false" name="gs_26" vbProcedure="false">In!$E$84</definedName>
    <definedName function="false" hidden="false" name="gs_26_hi" vbProcedure="false">In!$F$84</definedName>
    <definedName function="false" hidden="false" name="gs_26_lo" vbProcedure="false">In!$D$84</definedName>
    <definedName function="false" hidden="false" name="gs_27" vbProcedure="false">In!$E$85</definedName>
    <definedName function="false" hidden="false" name="gs_27_hi" vbProcedure="false">In!$F$85</definedName>
    <definedName function="false" hidden="false" name="gs_27_lo" vbProcedure="false">In!$D$85</definedName>
    <definedName function="false" hidden="false" name="gs_28" vbProcedure="false">In!$E$86</definedName>
    <definedName function="false" hidden="false" name="gs_28_hi" vbProcedure="false">In!$F$86</definedName>
    <definedName function="false" hidden="false" name="gs_28_lo" vbProcedure="false">In!$D$86</definedName>
    <definedName function="false" hidden="false" name="gs_29" vbProcedure="false">In!$E$87</definedName>
    <definedName function="false" hidden="false" name="gs_29_hi" vbProcedure="false">In!$F$87</definedName>
    <definedName function="false" hidden="false" name="gs_29_lo" vbProcedure="false">In!$D$87</definedName>
    <definedName function="false" hidden="false" name="gs_30" vbProcedure="false">In!$E$88</definedName>
    <definedName function="false" hidden="false" name="gs_30_hi" vbProcedure="false">In!$F$88</definedName>
    <definedName function="false" hidden="false" name="gs_30_lo" vbProcedure="false">In!$D$88</definedName>
    <definedName function="false" hidden="false" name="g_con_26" vbProcedure="false">In!$E$80</definedName>
    <definedName function="false" hidden="false" name="g_con_26_hi" vbProcedure="false">In!$F$80</definedName>
    <definedName function="false" hidden="false" name="g_con_26_lo" vbProcedure="false">In!$D$80</definedName>
    <definedName function="false" hidden="false" name="g_con_27" vbProcedure="false">In!$E$81</definedName>
    <definedName function="false" hidden="false" name="g_con_27_hi" vbProcedure="false">In!$F$81</definedName>
    <definedName function="false" hidden="false" name="g_con_27_lo" vbProcedure="false">In!$D$81</definedName>
    <definedName function="false" hidden="false" name="g_con_28" vbProcedure="false">In!$E$82</definedName>
    <definedName function="false" hidden="false" name="g_con_28_hi" vbProcedure="false">In!$F$82</definedName>
    <definedName function="false" hidden="false" name="g_con_28_lo" vbProcedure="false">In!$D$82</definedName>
    <definedName function="false" hidden="false" name="g_mob_26" vbProcedure="false">In!$E$74</definedName>
    <definedName function="false" hidden="false" name="g_mob_26_hi" vbProcedure="false">In!$F$74</definedName>
    <definedName function="false" hidden="false" name="g_mob_26_lo" vbProcedure="false">In!$D$74</definedName>
    <definedName function="false" hidden="false" name="g_mob_27" vbProcedure="false">In!$E$75</definedName>
    <definedName function="false" hidden="false" name="g_mob_27_hi" vbProcedure="false">In!$F$75</definedName>
    <definedName function="false" hidden="false" name="g_mob_27_lo" vbProcedure="false">In!$D$75</definedName>
    <definedName function="false" hidden="false" name="g_mob_28" vbProcedure="false">In!$E$76</definedName>
    <definedName function="false" hidden="false" name="g_mob_28_hi" vbProcedure="false">In!$F$76</definedName>
    <definedName function="false" hidden="false" name="g_mob_28_lo" vbProcedure="false">In!$D$76</definedName>
    <definedName function="false" hidden="false" name="g_nai" vbProcedure="false">In!$E$73</definedName>
    <definedName function="false" hidden="false" name="g_nai_hi" vbProcedure="false">In!$F$73</definedName>
    <definedName function="false" hidden="false" name="g_nai_lo" vbProcedure="false">In!$D$73</definedName>
    <definedName function="false" hidden="false" name="g_pc_26" vbProcedure="false">In!$E$77</definedName>
    <definedName function="false" hidden="false" name="g_pc_26_hi" vbProcedure="false">In!$F$77</definedName>
    <definedName function="false" hidden="false" name="g_pc_26_lo" vbProcedure="false">In!$D$77</definedName>
    <definedName function="false" hidden="false" name="g_pc_27" vbProcedure="false">In!$E$78</definedName>
    <definedName function="false" hidden="false" name="g_pc_27_hi" vbProcedure="false">In!$F$78</definedName>
    <definedName function="false" hidden="false" name="g_pc_27_lo" vbProcedure="false">In!$D$78</definedName>
    <definedName function="false" hidden="false" name="g_pc_28" vbProcedure="false">In!$E$79</definedName>
    <definedName function="false" hidden="false" name="g_pc_28_hi" vbProcedure="false">In!$F$79</definedName>
    <definedName function="false" hidden="false" name="g_pc_28_lo" vbProcedure="false">In!$D$79</definedName>
    <definedName function="false" hidden="false" name="g_u29" vbProcedure="false">In!$E$59</definedName>
    <definedName function="false" hidden="false" name="g_u29_hi" vbProcedure="false">In!$F$59</definedName>
    <definedName function="false" hidden="false" name="g_u29_lo" vbProcedure="false">In!$D$59</definedName>
    <definedName function="false" hidden="false" name="g_u30" vbProcedure="false">In!$E$60</definedName>
    <definedName function="false" hidden="false" name="g_u30_hi" vbProcedure="false">In!$F$60</definedName>
    <definedName function="false" hidden="false" name="g_u30_lo" vbProcedure="false">In!$D$60</definedName>
    <definedName function="false" hidden="false" name="kx_fxg" vbProcedure="false">In!$E$131</definedName>
    <definedName function="false" hidden="false" name="kx_fxg4" vbProcedure="false">In!$E$135</definedName>
    <definedName function="false" hidden="false" name="kx_g" vbProcedure="false">In!$E$130</definedName>
    <definedName function="false" hidden="false" name="kx_g4" vbProcedure="false">In!$E$134</definedName>
    <definedName function="false" hidden="false" name="kx_k" vbProcedure="false">In!$E$132</definedName>
    <definedName function="false" hidden="false" name="nqA_10" vbProcedure="false">In!$E$14</definedName>
    <definedName function="false" hidden="false" name="nqA_11" vbProcedure="false">In!$E$15</definedName>
    <definedName function="false" hidden="false" name="nqA_12" vbProcedure="false">In!$E$16</definedName>
    <definedName function="false" hidden="false" name="nqA_13" vbProcedure="false">In!$E$17</definedName>
    <definedName function="false" hidden="false" name="nqA_14" vbProcedure="false">In!$E$18</definedName>
    <definedName function="false" hidden="false" name="nqA_15" vbProcedure="false">In!$E$19</definedName>
    <definedName function="false" hidden="false" name="nqA_16" vbProcedure="false">In!$E$20</definedName>
    <definedName function="false" hidden="false" name="nqA_17" vbProcedure="false">In!$E$21</definedName>
    <definedName function="false" hidden="false" name="nqA_18" vbProcedure="false">In!$E$22</definedName>
    <definedName function="false" hidden="false" name="nqA_19" vbProcedure="false">In!$E$23</definedName>
    <definedName function="false" hidden="false" name="nqA_8" vbProcedure="false">In!$E$12</definedName>
    <definedName function="false" hidden="false" name="nqA_9" vbProcedure="false">In!$E$13</definedName>
    <definedName function="false" hidden="false" name="nqB_10" vbProcedure="false">In!$E$26</definedName>
    <definedName function="false" hidden="false" name="nqB_11" vbProcedure="false">In!$E$27</definedName>
    <definedName function="false" hidden="false" name="nqB_12" vbProcedure="false">In!$E$28</definedName>
    <definedName function="false" hidden="false" name="nqB_13" vbProcedure="false">In!$E$29</definedName>
    <definedName function="false" hidden="false" name="nqB_14" vbProcedure="false">In!$E$30</definedName>
    <definedName function="false" hidden="false" name="nqB_15" vbProcedure="false">In!$E$31</definedName>
    <definedName function="false" hidden="false" name="nqB_16" vbProcedure="false">In!$E$32</definedName>
    <definedName function="false" hidden="false" name="nqB_17" vbProcedure="false">In!$E$33</definedName>
    <definedName function="false" hidden="false" name="nqB_18" vbProcedure="false">In!$E$34</definedName>
    <definedName function="false" hidden="false" name="nqB_19" vbProcedure="false">In!$E$35</definedName>
    <definedName function="false" hidden="false" name="nqB_8" vbProcedure="false">In!$E$24</definedName>
    <definedName function="false" hidden="false" name="nqB_9" vbProcedure="false">In!$E$25</definedName>
    <definedName function="false" hidden="false" name="nqC_10" vbProcedure="false">In!$E$38</definedName>
    <definedName function="false" hidden="false" name="nqC_11" vbProcedure="false">In!$E$39</definedName>
    <definedName function="false" hidden="false" name="nqC_12" vbProcedure="false">In!$E$40</definedName>
    <definedName function="false" hidden="false" name="nqC_13" vbProcedure="false">In!$E$41</definedName>
    <definedName function="false" hidden="false" name="nqC_14" vbProcedure="false">In!$E$42</definedName>
    <definedName function="false" hidden="false" name="nqC_15" vbProcedure="false">In!$E$43</definedName>
    <definedName function="false" hidden="false" name="nqC_16" vbProcedure="false">In!$E$44</definedName>
    <definedName function="false" hidden="false" name="nqC_17" vbProcedure="false">In!$E$45</definedName>
    <definedName function="false" hidden="false" name="nqC_18" vbProcedure="false">In!$E$46</definedName>
    <definedName function="false" hidden="false" name="nqC_19" vbProcedure="false">In!$E$47</definedName>
    <definedName function="false" hidden="false" name="nqC_8" vbProcedure="false">In!$E$36</definedName>
    <definedName function="false" hidden="false" name="nqC_9" vbProcedure="false">In!$E$37</definedName>
    <definedName function="false" hidden="false" name="nq_1" vbProcedure="false">In!$E$5</definedName>
    <definedName function="false" hidden="false" name="nq_2" vbProcedure="false">In!$E$6</definedName>
    <definedName function="false" hidden="false" name="nq_3" vbProcedure="false">In!$E$7</definedName>
    <definedName function="false" hidden="false" name="nq_4" vbProcedure="false">In!$E$8</definedName>
    <definedName function="false" hidden="false" name="nq_5" vbProcedure="false">In!$E$9</definedName>
    <definedName function="false" hidden="false" name="nq_6" vbProcedure="false">In!$E$10</definedName>
    <definedName function="false" hidden="false" name="nq_7" vbProcedure="false">In!$E$11</definedName>
    <definedName function="false" hidden="false" name="p10" vbProcedure="false">In!$E$48</definedName>
    <definedName function="false" hidden="false" name="p10_hi" vbProcedure="false">In!$F$48</definedName>
    <definedName function="false" hidden="false" name="p10_lo" vbProcedure="false">In!$D$48</definedName>
    <definedName function="false" hidden="false" name="rev24" vbProcedure="false">In!$E$126</definedName>
    <definedName function="false" hidden="false" name="rv_kx_0" vbProcedure="false">In!$E$108</definedName>
    <definedName function="false" hidden="false" name="rv_kx_1" vbProcedure="false">In!$E$109</definedName>
    <definedName function="false" hidden="false" name="rv_kx_2" vbProcedure="false">In!$E$110</definedName>
    <definedName function="false" hidden="false" name="rv_kx_3" vbProcedure="false">In!$E$111</definedName>
    <definedName function="false" hidden="false" name="rv_kx_4" vbProcedure="false">In!$E$112</definedName>
    <definedName function="false" hidden="false" name="rv_kx_5" vbProcedure="false">In!$E$113</definedName>
    <definedName function="false" hidden="false" name="rv_mu_0" vbProcedure="false">In!$E$102</definedName>
    <definedName function="false" hidden="false" name="rv_mu_1" vbProcedure="false">In!$E$103</definedName>
    <definedName function="false" hidden="false" name="rv_mu_2" vbProcedure="false">In!$E$104</definedName>
    <definedName function="false" hidden="false" name="rv_mu_3" vbProcedure="false">In!$E$105</definedName>
    <definedName function="false" hidden="false" name="rv_mu_4" vbProcedure="false">In!$E$106</definedName>
    <definedName function="false" hidden="false" name="rv_mu_5" vbProcedure="false">In!$E$107</definedName>
    <definedName function="false" hidden="false" name="rv_sd_0" vbProcedure="false">In!$E$114</definedName>
    <definedName function="false" hidden="false" name="rv_sd_1" vbProcedure="false">In!$E$115</definedName>
    <definedName function="false" hidden="false" name="rv_sd_2" vbProcedure="false">In!$E$116</definedName>
    <definedName function="false" hidden="false" name="rv_sd_3" vbProcedure="false">In!$E$117</definedName>
    <definedName function="false" hidden="false" name="rv_sd_4" vbProcedure="false">In!$E$118</definedName>
    <definedName function="false" hidden="false" name="rv_sd_5" vbProcedure="false">In!$E$119</definedName>
    <definedName function="false" hidden="false" name="rv_sk_0" vbProcedure="false">In!$E$96</definedName>
    <definedName function="false" hidden="false" name="rv_sk_1" vbProcedure="false">In!$E$97</definedName>
    <definedName function="false" hidden="false" name="rv_sk_2" vbProcedure="false">In!$E$98</definedName>
    <definedName function="false" hidden="false" name="rv_sk_3" vbProcedure="false">In!$E$99</definedName>
    <definedName function="false" hidden="false" name="rv_sk_4" vbProcedure="false">In!$E$100</definedName>
    <definedName function="false" hidden="false" name="rv_sk_5" vbProcedure="false">In!$E$101</definedName>
    <definedName function="false" hidden="false" name="rv_ss_0" vbProcedure="false">In!$E$90</definedName>
    <definedName function="false" hidden="false" name="rv_ss_1" vbProcedure="false">In!$E$91</definedName>
    <definedName function="false" hidden="false" name="rv_ss_2" vbProcedure="false">In!$E$92</definedName>
    <definedName function="false" hidden="false" name="rv_ss_3" vbProcedure="false">In!$E$93</definedName>
    <definedName function="false" hidden="false" name="rv_ss_4" vbProcedure="false">In!$E$94</definedName>
    <definedName function="false" hidden="false" name="rv_ss_5" vbProcedure="false">In!$E$95</definedName>
    <definedName function="false" hidden="false" name="sd_g" vbProcedure="false">In!$E$128</definedName>
    <definedName function="false" hidden="false" name="sd_g4" vbProcedure="false">In!$E$133</definedName>
    <definedName function="false" hidden="false" name="sd_g4_hi" vbProcedure="false">In!$F$133</definedName>
    <definedName function="false" hidden="false" name="sd_g4_lo" vbProcedure="false">In!$D$133</definedName>
    <definedName function="false" hidden="false" name="sd_k" vbProcedure="false">In!$E$129</definedName>
    <definedName function="false" hidden="false" name="sh_essd25" vbProcedure="false">In!$E$69</definedName>
    <definedName function="false" hidden="false" name="sh_essd25_hi" vbProcedure="false">In!$F$69</definedName>
    <definedName function="false" hidden="false" name="sh_essd25_lo" vbProcedure="false">In!$D$69</definedName>
    <definedName function="false" hidden="false" name="sh_mob25" vbProcedure="false">In!$E$71</definedName>
    <definedName function="false" hidden="false" name="sh_mob25_hi" vbProcedure="false">In!$F$71</definedName>
    <definedName function="false" hidden="false" name="sh_mob25_lo" vbProcedure="false">In!$D$71</definedName>
    <definedName function="false" hidden="false" name="sh_pc25" vbProcedure="false">In!$E$72</definedName>
    <definedName function="false" hidden="false" name="sh_pc25_hi" vbProcedure="false">In!$F$72</definedName>
    <definedName function="false" hidden="false" name="sh_pc25_lo" vbProcedure="false">In!$D$72</definedName>
    <definedName function="false" hidden="false" name="t5_0" vbProcedure="false">In!$E$120</definedName>
    <definedName function="false" hidden="false" name="t5_0_hi" vbProcedure="false">In!$F$120</definedName>
    <definedName function="false" hidden="false" name="t5_0_lo" vbProcedure="false">In!$D$120</definedName>
    <definedName function="false" hidden="false" name="t5_1" vbProcedure="false">In!$E$121</definedName>
    <definedName function="false" hidden="false" name="t5_2" vbProcedure="false">In!$E$122</definedName>
    <definedName function="false" hidden="false" name="t5_2_hi" vbProcedure="false">In!$F$122</definedName>
    <definedName function="false" hidden="false" name="t5_2_lo" vbProcedure="false">In!$D$122</definedName>
    <definedName function="false" hidden="false" name="t5_3" vbProcedure="false">In!$E$123</definedName>
    <definedName function="false" hidden="false" name="t5_4" vbProcedure="false">In!$E$124</definedName>
    <definedName function="false" hidden="false" name="t5_4_hi" vbProcedure="false">In!$F$124</definedName>
    <definedName function="false" hidden="false" name="t5_4_lo" vbProcedure="false">In!$D$124</definedName>
    <definedName function="false" hidden="false" name="t5_5" vbProcedure="false">In!$E$125</definedName>
    <definedName function="false" hidden="false" name="tb_26" vbProcedure="false">In!$E$61</definedName>
    <definedName function="false" hidden="false" name="tb_26_hi" vbProcedure="false">In!$F$61</definedName>
    <definedName function="false" hidden="false" name="tb_26_lo" vbProcedure="false">In!$D$61</definedName>
    <definedName function="false" hidden="false" name="tb_27" vbProcedure="false">In!$E$62</definedName>
    <definedName function="false" hidden="false" name="tb_27_hi" vbProcedure="false">In!$F$62</definedName>
    <definedName function="false" hidden="false" name="tb_27_lo" vbProcedure="false">In!$D$62</definedName>
    <definedName function="false" hidden="false" name="tb_28" vbProcedure="false">In!$E$63</definedName>
    <definedName function="false" hidden="false" name="tb_28_hi" vbProcedure="false">In!$F$63</definedName>
    <definedName function="false" hidden="false" name="tb_28_lo" vbProcedure="false">In!$D$63</definedName>
    <definedName function="false" hidden="false" name="tb_29" vbProcedure="false">In!$E$64</definedName>
    <definedName function="false" hidden="false" name="tb_29_hi" vbProcedure="false">In!$F$64</definedName>
    <definedName function="false" hidden="false" name="tb_29_lo" vbProcedure="false">In!$D$64</definedName>
    <definedName function="false" hidden="false" name="tb_30" vbProcedure="false">In!$E$65</definedName>
    <definedName function="false" hidden="false" name="tb_30_hi" vbProcedure="false">In!$F$65</definedName>
    <definedName function="false" hidden="false" name="tb_30_lo" vbProcedure="false">In!$D$65</definedName>
    <definedName function="false" hidden="false" name="um28_A" vbProcedure="false">In!$E$53</definedName>
    <definedName function="false" hidden="false" name="um28_B" vbProcedure="false">In!$E$55</definedName>
    <definedName function="false" hidden="false" name="um28_C" vbProcedure="false">In!$E$57</definedName>
    <definedName function="false" hidden="false" name="um29_A" vbProcedure="false">In!$E$54</definedName>
    <definedName function="false" hidden="false" name="um29_B" vbProcedure="false">In!$E$56</definedName>
    <definedName function="false" hidden="false" name="um29_C" vbProcedure="false">In!$E$58</definedName>
    <definedName function="false" hidden="false" name="u_26" vbProcedure="false">In!$E$50</definedName>
    <definedName function="false" hidden="false" name="u_27" vbProcedure="false">In!$E$51</definedName>
    <definedName function="false" hidden="false" name="u_28" vbProcedure="false">In!$E$52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<sst xmlns="http://schemas.openxmlformats.org/spreadsheetml/2006/main" count="3226" uniqueCount="736">
  <si>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市場層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；樣板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</si>
  <si>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命題：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營收由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位元需求與合約價循環決定；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供給受限、價格在高檔，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起各情境依加速器顆數係數與價格路徑分歧。</t>
    </r>
  </si>
  <si>
    <t xml:space="preserve">驅動因子 → 推導量</t>
  </si>
  <si>
    <r>
      <rPr>
        <sz val="11"/>
        <rFont val="Cambria"/>
        <family val="0"/>
        <charset val="1"/>
      </rPr>
      <t xml:space="preserve">Mkt A </t>
    </r>
    <r>
      <rPr>
        <sz val="11"/>
        <rFont val="Noto Sans CJK SC"/>
        <family val="2"/>
      </rPr>
      <t xml:space="preserve">區｜加速器顆數（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同字母 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容量 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需求；非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企業級 </t>
    </r>
    <r>
      <rPr>
        <sz val="11"/>
        <rFont val="Cambria"/>
        <family val="0"/>
        <charset val="1"/>
      </rPr>
      <t xml:space="preserve">SSD</t>
    </r>
    <r>
      <rPr>
        <sz val="11"/>
        <rFont val="Noto Sans CJK SC"/>
        <family val="2"/>
      </rPr>
      <t xml:space="preserve">、手機、</t>
    </r>
    <r>
      <rPr>
        <sz val="11"/>
        <rFont val="Cambria"/>
        <family val="0"/>
        <charset val="1"/>
      </rPr>
      <t xml:space="preserve">PC</t>
    </r>
    <r>
      <rPr>
        <sz val="11"/>
        <rFont val="Noto Sans CJK SC"/>
        <family val="2"/>
      </rPr>
      <t xml:space="preserve">、消費性以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基期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 → 位元需求合計</t>
    </r>
  </si>
  <si>
    <r>
      <rPr>
        <sz val="11"/>
        <rFont val="Cambria"/>
        <family val="0"/>
        <charset val="1"/>
      </rPr>
      <t xml:space="preserve">Mkt A </t>
    </r>
    <r>
      <rPr>
        <sz val="11"/>
        <rFont val="Noto Sans CJK SC"/>
        <family val="2"/>
      </rPr>
      <t xml:space="preserve">區｜全產業位元供給（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基期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＋美光指引年增），三情境相同）；出貨＝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</t>
    </r>
    <r>
      <rPr>
        <sz val="11"/>
        <rFont val="Cambria"/>
        <family val="0"/>
        <charset val="1"/>
      </rPr>
      <t xml:space="preserve">)</t>
    </r>
  </si>
  <si>
    <r>
      <rPr>
        <sz val="11"/>
        <rFont val="Cambria"/>
        <family val="0"/>
        <charset val="1"/>
      </rPr>
      <t xml:space="preserve">Mkt B </t>
    </r>
    <r>
      <rPr>
        <sz val="11"/>
        <rFont val="Noto Sans CJK SC"/>
        <family val="2"/>
      </rPr>
      <t xml:space="preserve">區｜季價指數（</t>
    </r>
    <r>
      <rPr>
        <sz val="11"/>
        <rFont val="Cambria"/>
        <family val="0"/>
        <charset val="1"/>
      </rPr>
      <t xml:space="preserve">markets/memory NAND </t>
    </r>
    <r>
      <rPr>
        <sz val="11"/>
        <rFont val="Noto Sans CJK SC"/>
        <family val="2"/>
      </rPr>
      <t xml:space="preserve">路徑，同字母；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收斂法）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季度位元 → 以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實績為錨的季度市場營收；份額（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由 </t>
    </r>
    <r>
      <rPr>
        <sz val="11"/>
        <rFont val="Cambria"/>
        <family val="0"/>
        <charset val="1"/>
      </rPr>
      <t xml:space="preserve">Kioxia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公司指引推得）→ 各廠營收與位元</t>
    </r>
  </si>
  <si>
    <r>
      <rPr>
        <sz val="11"/>
        <rFont val="Cambria"/>
        <family val="0"/>
        <charset val="1"/>
      </rPr>
      <t xml:space="preserve">Ann</t>
    </r>
    <r>
      <rPr>
        <sz val="11"/>
        <rFont val="Noto Sans CJK SC"/>
        <family val="2"/>
      </rPr>
      <t xml:space="preserve">｜年度摘要：需求、供給、出貨、平均售價、營收、各廠份額；</t>
    </r>
    <r>
      <rPr>
        <sz val="11"/>
        <rFont val="Cambria"/>
        <family val="0"/>
        <charset val="1"/>
      </rPr>
      <t xml:space="preserve">Kioxia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合資群份額＝兩家相加（下游公司模型讀同一組列）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</si>
  <si>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＝不如預期；價格讀 </t>
    </r>
    <r>
      <rPr>
        <sz val="11"/>
        <rFont val="Cambria"/>
        <family val="0"/>
        <charset val="1"/>
      </rPr>
      <t xml:space="preserve">markets/memory NAND_S </t>
    </r>
    <r>
      <rPr>
        <sz val="11"/>
        <rFont val="Noto Sans CJK SC"/>
        <family val="2"/>
      </rPr>
      <t xml:space="preserve">同字母，顆數讀 </t>
    </r>
    <r>
      <rPr>
        <sz val="11"/>
        <rFont val="Cambria"/>
        <family val="0"/>
        <charset val="1"/>
      </rPr>
      <t xml:space="preserve">SCEN_UNITS </t>
    </r>
    <r>
      <rPr>
        <sz val="11"/>
        <rFont val="Noto Sans CJK SC"/>
        <family val="2"/>
      </rPr>
      <t xml:space="preserve">同字母（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CY2030 </t>
    </r>
    <r>
      <rPr>
        <sz val="11"/>
        <rFont val="Noto Sans CJK SC"/>
        <family val="2"/>
      </rPr>
      <t xml:space="preserve">沿用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），不自訂行業路徑。</t>
    </r>
    <r>
      <rPr>
        <sz val="11"/>
        <rFont val="Cambria"/>
        <family val="0"/>
        <charset val="1"/>
      </rPr>
      <t xml:space="preserve">CY2030 </t>
    </r>
    <r>
      <rPr>
        <sz val="11"/>
        <rFont val="Noto Sans CJK SC"/>
        <family val="2"/>
      </rPr>
      <t xml:space="preserve">價格為收斂法（十年平均年變動 </t>
    </r>
    <r>
      <rPr>
        <sz val="11"/>
        <rFont val="Cambria"/>
        <family val="0"/>
        <charset val="1"/>
      </rPr>
      <t xml:space="preserve">p10</t>
    </r>
    <r>
      <rPr>
        <sz val="11"/>
        <rFont val="Noto Sans CJK SC"/>
        <family val="2"/>
      </rPr>
      <t xml:space="preserve">，三情境相同）。</t>
    </r>
  </si>
  <si>
    <r>
      <rPr>
        <sz val="11"/>
        <rFont val="Noto Sans CJK SC"/>
        <family val="2"/>
      </rPr>
      <t xml:space="preserve">單位：</t>
    </r>
    <r>
      <rPr>
        <sz val="11"/>
        <rFont val="Cambria"/>
        <family val="0"/>
        <charset val="1"/>
      </rPr>
      <t xml:space="preserve">$B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$/GB</t>
    </r>
    <r>
      <rPr>
        <sz val="11"/>
        <rFont val="Noto Sans CJK SC"/>
        <family val="2"/>
      </rPr>
      <t xml:space="preserve">、百萬顆。</t>
    </r>
    <r>
      <rPr>
        <sz val="11"/>
        <rFont val="Cambria"/>
        <family val="0"/>
        <charset val="1"/>
      </rPr>
      <t xml:space="preserve">2026Q2 </t>
    </r>
    <r>
      <rPr>
        <sz val="11"/>
        <rFont val="Noto Sans CJK SC"/>
        <family val="2"/>
      </rPr>
      <t xml:space="preserve">以前為 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實績；季度位元為年度依年增平滑（近似）。</t>
    </r>
  </si>
  <si>
    <r>
      <rPr>
        <sz val="11"/>
        <rFont val="Noto Sans CJK SC"/>
        <family val="2"/>
      </rPr>
      <t xml:space="preserve">已知限制：全產業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基期與各應用占比為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（只影響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需求的相對大小與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絕對值）；各廠晶圓產能未找到（</t>
    </r>
    <r>
      <rPr>
        <sz val="11"/>
        <rFont val="Cambria"/>
        <family val="0"/>
        <charset val="1"/>
      </rPr>
      <t xml:space="preserve">Sup </t>
    </r>
    <r>
      <rPr>
        <sz val="11"/>
        <rFont val="Noto Sans CJK SC"/>
        <family val="2"/>
      </rPr>
      <t xml:space="preserve">頁）；各廠平均售價假設等於市場平均。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</si>
  <si>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2026-10-31</t>
    </r>
    <r>
      <rPr>
        <sz val="11"/>
        <rFont val="Noto Sans CJK SC"/>
        <family val="2"/>
      </rPr>
      <t xml:space="preserve">）：季價指數的口徑改為「實現平均售價」。</t>
    </r>
    <r>
      <rPr>
        <sz val="11"/>
        <rFont val="Cambria"/>
        <family val="0"/>
        <charset val="1"/>
      </rPr>
      <t xml:space="preserve">Siliconomics v0.10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2026Q3 +25%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Kioxia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海力士實績 </t>
    </r>
    <r>
      <rPr>
        <sz val="11"/>
        <rFont val="Cambria"/>
        <family val="0"/>
        <charset val="1"/>
      </rPr>
      <t xml:space="preserve">mid-20%</t>
    </r>
    <r>
      <rPr>
        <sz val="11"/>
        <rFont val="Noto Sans CJK SC"/>
        <family val="2"/>
      </rPr>
      <t xml:space="preserve">；原合約價 </t>
    </r>
    <r>
      <rPr>
        <sz val="11"/>
        <rFont val="Cambria"/>
        <family val="0"/>
        <charset val="1"/>
      </rPr>
      <t xml:space="preserve">+15%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2026Q4 +8.1%</t>
    </r>
    <r>
      <rPr>
        <sz val="11"/>
        <rFont val="Noto Sans CJK SC"/>
        <family val="2"/>
      </rPr>
      <t xml:space="preserve">（兩季累計 </t>
    </r>
    <r>
      <rPr>
        <sz val="11"/>
        <rFont val="Cambria"/>
        <family val="0"/>
        <charset val="1"/>
      </rPr>
      <t xml:space="preserve">1.15 × 1.175 </t>
    </r>
    <r>
      <rPr>
        <sz val="11"/>
        <rFont val="Noto Sans CJK SC"/>
        <family val="2"/>
      </rPr>
      <t xml:space="preserve">不變；原 </t>
    </r>
    <r>
      <rPr>
        <sz val="11"/>
        <rFont val="Cambria"/>
        <family val="0"/>
        <charset val="1"/>
      </rPr>
      <t xml:space="preserve">+17.5%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起價格水準不變。</t>
    </r>
    <r>
      <rPr>
        <sz val="11"/>
        <rFont val="Cambria"/>
        <family val="0"/>
        <charset val="1"/>
      </rPr>
      <t xml:space="preserve">SanDisk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份額因此由 </t>
    </r>
    <r>
      <rPr>
        <sz val="11"/>
        <rFont val="Cambria"/>
        <family val="0"/>
        <charset val="1"/>
      </rPr>
      <t xml:space="preserve">11.6%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15.8% </t>
    </r>
    <r>
      <rPr>
        <sz val="11"/>
        <rFont val="Noto Sans CJK SC"/>
        <family val="2"/>
      </rPr>
      <t xml:space="preserve">降為 </t>
    </r>
    <r>
      <rPr>
        <sz val="11"/>
        <rFont val="Cambria"/>
        <family val="0"/>
        <charset val="1"/>
      </rPr>
      <t xml:space="preserve">10.7%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14.5%</t>
    </r>
    <r>
      <rPr>
        <sz val="11"/>
        <rFont val="Noto Sans CJK SC"/>
        <family val="2"/>
      </rPr>
      <t xml:space="preserve">。另：兩家 </t>
    </r>
    <r>
      <rPr>
        <sz val="11"/>
        <rFont val="Cambria"/>
        <family val="0"/>
        <charset val="1"/>
      </rPr>
      <t xml:space="preserve">2026Q4 </t>
    </r>
    <r>
      <rPr>
        <sz val="11"/>
        <rFont val="Noto Sans CJK SC"/>
        <family val="2"/>
      </rPr>
      <t xml:space="preserve">起的份額改為「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實績份額與 </t>
    </r>
    <r>
      <rPr>
        <sz val="11"/>
        <rFont val="Cambria"/>
        <family val="0"/>
        <charset val="1"/>
      </rPr>
      <t xml:space="preserve">2026Q4 </t>
    </r>
    <r>
      <rPr>
        <sz val="11"/>
        <rFont val="Noto Sans CJK SC"/>
        <family val="2"/>
      </rPr>
      <t xml:space="preserve">公司指引份額的平均」（新增輸入 </t>
    </r>
    <r>
      <rPr>
        <sz val="11"/>
        <rFont val="Cambria"/>
        <family val="0"/>
        <charset val="1"/>
      </rPr>
      <t xml:space="preserve">sd_g4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kx_g4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kx_fxg4</t>
    </r>
    <r>
      <rPr>
        <sz val="11"/>
        <rFont val="Noto Sans CJK SC"/>
        <family val="2"/>
      </rPr>
      <t xml:space="preserve">；三星、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海力士、美光本來就用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兩季平均），以平滑 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公司揭露的出貨季別移動：</t>
    </r>
    <r>
      <rPr>
        <sz val="11"/>
        <rFont val="Cambria"/>
        <family val="0"/>
        <charset val="1"/>
      </rPr>
      <t xml:space="preserve">Kioxia 13.9%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SanDisk 10.65%</t>
    </r>
    <r>
      <rPr>
        <sz val="11"/>
        <rFont val="Noto Sans CJK SC"/>
        <family val="2"/>
      </rPr>
      <t xml:space="preserve">；其他廠（餘額）</t>
    </r>
    <r>
      <rPr>
        <sz val="11"/>
        <rFont val="Cambria"/>
        <family val="0"/>
        <charset val="1"/>
      </rPr>
      <t xml:space="preserve">13.4%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2026Q4 </t>
    </r>
    <r>
      <rPr>
        <sz val="11"/>
        <rFont val="Noto Sans CJK SC"/>
        <family val="2"/>
      </rPr>
      <t xml:space="preserve">對公司指引：</t>
    </r>
    <r>
      <rPr>
        <sz val="11"/>
        <rFont val="Cambria"/>
        <family val="0"/>
        <charset val="1"/>
      </rPr>
      <t xml:space="preserve">SanDisk +0.4%</t>
    </r>
    <r>
      <rPr>
        <sz val="11"/>
        <rFont val="Noto Sans CJK SC"/>
        <family val="2"/>
      </rPr>
      <t xml:space="preserve">（原 </t>
    </r>
    <r>
      <rPr>
        <sz val="11"/>
        <rFont val="Cambria"/>
        <family val="0"/>
        <charset val="1"/>
      </rPr>
      <t xml:space="preserve">+9.6%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Kioxia</t>
    </r>
    <r>
      <rPr>
        <sz val="11"/>
        <rFont val="Noto Sans CJK SC"/>
        <family val="2"/>
      </rPr>
      <t xml:space="preserve">（美元、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口徑）</t>
    </r>
    <r>
      <rPr>
        <sz val="11"/>
        <rFont val="Cambria"/>
        <family val="0"/>
        <charset val="1"/>
      </rPr>
      <t xml:space="preserve">+4.8%</t>
    </r>
    <r>
      <rPr>
        <sz val="11"/>
        <rFont val="Noto Sans CJK SC"/>
        <family val="2"/>
      </rPr>
      <t xml:space="preserve">（原 </t>
    </r>
    <r>
      <rPr>
        <sz val="11"/>
        <rFont val="Cambria"/>
        <family val="0"/>
        <charset val="1"/>
      </rPr>
      <t xml:space="preserve">+19.2%</t>
    </r>
    <r>
      <rPr>
        <sz val="11"/>
        <rFont val="Noto Sans CJK SC"/>
        <family val="2"/>
      </rPr>
      <t xml:space="preserve">；日圓口徑另含匯率假設 </t>
    </r>
    <r>
      <rPr>
        <sz val="11"/>
        <rFont val="Cambria"/>
        <family val="0"/>
        <charset val="1"/>
      </rPr>
      <t xml:space="preserve">160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157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+1.9%</t>
    </r>
    <r>
      <rPr>
        <sz val="11"/>
        <rFont val="Noto Sans CJK SC"/>
        <family val="2"/>
      </rPr>
      <t xml:space="preserve">；見 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</si>
  <si>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NAND </t>
    </r>
    <r>
      <rPr>
        <sz val="11"/>
        <color theme="1"/>
        <rFont val="Noto Sans CJK SC"/>
        <family val="2"/>
      </rPr>
      <t xml:space="preserve">市場層輸入（藍字；基準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）；位元：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10^18 </t>
    </r>
    <r>
      <rPr>
        <sz val="11"/>
        <color theme="1"/>
        <rFont val="Noto Sans CJK SC"/>
        <family val="2"/>
      </rPr>
      <t xml:space="preserve">位元組）；顆數：百萬顆。每個輸入附標記與來源；找不到者寫「未找到」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</si>
  <si>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（寫明換算）。價格路徑、加速器顆數、情境顆數係數取自 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（單一來源，本頁只抄錄並標示來源；改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後重建本檔）。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</si>
  <si>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</si>
  <si>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</si>
  <si>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</si>
  <si>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</si>
  <si>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</si>
  <si>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</si>
  <si>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</si>
  <si>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</si>
  <si>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</si>
  <si>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N1. NAND </t>
    </r>
    <r>
      <rPr>
        <b val="true"/>
        <sz val="11"/>
        <rFont val="Noto Sans CJK SC"/>
        <family val="2"/>
      </rPr>
      <t xml:space="preserve">合約價季增（共用市場層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；情境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同字母）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</si>
  <si>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</si>
  <si>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</si>
  <si>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</si>
  <si>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</si>
  <si>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t xml:space="preserve">markets/memory/market.py NAND_COMMON[0]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</si>
  <si>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</si>
  <si>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</si>
  <si>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</si>
  <si>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markets/memory/market.py NAND_COMMON[1]</t>
  </si>
  <si>
    <t xml:space="preserve">同上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</si>
  <si>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</si>
  <si>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</si>
  <si>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markets/memory/market.py NAND_COMMON[2]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</si>
  <si>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</si>
  <si>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</si>
  <si>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markets/memory/market.py NAND_COMMON[3]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</si>
  <si>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</si>
  <si>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</si>
  <si>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markets/memory/market.py NAND_COMMON[4]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</si>
  <si>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</si>
  <si>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</si>
  <si>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markets/memory/market.py NAND_COMMON[5]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</si>
  <si>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</si>
  <si>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</si>
  <si>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markets/memory/market.py NAND_COMMON[6]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</si>
  <si>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</si>
  <si>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</si>
  <si>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NAND_S['A'][0]</t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</si>
  <si>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</si>
  <si>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</si>
  <si>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</si>
  <si>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NAND_S['A'][1]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</si>
  <si>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</si>
  <si>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</si>
  <si>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NAND_S['A'][2]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</si>
  <si>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</si>
  <si>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</si>
  <si>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NAND_S['A'][3]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</si>
  <si>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</si>
  <si>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</si>
  <si>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NAND_S['A'][4]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</si>
  <si>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</si>
  <si>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</si>
  <si>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NAND_S['A'][5]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</si>
  <si>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</si>
  <si>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</si>
  <si>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NAND_S['A'][6]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</si>
  <si>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</si>
  <si>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</si>
  <si>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NAND_S['A'][7]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</si>
  <si>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</si>
  <si>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</si>
  <si>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NAND_S['A'][8]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</si>
  <si>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</si>
  <si>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</si>
  <si>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NAND_S['A'][9]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</si>
  <si>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</si>
  <si>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</si>
  <si>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NAND_S['A'][10]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</si>
  <si>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</si>
  <si>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</si>
  <si>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NAND_S['A'][11]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</si>
  <si>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</si>
  <si>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</si>
  <si>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NAND_S['B'][0]</t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</si>
  <si>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</si>
  <si>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</si>
  <si>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</si>
  <si>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NAND_S['B'][1]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</si>
  <si>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</si>
  <si>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</si>
  <si>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NAND_S['B'][2]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</si>
  <si>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</si>
  <si>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</si>
  <si>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NAND_S['B'][3]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</si>
  <si>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</si>
  <si>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</si>
  <si>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NAND_S['B'][4]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</si>
  <si>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</si>
  <si>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</si>
  <si>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NAND_S['B'][5]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</si>
  <si>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</si>
  <si>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</si>
  <si>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NAND_S['B'][6]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</si>
  <si>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</si>
  <si>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</si>
  <si>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NAND_S['B'][7]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</si>
  <si>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</si>
  <si>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</si>
  <si>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NAND_S['B'][8]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</si>
  <si>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</si>
  <si>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</si>
  <si>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NAND_S['B'][9]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</si>
  <si>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</si>
  <si>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</si>
  <si>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NAND_S['B'][10]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</si>
  <si>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</si>
  <si>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</si>
  <si>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NAND_S['B'][11]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</si>
  <si>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</si>
  <si>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</si>
  <si>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</si>
  <si>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t xml:space="preserve">markets/memory/market.py NAND_S['C'][0]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</si>
  <si>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</si>
  <si>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</si>
  <si>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</si>
  <si>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NAND_S['C'][1]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</si>
  <si>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</si>
  <si>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</si>
  <si>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NAND_S['C'][2]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</si>
  <si>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</si>
  <si>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</si>
  <si>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NAND_S['C'][3]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</si>
  <si>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</si>
  <si>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</si>
  <si>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NAND_S['C'][4]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</si>
  <si>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</si>
  <si>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</si>
  <si>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NAND_S['C'][5]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</si>
  <si>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</si>
  <si>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</si>
  <si>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NAND_S['C'][6]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</si>
  <si>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</si>
  <si>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</si>
  <si>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NAND_S['C'][7]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</si>
  <si>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</si>
  <si>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</si>
  <si>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NAND_S['C'][8]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</si>
  <si>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</si>
  <si>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</si>
  <si>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NAND_S['C'][9]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</si>
  <si>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</si>
  <si>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</si>
  <si>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NAND_S['C'][10]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</si>
  <si>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</si>
  <si>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</si>
  <si>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markets/memory/market.py NAND_S['C'][11]</t>
  </si>
  <si>
    <t xml:space="preserve">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</si>
  <si>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</si>
  <si>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t xml:space="preserve">Analogy</t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</si>
  <si>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</si>
  <si>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</si>
  <si>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r>
      <rPr>
        <b val="true"/>
        <sz val="11"/>
        <rFont val="Cambria"/>
        <family val="0"/>
        <charset val="1"/>
      </rPr>
      <t xml:space="preserve">N2.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UNITS </t>
    </r>
    <r>
      <rPr>
        <b val="true"/>
        <sz val="11"/>
        <rFont val="Noto Sans CJK SC"/>
        <family val="2"/>
      </rPr>
      <t xml:space="preserve">合計；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情境係數 </t>
    </r>
    <r>
      <rPr>
        <b val="true"/>
        <sz val="11"/>
        <rFont val="Cambria"/>
        <family val="0"/>
        <charset val="1"/>
      </rPr>
      <t xml:space="preserve">SCEN_UNITS</t>
    </r>
    <r>
      <rPr>
        <b val="true"/>
        <sz val="11"/>
        <rFont val="Noto Sans CJK SC"/>
        <family val="2"/>
      </rPr>
      <t xml:space="preserve">，同字母）</t>
    </r>
  </si>
  <si>
    <t xml:space="preserve">u_26</t>
  </si>
  <si>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</si>
  <si>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</si>
  <si>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</si>
  <si>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各列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</si>
  <si>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需求、台積電 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同一套顆數</t>
    </r>
  </si>
  <si>
    <t xml:space="preserve">u_27</t>
  </si>
  <si>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</si>
  <si>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各列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</si>
  <si>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u_28</t>
  </si>
  <si>
    <r>
      <rPr>
        <sz val="11"/>
        <color theme="1"/>
        <rFont val="Noto Sans CJK SC"/>
        <family val="2"/>
      </rPr>
      <t xml:space="preserve">加速器顆數合計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</si>
  <si>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markets/memory/market.py UNITS </t>
    </r>
    <r>
      <rPr>
        <sz val="11"/>
        <color theme="1"/>
        <rFont val="Noto Sans CJK SC"/>
        <family val="2"/>
      </rPr>
      <t xml:space="preserve">各列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</si>
  <si>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</si>
  <si>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</si>
  <si>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</si>
  <si>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markets/memory/market.py SCEN_UNITS['A'][0]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</si>
  <si>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</si>
  <si>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</si>
  <si>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</si>
  <si>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SCEN_UNITS['A'][1]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</si>
  <si>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</si>
  <si>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</si>
  <si>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SCEN_UNITS['B'][0]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</si>
  <si>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</si>
  <si>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</si>
  <si>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SCEN_UNITS['B'][1]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</si>
  <si>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</si>
  <si>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</si>
  <si>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SCEN_UNITS['C'][0]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</si>
  <si>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</si>
  <si>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</si>
  <si>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markets/memory/market.py SCEN_UNITS['C'][1]</t>
  </si>
  <si>
    <t xml:space="preserve">g_u29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</si>
  <si>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</si>
  <si>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SIF_UnitsGrowth29</t>
    </r>
    <r>
      <rPr>
        <sz val="11"/>
        <color theme="1"/>
        <rFont val="Noto Sans CJK SC"/>
        <family val="2"/>
      </rPr>
      <t xml:space="preserve">：平台別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成長率（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節）加權，與台積電、網通模型同一路徑（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起；原 </t>
    </r>
    <r>
      <rPr>
        <sz val="11"/>
        <color theme="1"/>
        <rFont val="Calibri"/>
        <family val="2"/>
        <charset val="1"/>
      </rPr>
      <t xml:space="preserve">Assumed 10%</t>
    </r>
    <r>
      <rPr>
        <sz val="11"/>
        <color theme="1"/>
        <rFont val="Noto Sans CJK SC"/>
        <family val="2"/>
      </rPr>
      <t xml:space="preserve">）；低／高沿用原區間供敏感度</t>
    </r>
  </si>
  <si>
    <r>
      <rPr>
        <sz val="11"/>
        <color theme="1"/>
        <rFont val="Noto Sans CJK SC"/>
        <family val="2"/>
      </rPr>
      <t xml:space="preserve">三情境同一基準，情境差異只來自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（不自訂行業路徑）</t>
    </r>
  </si>
  <si>
    <t xml:space="preserve">g_u30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</si>
  <si>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</si>
  <si>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；收斂到低個位數成長</t>
    </r>
  </si>
  <si>
    <t xml:space="preserve">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</si>
  <si>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</si>
  <si>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</si>
  <si>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</si>
  <si>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</si>
  <si>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</si>
  <si>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</si>
  <si>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</si>
  <si>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</si>
  <si>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</si>
  <si>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</si>
  <si>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</si>
  <si>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</si>
  <si>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</si>
  <si>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r>
      <rPr>
        <b val="true"/>
        <sz val="11"/>
        <rFont val="Cambria"/>
        <family val="0"/>
        <charset val="1"/>
      </rPr>
      <t xml:space="preserve">N3. </t>
    </r>
    <r>
      <rPr>
        <b val="true"/>
        <sz val="11"/>
        <rFont val="Noto Sans CJK SC"/>
        <family val="2"/>
      </rPr>
      <t xml:space="preserve">位元需求（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基期與各應用年增；非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應用三情境相同）</t>
    </r>
  </si>
  <si>
    <t xml:space="preserve">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</si>
  <si>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</si>
  <si>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</si>
  <si>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</si>
  <si>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</si>
  <si>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</si>
  <si>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</si>
  <si>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</si>
  <si>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</si>
  <si>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</si>
  <si>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</si>
  <si>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</si>
  <si>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</si>
  <si>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</si>
  <si>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</si>
  <si>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</si>
  <si>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</si>
  <si>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</si>
  <si>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</si>
  <si>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</si>
  <si>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</si>
  <si>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</si>
  <si>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</si>
  <si>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</si>
  <si>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</si>
  <si>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</si>
  <si>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三情境相同</t>
  </si>
  <si>
    <t xml:space="preserve">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</si>
  <si>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</si>
  <si>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</si>
  <si>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</si>
  <si>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</si>
  <si>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</si>
  <si>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</si>
  <si>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</si>
  <si>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</si>
  <si>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</si>
  <si>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</si>
  <si>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</si>
  <si>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</si>
  <si>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</si>
  <si>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</si>
  <si>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</si>
  <si>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</si>
  <si>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</si>
  <si>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</si>
  <si>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</si>
  <si>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</si>
  <si>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r>
      <rPr>
        <b val="true"/>
        <sz val="11"/>
        <rFont val="Cambria"/>
        <family val="0"/>
        <charset val="1"/>
      </rPr>
      <t xml:space="preserve">N4. </t>
    </r>
    <r>
      <rPr>
        <b val="true"/>
        <sz val="11"/>
        <rFont val="Noto Sans CJK SC"/>
        <family val="2"/>
      </rPr>
      <t xml:space="preserve">位元供給（全產業；三情境相同：產能與製程轉換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前已訂定）</t>
    </r>
  </si>
  <si>
    <t xml:space="preserve">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</si>
  <si>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</si>
  <si>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</si>
  <si>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</si>
  <si>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</si>
  <si>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</si>
  <si>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</si>
  <si>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</si>
  <si>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</si>
  <si>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</si>
  <si>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</si>
  <si>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</si>
  <si>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</si>
  <si>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r>
      <rPr>
        <b val="true"/>
        <sz val="11"/>
        <rFont val="Cambria"/>
        <family val="0"/>
        <charset val="1"/>
      </rPr>
      <t xml:space="preserve">N5. </t>
    </r>
    <r>
      <rPr>
        <b val="true"/>
        <sz val="11"/>
        <rFont val="Noto Sans CJK SC"/>
        <family val="2"/>
      </rPr>
      <t xml:space="preserve">季度實績（</t>
    </r>
    <r>
      <rPr>
        <b val="true"/>
        <sz val="11"/>
        <rFont val="Cambria"/>
        <family val="0"/>
        <charset val="1"/>
      </rPr>
      <t xml:space="preserve">TrendForce </t>
    </r>
    <r>
      <rPr>
        <b val="true"/>
        <sz val="11"/>
        <rFont val="Noto Sans CJK SC"/>
        <family val="2"/>
      </rPr>
      <t xml:space="preserve">前五大 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營收；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Noto Sans CJK SC"/>
        <family val="2"/>
      </rPr>
      <t xml:space="preserve">）與前五大占全市場比例</t>
    </r>
  </si>
  <si>
    <t xml:space="preserve">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</si>
  <si>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</si>
  <si>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$B</t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</si>
  <si>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</si>
  <si>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</si>
  <si>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</si>
  <si>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</si>
  <si>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</si>
  <si>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</si>
  <si>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</si>
  <si>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</si>
  <si>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</si>
  <si>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</si>
  <si>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</si>
  <si>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</si>
  <si>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</si>
  <si>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</si>
  <si>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</si>
  <si>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</si>
  <si>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</si>
  <si>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</si>
  <si>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</si>
  <si>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</si>
  <si>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</si>
  <si>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</si>
  <si>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</si>
  <si>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</si>
  <si>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</si>
  <si>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</si>
  <si>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</si>
  <si>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</si>
  <si>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</si>
  <si>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</si>
  <si>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</si>
  <si>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</si>
  <si>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</si>
  <si>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</si>
  <si>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</si>
  <si>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</si>
  <si>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</si>
  <si>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</si>
  <si>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</si>
  <si>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</si>
  <si>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</si>
  <si>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</si>
  <si>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</si>
  <si>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</si>
  <si>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</si>
  <si>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</si>
  <si>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</si>
  <si>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</si>
  <si>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</si>
  <si>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</si>
  <si>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</si>
  <si>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</si>
  <si>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</si>
  <si>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</si>
  <si>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</si>
  <si>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</si>
  <si>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</si>
  <si>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</si>
  <si>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</si>
  <si>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</si>
  <si>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</si>
  <si>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</si>
  <si>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</si>
  <si>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</si>
  <si>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</si>
  <si>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t5_0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</si>
  <si>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</si>
  <si>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Noto Sans CJK SC"/>
        <family val="2"/>
      </rPr>
      <t xml:space="preserve">未找到；取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值附近</t>
    </r>
  </si>
  <si>
    <t xml:space="preserve">其他＝長江存儲、英特爾殘餘、旺宏、華邦等</t>
  </si>
  <si>
    <t xml:space="preserve">t5_1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</si>
  <si>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</si>
  <si>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Noto Sans CJK SC"/>
        <family val="2"/>
      </rPr>
      <t xml:space="preserve">全市場＝三星營收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三星市占 </t>
    </r>
    <r>
      <rPr>
        <sz val="11"/>
        <color theme="1"/>
        <rFont val="Calibri"/>
        <family val="2"/>
        <charset val="1"/>
      </rPr>
      <t xml:space="preserve">32.9%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）；前五大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全市場</t>
    </r>
  </si>
  <si>
    <t xml:space="preserve">t5_2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</si>
  <si>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</si>
  <si>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之間</t>
    </r>
  </si>
  <si>
    <t xml:space="preserve">t5_3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</si>
  <si>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</si>
  <si>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Noto Sans CJK SC"/>
        <family val="2"/>
      </rPr>
      <t xml:space="preserve">三星市占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4Q25</t>
    </r>
    <r>
      <rPr>
        <sz val="11"/>
        <color theme="1"/>
        <rFont val="Noto Sans CJK SC"/>
        <family val="2"/>
      </rPr>
      <t xml:space="preserve">）</t>
    </r>
  </si>
  <si>
    <t xml:space="preserve">t5_4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</si>
  <si>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</si>
  <si>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之間</t>
    </r>
  </si>
  <si>
    <t xml:space="preserve">t5_5</t>
  </si>
  <si>
    <r>
      <rPr>
        <sz val="11"/>
        <color theme="1"/>
        <rFont val="Noto Sans CJK SC"/>
        <family val="2"/>
      </rPr>
      <t xml:space="preserve">前五大占全市場營收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</si>
  <si>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Noto Sans CJK SC"/>
        <family val="2"/>
      </rPr>
      <t xml:space="preserve">三星市占 </t>
    </r>
    <r>
      <rPr>
        <sz val="11"/>
        <color theme="1"/>
        <rFont val="Calibri"/>
        <family val="2"/>
        <charset val="1"/>
      </rPr>
      <t xml:space="preserve">29.3%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13.6%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；兩者推得的全市場一致）</t>
    </r>
  </si>
  <si>
    <t xml:space="preserve">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</si>
  <si>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</si>
  <si>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</si>
  <si>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</si>
  <si>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r>
      <rPr>
        <b val="true"/>
        <sz val="11"/>
        <rFont val="Cambria"/>
        <family val="0"/>
        <charset val="1"/>
      </rPr>
      <t xml:space="preserve">N6. </t>
    </r>
    <r>
      <rPr>
        <b val="true"/>
        <sz val="11"/>
        <rFont val="Noto Sans CJK SC"/>
        <family val="2"/>
      </rPr>
      <t xml:space="preserve">各廠份額（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起；</t>
    </r>
    <r>
      <rPr>
        <b val="true"/>
        <sz val="11"/>
        <rFont val="Cambria"/>
        <family val="0"/>
        <charset val="1"/>
      </rPr>
      <t xml:space="preserve">Kioxia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SanDisk </t>
    </r>
    <r>
      <rPr>
        <b val="true"/>
        <sz val="11"/>
        <rFont val="Noto Sans CJK SC"/>
        <family val="2"/>
      </rPr>
      <t xml:space="preserve">由公司 </t>
    </r>
    <r>
      <rPr>
        <b val="true"/>
        <sz val="11"/>
        <rFont val="Cambria"/>
        <family val="0"/>
        <charset val="1"/>
      </rPr>
      <t xml:space="preserve">2026Q3 </t>
    </r>
    <r>
      <rPr>
        <b val="true"/>
        <sz val="11"/>
        <rFont val="Noto Sans CJK SC"/>
        <family val="2"/>
      </rPr>
      <t xml:space="preserve">指引推得，其餘沿用 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實績，其他＝餘額）</t>
    </r>
  </si>
  <si>
    <t xml:space="preserve">sd_g</t>
  </si>
  <si>
    <r>
      <rPr>
        <sz val="11"/>
        <color theme="1"/>
        <rFont val="Calibri"/>
        <family val="2"/>
        <charset val="1"/>
      </rPr>
      <t xml:space="preserve">SanDisk 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）營收實績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</si>
  <si>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</si>
  <si>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新聞稿與法說（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逐字稿、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簡報摘要）：</t>
    </r>
    <r>
      <rPr>
        <sz val="11"/>
        <color theme="1"/>
        <rFont val="Calibri"/>
        <family val="2"/>
        <charset val="1"/>
      </rPr>
      <t xml:space="preserve">$11.031B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</si>
  <si>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前為公司指引 </t>
    </r>
    <r>
      <rPr>
        <sz val="11"/>
        <color theme="1"/>
        <rFont val="Calibri"/>
        <family val="2"/>
        <charset val="1"/>
      </rPr>
      <t xml:space="preserve">$10.3–10.8B</t>
    </r>
  </si>
  <si>
    <t xml:space="preserve">sd_k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</si>
  <si>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</si>
  <si>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8.965 ÷ TrendForce 2Q26 8.97</t>
    </r>
  </si>
  <si>
    <t xml:space="preserve">kx_g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</si>
  <si>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）營收實績</t>
    </r>
  </si>
  <si>
    <t xml:space="preserve">¥B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</si>
  <si>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404K Research </t>
    </r>
    <r>
      <rPr>
        <sz val="11"/>
        <color theme="1"/>
        <rFont val="Noto Sans CJK SC"/>
        <family val="2"/>
      </rPr>
      <t xml:space="preserve">法說整理、</t>
    </r>
    <r>
      <rPr>
        <sz val="11"/>
        <color theme="1"/>
        <rFont val="Calibri"/>
        <family val="2"/>
        <charset val="1"/>
      </rPr>
      <t xml:space="preserve">FourWeekMBA </t>
    </r>
    <r>
      <rPr>
        <sz val="11"/>
        <color theme="1"/>
        <rFont val="Noto Sans CJK SC"/>
        <family val="2"/>
      </rPr>
      <t xml:space="preserve">轉載）：營收 </t>
    </r>
    <r>
      <rPr>
        <sz val="11"/>
        <color theme="1"/>
        <rFont val="Calibri"/>
        <family val="2"/>
        <charset val="1"/>
      </rPr>
      <t xml:space="preserve">¥2,480.0B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¥1,994.7B</t>
    </r>
    <r>
      <rPr>
        <sz val="11"/>
        <color theme="1"/>
        <rFont val="Noto Sans CJK SC"/>
        <family val="2"/>
      </rPr>
      <t xml:space="preserve">；第三季指引 </t>
    </r>
    <r>
      <rPr>
        <sz val="11"/>
        <color theme="1"/>
        <rFont val="Calibri"/>
        <family val="2"/>
        <charset val="1"/>
      </rPr>
      <t xml:space="preserve">¥2,500.0B</t>
    </r>
    <r>
      <rPr>
        <sz val="11"/>
        <color theme="1"/>
        <rFont val="Noto Sans CJK SC"/>
        <family val="2"/>
      </rPr>
      <t xml:space="preserve">（假設 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日圓）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</si>
  <si>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前為公司指引 </t>
    </r>
    <r>
      <rPr>
        <sz val="11"/>
        <color theme="1"/>
        <rFont val="Calibri"/>
        <family val="2"/>
        <charset val="1"/>
      </rPr>
      <t xml:space="preserve">¥2,390.0B</t>
    </r>
  </si>
  <si>
    <t xml:space="preserve">kx_fxg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</si>
  <si>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第二季平均匯率</t>
    </r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</si>
  <si>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</t>
    </r>
  </si>
  <si>
    <r>
      <rPr>
        <sz val="11"/>
        <color theme="1"/>
        <rFont val="Noto Sans CJK SC"/>
        <family val="2"/>
      </rPr>
      <t xml:space="preserve">同上：第二季 </t>
    </r>
    <r>
      <rPr>
        <sz val="11"/>
        <color theme="1"/>
        <rFont val="Calibri"/>
        <family val="2"/>
        <charset val="1"/>
      </rPr>
      <t xml:space="preserve">161 </t>
    </r>
    <r>
      <rPr>
        <sz val="11"/>
        <color theme="1"/>
        <rFont val="Noto Sans CJK SC"/>
        <family val="2"/>
      </rPr>
      <t xml:space="preserve">日圓（第一季 </t>
    </r>
    <r>
      <rPr>
        <sz val="11"/>
        <color theme="1"/>
        <rFont val="Calibri"/>
        <family val="2"/>
        <charset val="1"/>
      </rPr>
      <t xml:space="preserve">160</t>
    </r>
    <r>
      <rPr>
        <sz val="11"/>
        <color theme="1"/>
        <rFont val="Noto Sans CJK SC"/>
        <family val="2"/>
      </rPr>
      <t xml:space="preserve">）</t>
    </r>
  </si>
  <si>
    <t xml:space="preserve">kx_k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</si>
  <si>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</si>
  <si>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第一季營收 </t>
    </r>
    <r>
      <rPr>
        <sz val="11"/>
        <color theme="1"/>
        <rFont val="Calibri"/>
        <family val="2"/>
        <charset val="1"/>
      </rPr>
      <t xml:space="preserve">¥1,767.1B ÷ </t>
    </r>
    <r>
      <rPr>
        <sz val="11"/>
        <color theme="1"/>
        <rFont val="Noto Sans CJK SC"/>
        <family val="2"/>
      </rPr>
      <t xml:space="preserve">平均匯率 </t>
    </r>
    <r>
      <rPr>
        <sz val="11"/>
        <color theme="1"/>
        <rFont val="Calibri"/>
        <family val="2"/>
        <charset val="1"/>
      </rPr>
      <t xml:space="preserve">160 ÷ TrendForce 2Q26 10.72</t>
    </r>
    <r>
      <rPr>
        <sz val="11"/>
        <color theme="1"/>
        <rFont val="Noto Sans CJK SC"/>
        <family val="2"/>
      </rPr>
      <t xml:space="preserve">（公司含其他營收 </t>
    </r>
    <r>
      <rPr>
        <sz val="11"/>
        <color theme="1"/>
        <rFont val="Calibri"/>
        <family val="2"/>
        <charset val="1"/>
      </rPr>
      <t xml:space="preserve">¥66.7B</t>
    </r>
    <r>
      <rPr>
        <sz val="11"/>
        <color theme="1"/>
        <rFont val="Noto Sans CJK SC"/>
        <family val="2"/>
      </rPr>
      <t xml:space="preserve">）</t>
    </r>
  </si>
  <si>
    <t xml:space="preserve">sd_g4</t>
  </si>
  <si>
    <r>
      <rPr>
        <sz val="11"/>
        <color theme="1"/>
        <rFont val="Calibri"/>
        <family val="2"/>
        <charset val="1"/>
      </rPr>
      <t xml:space="preserve">SanDisk FQ2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）營收指引中點</t>
    </r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</si>
  <si>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12.2–12.6</t>
    </r>
    <r>
      <rPr>
        <sz val="11"/>
        <color theme="1"/>
        <rFont val="Noto Sans CJK SC"/>
        <family val="2"/>
      </rPr>
      <t xml:space="preserve">（立場：公司）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</si>
  <si>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：與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實績平均，推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起份額（平滑公司出貨季別移動；三星、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海力士、美光同樣用兩季平均）</t>
    </r>
  </si>
  <si>
    <t xml:space="preserve">kx_g4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</si>
  <si>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第三季（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）營收指引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</si>
  <si>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¥2,500B</t>
    </r>
    <r>
      <rPr>
        <sz val="11"/>
        <color theme="1"/>
        <rFont val="Noto Sans CJK SC"/>
        <family val="2"/>
      </rPr>
      <t xml:space="preserve">；位元持平（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月提前出貨、部分長交期產品遞延到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月）、平均售價季增低個位數（產品組合轉差）</t>
    </r>
  </si>
  <si>
    <t xml:space="preserve">kx_fxg4</t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</si>
  <si>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第三季指引的匯率假設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</si>
  <si>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日圓</t>
    </r>
  </si>
  <si>
    <t xml:space="preserve">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</si>
  <si>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</si>
  <si>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</si>
  <si>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</si>
  <si>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</si>
  <si>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</si>
  <si>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</si>
  <si>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</si>
  <si>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</si>
  <si>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</si>
  <si>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dr_jv_A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</si>
  <si>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</si>
  <si>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：北上 </t>
    </r>
    <r>
      <rPr>
        <sz val="11"/>
        <color theme="1"/>
        <rFont val="Calibri"/>
        <family val="2"/>
        <charset val="1"/>
      </rPr>
      <t xml:space="preserve">K2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BiCS10 </t>
    </r>
    <r>
      <rPr>
        <sz val="11"/>
        <color theme="1"/>
        <rFont val="Noto Sans CJK SC"/>
        <family val="2"/>
      </rPr>
      <t xml:space="preserve">如期量產（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年均資本支出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</si>
  <si>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Flash Ventures</t>
    </r>
    <r>
      <rPr>
        <sz val="11"/>
        <color theme="1"/>
        <rFont val="Noto Sans CJK SC"/>
        <family val="2"/>
      </rPr>
      <t xml:space="preserve">（四日市、北上）由 </t>
    </r>
    <r>
      <rPr>
        <sz val="11"/>
        <color theme="1"/>
        <rFont val="Calibri"/>
        <family val="2"/>
        <charset val="1"/>
      </rPr>
      <t xml:space="preserve">Kioxia 50.1%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SanDisk 49.9% </t>
    </r>
    <r>
      <rPr>
        <sz val="11"/>
        <color theme="1"/>
        <rFont val="Noto Sans CJK SC"/>
        <family val="2"/>
      </rPr>
      <t xml:space="preserve">持有（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簡報），兩家位元成長同步；方向：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最不利；其他（長江存儲等）吸收差額</t>
    </r>
  </si>
  <si>
    <t xml:space="preserve">dr_jv_B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</si>
  <si>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</si>
  <si>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：長江存儲（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位元市占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）持續擴產</t>
    </r>
  </si>
  <si>
    <t xml:space="preserve">dr_jv_C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</si>
  <si>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</si>
  <si>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需求轉弱時中國廠以價換量</t>
    </r>
  </si>
  <si>
    <r>
      <rPr>
        <sz val="11"/>
        <color theme="1"/>
        <rFont val="Calibri"/>
        <family val="2"/>
        <charset val="1"/>
      </rPr>
      <t xml:space="preserve">Ann — NAND </t>
    </r>
    <r>
      <rPr>
        <sz val="11"/>
        <color theme="1"/>
        <rFont val="Noto Sans CJK SC"/>
        <family val="2"/>
      </rPr>
      <t xml:space="preserve">市場年度摘要（三情境；引用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CY2024–2025 </t>
    </r>
    <r>
      <rPr>
        <sz val="11"/>
        <color theme="1"/>
        <rFont val="Noto Sans CJK SC"/>
        <family val="2"/>
      </rPr>
      <t xml:space="preserve">為實績（位元為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基期）；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價格為收斂法（灰底）</t>
    </r>
  </si>
  <si>
    <t xml:space="preserve">情境／項目</t>
  </si>
  <si>
    <t xml:space="preserve">CY2024</t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</si>
  <si>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</si>
  <si>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</si>
  <si>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</si>
  <si>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</si>
  <si>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</si>
  <si>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</si>
  <si>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</si>
  <si>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</si>
  <si>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加速器顆數</t>
  </si>
  <si>
    <r>
      <rPr>
        <sz val="11"/>
        <color theme="1"/>
        <rFont val="Noto Sans CJK SC"/>
        <family val="2"/>
      </rPr>
      <t xml:space="preserve">  需求：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</si>
  <si>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r>
      <rPr>
        <sz val="11"/>
        <color theme="1"/>
        <rFont val="Noto Sans CJK SC"/>
        <family val="2"/>
      </rPr>
      <t xml:space="preserve">  需求：非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</si>
  <si>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t xml:space="preserve">  需求：手機</t>
  </si>
  <si>
    <r>
      <rPr>
        <sz val="11"/>
        <color theme="1"/>
        <rFont val="Noto Sans CJK SC"/>
        <family val="2"/>
      </rPr>
      <t xml:space="preserve">  需求：</t>
    </r>
    <r>
      <rPr>
        <sz val="11"/>
        <color theme="1"/>
        <rFont val="Calibri"/>
        <family val="2"/>
        <charset val="1"/>
      </rPr>
      <t xml:space="preserve">PC</t>
    </r>
  </si>
  <si>
    <t xml:space="preserve">  需求：消費性與其他</t>
  </si>
  <si>
    <t xml:space="preserve">位元需求合計</t>
  </si>
  <si>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占需求</t>
    </r>
  </si>
  <si>
    <t xml:space="preserve">位元供給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</si>
  <si>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 − </t>
    </r>
    <r>
      <rPr>
        <sz val="11"/>
        <color theme="1"/>
        <rFont val="Calibri"/>
        <family val="2"/>
        <charset val="1"/>
      </rPr>
      <t xml:space="preserve">1</t>
    </r>
  </si>
  <si>
    <t xml:space="preserve">位元出貨</t>
  </si>
  <si>
    <t xml:space="preserve">位元出貨年增</t>
  </si>
  <si>
    <t xml:space="preserve">平均售價</t>
  </si>
  <si>
    <t xml:space="preserve">$/GB</t>
  </si>
  <si>
    <t xml:space="preserve">平均售價年變動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</si>
  <si>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</si>
  <si>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CY2026–28 </t>
    </r>
    <r>
      <rPr>
        <sz val="11"/>
        <color theme="1"/>
        <rFont val="Noto Sans CJK SC"/>
        <family val="2"/>
      </rPr>
      <t xml:space="preserve">三情境營收與位元成長見 </t>
    </r>
    <r>
      <rPr>
        <sz val="11"/>
        <color theme="1"/>
        <rFont val="Calibri"/>
        <family val="2"/>
        <charset val="1"/>
      </rPr>
      <t xml:space="preserve">README</t>
    </r>
  </si>
  <si>
    <t xml:space="preserve">市場營收年增</t>
  </si>
  <si>
    <t xml:space="preserve">份額：三星</t>
  </si>
  <si>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</si>
  <si>
    <t xml:space="preserve">份額：美光</t>
  </si>
  <si>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Kioxia</t>
    </r>
  </si>
  <si>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SanDisk</t>
    </r>
  </si>
  <si>
    <t xml:space="preserve">份額：其他（長江存儲等）</t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</si>
  <si>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</si>
  <si>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營收（年）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</si>
  <si>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營收（年）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</si>
  <si>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</si>
  <si>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</si>
  <si>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核對：三情境份額合計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、實績季重現（應為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</si>
  <si>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Path — NAND </t>
    </r>
    <r>
      <rPr>
        <sz val="11"/>
        <color theme="1"/>
        <rFont val="Noto Sans CJK SC"/>
        <family val="2"/>
      </rPr>
      <t xml:space="preserve">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2025Q2–2029Q4 </t>
    </r>
    <r>
      <rPr>
        <sz val="11"/>
        <color theme="1"/>
        <rFont val="Noto Sans CJK SC"/>
        <family val="2"/>
      </rPr>
      <t xml:space="preserve">季增取自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</t>
    </r>
    <r>
      <rPr>
        <sz val="11"/>
        <color theme="1"/>
        <rFont val="Noto Sans CJK SC"/>
        <family val="2"/>
      </rPr>
      <t xml:space="preserve">（收斂法，灰底）</t>
    </r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</si>
  <si>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</si>
  <si>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</si>
  <si>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</si>
  <si>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</si>
  <si>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</si>
  <si>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</si>
  <si>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</si>
  <si>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</si>
  <si>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</si>
  <si>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</si>
  <si>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</si>
  <si>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</si>
  <si>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</si>
  <si>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</si>
  <si>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</si>
  <si>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</si>
  <si>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</si>
  <si>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</si>
  <si>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</si>
  <si>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</si>
  <si>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</si>
  <si>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</si>
  <si>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</si>
  <si>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</si>
  <si>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</si>
  <si>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t xml:space="preserve">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</si>
  <si>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</si>
  <si>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</si>
  <si>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</si>
  <si>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</si>
  <si>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</si>
  <si>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年均指數</t>
  </si>
  <si>
    <t xml:space="preserve">CY2026÷CY2025</t>
  </si>
  <si>
    <t xml:space="preserve">CY2027÷CY2026</t>
  </si>
  <si>
    <t xml:space="preserve">CY2028÷CY2027</t>
  </si>
  <si>
    <t xml:space="preserve">CY2029÷CY2028</t>
  </si>
  <si>
    <t xml:space="preserve">CY2030÷CY2029</t>
  </si>
  <si>
    <t xml:space="preserve">四季平均</t>
  </si>
  <si>
    <r>
      <rPr>
        <sz val="11"/>
        <color theme="1"/>
        <rFont val="Calibri"/>
        <family val="2"/>
        <charset val="1"/>
      </rPr>
      <t xml:space="preserve">Mkt — NAND </t>
    </r>
    <r>
      <rPr>
        <sz val="11"/>
        <color theme="1"/>
        <rFont val="Noto Sans CJK SC"/>
        <family val="2"/>
      </rPr>
      <t xml:space="preserve">市場（三情境各一個完整推導區塊；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區年度、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區季度）。需求＝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；營收＝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位元比；份額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市場＝各廠營收</t>
    </r>
  </si>
  <si>
    <r>
      <rPr>
        <sz val="11"/>
        <color theme="1"/>
        <rFont val="Noto Sans CJK SC"/>
        <family val="2"/>
      </rPr>
      <t xml:space="preserve">下游讀數列：「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）」「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）」「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位元（…）」「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位元（…）」（</t>
    </r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2025Q1..2030Q4</t>
    </r>
    <r>
      <rPr>
        <sz val="11"/>
        <color theme="1"/>
        <rFont val="Noto Sans CJK SC"/>
        <family val="2"/>
      </rPr>
      <t xml:space="preserve">）。灰底＝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收斂法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</si>
  <si>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2027–28 </t>
    </r>
    <r>
      <rPr>
        <b val="true"/>
        <sz val="11"/>
        <rFont val="Noto Sans CJK SC"/>
        <family val="2"/>
      </rPr>
      <t xml:space="preserve">高檔持平、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緩降（</t>
    </r>
    <r>
      <rPr>
        <b val="true"/>
        <sz val="11"/>
        <rFont val="Cambria"/>
        <family val="0"/>
        <charset val="1"/>
      </rPr>
      <t xml:space="preserve">BofA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TrendForce </t>
    </r>
    <r>
      <rPr>
        <b val="true"/>
        <sz val="11"/>
        <rFont val="Noto Sans CJK SC"/>
        <family val="2"/>
      </rPr>
      <t xml:space="preserve">型））；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1.0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；合資群份額年變動 </t>
    </r>
    <r>
      <rPr>
        <b val="true"/>
        <sz val="11"/>
        <rFont val="Cambria"/>
        <family val="0"/>
        <charset val="1"/>
      </rPr>
      <t xml:space="preserve">dr_jv_A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</si>
  <si>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年度（日曆年）</t>
    </r>
  </si>
  <si>
    <t xml:space="preserve">加速器顆數（同字母情境係數）</t>
  </si>
  <si>
    <r>
      <rPr>
        <sz val="11"/>
        <color theme="1"/>
        <rFont val="Calibri"/>
        <family val="2"/>
        <charset val="1"/>
      </rPr>
      <t xml:space="preserve">markets/memory UNITS × SCEN_UNITS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基準以 </t>
    </r>
    <r>
      <rPr>
        <sz val="11"/>
        <color theme="1"/>
        <rFont val="Calibri"/>
        <family val="2"/>
        <charset val="1"/>
      </rPr>
      <t xml:space="preserve">g_u29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g_u30 </t>
    </r>
    <r>
      <rPr>
        <sz val="11"/>
        <color theme="1"/>
        <rFont val="Noto Sans CJK SC"/>
        <family val="2"/>
      </rPr>
      <t xml:space="preserve">外推，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um29</t>
    </r>
  </si>
  <si>
    <r>
      <rPr>
        <sz val="11"/>
        <color theme="1"/>
        <rFont val="Noto Sans CJK SC"/>
        <family val="2"/>
      </rPr>
      <t xml:space="preserve">每顆企業級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</t>
    </r>
  </si>
  <si>
    <t xml:space="preserve">TB</t>
  </si>
  <si>
    <r>
      <rPr>
        <sz val="11"/>
        <color theme="1"/>
        <rFont val="Noto Sans CJK SC"/>
        <family val="2"/>
      </rPr>
      <t xml:space="preserve">需求：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</si>
  <si>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每顆容量（百萬顆 </t>
    </r>
    <r>
      <rPr>
        <sz val="11"/>
        <color theme="1"/>
        <rFont val="Calibri"/>
        <family val="2"/>
        <charset val="1"/>
      </rPr>
      <t xml:space="preserve">× TB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＝基期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</si>
  <si>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需求：非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</si>
  <si>
    <t xml:space="preserve">需求：手機</t>
  </si>
  <si>
    <r>
      <rPr>
        <sz val="11"/>
        <color theme="1"/>
        <rFont val="Noto Sans CJK SC"/>
        <family val="2"/>
      </rPr>
      <t xml:space="preserve">需求：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</t>
    </r>
  </si>
  <si>
    <t xml:space="preserve">需求：消費性與其他</t>
  </si>
  <si>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</si>
  <si>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t xml:space="preserve">位元供給（三情境相同）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</si>
  <si>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＝出貨實績（基期）；供給不隨需求情境變（產能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前已訂定），需求不足的結果是閒置產能與降價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</si>
  <si>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</si>
  <si>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位元出貨＝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</si>
  <si>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市場營收（四季合計）</t>
    </r>
  </si>
  <si>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年度值</t>
    </r>
  </si>
  <si>
    <r>
      <rPr>
        <sz val="11"/>
        <color theme="1"/>
        <rFont val="Noto Sans CJK SC"/>
        <family val="2"/>
      </rPr>
      <t xml:space="preserve">平均售價（營收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位元出貨）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</si>
  <si>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為收斂法（</t>
    </r>
    <r>
      <rPr>
        <sz val="11"/>
        <color theme="1"/>
        <rFont val="Calibri"/>
        <family val="2"/>
        <charset val="1"/>
      </rPr>
      <t xml:space="preserve">p10</t>
    </r>
    <r>
      <rPr>
        <sz val="11"/>
        <color theme="1"/>
        <rFont val="Noto Sans CJK SC"/>
        <family val="2"/>
      </rPr>
      <t xml:space="preserve">）＋位元平滑效果</t>
    </r>
  </si>
  <si>
    <t xml:space="preserve">年度份額：三星</t>
  </si>
  <si>
    <r>
      <rPr>
        <sz val="11"/>
        <color theme="1"/>
        <rFont val="Noto Sans CJK SC"/>
        <family val="2"/>
      </rPr>
      <t xml:space="preserve">年度份額：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</si>
  <si>
    <t xml:space="preserve">年度份額：美光</t>
  </si>
  <si>
    <r>
      <rPr>
        <sz val="11"/>
        <color theme="1"/>
        <rFont val="Noto Sans CJK SC"/>
        <family val="2"/>
      </rPr>
      <t xml:space="preserve">年度份額：</t>
    </r>
    <r>
      <rPr>
        <sz val="11"/>
        <color theme="1"/>
        <rFont val="Calibri"/>
        <family val="2"/>
        <charset val="1"/>
      </rPr>
      <t xml:space="preserve">Kioxia</t>
    </r>
  </si>
  <si>
    <r>
      <rPr>
        <sz val="11"/>
        <color theme="1"/>
        <rFont val="Noto Sans CJK SC"/>
        <family val="2"/>
      </rPr>
      <t xml:space="preserve">年度份額：</t>
    </r>
    <r>
      <rPr>
        <sz val="11"/>
        <color theme="1"/>
        <rFont val="Calibri"/>
        <family val="2"/>
        <charset val="1"/>
      </rPr>
      <t xml:space="preserve">SanDisk</t>
    </r>
  </si>
  <si>
    <t xml:space="preserve">年度份額：其他（長江存儲等）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</si>
  <si>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</t>
    </r>
  </si>
  <si>
    <t xml:space="preserve">合約價指數（同字母路徑）</t>
  </si>
  <si>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</si>
  <si>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Path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起的季價乘價格係數</t>
    </r>
  </si>
  <si>
    <t xml:space="preserve">季度位元出貨（年內依年增平滑；四季合計＝年度）</t>
  </si>
  <si>
    <r>
      <rPr>
        <sz val="11"/>
        <color theme="1"/>
        <rFont val="Noto Sans CJK SC"/>
        <family val="2"/>
      </rPr>
      <t xml:space="preserve">季度＝年度 </t>
    </r>
    <r>
      <rPr>
        <sz val="11"/>
        <color theme="1"/>
        <rFont val="Calibri"/>
        <family val="2"/>
        <charset val="1"/>
      </rPr>
      <t xml:space="preserve">÷ 4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</t>
    </r>
    <r>
      <rPr>
        <sz val="11"/>
        <color theme="1"/>
        <rFont val="Calibri"/>
        <family val="2"/>
        <charset val="1"/>
      </rPr>
      <t xml:space="preserve">^((</t>
    </r>
    <r>
      <rPr>
        <sz val="11"/>
        <color theme="1"/>
        <rFont val="Noto Sans CJK SC"/>
        <family val="2"/>
      </rPr>
      <t xml:space="preserve">季−</t>
    </r>
    <r>
      <rPr>
        <sz val="11"/>
        <color theme="1"/>
        <rFont val="Calibri"/>
        <family val="2"/>
        <charset val="1"/>
      </rPr>
      <t xml:space="preserve">2.5)/4)</t>
    </r>
    <r>
      <rPr>
        <sz val="11"/>
        <color theme="1"/>
        <rFont val="Noto Sans CJK SC"/>
        <family val="2"/>
      </rPr>
      <t xml:space="preserve">，再正規化使四季合計等於年度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</si>
  <si>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市場營收（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前實績；之後＝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位元比）</t>
    </r>
  </si>
  <si>
    <r>
      <rPr>
        <sz val="11"/>
        <color theme="1"/>
        <rFont val="Noto Sans CJK SC"/>
        <family val="2"/>
      </rPr>
      <t xml:space="preserve">實績＝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前五大占比；以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為錨</t>
    </r>
  </si>
  <si>
    <r>
      <rPr>
        <sz val="11"/>
        <color theme="1"/>
        <rFont val="Calibri"/>
        <family val="2"/>
        <charset val="1"/>
      </rPr>
      <t xml:space="preserve">2026Q3–Q4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實績份額；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起每年＋年變動</t>
    </r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</si>
  <si>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＝公司第二季實績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公司口徑係數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實績份額與 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指引份額的平均（平滑出貨季別移動）；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起＋合資群年變動 </t>
    </r>
    <r>
      <rPr>
        <sz val="11"/>
        <color theme="1"/>
        <rFont val="Calibri"/>
        <family val="2"/>
        <charset val="1"/>
      </rPr>
      <t xml:space="preserve">× Kioxia </t>
    </r>
    <r>
      <rPr>
        <sz val="11"/>
        <color theme="1"/>
        <rFont val="Noto Sans CJK SC"/>
        <family val="2"/>
      </rPr>
      <t xml:space="preserve">比重</t>
    </r>
  </si>
  <si>
    <r>
      <rPr>
        <sz val="11"/>
        <color theme="1"/>
        <rFont val="Calibri"/>
        <family val="2"/>
        <charset val="1"/>
      </rPr>
      <t xml:space="preserve">2026Q3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口徑係數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市場；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實績份額與 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指引份額的平均；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起＋合資群年變動 </t>
    </r>
    <r>
      <rPr>
        <sz val="11"/>
        <color theme="1"/>
        <rFont val="Calibri"/>
        <family val="2"/>
        <charset val="1"/>
      </rPr>
      <t xml:space="preserve">× SanDisk </t>
    </r>
    <r>
      <rPr>
        <sz val="11"/>
        <color theme="1"/>
        <rFont val="Noto Sans CJK SC"/>
        <family val="2"/>
      </rPr>
      <t xml:space="preserve">比重</t>
    </r>
  </si>
  <si>
    <t xml:space="preserve">餘額（長江存儲等）</t>
  </si>
  <si>
    <r>
      <rPr>
        <sz val="11"/>
        <color theme="1"/>
        <rFont val="Noto Sans CJK SC"/>
        <family val="2"/>
      </rPr>
      <t xml:space="preserve">三星 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</si>
  <si>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</si>
  <si>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</si>
  <si>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</si>
  <si>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</si>
  <si>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其他（長江存儲等） 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</si>
  <si>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</si>
  <si>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</si>
  <si>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t xml:space="preserve">假設該廠平均售價＝市場平均（份額以營收計）；公司模型以此列的變動率推單位成本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</si>
  <si>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</si>
  <si>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Noto Sans CJK SC"/>
        <family val="2"/>
      </rPr>
      <t xml:space="preserve">檢查：份額合計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；實績季營收重現（應為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</si>
  <si>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</si>
  <si>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 Q2 </t>
    </r>
    <r>
      <rPr>
        <b val="true"/>
        <sz val="11"/>
        <rFont val="Noto Sans CJK SC"/>
        <family val="2"/>
      </rPr>
      <t xml:space="preserve">見頂、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回落約一半、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溫和回升（</t>
    </r>
    <r>
      <rPr>
        <b val="true"/>
        <sz val="11"/>
        <rFont val="Cambria"/>
        <family val="0"/>
        <charset val="1"/>
      </rPr>
      <t xml:space="preserve">Citi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Bernstein </t>
    </r>
    <r>
      <rPr>
        <b val="true"/>
        <sz val="11"/>
        <rFont val="Noto Sans CJK SC"/>
        <family val="2"/>
      </rPr>
      <t xml:space="preserve">型））；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0.8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0.85</t>
    </r>
    <r>
      <rPr>
        <b val="true"/>
        <sz val="11"/>
        <rFont val="Noto Sans CJK SC"/>
        <family val="2"/>
      </rPr>
      <t xml:space="preserve">；合資群份額年變動 </t>
    </r>
    <r>
      <rPr>
        <b val="true"/>
        <sz val="11"/>
        <rFont val="Cambria"/>
        <family val="0"/>
        <charset val="1"/>
      </rPr>
      <t xml:space="preserve">dr_jv_B</t>
    </r>
  </si>
  <si>
    <r>
      <rPr>
        <sz val="11"/>
        <color theme="1"/>
        <rFont val="Noto Sans CJK SC"/>
        <family val="2"/>
      </rPr>
      <t xml:space="preserve">三星 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</si>
  <si>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</si>
  <si>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</si>
  <si>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</si>
  <si>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</si>
  <si>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其他（長江存儲等） 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</si>
  <si>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</si>
  <si>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</si>
  <si>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</si>
  <si>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回到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年價格水準、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自谷底回升（完整循環））；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0.6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；合資群份額年變動 </t>
    </r>
    <r>
      <rPr>
        <b val="true"/>
        <sz val="11"/>
        <rFont val="Cambria"/>
        <family val="0"/>
        <charset val="1"/>
      </rPr>
      <t xml:space="preserve">dr_jv_C</t>
    </r>
  </si>
  <si>
    <r>
      <rPr>
        <sz val="11"/>
        <color theme="1"/>
        <rFont val="Noto Sans CJK SC"/>
        <family val="2"/>
      </rPr>
      <t xml:space="preserve">三星 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</si>
  <si>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</si>
  <si>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</si>
  <si>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</si>
  <si>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</si>
  <si>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其他（長江存儲等） 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</si>
  <si>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</si>
  <si>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</si>
  <si>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營收份額）</t>
    </r>
  </si>
  <si>
    <r>
      <rPr>
        <sz val="11"/>
        <color theme="1"/>
        <rFont val="Calibri"/>
        <family val="2"/>
        <charset val="1"/>
      </rPr>
      <t xml:space="preserve">Sup — </t>
    </r>
    <r>
      <rPr>
        <sz val="11"/>
        <color theme="1"/>
        <rFont val="Noto Sans CJK SC"/>
        <family val="2"/>
      </rPr>
      <t xml:space="preserve">主要廠位元供給說明（層數、產能動向；本頁為文字輸入，不進計算：位元供給以全產業年增 </t>
    </r>
    <r>
      <rPr>
        <sz val="11"/>
        <color theme="1"/>
        <rFont val="Calibri"/>
        <family val="2"/>
        <charset val="1"/>
      </rPr>
      <t xml:space="preserve">gs_ </t>
    </r>
    <r>
      <rPr>
        <sz val="11"/>
        <color theme="1"/>
        <rFont val="Noto Sans CJK SC"/>
        <family val="2"/>
      </rPr>
      <t xml:space="preserve">計，見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N4</t>
    </r>
    <r>
      <rPr>
        <sz val="11"/>
        <color theme="1"/>
        <rFont val="Noto Sans CJK SC"/>
        <family val="2"/>
      </rPr>
      <t xml:space="preserve">）</t>
    </r>
  </si>
  <si>
    <t xml:space="preserve">廠商</t>
  </si>
  <si>
    <r>
      <rPr>
        <b val="true"/>
        <sz val="11"/>
        <rFont val="Noto Sans CJK SC"/>
        <family val="2"/>
      </rPr>
      <t xml:space="preserve">主力世代（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）</t>
    </r>
  </si>
  <si>
    <t xml:space="preserve">下一代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</si>
  <si>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產能動向</t>
    </r>
  </si>
  <si>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位元市占</t>
    </r>
  </si>
  <si>
    <t xml:space="preserve">來源</t>
  </si>
  <si>
    <t xml:space="preserve">三星</t>
  </si>
  <si>
    <r>
      <rPr>
        <sz val="11"/>
        <color theme="1"/>
        <rFont val="Calibri"/>
        <family val="2"/>
        <charset val="1"/>
      </rPr>
      <t xml:space="preserve">V9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</si>
  <si>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層以上；大規模投資不早於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</si>
  <si>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</si>
  <si>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25%</t>
  </si>
  <si>
    <r>
      <rPr>
        <sz val="11"/>
        <color theme="1"/>
        <rFont val="Calibri"/>
        <family val="2"/>
        <charset val="1"/>
      </rPr>
      <t xml:space="preserve">borecraft 2026-05-26</t>
    </r>
    <r>
      <rPr>
        <sz val="11"/>
        <color theme="1"/>
        <rFont val="Noto Sans CJK SC"/>
        <family val="2"/>
      </rPr>
      <t xml:space="preserve">（轉載 </t>
    </r>
    <r>
      <rPr>
        <sz val="11"/>
        <color theme="1"/>
        <rFont val="Calibri"/>
        <family val="2"/>
        <charset val="1"/>
      </rPr>
      <t xml:space="preserve">DigiTimes 2026-05-25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 2026-01-20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Counterpoint 2Q26 </t>
    </r>
    <r>
      <rPr>
        <sz val="11"/>
        <color theme="1"/>
        <rFont val="Noto Sans CJK SC"/>
        <family val="2"/>
      </rPr>
      <t xml:space="preserve">位元市占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</si>
  <si>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</si>
  <si>
    <r>
      <rPr>
        <sz val="11"/>
        <color theme="1"/>
        <rFont val="Calibri"/>
        <family val="2"/>
        <charset val="1"/>
      </rPr>
      <t xml:space="preserve">321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V9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</si>
  <si>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層級新品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年初全面量產</t>
    </r>
  </si>
  <si>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Solidigm 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出貨季增約 </t>
    </r>
    <r>
      <rPr>
        <sz val="11"/>
        <color theme="1"/>
        <rFont val="Calibri"/>
        <family val="2"/>
        <charset val="1"/>
      </rPr>
      <t xml:space="preserve">40%</t>
    </r>
  </si>
  <si>
    <t xml:space="preserve">22%</t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</si>
  <si>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TrendForce 2026-08-18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</si>
  <si>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（合資群）</t>
    </r>
  </si>
  <si>
    <r>
      <rPr>
        <sz val="11"/>
        <color theme="1"/>
        <rFont val="Calibri"/>
        <family val="2"/>
        <charset val="1"/>
      </rPr>
      <t xml:space="preserve">BiCS8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218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</si>
  <si>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量產；密度高約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</si>
  <si>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</si>
  <si>
    <t xml:space="preserve">未找到</t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</si>
  <si>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</t>
    </r>
  </si>
  <si>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（合資群）</t>
    </r>
  </si>
  <si>
    <r>
      <rPr>
        <sz val="11"/>
        <color theme="1"/>
        <rFont val="Calibri"/>
        <family val="2"/>
        <charset val="1"/>
      </rPr>
      <t xml:space="preserve">BiCS8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218 </t>
    </r>
    <r>
      <rPr>
        <sz val="11"/>
        <color theme="1"/>
        <rFont val="Noto Sans CJK SC"/>
        <family val="2"/>
      </rPr>
      <t xml:space="preserve">層；與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共用晶圓廠）</t>
    </r>
  </si>
  <si>
    <t xml:space="preserve">BiCS10</t>
  </si>
  <si>
    <r>
      <rPr>
        <sz val="11"/>
        <color theme="1"/>
        <rFont val="Noto Sans CJK SC"/>
        <family val="2"/>
      </rPr>
      <t xml:space="preserve">位元成長相對保守（</t>
    </r>
    <r>
      <rPr>
        <sz val="11"/>
        <color theme="1"/>
        <rFont val="Calibri"/>
        <family val="2"/>
        <charset val="1"/>
      </rPr>
      <t xml:space="preserve">TrendForce 2Q26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49.9%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</si>
  <si>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</t>
    </r>
  </si>
  <si>
    <t xml:space="preserve">美光</t>
  </si>
  <si>
    <r>
      <rPr>
        <sz val="11"/>
        <color theme="1"/>
        <rFont val="Calibri"/>
        <family val="2"/>
        <charset val="1"/>
      </rPr>
      <t xml:space="preserve">G9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276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</si>
  <si>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Noto Sans CJK SC"/>
        <family val="2"/>
      </rPr>
      <t xml:space="preserve">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</si>
  <si>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Guru3D 2026-10-01</t>
    </r>
    <r>
      <rPr>
        <sz val="11"/>
        <color theme="1"/>
        <rFont val="Noto Sans CJK SC"/>
        <family val="2"/>
      </rPr>
      <t xml:space="preserve">）</t>
    </r>
  </si>
  <si>
    <t xml:space="preserve">長江存儲</t>
  </si>
  <si>
    <r>
      <rPr>
        <sz val="11"/>
        <color theme="1"/>
        <rFont val="Calibri"/>
        <family val="2"/>
        <charset val="1"/>
      </rPr>
      <t xml:space="preserve">Xtacking 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267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</si>
  <si>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位元市占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（第三），年增約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；三廠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年底投產</t>
    </r>
  </si>
  <si>
    <t xml:space="preserve">14%</t>
  </si>
  <si>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hwbusters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</si>
  <si>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各廠晶圓月產能（千片）：未找到可驗證的公開數字（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付費）。本版不以各廠產能加總推供給，改用全產業位元年增（美光指引），各廠以營收份額分配。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</si>
  <si>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公司指引、公開預測（只作事後對照，不回推參數）。差距＝模型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</si>
  <si>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</si>
  <si>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</si>
  <si>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</si>
  <si>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</si>
  <si>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</si>
  <si>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t xml:space="preserve">對照來源</t>
  </si>
  <si>
    <r>
      <rPr>
        <sz val="11"/>
        <color theme="1"/>
        <rFont val="Calibri"/>
        <family val="2"/>
        <charset val="1"/>
      </rPr>
      <t xml:space="preserve">2Q26 SanDisk </t>
    </r>
    <r>
      <rPr>
        <sz val="11"/>
        <color theme="1"/>
        <rFont val="Noto Sans CJK SC"/>
        <family val="2"/>
      </rPr>
      <t xml:space="preserve">營收（實績重現）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</si>
  <si>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</si>
  <si>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2026Q3 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</si>
  <si>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$10.3–10.8B</t>
    </r>
  </si>
  <si>
    <t xml:space="preserve">恆等式（份額由指引推得）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</si>
  <si>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市場營收 </t>
    </r>
    <r>
      <rPr>
        <sz val="11"/>
        <color theme="1"/>
        <rFont val="Calibri"/>
        <family val="2"/>
        <charset val="1"/>
      </rPr>
      <t xml:space="preserve">vs 2Q26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＋季價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</si>
  <si>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 v0.10 nq_6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實現平均售價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mid-20%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+10~15% </t>
    </r>
    <r>
      <rPr>
        <sz val="11"/>
        <color theme="1"/>
        <rFont val="Noto Sans CJK SC"/>
        <family val="2"/>
      </rPr>
      <t xml:space="preserve">只作對照）</t>
    </r>
  </si>
  <si>
    <t xml:space="preserve">差額＝位元季增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</si>
  <si>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位元出貨年增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美光「低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段」（百分點）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</si>
  <si>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</si>
  <si>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供給受限時＝</t>
    </r>
    <r>
      <rPr>
        <sz val="11"/>
        <color theme="1"/>
        <rFont val="Calibri"/>
        <family val="2"/>
        <charset val="1"/>
      </rPr>
      <t xml:space="preserve">gs_26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</si>
  <si>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位元出貨年增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美光「約中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段」（百分點）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</si>
  <si>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位元出貨年增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美光「約中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段」（百分點）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</si>
  <si>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需求低於供給，出貨＝需求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</si>
  <si>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 − </t>
    </r>
    <r>
      <rPr>
        <sz val="11"/>
        <color theme="1"/>
        <rFont val="Calibri"/>
        <family val="2"/>
        <charset val="1"/>
      </rPr>
      <t xml:space="preserve">1 vs TrendForce </t>
    </r>
    <r>
      <rPr>
        <sz val="11"/>
        <color theme="1"/>
        <rFont val="Noto Sans CJK SC"/>
        <family val="2"/>
      </rPr>
      <t xml:space="preserve">供給缺口 </t>
    </r>
    <r>
      <rPr>
        <sz val="11"/>
        <color theme="1"/>
        <rFont val="Calibri"/>
        <family val="2"/>
        <charset val="1"/>
      </rPr>
      <t xml:space="preserve">4–6%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</si>
  <si>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TrendForce 2026-07-21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供給低於需求 </t>
    </r>
    <r>
      <rPr>
        <sz val="11"/>
        <color theme="1"/>
        <rFont val="Calibri"/>
        <family val="2"/>
        <charset val="1"/>
      </rPr>
      <t xml:space="preserve">4–6%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回到平衡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</si>
  <si>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占需求 </t>
    </r>
    <r>
      <rPr>
        <sz val="11"/>
        <color theme="1"/>
        <rFont val="Calibri"/>
        <family val="2"/>
        <charset val="1"/>
      </rPr>
      <t xml:space="preserve">vs Counterpoint 2Q26 48%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</si>
  <si>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（季度值；全年平均應較低）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</si>
  <si>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</si>
  <si>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市場營收（實績）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前五大合計 </t>
    </r>
    <r>
      <rPr>
        <sz val="11"/>
        <color theme="1"/>
        <rFont val="Calibri"/>
        <family val="2"/>
        <charset val="1"/>
      </rPr>
      <t xml:space="preserve">÷ 0.9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</si>
  <si>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季度合計</t>
    </r>
  </si>
  <si>
    <r>
      <rPr>
        <sz val="11"/>
        <color theme="1"/>
        <rFont val="Calibri"/>
        <family val="2"/>
        <charset val="1"/>
      </rPr>
      <t xml:space="preserve">CY2027 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共識（會計年度依月份拼成日曆年：</t>
    </r>
    <r>
      <rPr>
        <sz val="11"/>
        <color theme="1"/>
        <rFont val="Calibri"/>
        <family val="2"/>
        <charset val="1"/>
      </rPr>
      <t xml:space="preserve">Kioxia 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½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</si>
  <si>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擷取：</t>
    </r>
    <r>
      <rPr>
        <sz val="11"/>
        <color theme="1"/>
        <rFont val="Calibri"/>
        <family val="2"/>
        <charset val="1"/>
      </rPr>
      <t xml:space="preserve">Kioxia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¥10.07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FY2028 ¥13.48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SanDisk FY2027 $49.1B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FY2028 $58.4B</t>
    </r>
  </si>
  <si>
    <r>
      <rPr>
        <sz val="11"/>
        <color theme="1"/>
        <rFont val="Noto Sans CJK SC"/>
        <family val="2"/>
      </rPr>
      <t xml:space="preserve">會計年度依月份拼成日曆年（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）；共識只作對照</t>
    </r>
  </si>
  <si>
    <r>
      <rPr>
        <sz val="11"/>
        <color theme="1"/>
        <rFont val="Calibri"/>
        <family val="2"/>
        <charset val="1"/>
      </rPr>
      <t xml:space="preserve">2026Q4 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FQ2 FY27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12.4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</si>
  <si>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SanDisk FQ1 FY27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12.2–12.6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</si>
  <si>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2026Q4 </t>
    </r>
    <r>
      <rPr>
        <sz val="11"/>
        <color theme="1"/>
        <rFont val="Noto Sans CJK SC"/>
        <family val="2"/>
      </rPr>
      <t xml:space="preserve">季價 </t>
    </r>
    <r>
      <rPr>
        <sz val="11"/>
        <color theme="1"/>
        <rFont val="Calibri"/>
        <family val="2"/>
        <charset val="1"/>
      </rPr>
      <t xml:space="preserve">+8.1%</t>
    </r>
    <r>
      <rPr>
        <sz val="11"/>
        <color theme="1"/>
        <rFont val="Noto Sans CJK SC"/>
        <family val="2"/>
      </rPr>
      <t xml:space="preserve">＋份額取兩季平均（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+9.6%</t>
    </r>
    <r>
      <rPr>
        <sz val="11"/>
        <color theme="1"/>
        <rFont val="Noto Sans CJK SC"/>
        <family val="2"/>
      </rPr>
      <t xml:space="preserve">）；公司稱價量皆貢獻、同品項價格溫和上升</t>
    </r>
  </si>
  <si>
    <r>
      <rPr>
        <sz val="11"/>
        <color theme="1"/>
        <rFont val="Calibri"/>
        <family val="2"/>
        <charset val="1"/>
      </rPr>
      <t xml:space="preserve">2026Q4 Kioxia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 </t>
    </r>
    <r>
      <rPr>
        <sz val="11"/>
        <color theme="1"/>
        <rFont val="Calibri"/>
        <family val="2"/>
        <charset val="1"/>
      </rPr>
      <t xml:space="preserve">¥2,500B ÷ 157 </t>
    </r>
    <r>
      <rPr>
        <sz val="11"/>
        <color theme="1"/>
        <rFont val="Noto Sans CJK SC"/>
        <family val="2"/>
      </rPr>
      <t xml:space="preserve">日圓（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</si>
  <si>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第二季財報（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）：第三季營收指引 </t>
    </r>
    <r>
      <rPr>
        <sz val="11"/>
        <color theme="1"/>
        <rFont val="Calibri"/>
        <family val="2"/>
        <charset val="1"/>
      </rPr>
      <t xml:space="preserve">¥2,500B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Noto Sans CJK SC"/>
        <family val="2"/>
      </rPr>
      <t xml:space="preserve">日圓）；位元持平、平均售價季增低個位數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</si>
  <si>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：季價 </t>
    </r>
    <r>
      <rPr>
        <sz val="11"/>
        <color theme="1"/>
        <rFont val="Calibri"/>
        <family val="2"/>
        <charset val="1"/>
      </rPr>
      <t xml:space="preserve">+8.1%</t>
    </r>
    <r>
      <rPr>
        <sz val="11"/>
        <color theme="1"/>
        <rFont val="Noto Sans CJK SC"/>
        <family val="2"/>
      </rPr>
      <t xml:space="preserve">＋份額取兩季平均（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+19.2%</t>
    </r>
    <r>
      <rPr>
        <sz val="11"/>
        <color theme="1"/>
        <rFont val="Noto Sans CJK SC"/>
        <family val="2"/>
      </rPr>
      <t xml:space="preserve">）。餘差＝份額平均只平滑一半的出貨季別移動（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月提前、部分遞延到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月，同一會計年度內）與產品組合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</si>
  <si>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市場營收與 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</si>
  <si>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</si>
  <si>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</si>
  <si>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CY2027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$B</t>
    </r>
  </si>
  <si>
    <t xml:space="preserve">相對基準</t>
  </si>
  <si>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</si>
  <si>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位元出貨 </t>
    </r>
    <r>
      <rPr>
        <b val="true"/>
        <sz val="11"/>
        <rFont val="Cambria"/>
        <family val="0"/>
        <charset val="1"/>
      </rPr>
      <t xml:space="preserve">EB</t>
    </r>
  </si>
  <si>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合資群營收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</si>
  <si>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$B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</si>
  <si>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</si>
  <si>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</si>
  <si>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每顆容量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</si>
  <si>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tb </t>
    </r>
    <r>
      <rPr>
        <sz val="11"/>
        <color theme="1"/>
        <rFont val="Noto Sans CJK SC"/>
        <family val="2"/>
      </rPr>
      <t xml:space="preserve">低欄</t>
    </r>
  </si>
  <si>
    <r>
      <rPr>
        <sz val="11"/>
        <color theme="1"/>
        <rFont val="Noto Sans CJK SC"/>
        <family val="2"/>
      </rPr>
      <t xml:space="preserve">每顆容量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</si>
  <si>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tb </t>
    </r>
    <r>
      <rPr>
        <sz val="11"/>
        <color theme="1"/>
        <rFont val="Noto Sans CJK SC"/>
        <family val="2"/>
      </rPr>
      <t xml:space="preserve">高欄</t>
    </r>
  </si>
  <si>
    <t xml:space="preserve">位元供給成長 低</t>
  </si>
  <si>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Noto Sans CJK SC"/>
        <family val="2"/>
      </rPr>
      <t xml:space="preserve">低欄</t>
    </r>
  </si>
  <si>
    <t xml:space="preserve">位元供給成長 高</t>
  </si>
  <si>
    <r>
      <rPr>
        <sz val="11"/>
        <color theme="1"/>
        <rFont val="Calibri"/>
        <family val="2"/>
        <charset val="1"/>
      </rPr>
      <t xml:space="preserve">gs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</si>
  <si>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 </t>
    </r>
    <r>
      <rPr>
        <sz val="11"/>
        <color theme="1"/>
        <rFont val="Calibri"/>
        <family val="2"/>
        <charset val="1"/>
      </rPr>
      <t xml:space="preserve">850 EB</t>
    </r>
  </si>
  <si>
    <r>
      <rPr>
        <sz val="11"/>
        <color theme="1"/>
        <rFont val="Calibri"/>
        <family val="2"/>
        <charset val="1"/>
      </rPr>
      <t xml:space="preserve">bits25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</si>
  <si>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 </t>
    </r>
    <r>
      <rPr>
        <sz val="11"/>
        <color theme="1"/>
        <rFont val="Calibri"/>
        <family val="2"/>
        <charset val="1"/>
      </rPr>
      <t xml:space="preserve">1,150 EB</t>
    </r>
  </si>
  <si>
    <r>
      <rPr>
        <sz val="11"/>
        <color theme="1"/>
        <rFont val="Calibri"/>
        <family val="2"/>
        <charset val="1"/>
      </rPr>
      <t xml:space="preserve">bits25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</si>
  <si>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2025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26%</t>
    </r>
  </si>
  <si>
    <r>
      <rPr>
        <sz val="11"/>
        <color theme="1"/>
        <rFont val="Calibri"/>
        <family val="2"/>
        <charset val="1"/>
      </rPr>
      <t xml:space="preserve">sh_essd25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</si>
  <si>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</si>
  <si>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</si>
  <si>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</si>
  <si>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</si>
  <si>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售價年變動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</si>
  <si>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p10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</si>
  <si>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起季價水準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</si>
  <si>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</si>
  <si>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合資群份額年變動取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0.6pt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</si>
  <si>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</si>
  <si>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</si>
  <si>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</si>
  <si>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</si>
  <si>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起的變動＝價格指數比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位元比；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份額由公司指引推得，因此改變市場路徑時兩家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營收不變（份額反向調整）。</t>
    </r>
  </si>
  <si>
    <r>
      <rPr>
        <b val="true"/>
        <sz val="11"/>
        <rFont val="Noto Sans CJK SC"/>
        <family val="2"/>
      </rPr>
      <t xml:space="preserve">案例區塊：每顆容量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</si>
  <si>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案例區塊：每顆容量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</si>
  <si>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案例區塊：位元供給成長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</si>
  <si>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案例區塊：位元供給成長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</si>
  <si>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 </t>
    </r>
    <r>
      <rPr>
        <b val="true"/>
        <sz val="11"/>
        <rFont val="Cambria"/>
        <family val="0"/>
        <charset val="1"/>
      </rPr>
      <t xml:space="preserve">850 EB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</si>
  <si>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 </t>
    </r>
    <r>
      <rPr>
        <b val="true"/>
        <sz val="11"/>
        <rFont val="Cambria"/>
        <family val="0"/>
        <charset val="1"/>
      </rPr>
      <t xml:space="preserve">1,150 EB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</si>
  <si>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案例區塊：企業級 </t>
    </r>
    <r>
      <rPr>
        <b val="true"/>
        <sz val="11"/>
        <rFont val="Cambria"/>
        <family val="0"/>
        <charset val="1"/>
      </rPr>
      <t xml:space="preserve">SSD 2025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</si>
  <si>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</si>
  <si>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</si>
  <si>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售價年變動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</si>
  <si>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起季價水準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</si>
  <si>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案例區塊：合資群份額年變動取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（−</t>
    </r>
    <r>
      <rPr>
        <b val="true"/>
        <sz val="11"/>
        <rFont val="Cambria"/>
        <family val="0"/>
        <charset val="1"/>
      </rPr>
      <t xml:space="preserve">0.6pt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</si>
  <si>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季價路徑（</t>
    </r>
    <r>
      <rPr>
        <sz val="11"/>
        <color theme="1"/>
        <rFont val="Calibri"/>
        <family val="2"/>
        <charset val="1"/>
      </rPr>
      <t xml:space="preserve">NAND_COMMON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NAND_S</t>
    </r>
    <r>
      <rPr>
        <sz val="11"/>
        <color theme="1"/>
        <rFont val="Noto Sans CJK SC"/>
        <family val="2"/>
      </rPr>
      <t xml:space="preserve">）、加速器顆數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、情境顆數係數 </t>
    </r>
    <r>
      <rPr>
        <sz val="11"/>
        <color theme="1"/>
        <rFont val="Calibri"/>
        <family val="2"/>
        <charset val="1"/>
      </rPr>
      <t xml:space="preserve">SCEN_UNITS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</si>
  <si>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</si>
  <si>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</si>
  <si>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https://www.trendforce.com/presscenter/news/20260818-13186.html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</si>
  <si>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2Q25 NAND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2025-08-28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</si>
  <si>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https://www.trendforce.com/presscenter/news/20250828-12688.html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</si>
  <si>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NAND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2025-12-03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</si>
  <si>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https://www.trendforce.com/presscenter/news/20251203-12813.html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</si>
  <si>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NAND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</si>
  <si>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https://iconnect007.com/article/149024/ai-server-storage-demand-surges-top-five-nand-flash-suppliers-post-238-qoq-revenue-growth-in-4q25/149021/pcb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</si>
  <si>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</t>
    </r>
  </si>
  <si>
    <t xml:space="preserve">https://telecomlead.com/semiconductor/memory-industry-to-see-significant-revenue-growth-trendforce-117301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</si>
  <si>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供給缺口 </t>
    </r>
    <r>
      <rPr>
        <sz val="11"/>
        <color theme="1"/>
        <rFont val="Calibri"/>
        <family val="2"/>
        <charset val="1"/>
      </rPr>
      <t xml:space="preserve">4–6%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平衡、伺服器約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2026-07-21 </t>
    </r>
    <r>
      <rPr>
        <sz val="11"/>
        <color theme="1"/>
        <rFont val="Noto Sans CJK SC"/>
        <family val="2"/>
      </rPr>
      <t xml:space="preserve">轉載）</t>
    </r>
  </si>
  <si>
    <t xml:space="preserve">https://www.guru3d.com/story/nand-flash-supply-expected-to-return-to-market-balance-in-2027/</t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</si>
  <si>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</si>
  <si>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https://www.guru3d.com/story/micron-expects-dram-and-nand-supply-to-tighten-further-through-2028/</t>
  </si>
  <si>
    <r>
      <rPr>
        <sz val="11"/>
        <color theme="1"/>
        <rFont val="Calibri"/>
        <family val="2"/>
        <charset val="1"/>
      </rPr>
      <t xml:space="preserve">Counterpoint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、位元市占（</t>
    </r>
    <r>
      <rPr>
        <sz val="11"/>
        <color theme="1"/>
        <rFont val="Calibri"/>
        <family val="2"/>
        <charset val="1"/>
      </rPr>
      <t xml:space="preserve">capitalandcompute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hwbusters </t>
    </r>
    <r>
      <rPr>
        <sz val="11"/>
        <color theme="1"/>
        <rFont val="Noto Sans CJK SC"/>
        <family val="2"/>
      </rPr>
      <t xml:space="preserve">轉載）</t>
    </r>
  </si>
  <si>
    <t xml:space="preserve">https://capitalandcompute.net/blog/why-are-ssds-so-expensive/</t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</si>
  <si>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</si>
  <si>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https://www.sec.gov/Archives/edgar/data/0002023554/000162828026053346/sndkq4-26ex991xpressrelease.htm</t>
  </si>
  <si>
    <r>
      <rPr>
        <sz val="11"/>
        <color theme="1"/>
        <rFont val="Calibri"/>
        <family val="2"/>
        <charset val="1"/>
      </rPr>
      <t xml:space="preserve">Kioxia FY2026 </t>
    </r>
    <r>
      <rPr>
        <sz val="11"/>
        <color theme="1"/>
        <rFont val="Noto Sans CJK SC"/>
        <family val="2"/>
      </rPr>
      <t xml:space="preserve">第一季財報（</t>
    </r>
    <r>
      <rPr>
        <sz val="11"/>
        <color theme="1"/>
        <rFont val="Calibri"/>
        <family val="2"/>
        <charset val="1"/>
      </rPr>
      <t xml:space="preserve">SGX </t>
    </r>
    <r>
      <rPr>
        <sz val="11"/>
        <color theme="1"/>
        <rFont val="Noto Sans CJK SC"/>
        <family val="2"/>
      </rPr>
      <t xml:space="preserve">轉載，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</si>
  <si>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https://links.sgx.com/1.0.0/corporate-announcements/DOATO9EIE4EEQ2Y8/898078_Earnings-Release-FY2026-1Q-EN.pdf</t>
  </si>
  <si>
    <r>
      <rPr>
        <sz val="11"/>
        <color theme="1"/>
        <rFont val="Calibri"/>
        <family val="2"/>
        <charset val="1"/>
      </rPr>
      <t xml:space="preserve">borecraft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332 </t>
    </r>
    <r>
      <rPr>
        <sz val="11"/>
        <color theme="1"/>
        <rFont val="Noto Sans CJK SC"/>
        <family val="2"/>
      </rPr>
      <t xml:space="preserve">層、三星／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投片（</t>
    </r>
    <r>
      <rPr>
        <sz val="11"/>
        <color theme="1"/>
        <rFont val="Calibri"/>
        <family val="2"/>
        <charset val="1"/>
      </rPr>
      <t xml:space="preserve">2026-05-26</t>
    </r>
    <r>
      <rPr>
        <sz val="11"/>
        <color theme="1"/>
        <rFont val="Noto Sans CJK SC"/>
        <family val="2"/>
      </rPr>
      <t xml:space="preserve">，轉載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輔助撰寫，弱）</t>
    </r>
  </si>
  <si>
    <t xml:space="preserve">https://borecraft.com/?p=15672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</si>
  <si>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FY26–28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2026-06-03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</si>
  <si>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https://www.trendforce.com/news/2026/06/03/news-kioxia-targets-%C2%A5470b-yearly-capex-in-fy26-28-up-66-from-fy25-reportedly-weighing-third-kitakami-fab-and-ma/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</si>
  <si>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</si>
  <si>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t xml:space="preserve">https://uk.marketscreener.com/quote/stock/KIOXIA-HOLDINGS-CORPORATI-180030735/finances/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</si>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</sst>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#,##0"/>
    <numFmt numFmtId="167" formatCode="0.0%"/>
    <numFmt numFmtId="168" formatCode="0.000"/>
    <numFmt numFmtId="169" formatCode="0.000000"/>
    <numFmt numFmtId="170" formatCode="0.0"/>
    <numFmt numFmtId="171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5" hidden="false" customHeight="false" outlineLevel="0" collapsed="false">
      <c r="A9" s="2"/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11</v>
      </c>
    </row>
    <row r="2" customFormat="false" ht="17.15" hidden="false" customHeight="false" outlineLevel="0" collapsed="false">
      <c r="A2" s="5" t="s">
        <v>12</v>
      </c>
    </row>
    <row r="3" customFormat="false" ht="17.15" hidden="false" customHeight="fals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7.15" hidden="false" customHeight="false" outlineLevel="0" collapsed="false">
      <c r="A4" s="1" t="s">
        <v>22</v>
      </c>
    </row>
    <row r="5" customFormat="false" ht="17.15" hidden="false" customHeight="false" outlineLevel="0" collapsed="false">
      <c r="A5" s="0" t="s">
        <v>23</v>
      </c>
      <c r="B5" s="0" t="s">
        <v>24</v>
      </c>
      <c r="C5" s="0" t="s">
        <v>25</v>
      </c>
      <c r="E5" s="7" t="n">
        <v>0</v>
      </c>
      <c r="G5" s="8" t="s">
        <v>26</v>
      </c>
      <c r="H5" s="8" t="s">
        <v>27</v>
      </c>
      <c r="I5" s="8" t="s">
        <v>28</v>
      </c>
    </row>
    <row r="6" customFormat="false" ht="17.15" hidden="false" customHeight="false" outlineLevel="0" collapsed="false">
      <c r="A6" s="0" t="s">
        <v>29</v>
      </c>
      <c r="B6" s="0" t="s">
        <v>30</v>
      </c>
      <c r="C6" s="0" t="s">
        <v>25</v>
      </c>
      <c r="E6" s="7" t="n">
        <v>0.05</v>
      </c>
      <c r="G6" s="8" t="s">
        <v>26</v>
      </c>
      <c r="H6" s="8" t="s">
        <v>31</v>
      </c>
      <c r="I6" s="5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25</v>
      </c>
      <c r="E7" s="7" t="n">
        <v>0.3</v>
      </c>
      <c r="G7" s="8" t="s">
        <v>26</v>
      </c>
      <c r="H7" s="8" t="s">
        <v>35</v>
      </c>
      <c r="I7" s="5" t="s">
        <v>32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25</v>
      </c>
      <c r="E8" s="7" t="n">
        <v>0.875</v>
      </c>
      <c r="G8" s="8" t="s">
        <v>26</v>
      </c>
      <c r="H8" s="8" t="s">
        <v>38</v>
      </c>
      <c r="I8" s="5" t="s">
        <v>32</v>
      </c>
    </row>
    <row r="9" customFormat="false" ht="17.15" hidden="false" customHeight="false" outlineLevel="0" collapsed="false">
      <c r="A9" s="0" t="s">
        <v>39</v>
      </c>
      <c r="B9" s="0" t="s">
        <v>40</v>
      </c>
      <c r="C9" s="0" t="s">
        <v>25</v>
      </c>
      <c r="E9" s="7" t="n">
        <v>0.725</v>
      </c>
      <c r="G9" s="8" t="s">
        <v>26</v>
      </c>
      <c r="H9" s="8" t="s">
        <v>41</v>
      </c>
      <c r="I9" s="5" t="s">
        <v>32</v>
      </c>
    </row>
    <row r="10" customFormat="false" ht="17.15" hidden="false" customHeight="false" outlineLevel="0" collapsed="false">
      <c r="A10" s="0" t="s">
        <v>42</v>
      </c>
      <c r="B10" s="0" t="s">
        <v>43</v>
      </c>
      <c r="C10" s="0" t="s">
        <v>25</v>
      </c>
      <c r="E10" s="7" t="n">
        <v>0.25</v>
      </c>
      <c r="G10" s="8" t="s">
        <v>26</v>
      </c>
      <c r="H10" s="8" t="s">
        <v>44</v>
      </c>
      <c r="I10" s="5" t="s">
        <v>32</v>
      </c>
    </row>
    <row r="11" customFormat="false" ht="17.15" hidden="false" customHeight="false" outlineLevel="0" collapsed="false">
      <c r="A11" s="0" t="s">
        <v>45</v>
      </c>
      <c r="B11" s="0" t="s">
        <v>46</v>
      </c>
      <c r="C11" s="0" t="s">
        <v>25</v>
      </c>
      <c r="E11" s="7" t="n">
        <v>0.081</v>
      </c>
      <c r="G11" s="8" t="s">
        <v>26</v>
      </c>
      <c r="H11" s="8" t="s">
        <v>47</v>
      </c>
      <c r="I11" s="5" t="s">
        <v>32</v>
      </c>
    </row>
    <row r="12" customFormat="false" ht="17.15" hidden="false" customHeight="false" outlineLevel="0" collapsed="false">
      <c r="A12" s="0" t="s">
        <v>48</v>
      </c>
      <c r="B12" s="0" t="s">
        <v>49</v>
      </c>
      <c r="C12" s="0" t="s">
        <v>25</v>
      </c>
      <c r="E12" s="7" t="n">
        <v>0.03</v>
      </c>
      <c r="G12" s="8" t="s">
        <v>26</v>
      </c>
      <c r="H12" s="8" t="s">
        <v>50</v>
      </c>
      <c r="I12" s="5" t="s">
        <v>51</v>
      </c>
    </row>
    <row r="13" customFormat="false" ht="17.15" hidden="false" customHeight="false" outlineLevel="0" collapsed="false">
      <c r="A13" s="0" t="s">
        <v>52</v>
      </c>
      <c r="B13" s="0" t="s">
        <v>53</v>
      </c>
      <c r="C13" s="0" t="s">
        <v>25</v>
      </c>
      <c r="E13" s="7" t="n">
        <v>0</v>
      </c>
      <c r="G13" s="8" t="s">
        <v>26</v>
      </c>
      <c r="H13" s="8" t="s">
        <v>54</v>
      </c>
      <c r="I13" s="5" t="s">
        <v>32</v>
      </c>
    </row>
    <row r="14" customFormat="false" ht="17.15" hidden="false" customHeight="false" outlineLevel="0" collapsed="false">
      <c r="A14" s="0" t="s">
        <v>55</v>
      </c>
      <c r="B14" s="0" t="s">
        <v>56</v>
      </c>
      <c r="C14" s="0" t="s">
        <v>25</v>
      </c>
      <c r="E14" s="7" t="n">
        <v>-0.05</v>
      </c>
      <c r="G14" s="8" t="s">
        <v>26</v>
      </c>
      <c r="H14" s="8" t="s">
        <v>57</v>
      </c>
      <c r="I14" s="5" t="s">
        <v>32</v>
      </c>
    </row>
    <row r="15" customFormat="false" ht="17.15" hidden="false" customHeight="false" outlineLevel="0" collapsed="false">
      <c r="A15" s="0" t="s">
        <v>58</v>
      </c>
      <c r="B15" s="0" t="s">
        <v>59</v>
      </c>
      <c r="C15" s="0" t="s">
        <v>25</v>
      </c>
      <c r="E15" s="7" t="n">
        <v>-0.07</v>
      </c>
      <c r="G15" s="8" t="s">
        <v>26</v>
      </c>
      <c r="H15" s="8" t="s">
        <v>60</v>
      </c>
      <c r="I15" s="5" t="s">
        <v>32</v>
      </c>
    </row>
    <row r="16" customFormat="false" ht="17.15" hidden="false" customHeight="false" outlineLevel="0" collapsed="false">
      <c r="A16" s="0" t="s">
        <v>61</v>
      </c>
      <c r="B16" s="0" t="s">
        <v>62</v>
      </c>
      <c r="C16" s="0" t="s">
        <v>25</v>
      </c>
      <c r="E16" s="7" t="n">
        <v>-0.05</v>
      </c>
      <c r="G16" s="8" t="s">
        <v>26</v>
      </c>
      <c r="H16" s="8" t="s">
        <v>63</v>
      </c>
      <c r="I16" s="5" t="s">
        <v>32</v>
      </c>
    </row>
    <row r="17" customFormat="false" ht="17.15" hidden="false" customHeight="false" outlineLevel="0" collapsed="false">
      <c r="A17" s="0" t="s">
        <v>64</v>
      </c>
      <c r="B17" s="0" t="s">
        <v>65</v>
      </c>
      <c r="C17" s="0" t="s">
        <v>25</v>
      </c>
      <c r="E17" s="7" t="n">
        <v>-0.05</v>
      </c>
      <c r="G17" s="8" t="s">
        <v>26</v>
      </c>
      <c r="H17" s="8" t="s">
        <v>66</v>
      </c>
      <c r="I17" s="5" t="s">
        <v>32</v>
      </c>
    </row>
    <row r="18" customFormat="false" ht="17.15" hidden="false" customHeight="false" outlineLevel="0" collapsed="false">
      <c r="A18" s="0" t="s">
        <v>67</v>
      </c>
      <c r="B18" s="0" t="s">
        <v>68</v>
      </c>
      <c r="C18" s="0" t="s">
        <v>25</v>
      </c>
      <c r="E18" s="7" t="n">
        <v>-0.05</v>
      </c>
      <c r="G18" s="8" t="s">
        <v>26</v>
      </c>
      <c r="H18" s="8" t="s">
        <v>69</v>
      </c>
      <c r="I18" s="5" t="s">
        <v>32</v>
      </c>
    </row>
    <row r="19" customFormat="false" ht="17.15" hidden="false" customHeight="false" outlineLevel="0" collapsed="false">
      <c r="A19" s="0" t="s">
        <v>70</v>
      </c>
      <c r="B19" s="0" t="s">
        <v>71</v>
      </c>
      <c r="C19" s="0" t="s">
        <v>25</v>
      </c>
      <c r="E19" s="7" t="n">
        <v>-0.05</v>
      </c>
      <c r="G19" s="8" t="s">
        <v>26</v>
      </c>
      <c r="H19" s="8" t="s">
        <v>72</v>
      </c>
      <c r="I19" s="5" t="s">
        <v>32</v>
      </c>
    </row>
    <row r="20" customFormat="false" ht="17.15" hidden="false" customHeight="false" outlineLevel="0" collapsed="false">
      <c r="A20" s="0" t="s">
        <v>73</v>
      </c>
      <c r="B20" s="0" t="s">
        <v>74</v>
      </c>
      <c r="C20" s="0" t="s">
        <v>25</v>
      </c>
      <c r="E20" s="7" t="n">
        <v>-0.03</v>
      </c>
      <c r="G20" s="8" t="s">
        <v>26</v>
      </c>
      <c r="H20" s="8" t="s">
        <v>75</v>
      </c>
      <c r="I20" s="5" t="s">
        <v>32</v>
      </c>
    </row>
    <row r="21" customFormat="false" ht="17.15" hidden="false" customHeight="false" outlineLevel="0" collapsed="false">
      <c r="A21" s="0" t="s">
        <v>76</v>
      </c>
      <c r="B21" s="0" t="s">
        <v>77</v>
      </c>
      <c r="C21" s="0" t="s">
        <v>25</v>
      </c>
      <c r="E21" s="7" t="n">
        <v>-0.03</v>
      </c>
      <c r="G21" s="8" t="s">
        <v>26</v>
      </c>
      <c r="H21" s="8" t="s">
        <v>78</v>
      </c>
      <c r="I21" s="5" t="s">
        <v>32</v>
      </c>
    </row>
    <row r="22" customFormat="false" ht="17.15" hidden="false" customHeight="false" outlineLevel="0" collapsed="false">
      <c r="A22" s="0" t="s">
        <v>79</v>
      </c>
      <c r="B22" s="0" t="s">
        <v>80</v>
      </c>
      <c r="C22" s="0" t="s">
        <v>25</v>
      </c>
      <c r="E22" s="7" t="n">
        <v>-0.03</v>
      </c>
      <c r="G22" s="8" t="s">
        <v>26</v>
      </c>
      <c r="H22" s="8" t="s">
        <v>81</v>
      </c>
      <c r="I22" s="5" t="s">
        <v>32</v>
      </c>
    </row>
    <row r="23" customFormat="false" ht="17.15" hidden="false" customHeight="false" outlineLevel="0" collapsed="false">
      <c r="A23" s="0" t="s">
        <v>82</v>
      </c>
      <c r="B23" s="0" t="s">
        <v>83</v>
      </c>
      <c r="C23" s="0" t="s">
        <v>25</v>
      </c>
      <c r="E23" s="7" t="n">
        <v>-0.03</v>
      </c>
      <c r="G23" s="8" t="s">
        <v>26</v>
      </c>
      <c r="H23" s="8" t="s">
        <v>84</v>
      </c>
      <c r="I23" s="5" t="s">
        <v>32</v>
      </c>
    </row>
    <row r="24" customFormat="false" ht="17.15" hidden="false" customHeight="false" outlineLevel="0" collapsed="false">
      <c r="A24" s="0" t="s">
        <v>85</v>
      </c>
      <c r="B24" s="0" t="s">
        <v>86</v>
      </c>
      <c r="C24" s="0" t="s">
        <v>25</v>
      </c>
      <c r="E24" s="7" t="n">
        <v>0.05</v>
      </c>
      <c r="G24" s="8" t="s">
        <v>26</v>
      </c>
      <c r="H24" s="8" t="s">
        <v>87</v>
      </c>
      <c r="I24" s="5" t="s">
        <v>88</v>
      </c>
    </row>
    <row r="25" customFormat="false" ht="17.15" hidden="false" customHeight="false" outlineLevel="0" collapsed="false">
      <c r="A25" s="0" t="s">
        <v>89</v>
      </c>
      <c r="B25" s="0" t="s">
        <v>90</v>
      </c>
      <c r="C25" s="0" t="s">
        <v>25</v>
      </c>
      <c r="E25" s="7" t="n">
        <v>0.02</v>
      </c>
      <c r="G25" s="8" t="s">
        <v>26</v>
      </c>
      <c r="H25" s="8" t="s">
        <v>91</v>
      </c>
      <c r="I25" s="5" t="s">
        <v>32</v>
      </c>
    </row>
    <row r="26" customFormat="false" ht="17.15" hidden="false" customHeight="false" outlineLevel="0" collapsed="false">
      <c r="A26" s="0" t="s">
        <v>92</v>
      </c>
      <c r="B26" s="0" t="s">
        <v>93</v>
      </c>
      <c r="C26" s="0" t="s">
        <v>25</v>
      </c>
      <c r="E26" s="7" t="n">
        <v>-0.1</v>
      </c>
      <c r="G26" s="8" t="s">
        <v>26</v>
      </c>
      <c r="H26" s="8" t="s">
        <v>94</v>
      </c>
      <c r="I26" s="5" t="s">
        <v>32</v>
      </c>
    </row>
    <row r="27" customFormat="false" ht="17.15" hidden="false" customHeight="false" outlineLevel="0" collapsed="false">
      <c r="A27" s="0" t="s">
        <v>95</v>
      </c>
      <c r="B27" s="0" t="s">
        <v>96</v>
      </c>
      <c r="C27" s="0" t="s">
        <v>25</v>
      </c>
      <c r="E27" s="7" t="n">
        <v>-0.2</v>
      </c>
      <c r="G27" s="8" t="s">
        <v>26</v>
      </c>
      <c r="H27" s="8" t="s">
        <v>97</v>
      </c>
      <c r="I27" s="5" t="s">
        <v>32</v>
      </c>
    </row>
    <row r="28" customFormat="false" ht="17.15" hidden="false" customHeight="false" outlineLevel="0" collapsed="false">
      <c r="A28" s="0" t="s">
        <v>98</v>
      </c>
      <c r="B28" s="0" t="s">
        <v>99</v>
      </c>
      <c r="C28" s="0" t="s">
        <v>25</v>
      </c>
      <c r="E28" s="7" t="n">
        <v>-0.3</v>
      </c>
      <c r="G28" s="8" t="s">
        <v>26</v>
      </c>
      <c r="H28" s="8" t="s">
        <v>100</v>
      </c>
      <c r="I28" s="5" t="s">
        <v>32</v>
      </c>
    </row>
    <row r="29" customFormat="false" ht="17.15" hidden="false" customHeight="false" outlineLevel="0" collapsed="false">
      <c r="A29" s="0" t="s">
        <v>101</v>
      </c>
      <c r="B29" s="0" t="s">
        <v>102</v>
      </c>
      <c r="C29" s="0" t="s">
        <v>25</v>
      </c>
      <c r="E29" s="7" t="n">
        <v>-0.25</v>
      </c>
      <c r="G29" s="8" t="s">
        <v>26</v>
      </c>
      <c r="H29" s="8" t="s">
        <v>103</v>
      </c>
      <c r="I29" s="5" t="s">
        <v>32</v>
      </c>
    </row>
    <row r="30" customFormat="false" ht="17.15" hidden="false" customHeight="false" outlineLevel="0" collapsed="false">
      <c r="A30" s="0" t="s">
        <v>104</v>
      </c>
      <c r="B30" s="0" t="s">
        <v>105</v>
      </c>
      <c r="C30" s="0" t="s">
        <v>25</v>
      </c>
      <c r="E30" s="7" t="n">
        <v>-0.2</v>
      </c>
      <c r="G30" s="8" t="s">
        <v>26</v>
      </c>
      <c r="H30" s="8" t="s">
        <v>106</v>
      </c>
      <c r="I30" s="5" t="s">
        <v>32</v>
      </c>
    </row>
    <row r="31" customFormat="false" ht="17.15" hidden="false" customHeight="false" outlineLevel="0" collapsed="false">
      <c r="A31" s="0" t="s">
        <v>107</v>
      </c>
      <c r="B31" s="0" t="s">
        <v>108</v>
      </c>
      <c r="C31" s="0" t="s">
        <v>25</v>
      </c>
      <c r="E31" s="7" t="n">
        <v>-0.1</v>
      </c>
      <c r="G31" s="8" t="s">
        <v>26</v>
      </c>
      <c r="H31" s="8" t="s">
        <v>109</v>
      </c>
      <c r="I31" s="5" t="s">
        <v>32</v>
      </c>
    </row>
    <row r="32" customFormat="false" ht="17.15" hidden="false" customHeight="false" outlineLevel="0" collapsed="false">
      <c r="A32" s="0" t="s">
        <v>110</v>
      </c>
      <c r="B32" s="0" t="s">
        <v>111</v>
      </c>
      <c r="C32" s="0" t="s">
        <v>25</v>
      </c>
      <c r="E32" s="7" t="n">
        <v>0.05</v>
      </c>
      <c r="G32" s="8" t="s">
        <v>26</v>
      </c>
      <c r="H32" s="8" t="s">
        <v>112</v>
      </c>
      <c r="I32" s="5" t="s">
        <v>32</v>
      </c>
    </row>
    <row r="33" customFormat="false" ht="17.15" hidden="false" customHeight="false" outlineLevel="0" collapsed="false">
      <c r="A33" s="0" t="s">
        <v>113</v>
      </c>
      <c r="B33" s="0" t="s">
        <v>114</v>
      </c>
      <c r="C33" s="0" t="s">
        <v>25</v>
      </c>
      <c r="E33" s="7" t="n">
        <v>0.05</v>
      </c>
      <c r="G33" s="8" t="s">
        <v>26</v>
      </c>
      <c r="H33" s="8" t="s">
        <v>115</v>
      </c>
      <c r="I33" s="5" t="s">
        <v>32</v>
      </c>
    </row>
    <row r="34" customFormat="false" ht="17.15" hidden="false" customHeight="false" outlineLevel="0" collapsed="false">
      <c r="A34" s="0" t="s">
        <v>116</v>
      </c>
      <c r="B34" s="0" t="s">
        <v>117</v>
      </c>
      <c r="C34" s="0" t="s">
        <v>25</v>
      </c>
      <c r="E34" s="7" t="n">
        <v>0.03</v>
      </c>
      <c r="G34" s="8" t="s">
        <v>26</v>
      </c>
      <c r="H34" s="8" t="s">
        <v>118</v>
      </c>
      <c r="I34" s="5" t="s">
        <v>32</v>
      </c>
    </row>
    <row r="35" customFormat="false" ht="17.15" hidden="false" customHeight="false" outlineLevel="0" collapsed="false">
      <c r="A35" s="0" t="s">
        <v>119</v>
      </c>
      <c r="B35" s="0" t="s">
        <v>120</v>
      </c>
      <c r="C35" s="0" t="s">
        <v>25</v>
      </c>
      <c r="E35" s="7" t="n">
        <v>0.03</v>
      </c>
      <c r="G35" s="8" t="s">
        <v>26</v>
      </c>
      <c r="H35" s="8" t="s">
        <v>121</v>
      </c>
      <c r="I35" s="5" t="s">
        <v>32</v>
      </c>
    </row>
    <row r="36" customFormat="false" ht="17.15" hidden="false" customHeight="false" outlineLevel="0" collapsed="false">
      <c r="A36" s="0" t="s">
        <v>122</v>
      </c>
      <c r="B36" s="0" t="s">
        <v>123</v>
      </c>
      <c r="C36" s="0" t="s">
        <v>25</v>
      </c>
      <c r="E36" s="7" t="n">
        <v>0.05</v>
      </c>
      <c r="G36" s="8" t="s">
        <v>124</v>
      </c>
      <c r="H36" s="8" t="s">
        <v>125</v>
      </c>
      <c r="I36" s="8" t="s">
        <v>126</v>
      </c>
    </row>
    <row r="37" customFormat="false" ht="17.15" hidden="false" customHeight="false" outlineLevel="0" collapsed="false">
      <c r="A37" s="0" t="s">
        <v>127</v>
      </c>
      <c r="B37" s="0" t="s">
        <v>128</v>
      </c>
      <c r="C37" s="0" t="s">
        <v>25</v>
      </c>
      <c r="E37" s="7" t="n">
        <v>0.02</v>
      </c>
      <c r="G37" s="8" t="s">
        <v>124</v>
      </c>
      <c r="H37" s="8" t="s">
        <v>129</v>
      </c>
      <c r="I37" s="5" t="s">
        <v>32</v>
      </c>
    </row>
    <row r="38" customFormat="false" ht="17.15" hidden="false" customHeight="false" outlineLevel="0" collapsed="false">
      <c r="A38" s="0" t="s">
        <v>130</v>
      </c>
      <c r="B38" s="0" t="s">
        <v>131</v>
      </c>
      <c r="C38" s="0" t="s">
        <v>25</v>
      </c>
      <c r="E38" s="7" t="n">
        <v>-0.1</v>
      </c>
      <c r="G38" s="8" t="s">
        <v>124</v>
      </c>
      <c r="H38" s="8" t="s">
        <v>132</v>
      </c>
      <c r="I38" s="5" t="s">
        <v>32</v>
      </c>
    </row>
    <row r="39" customFormat="false" ht="17.15" hidden="false" customHeight="false" outlineLevel="0" collapsed="false">
      <c r="A39" s="0" t="s">
        <v>133</v>
      </c>
      <c r="B39" s="0" t="s">
        <v>134</v>
      </c>
      <c r="C39" s="0" t="s">
        <v>25</v>
      </c>
      <c r="E39" s="7" t="n">
        <v>-0.2</v>
      </c>
      <c r="G39" s="8" t="s">
        <v>124</v>
      </c>
      <c r="H39" s="8" t="s">
        <v>135</v>
      </c>
      <c r="I39" s="5" t="s">
        <v>32</v>
      </c>
    </row>
    <row r="40" customFormat="false" ht="17.15" hidden="false" customHeight="false" outlineLevel="0" collapsed="false">
      <c r="A40" s="0" t="s">
        <v>136</v>
      </c>
      <c r="B40" s="0" t="s">
        <v>137</v>
      </c>
      <c r="C40" s="0" t="s">
        <v>25</v>
      </c>
      <c r="E40" s="7" t="n">
        <v>-0.35</v>
      </c>
      <c r="G40" s="8" t="s">
        <v>124</v>
      </c>
      <c r="H40" s="8" t="s">
        <v>138</v>
      </c>
      <c r="I40" s="5" t="s">
        <v>32</v>
      </c>
    </row>
    <row r="41" customFormat="false" ht="17.15" hidden="false" customHeight="false" outlineLevel="0" collapsed="false">
      <c r="A41" s="0" t="s">
        <v>139</v>
      </c>
      <c r="B41" s="0" t="s">
        <v>140</v>
      </c>
      <c r="C41" s="0" t="s">
        <v>25</v>
      </c>
      <c r="E41" s="7" t="n">
        <v>-0.35</v>
      </c>
      <c r="G41" s="8" t="s">
        <v>124</v>
      </c>
      <c r="H41" s="8" t="s">
        <v>141</v>
      </c>
      <c r="I41" s="5" t="s">
        <v>32</v>
      </c>
    </row>
    <row r="42" customFormat="false" ht="17.15" hidden="false" customHeight="false" outlineLevel="0" collapsed="false">
      <c r="A42" s="0" t="s">
        <v>142</v>
      </c>
      <c r="B42" s="0" t="s">
        <v>143</v>
      </c>
      <c r="C42" s="0" t="s">
        <v>25</v>
      </c>
      <c r="E42" s="7" t="n">
        <v>-0.25</v>
      </c>
      <c r="G42" s="8" t="s">
        <v>124</v>
      </c>
      <c r="H42" s="8" t="s">
        <v>144</v>
      </c>
      <c r="I42" s="5" t="s">
        <v>32</v>
      </c>
    </row>
    <row r="43" customFormat="false" ht="17.15" hidden="false" customHeight="false" outlineLevel="0" collapsed="false">
      <c r="A43" s="0" t="s">
        <v>145</v>
      </c>
      <c r="B43" s="0" t="s">
        <v>146</v>
      </c>
      <c r="C43" s="0" t="s">
        <v>25</v>
      </c>
      <c r="E43" s="7" t="n">
        <v>-0.2</v>
      </c>
      <c r="G43" s="8" t="s">
        <v>124</v>
      </c>
      <c r="H43" s="8" t="s">
        <v>147</v>
      </c>
      <c r="I43" s="5" t="s">
        <v>32</v>
      </c>
    </row>
    <row r="44" customFormat="false" ht="17.15" hidden="false" customHeight="false" outlineLevel="0" collapsed="false">
      <c r="A44" s="0" t="s">
        <v>148</v>
      </c>
      <c r="B44" s="0" t="s">
        <v>149</v>
      </c>
      <c r="C44" s="0" t="s">
        <v>25</v>
      </c>
      <c r="E44" s="7" t="n">
        <v>0</v>
      </c>
      <c r="G44" s="8" t="s">
        <v>124</v>
      </c>
      <c r="H44" s="8" t="s">
        <v>150</v>
      </c>
      <c r="I44" s="5" t="s">
        <v>32</v>
      </c>
    </row>
    <row r="45" customFormat="false" ht="17.15" hidden="false" customHeight="false" outlineLevel="0" collapsed="false">
      <c r="A45" s="0" t="s">
        <v>151</v>
      </c>
      <c r="B45" s="0" t="s">
        <v>152</v>
      </c>
      <c r="C45" s="0" t="s">
        <v>25</v>
      </c>
      <c r="E45" s="7" t="n">
        <v>0.05</v>
      </c>
      <c r="G45" s="8" t="s">
        <v>124</v>
      </c>
      <c r="H45" s="8" t="s">
        <v>153</v>
      </c>
      <c r="I45" s="5" t="s">
        <v>32</v>
      </c>
    </row>
    <row r="46" customFormat="false" ht="17.15" hidden="false" customHeight="false" outlineLevel="0" collapsed="false">
      <c r="A46" s="0" t="s">
        <v>154</v>
      </c>
      <c r="B46" s="0" t="s">
        <v>155</v>
      </c>
      <c r="C46" s="0" t="s">
        <v>25</v>
      </c>
      <c r="E46" s="7" t="n">
        <v>0.08</v>
      </c>
      <c r="G46" s="8" t="s">
        <v>124</v>
      </c>
      <c r="H46" s="8" t="s">
        <v>156</v>
      </c>
      <c r="I46" s="5" t="s">
        <v>32</v>
      </c>
    </row>
    <row r="47" customFormat="false" ht="17.15" hidden="false" customHeight="false" outlineLevel="0" collapsed="false">
      <c r="A47" s="0" t="s">
        <v>157</v>
      </c>
      <c r="B47" s="0" t="s">
        <v>158</v>
      </c>
      <c r="C47" s="0" t="s">
        <v>25</v>
      </c>
      <c r="E47" s="7" t="n">
        <v>0.1</v>
      </c>
      <c r="G47" s="8" t="s">
        <v>124</v>
      </c>
      <c r="H47" s="8" t="s">
        <v>159</v>
      </c>
      <c r="I47" s="5" t="s">
        <v>32</v>
      </c>
    </row>
    <row r="48" customFormat="false" ht="17.15" hidden="false" customHeight="false" outlineLevel="0" collapsed="false">
      <c r="A48" s="0" t="s">
        <v>160</v>
      </c>
      <c r="B48" s="0" t="s">
        <v>161</v>
      </c>
      <c r="C48" s="0" t="s">
        <v>25</v>
      </c>
      <c r="D48" s="7" t="n">
        <v>-0.2</v>
      </c>
      <c r="E48" s="7" t="n">
        <v>-0.12</v>
      </c>
      <c r="F48" s="7" t="n">
        <v>-0.05</v>
      </c>
      <c r="G48" s="8" t="s">
        <v>162</v>
      </c>
      <c r="H48" s="5" t="s">
        <v>163</v>
      </c>
      <c r="I48" s="8" t="s">
        <v>164</v>
      </c>
    </row>
    <row r="49" customFormat="false" ht="17.15" hidden="false" customHeight="false" outlineLevel="0" collapsed="false">
      <c r="A49" s="1" t="s">
        <v>165</v>
      </c>
    </row>
    <row r="50" customFormat="false" ht="17.15" hidden="false" customHeight="false" outlineLevel="0" collapsed="false">
      <c r="A50" s="0" t="s">
        <v>166</v>
      </c>
      <c r="B50" s="5" t="s">
        <v>167</v>
      </c>
      <c r="C50" s="5" t="s">
        <v>168</v>
      </c>
      <c r="E50" s="7" t="n">
        <v>15.2</v>
      </c>
      <c r="G50" s="8" t="s">
        <v>169</v>
      </c>
      <c r="H50" s="8" t="s">
        <v>170</v>
      </c>
      <c r="I50" s="5" t="s">
        <v>171</v>
      </c>
    </row>
    <row r="51" customFormat="false" ht="17.15" hidden="false" customHeight="false" outlineLevel="0" collapsed="false">
      <c r="A51" s="0" t="s">
        <v>172</v>
      </c>
      <c r="B51" s="5" t="s">
        <v>173</v>
      </c>
      <c r="C51" s="5" t="s">
        <v>168</v>
      </c>
      <c r="E51" s="7" t="n">
        <v>23.7</v>
      </c>
      <c r="G51" s="8" t="s">
        <v>169</v>
      </c>
      <c r="H51" s="8" t="s">
        <v>174</v>
      </c>
      <c r="I51" s="5" t="s">
        <v>32</v>
      </c>
    </row>
    <row r="52" customFormat="false" ht="17.15" hidden="false" customHeight="false" outlineLevel="0" collapsed="false">
      <c r="A52" s="0" t="s">
        <v>175</v>
      </c>
      <c r="B52" s="5" t="s">
        <v>176</v>
      </c>
      <c r="C52" s="5" t="s">
        <v>168</v>
      </c>
      <c r="E52" s="7" t="n">
        <v>26.5</v>
      </c>
      <c r="G52" s="8" t="s">
        <v>169</v>
      </c>
      <c r="H52" s="8" t="s">
        <v>177</v>
      </c>
      <c r="I52" s="5" t="s">
        <v>32</v>
      </c>
    </row>
    <row r="53" customFormat="false" ht="17.15" hidden="false" customHeight="false" outlineLevel="0" collapsed="false">
      <c r="A53" s="0" t="s">
        <v>178</v>
      </c>
      <c r="B53" s="5" t="s">
        <v>179</v>
      </c>
      <c r="C53" s="0" t="s">
        <v>180</v>
      </c>
      <c r="E53" s="7" t="n">
        <v>1</v>
      </c>
      <c r="G53" s="8" t="s">
        <v>169</v>
      </c>
      <c r="H53" s="8" t="s">
        <v>181</v>
      </c>
      <c r="I53" s="8" t="s">
        <v>182</v>
      </c>
    </row>
    <row r="54" customFormat="false" ht="17.15" hidden="false" customHeight="false" outlineLevel="0" collapsed="false">
      <c r="A54" s="0" t="s">
        <v>183</v>
      </c>
      <c r="B54" s="5" t="s">
        <v>184</v>
      </c>
      <c r="C54" s="0" t="s">
        <v>180</v>
      </c>
      <c r="E54" s="7" t="n">
        <v>1</v>
      </c>
      <c r="G54" s="8" t="s">
        <v>169</v>
      </c>
      <c r="H54" s="8" t="s">
        <v>185</v>
      </c>
      <c r="I54" s="5" t="s">
        <v>32</v>
      </c>
    </row>
    <row r="55" customFormat="false" ht="17.15" hidden="false" customHeight="false" outlineLevel="0" collapsed="false">
      <c r="A55" s="0" t="s">
        <v>186</v>
      </c>
      <c r="B55" s="5" t="s">
        <v>187</v>
      </c>
      <c r="C55" s="0" t="s">
        <v>180</v>
      </c>
      <c r="E55" s="7" t="n">
        <v>0.8</v>
      </c>
      <c r="G55" s="8" t="s">
        <v>169</v>
      </c>
      <c r="H55" s="8" t="s">
        <v>188</v>
      </c>
      <c r="I55" s="5" t="s">
        <v>32</v>
      </c>
    </row>
    <row r="56" customFormat="false" ht="17.15" hidden="false" customHeight="false" outlineLevel="0" collapsed="false">
      <c r="A56" s="0" t="s">
        <v>189</v>
      </c>
      <c r="B56" s="5" t="s">
        <v>190</v>
      </c>
      <c r="C56" s="0" t="s">
        <v>180</v>
      </c>
      <c r="E56" s="7" t="n">
        <v>0.85</v>
      </c>
      <c r="G56" s="8" t="s">
        <v>169</v>
      </c>
      <c r="H56" s="8" t="s">
        <v>191</v>
      </c>
      <c r="I56" s="5" t="s">
        <v>32</v>
      </c>
    </row>
    <row r="57" customFormat="false" ht="17.15" hidden="false" customHeight="false" outlineLevel="0" collapsed="false">
      <c r="A57" s="0" t="s">
        <v>192</v>
      </c>
      <c r="B57" s="5" t="s">
        <v>193</v>
      </c>
      <c r="C57" s="0" t="s">
        <v>180</v>
      </c>
      <c r="E57" s="7" t="n">
        <v>0.6</v>
      </c>
      <c r="G57" s="8" t="s">
        <v>169</v>
      </c>
      <c r="H57" s="8" t="s">
        <v>194</v>
      </c>
      <c r="I57" s="5" t="s">
        <v>32</v>
      </c>
    </row>
    <row r="58" customFormat="false" ht="17.15" hidden="false" customHeight="false" outlineLevel="0" collapsed="false">
      <c r="A58" s="0" t="s">
        <v>195</v>
      </c>
      <c r="B58" s="5" t="s">
        <v>196</v>
      </c>
      <c r="C58" s="0" t="s">
        <v>180</v>
      </c>
      <c r="E58" s="7" t="n">
        <v>0.6</v>
      </c>
      <c r="G58" s="8" t="s">
        <v>169</v>
      </c>
      <c r="H58" s="8" t="s">
        <v>197</v>
      </c>
      <c r="I58" s="5" t="s">
        <v>32</v>
      </c>
    </row>
    <row r="59" customFormat="false" ht="17.15" hidden="false" customHeight="false" outlineLevel="0" collapsed="false">
      <c r="A59" s="0" t="s">
        <v>198</v>
      </c>
      <c r="B59" s="0" t="s">
        <v>199</v>
      </c>
      <c r="C59" s="0" t="s">
        <v>25</v>
      </c>
      <c r="D59" s="7" t="n">
        <v>0</v>
      </c>
      <c r="E59" s="7" t="n">
        <v>0.137735849056604</v>
      </c>
      <c r="F59" s="7" t="n">
        <v>0.25</v>
      </c>
      <c r="G59" s="8" t="s">
        <v>169</v>
      </c>
      <c r="H59" s="8" t="s">
        <v>200</v>
      </c>
      <c r="I59" s="5" t="s">
        <v>201</v>
      </c>
    </row>
    <row r="60" customFormat="false" ht="17.15" hidden="false" customHeight="false" outlineLevel="0" collapsed="false">
      <c r="A60" s="0" t="s">
        <v>202</v>
      </c>
      <c r="B60" s="0" t="s">
        <v>203</v>
      </c>
      <c r="C60" s="0" t="s">
        <v>25</v>
      </c>
      <c r="D60" s="7" t="n">
        <v>-0.05</v>
      </c>
      <c r="E60" s="7" t="n">
        <v>0.05</v>
      </c>
      <c r="F60" s="7" t="n">
        <v>0.15</v>
      </c>
      <c r="G60" s="8" t="s">
        <v>124</v>
      </c>
      <c r="H60" s="5" t="s">
        <v>204</v>
      </c>
      <c r="I60" s="5" t="s">
        <v>32</v>
      </c>
    </row>
    <row r="61" customFormat="false" ht="17.15" hidden="false" customHeight="false" outlineLevel="0" collapsed="false">
      <c r="A61" s="0" t="s">
        <v>205</v>
      </c>
      <c r="B61" s="5" t="s">
        <v>206</v>
      </c>
      <c r="C61" s="0" t="s">
        <v>207</v>
      </c>
      <c r="D61" s="7" t="n">
        <v>24</v>
      </c>
      <c r="E61" s="7" t="n">
        <v>30</v>
      </c>
      <c r="F61" s="7" t="n">
        <v>36</v>
      </c>
      <c r="G61" s="8" t="s">
        <v>124</v>
      </c>
      <c r="H61" s="8" t="s">
        <v>208</v>
      </c>
      <c r="I61" s="5" t="s">
        <v>209</v>
      </c>
    </row>
    <row r="62" customFormat="false" ht="17.15" hidden="false" customHeight="false" outlineLevel="0" collapsed="false">
      <c r="A62" s="0" t="s">
        <v>210</v>
      </c>
      <c r="B62" s="5" t="s">
        <v>211</v>
      </c>
      <c r="C62" s="0" t="s">
        <v>207</v>
      </c>
      <c r="D62" s="7" t="n">
        <v>27</v>
      </c>
      <c r="E62" s="7" t="n">
        <v>34</v>
      </c>
      <c r="F62" s="7" t="n">
        <v>41</v>
      </c>
      <c r="G62" s="8" t="s">
        <v>124</v>
      </c>
      <c r="H62" s="5" t="s">
        <v>212</v>
      </c>
      <c r="I62" s="5" t="s">
        <v>209</v>
      </c>
    </row>
    <row r="63" customFormat="false" ht="17.15" hidden="false" customHeight="false" outlineLevel="0" collapsed="false">
      <c r="A63" s="0" t="s">
        <v>213</v>
      </c>
      <c r="B63" s="5" t="s">
        <v>214</v>
      </c>
      <c r="C63" s="0" t="s">
        <v>207</v>
      </c>
      <c r="D63" s="7" t="n">
        <v>32</v>
      </c>
      <c r="E63" s="7" t="n">
        <v>40</v>
      </c>
      <c r="F63" s="7" t="n">
        <v>48</v>
      </c>
      <c r="G63" s="8" t="s">
        <v>124</v>
      </c>
      <c r="H63" s="5" t="s">
        <v>212</v>
      </c>
      <c r="I63" s="5" t="s">
        <v>209</v>
      </c>
    </row>
    <row r="64" customFormat="false" ht="17.15" hidden="false" customHeight="false" outlineLevel="0" collapsed="false">
      <c r="A64" s="0" t="s">
        <v>215</v>
      </c>
      <c r="B64" s="5" t="s">
        <v>216</v>
      </c>
      <c r="C64" s="0" t="s">
        <v>207</v>
      </c>
      <c r="D64" s="7" t="n">
        <v>37</v>
      </c>
      <c r="E64" s="7" t="n">
        <v>46</v>
      </c>
      <c r="F64" s="7" t="n">
        <v>55</v>
      </c>
      <c r="G64" s="8" t="s">
        <v>124</v>
      </c>
      <c r="H64" s="5" t="s">
        <v>212</v>
      </c>
      <c r="I64" s="5" t="s">
        <v>209</v>
      </c>
    </row>
    <row r="65" customFormat="false" ht="17.15" hidden="false" customHeight="false" outlineLevel="0" collapsed="false">
      <c r="A65" s="0" t="s">
        <v>217</v>
      </c>
      <c r="B65" s="5" t="s">
        <v>218</v>
      </c>
      <c r="C65" s="0" t="s">
        <v>207</v>
      </c>
      <c r="D65" s="7" t="n">
        <v>42</v>
      </c>
      <c r="E65" s="7" t="n">
        <v>52</v>
      </c>
      <c r="F65" s="7" t="n">
        <v>62</v>
      </c>
      <c r="G65" s="8" t="s">
        <v>124</v>
      </c>
      <c r="H65" s="5" t="s">
        <v>212</v>
      </c>
      <c r="I65" s="5" t="s">
        <v>209</v>
      </c>
    </row>
    <row r="66" customFormat="false" ht="17.15" hidden="false" customHeight="false" outlineLevel="0" collapsed="false">
      <c r="A66" s="1" t="s">
        <v>219</v>
      </c>
    </row>
    <row r="67" customFormat="false" ht="17.15" hidden="false" customHeight="false" outlineLevel="0" collapsed="false">
      <c r="A67" s="0" t="s">
        <v>220</v>
      </c>
      <c r="B67" s="0" t="s">
        <v>221</v>
      </c>
      <c r="C67" s="0" t="s">
        <v>222</v>
      </c>
      <c r="D67" s="7" t="n">
        <v>850</v>
      </c>
      <c r="E67" s="7" t="n">
        <v>1000</v>
      </c>
      <c r="F67" s="7" t="n">
        <v>1150</v>
      </c>
      <c r="G67" s="8" t="s">
        <v>124</v>
      </c>
      <c r="H67" s="5" t="s">
        <v>223</v>
      </c>
      <c r="I67" s="5" t="s">
        <v>224</v>
      </c>
    </row>
    <row r="68" customFormat="false" ht="17.15" hidden="false" customHeight="false" outlineLevel="0" collapsed="false">
      <c r="A68" s="0" t="s">
        <v>225</v>
      </c>
      <c r="B68" s="0" t="s">
        <v>226</v>
      </c>
      <c r="C68" s="0" t="s">
        <v>25</v>
      </c>
      <c r="D68" s="7" t="n">
        <v>0.08</v>
      </c>
      <c r="E68" s="7" t="n">
        <v>0.12</v>
      </c>
      <c r="F68" s="7" t="n">
        <v>0.16</v>
      </c>
      <c r="G68" s="8" t="s">
        <v>124</v>
      </c>
      <c r="H68" s="8" t="s">
        <v>227</v>
      </c>
      <c r="I68" s="5" t="s">
        <v>228</v>
      </c>
    </row>
    <row r="69" customFormat="false" ht="17.15" hidden="false" customHeight="false" outlineLevel="0" collapsed="false">
      <c r="A69" s="0" t="s">
        <v>229</v>
      </c>
      <c r="B69" s="0" t="s">
        <v>230</v>
      </c>
      <c r="C69" s="0" t="s">
        <v>25</v>
      </c>
      <c r="D69" s="7" t="n">
        <v>0.26</v>
      </c>
      <c r="E69" s="7" t="n">
        <v>0.3</v>
      </c>
      <c r="F69" s="7" t="n">
        <v>0.34</v>
      </c>
      <c r="G69" s="8" t="s">
        <v>26</v>
      </c>
      <c r="H69" s="8" t="s">
        <v>231</v>
      </c>
      <c r="I69" s="5" t="s">
        <v>232</v>
      </c>
    </row>
    <row r="70" customFormat="false" ht="17.15" hidden="false" customHeight="false" outlineLevel="0" collapsed="false">
      <c r="A70" s="0" t="s">
        <v>233</v>
      </c>
      <c r="B70" s="0" t="s">
        <v>234</v>
      </c>
      <c r="C70" s="0" t="s">
        <v>25</v>
      </c>
      <c r="D70" s="7" t="n">
        <v>0.45</v>
      </c>
      <c r="E70" s="7" t="n">
        <v>0.55</v>
      </c>
      <c r="F70" s="7" t="n">
        <v>0.65</v>
      </c>
      <c r="G70" s="8" t="s">
        <v>124</v>
      </c>
      <c r="H70" s="5" t="s">
        <v>235</v>
      </c>
      <c r="I70" s="8" t="s">
        <v>236</v>
      </c>
    </row>
    <row r="71" customFormat="false" ht="17.15" hidden="false" customHeight="false" outlineLevel="0" collapsed="false">
      <c r="A71" s="0" t="s">
        <v>237</v>
      </c>
      <c r="B71" s="0" t="s">
        <v>238</v>
      </c>
      <c r="C71" s="0" t="s">
        <v>25</v>
      </c>
      <c r="D71" s="7" t="n">
        <v>0.28</v>
      </c>
      <c r="E71" s="7" t="n">
        <v>0.32</v>
      </c>
      <c r="F71" s="7" t="n">
        <v>0.36</v>
      </c>
      <c r="G71" s="8" t="s">
        <v>124</v>
      </c>
      <c r="H71" s="8" t="s">
        <v>239</v>
      </c>
    </row>
    <row r="72" customFormat="false" ht="17.15" hidden="false" customHeight="false" outlineLevel="0" collapsed="false">
      <c r="A72" s="0" t="s">
        <v>240</v>
      </c>
      <c r="B72" s="0" t="s">
        <v>241</v>
      </c>
      <c r="C72" s="0" t="s">
        <v>25</v>
      </c>
      <c r="D72" s="7" t="n">
        <v>0.2</v>
      </c>
      <c r="E72" s="7" t="n">
        <v>0.23</v>
      </c>
      <c r="F72" s="7" t="n">
        <v>0.26</v>
      </c>
      <c r="G72" s="8" t="s">
        <v>124</v>
      </c>
      <c r="H72" s="5" t="s">
        <v>32</v>
      </c>
      <c r="I72" s="5" t="s">
        <v>242</v>
      </c>
    </row>
    <row r="73" customFormat="false" ht="17.15" hidden="false" customHeight="false" outlineLevel="0" collapsed="false">
      <c r="A73" s="0" t="s">
        <v>243</v>
      </c>
      <c r="B73" s="5" t="s">
        <v>244</v>
      </c>
      <c r="C73" s="0" t="s">
        <v>25</v>
      </c>
      <c r="D73" s="7" t="n">
        <v>0.05</v>
      </c>
      <c r="E73" s="7" t="n">
        <v>0.1</v>
      </c>
      <c r="F73" s="7" t="n">
        <v>0.15</v>
      </c>
      <c r="G73" s="8" t="s">
        <v>124</v>
      </c>
      <c r="H73" s="8" t="s">
        <v>245</v>
      </c>
      <c r="I73" s="5" t="s">
        <v>246</v>
      </c>
    </row>
    <row r="74" customFormat="false" ht="17.15" hidden="false" customHeight="false" outlineLevel="0" collapsed="false">
      <c r="A74" s="0" t="s">
        <v>247</v>
      </c>
      <c r="B74" s="5" t="s">
        <v>248</v>
      </c>
      <c r="C74" s="0" t="s">
        <v>25</v>
      </c>
      <c r="D74" s="7" t="n">
        <v>-0.1</v>
      </c>
      <c r="E74" s="7" t="n">
        <v>-0.05</v>
      </c>
      <c r="F74" s="7" t="n">
        <v>0</v>
      </c>
      <c r="G74" s="8" t="s">
        <v>124</v>
      </c>
      <c r="H74" s="8" t="s">
        <v>249</v>
      </c>
      <c r="I74" s="5" t="s">
        <v>250</v>
      </c>
    </row>
    <row r="75" customFormat="false" ht="17.15" hidden="false" customHeight="false" outlineLevel="0" collapsed="false">
      <c r="A75" s="0" t="s">
        <v>251</v>
      </c>
      <c r="B75" s="5" t="s">
        <v>252</v>
      </c>
      <c r="C75" s="0" t="s">
        <v>25</v>
      </c>
      <c r="D75" s="7" t="n">
        <v>0</v>
      </c>
      <c r="E75" s="7" t="n">
        <v>0.03</v>
      </c>
      <c r="F75" s="7" t="n">
        <v>0.06</v>
      </c>
      <c r="G75" s="8" t="s">
        <v>124</v>
      </c>
      <c r="H75" s="5" t="s">
        <v>32</v>
      </c>
      <c r="I75" s="5" t="s">
        <v>250</v>
      </c>
    </row>
    <row r="76" customFormat="false" ht="17.15" hidden="false" customHeight="false" outlineLevel="0" collapsed="false">
      <c r="A76" s="0" t="s">
        <v>253</v>
      </c>
      <c r="B76" s="5" t="s">
        <v>254</v>
      </c>
      <c r="C76" s="0" t="s">
        <v>25</v>
      </c>
      <c r="D76" s="7" t="n">
        <v>0.05</v>
      </c>
      <c r="E76" s="7" t="n">
        <v>0.08</v>
      </c>
      <c r="F76" s="7" t="n">
        <v>0.11</v>
      </c>
      <c r="G76" s="8" t="s">
        <v>124</v>
      </c>
      <c r="H76" s="5" t="s">
        <v>32</v>
      </c>
      <c r="I76" s="5" t="s">
        <v>250</v>
      </c>
    </row>
    <row r="77" customFormat="false" ht="17.15" hidden="false" customHeight="false" outlineLevel="0" collapsed="false">
      <c r="A77" s="0" t="s">
        <v>255</v>
      </c>
      <c r="B77" s="0" t="s">
        <v>256</v>
      </c>
      <c r="C77" s="0" t="s">
        <v>25</v>
      </c>
      <c r="D77" s="7" t="n">
        <v>-0.1</v>
      </c>
      <c r="E77" s="7" t="n">
        <v>-0.05</v>
      </c>
      <c r="F77" s="7" t="n">
        <v>0</v>
      </c>
      <c r="G77" s="8" t="s">
        <v>124</v>
      </c>
      <c r="H77" s="5" t="s">
        <v>32</v>
      </c>
      <c r="I77" s="5" t="s">
        <v>250</v>
      </c>
    </row>
    <row r="78" customFormat="false" ht="17.15" hidden="false" customHeight="false" outlineLevel="0" collapsed="false">
      <c r="A78" s="0" t="s">
        <v>257</v>
      </c>
      <c r="B78" s="0" t="s">
        <v>258</v>
      </c>
      <c r="C78" s="0" t="s">
        <v>25</v>
      </c>
      <c r="D78" s="7" t="n">
        <v>-0.03</v>
      </c>
      <c r="E78" s="7" t="n">
        <v>0</v>
      </c>
      <c r="F78" s="7" t="n">
        <v>0.03</v>
      </c>
      <c r="G78" s="8" t="s">
        <v>124</v>
      </c>
      <c r="H78" s="5" t="s">
        <v>32</v>
      </c>
      <c r="I78" s="5" t="s">
        <v>250</v>
      </c>
    </row>
    <row r="79" customFormat="false" ht="17.15" hidden="false" customHeight="false" outlineLevel="0" collapsed="false">
      <c r="A79" s="0" t="s">
        <v>259</v>
      </c>
      <c r="B79" s="0" t="s">
        <v>260</v>
      </c>
      <c r="C79" s="0" t="s">
        <v>25</v>
      </c>
      <c r="D79" s="7" t="n">
        <v>0.03</v>
      </c>
      <c r="E79" s="7" t="n">
        <v>0.06</v>
      </c>
      <c r="F79" s="7" t="n">
        <v>0.09</v>
      </c>
      <c r="G79" s="8" t="s">
        <v>124</v>
      </c>
      <c r="H79" s="5" t="s">
        <v>32</v>
      </c>
      <c r="I79" s="5" t="s">
        <v>250</v>
      </c>
    </row>
    <row r="80" customFormat="false" ht="17.15" hidden="false" customHeight="false" outlineLevel="0" collapsed="false">
      <c r="A80" s="0" t="s">
        <v>261</v>
      </c>
      <c r="B80" s="5" t="s">
        <v>262</v>
      </c>
      <c r="C80" s="0" t="s">
        <v>25</v>
      </c>
      <c r="D80" s="7" t="n">
        <v>-0.15</v>
      </c>
      <c r="E80" s="7" t="n">
        <v>-0.1</v>
      </c>
      <c r="F80" s="7" t="n">
        <v>-0.05</v>
      </c>
      <c r="G80" s="8" t="s">
        <v>124</v>
      </c>
      <c r="H80" s="5" t="s">
        <v>263</v>
      </c>
      <c r="I80" s="5" t="s">
        <v>250</v>
      </c>
    </row>
    <row r="81" customFormat="false" ht="17.15" hidden="false" customHeight="false" outlineLevel="0" collapsed="false">
      <c r="A81" s="0" t="s">
        <v>264</v>
      </c>
      <c r="B81" s="5" t="s">
        <v>265</v>
      </c>
      <c r="C81" s="0" t="s">
        <v>25</v>
      </c>
      <c r="D81" s="7" t="n">
        <v>-0.03</v>
      </c>
      <c r="E81" s="7" t="n">
        <v>0</v>
      </c>
      <c r="F81" s="7" t="n">
        <v>0.03</v>
      </c>
      <c r="G81" s="8" t="s">
        <v>124</v>
      </c>
      <c r="H81" s="5" t="s">
        <v>32</v>
      </c>
      <c r="I81" s="5" t="s">
        <v>250</v>
      </c>
    </row>
    <row r="82" customFormat="false" ht="17.15" hidden="false" customHeight="false" outlineLevel="0" collapsed="false">
      <c r="A82" s="0" t="s">
        <v>266</v>
      </c>
      <c r="B82" s="5" t="s">
        <v>267</v>
      </c>
      <c r="C82" s="0" t="s">
        <v>25</v>
      </c>
      <c r="D82" s="7" t="n">
        <v>0.02</v>
      </c>
      <c r="E82" s="7" t="n">
        <v>0.05</v>
      </c>
      <c r="F82" s="7" t="n">
        <v>0.08</v>
      </c>
      <c r="G82" s="8" t="s">
        <v>124</v>
      </c>
      <c r="H82" s="5" t="s">
        <v>32</v>
      </c>
      <c r="I82" s="5" t="s">
        <v>250</v>
      </c>
    </row>
    <row r="83" customFormat="false" ht="17.15" hidden="false" customHeight="false" outlineLevel="0" collapsed="false">
      <c r="A83" s="1" t="s">
        <v>268</v>
      </c>
    </row>
    <row r="84" customFormat="false" ht="17.15" hidden="false" customHeight="false" outlineLevel="0" collapsed="false">
      <c r="A84" s="0" t="s">
        <v>269</v>
      </c>
      <c r="B84" s="5" t="s">
        <v>270</v>
      </c>
      <c r="C84" s="0" t="s">
        <v>25</v>
      </c>
      <c r="D84" s="7" t="n">
        <v>0.18</v>
      </c>
      <c r="E84" s="7" t="n">
        <v>0.21</v>
      </c>
      <c r="F84" s="7" t="n">
        <v>0.24</v>
      </c>
      <c r="G84" s="8" t="s">
        <v>26</v>
      </c>
      <c r="H84" s="5" t="s">
        <v>271</v>
      </c>
      <c r="I84" s="5" t="s">
        <v>272</v>
      </c>
    </row>
    <row r="85" customFormat="false" ht="17.15" hidden="false" customHeight="false" outlineLevel="0" collapsed="false">
      <c r="A85" s="0" t="s">
        <v>273</v>
      </c>
      <c r="B85" s="5" t="s">
        <v>274</v>
      </c>
      <c r="C85" s="0" t="s">
        <v>25</v>
      </c>
      <c r="D85" s="7" t="n">
        <v>0.2</v>
      </c>
      <c r="E85" s="7" t="n">
        <v>0.25</v>
      </c>
      <c r="F85" s="7" t="n">
        <v>0.28</v>
      </c>
      <c r="G85" s="8" t="s">
        <v>26</v>
      </c>
      <c r="H85" s="5" t="s">
        <v>32</v>
      </c>
      <c r="I85" s="5" t="s">
        <v>32</v>
      </c>
    </row>
    <row r="86" customFormat="false" ht="17.15" hidden="false" customHeight="false" outlineLevel="0" collapsed="false">
      <c r="A86" s="0" t="s">
        <v>275</v>
      </c>
      <c r="B86" s="5" t="s">
        <v>276</v>
      </c>
      <c r="C86" s="0" t="s">
        <v>25</v>
      </c>
      <c r="D86" s="7" t="n">
        <v>0.2</v>
      </c>
      <c r="E86" s="7" t="n">
        <v>0.25</v>
      </c>
      <c r="F86" s="7" t="n">
        <v>0.28</v>
      </c>
      <c r="G86" s="8" t="s">
        <v>26</v>
      </c>
      <c r="H86" s="5" t="s">
        <v>32</v>
      </c>
      <c r="I86" s="5" t="s">
        <v>32</v>
      </c>
    </row>
    <row r="87" customFormat="false" ht="17.15" hidden="false" customHeight="false" outlineLevel="0" collapsed="false">
      <c r="A87" s="0" t="s">
        <v>277</v>
      </c>
      <c r="B87" s="5" t="s">
        <v>278</v>
      </c>
      <c r="C87" s="0" t="s">
        <v>25</v>
      </c>
      <c r="D87" s="7" t="n">
        <v>0.15</v>
      </c>
      <c r="E87" s="7" t="n">
        <v>0.22</v>
      </c>
      <c r="F87" s="7" t="n">
        <v>0.28</v>
      </c>
      <c r="G87" s="8" t="s">
        <v>124</v>
      </c>
      <c r="H87" s="5" t="s">
        <v>279</v>
      </c>
      <c r="I87" s="5" t="s">
        <v>32</v>
      </c>
    </row>
    <row r="88" customFormat="false" ht="17.15" hidden="false" customHeight="false" outlineLevel="0" collapsed="false">
      <c r="A88" s="0" t="s">
        <v>280</v>
      </c>
      <c r="B88" s="5" t="s">
        <v>281</v>
      </c>
      <c r="C88" s="0" t="s">
        <v>25</v>
      </c>
      <c r="D88" s="7" t="n">
        <v>0.12</v>
      </c>
      <c r="E88" s="7" t="n">
        <v>0.2</v>
      </c>
      <c r="F88" s="7" t="n">
        <v>0.26</v>
      </c>
      <c r="G88" s="8" t="s">
        <v>124</v>
      </c>
      <c r="H88" s="5" t="s">
        <v>32</v>
      </c>
      <c r="I88" s="5" t="s">
        <v>32</v>
      </c>
    </row>
    <row r="89" customFormat="false" ht="17.15" hidden="false" customHeight="false" outlineLevel="0" collapsed="false">
      <c r="A89" s="1" t="s">
        <v>282</v>
      </c>
    </row>
    <row r="90" customFormat="false" ht="17.15" hidden="false" customHeight="false" outlineLevel="0" collapsed="false">
      <c r="A90" s="0" t="s">
        <v>283</v>
      </c>
      <c r="B90" s="5" t="s">
        <v>284</v>
      </c>
      <c r="C90" s="0" t="s">
        <v>285</v>
      </c>
      <c r="E90" s="7" t="n">
        <v>4.2</v>
      </c>
      <c r="G90" s="8" t="s">
        <v>169</v>
      </c>
      <c r="H90" s="8" t="s">
        <v>286</v>
      </c>
    </row>
    <row r="91" customFormat="false" ht="17.15" hidden="false" customHeight="false" outlineLevel="0" collapsed="false">
      <c r="A91" s="0" t="s">
        <v>287</v>
      </c>
      <c r="B91" s="5" t="s">
        <v>288</v>
      </c>
      <c r="C91" s="0" t="s">
        <v>285</v>
      </c>
      <c r="E91" s="7" t="n">
        <v>5.2</v>
      </c>
      <c r="G91" s="8" t="s">
        <v>26</v>
      </c>
      <c r="H91" s="8" t="s">
        <v>289</v>
      </c>
    </row>
    <row r="92" customFormat="false" ht="17.15" hidden="false" customHeight="false" outlineLevel="0" collapsed="false">
      <c r="A92" s="0" t="s">
        <v>290</v>
      </c>
      <c r="B92" s="5" t="s">
        <v>291</v>
      </c>
      <c r="C92" s="0" t="s">
        <v>285</v>
      </c>
      <c r="E92" s="7" t="n">
        <v>6</v>
      </c>
      <c r="G92" s="8" t="s">
        <v>26</v>
      </c>
      <c r="H92" s="8" t="s">
        <v>292</v>
      </c>
    </row>
    <row r="93" customFormat="false" ht="17.15" hidden="false" customHeight="false" outlineLevel="0" collapsed="false">
      <c r="A93" s="0" t="s">
        <v>293</v>
      </c>
      <c r="B93" s="5" t="s">
        <v>294</v>
      </c>
      <c r="C93" s="0" t="s">
        <v>285</v>
      </c>
      <c r="E93" s="7" t="n">
        <v>6.6</v>
      </c>
      <c r="G93" s="8" t="s">
        <v>26</v>
      </c>
      <c r="H93" s="8" t="s">
        <v>295</v>
      </c>
    </row>
    <row r="94" customFormat="false" ht="17.15" hidden="false" customHeight="false" outlineLevel="0" collapsed="false">
      <c r="A94" s="0" t="s">
        <v>296</v>
      </c>
      <c r="B94" s="5" t="s">
        <v>297</v>
      </c>
      <c r="C94" s="0" t="s">
        <v>285</v>
      </c>
      <c r="E94" s="7" t="n">
        <v>13.51</v>
      </c>
      <c r="G94" s="8" t="s">
        <v>169</v>
      </c>
      <c r="H94" s="8" t="s">
        <v>298</v>
      </c>
    </row>
    <row r="95" customFormat="false" ht="17.15" hidden="false" customHeight="false" outlineLevel="0" collapsed="false">
      <c r="A95" s="0" t="s">
        <v>299</v>
      </c>
      <c r="B95" s="5" t="s">
        <v>300</v>
      </c>
      <c r="C95" s="0" t="s">
        <v>285</v>
      </c>
      <c r="E95" s="7" t="n">
        <v>23.06</v>
      </c>
      <c r="G95" s="8" t="s">
        <v>26</v>
      </c>
      <c r="H95" s="8" t="s">
        <v>301</v>
      </c>
    </row>
    <row r="96" customFormat="false" ht="17.15" hidden="false" customHeight="false" outlineLevel="0" collapsed="false">
      <c r="A96" s="0" t="s">
        <v>302</v>
      </c>
      <c r="B96" s="0" t="s">
        <v>303</v>
      </c>
      <c r="C96" s="0" t="s">
        <v>285</v>
      </c>
      <c r="E96" s="7" t="n">
        <v>2.19</v>
      </c>
      <c r="G96" s="8" t="s">
        <v>169</v>
      </c>
      <c r="H96" s="8" t="s">
        <v>286</v>
      </c>
    </row>
    <row r="97" customFormat="false" ht="17.15" hidden="false" customHeight="false" outlineLevel="0" collapsed="false">
      <c r="A97" s="0" t="s">
        <v>304</v>
      </c>
      <c r="B97" s="0" t="s">
        <v>305</v>
      </c>
      <c r="C97" s="0" t="s">
        <v>285</v>
      </c>
      <c r="E97" s="7" t="n">
        <v>3.34</v>
      </c>
      <c r="G97" s="8" t="s">
        <v>26</v>
      </c>
      <c r="H97" s="8" t="s">
        <v>289</v>
      </c>
    </row>
    <row r="98" customFormat="false" ht="17.15" hidden="false" customHeight="false" outlineLevel="0" collapsed="false">
      <c r="A98" s="0" t="s">
        <v>306</v>
      </c>
      <c r="B98" s="0" t="s">
        <v>307</v>
      </c>
      <c r="C98" s="0" t="s">
        <v>285</v>
      </c>
      <c r="E98" s="7" t="n">
        <v>3.53</v>
      </c>
      <c r="G98" s="8" t="s">
        <v>26</v>
      </c>
      <c r="H98" s="8" t="s">
        <v>292</v>
      </c>
    </row>
    <row r="99" customFormat="false" ht="17.15" hidden="false" customHeight="false" outlineLevel="0" collapsed="false">
      <c r="A99" s="0" t="s">
        <v>308</v>
      </c>
      <c r="B99" s="0" t="s">
        <v>309</v>
      </c>
      <c r="C99" s="0" t="s">
        <v>285</v>
      </c>
      <c r="E99" s="7" t="n">
        <v>5.21</v>
      </c>
      <c r="G99" s="8" t="s">
        <v>26</v>
      </c>
      <c r="H99" s="8" t="s">
        <v>295</v>
      </c>
    </row>
    <row r="100" customFormat="false" ht="17.15" hidden="false" customHeight="false" outlineLevel="0" collapsed="false">
      <c r="A100" s="0" t="s">
        <v>310</v>
      </c>
      <c r="B100" s="0" t="s">
        <v>311</v>
      </c>
      <c r="C100" s="0" t="s">
        <v>285</v>
      </c>
      <c r="E100" s="7" t="n">
        <v>7.53</v>
      </c>
      <c r="G100" s="8" t="s">
        <v>169</v>
      </c>
      <c r="H100" s="8" t="s">
        <v>298</v>
      </c>
    </row>
    <row r="101" customFormat="false" ht="17.15" hidden="false" customHeight="false" outlineLevel="0" collapsed="false">
      <c r="A101" s="0" t="s">
        <v>312</v>
      </c>
      <c r="B101" s="0" t="s">
        <v>313</v>
      </c>
      <c r="C101" s="0" t="s">
        <v>285</v>
      </c>
      <c r="E101" s="7" t="n">
        <v>14.27</v>
      </c>
      <c r="G101" s="8" t="s">
        <v>26</v>
      </c>
      <c r="H101" s="8" t="s">
        <v>301</v>
      </c>
    </row>
    <row r="102" customFormat="false" ht="17.15" hidden="false" customHeight="false" outlineLevel="0" collapsed="false">
      <c r="A102" s="0" t="s">
        <v>314</v>
      </c>
      <c r="B102" s="5" t="s">
        <v>315</v>
      </c>
      <c r="C102" s="0" t="s">
        <v>285</v>
      </c>
      <c r="E102" s="7" t="n">
        <v>2.03</v>
      </c>
      <c r="G102" s="8" t="s">
        <v>169</v>
      </c>
      <c r="H102" s="8" t="s">
        <v>286</v>
      </c>
    </row>
    <row r="103" customFormat="false" ht="17.15" hidden="false" customHeight="false" outlineLevel="0" collapsed="false">
      <c r="A103" s="0" t="s">
        <v>316</v>
      </c>
      <c r="B103" s="5" t="s">
        <v>317</v>
      </c>
      <c r="C103" s="0" t="s">
        <v>285</v>
      </c>
      <c r="E103" s="7" t="n">
        <v>2.1</v>
      </c>
      <c r="G103" s="8" t="s">
        <v>26</v>
      </c>
      <c r="H103" s="8" t="s">
        <v>289</v>
      </c>
    </row>
    <row r="104" customFormat="false" ht="17.15" hidden="false" customHeight="false" outlineLevel="0" collapsed="false">
      <c r="A104" s="0" t="s">
        <v>318</v>
      </c>
      <c r="B104" s="5" t="s">
        <v>319</v>
      </c>
      <c r="C104" s="0" t="s">
        <v>285</v>
      </c>
      <c r="E104" s="7" t="n">
        <v>2.42</v>
      </c>
      <c r="G104" s="8" t="s">
        <v>26</v>
      </c>
      <c r="H104" s="8" t="s">
        <v>292</v>
      </c>
    </row>
    <row r="105" customFormat="false" ht="17.15" hidden="false" customHeight="false" outlineLevel="0" collapsed="false">
      <c r="A105" s="0" t="s">
        <v>320</v>
      </c>
      <c r="B105" s="5" t="s">
        <v>321</v>
      </c>
      <c r="C105" s="0" t="s">
        <v>285</v>
      </c>
      <c r="E105" s="7" t="n">
        <v>3.03</v>
      </c>
      <c r="G105" s="8" t="s">
        <v>26</v>
      </c>
      <c r="H105" s="8" t="s">
        <v>295</v>
      </c>
    </row>
    <row r="106" customFormat="false" ht="17.15" hidden="false" customHeight="false" outlineLevel="0" collapsed="false">
      <c r="A106" s="0" t="s">
        <v>322</v>
      </c>
      <c r="B106" s="5" t="s">
        <v>323</v>
      </c>
      <c r="C106" s="0" t="s">
        <v>285</v>
      </c>
      <c r="E106" s="7" t="n">
        <v>5.95</v>
      </c>
      <c r="G106" s="8" t="s">
        <v>169</v>
      </c>
      <c r="H106" s="8" t="s">
        <v>298</v>
      </c>
    </row>
    <row r="107" customFormat="false" ht="17.15" hidden="false" customHeight="false" outlineLevel="0" collapsed="false">
      <c r="A107" s="0" t="s">
        <v>324</v>
      </c>
      <c r="B107" s="5" t="s">
        <v>325</v>
      </c>
      <c r="C107" s="0" t="s">
        <v>285</v>
      </c>
      <c r="E107" s="7" t="n">
        <v>11.85</v>
      </c>
      <c r="G107" s="8" t="s">
        <v>26</v>
      </c>
      <c r="H107" s="8" t="s">
        <v>301</v>
      </c>
    </row>
    <row r="108" customFormat="false" ht="17.15" hidden="false" customHeight="false" outlineLevel="0" collapsed="false">
      <c r="A108" s="0" t="s">
        <v>326</v>
      </c>
      <c r="B108" s="0" t="s">
        <v>327</v>
      </c>
      <c r="C108" s="0" t="s">
        <v>285</v>
      </c>
      <c r="E108" s="7" t="n">
        <v>1.92</v>
      </c>
      <c r="G108" s="8" t="s">
        <v>169</v>
      </c>
      <c r="H108" s="8" t="s">
        <v>286</v>
      </c>
    </row>
    <row r="109" customFormat="false" ht="17.15" hidden="false" customHeight="false" outlineLevel="0" collapsed="false">
      <c r="A109" s="0" t="s">
        <v>328</v>
      </c>
      <c r="B109" s="0" t="s">
        <v>329</v>
      </c>
      <c r="C109" s="0" t="s">
        <v>285</v>
      </c>
      <c r="E109" s="7" t="n">
        <v>2.14</v>
      </c>
      <c r="G109" s="8" t="s">
        <v>26</v>
      </c>
      <c r="H109" s="8" t="s">
        <v>289</v>
      </c>
    </row>
    <row r="110" customFormat="false" ht="17.15" hidden="false" customHeight="false" outlineLevel="0" collapsed="false">
      <c r="A110" s="0" t="s">
        <v>330</v>
      </c>
      <c r="B110" s="0" t="s">
        <v>331</v>
      </c>
      <c r="C110" s="0" t="s">
        <v>285</v>
      </c>
      <c r="E110" s="7" t="n">
        <v>2.84</v>
      </c>
      <c r="G110" s="8" t="s">
        <v>26</v>
      </c>
      <c r="H110" s="8" t="s">
        <v>292</v>
      </c>
    </row>
    <row r="111" customFormat="false" ht="17.15" hidden="false" customHeight="false" outlineLevel="0" collapsed="false">
      <c r="A111" s="0" t="s">
        <v>332</v>
      </c>
      <c r="B111" s="0" t="s">
        <v>333</v>
      </c>
      <c r="C111" s="0" t="s">
        <v>285</v>
      </c>
      <c r="E111" s="7" t="n">
        <v>3.31</v>
      </c>
      <c r="G111" s="8" t="s">
        <v>26</v>
      </c>
      <c r="H111" s="8" t="s">
        <v>295</v>
      </c>
    </row>
    <row r="112" customFormat="false" ht="17.15" hidden="false" customHeight="false" outlineLevel="0" collapsed="false">
      <c r="A112" s="0" t="s">
        <v>334</v>
      </c>
      <c r="B112" s="0" t="s">
        <v>335</v>
      </c>
      <c r="C112" s="0" t="s">
        <v>285</v>
      </c>
      <c r="E112" s="7" t="n">
        <v>5.96</v>
      </c>
      <c r="G112" s="8" t="s">
        <v>169</v>
      </c>
      <c r="H112" s="8" t="s">
        <v>298</v>
      </c>
    </row>
    <row r="113" customFormat="false" ht="17.15" hidden="false" customHeight="false" outlineLevel="0" collapsed="false">
      <c r="A113" s="0" t="s">
        <v>336</v>
      </c>
      <c r="B113" s="0" t="s">
        <v>337</v>
      </c>
      <c r="C113" s="0" t="s">
        <v>285</v>
      </c>
      <c r="E113" s="7" t="n">
        <v>10.72</v>
      </c>
      <c r="G113" s="8" t="s">
        <v>26</v>
      </c>
      <c r="H113" s="8" t="s">
        <v>301</v>
      </c>
    </row>
    <row r="114" customFormat="false" ht="17.15" hidden="false" customHeight="false" outlineLevel="0" collapsed="false">
      <c r="A114" s="0" t="s">
        <v>338</v>
      </c>
      <c r="B114" s="0" t="s">
        <v>339</v>
      </c>
      <c r="C114" s="0" t="s">
        <v>285</v>
      </c>
      <c r="E114" s="7" t="n">
        <v>1.69</v>
      </c>
      <c r="G114" s="8" t="s">
        <v>169</v>
      </c>
      <c r="H114" s="8" t="s">
        <v>286</v>
      </c>
    </row>
    <row r="115" customFormat="false" ht="17.15" hidden="false" customHeight="false" outlineLevel="0" collapsed="false">
      <c r="A115" s="0" t="s">
        <v>340</v>
      </c>
      <c r="B115" s="0" t="s">
        <v>341</v>
      </c>
      <c r="C115" s="0" t="s">
        <v>285</v>
      </c>
      <c r="E115" s="7" t="n">
        <v>1.9</v>
      </c>
      <c r="G115" s="8" t="s">
        <v>26</v>
      </c>
      <c r="H115" s="8" t="s">
        <v>289</v>
      </c>
    </row>
    <row r="116" customFormat="false" ht="17.15" hidden="false" customHeight="false" outlineLevel="0" collapsed="false">
      <c r="A116" s="0" t="s">
        <v>342</v>
      </c>
      <c r="B116" s="0" t="s">
        <v>343</v>
      </c>
      <c r="C116" s="0" t="s">
        <v>285</v>
      </c>
      <c r="E116" s="7" t="n">
        <v>2.31</v>
      </c>
      <c r="G116" s="8" t="s">
        <v>26</v>
      </c>
      <c r="H116" s="8" t="s">
        <v>292</v>
      </c>
    </row>
    <row r="117" customFormat="false" ht="17.15" hidden="false" customHeight="false" outlineLevel="0" collapsed="false">
      <c r="A117" s="0" t="s">
        <v>344</v>
      </c>
      <c r="B117" s="0" t="s">
        <v>345</v>
      </c>
      <c r="C117" s="0" t="s">
        <v>285</v>
      </c>
      <c r="E117" s="7" t="n">
        <v>3.03</v>
      </c>
      <c r="G117" s="8" t="s">
        <v>26</v>
      </c>
      <c r="H117" s="8" t="s">
        <v>295</v>
      </c>
    </row>
    <row r="118" customFormat="false" ht="17.15" hidden="false" customHeight="false" outlineLevel="0" collapsed="false">
      <c r="A118" s="0" t="s">
        <v>346</v>
      </c>
      <c r="B118" s="0" t="s">
        <v>347</v>
      </c>
      <c r="C118" s="0" t="s">
        <v>285</v>
      </c>
      <c r="E118" s="7" t="n">
        <v>5.95</v>
      </c>
      <c r="G118" s="8" t="s">
        <v>169</v>
      </c>
      <c r="H118" s="8" t="s">
        <v>298</v>
      </c>
    </row>
    <row r="119" customFormat="false" ht="17.15" hidden="false" customHeight="false" outlineLevel="0" collapsed="false">
      <c r="A119" s="0" t="s">
        <v>348</v>
      </c>
      <c r="B119" s="0" t="s">
        <v>349</v>
      </c>
      <c r="C119" s="0" t="s">
        <v>285</v>
      </c>
      <c r="E119" s="7" t="n">
        <v>8.97</v>
      </c>
      <c r="G119" s="8" t="s">
        <v>26</v>
      </c>
      <c r="H119" s="8" t="s">
        <v>301</v>
      </c>
      <c r="I119" s="8" t="s">
        <v>350</v>
      </c>
    </row>
    <row r="120" customFormat="false" ht="17.15" hidden="false" customHeight="false" outlineLevel="0" collapsed="false">
      <c r="A120" s="0" t="s">
        <v>351</v>
      </c>
      <c r="B120" s="5" t="s">
        <v>352</v>
      </c>
      <c r="C120" s="0" t="s">
        <v>25</v>
      </c>
      <c r="D120" s="7" t="n">
        <v>0.9</v>
      </c>
      <c r="E120" s="7" t="n">
        <v>0.93</v>
      </c>
      <c r="F120" s="7" t="n">
        <v>0.95</v>
      </c>
      <c r="G120" s="8" t="s">
        <v>124</v>
      </c>
      <c r="H120" s="5" t="s">
        <v>353</v>
      </c>
      <c r="I120" s="5" t="s">
        <v>354</v>
      </c>
    </row>
    <row r="121" customFormat="false" ht="17.15" hidden="false" customHeight="false" outlineLevel="0" collapsed="false">
      <c r="A121" s="0" t="s">
        <v>355</v>
      </c>
      <c r="B121" s="5" t="s">
        <v>356</v>
      </c>
      <c r="C121" s="0" t="s">
        <v>25</v>
      </c>
      <c r="E121" s="0" t="n">
        <f aca="false">(rv_ss_1+rv_sk_1+rv_mu_1+rv_kx_1+rv_sd_1)/(rv_ss_1/0.329)</f>
        <v>0.928792307692308</v>
      </c>
      <c r="G121" s="0" t="s">
        <v>169</v>
      </c>
      <c r="H121" s="5" t="s">
        <v>357</v>
      </c>
      <c r="I121" s="5" t="s">
        <v>354</v>
      </c>
    </row>
    <row r="122" customFormat="false" ht="17.15" hidden="false" customHeight="false" outlineLevel="0" collapsed="false">
      <c r="A122" s="0" t="s">
        <v>358</v>
      </c>
      <c r="B122" s="5" t="s">
        <v>359</v>
      </c>
      <c r="C122" s="0" t="s">
        <v>25</v>
      </c>
      <c r="D122" s="7" t="n">
        <v>0.88</v>
      </c>
      <c r="E122" s="7" t="n">
        <v>0.91</v>
      </c>
      <c r="F122" s="7" t="n">
        <v>0.93</v>
      </c>
      <c r="G122" s="8" t="s">
        <v>124</v>
      </c>
      <c r="H122" s="5" t="s">
        <v>360</v>
      </c>
      <c r="I122" s="5" t="s">
        <v>354</v>
      </c>
    </row>
    <row r="123" customFormat="false" ht="17.15" hidden="false" customHeight="false" outlineLevel="0" collapsed="false">
      <c r="A123" s="0" t="s">
        <v>361</v>
      </c>
      <c r="B123" s="5" t="s">
        <v>362</v>
      </c>
      <c r="C123" s="0" t="s">
        <v>25</v>
      </c>
      <c r="E123" s="0" t="n">
        <f aca="false">(rv_ss_3+rv_sk_3+rv_mu_3+rv_kx_3+rv_sd_3)/(rv_ss_3/0.28)</f>
        <v>0.898545454545455</v>
      </c>
      <c r="G123" s="0" t="s">
        <v>169</v>
      </c>
      <c r="H123" s="5" t="s">
        <v>363</v>
      </c>
      <c r="I123" s="5" t="s">
        <v>354</v>
      </c>
    </row>
    <row r="124" customFormat="false" ht="17.15" hidden="false" customHeight="false" outlineLevel="0" collapsed="false">
      <c r="A124" s="0" t="s">
        <v>364</v>
      </c>
      <c r="B124" s="5" t="s">
        <v>365</v>
      </c>
      <c r="C124" s="0" t="s">
        <v>25</v>
      </c>
      <c r="D124" s="7" t="n">
        <v>0.86</v>
      </c>
      <c r="E124" s="7" t="n">
        <v>0.885</v>
      </c>
      <c r="F124" s="7" t="n">
        <v>0.9</v>
      </c>
      <c r="G124" s="8" t="s">
        <v>124</v>
      </c>
      <c r="H124" s="5" t="s">
        <v>366</v>
      </c>
      <c r="I124" s="5" t="s">
        <v>354</v>
      </c>
    </row>
    <row r="125" customFormat="false" ht="17.15" hidden="false" customHeight="false" outlineLevel="0" collapsed="false">
      <c r="A125" s="0" t="s">
        <v>367</v>
      </c>
      <c r="B125" s="5" t="s">
        <v>368</v>
      </c>
      <c r="C125" s="0" t="s">
        <v>25</v>
      </c>
      <c r="E125" s="0" t="n">
        <f aca="false">(rv_ss_5+rv_sk_5+rv_mu_5+rv_kx_5+rv_sd_5)/(rv_ss_5/0.293)</f>
        <v>0.875061144839549</v>
      </c>
      <c r="G125" s="0" t="s">
        <v>169</v>
      </c>
      <c r="H125" s="5" t="s">
        <v>369</v>
      </c>
      <c r="I125" s="5" t="s">
        <v>354</v>
      </c>
    </row>
    <row r="126" customFormat="false" ht="17.15" hidden="false" customHeight="false" outlineLevel="0" collapsed="false">
      <c r="A126" s="0" t="s">
        <v>370</v>
      </c>
      <c r="B126" s="0" t="s">
        <v>371</v>
      </c>
      <c r="C126" s="0" t="s">
        <v>285</v>
      </c>
      <c r="E126" s="7" t="n">
        <v>67.4</v>
      </c>
      <c r="G126" s="8" t="s">
        <v>26</v>
      </c>
      <c r="H126" s="8" t="s">
        <v>372</v>
      </c>
      <c r="I126" s="5" t="s">
        <v>373</v>
      </c>
    </row>
    <row r="127" customFormat="false" ht="17.15" hidden="false" customHeight="false" outlineLevel="0" collapsed="false">
      <c r="A127" s="1" t="s">
        <v>374</v>
      </c>
    </row>
    <row r="128" customFormat="false" ht="17.15" hidden="false" customHeight="false" outlineLevel="0" collapsed="false">
      <c r="A128" s="0" t="s">
        <v>375</v>
      </c>
      <c r="B128" s="0" t="s">
        <v>376</v>
      </c>
      <c r="C128" s="0" t="s">
        <v>285</v>
      </c>
      <c r="E128" s="7" t="n">
        <v>11.031</v>
      </c>
      <c r="G128" s="8" t="s">
        <v>377</v>
      </c>
      <c r="H128" s="8" t="s">
        <v>378</v>
      </c>
      <c r="I128" s="8" t="s">
        <v>379</v>
      </c>
    </row>
    <row r="129" customFormat="false" ht="17.15" hidden="false" customHeight="false" outlineLevel="0" collapsed="false">
      <c r="A129" s="0" t="s">
        <v>380</v>
      </c>
      <c r="B129" s="0" t="s">
        <v>381</v>
      </c>
      <c r="C129" s="0" t="s">
        <v>180</v>
      </c>
      <c r="E129" s="0" t="n">
        <f aca="false">8.965/rv_sd_5</f>
        <v>0.999442586399108</v>
      </c>
      <c r="G129" s="0" t="s">
        <v>169</v>
      </c>
      <c r="H129" s="0" t="s">
        <v>382</v>
      </c>
    </row>
    <row r="130" customFormat="false" ht="17.15" hidden="false" customHeight="false" outlineLevel="0" collapsed="false">
      <c r="A130" s="0" t="s">
        <v>383</v>
      </c>
      <c r="B130" s="0" t="s">
        <v>384</v>
      </c>
      <c r="C130" s="0" t="s">
        <v>385</v>
      </c>
      <c r="E130" s="7" t="n">
        <v>2480</v>
      </c>
      <c r="G130" s="8" t="s">
        <v>377</v>
      </c>
      <c r="H130" s="8" t="s">
        <v>386</v>
      </c>
      <c r="I130" s="8" t="s">
        <v>387</v>
      </c>
    </row>
    <row r="131" customFormat="false" ht="17.15" hidden="false" customHeight="false" outlineLevel="0" collapsed="false">
      <c r="A131" s="0" t="s">
        <v>388</v>
      </c>
      <c r="B131" s="0" t="s">
        <v>389</v>
      </c>
      <c r="C131" s="0" t="s">
        <v>390</v>
      </c>
      <c r="E131" s="7" t="n">
        <v>161</v>
      </c>
      <c r="G131" s="8" t="s">
        <v>377</v>
      </c>
      <c r="H131" s="5" t="s">
        <v>391</v>
      </c>
    </row>
    <row r="132" customFormat="false" ht="17.15" hidden="false" customHeight="false" outlineLevel="0" collapsed="false">
      <c r="A132" s="0" t="s">
        <v>392</v>
      </c>
      <c r="B132" s="0" t="s">
        <v>393</v>
      </c>
      <c r="C132" s="0" t="s">
        <v>180</v>
      </c>
      <c r="E132" s="0" t="n">
        <f aca="false">1767.1/160/rv_kx_5</f>
        <v>1.0302588619403</v>
      </c>
      <c r="G132" s="0" t="s">
        <v>169</v>
      </c>
      <c r="H132" s="5" t="s">
        <v>394</v>
      </c>
    </row>
    <row r="133" customFormat="false" ht="17.15" hidden="false" customHeight="false" outlineLevel="0" collapsed="false">
      <c r="A133" s="0" t="s">
        <v>395</v>
      </c>
      <c r="B133" s="0" t="s">
        <v>396</v>
      </c>
      <c r="C133" s="0" t="s">
        <v>285</v>
      </c>
      <c r="D133" s="7" t="n">
        <v>12.2</v>
      </c>
      <c r="E133" s="7" t="n">
        <v>12.4</v>
      </c>
      <c r="F133" s="7" t="n">
        <v>12.6</v>
      </c>
      <c r="G133" s="8" t="s">
        <v>26</v>
      </c>
      <c r="H133" s="8" t="s">
        <v>397</v>
      </c>
      <c r="I133" s="8" t="s">
        <v>398</v>
      </c>
    </row>
    <row r="134" customFormat="false" ht="17.15" hidden="false" customHeight="false" outlineLevel="0" collapsed="false">
      <c r="A134" s="0" t="s">
        <v>399</v>
      </c>
      <c r="B134" s="0" t="s">
        <v>400</v>
      </c>
      <c r="C134" s="0" t="s">
        <v>385</v>
      </c>
      <c r="E134" s="7" t="n">
        <v>2500</v>
      </c>
      <c r="G134" s="8" t="s">
        <v>26</v>
      </c>
      <c r="H134" s="8" t="s">
        <v>401</v>
      </c>
      <c r="I134" s="5" t="s">
        <v>32</v>
      </c>
    </row>
    <row r="135" customFormat="false" ht="17.15" hidden="false" customHeight="false" outlineLevel="0" collapsed="false">
      <c r="A135" s="0" t="s">
        <v>402</v>
      </c>
      <c r="B135" s="0" t="s">
        <v>403</v>
      </c>
      <c r="C135" s="0" t="s">
        <v>390</v>
      </c>
      <c r="E135" s="7" t="n">
        <v>157</v>
      </c>
      <c r="G135" s="8" t="s">
        <v>26</v>
      </c>
      <c r="H135" s="5" t="s">
        <v>404</v>
      </c>
    </row>
    <row r="136" customFormat="false" ht="17.15" hidden="false" customHeight="false" outlineLevel="0" collapsed="false">
      <c r="A136" s="0" t="s">
        <v>405</v>
      </c>
      <c r="B136" s="5" t="s">
        <v>406</v>
      </c>
      <c r="C136" s="0" t="s">
        <v>407</v>
      </c>
      <c r="D136" s="7" t="n">
        <v>-1</v>
      </c>
      <c r="E136" s="7" t="n">
        <v>-0.5</v>
      </c>
      <c r="F136" s="7" t="n">
        <v>0</v>
      </c>
      <c r="G136" s="8" t="s">
        <v>124</v>
      </c>
      <c r="H136" s="5" t="s">
        <v>408</v>
      </c>
    </row>
    <row r="137" customFormat="false" ht="17.15" hidden="false" customHeight="false" outlineLevel="0" collapsed="false">
      <c r="A137" s="0" t="s">
        <v>409</v>
      </c>
      <c r="B137" s="0" t="s">
        <v>410</v>
      </c>
      <c r="C137" s="0" t="s">
        <v>407</v>
      </c>
      <c r="D137" s="7" t="n">
        <v>-0.5</v>
      </c>
      <c r="E137" s="7" t="n">
        <v>0</v>
      </c>
      <c r="F137" s="7" t="n">
        <v>0.5</v>
      </c>
      <c r="G137" s="8" t="s">
        <v>124</v>
      </c>
      <c r="H137" s="8" t="s">
        <v>411</v>
      </c>
    </row>
    <row r="138" customFormat="false" ht="17.15" hidden="false" customHeight="false" outlineLevel="0" collapsed="false">
      <c r="A138" s="0" t="s">
        <v>412</v>
      </c>
      <c r="B138" s="5" t="s">
        <v>413</v>
      </c>
      <c r="C138" s="0" t="s">
        <v>407</v>
      </c>
      <c r="D138" s="7" t="n">
        <v>-0.3</v>
      </c>
      <c r="E138" s="7" t="n">
        <v>0.2</v>
      </c>
      <c r="F138" s="7" t="n">
        <v>0.6</v>
      </c>
      <c r="G138" s="8" t="s">
        <v>124</v>
      </c>
      <c r="H138" s="5" t="s">
        <v>414</v>
      </c>
    </row>
    <row r="139" customFormat="false" ht="17.15" hidden="false" customHeight="false" outlineLevel="0" collapsed="false">
      <c r="A139" s="0" t="s">
        <v>415</v>
      </c>
      <c r="B139" s="5" t="s">
        <v>416</v>
      </c>
      <c r="C139" s="0" t="s">
        <v>407</v>
      </c>
      <c r="D139" s="7" t="n">
        <v>-0.3</v>
      </c>
      <c r="E139" s="7" t="n">
        <v>0</v>
      </c>
      <c r="F139" s="7" t="n">
        <v>0.3</v>
      </c>
      <c r="G139" s="8" t="s">
        <v>124</v>
      </c>
      <c r="H139" s="8" t="s">
        <v>417</v>
      </c>
      <c r="I139" s="8" t="s">
        <v>418</v>
      </c>
    </row>
    <row r="140" customFormat="false" ht="17.15" hidden="false" customHeight="false" outlineLevel="0" collapsed="false">
      <c r="A140" s="0" t="s">
        <v>419</v>
      </c>
      <c r="B140" s="5" t="s">
        <v>420</v>
      </c>
      <c r="C140" s="0" t="s">
        <v>407</v>
      </c>
      <c r="D140" s="7" t="n">
        <v>-0.6</v>
      </c>
      <c r="E140" s="7" t="n">
        <v>-0.3</v>
      </c>
      <c r="F140" s="7" t="n">
        <v>0</v>
      </c>
      <c r="G140" s="8" t="s">
        <v>124</v>
      </c>
      <c r="H140" s="8" t="s">
        <v>421</v>
      </c>
      <c r="I140" s="5" t="s">
        <v>32</v>
      </c>
    </row>
    <row r="141" customFormat="false" ht="17.15" hidden="false" customHeight="false" outlineLevel="0" collapsed="false">
      <c r="A141" s="0" t="s">
        <v>422</v>
      </c>
      <c r="B141" s="5" t="s">
        <v>423</v>
      </c>
      <c r="C141" s="0" t="s">
        <v>407</v>
      </c>
      <c r="D141" s="7" t="n">
        <v>-1</v>
      </c>
      <c r="E141" s="7" t="n">
        <v>-0.6</v>
      </c>
      <c r="F141" s="7" t="n">
        <v>-0.2</v>
      </c>
      <c r="G141" s="8" t="s">
        <v>124</v>
      </c>
      <c r="H141" s="8" t="s">
        <v>424</v>
      </c>
      <c r="I141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3" style="0" width="11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425</v>
      </c>
    </row>
    <row r="3" customFormat="false" ht="15" hidden="false" customHeight="false" outlineLevel="0" collapsed="false">
      <c r="A3" s="6" t="s">
        <v>426</v>
      </c>
      <c r="B3" s="6" t="s">
        <v>15</v>
      </c>
      <c r="C3" s="9" t="s">
        <v>427</v>
      </c>
      <c r="D3" s="9" t="s">
        <v>428</v>
      </c>
      <c r="E3" s="9" t="s">
        <v>429</v>
      </c>
      <c r="F3" s="9" t="s">
        <v>430</v>
      </c>
      <c r="G3" s="9" t="s">
        <v>431</v>
      </c>
      <c r="H3" s="9" t="s">
        <v>432</v>
      </c>
      <c r="I3" s="9" t="s">
        <v>433</v>
      </c>
      <c r="J3" s="6" t="s">
        <v>434</v>
      </c>
    </row>
    <row r="4" customFormat="false" ht="17.15" hidden="false" customHeight="false" outlineLevel="0" collapsed="false">
      <c r="A4" s="3" t="s">
        <v>435</v>
      </c>
    </row>
    <row r="5" customFormat="false" ht="15" hidden="false" customHeight="false" outlineLevel="0" collapsed="false">
      <c r="A5" s="5" t="s">
        <v>436</v>
      </c>
      <c r="B5" s="5" t="s">
        <v>168</v>
      </c>
      <c r="E5" s="10" t="n">
        <f aca="false">Mkt!E6</f>
        <v>15.2</v>
      </c>
      <c r="F5" s="10" t="n">
        <f aca="false">Mkt!F6</f>
        <v>23.7</v>
      </c>
      <c r="G5" s="10" t="n">
        <f aca="false">Mkt!G6</f>
        <v>26.5</v>
      </c>
      <c r="H5" s="10" t="n">
        <f aca="false">Mkt!H6</f>
        <v>30.15</v>
      </c>
      <c r="I5" s="10" t="n">
        <f aca="false">Mkt!I6</f>
        <v>31.6575</v>
      </c>
    </row>
    <row r="6" customFormat="false" ht="17.15" hidden="false" customHeight="false" outlineLevel="0" collapsed="false">
      <c r="A6" s="5" t="s">
        <v>437</v>
      </c>
      <c r="B6" s="0" t="s">
        <v>222</v>
      </c>
      <c r="D6" s="11" t="n">
        <f aca="false">Mkt!D8</f>
        <v>165</v>
      </c>
      <c r="E6" s="11" t="n">
        <f aca="false">Mkt!E8</f>
        <v>456</v>
      </c>
      <c r="F6" s="11" t="n">
        <f aca="false">Mkt!F8</f>
        <v>805.8</v>
      </c>
      <c r="G6" s="11" t="n">
        <f aca="false">Mkt!G8</f>
        <v>1060</v>
      </c>
      <c r="H6" s="11" t="n">
        <f aca="false">Mkt!H8</f>
        <v>1386.9</v>
      </c>
      <c r="I6" s="11" t="n">
        <f aca="false">Mkt!I8</f>
        <v>1646.19</v>
      </c>
    </row>
    <row r="7" customFormat="false" ht="17.15" hidden="false" customHeight="false" outlineLevel="0" collapsed="false">
      <c r="A7" s="5" t="s">
        <v>438</v>
      </c>
      <c r="B7" s="0" t="s">
        <v>222</v>
      </c>
      <c r="D7" s="11" t="n">
        <f aca="false">Mkt!D9</f>
        <v>135</v>
      </c>
      <c r="E7" s="11" t="n">
        <f aca="false">Mkt!E9</f>
        <v>148.5</v>
      </c>
      <c r="F7" s="11" t="n">
        <f aca="false">Mkt!F9</f>
        <v>163.35</v>
      </c>
      <c r="G7" s="11" t="n">
        <f aca="false">Mkt!G9</f>
        <v>179.685</v>
      </c>
      <c r="H7" s="11" t="n">
        <f aca="false">Mkt!H9</f>
        <v>197.6535</v>
      </c>
      <c r="I7" s="11" t="n">
        <f aca="false">Mkt!I9</f>
        <v>217.41885</v>
      </c>
    </row>
    <row r="8" customFormat="false" ht="15" hidden="false" customHeight="false" outlineLevel="0" collapsed="false">
      <c r="A8" s="5" t="s">
        <v>439</v>
      </c>
      <c r="B8" s="0" t="s">
        <v>222</v>
      </c>
      <c r="D8" s="11" t="n">
        <f aca="false">Mkt!D10</f>
        <v>320</v>
      </c>
      <c r="E8" s="11" t="n">
        <f aca="false">Mkt!E10</f>
        <v>304</v>
      </c>
      <c r="F8" s="11" t="n">
        <f aca="false">Mkt!F10</f>
        <v>313.12</v>
      </c>
      <c r="G8" s="11" t="n">
        <f aca="false">Mkt!G10</f>
        <v>338.1696</v>
      </c>
      <c r="H8" s="11" t="n">
        <f aca="false">Mkt!H10</f>
        <v>365.223168</v>
      </c>
      <c r="I8" s="11" t="n">
        <f aca="false">Mkt!I10</f>
        <v>394.44102144</v>
      </c>
    </row>
    <row r="9" customFormat="false" ht="17.15" hidden="false" customHeight="false" outlineLevel="0" collapsed="false">
      <c r="A9" s="5" t="s">
        <v>440</v>
      </c>
      <c r="B9" s="0" t="s">
        <v>222</v>
      </c>
      <c r="D9" s="11" t="n">
        <f aca="false">Mkt!D11</f>
        <v>230</v>
      </c>
      <c r="E9" s="11" t="n">
        <f aca="false">Mkt!E11</f>
        <v>218.5</v>
      </c>
      <c r="F9" s="11" t="n">
        <f aca="false">Mkt!F11</f>
        <v>218.5</v>
      </c>
      <c r="G9" s="11" t="n">
        <f aca="false">Mkt!G11</f>
        <v>231.61</v>
      </c>
      <c r="H9" s="11" t="n">
        <f aca="false">Mkt!H11</f>
        <v>245.5066</v>
      </c>
      <c r="I9" s="11" t="n">
        <f aca="false">Mkt!I11</f>
        <v>260.236996</v>
      </c>
    </row>
    <row r="10" customFormat="false" ht="15" hidden="false" customHeight="false" outlineLevel="0" collapsed="false">
      <c r="A10" s="5" t="s">
        <v>441</v>
      </c>
      <c r="B10" s="0" t="s">
        <v>222</v>
      </c>
      <c r="D10" s="11" t="n">
        <f aca="false">Mkt!D12</f>
        <v>150</v>
      </c>
      <c r="E10" s="11" t="n">
        <f aca="false">Mkt!E12</f>
        <v>135</v>
      </c>
      <c r="F10" s="11" t="n">
        <f aca="false">Mkt!F12</f>
        <v>135</v>
      </c>
      <c r="G10" s="11" t="n">
        <f aca="false">Mkt!G12</f>
        <v>141.75</v>
      </c>
      <c r="H10" s="11" t="n">
        <f aca="false">Mkt!H12</f>
        <v>148.8375</v>
      </c>
      <c r="I10" s="11" t="n">
        <f aca="false">Mkt!I12</f>
        <v>156.279375</v>
      </c>
    </row>
    <row r="11" customFormat="false" ht="15" hidden="false" customHeight="false" outlineLevel="0" collapsed="false">
      <c r="A11" s="5" t="s">
        <v>442</v>
      </c>
      <c r="B11" s="0" t="s">
        <v>222</v>
      </c>
      <c r="D11" s="11" t="n">
        <f aca="false">Mkt!D13</f>
        <v>1000</v>
      </c>
      <c r="E11" s="11" t="n">
        <f aca="false">Mkt!E13</f>
        <v>1262</v>
      </c>
      <c r="F11" s="11" t="n">
        <f aca="false">Mkt!F13</f>
        <v>1635.77</v>
      </c>
      <c r="G11" s="11" t="n">
        <f aca="false">Mkt!G13</f>
        <v>1951.2146</v>
      </c>
      <c r="H11" s="11" t="n">
        <f aca="false">Mkt!H13</f>
        <v>2344.120768</v>
      </c>
      <c r="I11" s="11" t="n">
        <f aca="false">Mkt!I13</f>
        <v>2674.56624244</v>
      </c>
    </row>
    <row r="12" customFormat="false" ht="17.15" hidden="false" customHeight="false" outlineLevel="0" collapsed="false">
      <c r="A12" s="5" t="s">
        <v>443</v>
      </c>
      <c r="B12" s="0" t="s">
        <v>25</v>
      </c>
      <c r="D12" s="12" t="n">
        <f aca="false">Mkt!D14</f>
        <v>0.3</v>
      </c>
      <c r="E12" s="12" t="n">
        <f aca="false">Mkt!E14</f>
        <v>0.479001584786054</v>
      </c>
      <c r="F12" s="12" t="n">
        <f aca="false">Mkt!F14</f>
        <v>0.592473269469424</v>
      </c>
      <c r="G12" s="12" t="n">
        <f aca="false">Mkt!G14</f>
        <v>0.635340161968858</v>
      </c>
      <c r="H12" s="12" t="n">
        <f aca="false">Mkt!H14</f>
        <v>0.675969225490007</v>
      </c>
      <c r="I12" s="12" t="n">
        <f aca="false">Mkt!I14</f>
        <v>0.696789191618539</v>
      </c>
    </row>
    <row r="13" customFormat="false" ht="15" hidden="false" customHeight="false" outlineLevel="0" collapsed="false">
      <c r="A13" s="5" t="s">
        <v>444</v>
      </c>
      <c r="B13" s="0" t="s">
        <v>222</v>
      </c>
      <c r="D13" s="11" t="n">
        <f aca="false">Mkt!D15</f>
        <v>1000</v>
      </c>
      <c r="E13" s="11" t="n">
        <f aca="false">Mkt!E15</f>
        <v>1210</v>
      </c>
      <c r="F13" s="11" t="n">
        <f aca="false">Mkt!F15</f>
        <v>1512.5</v>
      </c>
      <c r="G13" s="11" t="n">
        <f aca="false">Mkt!G15</f>
        <v>1890.625</v>
      </c>
      <c r="H13" s="11" t="n">
        <f aca="false">Mkt!H15</f>
        <v>2306.5625</v>
      </c>
      <c r="I13" s="11" t="n">
        <f aca="false">Mkt!I15</f>
        <v>2767.875</v>
      </c>
    </row>
    <row r="14" customFormat="false" ht="17.15" hidden="false" customHeight="false" outlineLevel="0" collapsed="false">
      <c r="A14" s="5" t="s">
        <v>445</v>
      </c>
      <c r="B14" s="0" t="s">
        <v>25</v>
      </c>
      <c r="E14" s="12" t="n">
        <f aca="false">Mkt!E16</f>
        <v>0.0429752066115703</v>
      </c>
      <c r="F14" s="12" t="n">
        <f aca="false">Mkt!F16</f>
        <v>0.0815008264462809</v>
      </c>
      <c r="G14" s="12" t="n">
        <f aca="false">Mkt!G16</f>
        <v>0.0320473917355373</v>
      </c>
      <c r="H14" s="12" t="n">
        <f aca="false">Mkt!H16</f>
        <v>0.0162832214605071</v>
      </c>
      <c r="I14" s="12" t="n">
        <f aca="false">Mkt!I16</f>
        <v>-0.0337113336259763</v>
      </c>
    </row>
    <row r="15" customFormat="false" ht="15" hidden="false" customHeight="false" outlineLevel="0" collapsed="false">
      <c r="A15" s="5" t="s">
        <v>446</v>
      </c>
      <c r="B15" s="0" t="s">
        <v>222</v>
      </c>
      <c r="C15" s="11" t="n">
        <f aca="false">Mkt!C17</f>
        <v>892.857142857143</v>
      </c>
      <c r="D15" s="11" t="n">
        <f aca="false">Mkt!D17</f>
        <v>1000</v>
      </c>
      <c r="E15" s="11" t="n">
        <f aca="false">Mkt!E17</f>
        <v>1210</v>
      </c>
      <c r="F15" s="11" t="n">
        <f aca="false">Mkt!F17</f>
        <v>1512.5</v>
      </c>
      <c r="G15" s="11" t="n">
        <f aca="false">Mkt!G17</f>
        <v>1890.625</v>
      </c>
      <c r="H15" s="11" t="n">
        <f aca="false">Mkt!H17</f>
        <v>2306.5625</v>
      </c>
      <c r="I15" s="11" t="n">
        <f aca="false">Mkt!I17</f>
        <v>2674.56624244</v>
      </c>
    </row>
    <row r="16" customFormat="false" ht="15" hidden="false" customHeight="false" outlineLevel="0" collapsed="false">
      <c r="A16" s="5" t="s">
        <v>447</v>
      </c>
      <c r="B16" s="0" t="s">
        <v>25</v>
      </c>
      <c r="D16" s="12" t="n">
        <f aca="false">Mkt!D18</f>
        <v>0.12</v>
      </c>
      <c r="E16" s="12" t="n">
        <f aca="false">Mkt!E18</f>
        <v>0.21</v>
      </c>
      <c r="F16" s="12" t="n">
        <f aca="false">Mkt!F18</f>
        <v>0.25</v>
      </c>
      <c r="G16" s="12" t="n">
        <f aca="false">Mkt!G18</f>
        <v>0.25</v>
      </c>
      <c r="H16" s="12" t="n">
        <f aca="false">Mkt!H18</f>
        <v>0.22</v>
      </c>
      <c r="I16" s="12" t="n">
        <f aca="false">Mkt!I18</f>
        <v>0.159546399648828</v>
      </c>
    </row>
    <row r="17" customFormat="false" ht="15" hidden="false" customHeight="false" outlineLevel="0" collapsed="false">
      <c r="A17" s="5" t="s">
        <v>448</v>
      </c>
      <c r="B17" s="0" t="s">
        <v>449</v>
      </c>
      <c r="C17" s="13" t="n">
        <f aca="false">Mkt!C21</f>
        <v>0.075488</v>
      </c>
      <c r="D17" s="13" t="n">
        <f aca="false">Mkt!D21</f>
        <v>0.0711035923582252</v>
      </c>
      <c r="E17" s="13" t="n">
        <f aca="false">Mkt!E21</f>
        <v>0.283322933491246</v>
      </c>
      <c r="F17" s="13" t="n">
        <f aca="false">Mkt!F21</f>
        <v>0.354865903049927</v>
      </c>
      <c r="G17" s="13" t="n">
        <f aca="false">Mkt!G21</f>
        <v>0.28805826084458</v>
      </c>
      <c r="H17" s="13" t="n">
        <f aca="false">Mkt!H21</f>
        <v>0.247322704866148</v>
      </c>
      <c r="I17" s="14" t="n">
        <f aca="false">Mkt!I21</f>
        <v>0.218237044857097</v>
      </c>
    </row>
    <row r="18" customFormat="false" ht="15" hidden="false" customHeight="false" outlineLevel="0" collapsed="false">
      <c r="A18" s="5" t="s">
        <v>450</v>
      </c>
      <c r="B18" s="0" t="s">
        <v>25</v>
      </c>
      <c r="D18" s="12" t="n">
        <f aca="false">Mkt!D22</f>
        <v>-0.0580808557886665</v>
      </c>
      <c r="E18" s="12" t="n">
        <f aca="false">Mkt!E22</f>
        <v>2.98465005908343</v>
      </c>
      <c r="F18" s="12" t="n">
        <f aca="false">Mkt!F22</f>
        <v>0.252513867045961</v>
      </c>
      <c r="G18" s="12" t="n">
        <f aca="false">Mkt!G22</f>
        <v>-0.188261654983368</v>
      </c>
      <c r="H18" s="12" t="n">
        <f aca="false">Mkt!H22</f>
        <v>-0.141414295354686</v>
      </c>
      <c r="I18" s="15" t="n">
        <f aca="false">Mkt!I22</f>
        <v>-0.117602061746785</v>
      </c>
    </row>
    <row r="19" customFormat="false" ht="17.15" hidden="false" customHeight="false" outlineLevel="0" collapsed="false">
      <c r="A19" s="0" t="s">
        <v>451</v>
      </c>
      <c r="B19" s="0" t="s">
        <v>285</v>
      </c>
      <c r="C19" s="10" t="n">
        <f aca="false">Mkt!C19</f>
        <v>67.4</v>
      </c>
      <c r="D19" s="10" t="n">
        <f aca="false">Mkt!D19</f>
        <v>71.1035923582252</v>
      </c>
      <c r="E19" s="10" t="n">
        <f aca="false">Mkt!E19</f>
        <v>342.820749524408</v>
      </c>
      <c r="F19" s="10" t="n">
        <f aca="false">Mkt!F19</f>
        <v>536.734678363014</v>
      </c>
      <c r="G19" s="10" t="n">
        <f aca="false">Mkt!G19</f>
        <v>544.610149409284</v>
      </c>
      <c r="H19" s="10" t="n">
        <f aca="false">Mkt!H19</f>
        <v>570.465276442823</v>
      </c>
      <c r="I19" s="16" t="n">
        <f aca="false">Mkt!I19</f>
        <v>583.689433024656</v>
      </c>
      <c r="J19" s="8" t="s">
        <v>452</v>
      </c>
    </row>
    <row r="20" customFormat="false" ht="15" hidden="false" customHeight="false" outlineLevel="0" collapsed="false">
      <c r="A20" s="5" t="s">
        <v>453</v>
      </c>
      <c r="B20" s="0" t="s">
        <v>25</v>
      </c>
      <c r="D20" s="12" t="n">
        <f aca="false">Mkt!D20</f>
        <v>0.0549494415166936</v>
      </c>
      <c r="E20" s="12" t="n">
        <f aca="false">Mkt!E20</f>
        <v>3.82142657149095</v>
      </c>
      <c r="F20" s="12" t="n">
        <f aca="false">Mkt!F20</f>
        <v>0.565642333807452</v>
      </c>
      <c r="G20" s="12" t="n">
        <f aca="false">Mkt!G20</f>
        <v>0.0146729312707903</v>
      </c>
      <c r="H20" s="12" t="n">
        <f aca="false">Mkt!H20</f>
        <v>0.0474745596672834</v>
      </c>
      <c r="I20" s="15" t="n">
        <f aca="false">Mkt!I20</f>
        <v>0.0231813523590643</v>
      </c>
    </row>
    <row r="21" customFormat="false" ht="15" hidden="false" customHeight="false" outlineLevel="0" collapsed="false">
      <c r="A21" s="5" t="s">
        <v>454</v>
      </c>
      <c r="B21" s="0" t="s">
        <v>25</v>
      </c>
      <c r="D21" s="12" t="n">
        <f aca="false">Mkt!D23</f>
        <v>0.309407714439551</v>
      </c>
      <c r="E21" s="12" t="n">
        <f aca="false">Mkt!E23</f>
        <v>0.298146371102126</v>
      </c>
      <c r="F21" s="12" t="n">
        <f aca="false">Mkt!F23</f>
        <v>0.293146371102126</v>
      </c>
      <c r="G21" s="12" t="n">
        <f aca="false">Mkt!G23</f>
        <v>0.288146371102126</v>
      </c>
      <c r="H21" s="12" t="n">
        <f aca="false">Mkt!H23</f>
        <v>0.283146371102126</v>
      </c>
      <c r="I21" s="12" t="n">
        <f aca="false">Mkt!I23</f>
        <v>0.278146371102126</v>
      </c>
    </row>
    <row r="22" customFormat="false" ht="17.15" hidden="false" customHeight="false" outlineLevel="0" collapsed="false">
      <c r="A22" s="5" t="s">
        <v>455</v>
      </c>
      <c r="B22" s="0" t="s">
        <v>25</v>
      </c>
      <c r="D22" s="12" t="n">
        <f aca="false">Mkt!D24</f>
        <v>0.200693094775109</v>
      </c>
      <c r="E22" s="12" t="n">
        <f aca="false">Mkt!E24</f>
        <v>0.177730130982399</v>
      </c>
      <c r="F22" s="12" t="n">
        <f aca="false">Mkt!F24</f>
        <v>0.177730130982399</v>
      </c>
      <c r="G22" s="12" t="n">
        <f aca="false">Mkt!G24</f>
        <v>0.177730130982399</v>
      </c>
      <c r="H22" s="12" t="n">
        <f aca="false">Mkt!H24</f>
        <v>0.177730130982399</v>
      </c>
      <c r="I22" s="12" t="n">
        <f aca="false">Mkt!I24</f>
        <v>0.177730130982399</v>
      </c>
    </row>
    <row r="23" customFormat="false" ht="15" hidden="false" customHeight="false" outlineLevel="0" collapsed="false">
      <c r="A23" s="5" t="s">
        <v>456</v>
      </c>
      <c r="B23" s="0" t="s">
        <v>25</v>
      </c>
      <c r="D23" s="12" t="n">
        <f aca="false">Mkt!D25</f>
        <v>0.134732995651405</v>
      </c>
      <c r="E23" s="12" t="n">
        <f aca="false">Mkt!E25</f>
        <v>0.14511909777462</v>
      </c>
      <c r="F23" s="12" t="n">
        <f aca="false">Mkt!F25</f>
        <v>0.14711909777462</v>
      </c>
      <c r="G23" s="12" t="n">
        <f aca="false">Mkt!G25</f>
        <v>0.14911909777462</v>
      </c>
      <c r="H23" s="12" t="n">
        <f aca="false">Mkt!H25</f>
        <v>0.15111909777462</v>
      </c>
      <c r="I23" s="12" t="n">
        <f aca="false">Mkt!I25</f>
        <v>0.15311909777462</v>
      </c>
    </row>
    <row r="24" customFormat="false" ht="17.15" hidden="false" customHeight="false" outlineLevel="0" collapsed="false">
      <c r="A24" s="5" t="s">
        <v>457</v>
      </c>
      <c r="B24" s="0" t="s">
        <v>25</v>
      </c>
      <c r="D24" s="12" t="n">
        <f aca="false">Mkt!D26</f>
        <v>0.143593307473992</v>
      </c>
      <c r="E24" s="12" t="n">
        <f aca="false">Mkt!E26</f>
        <v>0.139533216003349</v>
      </c>
      <c r="F24" s="12" t="n">
        <f aca="false">Mkt!F26</f>
        <v>0.138512987387224</v>
      </c>
      <c r="G24" s="12" t="n">
        <f aca="false">Mkt!G26</f>
        <v>0.138512987387224</v>
      </c>
      <c r="H24" s="12" t="n">
        <f aca="false">Mkt!H26</f>
        <v>0.138512987387224</v>
      </c>
      <c r="I24" s="12" t="n">
        <f aca="false">Mkt!I26</f>
        <v>0.138512987387224</v>
      </c>
    </row>
    <row r="25" customFormat="false" ht="17.15" hidden="false" customHeight="false" outlineLevel="0" collapsed="false">
      <c r="A25" s="5" t="s">
        <v>458</v>
      </c>
      <c r="B25" s="0" t="s">
        <v>25</v>
      </c>
      <c r="D25" s="12" t="n">
        <f aca="false">Mkt!D27</f>
        <v>0.125591404088418</v>
      </c>
      <c r="E25" s="12" t="n">
        <f aca="false">Mkt!E27</f>
        <v>0.112062540342342</v>
      </c>
      <c r="F25" s="12" t="n">
        <f aca="false">Mkt!F27</f>
        <v>0.106513670372059</v>
      </c>
      <c r="G25" s="12" t="n">
        <f aca="false">Mkt!G27</f>
        <v>0.106513670372059</v>
      </c>
      <c r="H25" s="12" t="n">
        <f aca="false">Mkt!H27</f>
        <v>0.106513670372059</v>
      </c>
      <c r="I25" s="12" t="n">
        <f aca="false">Mkt!I27</f>
        <v>0.106513670372059</v>
      </c>
    </row>
    <row r="26" customFormat="false" ht="15" hidden="false" customHeight="false" outlineLevel="0" collapsed="false">
      <c r="A26" s="5" t="s">
        <v>459</v>
      </c>
      <c r="B26" s="0" t="s">
        <v>25</v>
      </c>
      <c r="D26" s="12" t="n">
        <f aca="false">Mkt!D28</f>
        <v>0.0859814835715252</v>
      </c>
      <c r="E26" s="12" t="n">
        <f aca="false">Mkt!E28</f>
        <v>0.127408643795164</v>
      </c>
      <c r="F26" s="12" t="n">
        <f aca="false">Mkt!F28</f>
        <v>0.136977742381572</v>
      </c>
      <c r="G26" s="12" t="n">
        <f aca="false">Mkt!G28</f>
        <v>0.139977742381572</v>
      </c>
      <c r="H26" s="12" t="n">
        <f aca="false">Mkt!H28</f>
        <v>0.142977742381572</v>
      </c>
      <c r="I26" s="12" t="n">
        <f aca="false">Mkt!I28</f>
        <v>0.145977742381572</v>
      </c>
    </row>
    <row r="27" customFormat="false" ht="17.15" hidden="false" customHeight="false" outlineLevel="0" collapsed="false">
      <c r="A27" s="0" t="s">
        <v>460</v>
      </c>
      <c r="B27" s="0" t="s">
        <v>25</v>
      </c>
      <c r="D27" s="12" t="n">
        <f aca="false">D24+D25</f>
        <v>0.26918471156241</v>
      </c>
      <c r="E27" s="12" t="n">
        <f aca="false">E24+E25</f>
        <v>0.251595756345691</v>
      </c>
      <c r="F27" s="12" t="n">
        <f aca="false">F24+F25</f>
        <v>0.245026657759283</v>
      </c>
      <c r="G27" s="12" t="n">
        <f aca="false">G24+g25</f>
        <v>0.258512987387224</v>
      </c>
      <c r="H27" s="12" t="n">
        <f aca="false">H24+H25</f>
        <v>0.245026657759283</v>
      </c>
      <c r="I27" s="12" t="n">
        <f aca="false">I24+I25</f>
        <v>0.245026657759283</v>
      </c>
    </row>
    <row r="28" customFormat="false" ht="17.15" hidden="false" customHeight="false" outlineLevel="0" collapsed="false">
      <c r="A28" s="0" t="s">
        <v>461</v>
      </c>
      <c r="B28" s="0" t="s">
        <v>285</v>
      </c>
      <c r="D28" s="10" t="n">
        <f aca="false">SUM(Mkt!C43:F43)</f>
        <v>10.21</v>
      </c>
      <c r="E28" s="10" t="n">
        <f aca="false">SUM(Mkt!G43:J43)</f>
        <v>47.8348816938192</v>
      </c>
      <c r="F28" s="10" t="n">
        <f aca="false">SUM(Mkt!K43:N43)</f>
        <v>74.3447237343818</v>
      </c>
      <c r="G28" s="10" t="n">
        <f aca="false">SUM(Mkt!O43:R43)</f>
        <v>75.4355787560823</v>
      </c>
      <c r="H28" s="10" t="n">
        <f aca="false">SUM(Mkt!S43:V43)</f>
        <v>79.016849640774</v>
      </c>
      <c r="I28" s="10" t="n">
        <f aca="false">SUM(Mkt!W43:Z43)</f>
        <v>80.8485670746</v>
      </c>
    </row>
    <row r="29" customFormat="false" ht="17.15" hidden="false" customHeight="false" outlineLevel="0" collapsed="false">
      <c r="A29" s="0" t="s">
        <v>462</v>
      </c>
      <c r="B29" s="0" t="s">
        <v>285</v>
      </c>
      <c r="D29" s="10" t="n">
        <f aca="false">SUM(Mkt!C44:F44)</f>
        <v>8.93</v>
      </c>
      <c r="E29" s="10" t="n">
        <f aca="false">SUM(Mkt!G44:J44)</f>
        <v>38.417364073771</v>
      </c>
      <c r="F29" s="10" t="n">
        <f aca="false">SUM(Mkt!K44:N44)</f>
        <v>57.169580608411</v>
      </c>
      <c r="G29" s="10" t="n">
        <f aca="false">SUM(Mkt!O44:R44)</f>
        <v>58.0084259354582</v>
      </c>
      <c r="H29" s="10" t="n">
        <f aca="false">SUM(Mkt!S44:V44)</f>
        <v>60.7623504137362</v>
      </c>
      <c r="I29" s="10" t="n">
        <f aca="false">SUM(Mkt!W44:Z44)</f>
        <v>62.170903868842</v>
      </c>
    </row>
    <row r="31" customFormat="false" ht="17.15" hidden="false" customHeight="false" outlineLevel="0" collapsed="false">
      <c r="A31" s="3" t="s">
        <v>463</v>
      </c>
    </row>
    <row r="32" customFormat="false" ht="15" hidden="false" customHeight="false" outlineLevel="0" collapsed="false">
      <c r="A32" s="5" t="s">
        <v>436</v>
      </c>
      <c r="B32" s="5" t="s">
        <v>168</v>
      </c>
      <c r="E32" s="10" t="n">
        <f aca="false">Mkt!E54</f>
        <v>15.2</v>
      </c>
      <c r="F32" s="10" t="n">
        <f aca="false">Mkt!F54</f>
        <v>23.7</v>
      </c>
      <c r="G32" s="10" t="n">
        <f aca="false">Mkt!G54</f>
        <v>21.2</v>
      </c>
      <c r="H32" s="10" t="n">
        <f aca="false">Mkt!H54</f>
        <v>25.6275</v>
      </c>
      <c r="I32" s="10" t="n">
        <f aca="false">Mkt!I54</f>
        <v>26.908875</v>
      </c>
    </row>
    <row r="33" customFormat="false" ht="17.15" hidden="false" customHeight="false" outlineLevel="0" collapsed="false">
      <c r="A33" s="5" t="s">
        <v>437</v>
      </c>
      <c r="B33" s="0" t="s">
        <v>222</v>
      </c>
      <c r="D33" s="11" t="n">
        <f aca="false">Mkt!D56</f>
        <v>165</v>
      </c>
      <c r="E33" s="11" t="n">
        <f aca="false">Mkt!E56</f>
        <v>456</v>
      </c>
      <c r="F33" s="11" t="n">
        <f aca="false">Mkt!F56</f>
        <v>805.8</v>
      </c>
      <c r="G33" s="11" t="n">
        <f aca="false">Mkt!G56</f>
        <v>848</v>
      </c>
      <c r="H33" s="11" t="n">
        <f aca="false">Mkt!H56</f>
        <v>1178.865</v>
      </c>
      <c r="I33" s="11" t="n">
        <f aca="false">Mkt!I56</f>
        <v>1399.2615</v>
      </c>
    </row>
    <row r="34" customFormat="false" ht="17.15" hidden="false" customHeight="false" outlineLevel="0" collapsed="false">
      <c r="A34" s="5" t="s">
        <v>438</v>
      </c>
      <c r="B34" s="0" t="s">
        <v>222</v>
      </c>
      <c r="D34" s="11" t="n">
        <f aca="false">Mkt!D57</f>
        <v>135</v>
      </c>
      <c r="E34" s="11" t="n">
        <f aca="false">Mkt!E57</f>
        <v>148.5</v>
      </c>
      <c r="F34" s="11" t="n">
        <f aca="false">Mkt!F57</f>
        <v>163.35</v>
      </c>
      <c r="G34" s="11" t="n">
        <f aca="false">Mkt!G57</f>
        <v>179.685</v>
      </c>
      <c r="H34" s="11" t="n">
        <f aca="false">Mkt!H57</f>
        <v>197.6535</v>
      </c>
      <c r="I34" s="11" t="n">
        <f aca="false">Mkt!I57</f>
        <v>217.41885</v>
      </c>
    </row>
    <row r="35" customFormat="false" ht="15" hidden="false" customHeight="false" outlineLevel="0" collapsed="false">
      <c r="A35" s="5" t="s">
        <v>439</v>
      </c>
      <c r="B35" s="0" t="s">
        <v>222</v>
      </c>
      <c r="D35" s="11" t="n">
        <f aca="false">Mkt!D58</f>
        <v>320</v>
      </c>
      <c r="E35" s="11" t="n">
        <f aca="false">Mkt!E58</f>
        <v>304</v>
      </c>
      <c r="F35" s="11" t="n">
        <f aca="false">Mkt!F58</f>
        <v>313.12</v>
      </c>
      <c r="G35" s="11" t="n">
        <f aca="false">Mkt!G58</f>
        <v>338.1696</v>
      </c>
      <c r="H35" s="11" t="n">
        <f aca="false">Mkt!H58</f>
        <v>365.223168</v>
      </c>
      <c r="I35" s="11" t="n">
        <f aca="false">Mkt!I58</f>
        <v>394.44102144</v>
      </c>
    </row>
    <row r="36" customFormat="false" ht="17.15" hidden="false" customHeight="false" outlineLevel="0" collapsed="false">
      <c r="A36" s="5" t="s">
        <v>440</v>
      </c>
      <c r="B36" s="0" t="s">
        <v>222</v>
      </c>
      <c r="D36" s="11" t="n">
        <f aca="false">Mkt!D59</f>
        <v>230</v>
      </c>
      <c r="E36" s="11" t="n">
        <f aca="false">Mkt!E59</f>
        <v>218.5</v>
      </c>
      <c r="F36" s="11" t="n">
        <f aca="false">Mkt!F59</f>
        <v>218.5</v>
      </c>
      <c r="G36" s="11" t="n">
        <f aca="false">Mkt!G59</f>
        <v>231.61</v>
      </c>
      <c r="H36" s="11" t="n">
        <f aca="false">Mkt!H59</f>
        <v>245.5066</v>
      </c>
      <c r="I36" s="11" t="n">
        <f aca="false">Mkt!I59</f>
        <v>260.236996</v>
      </c>
    </row>
    <row r="37" customFormat="false" ht="15" hidden="false" customHeight="false" outlineLevel="0" collapsed="false">
      <c r="A37" s="5" t="s">
        <v>441</v>
      </c>
      <c r="B37" s="0" t="s">
        <v>222</v>
      </c>
      <c r="D37" s="11" t="n">
        <f aca="false">Mkt!D60</f>
        <v>150</v>
      </c>
      <c r="E37" s="11" t="n">
        <f aca="false">Mkt!E60</f>
        <v>135</v>
      </c>
      <c r="F37" s="11" t="n">
        <f aca="false">Mkt!F60</f>
        <v>135</v>
      </c>
      <c r="G37" s="11" t="n">
        <f aca="false">Mkt!G60</f>
        <v>141.75</v>
      </c>
      <c r="H37" s="11" t="n">
        <f aca="false">Mkt!H60</f>
        <v>148.8375</v>
      </c>
      <c r="I37" s="11" t="n">
        <f aca="false">Mkt!I60</f>
        <v>156.279375</v>
      </c>
    </row>
    <row r="38" customFormat="false" ht="15" hidden="false" customHeight="false" outlineLevel="0" collapsed="false">
      <c r="A38" s="5" t="s">
        <v>442</v>
      </c>
      <c r="B38" s="0" t="s">
        <v>222</v>
      </c>
      <c r="D38" s="11" t="n">
        <f aca="false">Mkt!D61</f>
        <v>1000</v>
      </c>
      <c r="E38" s="11" t="n">
        <f aca="false">Mkt!E61</f>
        <v>1262</v>
      </c>
      <c r="F38" s="11" t="n">
        <f aca="false">Mkt!F61</f>
        <v>1635.77</v>
      </c>
      <c r="G38" s="11" t="n">
        <f aca="false">Mkt!G61</f>
        <v>1739.2146</v>
      </c>
      <c r="H38" s="11" t="n">
        <f aca="false">Mkt!H61</f>
        <v>2136.085768</v>
      </c>
      <c r="I38" s="11" t="n">
        <f aca="false">Mkt!I61</f>
        <v>2427.63774244</v>
      </c>
    </row>
    <row r="39" customFormat="false" ht="17.15" hidden="false" customHeight="false" outlineLevel="0" collapsed="false">
      <c r="A39" s="5" t="s">
        <v>443</v>
      </c>
      <c r="B39" s="0" t="s">
        <v>25</v>
      </c>
      <c r="D39" s="12" t="n">
        <f aca="false">Mkt!D62</f>
        <v>0.3</v>
      </c>
      <c r="E39" s="12" t="n">
        <f aca="false">Mkt!E62</f>
        <v>0.479001584786054</v>
      </c>
      <c r="F39" s="12" t="n">
        <f aca="false">Mkt!F62</f>
        <v>0.592473269469424</v>
      </c>
      <c r="G39" s="12" t="n">
        <f aca="false">Mkt!G62</f>
        <v>0.590890278864954</v>
      </c>
      <c r="H39" s="12" t="n">
        <f aca="false">Mkt!H62</f>
        <v>0.644411624580423</v>
      </c>
      <c r="I39" s="12" t="n">
        <f aca="false">Mkt!I62</f>
        <v>0.665947938498883</v>
      </c>
    </row>
    <row r="40" customFormat="false" ht="15" hidden="false" customHeight="false" outlineLevel="0" collapsed="false">
      <c r="A40" s="5" t="s">
        <v>444</v>
      </c>
      <c r="B40" s="0" t="s">
        <v>222</v>
      </c>
      <c r="D40" s="11" t="n">
        <f aca="false">Mkt!D63</f>
        <v>1000</v>
      </c>
      <c r="E40" s="11" t="n">
        <f aca="false">Mkt!E63</f>
        <v>1210</v>
      </c>
      <c r="F40" s="11" t="n">
        <f aca="false">Mkt!F63</f>
        <v>1512.5</v>
      </c>
      <c r="G40" s="11" t="n">
        <f aca="false">Mkt!G63</f>
        <v>1890.625</v>
      </c>
      <c r="H40" s="11" t="n">
        <f aca="false">Mkt!H63</f>
        <v>2306.5625</v>
      </c>
      <c r="I40" s="11" t="n">
        <f aca="false">Mkt!I63</f>
        <v>2767.875</v>
      </c>
    </row>
    <row r="41" customFormat="false" ht="17.15" hidden="false" customHeight="false" outlineLevel="0" collapsed="false">
      <c r="A41" s="5" t="s">
        <v>445</v>
      </c>
      <c r="B41" s="0" t="s">
        <v>25</v>
      </c>
      <c r="E41" s="12" t="n">
        <f aca="false">Mkt!E64</f>
        <v>0.0429752066115703</v>
      </c>
      <c r="F41" s="12" t="n">
        <f aca="false">Mkt!F64</f>
        <v>0.0815008264462809</v>
      </c>
      <c r="G41" s="12" t="n">
        <f aca="false">Mkt!G64</f>
        <v>-0.0800848396694214</v>
      </c>
      <c r="H41" s="12" t="n">
        <f aca="false">Mkt!H64</f>
        <v>-0.073909435361062</v>
      </c>
      <c r="I41" s="12" t="n">
        <f aca="false">Mkt!I64</f>
        <v>-0.122923635482093</v>
      </c>
    </row>
    <row r="42" customFormat="false" ht="15" hidden="false" customHeight="false" outlineLevel="0" collapsed="false">
      <c r="A42" s="5" t="s">
        <v>446</v>
      </c>
      <c r="B42" s="0" t="s">
        <v>222</v>
      </c>
      <c r="C42" s="11" t="n">
        <f aca="false">Mkt!C65</f>
        <v>892.857142857143</v>
      </c>
      <c r="D42" s="11" t="n">
        <f aca="false">Mkt!D65</f>
        <v>1000</v>
      </c>
      <c r="E42" s="11" t="n">
        <f aca="false">Mkt!E65</f>
        <v>1210</v>
      </c>
      <c r="F42" s="11" t="n">
        <f aca="false">Mkt!F65</f>
        <v>1512.5</v>
      </c>
      <c r="G42" s="11" t="n">
        <f aca="false">Mkt!G65</f>
        <v>1739.2146</v>
      </c>
      <c r="H42" s="11" t="n">
        <f aca="false">Mkt!H65</f>
        <v>2136.085768</v>
      </c>
      <c r="I42" s="11" t="n">
        <f aca="false">Mkt!I65</f>
        <v>2427.63774244</v>
      </c>
    </row>
    <row r="43" customFormat="false" ht="15" hidden="false" customHeight="false" outlineLevel="0" collapsed="false">
      <c r="A43" s="5" t="s">
        <v>447</v>
      </c>
      <c r="B43" s="0" t="s">
        <v>25</v>
      </c>
      <c r="D43" s="12" t="n">
        <f aca="false">Mkt!D66</f>
        <v>0.12</v>
      </c>
      <c r="E43" s="12" t="n">
        <f aca="false">Mkt!E66</f>
        <v>0.21</v>
      </c>
      <c r="F43" s="12" t="n">
        <f aca="false">Mkt!F66</f>
        <v>0.25</v>
      </c>
      <c r="G43" s="12" t="n">
        <f aca="false">Mkt!G66</f>
        <v>0.149893950413223</v>
      </c>
      <c r="H43" s="12" t="n">
        <f aca="false">Mkt!H66</f>
        <v>0.228189878350837</v>
      </c>
      <c r="I43" s="12" t="n">
        <f aca="false">Mkt!I66</f>
        <v>0.13648888954163</v>
      </c>
    </row>
    <row r="44" customFormat="false" ht="15" hidden="false" customHeight="false" outlineLevel="0" collapsed="false">
      <c r="A44" s="5" t="s">
        <v>448</v>
      </c>
      <c r="B44" s="0" t="s">
        <v>449</v>
      </c>
      <c r="C44" s="13" t="n">
        <f aca="false">Mkt!C69</f>
        <v>0.075488</v>
      </c>
      <c r="D44" s="13" t="n">
        <f aca="false">Mkt!D69</f>
        <v>0.0711035923582252</v>
      </c>
      <c r="E44" s="13" t="n">
        <f aca="false">Mkt!E69</f>
        <v>0.283322933491246</v>
      </c>
      <c r="F44" s="13" t="n">
        <f aca="false">Mkt!F69</f>
        <v>0.345172154253644</v>
      </c>
      <c r="G44" s="13" t="n">
        <f aca="false">Mkt!G69</f>
        <v>0.139319029760369</v>
      </c>
      <c r="H44" s="13" t="n">
        <f aca="false">Mkt!H69</f>
        <v>0.117384227060365</v>
      </c>
      <c r="I44" s="14" t="n">
        <f aca="false">Mkt!I69</f>
        <v>0.113411536449753</v>
      </c>
    </row>
    <row r="45" customFormat="false" ht="15" hidden="false" customHeight="false" outlineLevel="0" collapsed="false">
      <c r="A45" s="5" t="s">
        <v>450</v>
      </c>
      <c r="B45" s="0" t="s">
        <v>25</v>
      </c>
      <c r="D45" s="12" t="n">
        <f aca="false">Mkt!D70</f>
        <v>-0.0580808557886665</v>
      </c>
      <c r="E45" s="12" t="n">
        <f aca="false">Mkt!E70</f>
        <v>2.98465005908343</v>
      </c>
      <c r="F45" s="12" t="n">
        <f aca="false">Mkt!F70</f>
        <v>0.218299380146398</v>
      </c>
      <c r="G45" s="12" t="n">
        <f aca="false">Mkt!G70</f>
        <v>-0.596378131771334</v>
      </c>
      <c r="H45" s="12" t="n">
        <f aca="false">Mkt!H70</f>
        <v>-0.157442976295003</v>
      </c>
      <c r="I45" s="15" t="n">
        <f aca="false">Mkt!I70</f>
        <v>-0.0338434788906424</v>
      </c>
    </row>
    <row r="46" customFormat="false" ht="17.15" hidden="false" customHeight="false" outlineLevel="0" collapsed="false">
      <c r="A46" s="0" t="s">
        <v>451</v>
      </c>
      <c r="B46" s="0" t="s">
        <v>285</v>
      </c>
      <c r="C46" s="10" t="n">
        <f aca="false">Mkt!C67</f>
        <v>67.4</v>
      </c>
      <c r="D46" s="10" t="n">
        <f aca="false">Mkt!D67</f>
        <v>71.1035923582252</v>
      </c>
      <c r="E46" s="10" t="n">
        <f aca="false">Mkt!E67</f>
        <v>342.820749524408</v>
      </c>
      <c r="F46" s="10" t="n">
        <f aca="false">Mkt!F67</f>
        <v>522.072883308637</v>
      </c>
      <c r="G46" s="10" t="n">
        <f aca="false">Mkt!G67</f>
        <v>242.305690617068</v>
      </c>
      <c r="H46" s="10" t="n">
        <f aca="false">Mkt!H67</f>
        <v>250.742776811325</v>
      </c>
      <c r="I46" s="16" t="n">
        <f aca="false">Mkt!I67</f>
        <v>275.322126313529</v>
      </c>
    </row>
    <row r="47" customFormat="false" ht="15" hidden="false" customHeight="false" outlineLevel="0" collapsed="false">
      <c r="A47" s="5" t="s">
        <v>453</v>
      </c>
      <c r="B47" s="0" t="s">
        <v>25</v>
      </c>
      <c r="D47" s="12" t="n">
        <f aca="false">Mkt!D68</f>
        <v>0.0549494415166936</v>
      </c>
      <c r="E47" s="12" t="n">
        <f aca="false">Mkt!E68</f>
        <v>3.82142657149095</v>
      </c>
      <c r="F47" s="12" t="n">
        <f aca="false">Mkt!F68</f>
        <v>0.522874225182997</v>
      </c>
      <c r="G47" s="12" t="n">
        <f aca="false">Mkt!G68</f>
        <v>-0.535877655469374</v>
      </c>
      <c r="H47" s="12" t="n">
        <f aca="false">Mkt!H68</f>
        <v>0.0348200084478838</v>
      </c>
      <c r="I47" s="15" t="n">
        <f aca="false">Mkt!I68</f>
        <v>0.0980261517989784</v>
      </c>
    </row>
    <row r="48" customFormat="false" ht="15" hidden="false" customHeight="false" outlineLevel="0" collapsed="false">
      <c r="A48" s="5" t="s">
        <v>454</v>
      </c>
      <c r="B48" s="0" t="s">
        <v>25</v>
      </c>
      <c r="D48" s="12" t="n">
        <f aca="false">Mkt!D71</f>
        <v>0.309407714439551</v>
      </c>
      <c r="E48" s="12" t="n">
        <f aca="false">Mkt!E71</f>
        <v>0.298146371102126</v>
      </c>
      <c r="F48" s="12" t="n">
        <f aca="false">Mkt!F71</f>
        <v>0.293146371102126</v>
      </c>
      <c r="G48" s="12" t="n">
        <f aca="false">Mkt!G71</f>
        <v>0.288146371102126</v>
      </c>
      <c r="H48" s="12" t="n">
        <f aca="false">Mkt!H71</f>
        <v>0.283146371102126</v>
      </c>
      <c r="I48" s="12" t="n">
        <f aca="false">Mkt!I71</f>
        <v>0.278146371102126</v>
      </c>
    </row>
    <row r="49" customFormat="false" ht="17.15" hidden="false" customHeight="false" outlineLevel="0" collapsed="false">
      <c r="A49" s="5" t="s">
        <v>455</v>
      </c>
      <c r="B49" s="0" t="s">
        <v>25</v>
      </c>
      <c r="D49" s="12" t="n">
        <f aca="false">Mkt!D72</f>
        <v>0.200693094775109</v>
      </c>
      <c r="E49" s="12" t="n">
        <f aca="false">Mkt!E72</f>
        <v>0.177730130982399</v>
      </c>
      <c r="F49" s="12" t="n">
        <f aca="false">Mkt!F72</f>
        <v>0.177730130982399</v>
      </c>
      <c r="G49" s="12" t="n">
        <f aca="false">Mkt!G72</f>
        <v>0.177730130982399</v>
      </c>
      <c r="H49" s="12" t="n">
        <f aca="false">Mkt!H72</f>
        <v>0.177730130982399</v>
      </c>
      <c r="I49" s="12" t="n">
        <f aca="false">Mkt!I72</f>
        <v>0.177730130982399</v>
      </c>
    </row>
    <row r="50" customFormat="false" ht="15" hidden="false" customHeight="false" outlineLevel="0" collapsed="false">
      <c r="A50" s="5" t="s">
        <v>456</v>
      </c>
      <c r="B50" s="0" t="s">
        <v>25</v>
      </c>
      <c r="D50" s="12" t="n">
        <f aca="false">Mkt!D73</f>
        <v>0.134732995651405</v>
      </c>
      <c r="E50" s="12" t="n">
        <f aca="false">Mkt!E73</f>
        <v>0.14511909777462</v>
      </c>
      <c r="F50" s="12" t="n">
        <f aca="false">Mkt!F73</f>
        <v>0.14711909777462</v>
      </c>
      <c r="G50" s="12" t="n">
        <f aca="false">Mkt!G73</f>
        <v>0.14911909777462</v>
      </c>
      <c r="H50" s="12" t="n">
        <f aca="false">Mkt!H73</f>
        <v>0.15111909777462</v>
      </c>
      <c r="I50" s="12" t="n">
        <f aca="false">Mkt!I73</f>
        <v>0.15311909777462</v>
      </c>
    </row>
    <row r="51" customFormat="false" ht="17.15" hidden="false" customHeight="false" outlineLevel="0" collapsed="false">
      <c r="A51" s="5" t="s">
        <v>457</v>
      </c>
      <c r="B51" s="0" t="s">
        <v>25</v>
      </c>
      <c r="D51" s="12" t="n">
        <f aca="false">Mkt!D74</f>
        <v>0.143593307473992</v>
      </c>
      <c r="E51" s="12" t="n">
        <f aca="false">Mkt!E74</f>
        <v>0.139533216003349</v>
      </c>
      <c r="F51" s="12" t="n">
        <f aca="false">Mkt!F74</f>
        <v>0.136787070004634</v>
      </c>
      <c r="G51" s="12" t="n">
        <f aca="false">Mkt!G74</f>
        <v>0.135061152622043</v>
      </c>
      <c r="H51" s="12" t="n">
        <f aca="false">Mkt!H74</f>
        <v>0.133335235239453</v>
      </c>
      <c r="I51" s="12" t="n">
        <f aca="false">Mkt!I74</f>
        <v>0.131609317856862</v>
      </c>
    </row>
    <row r="52" customFormat="false" ht="17.15" hidden="false" customHeight="false" outlineLevel="0" collapsed="false">
      <c r="A52" s="5" t="s">
        <v>458</v>
      </c>
      <c r="B52" s="0" t="s">
        <v>25</v>
      </c>
      <c r="D52" s="12" t="n">
        <f aca="false">Mkt!D75</f>
        <v>0.125591404088418</v>
      </c>
      <c r="E52" s="12" t="n">
        <f aca="false">Mkt!E75</f>
        <v>0.112062540342342</v>
      </c>
      <c r="F52" s="12" t="n">
        <f aca="false">Mkt!F75</f>
        <v>0.105239587754649</v>
      </c>
      <c r="G52" s="12" t="n">
        <f aca="false">Mkt!G75</f>
        <v>0.103965505137239</v>
      </c>
      <c r="H52" s="12" t="n">
        <f aca="false">Mkt!H75</f>
        <v>0.10269142251983</v>
      </c>
      <c r="I52" s="12" t="n">
        <f aca="false">Mkt!I75</f>
        <v>0.10141733990242</v>
      </c>
    </row>
    <row r="53" customFormat="false" ht="15" hidden="false" customHeight="false" outlineLevel="0" collapsed="false">
      <c r="A53" s="5" t="s">
        <v>459</v>
      </c>
      <c r="B53" s="0" t="s">
        <v>25</v>
      </c>
      <c r="D53" s="12" t="n">
        <f aca="false">Mkt!D76</f>
        <v>0.0859814835715252</v>
      </c>
      <c r="E53" s="12" t="n">
        <f aca="false">Mkt!E76</f>
        <v>0.127408643795164</v>
      </c>
      <c r="F53" s="12" t="n">
        <f aca="false">Mkt!F76</f>
        <v>0.139977742381572</v>
      </c>
      <c r="G53" s="12" t="n">
        <f aca="false">Mkt!G76</f>
        <v>0.145977742381572</v>
      </c>
      <c r="H53" s="12" t="n">
        <f aca="false">Mkt!H76</f>
        <v>0.151977742381572</v>
      </c>
      <c r="I53" s="12" t="n">
        <f aca="false">Mkt!I76</f>
        <v>0.157977742381572</v>
      </c>
    </row>
    <row r="54" customFormat="false" ht="17.15" hidden="false" customHeight="false" outlineLevel="0" collapsed="false">
      <c r="A54" s="0" t="s">
        <v>460</v>
      </c>
      <c r="B54" s="0" t="s">
        <v>25</v>
      </c>
      <c r="D54" s="12" t="n">
        <f aca="false">D51+D52</f>
        <v>0.26918471156241</v>
      </c>
      <c r="E54" s="12" t="n">
        <f aca="false">E51+E52</f>
        <v>0.251595756345691</v>
      </c>
      <c r="F54" s="12" t="n">
        <f aca="false">F51+F52</f>
        <v>0.242026657759283</v>
      </c>
      <c r="G54" s="12" t="n">
        <f aca="false">G51+G52</f>
        <v>0.239026657759283</v>
      </c>
      <c r="H54" s="12" t="n">
        <f aca="false">H51+H52</f>
        <v>0.236026657759283</v>
      </c>
      <c r="I54" s="12" t="n">
        <f aca="false">I51+I52</f>
        <v>0.233026657759283</v>
      </c>
    </row>
    <row r="55" customFormat="false" ht="17.15" hidden="false" customHeight="false" outlineLevel="0" collapsed="false">
      <c r="A55" s="0" t="s">
        <v>461</v>
      </c>
      <c r="B55" s="0" t="s">
        <v>285</v>
      </c>
      <c r="D55" s="10" t="n">
        <f aca="false">SUM(Mkt!C91:F91)</f>
        <v>10.21</v>
      </c>
      <c r="E55" s="10" t="n">
        <f aca="false">SUM(Mkt!G91:J91)</f>
        <v>47.8348816938192</v>
      </c>
      <c r="F55" s="10" t="n">
        <f aca="false">SUM(Mkt!K91:N91)</f>
        <v>71.4128200366594</v>
      </c>
      <c r="G55" s="10" t="n">
        <f aca="false">SUM(Mkt!O91:R91)</f>
        <v>32.7260858616215</v>
      </c>
      <c r="H55" s="10" t="n">
        <f aca="false">SUM(Mkt!S91:V91)</f>
        <v>33.4328471307317</v>
      </c>
      <c r="I55" s="10" t="n">
        <f aca="false">SUM(Mkt!W91:Z91)</f>
        <v>36.2349572350245</v>
      </c>
    </row>
    <row r="56" customFormat="false" ht="17.15" hidden="false" customHeight="false" outlineLevel="0" collapsed="false">
      <c r="A56" s="0" t="s">
        <v>462</v>
      </c>
      <c r="B56" s="0" t="s">
        <v>285</v>
      </c>
      <c r="D56" s="10" t="n">
        <f aca="false">SUM(Mkt!C92:F92)</f>
        <v>8.93</v>
      </c>
      <c r="E56" s="10" t="n">
        <f aca="false">SUM(Mkt!G92:J92)</f>
        <v>38.417364073771</v>
      </c>
      <c r="F56" s="10" t="n">
        <f aca="false">SUM(Mkt!K92:N92)</f>
        <v>54.942735017282</v>
      </c>
      <c r="G56" s="10" t="n">
        <f aca="false">SUM(Mkt!O92:R92)</f>
        <v>25.1914335226312</v>
      </c>
      <c r="H56" s="10" t="n">
        <f aca="false">SUM(Mkt!S92:V92)</f>
        <v>25.7491324373272</v>
      </c>
      <c r="I56" s="10" t="n">
        <f aca="false">SUM(Mkt!W92:Z92)</f>
        <v>27.9224376669963</v>
      </c>
    </row>
    <row r="58" customFormat="false" ht="17.15" hidden="false" customHeight="false" outlineLevel="0" collapsed="false">
      <c r="A58" s="3" t="s">
        <v>464</v>
      </c>
    </row>
    <row r="59" customFormat="false" ht="15" hidden="false" customHeight="false" outlineLevel="0" collapsed="false">
      <c r="A59" s="5" t="s">
        <v>436</v>
      </c>
      <c r="B59" s="5" t="s">
        <v>168</v>
      </c>
      <c r="E59" s="10" t="n">
        <f aca="false">Mkt!E102</f>
        <v>15.2</v>
      </c>
      <c r="F59" s="10" t="n">
        <f aca="false">Mkt!F102</f>
        <v>23.7</v>
      </c>
      <c r="G59" s="10" t="n">
        <f aca="false">Mkt!G102</f>
        <v>15.9</v>
      </c>
      <c r="H59" s="10" t="n">
        <f aca="false">Mkt!H102</f>
        <v>18.09</v>
      </c>
      <c r="I59" s="10" t="n">
        <f aca="false">Mkt!I102</f>
        <v>18.9945</v>
      </c>
    </row>
    <row r="60" customFormat="false" ht="17.15" hidden="false" customHeight="false" outlineLevel="0" collapsed="false">
      <c r="A60" s="5" t="s">
        <v>437</v>
      </c>
      <c r="B60" s="0" t="s">
        <v>222</v>
      </c>
      <c r="D60" s="11" t="n">
        <f aca="false">Mkt!D104</f>
        <v>165</v>
      </c>
      <c r="E60" s="11" t="n">
        <f aca="false">Mkt!E104</f>
        <v>456</v>
      </c>
      <c r="F60" s="11" t="n">
        <f aca="false">Mkt!F104</f>
        <v>805.8</v>
      </c>
      <c r="G60" s="11" t="n">
        <f aca="false">Mkt!G104</f>
        <v>636</v>
      </c>
      <c r="H60" s="11" t="n">
        <f aca="false">Mkt!H104</f>
        <v>832.14</v>
      </c>
      <c r="I60" s="11" t="n">
        <f aca="false">Mkt!I104</f>
        <v>987.714</v>
      </c>
    </row>
    <row r="61" customFormat="false" ht="17.15" hidden="false" customHeight="false" outlineLevel="0" collapsed="false">
      <c r="A61" s="5" t="s">
        <v>438</v>
      </c>
      <c r="B61" s="0" t="s">
        <v>222</v>
      </c>
      <c r="D61" s="11" t="n">
        <f aca="false">Mkt!D105</f>
        <v>135</v>
      </c>
      <c r="E61" s="11" t="n">
        <f aca="false">Mkt!E105</f>
        <v>148.5</v>
      </c>
      <c r="F61" s="11" t="n">
        <f aca="false">Mkt!F105</f>
        <v>163.35</v>
      </c>
      <c r="G61" s="11" t="n">
        <f aca="false">Mkt!G105</f>
        <v>179.685</v>
      </c>
      <c r="H61" s="11" t="n">
        <f aca="false">Mkt!H105</f>
        <v>197.6535</v>
      </c>
      <c r="I61" s="11" t="n">
        <f aca="false">Mkt!I105</f>
        <v>217.41885</v>
      </c>
    </row>
    <row r="62" customFormat="false" ht="15" hidden="false" customHeight="false" outlineLevel="0" collapsed="false">
      <c r="A62" s="5" t="s">
        <v>439</v>
      </c>
      <c r="B62" s="0" t="s">
        <v>222</v>
      </c>
      <c r="D62" s="11" t="n">
        <f aca="false">Mkt!D106</f>
        <v>320</v>
      </c>
      <c r="E62" s="11" t="n">
        <f aca="false">Mkt!E106</f>
        <v>304</v>
      </c>
      <c r="F62" s="11" t="n">
        <f aca="false">Mkt!F106</f>
        <v>313.12</v>
      </c>
      <c r="G62" s="11" t="n">
        <f aca="false">Mkt!G106</f>
        <v>338.1696</v>
      </c>
      <c r="H62" s="11" t="n">
        <f aca="false">Mkt!H106</f>
        <v>365.223168</v>
      </c>
      <c r="I62" s="11" t="n">
        <f aca="false">Mkt!I106</f>
        <v>394.44102144</v>
      </c>
    </row>
    <row r="63" customFormat="false" ht="17.15" hidden="false" customHeight="false" outlineLevel="0" collapsed="false">
      <c r="A63" s="5" t="s">
        <v>440</v>
      </c>
      <c r="B63" s="0" t="s">
        <v>222</v>
      </c>
      <c r="D63" s="11" t="n">
        <f aca="false">Mkt!D107</f>
        <v>230</v>
      </c>
      <c r="E63" s="11" t="n">
        <f aca="false">Mkt!E107</f>
        <v>218.5</v>
      </c>
      <c r="F63" s="11" t="n">
        <f aca="false">Mkt!F107</f>
        <v>218.5</v>
      </c>
      <c r="G63" s="11" t="n">
        <f aca="false">Mkt!G107</f>
        <v>231.61</v>
      </c>
      <c r="H63" s="11" t="n">
        <f aca="false">Mkt!H107</f>
        <v>245.5066</v>
      </c>
      <c r="I63" s="11" t="n">
        <f aca="false">Mkt!I107</f>
        <v>260.236996</v>
      </c>
    </row>
    <row r="64" customFormat="false" ht="15" hidden="false" customHeight="false" outlineLevel="0" collapsed="false">
      <c r="A64" s="5" t="s">
        <v>441</v>
      </c>
      <c r="B64" s="0" t="s">
        <v>222</v>
      </c>
      <c r="D64" s="11" t="n">
        <f aca="false">Mkt!D108</f>
        <v>150</v>
      </c>
      <c r="E64" s="11" t="n">
        <f aca="false">Mkt!E108</f>
        <v>135</v>
      </c>
      <c r="F64" s="11" t="n">
        <f aca="false">Mkt!F108</f>
        <v>135</v>
      </c>
      <c r="G64" s="11" t="n">
        <f aca="false">Mkt!G108</f>
        <v>141.75</v>
      </c>
      <c r="H64" s="11" t="n">
        <f aca="false">Mkt!H108</f>
        <v>148.8375</v>
      </c>
      <c r="I64" s="11" t="n">
        <f aca="false">Mkt!I108</f>
        <v>156.279375</v>
      </c>
    </row>
    <row r="65" customFormat="false" ht="15" hidden="false" customHeight="false" outlineLevel="0" collapsed="false">
      <c r="A65" s="5" t="s">
        <v>442</v>
      </c>
      <c r="B65" s="0" t="s">
        <v>222</v>
      </c>
      <c r="D65" s="11" t="n">
        <f aca="false">Mkt!D109</f>
        <v>1000</v>
      </c>
      <c r="E65" s="11" t="n">
        <f aca="false">Mkt!E109</f>
        <v>1262</v>
      </c>
      <c r="F65" s="11" t="n">
        <f aca="false">Mkt!F109</f>
        <v>1635.77</v>
      </c>
      <c r="G65" s="11" t="n">
        <f aca="false">Mkt!G109</f>
        <v>1527.2146</v>
      </c>
      <c r="H65" s="11" t="n">
        <f aca="false">Mkt!H109</f>
        <v>1789.360768</v>
      </c>
      <c r="I65" s="11" t="n">
        <f aca="false">Mkt!I109</f>
        <v>2016.09024244</v>
      </c>
    </row>
    <row r="66" customFormat="false" ht="17.15" hidden="false" customHeight="false" outlineLevel="0" collapsed="false">
      <c r="A66" s="5" t="s">
        <v>443</v>
      </c>
      <c r="B66" s="0" t="s">
        <v>25</v>
      </c>
      <c r="D66" s="12" t="n">
        <f aca="false">Mkt!D110</f>
        <v>0.3</v>
      </c>
      <c r="E66" s="12" t="n">
        <f aca="false">Mkt!E110</f>
        <v>0.479001584786054</v>
      </c>
      <c r="F66" s="12" t="n">
        <f aca="false">Mkt!F110</f>
        <v>0.592473269469424</v>
      </c>
      <c r="G66" s="12" t="n">
        <f aca="false">Mkt!G110</f>
        <v>0.53409979186946</v>
      </c>
      <c r="H66" s="12" t="n">
        <f aca="false">Mkt!H110</f>
        <v>0.575509152998262</v>
      </c>
      <c r="I66" s="12" t="n">
        <f aca="false">Mkt!I110</f>
        <v>0.597757394302684</v>
      </c>
    </row>
    <row r="67" customFormat="false" ht="15" hidden="false" customHeight="false" outlineLevel="0" collapsed="false">
      <c r="A67" s="5" t="s">
        <v>444</v>
      </c>
      <c r="B67" s="0" t="s">
        <v>222</v>
      </c>
      <c r="D67" s="11" t="n">
        <f aca="false">Mkt!D111</f>
        <v>1000</v>
      </c>
      <c r="E67" s="11" t="n">
        <f aca="false">Mkt!E111</f>
        <v>1210</v>
      </c>
      <c r="F67" s="11" t="n">
        <f aca="false">Mkt!F111</f>
        <v>1512.5</v>
      </c>
      <c r="G67" s="11" t="n">
        <f aca="false">Mkt!G111</f>
        <v>1890.625</v>
      </c>
      <c r="H67" s="11" t="n">
        <f aca="false">Mkt!H111</f>
        <v>2306.5625</v>
      </c>
      <c r="I67" s="11" t="n">
        <f aca="false">Mkt!I111</f>
        <v>2767.875</v>
      </c>
    </row>
    <row r="68" customFormat="false" ht="17.15" hidden="false" customHeight="false" outlineLevel="0" collapsed="false">
      <c r="A68" s="5" t="s">
        <v>445</v>
      </c>
      <c r="B68" s="0" t="s">
        <v>25</v>
      </c>
      <c r="E68" s="12" t="n">
        <f aca="false">Mkt!E112</f>
        <v>0.0429752066115703</v>
      </c>
      <c r="F68" s="12" t="n">
        <f aca="false">Mkt!F112</f>
        <v>0.0815008264462809</v>
      </c>
      <c r="G68" s="12" t="n">
        <f aca="false">Mkt!G112</f>
        <v>-0.19221707107438</v>
      </c>
      <c r="H68" s="12" t="n">
        <f aca="false">Mkt!H112</f>
        <v>-0.224230530063677</v>
      </c>
      <c r="I68" s="12" t="n">
        <f aca="false">Mkt!I112</f>
        <v>-0.271610805242289</v>
      </c>
    </row>
    <row r="69" customFormat="false" ht="15" hidden="false" customHeight="false" outlineLevel="0" collapsed="false">
      <c r="A69" s="5" t="s">
        <v>446</v>
      </c>
      <c r="B69" s="0" t="s">
        <v>222</v>
      </c>
      <c r="C69" s="11" t="n">
        <f aca="false">Mkt!C113</f>
        <v>892.857142857143</v>
      </c>
      <c r="D69" s="11" t="n">
        <f aca="false">Mkt!D113</f>
        <v>1000</v>
      </c>
      <c r="E69" s="11" t="n">
        <f aca="false">Mkt!E113</f>
        <v>1210</v>
      </c>
      <c r="F69" s="11" t="n">
        <f aca="false">Mkt!F113</f>
        <v>1512.5</v>
      </c>
      <c r="G69" s="11" t="n">
        <f aca="false">Mkt!G113</f>
        <v>1527.2146</v>
      </c>
      <c r="H69" s="11" t="n">
        <f aca="false">Mkt!H113</f>
        <v>1789.360768</v>
      </c>
      <c r="I69" s="11" t="n">
        <f aca="false">Mkt!I113</f>
        <v>2016.09024244</v>
      </c>
    </row>
    <row r="70" customFormat="false" ht="15" hidden="false" customHeight="false" outlineLevel="0" collapsed="false">
      <c r="A70" s="5" t="s">
        <v>447</v>
      </c>
      <c r="B70" s="0" t="s">
        <v>25</v>
      </c>
      <c r="D70" s="12" t="n">
        <f aca="false">Mkt!D114</f>
        <v>0.12</v>
      </c>
      <c r="E70" s="12" t="n">
        <f aca="false">Mkt!E114</f>
        <v>0.21</v>
      </c>
      <c r="F70" s="12" t="n">
        <f aca="false">Mkt!F114</f>
        <v>0.25</v>
      </c>
      <c r="G70" s="12" t="n">
        <f aca="false">Mkt!G114</f>
        <v>0.00972866115702487</v>
      </c>
      <c r="H70" s="12" t="n">
        <f aca="false">Mkt!H114</f>
        <v>0.171649857197541</v>
      </c>
      <c r="I70" s="12" t="n">
        <f aca="false">Mkt!I114</f>
        <v>0.12670976054394</v>
      </c>
    </row>
    <row r="71" customFormat="false" ht="15" hidden="false" customHeight="false" outlineLevel="0" collapsed="false">
      <c r="A71" s="5" t="s">
        <v>448</v>
      </c>
      <c r="B71" s="0" t="s">
        <v>449</v>
      </c>
      <c r="C71" s="13" t="n">
        <f aca="false">Mkt!C117</f>
        <v>0.075488</v>
      </c>
      <c r="D71" s="13" t="n">
        <f aca="false">Mkt!D117</f>
        <v>0.0711035923582252</v>
      </c>
      <c r="E71" s="13" t="n">
        <f aca="false">Mkt!E117</f>
        <v>0.283322933491246</v>
      </c>
      <c r="F71" s="13" t="n">
        <f aca="false">Mkt!F117</f>
        <v>0.345172154253644</v>
      </c>
      <c r="G71" s="13" t="n">
        <f aca="false">Mkt!G117</f>
        <v>0.114082362279368</v>
      </c>
      <c r="H71" s="13" t="n">
        <f aca="false">Mkt!H117</f>
        <v>0.0783703608443071</v>
      </c>
      <c r="I71" s="14" t="n">
        <f aca="false">Mkt!I117</f>
        <v>0.0811210498959364</v>
      </c>
    </row>
    <row r="72" customFormat="false" ht="15" hidden="false" customHeight="false" outlineLevel="0" collapsed="false">
      <c r="A72" s="5" t="s">
        <v>450</v>
      </c>
      <c r="B72" s="0" t="s">
        <v>25</v>
      </c>
      <c r="D72" s="12" t="n">
        <f aca="false">Mkt!D118</f>
        <v>-0.0580808557886665</v>
      </c>
      <c r="E72" s="12" t="n">
        <f aca="false">Mkt!E118</f>
        <v>2.98465005908343</v>
      </c>
      <c r="F72" s="12" t="n">
        <f aca="false">Mkt!F118</f>
        <v>0.218299380146398</v>
      </c>
      <c r="G72" s="12" t="n">
        <f aca="false">Mkt!G118</f>
        <v>-0.669491409218553</v>
      </c>
      <c r="H72" s="12" t="n">
        <f aca="false">Mkt!H118</f>
        <v>-0.313037008714885</v>
      </c>
      <c r="I72" s="15" t="n">
        <f aca="false">Mkt!I118</f>
        <v>0.0350985885734778</v>
      </c>
    </row>
    <row r="73" customFormat="false" ht="17.15" hidden="false" customHeight="false" outlineLevel="0" collapsed="false">
      <c r="A73" s="0" t="s">
        <v>451</v>
      </c>
      <c r="B73" s="0" t="s">
        <v>285</v>
      </c>
      <c r="C73" s="10" t="n">
        <f aca="false">Mkt!C115</f>
        <v>67.4</v>
      </c>
      <c r="D73" s="10" t="n">
        <f aca="false">Mkt!D115</f>
        <v>71.1035923582252</v>
      </c>
      <c r="E73" s="10" t="n">
        <f aca="false">Mkt!E115</f>
        <v>342.820749524408</v>
      </c>
      <c r="F73" s="10" t="n">
        <f aca="false">Mkt!F115</f>
        <v>522.072883308637</v>
      </c>
      <c r="G73" s="10" t="n">
        <f aca="false">Mkt!G115</f>
        <v>174.228249275541</v>
      </c>
      <c r="H73" s="10" t="n">
        <f aca="false">Mkt!H115</f>
        <v>140.232849068806</v>
      </c>
      <c r="I73" s="16" t="n">
        <f aca="false">Mkt!I115</f>
        <v>163.547357151686</v>
      </c>
    </row>
    <row r="74" customFormat="false" ht="15" hidden="false" customHeight="false" outlineLevel="0" collapsed="false">
      <c r="A74" s="5" t="s">
        <v>453</v>
      </c>
      <c r="B74" s="0" t="s">
        <v>25</v>
      </c>
      <c r="D74" s="12" t="n">
        <f aca="false">Mkt!D116</f>
        <v>0.0549494415166936</v>
      </c>
      <c r="E74" s="12" t="n">
        <f aca="false">Mkt!E116</f>
        <v>3.82142657149095</v>
      </c>
      <c r="F74" s="12" t="n">
        <f aca="false">Mkt!F116</f>
        <v>0.522874225182997</v>
      </c>
      <c r="G74" s="12" t="n">
        <f aca="false">Mkt!G116</f>
        <v>-0.666276003129354</v>
      </c>
      <c r="H74" s="12" t="n">
        <f aca="false">Mkt!H116</f>
        <v>-0.195119909360799</v>
      </c>
      <c r="I74" s="15" t="n">
        <f aca="false">Mkt!I116</f>
        <v>0.166255682870994</v>
      </c>
    </row>
    <row r="75" customFormat="false" ht="15" hidden="false" customHeight="false" outlineLevel="0" collapsed="false">
      <c r="A75" s="5" t="s">
        <v>454</v>
      </c>
      <c r="B75" s="0" t="s">
        <v>25</v>
      </c>
      <c r="D75" s="12" t="n">
        <f aca="false">Mkt!D119</f>
        <v>0.309407714439551</v>
      </c>
      <c r="E75" s="12" t="n">
        <f aca="false">Mkt!E119</f>
        <v>0.298146371102126</v>
      </c>
      <c r="F75" s="12" t="n">
        <f aca="false">Mkt!F119</f>
        <v>0.293146371102126</v>
      </c>
      <c r="G75" s="12" t="n">
        <f aca="false">Mkt!G119</f>
        <v>0.288146371102126</v>
      </c>
      <c r="H75" s="12" t="n">
        <f aca="false">Mkt!H119</f>
        <v>0.283146371102126</v>
      </c>
      <c r="I75" s="12" t="n">
        <f aca="false">Mkt!I119</f>
        <v>0.278146371102126</v>
      </c>
    </row>
    <row r="76" customFormat="false" ht="17.15" hidden="false" customHeight="false" outlineLevel="0" collapsed="false">
      <c r="A76" s="5" t="s">
        <v>455</v>
      </c>
      <c r="B76" s="0" t="s">
        <v>25</v>
      </c>
      <c r="D76" s="12" t="n">
        <f aca="false">Mkt!D120</f>
        <v>0.200693094775109</v>
      </c>
      <c r="E76" s="12" t="n">
        <f aca="false">Mkt!E120</f>
        <v>0.177730130982399</v>
      </c>
      <c r="F76" s="12" t="n">
        <f aca="false">Mkt!F120</f>
        <v>0.177730130982399</v>
      </c>
      <c r="G76" s="12" t="n">
        <f aca="false">Mkt!G120</f>
        <v>0.177730130982399</v>
      </c>
      <c r="H76" s="12" t="n">
        <f aca="false">Mkt!H120</f>
        <v>0.177730130982399</v>
      </c>
      <c r="I76" s="12" t="n">
        <f aca="false">Mkt!I120</f>
        <v>0.177730130982399</v>
      </c>
    </row>
    <row r="77" customFormat="false" ht="15" hidden="false" customHeight="false" outlineLevel="0" collapsed="false">
      <c r="A77" s="5" t="s">
        <v>456</v>
      </c>
      <c r="B77" s="0" t="s">
        <v>25</v>
      </c>
      <c r="D77" s="12" t="n">
        <f aca="false">Mkt!D121</f>
        <v>0.134732995651405</v>
      </c>
      <c r="E77" s="12" t="n">
        <f aca="false">Mkt!E121</f>
        <v>0.14511909777462</v>
      </c>
      <c r="F77" s="12" t="n">
        <f aca="false">Mkt!F121</f>
        <v>0.14711909777462</v>
      </c>
      <c r="G77" s="12" t="n">
        <f aca="false">Mkt!G121</f>
        <v>0.14911909777462</v>
      </c>
      <c r="H77" s="12" t="n">
        <f aca="false">Mkt!H121</f>
        <v>0.15111909777462</v>
      </c>
      <c r="I77" s="12" t="n">
        <f aca="false">Mkt!I121</f>
        <v>0.15311909777462</v>
      </c>
    </row>
    <row r="78" customFormat="false" ht="17.15" hidden="false" customHeight="false" outlineLevel="0" collapsed="false">
      <c r="A78" s="5" t="s">
        <v>457</v>
      </c>
      <c r="B78" s="0" t="s">
        <v>25</v>
      </c>
      <c r="D78" s="12" t="n">
        <f aca="false">Mkt!D122</f>
        <v>0.143593307473992</v>
      </c>
      <c r="E78" s="12" t="n">
        <f aca="false">Mkt!E122</f>
        <v>0.139533216003349</v>
      </c>
      <c r="F78" s="12" t="n">
        <f aca="false">Mkt!F122</f>
        <v>0.135061152622043</v>
      </c>
      <c r="G78" s="12" t="n">
        <f aca="false">Mkt!G122</f>
        <v>0.131609317856862</v>
      </c>
      <c r="H78" s="12" t="n">
        <f aca="false">Mkt!H122</f>
        <v>0.128157483091682</v>
      </c>
      <c r="I78" s="12" t="n">
        <f aca="false">Mkt!I122</f>
        <v>0.124705648326501</v>
      </c>
    </row>
    <row r="79" customFormat="false" ht="17.15" hidden="false" customHeight="false" outlineLevel="0" collapsed="false">
      <c r="A79" s="5" t="s">
        <v>458</v>
      </c>
      <c r="B79" s="0" t="s">
        <v>25</v>
      </c>
      <c r="D79" s="12" t="n">
        <f aca="false">Mkt!D123</f>
        <v>0.125591404088418</v>
      </c>
      <c r="E79" s="12" t="n">
        <f aca="false">Mkt!E123</f>
        <v>0.112062540342342</v>
      </c>
      <c r="F79" s="12" t="n">
        <f aca="false">Mkt!F123</f>
        <v>0.103965505137239</v>
      </c>
      <c r="G79" s="12" t="n">
        <f aca="false">Mkt!G123</f>
        <v>0.10141733990242</v>
      </c>
      <c r="H79" s="12" t="n">
        <f aca="false">Mkt!H123</f>
        <v>0.0988691746676009</v>
      </c>
      <c r="I79" s="12" t="n">
        <f aca="false">Mkt!I123</f>
        <v>0.0963210094327817</v>
      </c>
    </row>
    <row r="80" customFormat="false" ht="15" hidden="false" customHeight="false" outlineLevel="0" collapsed="false">
      <c r="A80" s="5" t="s">
        <v>459</v>
      </c>
      <c r="B80" s="0" t="s">
        <v>25</v>
      </c>
      <c r="D80" s="12" t="n">
        <f aca="false">Mkt!D124</f>
        <v>0.0859814835715252</v>
      </c>
      <c r="E80" s="12" t="n">
        <f aca="false">Mkt!E124</f>
        <v>0.127408643795164</v>
      </c>
      <c r="F80" s="12" t="n">
        <f aca="false">Mkt!F124</f>
        <v>0.142977742381572</v>
      </c>
      <c r="G80" s="12" t="n">
        <f aca="false">Mkt!G124</f>
        <v>0.151977742381572</v>
      </c>
      <c r="H80" s="12" t="n">
        <f aca="false">Mkt!H124</f>
        <v>0.160977742381572</v>
      </c>
      <c r="I80" s="12" t="n">
        <f aca="false">Mkt!I124</f>
        <v>0.169977742381572</v>
      </c>
    </row>
    <row r="81" customFormat="false" ht="17.15" hidden="false" customHeight="false" outlineLevel="0" collapsed="false">
      <c r="A81" s="0" t="s">
        <v>460</v>
      </c>
      <c r="B81" s="0" t="s">
        <v>25</v>
      </c>
      <c r="D81" s="12" t="n">
        <f aca="false">D78+D79</f>
        <v>0.26918471156241</v>
      </c>
      <c r="E81" s="12" t="n">
        <f aca="false">E78+E79</f>
        <v>0.251595756345691</v>
      </c>
      <c r="F81" s="12" t="n">
        <f aca="false">F78+F79</f>
        <v>0.239026657759283</v>
      </c>
      <c r="G81" s="12" t="n">
        <f aca="false">G78+G79</f>
        <v>0.233026657759283</v>
      </c>
      <c r="H81" s="12" t="n">
        <f aca="false">H78+H79</f>
        <v>0.227026657759283</v>
      </c>
      <c r="I81" s="12" t="n">
        <f aca="false">I78+I79</f>
        <v>0.221026657759283</v>
      </c>
    </row>
    <row r="82" customFormat="false" ht="17.15" hidden="false" customHeight="false" outlineLevel="0" collapsed="false">
      <c r="A82" s="0" t="s">
        <v>461</v>
      </c>
      <c r="B82" s="0" t="s">
        <v>285</v>
      </c>
      <c r="D82" s="10" t="n">
        <f aca="false">SUM(Mkt!C139:F139)</f>
        <v>10.21</v>
      </c>
      <c r="E82" s="10" t="n">
        <f aca="false">SUM(Mkt!G139:J139)</f>
        <v>47.8348816938192</v>
      </c>
      <c r="F82" s="10" t="n">
        <f aca="false">SUM(Mkt!K139:N139)</f>
        <v>70.511765372378</v>
      </c>
      <c r="G82" s="10" t="n">
        <f aca="false">SUM(Mkt!O139:R139)</f>
        <v>22.9300610385493</v>
      </c>
      <c r="H82" s="10" t="n">
        <f aca="false">SUM(Mkt!S139:V139)</f>
        <v>17.9718889834339</v>
      </c>
      <c r="I82" s="10" t="n">
        <f aca="false">SUM(Mkt!W139:Z139)</f>
        <v>20.3952792056868</v>
      </c>
    </row>
    <row r="83" customFormat="false" ht="17.15" hidden="false" customHeight="false" outlineLevel="0" collapsed="false">
      <c r="A83" s="0" t="s">
        <v>462</v>
      </c>
      <c r="B83" s="0" t="s">
        <v>285</v>
      </c>
      <c r="D83" s="10" t="n">
        <f aca="false">SUM(Mkt!C140:F140)</f>
        <v>8.93</v>
      </c>
      <c r="E83" s="10" t="n">
        <f aca="false">SUM(Mkt!G140:J140)</f>
        <v>38.417364073771</v>
      </c>
      <c r="F83" s="10" t="n">
        <f aca="false">SUM(Mkt!K140:N140)</f>
        <v>54.2775710316375</v>
      </c>
      <c r="G83" s="10" t="n">
        <f aca="false">SUM(Mkt!O140:R140)</f>
        <v>17.6697655773811</v>
      </c>
      <c r="H83" s="10" t="n">
        <f aca="false">SUM(Mkt!S140:V140)</f>
        <v>13.8647060487191</v>
      </c>
      <c r="I83" s="10" t="n">
        <f aca="false">SUM(Mkt!W140:Z140)</f>
        <v>15.753046530914</v>
      </c>
    </row>
    <row r="85" customFormat="false" ht="17.15" hidden="false" customHeight="false" outlineLevel="0" collapsed="false">
      <c r="A85" s="5" t="s">
        <v>465</v>
      </c>
      <c r="C85" s="17" t="n">
        <f aca="false">Mkt!C49+Mkt!C97+Mkt!C145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</cols>
  <sheetData>
    <row r="1" customFormat="false" ht="17.15" hidden="false" customHeight="false" outlineLevel="0" collapsed="false">
      <c r="A1" s="0" t="s">
        <v>466</v>
      </c>
    </row>
    <row r="3" customFormat="false" ht="15" hidden="false" customHeight="false" outlineLevel="0" collapsed="false">
      <c r="A3" s="6" t="s">
        <v>467</v>
      </c>
      <c r="B3" s="6" t="s">
        <v>434</v>
      </c>
      <c r="C3" s="9" t="s">
        <v>468</v>
      </c>
      <c r="D3" s="9" t="s">
        <v>469</v>
      </c>
      <c r="E3" s="9" t="s">
        <v>470</v>
      </c>
      <c r="F3" s="9" t="s">
        <v>471</v>
      </c>
      <c r="G3" s="9" t="s">
        <v>472</v>
      </c>
      <c r="H3" s="9" t="s">
        <v>473</v>
      </c>
      <c r="I3" s="9" t="s">
        <v>474</v>
      </c>
      <c r="J3" s="9" t="s">
        <v>475</v>
      </c>
      <c r="K3" s="9" t="s">
        <v>476</v>
      </c>
      <c r="L3" s="9" t="s">
        <v>477</v>
      </c>
      <c r="M3" s="9" t="s">
        <v>478</v>
      </c>
      <c r="N3" s="9" t="s">
        <v>479</v>
      </c>
      <c r="O3" s="9" t="s">
        <v>480</v>
      </c>
      <c r="P3" s="9" t="s">
        <v>481</v>
      </c>
      <c r="Q3" s="9" t="s">
        <v>482</v>
      </c>
      <c r="R3" s="9" t="s">
        <v>483</v>
      </c>
      <c r="S3" s="9" t="s">
        <v>484</v>
      </c>
      <c r="T3" s="9" t="s">
        <v>485</v>
      </c>
      <c r="U3" s="9" t="s">
        <v>486</v>
      </c>
      <c r="V3" s="9" t="s">
        <v>487</v>
      </c>
      <c r="W3" s="9" t="s">
        <v>488</v>
      </c>
      <c r="X3" s="9" t="s">
        <v>489</v>
      </c>
      <c r="Y3" s="9" t="s">
        <v>490</v>
      </c>
      <c r="Z3" s="9" t="s">
        <v>491</v>
      </c>
    </row>
    <row r="4" customFormat="false" ht="17.15" hidden="false" customHeight="false" outlineLevel="0" collapsed="false">
      <c r="A4" s="0" t="s">
        <v>492</v>
      </c>
      <c r="B4" s="5" t="s">
        <v>493</v>
      </c>
      <c r="C4" s="0" t="n">
        <v>1</v>
      </c>
      <c r="D4" s="13" t="n">
        <f aca="false">C4*(1+nq_1)</f>
        <v>1</v>
      </c>
      <c r="E4" s="13" t="n">
        <f aca="false">D4*(1+nq_2)</f>
        <v>1.05</v>
      </c>
      <c r="F4" s="13" t="n">
        <f aca="false">E4*(1+nq_3)</f>
        <v>1.365</v>
      </c>
      <c r="G4" s="13" t="n">
        <f aca="false">F4*(1+nq_4)</f>
        <v>2.559375</v>
      </c>
      <c r="H4" s="13" t="n">
        <f aca="false">G4*(1+nq_5)</f>
        <v>4.414921875</v>
      </c>
      <c r="I4" s="13" t="n">
        <f aca="false">H4*(1+nq_6)</f>
        <v>5.51865234375</v>
      </c>
      <c r="J4" s="13" t="n">
        <f aca="false">I4*(1+nq_7)</f>
        <v>5.96566318359375</v>
      </c>
      <c r="K4" s="13" t="n">
        <f aca="false">J4*(1+nqA_8)</f>
        <v>6.14463307910156</v>
      </c>
      <c r="L4" s="13" t="n">
        <f aca="false">K4*(1+nqA_9)</f>
        <v>6.14463307910156</v>
      </c>
      <c r="M4" s="13" t="n">
        <f aca="false">L4*(1+nqA_10)</f>
        <v>5.83740142514648</v>
      </c>
      <c r="N4" s="13" t="n">
        <f aca="false">M4*(1+nqA_11)</f>
        <v>5.42878332538623</v>
      </c>
      <c r="O4" s="13" t="n">
        <f aca="false">N4*(1+nqA_12)</f>
        <v>5.15734415911692</v>
      </c>
      <c r="P4" s="13" t="n">
        <f aca="false">O4*(1+nqA_13)</f>
        <v>4.89947695116107</v>
      </c>
      <c r="Q4" s="13" t="n">
        <f aca="false">P4*(1+nqA_14)</f>
        <v>4.65450310360302</v>
      </c>
      <c r="R4" s="13" t="n">
        <f aca="false">Q4*(1+nqA_15)</f>
        <v>4.42177794842287</v>
      </c>
      <c r="S4" s="13" t="n">
        <f aca="false">R4*(1+nqA_16)</f>
        <v>4.28912460997018</v>
      </c>
      <c r="T4" s="13" t="n">
        <f aca="false">S4*(1+nqA_17)</f>
        <v>4.16045087167108</v>
      </c>
      <c r="U4" s="13" t="n">
        <f aca="false">T4*(1+nqA_18)</f>
        <v>4.03563734552094</v>
      </c>
      <c r="V4" s="13" t="n">
        <f aca="false">U4*(1+nqA_19)</f>
        <v>3.91456822515532</v>
      </c>
      <c r="W4" s="14" t="n">
        <f aca="false">V4*(1+((1+p10)^(1/4)-1))</f>
        <v>3.79144302937821</v>
      </c>
      <c r="X4" s="14" t="n">
        <f aca="false">W4*(1+((1+p10)^(1/4)-1))</f>
        <v>3.6721904992345</v>
      </c>
      <c r="Y4" s="14" t="n">
        <f aca="false">X4*(1+((1+p10)^(1/4)-1))</f>
        <v>3.55668882749365</v>
      </c>
      <c r="Z4" s="14" t="n">
        <f aca="false">Y4*(1+((1+p10)^(1/4)-1))</f>
        <v>3.44482003813668</v>
      </c>
    </row>
    <row r="5" customFormat="false" ht="17.15" hidden="false" customHeight="false" outlineLevel="0" collapsed="false">
      <c r="A5" s="0" t="s">
        <v>494</v>
      </c>
      <c r="B5" s="5" t="s">
        <v>495</v>
      </c>
      <c r="C5" s="0" t="n">
        <v>1</v>
      </c>
      <c r="D5" s="13" t="n">
        <f aca="false">C5*(1+nq_1)</f>
        <v>1</v>
      </c>
      <c r="E5" s="13" t="n">
        <f aca="false">D5*(1+nq_2)</f>
        <v>1.05</v>
      </c>
      <c r="F5" s="13" t="n">
        <f aca="false">E5*(1+nq_3)</f>
        <v>1.365</v>
      </c>
      <c r="G5" s="13" t="n">
        <f aca="false">F5*(1+nq_4)</f>
        <v>2.559375</v>
      </c>
      <c r="H5" s="13" t="n">
        <f aca="false">G5*(1+nq_5)</f>
        <v>4.414921875</v>
      </c>
      <c r="I5" s="13" t="n">
        <f aca="false">H5*(1+nq_6)</f>
        <v>5.51865234375</v>
      </c>
      <c r="J5" s="13" t="n">
        <f aca="false">I5*(1+nq_7)</f>
        <v>5.96566318359375</v>
      </c>
      <c r="K5" s="13" t="n">
        <f aca="false">J5*(1+nqB_8)</f>
        <v>6.26394634277344</v>
      </c>
      <c r="L5" s="13" t="n">
        <f aca="false">K5*(1+nqB_9)</f>
        <v>6.38922526962891</v>
      </c>
      <c r="M5" s="13" t="n">
        <f aca="false">L5*(1+nqB_10)</f>
        <v>5.75030274266602</v>
      </c>
      <c r="N5" s="13" t="n">
        <f aca="false">M5*(1+nqB_11)</f>
        <v>4.60024219413281</v>
      </c>
      <c r="O5" s="13" t="n">
        <f aca="false">N5*(1+nqB_12)</f>
        <v>3.22016953589297</v>
      </c>
      <c r="P5" s="13" t="n">
        <f aca="false">O5*(1+nqB_13)</f>
        <v>2.41512715191973</v>
      </c>
      <c r="Q5" s="13" t="n">
        <f aca="false">P5*(1+nqB_14)</f>
        <v>1.93210172153578</v>
      </c>
      <c r="R5" s="13" t="n">
        <f aca="false">Q5*(1+nqB_15)</f>
        <v>1.7388915493822</v>
      </c>
      <c r="S5" s="13" t="n">
        <f aca="false">R5*(1+nqB_16)</f>
        <v>1.82583612685131</v>
      </c>
      <c r="T5" s="13" t="n">
        <f aca="false">S5*(1+nqB_17)</f>
        <v>1.91712793319388</v>
      </c>
      <c r="U5" s="13" t="n">
        <f aca="false">T5*(1+nqB_18)</f>
        <v>1.9746417711897</v>
      </c>
      <c r="V5" s="13" t="n">
        <f aca="false">U5*(1+nqB_19)</f>
        <v>2.03388102432539</v>
      </c>
      <c r="W5" s="14" t="n">
        <f aca="false">V5*(1+((1+p10)^(1/4)-1))</f>
        <v>1.96990921826561</v>
      </c>
      <c r="X5" s="14" t="n">
        <f aca="false">W5*(1+((1+p10)^(1/4)-1))</f>
        <v>1.90794952202032</v>
      </c>
      <c r="Y5" s="14" t="n">
        <f aca="false">X5*(1+((1+p10)^(1/4)-1))</f>
        <v>1.84793864855489</v>
      </c>
      <c r="Z5" s="14" t="n">
        <f aca="false">Y5*(1+((1+p10)^(1/4)-1))</f>
        <v>1.78981530140634</v>
      </c>
    </row>
    <row r="6" customFormat="false" ht="17.15" hidden="false" customHeight="false" outlineLevel="0" collapsed="false">
      <c r="A6" s="0" t="s">
        <v>496</v>
      </c>
      <c r="B6" s="5" t="s">
        <v>497</v>
      </c>
      <c r="C6" s="0" t="n">
        <v>1</v>
      </c>
      <c r="D6" s="13" t="n">
        <f aca="false">C6*(1+nq_1)</f>
        <v>1</v>
      </c>
      <c r="E6" s="13" t="n">
        <f aca="false">D6*(1+nq_2)</f>
        <v>1.05</v>
      </c>
      <c r="F6" s="13" t="n">
        <f aca="false">E6*(1+nq_3)</f>
        <v>1.365</v>
      </c>
      <c r="G6" s="13" t="n">
        <f aca="false">F6*(1+nq_4)</f>
        <v>2.559375</v>
      </c>
      <c r="H6" s="13" t="n">
        <f aca="false">G6*(1+nq_5)</f>
        <v>4.414921875</v>
      </c>
      <c r="I6" s="13" t="n">
        <f aca="false">H6*(1+nq_6)</f>
        <v>5.51865234375</v>
      </c>
      <c r="J6" s="13" t="n">
        <f aca="false">I6*(1+nq_7)</f>
        <v>5.96566318359375</v>
      </c>
      <c r="K6" s="13" t="n">
        <f aca="false">J6*(1+nqC_8)</f>
        <v>6.26394634277344</v>
      </c>
      <c r="L6" s="13" t="n">
        <f aca="false">K6*(1+nqC_9)</f>
        <v>6.38922526962891</v>
      </c>
      <c r="M6" s="13" t="n">
        <f aca="false">L6*(1+nqC_10)</f>
        <v>5.75030274266602</v>
      </c>
      <c r="N6" s="13" t="n">
        <f aca="false">M6*(1+nqC_11)</f>
        <v>4.60024219413281</v>
      </c>
      <c r="O6" s="13" t="n">
        <f aca="false">N6*(1+nqC_12)</f>
        <v>2.99015742618633</v>
      </c>
      <c r="P6" s="13" t="n">
        <f aca="false">O6*(1+nqC_13)</f>
        <v>1.94360232702111</v>
      </c>
      <c r="Q6" s="13" t="n">
        <f aca="false">P6*(1+nqC_14)</f>
        <v>1.45770174526584</v>
      </c>
      <c r="R6" s="13" t="n">
        <f aca="false">Q6*(1+nqC_15)</f>
        <v>1.16616139621267</v>
      </c>
      <c r="S6" s="13" t="n">
        <f aca="false">R6*(1+nqC_16)</f>
        <v>1.16616139621267</v>
      </c>
      <c r="T6" s="13" t="n">
        <f aca="false">S6*(1+nqC_17)</f>
        <v>1.2244694660233</v>
      </c>
      <c r="U6" s="13" t="n">
        <f aca="false">T6*(1+nqC_18)</f>
        <v>1.32242702330517</v>
      </c>
      <c r="V6" s="13" t="n">
        <f aca="false">U6*(1+nqC_19)</f>
        <v>1.45466972563568</v>
      </c>
      <c r="W6" s="14" t="n">
        <f aca="false">V6*(1+((1+p10)^(1/4)-1))</f>
        <v>1.4089158941891</v>
      </c>
      <c r="X6" s="14" t="n">
        <f aca="false">W6*(1+((1+p10)^(1/4)-1))</f>
        <v>1.36460116129193</v>
      </c>
      <c r="Y6" s="14" t="n">
        <f aca="false">X6*(1+((1+p10)^(1/4)-1))</f>
        <v>1.32168026287405</v>
      </c>
      <c r="Z6" s="14" t="n">
        <f aca="false">Y6*(1+((1+p10)^(1/4)-1))</f>
        <v>1.2801093585594</v>
      </c>
    </row>
    <row r="8" customFormat="false" ht="15" hidden="false" customHeight="false" outlineLevel="0" collapsed="false">
      <c r="A8" s="3" t="s">
        <v>498</v>
      </c>
    </row>
    <row r="9" customFormat="false" ht="15" hidden="false" customHeight="false" outlineLevel="0" collapsed="false">
      <c r="A9" s="6" t="s">
        <v>467</v>
      </c>
      <c r="B9" s="6" t="s">
        <v>434</v>
      </c>
      <c r="C9" s="9" t="s">
        <v>428</v>
      </c>
      <c r="D9" s="9" t="s">
        <v>429</v>
      </c>
      <c r="E9" s="9" t="s">
        <v>430</v>
      </c>
      <c r="F9" s="9" t="s">
        <v>431</v>
      </c>
      <c r="G9" s="9" t="s">
        <v>432</v>
      </c>
      <c r="H9" s="9" t="s">
        <v>433</v>
      </c>
      <c r="I9" s="9" t="s">
        <v>499</v>
      </c>
      <c r="J9" s="9" t="s">
        <v>500</v>
      </c>
      <c r="K9" s="9" t="s">
        <v>501</v>
      </c>
      <c r="L9" s="9" t="s">
        <v>502</v>
      </c>
      <c r="M9" s="9" t="s">
        <v>503</v>
      </c>
    </row>
    <row r="10" customFormat="false" ht="15" hidden="false" customHeight="false" outlineLevel="0" collapsed="false">
      <c r="A10" s="0" t="s">
        <v>492</v>
      </c>
      <c r="B10" s="5" t="s">
        <v>504</v>
      </c>
      <c r="C10" s="13" t="n">
        <f aca="false">AVERAGE(C4:F4)</f>
        <v>1.10375</v>
      </c>
      <c r="D10" s="13" t="n">
        <f aca="false">AVERAGE(G4:J4)</f>
        <v>4.61465310058594</v>
      </c>
      <c r="E10" s="13" t="n">
        <f aca="false">AVERAGE(K4:N4)</f>
        <v>5.88886272718396</v>
      </c>
      <c r="F10" s="13" t="n">
        <f aca="false">AVERAGE(O4:R4)</f>
        <v>4.78327554057597</v>
      </c>
      <c r="G10" s="13" t="n">
        <f aca="false">AVERAGE(S4:V4)</f>
        <v>4.09994526307938</v>
      </c>
      <c r="H10" s="13" t="n">
        <f aca="false">AVERAGE(W4:Z4)</f>
        <v>3.61628559856076</v>
      </c>
      <c r="I10" s="12" t="n">
        <f aca="false">D10/C10-1</f>
        <v>3.18088616134626</v>
      </c>
      <c r="J10" s="12" t="n">
        <f aca="false">E10/D10-1</f>
        <v>0.276122516432759</v>
      </c>
      <c r="K10" s="12" t="n">
        <f aca="false">F10/E10-1</f>
        <v>-0.187742054421547</v>
      </c>
      <c r="L10" s="12" t="n">
        <f aca="false">G10/F10-1</f>
        <v>-0.142858230035042</v>
      </c>
      <c r="M10" s="12" t="n">
        <f aca="false">H10/G10-1</f>
        <v>-0.11796734675315</v>
      </c>
    </row>
    <row r="11" customFormat="false" ht="15" hidden="false" customHeight="false" outlineLevel="0" collapsed="false">
      <c r="A11" s="0" t="s">
        <v>494</v>
      </c>
      <c r="B11" s="5" t="s">
        <v>504</v>
      </c>
      <c r="C11" s="13" t="n">
        <f aca="false">AVERAGE(C5:F5)</f>
        <v>1.10375</v>
      </c>
      <c r="D11" s="13" t="n">
        <f aca="false">AVERAGE(G5:J5)</f>
        <v>4.61465310058594</v>
      </c>
      <c r="E11" s="13" t="n">
        <f aca="false">AVERAGE(K5:N5)</f>
        <v>5.75092913730029</v>
      </c>
      <c r="F11" s="13" t="n">
        <f aca="false">AVERAGE(O5:R5)</f>
        <v>2.32657248968267</v>
      </c>
      <c r="G11" s="13" t="n">
        <f aca="false">AVERAGE(S5:V5)</f>
        <v>1.93787171389007</v>
      </c>
      <c r="H11" s="13" t="n">
        <f aca="false">AVERAGE(W5:Z5)</f>
        <v>1.87890317256179</v>
      </c>
      <c r="I11" s="12" t="n">
        <f aca="false">D11/C11-1</f>
        <v>3.18088616134626</v>
      </c>
      <c r="J11" s="12" t="n">
        <f aca="false">E11/D11-1</f>
        <v>0.24623216782429</v>
      </c>
      <c r="K11" s="12" t="n">
        <f aca="false">F11/E11-1</f>
        <v>-0.5954440692735</v>
      </c>
      <c r="L11" s="12" t="n">
        <f aca="false">G11/F11-1</f>
        <v>-0.167070133217993</v>
      </c>
      <c r="M11" s="12" t="n">
        <f aca="false">H11/G11-1</f>
        <v>-0.0304295381916196</v>
      </c>
    </row>
    <row r="12" customFormat="false" ht="15" hidden="false" customHeight="false" outlineLevel="0" collapsed="false">
      <c r="A12" s="0" t="s">
        <v>496</v>
      </c>
      <c r="B12" s="5" t="s">
        <v>504</v>
      </c>
      <c r="C12" s="13" t="n">
        <f aca="false">AVERAGE(C6:F6)</f>
        <v>1.10375</v>
      </c>
      <c r="D12" s="13" t="n">
        <f aca="false">AVERAGE(G6:J6)</f>
        <v>4.61465310058594</v>
      </c>
      <c r="E12" s="13" t="n">
        <f aca="false">AVERAGE(K6:N6)</f>
        <v>5.75092913730029</v>
      </c>
      <c r="F12" s="13" t="n">
        <f aca="false">AVERAGE(O6:R6)</f>
        <v>1.88940572367149</v>
      </c>
      <c r="G12" s="13" t="n">
        <f aca="false">AVERAGE(S6:V6)</f>
        <v>1.29193190279421</v>
      </c>
      <c r="H12" s="13" t="n">
        <f aca="false">AVERAGE(W6:Z6)</f>
        <v>1.34382666922862</v>
      </c>
      <c r="I12" s="12" t="n">
        <f aca="false">D12/C12-1</f>
        <v>3.18088616134626</v>
      </c>
      <c r="J12" s="12" t="n">
        <f aca="false">E12/D12-1</f>
        <v>0.24623216782429</v>
      </c>
      <c r="K12" s="12" t="n">
        <f aca="false">F12/E12-1</f>
        <v>-0.671460788585121</v>
      </c>
      <c r="L12" s="12" t="n">
        <f aca="false">G12/F12-1</f>
        <v>-0.316223145400593</v>
      </c>
      <c r="M12" s="12" t="n">
        <f aca="false">H12/G12-1</f>
        <v>0.0401683450359691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26" min="3" style="0" width="9"/>
    <col collapsed="false" customWidth="true" hidden="false" outlineLevel="0" max="28" min="28" style="0" width="70"/>
  </cols>
  <sheetData>
    <row r="1" customFormat="false" ht="17.15" hidden="false" customHeight="false" outlineLevel="0" collapsed="false">
      <c r="A1" s="0" t="s">
        <v>505</v>
      </c>
    </row>
    <row r="2" customFormat="false" ht="17.15" hidden="false" customHeight="false" outlineLevel="0" collapsed="false">
      <c r="A2" s="5" t="s">
        <v>506</v>
      </c>
    </row>
    <row r="4" customFormat="false" ht="17.15" hidden="false" customHeight="false" outlineLevel="0" collapsed="false">
      <c r="A4" s="3" t="s">
        <v>507</v>
      </c>
    </row>
    <row r="5" customFormat="false" ht="17.15" hidden="false" customHeight="false" outlineLevel="0" collapsed="false">
      <c r="A5" s="9" t="s">
        <v>508</v>
      </c>
      <c r="B5" s="6" t="s">
        <v>15</v>
      </c>
      <c r="C5" s="9" t="s">
        <v>427</v>
      </c>
      <c r="D5" s="9" t="s">
        <v>428</v>
      </c>
      <c r="E5" s="9" t="s">
        <v>429</v>
      </c>
      <c r="F5" s="9" t="s">
        <v>430</v>
      </c>
      <c r="G5" s="9" t="s">
        <v>431</v>
      </c>
      <c r="H5" s="9" t="s">
        <v>432</v>
      </c>
      <c r="I5" s="9" t="s">
        <v>433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6" t="s">
        <v>434</v>
      </c>
    </row>
    <row r="6" customFormat="false" ht="17.15" hidden="false" customHeight="false" outlineLevel="0" collapsed="false">
      <c r="A6" s="5" t="s">
        <v>509</v>
      </c>
      <c r="B6" s="5" t="s">
        <v>168</v>
      </c>
      <c r="E6" s="10" t="n">
        <f aca="false">(u_26)*1</f>
        <v>15.2</v>
      </c>
      <c r="F6" s="10" t="n">
        <f aca="false">(u_27)*1</f>
        <v>23.7</v>
      </c>
      <c r="G6" s="10" t="n">
        <f aca="false">(u_28)*um28_A</f>
        <v>26.5</v>
      </c>
      <c r="H6" s="10" t="n">
        <f aca="false">(u_28*(1+g_u29))*um29_A</f>
        <v>30.15</v>
      </c>
      <c r="I6" s="10" t="n">
        <f aca="false">(u_28*(1+g_u29)*(1+g_u30))*um29_A</f>
        <v>31.6575</v>
      </c>
      <c r="AB6" s="8" t="s">
        <v>510</v>
      </c>
    </row>
    <row r="7" customFormat="false" ht="17.15" hidden="false" customHeight="false" outlineLevel="0" collapsed="false">
      <c r="A7" s="5" t="s">
        <v>511</v>
      </c>
      <c r="B7" s="0" t="s">
        <v>512</v>
      </c>
      <c r="E7" s="18" t="n">
        <f aca="false">tb_26</f>
        <v>30</v>
      </c>
      <c r="F7" s="18" t="n">
        <f aca="false">tb_27</f>
        <v>34</v>
      </c>
      <c r="G7" s="18" t="n">
        <f aca="false">tb_28</f>
        <v>40</v>
      </c>
      <c r="H7" s="18" t="n">
        <f aca="false">tb_29</f>
        <v>46</v>
      </c>
      <c r="I7" s="18" t="n">
        <f aca="false">tb_30</f>
        <v>52</v>
      </c>
    </row>
    <row r="8" customFormat="false" ht="17.15" hidden="false" customHeight="false" outlineLevel="0" collapsed="false">
      <c r="A8" s="5" t="s">
        <v>513</v>
      </c>
      <c r="B8" s="0" t="s">
        <v>222</v>
      </c>
      <c r="D8" s="10" t="n">
        <f aca="false">bits25*sh_essd25*ai25</f>
        <v>165</v>
      </c>
      <c r="E8" s="10" t="n">
        <f aca="false">E6*E7</f>
        <v>456</v>
      </c>
      <c r="F8" s="10" t="n">
        <f aca="false">F6*F7</f>
        <v>805.8</v>
      </c>
      <c r="G8" s="10" t="n">
        <f aca="false">G6*G7</f>
        <v>1060</v>
      </c>
      <c r="H8" s="10" t="n">
        <f aca="false">H6*H7</f>
        <v>1386.9</v>
      </c>
      <c r="I8" s="10" t="n">
        <f aca="false">I6*I7</f>
        <v>1646.19</v>
      </c>
      <c r="AB8" s="5" t="s">
        <v>514</v>
      </c>
    </row>
    <row r="9" customFormat="false" ht="17.15" hidden="false" customHeight="false" outlineLevel="0" collapsed="false">
      <c r="A9" s="5" t="s">
        <v>515</v>
      </c>
      <c r="B9" s="0" t="s">
        <v>222</v>
      </c>
      <c r="D9" s="10" t="n">
        <f aca="false">bits25*sh_essd25*(1-ai25)</f>
        <v>135</v>
      </c>
      <c r="E9" s="10" t="n">
        <f aca="false">D9*(1+g_nai)</f>
        <v>148.5</v>
      </c>
      <c r="F9" s="10" t="n">
        <f aca="false">E9*(1+g_nai)</f>
        <v>163.35</v>
      </c>
      <c r="G9" s="10" t="n">
        <f aca="false">F9*(1+g_nai)</f>
        <v>179.685</v>
      </c>
      <c r="H9" s="10" t="n">
        <f aca="false">G9*(1+g_nai)</f>
        <v>197.6535</v>
      </c>
      <c r="I9" s="10" t="n">
        <f aca="false">H9*(1+g_nai)</f>
        <v>217.41885</v>
      </c>
    </row>
    <row r="10" customFormat="false" ht="15" hidden="false" customHeight="false" outlineLevel="0" collapsed="false">
      <c r="A10" s="5" t="s">
        <v>516</v>
      </c>
      <c r="B10" s="0" t="s">
        <v>222</v>
      </c>
      <c r="D10" s="10" t="n">
        <f aca="false">bits25*sh_mob25</f>
        <v>320</v>
      </c>
      <c r="E10" s="10" t="n">
        <f aca="false">D10*(1+g_mob_26)</f>
        <v>304</v>
      </c>
      <c r="F10" s="10" t="n">
        <f aca="false">E10*(1+g_mob_27)</f>
        <v>313.12</v>
      </c>
      <c r="G10" s="10" t="n">
        <f aca="false">F10*(1+g_mob_28)</f>
        <v>338.1696</v>
      </c>
      <c r="H10" s="10" t="n">
        <f aca="false">G10*(1+g_mob_28)</f>
        <v>365.223168</v>
      </c>
      <c r="I10" s="10" t="n">
        <f aca="false">H10*(1+g_mob_28)</f>
        <v>394.44102144</v>
      </c>
    </row>
    <row r="11" customFormat="false" ht="17.15" hidden="false" customHeight="false" outlineLevel="0" collapsed="false">
      <c r="A11" s="5" t="s">
        <v>517</v>
      </c>
      <c r="B11" s="0" t="s">
        <v>222</v>
      </c>
      <c r="D11" s="10" t="n">
        <f aca="false">bits25*sh_pc25</f>
        <v>230</v>
      </c>
      <c r="E11" s="10" t="n">
        <f aca="false">D11*(1+g_pc_26)</f>
        <v>218.5</v>
      </c>
      <c r="F11" s="10" t="n">
        <f aca="false">E11*(1+g_pc_27)</f>
        <v>218.5</v>
      </c>
      <c r="G11" s="10" t="n">
        <f aca="false">F11*(1+g_pc_28)</f>
        <v>231.61</v>
      </c>
      <c r="H11" s="10" t="n">
        <f aca="false">G11*(1+g_pc_28)</f>
        <v>245.5066</v>
      </c>
      <c r="I11" s="10" t="n">
        <f aca="false">H11*(1+g_pc_28)</f>
        <v>260.236996</v>
      </c>
    </row>
    <row r="12" customFormat="false" ht="15" hidden="false" customHeight="false" outlineLevel="0" collapsed="false">
      <c r="A12" s="5" t="s">
        <v>518</v>
      </c>
      <c r="B12" s="0" t="s">
        <v>222</v>
      </c>
      <c r="D12" s="10" t="n">
        <f aca="false">bits25*(1-sh_essd25-sh_mob25-sh_pc25)</f>
        <v>150</v>
      </c>
      <c r="E12" s="10" t="n">
        <f aca="false">D12*(1+g_con_26)</f>
        <v>135</v>
      </c>
      <c r="F12" s="10" t="n">
        <f aca="false">E12*(1+g_con_27)</f>
        <v>135</v>
      </c>
      <c r="G12" s="10" t="n">
        <f aca="false">F12*(1+g_con_28)</f>
        <v>141.75</v>
      </c>
      <c r="H12" s="10" t="n">
        <f aca="false">G12*(1+g_con_28)</f>
        <v>148.8375</v>
      </c>
      <c r="I12" s="10" t="n">
        <f aca="false">H12*(1+g_con_28)</f>
        <v>156.279375</v>
      </c>
    </row>
    <row r="13" customFormat="false" ht="15" hidden="false" customHeight="false" outlineLevel="0" collapsed="false">
      <c r="A13" s="5" t="s">
        <v>442</v>
      </c>
      <c r="B13" s="0" t="s">
        <v>222</v>
      </c>
      <c r="D13" s="10" t="n">
        <f aca="false">SUM(D8:D12)</f>
        <v>1000</v>
      </c>
      <c r="E13" s="10" t="n">
        <f aca="false">SUM(E8:E12)</f>
        <v>1262</v>
      </c>
      <c r="F13" s="10" t="n">
        <f aca="false">SUM(F8:F12)</f>
        <v>1635.77</v>
      </c>
      <c r="G13" s="10" t="n">
        <f aca="false">SUM(G8:G12)</f>
        <v>1951.2146</v>
      </c>
      <c r="H13" s="10" t="n">
        <f aca="false">SUM(H8:H12)</f>
        <v>2344.120768</v>
      </c>
      <c r="I13" s="10" t="n">
        <f aca="false">SUM(I8:I12)</f>
        <v>2674.56624244</v>
      </c>
    </row>
    <row r="14" customFormat="false" ht="17.15" hidden="false" customHeight="false" outlineLevel="0" collapsed="false">
      <c r="A14" s="5" t="s">
        <v>519</v>
      </c>
      <c r="B14" s="0" t="s">
        <v>25</v>
      </c>
      <c r="D14" s="12" t="n">
        <f aca="false">(D8+D9)/D13</f>
        <v>0.3</v>
      </c>
      <c r="E14" s="12" t="n">
        <f aca="false">(E8+E9)/E13</f>
        <v>0.479001584786054</v>
      </c>
      <c r="F14" s="12" t="n">
        <f aca="false">(F8+F9)/F13</f>
        <v>0.592473269469424</v>
      </c>
      <c r="G14" s="12" t="n">
        <f aca="false">(G8+G9)/G13</f>
        <v>0.635340161968858</v>
      </c>
      <c r="H14" s="12" t="n">
        <f aca="false">(H8+H9)/H13</f>
        <v>0.675969225490007</v>
      </c>
      <c r="I14" s="12" t="n">
        <f aca="false">(I8+I9)/I13</f>
        <v>0.696789191618539</v>
      </c>
    </row>
    <row r="15" customFormat="false" ht="17.15" hidden="false" customHeight="false" outlineLevel="0" collapsed="false">
      <c r="A15" s="5" t="s">
        <v>520</v>
      </c>
      <c r="B15" s="0" t="s">
        <v>222</v>
      </c>
      <c r="D15" s="10" t="n">
        <f aca="false">bits25</f>
        <v>1000</v>
      </c>
      <c r="E15" s="10" t="n">
        <f aca="false">D15*(1+gs_26)</f>
        <v>1210</v>
      </c>
      <c r="F15" s="10" t="n">
        <f aca="false">E15*(1+gs_27)</f>
        <v>1512.5</v>
      </c>
      <c r="G15" s="10" t="n">
        <f aca="false">F15*(1+gs_28)</f>
        <v>1890.625</v>
      </c>
      <c r="H15" s="10" t="n">
        <f aca="false">G15*(1+gs_29)</f>
        <v>2306.5625</v>
      </c>
      <c r="I15" s="10" t="n">
        <f aca="false">H15*(1+gs_30)</f>
        <v>2767.875</v>
      </c>
      <c r="AB15" s="8" t="s">
        <v>521</v>
      </c>
    </row>
    <row r="16" customFormat="false" ht="17.15" hidden="false" customHeight="false" outlineLevel="0" collapsed="false">
      <c r="A16" s="5" t="s">
        <v>522</v>
      </c>
      <c r="B16" s="0" t="s">
        <v>25</v>
      </c>
      <c r="E16" s="12" t="n">
        <f aca="false">E13/E15-1</f>
        <v>0.0429752066115703</v>
      </c>
      <c r="F16" s="12" t="n">
        <f aca="false">F13/F15-1</f>
        <v>0.0815008264462809</v>
      </c>
      <c r="G16" s="12" t="n">
        <f aca="false">G13/G15-1</f>
        <v>0.0320473917355373</v>
      </c>
      <c r="H16" s="12" t="n">
        <f aca="false">H13/H15-1</f>
        <v>0.0162832214605071</v>
      </c>
      <c r="I16" s="12" t="n">
        <f aca="false">I13/I15-1</f>
        <v>-0.0337113336259763</v>
      </c>
    </row>
    <row r="17" customFormat="false" ht="17.15" hidden="false" customHeight="false" outlineLevel="0" collapsed="false">
      <c r="A17" s="5" t="s">
        <v>523</v>
      </c>
      <c r="B17" s="0" t="s">
        <v>222</v>
      </c>
      <c r="C17" s="10" t="n">
        <f aca="false">bits25/(1+g25)</f>
        <v>892.857142857143</v>
      </c>
      <c r="D17" s="10" t="n">
        <f aca="false">bits25</f>
        <v>1000</v>
      </c>
      <c r="E17" s="10" t="n">
        <f aca="false">MIN(E13,E15)</f>
        <v>1210</v>
      </c>
      <c r="F17" s="10" t="n">
        <f aca="false">MIN(F13,F15)</f>
        <v>1512.5</v>
      </c>
      <c r="G17" s="10" t="n">
        <f aca="false">MIN(G13,G15)</f>
        <v>1890.625</v>
      </c>
      <c r="H17" s="10" t="n">
        <f aca="false">MIN(H13,H15)</f>
        <v>2306.5625</v>
      </c>
      <c r="I17" s="10" t="n">
        <f aca="false">MIN(I13,I15)</f>
        <v>2674.56624244</v>
      </c>
    </row>
    <row r="18" customFormat="false" ht="15" hidden="false" customHeight="false" outlineLevel="0" collapsed="false">
      <c r="A18" s="5" t="s">
        <v>447</v>
      </c>
      <c r="B18" s="0" t="s">
        <v>25</v>
      </c>
      <c r="D18" s="12" t="n">
        <f aca="false">D17/C17-1</f>
        <v>0.12</v>
      </c>
      <c r="E18" s="12" t="n">
        <f aca="false">E17/D17-1</f>
        <v>0.21</v>
      </c>
      <c r="F18" s="12" t="n">
        <f aca="false">F17/E17-1</f>
        <v>0.25</v>
      </c>
      <c r="G18" s="12" t="n">
        <f aca="false">G17/F17-1</f>
        <v>0.25</v>
      </c>
      <c r="H18" s="12" t="n">
        <f aca="false">H17/G17-1</f>
        <v>0.22</v>
      </c>
      <c r="I18" s="12" t="n">
        <f aca="false">I17/H17-1</f>
        <v>0.159546399648828</v>
      </c>
    </row>
    <row r="19" customFormat="false" ht="17.15" hidden="false" customHeight="false" outlineLevel="0" collapsed="false">
      <c r="A19" s="0" t="s">
        <v>524</v>
      </c>
      <c r="B19" s="0" t="s">
        <v>285</v>
      </c>
      <c r="C19" s="10" t="n">
        <f aca="false">rev24</f>
        <v>67.4</v>
      </c>
      <c r="D19" s="10" t="n">
        <f aca="false">SUM(C33:F33)</f>
        <v>71.1035923582252</v>
      </c>
      <c r="E19" s="10" t="n">
        <f aca="false">SUM(G33:J33)</f>
        <v>342.820749524408</v>
      </c>
      <c r="F19" s="10" t="n">
        <f aca="false">SUM(K33:N33)</f>
        <v>536.734678363014</v>
      </c>
      <c r="G19" s="10" t="n">
        <f aca="false">SUM(O33:R33)</f>
        <v>544.610149409284</v>
      </c>
      <c r="H19" s="10" t="n">
        <f aca="false">SUM(S33:V33)</f>
        <v>570.465276442823</v>
      </c>
      <c r="I19" s="10" t="n">
        <f aca="false">SUM(W33:Z33)</f>
        <v>583.689433024656</v>
      </c>
      <c r="AB19" s="8" t="s">
        <v>525</v>
      </c>
    </row>
    <row r="20" customFormat="false" ht="15" hidden="false" customHeight="false" outlineLevel="0" collapsed="false">
      <c r="A20" s="5" t="s">
        <v>453</v>
      </c>
      <c r="B20" s="0" t="s">
        <v>25</v>
      </c>
      <c r="D20" s="12" t="n">
        <f aca="false">D19/C19-1</f>
        <v>0.0549494415166936</v>
      </c>
      <c r="E20" s="12" t="n">
        <f aca="false">E19/D19-1</f>
        <v>3.82142657149095</v>
      </c>
      <c r="F20" s="12" t="n">
        <f aca="false">F19/E19-1</f>
        <v>0.565642333807452</v>
      </c>
      <c r="G20" s="12" t="n">
        <f aca="false">G19/F19-1</f>
        <v>0.0146729312707903</v>
      </c>
      <c r="H20" s="12" t="n">
        <f aca="false">H19/G19-1</f>
        <v>0.0474745596672834</v>
      </c>
      <c r="I20" s="12" t="n">
        <f aca="false">I19/H19-1</f>
        <v>0.0231813523590643</v>
      </c>
    </row>
    <row r="21" customFormat="false" ht="17.15" hidden="false" customHeight="false" outlineLevel="0" collapsed="false">
      <c r="A21" s="5" t="s">
        <v>526</v>
      </c>
      <c r="B21" s="0" t="s">
        <v>449</v>
      </c>
      <c r="C21" s="13" t="n">
        <f aca="false">C19/C17</f>
        <v>0.075488</v>
      </c>
      <c r="D21" s="13" t="n">
        <f aca="false">D19/D17</f>
        <v>0.0711035923582252</v>
      </c>
      <c r="E21" s="13" t="n">
        <f aca="false">E19/E17</f>
        <v>0.283322933491246</v>
      </c>
      <c r="F21" s="13" t="n">
        <f aca="false">F19/F17</f>
        <v>0.354865903049927</v>
      </c>
      <c r="G21" s="13" t="n">
        <f aca="false">G19/G17</f>
        <v>0.28805826084458</v>
      </c>
      <c r="H21" s="13" t="n">
        <f aca="false">H19/H17</f>
        <v>0.247322704866148</v>
      </c>
      <c r="I21" s="13" t="n">
        <f aca="false">I19/I17</f>
        <v>0.218237044857097</v>
      </c>
    </row>
    <row r="22" customFormat="false" ht="17.15" hidden="false" customHeight="false" outlineLevel="0" collapsed="false">
      <c r="A22" s="5" t="s">
        <v>450</v>
      </c>
      <c r="B22" s="0" t="s">
        <v>25</v>
      </c>
      <c r="D22" s="12" t="n">
        <f aca="false">D21/C21-1</f>
        <v>-0.0580808557886665</v>
      </c>
      <c r="E22" s="12" t="n">
        <f aca="false">E21/D21-1</f>
        <v>2.98465005908343</v>
      </c>
      <c r="F22" s="12" t="n">
        <f aca="false">F21/E21-1</f>
        <v>0.252513867045961</v>
      </c>
      <c r="G22" s="12" t="n">
        <f aca="false">G21/F21-1</f>
        <v>-0.188261654983368</v>
      </c>
      <c r="H22" s="12" t="n">
        <f aca="false">H21/G21-1</f>
        <v>-0.141414295354686</v>
      </c>
      <c r="I22" s="12" t="n">
        <f aca="false">I21/H21-1</f>
        <v>-0.117602061746785</v>
      </c>
      <c r="AB22" s="8" t="s">
        <v>527</v>
      </c>
    </row>
    <row r="23" customFormat="false" ht="15" hidden="false" customHeight="false" outlineLevel="0" collapsed="false">
      <c r="A23" s="5" t="s">
        <v>528</v>
      </c>
      <c r="B23" s="0" t="s">
        <v>25</v>
      </c>
      <c r="D23" s="12" t="n">
        <f aca="false">SUM(C40:F40)/D19</f>
        <v>0.309407714439551</v>
      </c>
      <c r="E23" s="12" t="n">
        <f aca="false">SUM(G40:J40)/E19</f>
        <v>0.298146371102126</v>
      </c>
      <c r="F23" s="12" t="n">
        <f aca="false">SUM(K40:N40)/F19</f>
        <v>0.293146371102126</v>
      </c>
      <c r="G23" s="12" t="n">
        <f aca="false">SUM(O40:R40)/G19</f>
        <v>0.288146371102126</v>
      </c>
      <c r="H23" s="12" t="n">
        <f aca="false">SUM(S40:V40)/H19</f>
        <v>0.283146371102126</v>
      </c>
      <c r="I23" s="12" t="n">
        <f aca="false">SUM(W40:Z40)/I19</f>
        <v>0.278146371102126</v>
      </c>
    </row>
    <row r="24" customFormat="false" ht="17.15" hidden="false" customHeight="false" outlineLevel="0" collapsed="false">
      <c r="A24" s="5" t="s">
        <v>529</v>
      </c>
      <c r="B24" s="0" t="s">
        <v>25</v>
      </c>
      <c r="D24" s="12" t="n">
        <f aca="false">SUM(C41:F41)/D19</f>
        <v>0.200693094775109</v>
      </c>
      <c r="E24" s="12" t="n">
        <f aca="false">SUM(G41:J41)/E19</f>
        <v>0.177730130982399</v>
      </c>
      <c r="F24" s="12" t="n">
        <f aca="false">SUM(K41:N41)/F19</f>
        <v>0.177730130982399</v>
      </c>
      <c r="G24" s="12" t="n">
        <f aca="false">SUM(O41:R41)/G19</f>
        <v>0.177730130982399</v>
      </c>
      <c r="H24" s="12" t="n">
        <f aca="false">SUM(S41:V41)/H19</f>
        <v>0.177730130982399</v>
      </c>
      <c r="I24" s="12" t="n">
        <f aca="false">SUM(W41:Z41)/I19</f>
        <v>0.177730130982399</v>
      </c>
    </row>
    <row r="25" customFormat="false" ht="15" hidden="false" customHeight="false" outlineLevel="0" collapsed="false">
      <c r="A25" s="5" t="s">
        <v>530</v>
      </c>
      <c r="B25" s="0" t="s">
        <v>25</v>
      </c>
      <c r="D25" s="12" t="n">
        <f aca="false">SUM(C42:F42)/D19</f>
        <v>0.134732995651405</v>
      </c>
      <c r="E25" s="12" t="n">
        <f aca="false">SUM(G42:J42)/E19</f>
        <v>0.14511909777462</v>
      </c>
      <c r="F25" s="12" t="n">
        <f aca="false">SUM(K42:N42)/F19</f>
        <v>0.14711909777462</v>
      </c>
      <c r="G25" s="12" t="n">
        <f aca="false">SUM(O42:R42)/G19</f>
        <v>0.14911909777462</v>
      </c>
      <c r="H25" s="12" t="n">
        <f aca="false">SUM(S42:V42)/H19</f>
        <v>0.15111909777462</v>
      </c>
      <c r="I25" s="12" t="n">
        <f aca="false">SUM(W42:Z42)/I19</f>
        <v>0.15311909777462</v>
      </c>
    </row>
    <row r="26" customFormat="false" ht="17.15" hidden="false" customHeight="false" outlineLevel="0" collapsed="false">
      <c r="A26" s="5" t="s">
        <v>531</v>
      </c>
      <c r="B26" s="0" t="s">
        <v>25</v>
      </c>
      <c r="D26" s="12" t="n">
        <f aca="false">SUM(C43:F43)/D19</f>
        <v>0.143593307473992</v>
      </c>
      <c r="E26" s="12" t="n">
        <f aca="false">SUM(G43:J43)/E19</f>
        <v>0.139533216003349</v>
      </c>
      <c r="F26" s="12" t="n">
        <f aca="false">SUM(K43:N43)/F19</f>
        <v>0.138512987387224</v>
      </c>
      <c r="G26" s="12" t="n">
        <f aca="false">SUM(O43:R43)/G19</f>
        <v>0.138512987387224</v>
      </c>
      <c r="H26" s="12" t="n">
        <f aca="false">SUM(S43:V43)/H19</f>
        <v>0.138512987387224</v>
      </c>
      <c r="I26" s="12" t="n">
        <f aca="false">SUM(W43:Z43)/I19</f>
        <v>0.138512987387224</v>
      </c>
    </row>
    <row r="27" customFormat="false" ht="17.15" hidden="false" customHeight="false" outlineLevel="0" collapsed="false">
      <c r="A27" s="5" t="s">
        <v>532</v>
      </c>
      <c r="B27" s="0" t="s">
        <v>25</v>
      </c>
      <c r="D27" s="12" t="n">
        <f aca="false">SUM(C44:F44)/D19</f>
        <v>0.125591404088418</v>
      </c>
      <c r="E27" s="12" t="n">
        <f aca="false">SUM(G44:J44)/E19</f>
        <v>0.112062540342342</v>
      </c>
      <c r="F27" s="12" t="n">
        <f aca="false">SUM(K44:N44)/F19</f>
        <v>0.106513670372059</v>
      </c>
      <c r="G27" s="12" t="n">
        <f aca="false">SUM(O44:R44)/G19</f>
        <v>0.106513670372059</v>
      </c>
      <c r="H27" s="12" t="n">
        <f aca="false">SUM(S44:V44)/H19</f>
        <v>0.106513670372059</v>
      </c>
      <c r="I27" s="12" t="n">
        <f aca="false">SUM(W44:Z44)/I19</f>
        <v>0.106513670372059</v>
      </c>
    </row>
    <row r="28" customFormat="false" ht="15" hidden="false" customHeight="false" outlineLevel="0" collapsed="false">
      <c r="A28" s="5" t="s">
        <v>533</v>
      </c>
      <c r="B28" s="0" t="s">
        <v>25</v>
      </c>
      <c r="D28" s="12" t="n">
        <f aca="false">SUM(C45:F45)/D19</f>
        <v>0.0859814835715252</v>
      </c>
      <c r="E28" s="12" t="n">
        <f aca="false">SUM(G45:J45)/E19</f>
        <v>0.127408643795164</v>
      </c>
      <c r="F28" s="12" t="n">
        <f aca="false">SUM(K45:N45)/F19</f>
        <v>0.136977742381572</v>
      </c>
      <c r="G28" s="12" t="n">
        <f aca="false">SUM(O45:R45)/G19</f>
        <v>0.139977742381572</v>
      </c>
      <c r="H28" s="12" t="n">
        <f aca="false">SUM(S45:V45)/H19</f>
        <v>0.142977742381572</v>
      </c>
      <c r="I28" s="12" t="n">
        <f aca="false">SUM(W45:Z45)/I19</f>
        <v>0.145977742381572</v>
      </c>
    </row>
    <row r="30" customFormat="false" ht="17.15" hidden="false" customHeight="false" outlineLevel="0" collapsed="false">
      <c r="A30" s="9" t="s">
        <v>534</v>
      </c>
      <c r="B30" s="6" t="s">
        <v>15</v>
      </c>
      <c r="C30" s="9" t="s">
        <v>468</v>
      </c>
      <c r="D30" s="9" t="s">
        <v>469</v>
      </c>
      <c r="E30" s="9" t="s">
        <v>470</v>
      </c>
      <c r="F30" s="9" t="s">
        <v>471</v>
      </c>
      <c r="G30" s="9" t="s">
        <v>472</v>
      </c>
      <c r="H30" s="9" t="s">
        <v>473</v>
      </c>
      <c r="I30" s="9" t="s">
        <v>474</v>
      </c>
      <c r="J30" s="9" t="s">
        <v>475</v>
      </c>
      <c r="K30" s="9" t="s">
        <v>476</v>
      </c>
      <c r="L30" s="9" t="s">
        <v>477</v>
      </c>
      <c r="M30" s="9" t="s">
        <v>478</v>
      </c>
      <c r="N30" s="9" t="s">
        <v>479</v>
      </c>
      <c r="O30" s="9" t="s">
        <v>480</v>
      </c>
      <c r="P30" s="9" t="s">
        <v>481</v>
      </c>
      <c r="Q30" s="9" t="s">
        <v>482</v>
      </c>
      <c r="R30" s="9" t="s">
        <v>483</v>
      </c>
      <c r="S30" s="9" t="s">
        <v>484</v>
      </c>
      <c r="T30" s="9" t="s">
        <v>485</v>
      </c>
      <c r="U30" s="9" t="s">
        <v>486</v>
      </c>
      <c r="V30" s="9" t="s">
        <v>487</v>
      </c>
      <c r="W30" s="9" t="s">
        <v>488</v>
      </c>
      <c r="X30" s="9" t="s">
        <v>489</v>
      </c>
      <c r="Y30" s="9" t="s">
        <v>490</v>
      </c>
      <c r="Z30" s="9" t="s">
        <v>491</v>
      </c>
      <c r="AA30" s="9"/>
      <c r="AB30" s="6" t="s">
        <v>434</v>
      </c>
    </row>
    <row r="31" customFormat="false" ht="17.15" hidden="false" customHeight="false" outlineLevel="0" collapsed="false">
      <c r="A31" s="5" t="s">
        <v>535</v>
      </c>
      <c r="B31" s="0" t="s">
        <v>536</v>
      </c>
      <c r="C31" s="13" t="n">
        <f aca="false">Path!C4</f>
        <v>1</v>
      </c>
      <c r="D31" s="13" t="n">
        <f aca="false">Path!D4</f>
        <v>1</v>
      </c>
      <c r="E31" s="13" t="n">
        <f aca="false">Path!E4</f>
        <v>1.05</v>
      </c>
      <c r="F31" s="13" t="n">
        <f aca="false">Path!F4</f>
        <v>1.365</v>
      </c>
      <c r="G31" s="13" t="n">
        <f aca="false">Path!G4</f>
        <v>2.559375</v>
      </c>
      <c r="H31" s="13" t="n">
        <f aca="false">Path!H4</f>
        <v>4.414921875</v>
      </c>
      <c r="I31" s="13" t="n">
        <f aca="false">Path!I4</f>
        <v>5.51865234375</v>
      </c>
      <c r="J31" s="13" t="n">
        <f aca="false">Path!J4</f>
        <v>5.96566318359375</v>
      </c>
      <c r="K31" s="13" t="n">
        <f aca="false">Path!K4*1</f>
        <v>6.14463307910156</v>
      </c>
      <c r="L31" s="13" t="n">
        <f aca="false">Path!L4*1</f>
        <v>6.14463307910156</v>
      </c>
      <c r="M31" s="13" t="n">
        <f aca="false">Path!M4*1</f>
        <v>5.83740142514648</v>
      </c>
      <c r="N31" s="13" t="n">
        <f aca="false">Path!N4*1</f>
        <v>5.42878332538623</v>
      </c>
      <c r="O31" s="13" t="n">
        <f aca="false">Path!O4*1</f>
        <v>5.15734415911692</v>
      </c>
      <c r="P31" s="13" t="n">
        <f aca="false">Path!P4*1</f>
        <v>4.89947695116107</v>
      </c>
      <c r="Q31" s="13" t="n">
        <f aca="false">Path!Q4*1</f>
        <v>4.65450310360302</v>
      </c>
      <c r="R31" s="13" t="n">
        <f aca="false">Path!R4*1</f>
        <v>4.42177794842287</v>
      </c>
      <c r="S31" s="13" t="n">
        <f aca="false">Path!S4*1</f>
        <v>4.28912460997018</v>
      </c>
      <c r="T31" s="13" t="n">
        <f aca="false">Path!T4*1</f>
        <v>4.16045087167108</v>
      </c>
      <c r="U31" s="13" t="n">
        <f aca="false">Path!U4*1</f>
        <v>4.03563734552094</v>
      </c>
      <c r="V31" s="13" t="n">
        <f aca="false">Path!V4*1</f>
        <v>3.91456822515532</v>
      </c>
      <c r="W31" s="14" t="n">
        <f aca="false">Path!V4*(1+p10)^(1/4)*1</f>
        <v>3.79144302937821</v>
      </c>
      <c r="X31" s="14" t="n">
        <f aca="false">Path!V4*(1+p10)^(2/4)*1</f>
        <v>3.6721904992345</v>
      </c>
      <c r="Y31" s="14" t="n">
        <f aca="false">Path!V4*(1+p10)^(3/4)*1</f>
        <v>3.55668882749365</v>
      </c>
      <c r="Z31" s="14" t="n">
        <f aca="false">Path!V4*(1+p10)^(4/4)*1</f>
        <v>3.44482003813668</v>
      </c>
      <c r="AB31" s="8" t="s">
        <v>537</v>
      </c>
    </row>
    <row r="32" customFormat="false" ht="17.15" hidden="false" customHeight="false" outlineLevel="0" collapsed="false">
      <c r="A32" s="5" t="s">
        <v>538</v>
      </c>
      <c r="B32" s="0" t="s">
        <v>222</v>
      </c>
      <c r="C32" s="10" t="n">
        <f aca="false">D17/4*(D17/C17)^((1-2.5)/4)/(((D17/C17)^(-0.375)+(D17/C17)^(-0.125)+(D17/C17)^(0.125)+(D17/C17)^(0.375))/4)</f>
        <v>239.477872684002</v>
      </c>
      <c r="D32" s="10" t="n">
        <f aca="false">D17/4*(D17/C17)^((2-2.5)/4)/(((D17/C17)^(-0.375)+(D17/C17)^(-0.125)+(D17/C17)^(0.125)+(D17/C17)^(0.375))/4)</f>
        <v>246.359830864633</v>
      </c>
      <c r="E32" s="10" t="n">
        <f aca="false">D17/4*(D17/C17)^((3-2.5)/4)/(((D17/C17)^(-0.375)+(D17/C17)^(-0.125)+(D17/C17)^(0.125)+(D17/C17)^(0.375))/4)</f>
        <v>253.439558249863</v>
      </c>
      <c r="F32" s="10" t="n">
        <f aca="false">D17/4*(D17/C17)^((4-2.5)/4)/(((D17/C17)^(-0.375)+(D17/C17)^(-0.125)+(D17/C17)^(0.125)+(D17/C17)^(0.375))/4)</f>
        <v>260.722738201501</v>
      </c>
      <c r="G32" s="10" t="n">
        <f aca="false">E17/4*(E17/D17)^((1-2.5)/4)/(((E17/D17)^(-0.375)+(E17/D17)^(-0.125)+(E17/D17)^(0.125)+(E17/D17)^(0.375))/4)</f>
        <v>281.231934694683</v>
      </c>
      <c r="H32" s="10" t="n">
        <f aca="false">E17/4*(E17/D17)^((2-2.5)/4)/(((E17/D17)^(-0.375)+(E17/D17)^(-0.125)+(E17/D17)^(0.125)+(E17/D17)^(0.375))/4)</f>
        <v>294.958541495794</v>
      </c>
      <c r="I32" s="10" t="n">
        <f aca="false">E17/4*(E17/D17)^((3-2.5)/4)/(((E17/D17)^(-0.375)+(E17/D17)^(-0.125)+(E17/D17)^(0.125)+(E17/D17)^(0.375))/4)</f>
        <v>309.355128164151</v>
      </c>
      <c r="J32" s="10" t="n">
        <f aca="false">E17/4*(E17/D17)^((4-2.5)/4)/(((E17/D17)^(-0.375)+(E17/D17)^(-0.125)+(E17/D17)^(0.125)+(E17/D17)^(0.375))/4)</f>
        <v>324.454395645373</v>
      </c>
      <c r="K32" s="10" t="n">
        <f aca="false">F17/4*(F17/E17)^((1-2.5)/4)/(((F17/E17)^(-0.375)+(F17/E17)^(-0.125)+(F17/E17)^(0.125)+(F17/E17)^(0.375))/4)</f>
        <v>347.096143815413</v>
      </c>
      <c r="L32" s="10" t="n">
        <f aca="false">F17/4*(F17/E17)^((2-2.5)/4)/(((F17/E17)^(-0.375)+(F17/E17)^(-0.125)+(F17/E17)^(0.125)+(F17/E17)^(0.375))/4)</f>
        <v>367.009488121451</v>
      </c>
      <c r="M32" s="10" t="n">
        <f aca="false">F17/4*(F17/E17)^((3-2.5)/4)/(((F17/E17)^(-0.375)+(F17/E17)^(-0.125)+(F17/E17)^(0.125)+(F17/E17)^(0.375))/4)</f>
        <v>388.065286149653</v>
      </c>
      <c r="N32" s="10" t="n">
        <f aca="false">F17/4*(F17/E17)^((4-2.5)/4)/(((F17/E17)^(-0.375)+(F17/E17)^(-0.125)+(F17/E17)^(0.125)+(F17/E17)^(0.375))/4)</f>
        <v>410.329081913483</v>
      </c>
      <c r="O32" s="10" t="n">
        <f aca="false">G17/4*(G17/F17)^((1-2.5)/4)/(((G17/F17)^(-0.375)+(G17/F17)^(-0.125)+(G17/F17)^(0.125)+(G17/F17)^(0.375))/4)</f>
        <v>433.870179769266</v>
      </c>
      <c r="P32" s="10" t="n">
        <f aca="false">G17/4*(G17/F17)^((2-2.5)/4)/(((G17/F17)^(-0.375)+(G17/F17)^(-0.125)+(G17/F17)^(0.125)+(G17/F17)^(0.375))/4)</f>
        <v>458.761860151814</v>
      </c>
      <c r="Q32" s="10" t="n">
        <f aca="false">G17/4*(G17/F17)^((3-2.5)/4)/(((G17/F17)^(-0.375)+(G17/F17)^(-0.125)+(G17/F17)^(0.125)+(G17/F17)^(0.375))/4)</f>
        <v>485.081607687067</v>
      </c>
      <c r="R32" s="10" t="n">
        <f aca="false">G17/4*(G17/F17)^((4-2.5)/4)/(((G17/F17)^(-0.375)+(G17/F17)^(-0.125)+(G17/F17)^(0.125)+(G17/F17)^(0.375))/4)</f>
        <v>512.911352391854</v>
      </c>
      <c r="S32" s="10" t="n">
        <f aca="false">H17/4*(H17/G17)^((1-2.5)/4)/(((H17/G17)^(-0.375)+(H17/G17)^(-0.125)+(H17/G17)^(0.125)+(H17/G17)^(0.375))/4)</f>
        <v>534.379419998991</v>
      </c>
      <c r="T32" s="10" t="n">
        <f aca="false">H17/4*(H17/G17)^((2-2.5)/4)/(((H17/G17)^(-0.375)+(H17/G17)^(-0.125)+(H17/G17)^(0.125)+(H17/G17)^(0.375))/4)</f>
        <v>561.616271458278</v>
      </c>
      <c r="U32" s="10" t="n">
        <f aca="false">H17/4*(H17/G17)^((3-2.5)/4)/(((H17/G17)^(-0.375)+(H17/G17)^(-0.125)+(H17/G17)^(0.125)+(H17/G17)^(0.375))/4)</f>
        <v>590.241361404399</v>
      </c>
      <c r="V32" s="10" t="n">
        <f aca="false">H17/4*(H17/G17)^((4-2.5)/4)/(((H17/G17)^(-0.375)+(H17/G17)^(-0.125)+(H17/G17)^(0.125)+(H17/G17)^(0.375))/4)</f>
        <v>620.325447138332</v>
      </c>
      <c r="W32" s="10" t="n">
        <f aca="false">I17/4*(I17/H17)^((1-2.5)/4)/(((I17/H17)^(-0.375)+(I17/H17)^(-0.125)+(I17/H17)^(0.125)+(I17/H17)^(0.375))/4)</f>
        <v>631.995013700511</v>
      </c>
      <c r="X32" s="10" t="n">
        <f aca="false">I17/4*(I17/H17)^((2-2.5)/4)/(((I17/H17)^(-0.375)+(I17/H17)^(-0.125)+(I17/H17)^(0.125)+(I17/H17)^(0.375))/4)</f>
        <v>655.821552208249</v>
      </c>
      <c r="Y32" s="10" t="n">
        <f aca="false">I17/4*(I17/H17)^((3-2.5)/4)/(((I17/H17)^(-0.375)+(I17/H17)^(-0.125)+(I17/H17)^(0.125)+(I17/H17)^(0.375))/4)</f>
        <v>680.546363526616</v>
      </c>
      <c r="Z32" s="10" t="n">
        <f aca="false">I17/4*(I17/H17)^((4-2.5)/4)/(((I17/H17)^(-0.375)+(I17/H17)^(-0.125)+(I17/H17)^(0.125)+(I17/H17)^(0.375))/4)</f>
        <v>706.203313004625</v>
      </c>
      <c r="AB32" s="5" t="s">
        <v>539</v>
      </c>
    </row>
    <row r="33" customFormat="false" ht="17.15" hidden="false" customHeight="false" outlineLevel="0" collapsed="false">
      <c r="A33" s="0" t="s">
        <v>540</v>
      </c>
      <c r="B33" s="0" t="s">
        <v>285</v>
      </c>
      <c r="C33" s="10" t="n">
        <f aca="false">(rv_ss_0+rv_sk_0+rv_mu_0+rv_kx_0+rv_sd_0)/t5_0</f>
        <v>12.9354838709677</v>
      </c>
      <c r="D33" s="10" t="n">
        <f aca="false">(rv_ss_1+rv_sk_1+rv_mu_1+rv_kx_1+rv_sd_1)/t5_1</f>
        <v>15.8054711246201</v>
      </c>
      <c r="E33" s="10" t="n">
        <f aca="false">(rv_ss_2+rv_sk_2+rv_mu_2+rv_kx_2+rv_sd_2)/t5_2</f>
        <v>18.7912087912088</v>
      </c>
      <c r="F33" s="10" t="n">
        <f aca="false">(rv_ss_3+rv_sk_3+rv_mu_3+rv_kx_3+rv_sd_3)/t5_3</f>
        <v>23.5714285714286</v>
      </c>
      <c r="G33" s="10" t="n">
        <f aca="false">(rv_ss_4+rv_sk_4+rv_mu_4+rv_kx_4+rv_sd_4)/t5_4</f>
        <v>43.954802259887</v>
      </c>
      <c r="H33" s="10" t="n">
        <f aca="false">(rv_ss_5+rv_sk_5+rv_mu_5+rv_kx_5+rv_sd_5)/t5_5</f>
        <v>78.703071672355</v>
      </c>
      <c r="I33" s="10" t="n">
        <f aca="false">$H33*I31/$H31*I32/$H32</f>
        <v>103.180597435169</v>
      </c>
      <c r="J33" s="10" t="n">
        <f aca="false">$H33*J31/$H31*J32/$H32</f>
        <v>116.982278156997</v>
      </c>
      <c r="K33" s="10" t="n">
        <f aca="false">$H33*K31/$H31*K32/$H32</f>
        <v>128.900150941515</v>
      </c>
      <c r="L33" s="10" t="n">
        <f aca="false">$H33*L31/$H31*L32/$H32</f>
        <v>136.295315458709</v>
      </c>
      <c r="M33" s="10" t="n">
        <f aca="false">$H33*M31/$H31*M32/$H32</f>
        <v>136.909012412225</v>
      </c>
      <c r="N33" s="10" t="n">
        <f aca="false">$H33*N31/$H31*N32/$H32</f>
        <v>134.630199550565</v>
      </c>
      <c r="O33" s="10" t="n">
        <f aca="false">$H33*O31/$H31*O32/$H32</f>
        <v>135.236398986234</v>
      </c>
      <c r="P33" s="10" t="n">
        <f aca="false">$H33*P31/$H31*P32/$H32</f>
        <v>135.845327956265</v>
      </c>
      <c r="Q33" s="10" t="n">
        <f aca="false">$H33*Q31/$H31*Q32/$H32</f>
        <v>136.456998750933</v>
      </c>
      <c r="R33" s="10" t="n">
        <f aca="false">$H33*R31/$H31*R32/$H32</f>
        <v>137.071423715852</v>
      </c>
      <c r="S33" s="10" t="n">
        <f aca="false">$H33*S31/$H31*S32/$H32</f>
        <v>138.524333952196</v>
      </c>
      <c r="T33" s="10" t="n">
        <f aca="false">$H33*T31/$H31*T32/$H32</f>
        <v>141.217254104587</v>
      </c>
      <c r="U33" s="10" t="n">
        <f aca="false">$H33*U31/$H31*U32/$H32</f>
        <v>143.962524762772</v>
      </c>
      <c r="V33" s="10" t="n">
        <f aca="false">$H33*V31/$H31*V32/$H32</f>
        <v>146.761163623267</v>
      </c>
      <c r="W33" s="16" t="n">
        <f aca="false">$H33*W31/$H31*W32/$H32</f>
        <v>144.819108303929</v>
      </c>
      <c r="X33" s="16" t="n">
        <f aca="false">$H33*X31/$H31*X32/$H32</f>
        <v>145.552131604924</v>
      </c>
      <c r="Y33" s="16" t="n">
        <f aca="false">$H33*Y31/$H31*Y32/$H32</f>
        <v>146.288865211596</v>
      </c>
      <c r="Z33" s="16" t="n">
        <f aca="false">$H33*Z31/$H31*Z32/$H32</f>
        <v>147.029327904206</v>
      </c>
      <c r="AB33" s="5" t="s">
        <v>541</v>
      </c>
    </row>
    <row r="34" customFormat="false" ht="17.15" hidden="false" customHeight="false" outlineLevel="0" collapsed="false">
      <c r="A34" s="5" t="s">
        <v>454</v>
      </c>
      <c r="B34" s="0" t="s">
        <v>25</v>
      </c>
      <c r="C34" s="12" t="n">
        <f aca="false">rv_ss_0/C33</f>
        <v>0.324688279301746</v>
      </c>
      <c r="D34" s="12" t="n">
        <f aca="false">rv_ss_1/D33</f>
        <v>0.329</v>
      </c>
      <c r="E34" s="12" t="n">
        <f aca="false">rv_ss_2/E33</f>
        <v>0.319298245614035</v>
      </c>
      <c r="F34" s="12" t="n">
        <f aca="false">rv_ss_3/F33</f>
        <v>0.28</v>
      </c>
      <c r="G34" s="12" t="n">
        <f aca="false">rv_ss_4/G33</f>
        <v>0.30736118251928</v>
      </c>
      <c r="H34" s="12" t="n">
        <f aca="false">rv_ss_5/H33</f>
        <v>0.293</v>
      </c>
      <c r="I34" s="12" t="n">
        <f aca="false">(rv_ss_4+rv_ss_5)/($G33+$H33)</f>
        <v>0.298146371102126</v>
      </c>
      <c r="J34" s="12" t="n">
        <f aca="false">(rv_ss_4+rv_ss_5)/($G33+$H33)</f>
        <v>0.298146371102126</v>
      </c>
      <c r="K34" s="12" t="n">
        <f aca="false">(rv_ss_4+rv_ss_5)/($G33+$H33)+dr_ss/100*1</f>
        <v>0.293146371102126</v>
      </c>
      <c r="L34" s="12" t="n">
        <f aca="false">(rv_ss_4+rv_ss_5)/($G33+$H33)+dr_ss/100*1</f>
        <v>0.293146371102126</v>
      </c>
      <c r="M34" s="12" t="n">
        <f aca="false">(rv_ss_4+rv_ss_5)/($G33+$H33)+dr_ss/100*1</f>
        <v>0.293146371102126</v>
      </c>
      <c r="N34" s="12" t="n">
        <f aca="false">(rv_ss_4+rv_ss_5)/($G33+$H33)+dr_ss/100*1</f>
        <v>0.293146371102126</v>
      </c>
      <c r="O34" s="12" t="n">
        <f aca="false">(rv_ss_4+rv_ss_5)/($G33+$H33)+dr_ss/100*2</f>
        <v>0.288146371102126</v>
      </c>
      <c r="P34" s="12" t="n">
        <f aca="false">(rv_ss_4+rv_ss_5)/($G33+$H33)+dr_ss/100*2</f>
        <v>0.288146371102126</v>
      </c>
      <c r="Q34" s="12" t="n">
        <f aca="false">(rv_ss_4+rv_ss_5)/($G33+$H33)+dr_ss/100*2</f>
        <v>0.288146371102126</v>
      </c>
      <c r="R34" s="12" t="n">
        <f aca="false">(rv_ss_4+rv_ss_5)/($G33+$H33)+dr_ss/100*2</f>
        <v>0.288146371102126</v>
      </c>
      <c r="S34" s="12" t="n">
        <f aca="false">(rv_ss_4+rv_ss_5)/($G33+$H33)+dr_ss/100*3</f>
        <v>0.283146371102126</v>
      </c>
      <c r="T34" s="12" t="n">
        <f aca="false">(rv_ss_4+rv_ss_5)/($G33+$H33)+dr_ss/100*3</f>
        <v>0.283146371102126</v>
      </c>
      <c r="U34" s="12" t="n">
        <f aca="false">(rv_ss_4+rv_ss_5)/($G33+$H33)+dr_ss/100*3</f>
        <v>0.283146371102126</v>
      </c>
      <c r="V34" s="12" t="n">
        <f aca="false">(rv_ss_4+rv_ss_5)/($G33+$H33)+dr_ss/100*3</f>
        <v>0.283146371102126</v>
      </c>
      <c r="W34" s="12" t="n">
        <f aca="false">(rv_ss_4+rv_ss_5)/($G33+$H33)+dr_ss/100*4</f>
        <v>0.278146371102126</v>
      </c>
      <c r="X34" s="12" t="n">
        <f aca="false">(rv_ss_4+rv_ss_5)/($G33+$H33)+dr_ss/100*4</f>
        <v>0.278146371102126</v>
      </c>
      <c r="Y34" s="12" t="n">
        <f aca="false">(rv_ss_4+rv_ss_5)/($G33+$H33)+dr_ss/100*4</f>
        <v>0.278146371102126</v>
      </c>
      <c r="Z34" s="12" t="n">
        <f aca="false">(rv_ss_4+rv_ss_5)/($G33+$H33)+dr_ss/100*4</f>
        <v>0.278146371102126</v>
      </c>
      <c r="AB34" s="8" t="s">
        <v>542</v>
      </c>
    </row>
    <row r="35" customFormat="false" ht="17.15" hidden="false" customHeight="false" outlineLevel="0" collapsed="false">
      <c r="A35" s="5" t="s">
        <v>455</v>
      </c>
      <c r="B35" s="0" t="s">
        <v>25</v>
      </c>
      <c r="C35" s="12" t="n">
        <f aca="false">rv_sk_0/C33</f>
        <v>0.16930174563591</v>
      </c>
      <c r="D35" s="12" t="n">
        <f aca="false">rv_sk_1/D33</f>
        <v>0.211319230769231</v>
      </c>
      <c r="E35" s="12" t="n">
        <f aca="false">rv_sk_2/E33</f>
        <v>0.187853801169591</v>
      </c>
      <c r="F35" s="12" t="n">
        <f aca="false">rv_sk_3/F33</f>
        <v>0.221030303030303</v>
      </c>
      <c r="G35" s="12" t="n">
        <f aca="false">rv_sk_4/G33</f>
        <v>0.17131233933162</v>
      </c>
      <c r="H35" s="12" t="n">
        <f aca="false">rv_sk_5/H33</f>
        <v>0.181314397224631</v>
      </c>
      <c r="I35" s="12" t="n">
        <f aca="false">(rv_sk_4+rv_sk_5)/($G33+$H33)</f>
        <v>0.177730130982399</v>
      </c>
      <c r="J35" s="12" t="n">
        <f aca="false">(rv_sk_4+rv_sk_5)/($G33+$H33)</f>
        <v>0.177730130982399</v>
      </c>
      <c r="K35" s="12" t="n">
        <f aca="false">(rv_sk_4+rv_sk_5)/($G33+$H33)+dr_sk/100*1</f>
        <v>0.177730130982399</v>
      </c>
      <c r="L35" s="12" t="n">
        <f aca="false">(rv_sk_4+rv_sk_5)/($G33+$H33)+dr_sk/100*1</f>
        <v>0.177730130982399</v>
      </c>
      <c r="M35" s="12" t="n">
        <f aca="false">(rv_sk_4+rv_sk_5)/($G33+$H33)+dr_sk/100*1</f>
        <v>0.177730130982399</v>
      </c>
      <c r="N35" s="12" t="n">
        <f aca="false">(rv_sk_4+rv_sk_5)/($G33+$H33)+dr_sk/100*1</f>
        <v>0.177730130982399</v>
      </c>
      <c r="O35" s="12" t="n">
        <f aca="false">(rv_sk_4+rv_sk_5)/($G33+$H33)+dr_sk/100*2</f>
        <v>0.177730130982399</v>
      </c>
      <c r="P35" s="12" t="n">
        <f aca="false">(rv_sk_4+rv_sk_5)/($G33+$H33)+dr_sk/100*2</f>
        <v>0.177730130982399</v>
      </c>
      <c r="Q35" s="12" t="n">
        <f aca="false">(rv_sk_4+rv_sk_5)/($G33+$H33)+dr_sk/100*2</f>
        <v>0.177730130982399</v>
      </c>
      <c r="R35" s="12" t="n">
        <f aca="false">(rv_sk_4+rv_sk_5)/($G33+$H33)+dr_sk/100*2</f>
        <v>0.177730130982399</v>
      </c>
      <c r="S35" s="12" t="n">
        <f aca="false">(rv_sk_4+rv_sk_5)/($G33+$H33)+dr_sk/100*3</f>
        <v>0.177730130982399</v>
      </c>
      <c r="T35" s="12" t="n">
        <f aca="false">(rv_sk_4+rv_sk_5)/($G33+$H33)+dr_sk/100*3</f>
        <v>0.177730130982399</v>
      </c>
      <c r="U35" s="12" t="n">
        <f aca="false">(rv_sk_4+rv_sk_5)/($G33+$H33)+dr_sk/100*3</f>
        <v>0.177730130982399</v>
      </c>
      <c r="V35" s="12" t="n">
        <f aca="false">(rv_sk_4+rv_sk_5)/($G33+$H33)+dr_sk/100*3</f>
        <v>0.177730130982399</v>
      </c>
      <c r="W35" s="12" t="n">
        <f aca="false">(rv_sk_4+rv_sk_5)/($G33+$H33)+dr_sk/100*4</f>
        <v>0.177730130982399</v>
      </c>
      <c r="X35" s="12" t="n">
        <f aca="false">(rv_sk_4+rv_sk_5)/($G33+$H33)+dr_sk/100*4</f>
        <v>0.177730130982399</v>
      </c>
      <c r="Y35" s="12" t="n">
        <f aca="false">(rv_sk_4+rv_sk_5)/($G33+$H33)+dr_sk/100*4</f>
        <v>0.177730130982399</v>
      </c>
      <c r="Z35" s="12" t="n">
        <f aca="false">(rv_sk_4+rv_sk_5)/($G33+$H33)+dr_sk/100*4</f>
        <v>0.177730130982399</v>
      </c>
      <c r="AB35" s="8" t="s">
        <v>542</v>
      </c>
    </row>
    <row r="36" customFormat="false" ht="17.15" hidden="false" customHeight="false" outlineLevel="0" collapsed="false">
      <c r="A36" s="5" t="s">
        <v>456</v>
      </c>
      <c r="B36" s="0" t="s">
        <v>25</v>
      </c>
      <c r="C36" s="12" t="n">
        <f aca="false">rv_mu_0/C33</f>
        <v>0.156932668329177</v>
      </c>
      <c r="D36" s="12" t="n">
        <f aca="false">rv_mu_1/D33</f>
        <v>0.132865384615385</v>
      </c>
      <c r="E36" s="12" t="n">
        <f aca="false">rv_mu_2/E33</f>
        <v>0.128783625730994</v>
      </c>
      <c r="F36" s="12" t="n">
        <f aca="false">rv_mu_3/F33</f>
        <v>0.128545454545455</v>
      </c>
      <c r="G36" s="12" t="n">
        <f aca="false">rv_mu_4/G33</f>
        <v>0.135366323907455</v>
      </c>
      <c r="H36" s="12" t="n">
        <f aca="false">rv_mu_5/H33</f>
        <v>0.150565915004337</v>
      </c>
      <c r="I36" s="12" t="n">
        <f aca="false">(rv_mu_4+rv_mu_5)/($G33+$H33)</f>
        <v>0.14511909777462</v>
      </c>
      <c r="J36" s="12" t="n">
        <f aca="false">(rv_mu_4+rv_mu_5)/($G33+$H33)</f>
        <v>0.14511909777462</v>
      </c>
      <c r="K36" s="12" t="n">
        <f aca="false">(rv_mu_4+rv_mu_5)/($G33+$H33)+dr_mu/100*1</f>
        <v>0.14711909777462</v>
      </c>
      <c r="L36" s="12" t="n">
        <f aca="false">(rv_mu_4+rv_mu_5)/($G33+$H33)+dr_mu/100*1</f>
        <v>0.14711909777462</v>
      </c>
      <c r="M36" s="12" t="n">
        <f aca="false">(rv_mu_4+rv_mu_5)/($G33+$H33)+dr_mu/100*1</f>
        <v>0.14711909777462</v>
      </c>
      <c r="N36" s="12" t="n">
        <f aca="false">(rv_mu_4+rv_mu_5)/($G33+$H33)+dr_mu/100*1</f>
        <v>0.14711909777462</v>
      </c>
      <c r="O36" s="12" t="n">
        <f aca="false">(rv_mu_4+rv_mu_5)/($G33+$H33)+dr_mu/100*2</f>
        <v>0.14911909777462</v>
      </c>
      <c r="P36" s="12" t="n">
        <f aca="false">(rv_mu_4+rv_mu_5)/($G33+$H33)+dr_mu/100*2</f>
        <v>0.14911909777462</v>
      </c>
      <c r="Q36" s="12" t="n">
        <f aca="false">(rv_mu_4+rv_mu_5)/($G33+$H33)+dr_mu/100*2</f>
        <v>0.14911909777462</v>
      </c>
      <c r="R36" s="12" t="n">
        <f aca="false">(rv_mu_4+rv_mu_5)/($G33+$H33)+dr_mu/100*2</f>
        <v>0.14911909777462</v>
      </c>
      <c r="S36" s="12" t="n">
        <f aca="false">(rv_mu_4+rv_mu_5)/($G33+$H33)+dr_mu/100*3</f>
        <v>0.15111909777462</v>
      </c>
      <c r="T36" s="12" t="n">
        <f aca="false">(rv_mu_4+rv_mu_5)/($G33+$H33)+dr_mu/100*3</f>
        <v>0.15111909777462</v>
      </c>
      <c r="U36" s="12" t="n">
        <f aca="false">(rv_mu_4+rv_mu_5)/($G33+$H33)+dr_mu/100*3</f>
        <v>0.15111909777462</v>
      </c>
      <c r="V36" s="12" t="n">
        <f aca="false">(rv_mu_4+rv_mu_5)/($G33+$H33)+dr_mu/100*3</f>
        <v>0.15111909777462</v>
      </c>
      <c r="W36" s="12" t="n">
        <f aca="false">(rv_mu_4+rv_mu_5)/($G33+$H33)+dr_mu/100*4</f>
        <v>0.15311909777462</v>
      </c>
      <c r="X36" s="12" t="n">
        <f aca="false">(rv_mu_4+rv_mu_5)/($G33+$H33)+dr_mu/100*4</f>
        <v>0.15311909777462</v>
      </c>
      <c r="Y36" s="12" t="n">
        <f aca="false">(rv_mu_4+rv_mu_5)/($G33+$H33)+dr_mu/100*4</f>
        <v>0.15311909777462</v>
      </c>
      <c r="Z36" s="12" t="n">
        <f aca="false">(rv_mu_4+rv_mu_5)/($G33+$H33)+dr_mu/100*4</f>
        <v>0.15311909777462</v>
      </c>
      <c r="AB36" s="8" t="s">
        <v>542</v>
      </c>
    </row>
    <row r="37" customFormat="false" ht="17.15" hidden="false" customHeight="false" outlineLevel="0" collapsed="false">
      <c r="A37" s="5" t="s">
        <v>457</v>
      </c>
      <c r="B37" s="0" t="s">
        <v>25</v>
      </c>
      <c r="C37" s="12" t="n">
        <f aca="false">rv_kx_0/C33</f>
        <v>0.148428927680798</v>
      </c>
      <c r="D37" s="12" t="n">
        <f aca="false">rv_kx_1/D33</f>
        <v>0.135396153846154</v>
      </c>
      <c r="E37" s="12" t="n">
        <f aca="false">rv_kx_2/E33</f>
        <v>0.151134502923977</v>
      </c>
      <c r="F37" s="12" t="n">
        <f aca="false">rv_kx_3/F33</f>
        <v>0.140424242424242</v>
      </c>
      <c r="G37" s="12" t="n">
        <f aca="false">rv_kx_4/G33</f>
        <v>0.13559383033419</v>
      </c>
      <c r="H37" s="12" t="n">
        <f aca="false">rv_kx_5/H33</f>
        <v>0.136208152645273</v>
      </c>
      <c r="I37" s="12" t="n">
        <f aca="false">kx_g/kx_fxg/kx_k/$I33</f>
        <v>0.144904344872829</v>
      </c>
      <c r="J37" s="12" t="n">
        <f aca="false">(kx_g/kx_fxg/kx_k/$I33+kx_g4/kx_fxg4/kx_k/$J33)/2</f>
        <v>0.138512987387224</v>
      </c>
      <c r="K37" s="12" t="n">
        <f aca="false">(kx_g/kx_fxg/kx_k/$I33+kx_g4/kx_fxg4/kx_k/$J33)/2+dr_jv_A/100*1*(kx_g/kx_fxg/kx_k)/(kx_g/kx_fxg/kx_k+sd_g/sd_k)</f>
        <v>0.138512987387224</v>
      </c>
      <c r="L37" s="12" t="n">
        <f aca="false">(kx_g/kx_fxg/kx_k/$I33+kx_g4/kx_fxg4/kx_k/$J33)/2+dr_jv_A/100*1*(kx_g/kx_fxg/kx_k)/(kx_g/kx_fxg/kx_k+sd_g/sd_k)</f>
        <v>0.138512987387224</v>
      </c>
      <c r="M37" s="12" t="n">
        <f aca="false">(kx_g/kx_fxg/kx_k/$I33+kx_g4/kx_fxg4/kx_k/$J33)/2+dr_jv_A/100*1*(kx_g/kx_fxg/kx_k)/(kx_g/kx_fxg/kx_k+sd_g/sd_k)</f>
        <v>0.138512987387224</v>
      </c>
      <c r="N37" s="12" t="n">
        <f aca="false">(kx_g/kx_fxg/kx_k/$I33+kx_g4/kx_fxg4/kx_k/$J33)/2+dr_jv_A/100*1*(kx_g/kx_fxg/kx_k)/(kx_g/kx_fxg/kx_k+sd_g/sd_k)</f>
        <v>0.138512987387224</v>
      </c>
      <c r="O37" s="12" t="n">
        <f aca="false">(kx_g/kx_fxg/kx_k/$I33+kx_g4/kx_fxg4/kx_k/$J33)/2+dr_jv_A/100*2*(kx_g/kx_fxg/kx_k)/(kx_g/kx_fxg/kx_k+sd_g/sd_k)</f>
        <v>0.138512987387224</v>
      </c>
      <c r="P37" s="12" t="n">
        <f aca="false">(kx_g/kx_fxg/kx_k/$I33+kx_g4/kx_fxg4/kx_k/$J33)/2+dr_jv_A/100*2*(kx_g/kx_fxg/kx_k)/(kx_g/kx_fxg/kx_k+sd_g/sd_k)</f>
        <v>0.138512987387224</v>
      </c>
      <c r="Q37" s="12" t="n">
        <f aca="false">(kx_g/kx_fxg/kx_k/$I33+kx_g4/kx_fxg4/kx_k/$J33)/2+dr_jv_A/100*2*(kx_g/kx_fxg/kx_k)/(kx_g/kx_fxg/kx_k+sd_g/sd_k)</f>
        <v>0.138512987387224</v>
      </c>
      <c r="R37" s="12" t="n">
        <f aca="false">(kx_g/kx_fxg/kx_k/$I33+kx_g4/kx_fxg4/kx_k/$J33)/2+dr_jv_A/100*2*(kx_g/kx_fxg/kx_k)/(kx_g/kx_fxg/kx_k+sd_g/sd_k)</f>
        <v>0.138512987387224</v>
      </c>
      <c r="S37" s="12" t="n">
        <f aca="false">(kx_g/kx_fxg/kx_k/$I33+kx_g4/kx_fxg4/kx_k/$J33)/2+dr_jv_A/100*3*(kx_g/kx_fxg/kx_k)/(kx_g/kx_fxg/kx_k+sd_g/sd_k)</f>
        <v>0.138512987387224</v>
      </c>
      <c r="T37" s="12" t="n">
        <f aca="false">(kx_g/kx_fxg/kx_k/$I33+kx_g4/kx_fxg4/kx_k/$J33)/2+dr_jv_A/100*3*(kx_g/kx_fxg/kx_k)/(kx_g/kx_fxg/kx_k+sd_g/sd_k)</f>
        <v>0.138512987387224</v>
      </c>
      <c r="U37" s="12" t="n">
        <f aca="false">(kx_g/kx_fxg/kx_k/$I33+kx_g4/kx_fxg4/kx_k/$J33)/2+dr_jv_A/100*3*(kx_g/kx_fxg/kx_k)/(kx_g/kx_fxg/kx_k+sd_g/sd_k)</f>
        <v>0.138512987387224</v>
      </c>
      <c r="V37" s="12" t="n">
        <f aca="false">(kx_g/kx_fxg/kx_k/$I33+kx_g4/kx_fxg4/kx_k/$J33)/2+dr_jv_A/100*3*(kx_g/kx_fxg/kx_k)/(kx_g/kx_fxg/kx_k+sd_g/sd_k)</f>
        <v>0.138512987387224</v>
      </c>
      <c r="W37" s="12" t="n">
        <f aca="false">(kx_g/kx_fxg/kx_k/$I33+kx_g4/kx_fxg4/kx_k/$J33)/2+dr_jv_A/100*4*(kx_g/kx_fxg/kx_k)/(kx_g/kx_fxg/kx_k+sd_g/sd_k)</f>
        <v>0.138512987387224</v>
      </c>
      <c r="X37" s="12" t="n">
        <f aca="false">(kx_g/kx_fxg/kx_k/$I33+kx_g4/kx_fxg4/kx_k/$J33)/2+dr_jv_A/100*4*(kx_g/kx_fxg/kx_k)/(kx_g/kx_fxg/kx_k+sd_g/sd_k)</f>
        <v>0.138512987387224</v>
      </c>
      <c r="Y37" s="12" t="n">
        <f aca="false">(kx_g/kx_fxg/kx_k/$I33+kx_g4/kx_fxg4/kx_k/$J33)/2+dr_jv_A/100*4*(kx_g/kx_fxg/kx_k)/(kx_g/kx_fxg/kx_k+sd_g/sd_k)</f>
        <v>0.138512987387224</v>
      </c>
      <c r="Z37" s="12" t="n">
        <f aca="false">(kx_g/kx_fxg/kx_k/$I33+kx_g4/kx_fxg4/kx_k/$J33)/2+dr_jv_A/100*4*(kx_g/kx_fxg/kx_k)/(kx_g/kx_fxg/kx_k+sd_g/sd_k)</f>
        <v>0.138512987387224</v>
      </c>
      <c r="AB37" s="8" t="s">
        <v>543</v>
      </c>
    </row>
    <row r="38" customFormat="false" ht="17.15" hidden="false" customHeight="false" outlineLevel="0" collapsed="false">
      <c r="A38" s="5" t="s">
        <v>458</v>
      </c>
      <c r="B38" s="0" t="s">
        <v>25</v>
      </c>
      <c r="C38" s="12" t="n">
        <f aca="false">rv_sd_0/C33</f>
        <v>0.130648379052369</v>
      </c>
      <c r="D38" s="12" t="n">
        <f aca="false">rv_sd_1/D33</f>
        <v>0.120211538461538</v>
      </c>
      <c r="E38" s="12" t="n">
        <f aca="false">rv_sd_2/E33</f>
        <v>0.122929824561404</v>
      </c>
      <c r="F38" s="12" t="n">
        <f aca="false">rv_sd_3/F33</f>
        <v>0.128545454545455</v>
      </c>
      <c r="G38" s="12" t="n">
        <f aca="false">rv_sd_4/G33</f>
        <v>0.135366323907455</v>
      </c>
      <c r="H38" s="12" t="n">
        <f aca="false">rv_sd_5/H33</f>
        <v>0.113972679965308</v>
      </c>
      <c r="I38" s="12" t="n">
        <f aca="false">sd_g/sd_k/$I33</f>
        <v>0.106969261015561</v>
      </c>
      <c r="J38" s="12" t="n">
        <f aca="false">(sd_g/sd_k/$I33+sd_g4/sd_k/$J33)/2</f>
        <v>0.106513670372059</v>
      </c>
      <c r="K38" s="12" t="n">
        <f aca="false">(sd_g/sd_k/$I33+sd_g4/sd_k/$J33)/2+dr_jv_A/100*1*(sd_g/sd_k)/(kx_g/kx_fxg/kx_k+sd_g/sd_k)</f>
        <v>0.106513670372059</v>
      </c>
      <c r="L38" s="12" t="n">
        <f aca="false">(sd_g/sd_k/$I33+sd_g4/sd_k/$J33)/2+dr_jv_A/100*1*(sd_g/sd_k)/(kx_g/kx_fxg/kx_k+sd_g/sd_k)</f>
        <v>0.106513670372059</v>
      </c>
      <c r="M38" s="12" t="n">
        <f aca="false">(sd_g/sd_k/$I33+sd_g4/sd_k/$J33)/2+dr_jv_A/100*1*(sd_g/sd_k)/(kx_g/kx_fxg/kx_k+sd_g/sd_k)</f>
        <v>0.106513670372059</v>
      </c>
      <c r="N38" s="12" t="n">
        <f aca="false">(sd_g/sd_k/$I33+sd_g4/sd_k/$J33)/2+dr_jv_A/100*1*(sd_g/sd_k)/(kx_g/kx_fxg/kx_k+sd_g/sd_k)</f>
        <v>0.106513670372059</v>
      </c>
      <c r="O38" s="12" t="n">
        <f aca="false">(sd_g/sd_k/$I33+sd_g4/sd_k/$J33)/2+dr_jv_A/100*2*(sd_g/sd_k)/(kx_g/kx_fxg/kx_k+sd_g/sd_k)</f>
        <v>0.106513670372059</v>
      </c>
      <c r="P38" s="12" t="n">
        <f aca="false">(sd_g/sd_k/$I33+sd_g4/sd_k/$J33)/2+dr_jv_A/100*2*(sd_g/sd_k)/(kx_g/kx_fxg/kx_k+sd_g/sd_k)</f>
        <v>0.106513670372059</v>
      </c>
      <c r="Q38" s="12" t="n">
        <f aca="false">(sd_g/sd_k/$I33+sd_g4/sd_k/$J33)/2+dr_jv_A/100*2*(sd_g/sd_k)/(kx_g/kx_fxg/kx_k+sd_g/sd_k)</f>
        <v>0.106513670372059</v>
      </c>
      <c r="R38" s="12" t="n">
        <f aca="false">(sd_g/sd_k/$I33+sd_g4/sd_k/$J33)/2+dr_jv_A/100*2*(sd_g/sd_k)/(kx_g/kx_fxg/kx_k+sd_g/sd_k)</f>
        <v>0.106513670372059</v>
      </c>
      <c r="S38" s="12" t="n">
        <f aca="false">(sd_g/sd_k/$I33+sd_g4/sd_k/$J33)/2+dr_jv_A/100*3*(sd_g/sd_k)/(kx_g/kx_fxg/kx_k+sd_g/sd_k)</f>
        <v>0.106513670372059</v>
      </c>
      <c r="T38" s="12" t="n">
        <f aca="false">(sd_g/sd_k/$I33+sd_g4/sd_k/$J33)/2+dr_jv_A/100*3*(sd_g/sd_k)/(kx_g/kx_fxg/kx_k+sd_g/sd_k)</f>
        <v>0.106513670372059</v>
      </c>
      <c r="U38" s="12" t="n">
        <f aca="false">(sd_g/sd_k/$I33+sd_g4/sd_k/$J33)/2+dr_jv_A/100*3*(sd_g/sd_k)/(kx_g/kx_fxg/kx_k+sd_g/sd_k)</f>
        <v>0.106513670372059</v>
      </c>
      <c r="V38" s="12" t="n">
        <f aca="false">(sd_g/sd_k/$I33+sd_g4/sd_k/$J33)/2+dr_jv_A/100*3*(sd_g/sd_k)/(kx_g/kx_fxg/kx_k+sd_g/sd_k)</f>
        <v>0.106513670372059</v>
      </c>
      <c r="W38" s="12" t="n">
        <f aca="false">(sd_g/sd_k/$I33+sd_g4/sd_k/$J33)/2+dr_jv_A/100*4*(sd_g/sd_k)/(kx_g/kx_fxg/kx_k+sd_g/sd_k)</f>
        <v>0.106513670372059</v>
      </c>
      <c r="X38" s="12" t="n">
        <f aca="false">(sd_g/sd_k/$I33+sd_g4/sd_k/$J33)/2+dr_jv_A/100*4*(sd_g/sd_k)/(kx_g/kx_fxg/kx_k+sd_g/sd_k)</f>
        <v>0.106513670372059</v>
      </c>
      <c r="Y38" s="12" t="n">
        <f aca="false">(sd_g/sd_k/$I33+sd_g4/sd_k/$J33)/2+dr_jv_A/100*4*(sd_g/sd_k)/(kx_g/kx_fxg/kx_k+sd_g/sd_k)</f>
        <v>0.106513670372059</v>
      </c>
      <c r="Z38" s="12" t="n">
        <f aca="false">(sd_g/sd_k/$I33+sd_g4/sd_k/$J33)/2+dr_jv_A/100*4*(sd_g/sd_k)/(kx_g/kx_fxg/kx_k+sd_g/sd_k)</f>
        <v>0.106513670372059</v>
      </c>
      <c r="AB38" s="8" t="s">
        <v>544</v>
      </c>
    </row>
    <row r="39" customFormat="false" ht="15" hidden="false" customHeight="false" outlineLevel="0" collapsed="false">
      <c r="A39" s="5" t="s">
        <v>459</v>
      </c>
      <c r="B39" s="0" t="s">
        <v>25</v>
      </c>
      <c r="C39" s="12" t="n">
        <f aca="false">1-t5_0</f>
        <v>0.07</v>
      </c>
      <c r="D39" s="12" t="n">
        <f aca="false">1-t5_1</f>
        <v>0.0712076923076923</v>
      </c>
      <c r="E39" s="12" t="n">
        <f aca="false">1-t5_2</f>
        <v>0.09</v>
      </c>
      <c r="F39" s="12" t="n">
        <f aca="false">1-t5_3</f>
        <v>0.101454545454545</v>
      </c>
      <c r="G39" s="12" t="n">
        <f aca="false">1-t5_4</f>
        <v>0.115</v>
      </c>
      <c r="H39" s="12" t="n">
        <f aca="false">1-t5_5</f>
        <v>0.124938855160451</v>
      </c>
      <c r="I39" s="12" t="n">
        <f aca="false">1-I34-I35-I36-I37-I38</f>
        <v>0.127130794252464</v>
      </c>
      <c r="J39" s="12" t="n">
        <f aca="false">1-J34-J35-J36-J37-J38</f>
        <v>0.133977742381572</v>
      </c>
      <c r="K39" s="12" t="n">
        <f aca="false">1-K34-K35-K36-K37-K38</f>
        <v>0.136977742381572</v>
      </c>
      <c r="L39" s="12" t="n">
        <f aca="false">1-L34-L35-L36-L37-L38</f>
        <v>0.136977742381572</v>
      </c>
      <c r="M39" s="12" t="n">
        <f aca="false">1-M34-M35-M36-M37-M38</f>
        <v>0.136977742381572</v>
      </c>
      <c r="N39" s="12" t="n">
        <f aca="false">1-N34-N35-N36-N37-N38</f>
        <v>0.136977742381572</v>
      </c>
      <c r="O39" s="12" t="n">
        <f aca="false">1-O34-O35-O36-O37-O38</f>
        <v>0.139977742381572</v>
      </c>
      <c r="P39" s="12" t="n">
        <f aca="false">1-P34-P35-P36-P37-P38</f>
        <v>0.139977742381572</v>
      </c>
      <c r="Q39" s="12" t="n">
        <f aca="false">1-Q34-Q35-Q36-Q37-Q38</f>
        <v>0.139977742381572</v>
      </c>
      <c r="R39" s="12" t="n">
        <f aca="false">1-R34-R35-R36-R37-R38</f>
        <v>0.139977742381572</v>
      </c>
      <c r="S39" s="12" t="n">
        <f aca="false">1-S34-S35-S36-S37-S38</f>
        <v>0.142977742381572</v>
      </c>
      <c r="T39" s="12" t="n">
        <f aca="false">1-T34-T35-T36-T37-T38</f>
        <v>0.142977742381572</v>
      </c>
      <c r="U39" s="12" t="n">
        <f aca="false">1-U34-U35-U36-U37-U38</f>
        <v>0.142977742381572</v>
      </c>
      <c r="V39" s="12" t="n">
        <f aca="false">1-V34-V35-V36-V37-V38</f>
        <v>0.142977742381572</v>
      </c>
      <c r="W39" s="12" t="n">
        <f aca="false">1-W34-W35-W36-W37-W38</f>
        <v>0.145977742381572</v>
      </c>
      <c r="X39" s="12" t="n">
        <f aca="false">1-X34-X35-X36-X37-X38</f>
        <v>0.145977742381572</v>
      </c>
      <c r="Y39" s="12" t="n">
        <f aca="false">1-Y34-Y35-Y36-Y37-Y38</f>
        <v>0.145977742381572</v>
      </c>
      <c r="Z39" s="12" t="n">
        <f aca="false">1-Z34-Z35-Z36-Z37-Z38</f>
        <v>0.145977742381572</v>
      </c>
      <c r="AB39" s="5" t="s">
        <v>545</v>
      </c>
    </row>
    <row r="40" customFormat="false" ht="17.15" hidden="false" customHeight="false" outlineLevel="0" collapsed="false">
      <c r="A40" s="5" t="s">
        <v>546</v>
      </c>
      <c r="B40" s="0" t="s">
        <v>285</v>
      </c>
      <c r="C40" s="19" t="n">
        <f aca="false">C33*C34</f>
        <v>4.2</v>
      </c>
      <c r="D40" s="19" t="n">
        <f aca="false">D33*D34</f>
        <v>5.2</v>
      </c>
      <c r="E40" s="19" t="n">
        <f aca="false">E33*E34</f>
        <v>6</v>
      </c>
      <c r="F40" s="19" t="n">
        <f aca="false">F33*F34</f>
        <v>6.6</v>
      </c>
      <c r="G40" s="19" t="n">
        <f aca="false">G33*G34</f>
        <v>13.51</v>
      </c>
      <c r="H40" s="19" t="n">
        <f aca="false">H33*H34</f>
        <v>23.06</v>
      </c>
      <c r="I40" s="19" t="n">
        <f aca="false">I33*I34</f>
        <v>30.7629206934451</v>
      </c>
      <c r="J40" s="19" t="n">
        <f aca="false">J33*J34</f>
        <v>34.877841715768</v>
      </c>
      <c r="K40" s="19" t="n">
        <f aca="false">K33*K34</f>
        <v>37.7866114830214</v>
      </c>
      <c r="L40" s="19" t="n">
        <f aca="false">L33*L34</f>
        <v>39.9544771249401</v>
      </c>
      <c r="M40" s="19" t="n">
        <f aca="false">M33*M34</f>
        <v>40.1343801598198</v>
      </c>
      <c r="N40" s="19" t="n">
        <f aca="false">N33*N34</f>
        <v>39.4663544390031</v>
      </c>
      <c r="O40" s="19" t="n">
        <f aca="false">O33*O34</f>
        <v>38.9678776088025</v>
      </c>
      <c r="P40" s="19" t="n">
        <f aca="false">P33*P34</f>
        <v>39.1433382817759</v>
      </c>
      <c r="Q40" s="19" t="n">
        <f aca="false">Q33*Q34</f>
        <v>39.3195890015687</v>
      </c>
      <c r="R40" s="19" t="n">
        <f aca="false">R33*R34</f>
        <v>39.4966333255248</v>
      </c>
      <c r="S40" s="19" t="n">
        <f aca="false">S33*S34</f>
        <v>39.2226624679034</v>
      </c>
      <c r="T40" s="19" t="n">
        <f aca="false">T33*T34</f>
        <v>39.9851530367208</v>
      </c>
      <c r="U40" s="19" t="n">
        <f aca="false">U33*U34</f>
        <v>40.762466461279</v>
      </c>
      <c r="V40" s="19" t="n">
        <f aca="false">V33*V34</f>
        <v>41.5548908986535</v>
      </c>
      <c r="W40" s="19" t="n">
        <f aca="false">W33*W34</f>
        <v>40.2809094409837</v>
      </c>
      <c r="X40" s="19" t="n">
        <f aca="false">X33*X34</f>
        <v>40.4847972120886</v>
      </c>
      <c r="Y40" s="19" t="n">
        <f aca="false">Y33*Y34</f>
        <v>40.6897169912535</v>
      </c>
      <c r="Z40" s="19" t="n">
        <f aca="false">Z33*Z34</f>
        <v>40.8956740021396</v>
      </c>
    </row>
    <row r="41" customFormat="false" ht="17.15" hidden="false" customHeight="false" outlineLevel="0" collapsed="false">
      <c r="A41" s="0" t="s">
        <v>547</v>
      </c>
      <c r="B41" s="0" t="s">
        <v>285</v>
      </c>
      <c r="C41" s="19" t="n">
        <f aca="false">C33*C35</f>
        <v>2.19</v>
      </c>
      <c r="D41" s="19" t="n">
        <f aca="false">D33*D35</f>
        <v>3.34</v>
      </c>
      <c r="E41" s="19" t="n">
        <f aca="false">E33*E35</f>
        <v>3.53</v>
      </c>
      <c r="F41" s="19" t="n">
        <f aca="false">F33*F35</f>
        <v>5.21</v>
      </c>
      <c r="G41" s="19" t="n">
        <f aca="false">G33*G35</f>
        <v>7.53</v>
      </c>
      <c r="H41" s="19" t="n">
        <f aca="false">H33*H35</f>
        <v>14.27</v>
      </c>
      <c r="I41" s="19" t="n">
        <f aca="false">I33*I35</f>
        <v>18.3383010969949</v>
      </c>
      <c r="J41" s="19" t="n">
        <f aca="false">J33*J35</f>
        <v>20.7912756194625</v>
      </c>
      <c r="K41" s="19" t="n">
        <f aca="false">K33*K35</f>
        <v>22.9094407104865</v>
      </c>
      <c r="L41" s="19" t="n">
        <f aca="false">L33*L35</f>
        <v>24.2237842687638</v>
      </c>
      <c r="M41" s="19" t="n">
        <f aca="false">M33*M35</f>
        <v>24.3328567086957</v>
      </c>
      <c r="N41" s="19" t="n">
        <f aca="false">N33*N35</f>
        <v>23.9278430003084</v>
      </c>
      <c r="O41" s="19" t="n">
        <f aca="false">O33*O35</f>
        <v>24.0355829054114</v>
      </c>
      <c r="P41" s="19" t="n">
        <f aca="false">P33*P35</f>
        <v>24.143807931014</v>
      </c>
      <c r="Q41" s="19" t="n">
        <f aca="false">Q33*Q35</f>
        <v>24.2525202614684</v>
      </c>
      <c r="R41" s="19" t="n">
        <f aca="false">R33*R35</f>
        <v>24.3617220909624</v>
      </c>
      <c r="S41" s="19" t="n">
        <f aca="false">S33*S35</f>
        <v>24.6199480175735</v>
      </c>
      <c r="T41" s="19" t="n">
        <f aca="false">T33*T35</f>
        <v>25.0985610689831</v>
      </c>
      <c r="U41" s="19" t="n">
        <f aca="false">U33*U35</f>
        <v>25.5864783826445</v>
      </c>
      <c r="V41" s="19" t="n">
        <f aca="false">V33*V35</f>
        <v>26.0838808338927</v>
      </c>
      <c r="W41" s="19" t="n">
        <f aca="false">W33*W35</f>
        <v>25.7387190876116</v>
      </c>
      <c r="X41" s="19" t="n">
        <f aca="false">X33*X35</f>
        <v>25.8689994149105</v>
      </c>
      <c r="Y41" s="19" t="n">
        <f aca="false">Y33*Y35</f>
        <v>25.9999391753236</v>
      </c>
      <c r="Z41" s="19" t="n">
        <f aca="false">Z33*Z35</f>
        <v>26.1315417066688</v>
      </c>
    </row>
    <row r="42" customFormat="false" ht="17.15" hidden="false" customHeight="false" outlineLevel="0" collapsed="false">
      <c r="A42" s="5" t="s">
        <v>548</v>
      </c>
      <c r="B42" s="0" t="s">
        <v>285</v>
      </c>
      <c r="C42" s="19" t="n">
        <f aca="false">C33*C36</f>
        <v>2.03</v>
      </c>
      <c r="D42" s="19" t="n">
        <f aca="false">D33*D36</f>
        <v>2.1</v>
      </c>
      <c r="E42" s="19" t="n">
        <f aca="false">E33*E36</f>
        <v>2.42</v>
      </c>
      <c r="F42" s="19" t="n">
        <f aca="false">F33*F36</f>
        <v>3.03</v>
      </c>
      <c r="G42" s="19" t="n">
        <f aca="false">G33*G36</f>
        <v>5.95</v>
      </c>
      <c r="H42" s="19" t="n">
        <f aca="false">H33*H36</f>
        <v>11.85</v>
      </c>
      <c r="I42" s="19" t="n">
        <f aca="false">I33*I36</f>
        <v>14.973475207638</v>
      </c>
      <c r="J42" s="19" t="n">
        <f aca="false">J33*J36</f>
        <v>16.976362661763</v>
      </c>
      <c r="K42" s="19" t="n">
        <f aca="false">K33*K36</f>
        <v>18.963673909528</v>
      </c>
      <c r="L42" s="19" t="n">
        <f aca="false">L33*L36</f>
        <v>20.0516438411925</v>
      </c>
      <c r="M42" s="19" t="n">
        <f aca="false">M33*M36</f>
        <v>20.1419303833008</v>
      </c>
      <c r="N42" s="19" t="n">
        <f aca="false">N33*N36</f>
        <v>19.8066734910961</v>
      </c>
      <c r="O42" s="19" t="n">
        <f aca="false">O33*O36</f>
        <v>20.1663298031157</v>
      </c>
      <c r="P42" s="19" t="n">
        <f aca="false">P33*P36</f>
        <v>20.2571327417356</v>
      </c>
      <c r="Q42" s="19" t="n">
        <f aca="false">Q33*Q36</f>
        <v>20.3483445387715</v>
      </c>
      <c r="R42" s="19" t="n">
        <f aca="false">R33*R36</f>
        <v>20.4399670351905</v>
      </c>
      <c r="S42" s="19" t="n">
        <f aca="false">S33*S36</f>
        <v>20.933672366686</v>
      </c>
      <c r="T42" s="19" t="n">
        <f aca="false">T33*T36</f>
        <v>21.3406240304945</v>
      </c>
      <c r="U42" s="19" t="n">
        <f aca="false">U33*U36</f>
        <v>21.7554868555065</v>
      </c>
      <c r="V42" s="19" t="n">
        <f aca="false">V33*V36</f>
        <v>22.1784146351015</v>
      </c>
      <c r="W42" s="19" t="n">
        <f aca="false">W33*W36</f>
        <v>22.1745712040226</v>
      </c>
      <c r="X42" s="19" t="n">
        <f aca="false">X33*X36</f>
        <v>22.2868110705186</v>
      </c>
      <c r="Y42" s="19" t="n">
        <f aca="false">Y33*Y36</f>
        <v>22.3996190556726</v>
      </c>
      <c r="Z42" s="19" t="n">
        <f aca="false">Z33*Z36</f>
        <v>22.5129980351008</v>
      </c>
    </row>
    <row r="43" customFormat="false" ht="17.15" hidden="false" customHeight="false" outlineLevel="0" collapsed="false">
      <c r="A43" s="0" t="s">
        <v>549</v>
      </c>
      <c r="B43" s="0" t="s">
        <v>285</v>
      </c>
      <c r="C43" s="19" t="n">
        <f aca="false">C33*C37</f>
        <v>1.92</v>
      </c>
      <c r="D43" s="19" t="n">
        <f aca="false">D33*D37</f>
        <v>2.14</v>
      </c>
      <c r="E43" s="19" t="n">
        <f aca="false">E33*E37</f>
        <v>2.84</v>
      </c>
      <c r="F43" s="19" t="n">
        <f aca="false">F33*F37</f>
        <v>3.31</v>
      </c>
      <c r="G43" s="19" t="n">
        <f aca="false">G33*G37</f>
        <v>5.96</v>
      </c>
      <c r="H43" s="19" t="n">
        <f aca="false">H33*H37</f>
        <v>10.72</v>
      </c>
      <c r="I43" s="19" t="n">
        <f aca="false">I33*I37</f>
        <v>14.9513168749304</v>
      </c>
      <c r="J43" s="19" t="n">
        <f aca="false">J33*J37</f>
        <v>16.2035648188888</v>
      </c>
      <c r="K43" s="19" t="n">
        <f aca="false">K33*K37</f>
        <v>17.8543449815733</v>
      </c>
      <c r="L43" s="19" t="n">
        <f aca="false">L33*L37</f>
        <v>18.8786713110699</v>
      </c>
      <c r="M43" s="19" t="n">
        <f aca="false">M33*M37</f>
        <v>18.9636763094518</v>
      </c>
      <c r="N43" s="19" t="n">
        <f aca="false">N33*N37</f>
        <v>18.6480311322868</v>
      </c>
      <c r="O43" s="19" t="n">
        <f aca="false">O33*O37</f>
        <v>18.7319976270738</v>
      </c>
      <c r="P43" s="19" t="n">
        <f aca="false">P33*P37</f>
        <v>18.8163421978194</v>
      </c>
      <c r="Q43" s="19" t="n">
        <f aca="false">Q33*Q37</f>
        <v>18.9010665468864</v>
      </c>
      <c r="R43" s="19" t="n">
        <f aca="false">R33*R37</f>
        <v>18.9861723843027</v>
      </c>
      <c r="S43" s="19" t="n">
        <f aca="false">S33*S37</f>
        <v>19.1874193215442</v>
      </c>
      <c r="T43" s="19" t="n">
        <f aca="false">T33*T37</f>
        <v>19.5604237366471</v>
      </c>
      <c r="U43" s="19" t="n">
        <f aca="false">U33*U37</f>
        <v>19.9406793766988</v>
      </c>
      <c r="V43" s="19" t="n">
        <f aca="false">V33*V37</f>
        <v>20.3283272058839</v>
      </c>
      <c r="W43" s="19" t="n">
        <f aca="false">W33*W37</f>
        <v>20.0593273219312</v>
      </c>
      <c r="X43" s="19" t="n">
        <f aca="false">X33*X37</f>
        <v>20.1608605691764</v>
      </c>
      <c r="Y43" s="19" t="n">
        <f aca="false">Y33*Y37</f>
        <v>20.2629077419451</v>
      </c>
      <c r="Z43" s="19" t="n">
        <f aca="false">Z33*Z37</f>
        <v>20.3654714415474</v>
      </c>
    </row>
    <row r="44" customFormat="false" ht="17.15" hidden="false" customHeight="false" outlineLevel="0" collapsed="false">
      <c r="A44" s="0" t="s">
        <v>550</v>
      </c>
      <c r="B44" s="0" t="s">
        <v>285</v>
      </c>
      <c r="C44" s="19" t="n">
        <f aca="false">C33*C38</f>
        <v>1.69</v>
      </c>
      <c r="D44" s="19" t="n">
        <f aca="false">D33*D38</f>
        <v>1.9</v>
      </c>
      <c r="E44" s="19" t="n">
        <f aca="false">E33*E38</f>
        <v>2.31</v>
      </c>
      <c r="F44" s="19" t="n">
        <f aca="false">F33*F38</f>
        <v>3.03</v>
      </c>
      <c r="G44" s="19" t="n">
        <f aca="false">G33*G38</f>
        <v>5.95</v>
      </c>
      <c r="H44" s="19" t="n">
        <f aca="false">H33*H38</f>
        <v>8.97</v>
      </c>
      <c r="I44" s="19" t="n">
        <f aca="false">I33*I38</f>
        <v>11.0371522587842</v>
      </c>
      <c r="J44" s="19" t="n">
        <f aca="false">J33*J38</f>
        <v>12.4602118149868</v>
      </c>
      <c r="K44" s="19" t="n">
        <f aca="false">K33*K38</f>
        <v>13.7296281882931</v>
      </c>
      <c r="L44" s="19" t="n">
        <f aca="false">L33*L38</f>
        <v>14.5173143040247</v>
      </c>
      <c r="M44" s="19" t="n">
        <f aca="false">M33*M38</f>
        <v>14.5826814190399</v>
      </c>
      <c r="N44" s="19" t="n">
        <f aca="false">N33*N38</f>
        <v>14.3399566970533</v>
      </c>
      <c r="O44" s="19" t="n">
        <f aca="false">O33*O38</f>
        <v>14.4045252239239</v>
      </c>
      <c r="P44" s="19" t="n">
        <f aca="false">P33*P38</f>
        <v>14.4693844835178</v>
      </c>
      <c r="Q44" s="19" t="n">
        <f aca="false">Q33*Q38</f>
        <v>14.5345357849173</v>
      </c>
      <c r="R44" s="19" t="n">
        <f aca="false">R33*R38</f>
        <v>14.5999804430991</v>
      </c>
      <c r="S44" s="19" t="n">
        <f aca="false">S33*S38</f>
        <v>14.7547352450932</v>
      </c>
      <c r="T44" s="19" t="n">
        <f aca="false">T33*T38</f>
        <v>15.0415680545433</v>
      </c>
      <c r="U44" s="19" t="n">
        <f aca="false">U33*U38</f>
        <v>15.3339769085113</v>
      </c>
      <c r="V44" s="19" t="n">
        <f aca="false">V33*V38</f>
        <v>15.6320702055885</v>
      </c>
      <c r="W44" s="19" t="n">
        <f aca="false">W33*W38</f>
        <v>15.4252147654602</v>
      </c>
      <c r="X44" s="19" t="n">
        <f aca="false">X33*X38</f>
        <v>15.5032917677174</v>
      </c>
      <c r="Y44" s="19" t="n">
        <f aca="false">Y33*Y38</f>
        <v>15.5817639682505</v>
      </c>
      <c r="Z44" s="19" t="n">
        <f aca="false">Z33*Z38</f>
        <v>15.660633367414</v>
      </c>
    </row>
    <row r="45" customFormat="false" ht="17.15" hidden="false" customHeight="false" outlineLevel="0" collapsed="false">
      <c r="A45" s="5" t="s">
        <v>551</v>
      </c>
      <c r="B45" s="0" t="s">
        <v>285</v>
      </c>
      <c r="C45" s="19" t="n">
        <f aca="false">C33*C39</f>
        <v>0.905483870967741</v>
      </c>
      <c r="D45" s="19" t="n">
        <f aca="false">D33*D39</f>
        <v>1.12547112462006</v>
      </c>
      <c r="E45" s="19" t="n">
        <f aca="false">E33*E39</f>
        <v>1.69120879120879</v>
      </c>
      <c r="F45" s="19" t="n">
        <f aca="false">F33*F39</f>
        <v>2.39142857142857</v>
      </c>
      <c r="G45" s="19" t="n">
        <f aca="false">G33*G39</f>
        <v>5.05480225988701</v>
      </c>
      <c r="H45" s="19" t="n">
        <f aca="false">H33*H39</f>
        <v>9.83307167235495</v>
      </c>
      <c r="I45" s="19" t="n">
        <f aca="false">I33*I39</f>
        <v>13.1174313033769</v>
      </c>
      <c r="J45" s="19" t="n">
        <f aca="false">J33*J39</f>
        <v>15.6730215261275</v>
      </c>
      <c r="K45" s="19" t="n">
        <f aca="false">K33*K39</f>
        <v>17.6564516686126</v>
      </c>
      <c r="L45" s="19" t="n">
        <f aca="false">L33*L39</f>
        <v>18.6694246087182</v>
      </c>
      <c r="M45" s="19" t="n">
        <f aca="false">M33*M39</f>
        <v>18.7534874319173</v>
      </c>
      <c r="N45" s="19" t="n">
        <f aca="false">N33*N39</f>
        <v>18.4413407908169</v>
      </c>
      <c r="O45" s="19" t="n">
        <f aca="false">O33*O39</f>
        <v>18.9300858179065</v>
      </c>
      <c r="P45" s="19" t="n">
        <f aca="false">P33*P39</f>
        <v>19.0153223204022</v>
      </c>
      <c r="Q45" s="19" t="n">
        <f aca="false">Q33*Q39</f>
        <v>19.1009426173206</v>
      </c>
      <c r="R45" s="19" t="n">
        <f aca="false">R33*R39</f>
        <v>19.1869484367729</v>
      </c>
      <c r="S45" s="19" t="n">
        <f aca="false">S33*S39</f>
        <v>19.805896533396</v>
      </c>
      <c r="T45" s="19" t="n">
        <f aca="false">T33*T39</f>
        <v>20.1909241771987</v>
      </c>
      <c r="U45" s="19" t="n">
        <f aca="false">U33*U39</f>
        <v>20.5834367781324</v>
      </c>
      <c r="V45" s="19" t="n">
        <f aca="false">V33*V39</f>
        <v>20.9835798441473</v>
      </c>
      <c r="W45" s="19" t="n">
        <f aca="false">W33*W39</f>
        <v>21.14036648392</v>
      </c>
      <c r="X45" s="19" t="n">
        <f aca="false">X33*X39</f>
        <v>21.2473715705122</v>
      </c>
      <c r="Y45" s="19" t="n">
        <f aca="false">Y33*Y39</f>
        <v>21.3549182791509</v>
      </c>
      <c r="Z45" s="19" t="n">
        <f aca="false">Z33*Z39</f>
        <v>21.4630093513359</v>
      </c>
    </row>
    <row r="46" customFormat="false" ht="17.15" hidden="false" customHeight="false" outlineLevel="0" collapsed="false">
      <c r="A46" s="0" t="s">
        <v>552</v>
      </c>
      <c r="B46" s="0" t="s">
        <v>25</v>
      </c>
      <c r="C46" s="12" t="n">
        <f aca="false">C37+C38</f>
        <v>0.279077306733167</v>
      </c>
      <c r="D46" s="12" t="n">
        <f aca="false">D37+D38</f>
        <v>0.255607692307692</v>
      </c>
      <c r="E46" s="12" t="n">
        <f aca="false">E37+E38</f>
        <v>0.27406432748538</v>
      </c>
      <c r="F46" s="12" t="n">
        <f aca="false">F37+F38</f>
        <v>0.268969696969697</v>
      </c>
      <c r="G46" s="12" t="n">
        <f aca="false">G37+G38</f>
        <v>0.270960154241645</v>
      </c>
      <c r="H46" s="12" t="n">
        <f aca="false">H37+H38</f>
        <v>0.250180832610581</v>
      </c>
      <c r="I46" s="12" t="n">
        <f aca="false">I37+I38</f>
        <v>0.251873605888391</v>
      </c>
      <c r="J46" s="12" t="n">
        <f aca="false">J37+J38</f>
        <v>0.245026657759283</v>
      </c>
      <c r="K46" s="12" t="n">
        <f aca="false">K37+K38</f>
        <v>0.245026657759283</v>
      </c>
      <c r="L46" s="12" t="n">
        <f aca="false">L37+L38</f>
        <v>0.245026657759283</v>
      </c>
      <c r="M46" s="12" t="n">
        <f aca="false">M37+M38</f>
        <v>0.245026657759283</v>
      </c>
      <c r="N46" s="12" t="n">
        <f aca="false">N37+N38</f>
        <v>0.245026657759283</v>
      </c>
      <c r="O46" s="12" t="n">
        <f aca="false">O37+O38</f>
        <v>0.245026657759283</v>
      </c>
      <c r="P46" s="12" t="n">
        <f aca="false">P37+P38</f>
        <v>0.245026657759283</v>
      </c>
      <c r="Q46" s="12" t="n">
        <f aca="false">Q37+Q38</f>
        <v>0.245026657759283</v>
      </c>
      <c r="R46" s="12" t="n">
        <f aca="false">R37+R38</f>
        <v>0.245026657759283</v>
      </c>
      <c r="S46" s="12" t="n">
        <f aca="false">S37+S38</f>
        <v>0.245026657759283</v>
      </c>
      <c r="T46" s="12" t="n">
        <f aca="false">T37+T38</f>
        <v>0.245026657759283</v>
      </c>
      <c r="U46" s="12" t="n">
        <f aca="false">U37+U38</f>
        <v>0.245026657759283</v>
      </c>
      <c r="V46" s="12" t="n">
        <f aca="false">V37+V38</f>
        <v>0.245026657759283</v>
      </c>
      <c r="W46" s="12" t="n">
        <f aca="false">W37+W38</f>
        <v>0.245026657759283</v>
      </c>
      <c r="X46" s="12" t="n">
        <f aca="false">X37+X38</f>
        <v>0.245026657759283</v>
      </c>
      <c r="Y46" s="12" t="n">
        <f aca="false">Y37+Y38</f>
        <v>0.245026657759283</v>
      </c>
      <c r="Z46" s="12" t="n">
        <f aca="false">Z37+Z38</f>
        <v>0.245026657759283</v>
      </c>
    </row>
    <row r="47" customFormat="false" ht="17.15" hidden="false" customHeight="false" outlineLevel="0" collapsed="false">
      <c r="A47" s="0" t="s">
        <v>553</v>
      </c>
      <c r="B47" s="0" t="s">
        <v>222</v>
      </c>
      <c r="C47" s="19" t="n">
        <f aca="false">C32*C37</f>
        <v>35.5454438457651</v>
      </c>
      <c r="D47" s="19" t="n">
        <f aca="false">D32*D37</f>
        <v>33.3561735612603</v>
      </c>
      <c r="E47" s="19" t="n">
        <f aca="false">E32*E37</f>
        <v>38.3034616573653</v>
      </c>
      <c r="F47" s="19" t="n">
        <f aca="false">F32*F37</f>
        <v>36.6117929947199</v>
      </c>
      <c r="G47" s="19" t="n">
        <f aca="false">G32*G37</f>
        <v>38.1333152375469</v>
      </c>
      <c r="H47" s="19" t="n">
        <f aca="false">H32*H37</f>
        <v>40.1757580440862</v>
      </c>
      <c r="I47" s="19" t="n">
        <f aca="false">I32*I37</f>
        <v>44.8269021796765</v>
      </c>
      <c r="J47" s="19" t="n">
        <f aca="false">J32*J37</f>
        <v>44.9411476117569</v>
      </c>
      <c r="K47" s="19" t="n">
        <f aca="false">K32*K37</f>
        <v>48.0773237904583</v>
      </c>
      <c r="L47" s="19" t="n">
        <f aca="false">L32*L37</f>
        <v>50.835580599158</v>
      </c>
      <c r="M47" s="19" t="n">
        <f aca="false">M32*M37</f>
        <v>53.7520820858664</v>
      </c>
      <c r="N47" s="19" t="n">
        <f aca="false">N32*N37</f>
        <v>56.8359069476934</v>
      </c>
      <c r="O47" s="19" t="n">
        <f aca="false">O32*O37</f>
        <v>60.0966547380729</v>
      </c>
      <c r="P47" s="19" t="n">
        <f aca="false">P32*P37</f>
        <v>63.5444757489475</v>
      </c>
      <c r="Q47" s="19" t="n">
        <f aca="false">Q32*Q37</f>
        <v>67.190102607333</v>
      </c>
      <c r="R47" s="19" t="n">
        <f aca="false">R32*R37</f>
        <v>71.0448836846168</v>
      </c>
      <c r="S47" s="19" t="n">
        <f aca="false">S32*S37</f>
        <v>74.0184898623123</v>
      </c>
      <c r="T47" s="19" t="n">
        <f aca="false">T32*T37</f>
        <v>77.7911475249602</v>
      </c>
      <c r="U47" s="19" t="n">
        <f aca="false">U32*U37</f>
        <v>81.7560942476254</v>
      </c>
      <c r="V47" s="19" t="n">
        <f aca="false">V32*V37</f>
        <v>85.9231308354458</v>
      </c>
      <c r="W47" s="19" t="n">
        <f aca="false">W32*W37</f>
        <v>87.5395173614874</v>
      </c>
      <c r="X47" s="19" t="n">
        <f aca="false">X32*X37</f>
        <v>90.8398023892908</v>
      </c>
      <c r="Y47" s="19" t="n">
        <f aca="false">Y32*Y37</f>
        <v>94.2645098675832</v>
      </c>
      <c r="Z47" s="19" t="n">
        <f aca="false">Z32*Z37</f>
        <v>97.8183305870253</v>
      </c>
      <c r="AB47" s="5" t="s">
        <v>554</v>
      </c>
    </row>
    <row r="48" customFormat="false" ht="17.15" hidden="false" customHeight="false" outlineLevel="0" collapsed="false">
      <c r="A48" s="0" t="s">
        <v>555</v>
      </c>
      <c r="B48" s="0" t="s">
        <v>222</v>
      </c>
      <c r="C48" s="19" t="n">
        <f aca="false">C32*C38</f>
        <v>31.2873958850745</v>
      </c>
      <c r="D48" s="19" t="n">
        <f aca="false">D32*D38</f>
        <v>29.6152942833619</v>
      </c>
      <c r="E48" s="19" t="n">
        <f aca="false">E32*E38</f>
        <v>31.1552804325753</v>
      </c>
      <c r="F48" s="19" t="n">
        <f aca="false">F32*F38</f>
        <v>33.5147228924475</v>
      </c>
      <c r="G48" s="19" t="n">
        <f aca="false">G32*G38</f>
        <v>38.0693331650007</v>
      </c>
      <c r="H48" s="19" t="n">
        <f aca="false">H32*H38</f>
        <v>33.6172154529341</v>
      </c>
      <c r="I48" s="19" t="n">
        <f aca="false">I32*I38</f>
        <v>33.0914894510934</v>
      </c>
      <c r="J48" s="19" t="n">
        <f aca="false">J32*J38</f>
        <v>34.5588285485368</v>
      </c>
      <c r="K48" s="19" t="n">
        <f aca="false">K32*K38</f>
        <v>36.9704842497676</v>
      </c>
      <c r="L48" s="19" t="n">
        <f aca="false">L32*L38</f>
        <v>39.0915276411862</v>
      </c>
      <c r="M48" s="19" t="n">
        <f aca="false">M32*M38</f>
        <v>41.3342579717828</v>
      </c>
      <c r="N48" s="19" t="n">
        <f aca="false">N32*N38</f>
        <v>43.7056565750022</v>
      </c>
      <c r="O48" s="19" t="n">
        <f aca="false">O32*O38</f>
        <v>46.2131053122095</v>
      </c>
      <c r="P48" s="19" t="n">
        <f aca="false">P32*P38</f>
        <v>48.8644095514828</v>
      </c>
      <c r="Q48" s="19" t="n">
        <f aca="false">Q32*Q38</f>
        <v>51.6678224647285</v>
      </c>
      <c r="R48" s="19" t="n">
        <f aca="false">R32*R38</f>
        <v>54.6320707187528</v>
      </c>
      <c r="S48" s="19" t="n">
        <f aca="false">S32*S38</f>
        <v>56.9187133953845</v>
      </c>
      <c r="T48" s="19" t="n">
        <f aca="false">T32*T38</f>
        <v>59.8198104136917</v>
      </c>
      <c r="U48" s="19" t="n">
        <f aca="false">U32*U38</f>
        <v>62.8687738085834</v>
      </c>
      <c r="V48" s="19" t="n">
        <f aca="false">V32*V38</f>
        <v>66.0731401998922</v>
      </c>
      <c r="W48" s="19" t="n">
        <f aca="false">W32*W38</f>
        <v>67.316108566081</v>
      </c>
      <c r="X48" s="19" t="n">
        <f aca="false">X32*X38</f>
        <v>69.8539606348013</v>
      </c>
      <c r="Y48" s="19" t="n">
        <f aca="false">Y32*Y38</f>
        <v>72.4874910375772</v>
      </c>
      <c r="Z48" s="19" t="n">
        <f aca="false">Z32*Z38</f>
        <v>75.2203068970304</v>
      </c>
    </row>
    <row r="49" customFormat="false" ht="17.15" hidden="false" customHeight="false" outlineLevel="0" collapsed="false">
      <c r="A49" s="5" t="s">
        <v>556</v>
      </c>
      <c r="B49" s="0" t="s">
        <v>557</v>
      </c>
      <c r="C49" s="17" t="n">
        <f aca="false">ABS(SUM(C34:C39)-1)+ABS(SUM(I34:I39)-1)+ABS(SUM(Z34:Z39)-1)+ABS(H44-rv_sd_5)</f>
        <v>0</v>
      </c>
    </row>
    <row r="52" customFormat="false" ht="17.15" hidden="false" customHeight="false" outlineLevel="0" collapsed="false">
      <c r="A52" s="3" t="s">
        <v>558</v>
      </c>
    </row>
    <row r="53" customFormat="false" ht="17.15" hidden="false" customHeight="false" outlineLevel="0" collapsed="false">
      <c r="A53" s="9" t="s">
        <v>508</v>
      </c>
      <c r="B53" s="6" t="s">
        <v>15</v>
      </c>
      <c r="C53" s="9" t="s">
        <v>427</v>
      </c>
      <c r="D53" s="9" t="s">
        <v>428</v>
      </c>
      <c r="E53" s="9" t="s">
        <v>429</v>
      </c>
      <c r="F53" s="9" t="s">
        <v>430</v>
      </c>
      <c r="G53" s="9" t="s">
        <v>431</v>
      </c>
      <c r="H53" s="9" t="s">
        <v>432</v>
      </c>
      <c r="I53" s="9" t="s">
        <v>433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6" t="s">
        <v>434</v>
      </c>
    </row>
    <row r="54" customFormat="false" ht="17.15" hidden="false" customHeight="false" outlineLevel="0" collapsed="false">
      <c r="A54" s="5" t="s">
        <v>509</v>
      </c>
      <c r="B54" s="5" t="s">
        <v>168</v>
      </c>
      <c r="E54" s="10" t="n">
        <f aca="false">(u_26)*1</f>
        <v>15.2</v>
      </c>
      <c r="F54" s="10" t="n">
        <f aca="false">(u_27)*1</f>
        <v>23.7</v>
      </c>
      <c r="G54" s="10" t="n">
        <f aca="false">(u_28)*um28_B</f>
        <v>21.2</v>
      </c>
      <c r="H54" s="10" t="n">
        <f aca="false">(u_28*(1+g_u29))*um29_B</f>
        <v>25.6275</v>
      </c>
      <c r="I54" s="10" t="n">
        <f aca="false">(u_28*(1+g_u29)*(1+g_u30))*um29_B</f>
        <v>26.908875</v>
      </c>
      <c r="AB54" s="8" t="s">
        <v>510</v>
      </c>
    </row>
    <row r="55" customFormat="false" ht="17.15" hidden="false" customHeight="false" outlineLevel="0" collapsed="false">
      <c r="A55" s="5" t="s">
        <v>511</v>
      </c>
      <c r="B55" s="0" t="s">
        <v>512</v>
      </c>
      <c r="E55" s="18" t="n">
        <f aca="false">tb_26</f>
        <v>30</v>
      </c>
      <c r="F55" s="18" t="n">
        <f aca="false">tb_27</f>
        <v>34</v>
      </c>
      <c r="G55" s="18" t="n">
        <f aca="false">tb_28</f>
        <v>40</v>
      </c>
      <c r="H55" s="18" t="n">
        <f aca="false">tb_29</f>
        <v>46</v>
      </c>
      <c r="I55" s="18" t="n">
        <f aca="false">tb_30</f>
        <v>52</v>
      </c>
    </row>
    <row r="56" customFormat="false" ht="17.15" hidden="false" customHeight="false" outlineLevel="0" collapsed="false">
      <c r="A56" s="5" t="s">
        <v>513</v>
      </c>
      <c r="B56" s="0" t="s">
        <v>222</v>
      </c>
      <c r="D56" s="10" t="n">
        <f aca="false">bits25*sh_essd25*ai25</f>
        <v>165</v>
      </c>
      <c r="E56" s="10" t="n">
        <f aca="false">E54*E55</f>
        <v>456</v>
      </c>
      <c r="F56" s="10" t="n">
        <f aca="false">F54*F55</f>
        <v>805.8</v>
      </c>
      <c r="G56" s="10" t="n">
        <f aca="false">G54*G55</f>
        <v>848</v>
      </c>
      <c r="H56" s="10" t="n">
        <f aca="false">H54*H55</f>
        <v>1178.865</v>
      </c>
      <c r="I56" s="10" t="n">
        <f aca="false">I54*I55</f>
        <v>1399.2615</v>
      </c>
      <c r="AB56" s="5" t="s">
        <v>514</v>
      </c>
    </row>
    <row r="57" customFormat="false" ht="17.15" hidden="false" customHeight="false" outlineLevel="0" collapsed="false">
      <c r="A57" s="5" t="s">
        <v>515</v>
      </c>
      <c r="B57" s="0" t="s">
        <v>222</v>
      </c>
      <c r="D57" s="10" t="n">
        <f aca="false">bits25*sh_essd25*(1-ai25)</f>
        <v>135</v>
      </c>
      <c r="E57" s="10" t="n">
        <f aca="false">D57*(1+g_nai)</f>
        <v>148.5</v>
      </c>
      <c r="F57" s="10" t="n">
        <f aca="false">E57*(1+g_nai)</f>
        <v>163.35</v>
      </c>
      <c r="G57" s="10" t="n">
        <f aca="false">F57*(1+g_nai)</f>
        <v>179.685</v>
      </c>
      <c r="H57" s="10" t="n">
        <f aca="false">G57*(1+g_nai)</f>
        <v>197.6535</v>
      </c>
      <c r="I57" s="10" t="n">
        <f aca="false">H57*(1+g_nai)</f>
        <v>217.41885</v>
      </c>
    </row>
    <row r="58" customFormat="false" ht="15" hidden="false" customHeight="false" outlineLevel="0" collapsed="false">
      <c r="A58" s="5" t="s">
        <v>516</v>
      </c>
      <c r="B58" s="0" t="s">
        <v>222</v>
      </c>
      <c r="D58" s="10" t="n">
        <f aca="false">bits25*sh_mob25</f>
        <v>320</v>
      </c>
      <c r="E58" s="10" t="n">
        <f aca="false">D58*(1+g_mob_26)</f>
        <v>304</v>
      </c>
      <c r="F58" s="10" t="n">
        <f aca="false">E58*(1+g_mob_27)</f>
        <v>313.12</v>
      </c>
      <c r="G58" s="10" t="n">
        <f aca="false">F58*(1+g_mob_28)</f>
        <v>338.1696</v>
      </c>
      <c r="H58" s="10" t="n">
        <f aca="false">G58*(1+g_mob_28)</f>
        <v>365.223168</v>
      </c>
      <c r="I58" s="10" t="n">
        <f aca="false">H58*(1+g_mob_28)</f>
        <v>394.44102144</v>
      </c>
    </row>
    <row r="59" customFormat="false" ht="17.15" hidden="false" customHeight="false" outlineLevel="0" collapsed="false">
      <c r="A59" s="5" t="s">
        <v>517</v>
      </c>
      <c r="B59" s="0" t="s">
        <v>222</v>
      </c>
      <c r="D59" s="10" t="n">
        <f aca="false">bits25*sh_pc25</f>
        <v>230</v>
      </c>
      <c r="E59" s="10" t="n">
        <f aca="false">D59*(1+g_pc_26)</f>
        <v>218.5</v>
      </c>
      <c r="F59" s="10" t="n">
        <f aca="false">E59*(1+g_pc_27)</f>
        <v>218.5</v>
      </c>
      <c r="G59" s="10" t="n">
        <f aca="false">F59*(1+g_pc_28)</f>
        <v>231.61</v>
      </c>
      <c r="H59" s="10" t="n">
        <f aca="false">G59*(1+g_pc_28)</f>
        <v>245.5066</v>
      </c>
      <c r="I59" s="10" t="n">
        <f aca="false">H59*(1+g_pc_28)</f>
        <v>260.236996</v>
      </c>
    </row>
    <row r="60" customFormat="false" ht="15" hidden="false" customHeight="false" outlineLevel="0" collapsed="false">
      <c r="A60" s="5" t="s">
        <v>518</v>
      </c>
      <c r="B60" s="0" t="s">
        <v>222</v>
      </c>
      <c r="D60" s="10" t="n">
        <f aca="false">bits25*(1-sh_essd25-sh_mob25-sh_pc25)</f>
        <v>150</v>
      </c>
      <c r="E60" s="10" t="n">
        <f aca="false">D60*(1+g_con_26)</f>
        <v>135</v>
      </c>
      <c r="F60" s="10" t="n">
        <f aca="false">E60*(1+g_con_27)</f>
        <v>135</v>
      </c>
      <c r="G60" s="10" t="n">
        <f aca="false">F60*(1+g_con_28)</f>
        <v>141.75</v>
      </c>
      <c r="H60" s="10" t="n">
        <f aca="false">G60*(1+g_con_28)</f>
        <v>148.8375</v>
      </c>
      <c r="I60" s="10" t="n">
        <f aca="false">H60*(1+g_con_28)</f>
        <v>156.279375</v>
      </c>
    </row>
    <row r="61" customFormat="false" ht="15" hidden="false" customHeight="false" outlineLevel="0" collapsed="false">
      <c r="A61" s="5" t="s">
        <v>442</v>
      </c>
      <c r="B61" s="0" t="s">
        <v>222</v>
      </c>
      <c r="D61" s="10" t="n">
        <f aca="false">SUM(D56:D60)</f>
        <v>1000</v>
      </c>
      <c r="E61" s="10" t="n">
        <f aca="false">SUM(E56:E60)</f>
        <v>1262</v>
      </c>
      <c r="F61" s="10" t="n">
        <f aca="false">SUM(F56:F60)</f>
        <v>1635.77</v>
      </c>
      <c r="G61" s="10" t="n">
        <f aca="false">SUM(G56:G60)</f>
        <v>1739.2146</v>
      </c>
      <c r="H61" s="10" t="n">
        <f aca="false">SUM(H56:H60)</f>
        <v>2136.085768</v>
      </c>
      <c r="I61" s="10" t="n">
        <f aca="false">SUM(I56:I60)</f>
        <v>2427.63774244</v>
      </c>
    </row>
    <row r="62" customFormat="false" ht="17.15" hidden="false" customHeight="false" outlineLevel="0" collapsed="false">
      <c r="A62" s="5" t="s">
        <v>519</v>
      </c>
      <c r="B62" s="0" t="s">
        <v>25</v>
      </c>
      <c r="D62" s="12" t="n">
        <f aca="false">(D56+D57)/D61</f>
        <v>0.3</v>
      </c>
      <c r="E62" s="12" t="n">
        <f aca="false">(E56+E57)/E61</f>
        <v>0.479001584786054</v>
      </c>
      <c r="F62" s="12" t="n">
        <f aca="false">(F56+F57)/F61</f>
        <v>0.592473269469424</v>
      </c>
      <c r="G62" s="12" t="n">
        <f aca="false">(G56+G57)/G61</f>
        <v>0.590890278864954</v>
      </c>
      <c r="H62" s="12" t="n">
        <f aca="false">(H56+H57)/H61</f>
        <v>0.644411624580423</v>
      </c>
      <c r="I62" s="12" t="n">
        <f aca="false">(I56+I57)/I61</f>
        <v>0.665947938498883</v>
      </c>
    </row>
    <row r="63" customFormat="false" ht="17.15" hidden="false" customHeight="false" outlineLevel="0" collapsed="false">
      <c r="A63" s="5" t="s">
        <v>520</v>
      </c>
      <c r="B63" s="0" t="s">
        <v>222</v>
      </c>
      <c r="D63" s="10" t="n">
        <f aca="false">bits25</f>
        <v>1000</v>
      </c>
      <c r="E63" s="10" t="n">
        <f aca="false">D63*(1+gs_26)</f>
        <v>1210</v>
      </c>
      <c r="F63" s="10" t="n">
        <f aca="false">E63*(1+gs_27)</f>
        <v>1512.5</v>
      </c>
      <c r="G63" s="10" t="n">
        <f aca="false">F63*(1+gs_28)</f>
        <v>1890.625</v>
      </c>
      <c r="H63" s="10" t="n">
        <f aca="false">G63*(1+gs_29)</f>
        <v>2306.5625</v>
      </c>
      <c r="I63" s="10" t="n">
        <f aca="false">H63*(1+gs_30)</f>
        <v>2767.875</v>
      </c>
      <c r="AB63" s="8" t="s">
        <v>521</v>
      </c>
    </row>
    <row r="64" customFormat="false" ht="17.15" hidden="false" customHeight="false" outlineLevel="0" collapsed="false">
      <c r="A64" s="5" t="s">
        <v>522</v>
      </c>
      <c r="B64" s="0" t="s">
        <v>25</v>
      </c>
      <c r="E64" s="12" t="n">
        <f aca="false">E61/E63-1</f>
        <v>0.0429752066115703</v>
      </c>
      <c r="F64" s="12" t="n">
        <f aca="false">F61/F63-1</f>
        <v>0.0815008264462809</v>
      </c>
      <c r="G64" s="12" t="n">
        <f aca="false">G61/G63-1</f>
        <v>-0.0800848396694214</v>
      </c>
      <c r="H64" s="12" t="n">
        <f aca="false">H61/H63-1</f>
        <v>-0.073909435361062</v>
      </c>
      <c r="I64" s="12" t="n">
        <f aca="false">I61/I63-1</f>
        <v>-0.122923635482093</v>
      </c>
    </row>
    <row r="65" customFormat="false" ht="17.15" hidden="false" customHeight="false" outlineLevel="0" collapsed="false">
      <c r="A65" s="5" t="s">
        <v>523</v>
      </c>
      <c r="B65" s="0" t="s">
        <v>222</v>
      </c>
      <c r="C65" s="10" t="n">
        <f aca="false">bits25/(1+g25)</f>
        <v>892.857142857143</v>
      </c>
      <c r="D65" s="10" t="n">
        <f aca="false">bits25</f>
        <v>1000</v>
      </c>
      <c r="E65" s="10" t="n">
        <f aca="false">MIN(E61,E63)</f>
        <v>1210</v>
      </c>
      <c r="F65" s="10" t="n">
        <f aca="false">MIN(F61,F63)</f>
        <v>1512.5</v>
      </c>
      <c r="G65" s="10" t="n">
        <f aca="false">MIN(G61,G63)</f>
        <v>1739.2146</v>
      </c>
      <c r="H65" s="10" t="n">
        <f aca="false">MIN(H61,H63)</f>
        <v>2136.085768</v>
      </c>
      <c r="I65" s="10" t="n">
        <f aca="false">MIN(I61,I63)</f>
        <v>2427.63774244</v>
      </c>
    </row>
    <row r="66" customFormat="false" ht="15" hidden="false" customHeight="false" outlineLevel="0" collapsed="false">
      <c r="A66" s="5" t="s">
        <v>447</v>
      </c>
      <c r="B66" s="0" t="s">
        <v>25</v>
      </c>
      <c r="D66" s="12" t="n">
        <f aca="false">D65/C65-1</f>
        <v>0.12</v>
      </c>
      <c r="E66" s="12" t="n">
        <f aca="false">E65/D65-1</f>
        <v>0.21</v>
      </c>
      <c r="F66" s="12" t="n">
        <f aca="false">F65/E65-1</f>
        <v>0.25</v>
      </c>
      <c r="G66" s="12" t="n">
        <f aca="false">G65/F65-1</f>
        <v>0.149893950413223</v>
      </c>
      <c r="H66" s="12" t="n">
        <f aca="false">H65/G65-1</f>
        <v>0.228189878350837</v>
      </c>
      <c r="I66" s="12" t="n">
        <f aca="false">I65/H65-1</f>
        <v>0.13648888954163</v>
      </c>
    </row>
    <row r="67" customFormat="false" ht="17.15" hidden="false" customHeight="false" outlineLevel="0" collapsed="false">
      <c r="A67" s="0" t="s">
        <v>524</v>
      </c>
      <c r="B67" s="0" t="s">
        <v>285</v>
      </c>
      <c r="C67" s="10" t="n">
        <f aca="false">rev24</f>
        <v>67.4</v>
      </c>
      <c r="D67" s="10" t="n">
        <f aca="false">SUM(C81:F81)</f>
        <v>71.1035923582252</v>
      </c>
      <c r="E67" s="10" t="n">
        <f aca="false">SUM(G81:J81)</f>
        <v>342.820749524408</v>
      </c>
      <c r="F67" s="10" t="n">
        <f aca="false">SUM(K81:N81)</f>
        <v>522.072883308637</v>
      </c>
      <c r="G67" s="10" t="n">
        <f aca="false">SUM(O81:R81)</f>
        <v>242.305690617068</v>
      </c>
      <c r="H67" s="10" t="n">
        <f aca="false">SUM(S81:V81)</f>
        <v>250.742776811325</v>
      </c>
      <c r="I67" s="10" t="n">
        <f aca="false">SUM(W81:Z81)</f>
        <v>275.322126313529</v>
      </c>
      <c r="AB67" s="8" t="s">
        <v>525</v>
      </c>
    </row>
    <row r="68" customFormat="false" ht="15" hidden="false" customHeight="false" outlineLevel="0" collapsed="false">
      <c r="A68" s="5" t="s">
        <v>453</v>
      </c>
      <c r="B68" s="0" t="s">
        <v>25</v>
      </c>
      <c r="D68" s="12" t="n">
        <f aca="false">D67/C67-1</f>
        <v>0.0549494415166936</v>
      </c>
      <c r="E68" s="12" t="n">
        <f aca="false">E67/D67-1</f>
        <v>3.82142657149095</v>
      </c>
      <c r="F68" s="12" t="n">
        <f aca="false">F67/E67-1</f>
        <v>0.522874225182997</v>
      </c>
      <c r="G68" s="12" t="n">
        <f aca="false">G67/F67-1</f>
        <v>-0.535877655469374</v>
      </c>
      <c r="H68" s="12" t="n">
        <f aca="false">H67/G67-1</f>
        <v>0.0348200084478838</v>
      </c>
      <c r="I68" s="12" t="n">
        <f aca="false">I67/H67-1</f>
        <v>0.0980261517989784</v>
      </c>
    </row>
    <row r="69" customFormat="false" ht="17.15" hidden="false" customHeight="false" outlineLevel="0" collapsed="false">
      <c r="A69" s="5" t="s">
        <v>526</v>
      </c>
      <c r="B69" s="0" t="s">
        <v>449</v>
      </c>
      <c r="C69" s="13" t="n">
        <f aca="false">C67/C65</f>
        <v>0.075488</v>
      </c>
      <c r="D69" s="13" t="n">
        <f aca="false">D67/D65</f>
        <v>0.0711035923582252</v>
      </c>
      <c r="E69" s="13" t="n">
        <f aca="false">E67/E65</f>
        <v>0.283322933491246</v>
      </c>
      <c r="F69" s="13" t="n">
        <f aca="false">F67/F65</f>
        <v>0.345172154253644</v>
      </c>
      <c r="G69" s="13" t="n">
        <f aca="false">G67/G65</f>
        <v>0.139319029760369</v>
      </c>
      <c r="H69" s="13" t="n">
        <f aca="false">H67/H65</f>
        <v>0.117384227060365</v>
      </c>
      <c r="I69" s="13" t="n">
        <f aca="false">I67/I65</f>
        <v>0.113411536449753</v>
      </c>
    </row>
    <row r="70" customFormat="false" ht="17.15" hidden="false" customHeight="false" outlineLevel="0" collapsed="false">
      <c r="A70" s="5" t="s">
        <v>450</v>
      </c>
      <c r="B70" s="0" t="s">
        <v>25</v>
      </c>
      <c r="D70" s="12" t="n">
        <f aca="false">D69/C69-1</f>
        <v>-0.0580808557886665</v>
      </c>
      <c r="E70" s="12" t="n">
        <f aca="false">E69/D69-1</f>
        <v>2.98465005908343</v>
      </c>
      <c r="F70" s="12" t="n">
        <f aca="false">F69/E69-1</f>
        <v>0.218299380146398</v>
      </c>
      <c r="G70" s="12" t="n">
        <f aca="false">G69/F69-1</f>
        <v>-0.596378131771334</v>
      </c>
      <c r="H70" s="12" t="n">
        <f aca="false">H69/G69-1</f>
        <v>-0.157442976295003</v>
      </c>
      <c r="I70" s="12" t="n">
        <f aca="false">I69/H69-1</f>
        <v>-0.0338434788906424</v>
      </c>
      <c r="AB70" s="8" t="s">
        <v>527</v>
      </c>
    </row>
    <row r="71" customFormat="false" ht="15" hidden="false" customHeight="false" outlineLevel="0" collapsed="false">
      <c r="A71" s="5" t="s">
        <v>528</v>
      </c>
      <c r="B71" s="0" t="s">
        <v>25</v>
      </c>
      <c r="D71" s="12" t="n">
        <f aca="false">SUM(C88:F88)/D67</f>
        <v>0.309407714439551</v>
      </c>
      <c r="E71" s="12" t="n">
        <f aca="false">SUM(G88:J88)/E67</f>
        <v>0.298146371102126</v>
      </c>
      <c r="F71" s="12" t="n">
        <f aca="false">SUM(K88:N88)/F67</f>
        <v>0.293146371102126</v>
      </c>
      <c r="G71" s="12" t="n">
        <f aca="false">SUM(O88:R88)/G67</f>
        <v>0.288146371102126</v>
      </c>
      <c r="H71" s="12" t="n">
        <f aca="false">SUM(S88:V88)/H67</f>
        <v>0.283146371102126</v>
      </c>
      <c r="I71" s="12" t="n">
        <f aca="false">SUM(W88:Z88)/I67</f>
        <v>0.278146371102126</v>
      </c>
    </row>
    <row r="72" customFormat="false" ht="17.15" hidden="false" customHeight="false" outlineLevel="0" collapsed="false">
      <c r="A72" s="5" t="s">
        <v>529</v>
      </c>
      <c r="B72" s="0" t="s">
        <v>25</v>
      </c>
      <c r="D72" s="12" t="n">
        <f aca="false">SUM(C89:F89)/D67</f>
        <v>0.200693094775109</v>
      </c>
      <c r="E72" s="12" t="n">
        <f aca="false">SUM(G89:J89)/E67</f>
        <v>0.177730130982399</v>
      </c>
      <c r="F72" s="12" t="n">
        <f aca="false">SUM(K89:N89)/F67</f>
        <v>0.177730130982399</v>
      </c>
      <c r="G72" s="12" t="n">
        <f aca="false">SUM(O89:R89)/G67</f>
        <v>0.177730130982399</v>
      </c>
      <c r="H72" s="12" t="n">
        <f aca="false">SUM(S89:V89)/H67</f>
        <v>0.177730130982399</v>
      </c>
      <c r="I72" s="12" t="n">
        <f aca="false">SUM(W89:Z89)/I67</f>
        <v>0.177730130982399</v>
      </c>
    </row>
    <row r="73" customFormat="false" ht="15" hidden="false" customHeight="false" outlineLevel="0" collapsed="false">
      <c r="A73" s="5" t="s">
        <v>530</v>
      </c>
      <c r="B73" s="0" t="s">
        <v>25</v>
      </c>
      <c r="D73" s="12" t="n">
        <f aca="false">SUM(C90:F90)/D67</f>
        <v>0.134732995651405</v>
      </c>
      <c r="E73" s="12" t="n">
        <f aca="false">SUM(G90:J90)/E67</f>
        <v>0.14511909777462</v>
      </c>
      <c r="F73" s="12" t="n">
        <f aca="false">SUM(K90:N90)/F67</f>
        <v>0.14711909777462</v>
      </c>
      <c r="G73" s="12" t="n">
        <f aca="false">SUM(O90:R90)/G67</f>
        <v>0.14911909777462</v>
      </c>
      <c r="H73" s="12" t="n">
        <f aca="false">SUM(S90:V90)/H67</f>
        <v>0.15111909777462</v>
      </c>
      <c r="I73" s="12" t="n">
        <f aca="false">SUM(W90:Z90)/I67</f>
        <v>0.15311909777462</v>
      </c>
    </row>
    <row r="74" customFormat="false" ht="17.15" hidden="false" customHeight="false" outlineLevel="0" collapsed="false">
      <c r="A74" s="5" t="s">
        <v>531</v>
      </c>
      <c r="B74" s="0" t="s">
        <v>25</v>
      </c>
      <c r="D74" s="12" t="n">
        <f aca="false">SUM(C91:F91)/D67</f>
        <v>0.143593307473992</v>
      </c>
      <c r="E74" s="12" t="n">
        <f aca="false">SUM(G91:J91)/E67</f>
        <v>0.139533216003349</v>
      </c>
      <c r="F74" s="12" t="n">
        <f aca="false">SUM(K91:N91)/F67</f>
        <v>0.136787070004634</v>
      </c>
      <c r="G74" s="12" t="n">
        <f aca="false">SUM(O91:R91)/G67</f>
        <v>0.135061152622043</v>
      </c>
      <c r="H74" s="12" t="n">
        <f aca="false">SUM(S91:V91)/H67</f>
        <v>0.133335235239453</v>
      </c>
      <c r="I74" s="12" t="n">
        <f aca="false">SUM(W91:Z91)/I67</f>
        <v>0.131609317856862</v>
      </c>
    </row>
    <row r="75" customFormat="false" ht="17.15" hidden="false" customHeight="false" outlineLevel="0" collapsed="false">
      <c r="A75" s="5" t="s">
        <v>532</v>
      </c>
      <c r="B75" s="0" t="s">
        <v>25</v>
      </c>
      <c r="D75" s="12" t="n">
        <f aca="false">SUM(C92:F92)/D67</f>
        <v>0.125591404088418</v>
      </c>
      <c r="E75" s="12" t="n">
        <f aca="false">SUM(G92:J92)/E67</f>
        <v>0.112062540342342</v>
      </c>
      <c r="F75" s="12" t="n">
        <f aca="false">SUM(K92:N92)/F67</f>
        <v>0.105239587754649</v>
      </c>
      <c r="G75" s="12" t="n">
        <f aca="false">SUM(O92:R92)/G67</f>
        <v>0.103965505137239</v>
      </c>
      <c r="H75" s="12" t="n">
        <f aca="false">SUM(S92:V92)/H67</f>
        <v>0.10269142251983</v>
      </c>
      <c r="I75" s="12" t="n">
        <f aca="false">SUM(W92:Z92)/I67</f>
        <v>0.10141733990242</v>
      </c>
    </row>
    <row r="76" customFormat="false" ht="15" hidden="false" customHeight="false" outlineLevel="0" collapsed="false">
      <c r="A76" s="5" t="s">
        <v>533</v>
      </c>
      <c r="B76" s="0" t="s">
        <v>25</v>
      </c>
      <c r="D76" s="12" t="n">
        <f aca="false">SUM(C93:F93)/D67</f>
        <v>0.0859814835715252</v>
      </c>
      <c r="E76" s="12" t="n">
        <f aca="false">SUM(G93:J93)/E67</f>
        <v>0.127408643795164</v>
      </c>
      <c r="F76" s="12" t="n">
        <f aca="false">SUM(K93:N93)/F67</f>
        <v>0.139977742381572</v>
      </c>
      <c r="G76" s="12" t="n">
        <f aca="false">SUM(O93:R93)/G67</f>
        <v>0.145977742381572</v>
      </c>
      <c r="H76" s="12" t="n">
        <f aca="false">SUM(S93:V93)/H67</f>
        <v>0.151977742381572</v>
      </c>
      <c r="I76" s="12" t="n">
        <f aca="false">SUM(W93:Z93)/I67</f>
        <v>0.157977742381572</v>
      </c>
    </row>
    <row r="78" customFormat="false" ht="17.15" hidden="false" customHeight="false" outlineLevel="0" collapsed="false">
      <c r="A78" s="9" t="s">
        <v>534</v>
      </c>
      <c r="B78" s="6" t="s">
        <v>15</v>
      </c>
      <c r="C78" s="9" t="s">
        <v>468</v>
      </c>
      <c r="D78" s="9" t="s">
        <v>469</v>
      </c>
      <c r="E78" s="9" t="s">
        <v>470</v>
      </c>
      <c r="F78" s="9" t="s">
        <v>471</v>
      </c>
      <c r="G78" s="9" t="s">
        <v>472</v>
      </c>
      <c r="H78" s="9" t="s">
        <v>473</v>
      </c>
      <c r="I78" s="9" t="s">
        <v>474</v>
      </c>
      <c r="J78" s="9" t="s">
        <v>475</v>
      </c>
      <c r="K78" s="9" t="s">
        <v>476</v>
      </c>
      <c r="L78" s="9" t="s">
        <v>477</v>
      </c>
      <c r="M78" s="9" t="s">
        <v>478</v>
      </c>
      <c r="N78" s="9" t="s">
        <v>479</v>
      </c>
      <c r="O78" s="9" t="s">
        <v>480</v>
      </c>
      <c r="P78" s="9" t="s">
        <v>481</v>
      </c>
      <c r="Q78" s="9" t="s">
        <v>482</v>
      </c>
      <c r="R78" s="9" t="s">
        <v>483</v>
      </c>
      <c r="S78" s="9" t="s">
        <v>484</v>
      </c>
      <c r="T78" s="9" t="s">
        <v>485</v>
      </c>
      <c r="U78" s="9" t="s">
        <v>486</v>
      </c>
      <c r="V78" s="9" t="s">
        <v>487</v>
      </c>
      <c r="W78" s="9" t="s">
        <v>488</v>
      </c>
      <c r="X78" s="9" t="s">
        <v>489</v>
      </c>
      <c r="Y78" s="9" t="s">
        <v>490</v>
      </c>
      <c r="Z78" s="9" t="s">
        <v>491</v>
      </c>
      <c r="AA78" s="9"/>
      <c r="AB78" s="6" t="s">
        <v>434</v>
      </c>
    </row>
    <row r="79" customFormat="false" ht="17.15" hidden="false" customHeight="false" outlineLevel="0" collapsed="false">
      <c r="A79" s="5" t="s">
        <v>535</v>
      </c>
      <c r="B79" s="0" t="s">
        <v>536</v>
      </c>
      <c r="C79" s="13" t="n">
        <f aca="false">Path!C5</f>
        <v>1</v>
      </c>
      <c r="D79" s="13" t="n">
        <f aca="false">Path!D5</f>
        <v>1</v>
      </c>
      <c r="E79" s="13" t="n">
        <f aca="false">Path!E5</f>
        <v>1.05</v>
      </c>
      <c r="F79" s="13" t="n">
        <f aca="false">Path!F5</f>
        <v>1.365</v>
      </c>
      <c r="G79" s="13" t="n">
        <f aca="false">Path!G5</f>
        <v>2.559375</v>
      </c>
      <c r="H79" s="13" t="n">
        <f aca="false">Path!H5</f>
        <v>4.414921875</v>
      </c>
      <c r="I79" s="13" t="n">
        <f aca="false">Path!I5</f>
        <v>5.51865234375</v>
      </c>
      <c r="J79" s="13" t="n">
        <f aca="false">Path!J5</f>
        <v>5.96566318359375</v>
      </c>
      <c r="K79" s="13" t="n">
        <f aca="false">Path!K5*1</f>
        <v>6.26394634277344</v>
      </c>
      <c r="L79" s="13" t="n">
        <f aca="false">Path!L5*1</f>
        <v>6.38922526962891</v>
      </c>
      <c r="M79" s="13" t="n">
        <f aca="false">Path!M5*1</f>
        <v>5.75030274266602</v>
      </c>
      <c r="N79" s="13" t="n">
        <f aca="false">Path!N5*1</f>
        <v>4.60024219413281</v>
      </c>
      <c r="O79" s="13" t="n">
        <f aca="false">Path!O5*1</f>
        <v>3.22016953589297</v>
      </c>
      <c r="P79" s="13" t="n">
        <f aca="false">Path!P5*1</f>
        <v>2.41512715191973</v>
      </c>
      <c r="Q79" s="13" t="n">
        <f aca="false">Path!Q5*1</f>
        <v>1.93210172153578</v>
      </c>
      <c r="R79" s="13" t="n">
        <f aca="false">Path!R5*1</f>
        <v>1.7388915493822</v>
      </c>
      <c r="S79" s="13" t="n">
        <f aca="false">Path!S5*1</f>
        <v>1.82583612685131</v>
      </c>
      <c r="T79" s="13" t="n">
        <f aca="false">Path!T5*1</f>
        <v>1.91712793319388</v>
      </c>
      <c r="U79" s="13" t="n">
        <f aca="false">Path!U5*1</f>
        <v>1.9746417711897</v>
      </c>
      <c r="V79" s="13" t="n">
        <f aca="false">Path!V5*1</f>
        <v>2.03388102432539</v>
      </c>
      <c r="W79" s="14" t="n">
        <f aca="false">Path!V5*(1+p10)^(1/4)*1</f>
        <v>1.96990921826561</v>
      </c>
      <c r="X79" s="14" t="n">
        <f aca="false">Path!V5*(1+p10)^(2/4)*1</f>
        <v>1.90794952202032</v>
      </c>
      <c r="Y79" s="14" t="n">
        <f aca="false">Path!V5*(1+p10)^(3/4)*1</f>
        <v>1.84793864855489</v>
      </c>
      <c r="Z79" s="14" t="n">
        <f aca="false">Path!V5*(1+p10)^(4/4)*1</f>
        <v>1.78981530140634</v>
      </c>
      <c r="AB79" s="8" t="s">
        <v>537</v>
      </c>
    </row>
    <row r="80" customFormat="false" ht="17.15" hidden="false" customHeight="false" outlineLevel="0" collapsed="false">
      <c r="A80" s="5" t="s">
        <v>538</v>
      </c>
      <c r="B80" s="0" t="s">
        <v>222</v>
      </c>
      <c r="C80" s="10" t="n">
        <f aca="false">D65/4*(D65/C65)^((1-2.5)/4)/(((D65/C65)^(-0.375)+(D65/C65)^(-0.125)+(D65/C65)^(0.125)+(D65/C65)^(0.375))/4)</f>
        <v>239.477872684002</v>
      </c>
      <c r="D80" s="10" t="n">
        <f aca="false">D65/4*(D65/C65)^((2-2.5)/4)/(((D65/C65)^(-0.375)+(D65/C65)^(-0.125)+(D65/C65)^(0.125)+(D65/C65)^(0.375))/4)</f>
        <v>246.359830864633</v>
      </c>
      <c r="E80" s="10" t="n">
        <f aca="false">D65/4*(D65/C65)^((3-2.5)/4)/(((D65/C65)^(-0.375)+(D65/C65)^(-0.125)+(D65/C65)^(0.125)+(D65/C65)^(0.375))/4)</f>
        <v>253.439558249863</v>
      </c>
      <c r="F80" s="10" t="n">
        <f aca="false">D65/4*(D65/C65)^((4-2.5)/4)/(((D65/C65)^(-0.375)+(D65/C65)^(-0.125)+(D65/C65)^(0.125)+(D65/C65)^(0.375))/4)</f>
        <v>260.722738201501</v>
      </c>
      <c r="G80" s="10" t="n">
        <f aca="false">E65/4*(E65/D65)^((1-2.5)/4)/(((E65/D65)^(-0.375)+(E65/D65)^(-0.125)+(E65/D65)^(0.125)+(E65/D65)^(0.375))/4)</f>
        <v>281.231934694683</v>
      </c>
      <c r="H80" s="10" t="n">
        <f aca="false">E65/4*(E65/D65)^((2-2.5)/4)/(((E65/D65)^(-0.375)+(E65/D65)^(-0.125)+(E65/D65)^(0.125)+(E65/D65)^(0.375))/4)</f>
        <v>294.958541495794</v>
      </c>
      <c r="I80" s="10" t="n">
        <f aca="false">E65/4*(E65/D65)^((3-2.5)/4)/(((E65/D65)^(-0.375)+(E65/D65)^(-0.125)+(E65/D65)^(0.125)+(E65/D65)^(0.375))/4)</f>
        <v>309.355128164151</v>
      </c>
      <c r="J80" s="10" t="n">
        <f aca="false">E65/4*(E65/D65)^((4-2.5)/4)/(((E65/D65)^(-0.375)+(E65/D65)^(-0.125)+(E65/D65)^(0.125)+(E65/D65)^(0.375))/4)</f>
        <v>324.454395645373</v>
      </c>
      <c r="K80" s="10" t="n">
        <f aca="false">F65/4*(F65/E65)^((1-2.5)/4)/(((F65/E65)^(-0.375)+(F65/E65)^(-0.125)+(F65/E65)^(0.125)+(F65/E65)^(0.375))/4)</f>
        <v>347.096143815413</v>
      </c>
      <c r="L80" s="10" t="n">
        <f aca="false">F65/4*(F65/E65)^((2-2.5)/4)/(((F65/E65)^(-0.375)+(F65/E65)^(-0.125)+(F65/E65)^(0.125)+(F65/E65)^(0.375))/4)</f>
        <v>367.009488121451</v>
      </c>
      <c r="M80" s="10" t="n">
        <f aca="false">F65/4*(F65/E65)^((3-2.5)/4)/(((F65/E65)^(-0.375)+(F65/E65)^(-0.125)+(F65/E65)^(0.125)+(F65/E65)^(0.375))/4)</f>
        <v>388.065286149653</v>
      </c>
      <c r="N80" s="10" t="n">
        <f aca="false">F65/4*(F65/E65)^((4-2.5)/4)/(((F65/E65)^(-0.375)+(F65/E65)^(-0.125)+(F65/E65)^(0.125)+(F65/E65)^(0.375))/4)</f>
        <v>410.329081913483</v>
      </c>
      <c r="O80" s="10" t="n">
        <f aca="false">G65/4*(G65/F65)^((1-2.5)/4)/(((G65/F65)^(-0.375)+(G65/F65)^(-0.125)+(G65/F65)^(0.125)+(G65/F65)^(0.375))/4)</f>
        <v>412.302176741994</v>
      </c>
      <c r="P80" s="10" t="n">
        <f aca="false">G65/4*(G65/F65)^((2-2.5)/4)/(((G65/F65)^(-0.375)+(G65/F65)^(-0.125)+(G65/F65)^(0.125)+(G65/F65)^(0.375))/4)</f>
        <v>426.953005366314</v>
      </c>
      <c r="Q80" s="10" t="n">
        <f aca="false">G65/4*(G65/F65)^((3-2.5)/4)/(((G65/F65)^(-0.375)+(G65/F65)^(-0.125)+(G65/F65)^(0.125)+(G65/F65)^(0.375))/4)</f>
        <v>442.124439487008</v>
      </c>
      <c r="R80" s="10" t="n">
        <f aca="false">G65/4*(G65/F65)^((4-2.5)/4)/(((G65/F65)^(-0.375)+(G65/F65)^(-0.125)+(G65/F65)^(0.125)+(G65/F65)^(0.375))/4)</f>
        <v>457.834978404684</v>
      </c>
      <c r="S80" s="10" t="n">
        <f aca="false">H65/4*(H65/G65)^((1-2.5)/4)/(((H65/G65)^(-0.375)+(H65/G65)^(-0.125)+(H65/G65)^(0.125)+(H65/G65)^(0.375))/4)</f>
        <v>493.591515477219</v>
      </c>
      <c r="T80" s="10" t="n">
        <f aca="false">H65/4*(H65/G65)^((2-2.5)/4)/(((H65/G65)^(-0.375)+(H65/G65)^(-0.125)+(H65/G65)^(0.125)+(H65/G65)^(0.375))/4)</f>
        <v>519.617853264111</v>
      </c>
      <c r="U80" s="10" t="n">
        <f aca="false">H65/4*(H65/G65)^((3-2.5)/4)/(((H65/G65)^(-0.375)+(H65/G65)^(-0.125)+(H65/G65)^(0.125)+(H65/G65)^(0.375))/4)</f>
        <v>547.016520674502</v>
      </c>
      <c r="V80" s="10" t="n">
        <f aca="false">H65/4*(H65/G65)^((4-2.5)/4)/(((H65/G65)^(-0.375)+(H65/G65)^(-0.125)+(H65/G65)^(0.125)+(H65/G65)^(0.375))/4)</f>
        <v>575.859878584169</v>
      </c>
      <c r="W80" s="10" t="n">
        <f aca="false">I65/4*(I65/H65)^((1-2.5)/4)/(((I65/H65)^(-0.375)+(I65/H65)^(-0.125)+(I65/H65)^(0.125)+(I65/H65)^(0.375))/4)</f>
        <v>578.10839807187</v>
      </c>
      <c r="X80" s="10" t="n">
        <f aca="false">I65/4*(I65/H65)^((2-2.5)/4)/(((I65/H65)^(-0.375)+(I65/H65)^(-0.125)+(I65/H65)^(0.125)+(I65/H65)^(0.375))/4)</f>
        <v>596.898622887152</v>
      </c>
      <c r="Y80" s="10" t="n">
        <f aca="false">I65/4*(I65/H65)^((3-2.5)/4)/(((I65/H65)^(-0.375)+(I65/H65)^(-0.125)+(I65/H65)^(0.125)+(I65/H65)^(0.375))/4)</f>
        <v>616.299585324975</v>
      </c>
      <c r="Z80" s="10" t="n">
        <f aca="false">I65/4*(I65/H65)^((4-2.5)/4)/(((I65/H65)^(-0.375)+(I65/H65)^(-0.125)+(I65/H65)^(0.125)+(I65/H65)^(0.375))/4)</f>
        <v>636.331136156003</v>
      </c>
      <c r="AB80" s="5" t="s">
        <v>539</v>
      </c>
    </row>
    <row r="81" customFormat="false" ht="17.15" hidden="false" customHeight="false" outlineLevel="0" collapsed="false">
      <c r="A81" s="0" t="s">
        <v>540</v>
      </c>
      <c r="B81" s="0" t="s">
        <v>285</v>
      </c>
      <c r="C81" s="10" t="n">
        <f aca="false">(rv_ss_0+rv_sk_0+rv_mu_0+rv_kx_0+rv_sd_0)/t5_0</f>
        <v>12.9354838709677</v>
      </c>
      <c r="D81" s="10" t="n">
        <f aca="false">(rv_ss_1+rv_sk_1+rv_mu_1+rv_kx_1+rv_sd_1)/t5_1</f>
        <v>15.8054711246201</v>
      </c>
      <c r="E81" s="10" t="n">
        <f aca="false">(rv_ss_2+rv_sk_2+rv_mu_2+rv_kx_2+rv_sd_2)/t5_2</f>
        <v>18.7912087912088</v>
      </c>
      <c r="F81" s="10" t="n">
        <f aca="false">(rv_ss_3+rv_sk_3+rv_mu_3+rv_kx_3+rv_sd_3)/t5_3</f>
        <v>23.5714285714286</v>
      </c>
      <c r="G81" s="10" t="n">
        <f aca="false">(rv_ss_4+rv_sk_4+rv_mu_4+rv_kx_4+rv_sd_4)/t5_4</f>
        <v>43.954802259887</v>
      </c>
      <c r="H81" s="10" t="n">
        <f aca="false">(rv_ss_5+rv_sk_5+rv_mu_5+rv_kx_5+rv_sd_5)/t5_5</f>
        <v>78.703071672355</v>
      </c>
      <c r="I81" s="10" t="n">
        <f aca="false">$H81*I79/$H79*I80/$H80</f>
        <v>103.180597435169</v>
      </c>
      <c r="J81" s="10" t="n">
        <f aca="false">$H81*J79/$H79*J80/$H80</f>
        <v>116.982278156997</v>
      </c>
      <c r="K81" s="10" t="n">
        <f aca="false">$H81*K79/$H79*K80/$H80</f>
        <v>131.403066493777</v>
      </c>
      <c r="L81" s="10" t="n">
        <f aca="false">$H81*L79/$H79*L80/$H80</f>
        <v>141.72066296726</v>
      </c>
      <c r="M81" s="10" t="n">
        <f aca="false">$H81*M79/$H79*M80/$H80</f>
        <v>134.866220811593</v>
      </c>
      <c r="N81" s="10" t="n">
        <f aca="false">$H81*N79/$H79*N80/$H80</f>
        <v>114.082933036007</v>
      </c>
      <c r="O81" s="10" t="n">
        <f aca="false">$H81*O79/$H79*O80/$H80</f>
        <v>80.2420559136533</v>
      </c>
      <c r="P81" s="10" t="n">
        <f aca="false">$H81*P79/$H79*P80/$H80</f>
        <v>62.3200449725214</v>
      </c>
      <c r="Q81" s="10" t="n">
        <f aca="false">$H81*Q79/$H79*Q80/$H80</f>
        <v>51.6276304060983</v>
      </c>
      <c r="R81" s="10" t="n">
        <f aca="false">$H81*R79/$H79*R80/$H80</f>
        <v>48.1159593247955</v>
      </c>
      <c r="S81" s="10" t="n">
        <f aca="false">$H81*S79/$H79*S80/$H80</f>
        <v>54.4674651830823</v>
      </c>
      <c r="T81" s="10" t="n">
        <f aca="false">$H81*T79/$H79*T80/$H80</f>
        <v>60.2064252846765</v>
      </c>
      <c r="U81" s="10" t="n">
        <f aca="false">$H81*U79/$H79*U80/$H80</f>
        <v>65.2824500675413</v>
      </c>
      <c r="V81" s="10" t="n">
        <f aca="false">$H81*V79/$H79*V80/$H80</f>
        <v>70.786436276025</v>
      </c>
      <c r="W81" s="16" t="n">
        <f aca="false">$H81*W79/$H79*W80/$H80</f>
        <v>68.8276867511614</v>
      </c>
      <c r="X81" s="16" t="n">
        <f aca="false">$H81*X79/$H79*X80/$H80</f>
        <v>68.8295832678033</v>
      </c>
      <c r="Y81" s="16" t="n">
        <f aca="false">$H81*Y79/$H79*Y80/$H80</f>
        <v>68.831479836703</v>
      </c>
      <c r="Z81" s="16" t="n">
        <f aca="false">$H81*Z79/$H79*Z80/$H80</f>
        <v>68.8333764578617</v>
      </c>
      <c r="AB81" s="5" t="s">
        <v>541</v>
      </c>
    </row>
    <row r="82" customFormat="false" ht="17.15" hidden="false" customHeight="false" outlineLevel="0" collapsed="false">
      <c r="A82" s="5" t="s">
        <v>454</v>
      </c>
      <c r="B82" s="0" t="s">
        <v>25</v>
      </c>
      <c r="C82" s="12" t="n">
        <f aca="false">rv_ss_0/C81</f>
        <v>0.324688279301746</v>
      </c>
      <c r="D82" s="12" t="n">
        <f aca="false">rv_ss_1/D81</f>
        <v>0.329</v>
      </c>
      <c r="E82" s="12" t="n">
        <f aca="false">rv_ss_2/E81</f>
        <v>0.319298245614035</v>
      </c>
      <c r="F82" s="12" t="n">
        <f aca="false">rv_ss_3/F81</f>
        <v>0.28</v>
      </c>
      <c r="G82" s="12" t="n">
        <f aca="false">rv_ss_4/G81</f>
        <v>0.30736118251928</v>
      </c>
      <c r="H82" s="12" t="n">
        <f aca="false">rv_ss_5/H81</f>
        <v>0.293</v>
      </c>
      <c r="I82" s="12" t="n">
        <f aca="false">(rv_ss_4+rv_ss_5)/($G81+$H81)</f>
        <v>0.298146371102126</v>
      </c>
      <c r="J82" s="12" t="n">
        <f aca="false">(rv_ss_4+rv_ss_5)/($G81+$H81)</f>
        <v>0.298146371102126</v>
      </c>
      <c r="K82" s="12" t="n">
        <f aca="false">(rv_ss_4+rv_ss_5)/($G81+$H81)+dr_ss/100*1</f>
        <v>0.293146371102126</v>
      </c>
      <c r="L82" s="12" t="n">
        <f aca="false">(rv_ss_4+rv_ss_5)/($G81+$H81)+dr_ss/100*1</f>
        <v>0.293146371102126</v>
      </c>
      <c r="M82" s="12" t="n">
        <f aca="false">(rv_ss_4+rv_ss_5)/($G81+$H81)+dr_ss/100*1</f>
        <v>0.293146371102126</v>
      </c>
      <c r="N82" s="12" t="n">
        <f aca="false">(rv_ss_4+rv_ss_5)/($G81+$H81)+dr_ss/100*1</f>
        <v>0.293146371102126</v>
      </c>
      <c r="O82" s="12" t="n">
        <f aca="false">(rv_ss_4+rv_ss_5)/($G81+$H81)+dr_ss/100*2</f>
        <v>0.288146371102126</v>
      </c>
      <c r="P82" s="12" t="n">
        <f aca="false">(rv_ss_4+rv_ss_5)/($G81+$H81)+dr_ss/100*2</f>
        <v>0.288146371102126</v>
      </c>
      <c r="Q82" s="12" t="n">
        <f aca="false">(rv_ss_4+rv_ss_5)/($G81+$H81)+dr_ss/100*2</f>
        <v>0.288146371102126</v>
      </c>
      <c r="R82" s="12" t="n">
        <f aca="false">(rv_ss_4+rv_ss_5)/($G81+$H81)+dr_ss/100*2</f>
        <v>0.288146371102126</v>
      </c>
      <c r="S82" s="12" t="n">
        <f aca="false">(rv_ss_4+rv_ss_5)/($G81+$H81)+dr_ss/100*3</f>
        <v>0.283146371102126</v>
      </c>
      <c r="T82" s="12" t="n">
        <f aca="false">(rv_ss_4+rv_ss_5)/($G81+$H81)+dr_ss/100*3</f>
        <v>0.283146371102126</v>
      </c>
      <c r="U82" s="12" t="n">
        <f aca="false">(rv_ss_4+rv_ss_5)/($G81+$H81)+dr_ss/100*3</f>
        <v>0.283146371102126</v>
      </c>
      <c r="V82" s="12" t="n">
        <f aca="false">(rv_ss_4+rv_ss_5)/($G81+$H81)+dr_ss/100*3</f>
        <v>0.283146371102126</v>
      </c>
      <c r="W82" s="12" t="n">
        <f aca="false">(rv_ss_4+rv_ss_5)/($G81+$H81)+dr_ss/100*4</f>
        <v>0.278146371102126</v>
      </c>
      <c r="X82" s="12" t="n">
        <f aca="false">(rv_ss_4+rv_ss_5)/($G81+$H81)+dr_ss/100*4</f>
        <v>0.278146371102126</v>
      </c>
      <c r="Y82" s="12" t="n">
        <f aca="false">(rv_ss_4+rv_ss_5)/($G81+$H81)+dr_ss/100*4</f>
        <v>0.278146371102126</v>
      </c>
      <c r="Z82" s="12" t="n">
        <f aca="false">(rv_ss_4+rv_ss_5)/($G81+$H81)+dr_ss/100*4</f>
        <v>0.278146371102126</v>
      </c>
      <c r="AB82" s="8" t="s">
        <v>542</v>
      </c>
    </row>
    <row r="83" customFormat="false" ht="17.15" hidden="false" customHeight="false" outlineLevel="0" collapsed="false">
      <c r="A83" s="5" t="s">
        <v>455</v>
      </c>
      <c r="B83" s="0" t="s">
        <v>25</v>
      </c>
      <c r="C83" s="12" t="n">
        <f aca="false">rv_sk_0/C81</f>
        <v>0.16930174563591</v>
      </c>
      <c r="D83" s="12" t="n">
        <f aca="false">rv_sk_1/D81</f>
        <v>0.211319230769231</v>
      </c>
      <c r="E83" s="12" t="n">
        <f aca="false">rv_sk_2/E81</f>
        <v>0.187853801169591</v>
      </c>
      <c r="F83" s="12" t="n">
        <f aca="false">rv_sk_3/F81</f>
        <v>0.221030303030303</v>
      </c>
      <c r="G83" s="12" t="n">
        <f aca="false">rv_sk_4/G81</f>
        <v>0.17131233933162</v>
      </c>
      <c r="H83" s="12" t="n">
        <f aca="false">rv_sk_5/H81</f>
        <v>0.181314397224631</v>
      </c>
      <c r="I83" s="12" t="n">
        <f aca="false">(rv_sk_4+rv_sk_5)/($G81+$H81)</f>
        <v>0.177730130982399</v>
      </c>
      <c r="J83" s="12" t="n">
        <f aca="false">(rv_sk_4+rv_sk_5)/($G81+$H81)</f>
        <v>0.177730130982399</v>
      </c>
      <c r="K83" s="12" t="n">
        <f aca="false">(rv_sk_4+rv_sk_5)/($G81+$H81)+dr_sk/100*1</f>
        <v>0.177730130982399</v>
      </c>
      <c r="L83" s="12" t="n">
        <f aca="false">(rv_sk_4+rv_sk_5)/($G81+$H81)+dr_sk/100*1</f>
        <v>0.177730130982399</v>
      </c>
      <c r="M83" s="12" t="n">
        <f aca="false">(rv_sk_4+rv_sk_5)/($G81+$H81)+dr_sk/100*1</f>
        <v>0.177730130982399</v>
      </c>
      <c r="N83" s="12" t="n">
        <f aca="false">(rv_sk_4+rv_sk_5)/($G81+$H81)+dr_sk/100*1</f>
        <v>0.177730130982399</v>
      </c>
      <c r="O83" s="12" t="n">
        <f aca="false">(rv_sk_4+rv_sk_5)/($G81+$H81)+dr_sk/100*2</f>
        <v>0.177730130982399</v>
      </c>
      <c r="P83" s="12" t="n">
        <f aca="false">(rv_sk_4+rv_sk_5)/($G81+$H81)+dr_sk/100*2</f>
        <v>0.177730130982399</v>
      </c>
      <c r="Q83" s="12" t="n">
        <f aca="false">(rv_sk_4+rv_sk_5)/($G81+$H81)+dr_sk/100*2</f>
        <v>0.177730130982399</v>
      </c>
      <c r="R83" s="12" t="n">
        <f aca="false">(rv_sk_4+rv_sk_5)/($G81+$H81)+dr_sk/100*2</f>
        <v>0.177730130982399</v>
      </c>
      <c r="S83" s="12" t="n">
        <f aca="false">(rv_sk_4+rv_sk_5)/($G81+$H81)+dr_sk/100*3</f>
        <v>0.177730130982399</v>
      </c>
      <c r="T83" s="12" t="n">
        <f aca="false">(rv_sk_4+rv_sk_5)/($G81+$H81)+dr_sk/100*3</f>
        <v>0.177730130982399</v>
      </c>
      <c r="U83" s="12" t="n">
        <f aca="false">(rv_sk_4+rv_sk_5)/($G81+$H81)+dr_sk/100*3</f>
        <v>0.177730130982399</v>
      </c>
      <c r="V83" s="12" t="n">
        <f aca="false">(rv_sk_4+rv_sk_5)/($G81+$H81)+dr_sk/100*3</f>
        <v>0.177730130982399</v>
      </c>
      <c r="W83" s="12" t="n">
        <f aca="false">(rv_sk_4+rv_sk_5)/($G81+$H81)+dr_sk/100*4</f>
        <v>0.177730130982399</v>
      </c>
      <c r="X83" s="12" t="n">
        <f aca="false">(rv_sk_4+rv_sk_5)/($G81+$H81)+dr_sk/100*4</f>
        <v>0.177730130982399</v>
      </c>
      <c r="Y83" s="12" t="n">
        <f aca="false">(rv_sk_4+rv_sk_5)/($G81+$H81)+dr_sk/100*4</f>
        <v>0.177730130982399</v>
      </c>
      <c r="Z83" s="12" t="n">
        <f aca="false">(rv_sk_4+rv_sk_5)/($G81+$H81)+dr_sk/100*4</f>
        <v>0.177730130982399</v>
      </c>
      <c r="AB83" s="8" t="s">
        <v>542</v>
      </c>
    </row>
    <row r="84" customFormat="false" ht="17.15" hidden="false" customHeight="false" outlineLevel="0" collapsed="false">
      <c r="A84" s="5" t="s">
        <v>456</v>
      </c>
      <c r="B84" s="0" t="s">
        <v>25</v>
      </c>
      <c r="C84" s="12" t="n">
        <f aca="false">rv_mu_0/C81</f>
        <v>0.156932668329177</v>
      </c>
      <c r="D84" s="12" t="n">
        <f aca="false">rv_mu_1/D81</f>
        <v>0.132865384615385</v>
      </c>
      <c r="E84" s="12" t="n">
        <f aca="false">rv_mu_2/E81</f>
        <v>0.128783625730994</v>
      </c>
      <c r="F84" s="12" t="n">
        <f aca="false">rv_mu_3/F81</f>
        <v>0.128545454545455</v>
      </c>
      <c r="G84" s="12" t="n">
        <f aca="false">rv_mu_4/G81</f>
        <v>0.135366323907455</v>
      </c>
      <c r="H84" s="12" t="n">
        <f aca="false">rv_mu_5/H81</f>
        <v>0.150565915004337</v>
      </c>
      <c r="I84" s="12" t="n">
        <f aca="false">(rv_mu_4+rv_mu_5)/($G81+$H81)</f>
        <v>0.14511909777462</v>
      </c>
      <c r="J84" s="12" t="n">
        <f aca="false">(rv_mu_4+rv_mu_5)/($G81+$H81)</f>
        <v>0.14511909777462</v>
      </c>
      <c r="K84" s="12" t="n">
        <f aca="false">(rv_mu_4+rv_mu_5)/($G81+$H81)+dr_mu/100*1</f>
        <v>0.14711909777462</v>
      </c>
      <c r="L84" s="12" t="n">
        <f aca="false">(rv_mu_4+rv_mu_5)/($G81+$H81)+dr_mu/100*1</f>
        <v>0.14711909777462</v>
      </c>
      <c r="M84" s="12" t="n">
        <f aca="false">(rv_mu_4+rv_mu_5)/($G81+$H81)+dr_mu/100*1</f>
        <v>0.14711909777462</v>
      </c>
      <c r="N84" s="12" t="n">
        <f aca="false">(rv_mu_4+rv_mu_5)/($G81+$H81)+dr_mu/100*1</f>
        <v>0.14711909777462</v>
      </c>
      <c r="O84" s="12" t="n">
        <f aca="false">(rv_mu_4+rv_mu_5)/($G81+$H81)+dr_mu/100*2</f>
        <v>0.14911909777462</v>
      </c>
      <c r="P84" s="12" t="n">
        <f aca="false">(rv_mu_4+rv_mu_5)/($G81+$H81)+dr_mu/100*2</f>
        <v>0.14911909777462</v>
      </c>
      <c r="Q84" s="12" t="n">
        <f aca="false">(rv_mu_4+rv_mu_5)/($G81+$H81)+dr_mu/100*2</f>
        <v>0.14911909777462</v>
      </c>
      <c r="R84" s="12" t="n">
        <f aca="false">(rv_mu_4+rv_mu_5)/($G81+$H81)+dr_mu/100*2</f>
        <v>0.14911909777462</v>
      </c>
      <c r="S84" s="12" t="n">
        <f aca="false">(rv_mu_4+rv_mu_5)/($G81+$H81)+dr_mu/100*3</f>
        <v>0.15111909777462</v>
      </c>
      <c r="T84" s="12" t="n">
        <f aca="false">(rv_mu_4+rv_mu_5)/($G81+$H81)+dr_mu/100*3</f>
        <v>0.15111909777462</v>
      </c>
      <c r="U84" s="12" t="n">
        <f aca="false">(rv_mu_4+rv_mu_5)/($G81+$H81)+dr_mu/100*3</f>
        <v>0.15111909777462</v>
      </c>
      <c r="V84" s="12" t="n">
        <f aca="false">(rv_mu_4+rv_mu_5)/($G81+$H81)+dr_mu/100*3</f>
        <v>0.15111909777462</v>
      </c>
      <c r="W84" s="12" t="n">
        <f aca="false">(rv_mu_4+rv_mu_5)/($G81+$H81)+dr_mu/100*4</f>
        <v>0.15311909777462</v>
      </c>
      <c r="X84" s="12" t="n">
        <f aca="false">(rv_mu_4+rv_mu_5)/($G81+$H81)+dr_mu/100*4</f>
        <v>0.15311909777462</v>
      </c>
      <c r="Y84" s="12" t="n">
        <f aca="false">(rv_mu_4+rv_mu_5)/($G81+$H81)+dr_mu/100*4</f>
        <v>0.15311909777462</v>
      </c>
      <c r="Z84" s="12" t="n">
        <f aca="false">(rv_mu_4+rv_mu_5)/($G81+$H81)+dr_mu/100*4</f>
        <v>0.15311909777462</v>
      </c>
      <c r="AB84" s="8" t="s">
        <v>542</v>
      </c>
    </row>
    <row r="85" customFormat="false" ht="17.15" hidden="false" customHeight="false" outlineLevel="0" collapsed="false">
      <c r="A85" s="5" t="s">
        <v>457</v>
      </c>
      <c r="B85" s="0" t="s">
        <v>25</v>
      </c>
      <c r="C85" s="12" t="n">
        <f aca="false">rv_kx_0/C81</f>
        <v>0.148428927680798</v>
      </c>
      <c r="D85" s="12" t="n">
        <f aca="false">rv_kx_1/D81</f>
        <v>0.135396153846154</v>
      </c>
      <c r="E85" s="12" t="n">
        <f aca="false">rv_kx_2/E81</f>
        <v>0.151134502923977</v>
      </c>
      <c r="F85" s="12" t="n">
        <f aca="false">rv_kx_3/F81</f>
        <v>0.140424242424242</v>
      </c>
      <c r="G85" s="12" t="n">
        <f aca="false">rv_kx_4/G81</f>
        <v>0.13559383033419</v>
      </c>
      <c r="H85" s="12" t="n">
        <f aca="false">rv_kx_5/H81</f>
        <v>0.136208152645273</v>
      </c>
      <c r="I85" s="12" t="n">
        <f aca="false">kx_g/kx_fxg/kx_k/$I81</f>
        <v>0.144904344872829</v>
      </c>
      <c r="J85" s="12" t="n">
        <f aca="false">(kx_g/kx_fxg/kx_k/$I81+kx_g4/kx_fxg4/kx_k/$J81)/2</f>
        <v>0.138512987387224</v>
      </c>
      <c r="K85" s="12" t="n">
        <f aca="false">(kx_g/kx_fxg/kx_k/$I81+kx_g4/kx_fxg4/kx_k/$J81)/2+dr_jv_B/100*1*(kx_g/kx_fxg/kx_k)/(kx_g/kx_fxg/kx_k+sd_g/sd_k)</f>
        <v>0.136787070004634</v>
      </c>
      <c r="L85" s="12" t="n">
        <f aca="false">(kx_g/kx_fxg/kx_k/$I81+kx_g4/kx_fxg4/kx_k/$J81)/2+dr_jv_B/100*1*(kx_g/kx_fxg/kx_k)/(kx_g/kx_fxg/kx_k+sd_g/sd_k)</f>
        <v>0.136787070004634</v>
      </c>
      <c r="M85" s="12" t="n">
        <f aca="false">(kx_g/kx_fxg/kx_k/$I81+kx_g4/kx_fxg4/kx_k/$J81)/2+dr_jv_B/100*1*(kx_g/kx_fxg/kx_k)/(kx_g/kx_fxg/kx_k+sd_g/sd_k)</f>
        <v>0.136787070004634</v>
      </c>
      <c r="N85" s="12" t="n">
        <f aca="false">(kx_g/kx_fxg/kx_k/$I81+kx_g4/kx_fxg4/kx_k/$J81)/2+dr_jv_B/100*1*(kx_g/kx_fxg/kx_k)/(kx_g/kx_fxg/kx_k+sd_g/sd_k)</f>
        <v>0.136787070004634</v>
      </c>
      <c r="O85" s="12" t="n">
        <f aca="false">(kx_g/kx_fxg/kx_k/$I81+kx_g4/kx_fxg4/kx_k/$J81)/2+dr_jv_B/100*2*(kx_g/kx_fxg/kx_k)/(kx_g/kx_fxg/kx_k+sd_g/sd_k)</f>
        <v>0.135061152622043</v>
      </c>
      <c r="P85" s="12" t="n">
        <f aca="false">(kx_g/kx_fxg/kx_k/$I81+kx_g4/kx_fxg4/kx_k/$J81)/2+dr_jv_B/100*2*(kx_g/kx_fxg/kx_k)/(kx_g/kx_fxg/kx_k+sd_g/sd_k)</f>
        <v>0.135061152622043</v>
      </c>
      <c r="Q85" s="12" t="n">
        <f aca="false">(kx_g/kx_fxg/kx_k/$I81+kx_g4/kx_fxg4/kx_k/$J81)/2+dr_jv_B/100*2*(kx_g/kx_fxg/kx_k)/(kx_g/kx_fxg/kx_k+sd_g/sd_k)</f>
        <v>0.135061152622043</v>
      </c>
      <c r="R85" s="12" t="n">
        <f aca="false">(kx_g/kx_fxg/kx_k/$I81+kx_g4/kx_fxg4/kx_k/$J81)/2+dr_jv_B/100*2*(kx_g/kx_fxg/kx_k)/(kx_g/kx_fxg/kx_k+sd_g/sd_k)</f>
        <v>0.135061152622043</v>
      </c>
      <c r="S85" s="12" t="n">
        <f aca="false">(kx_g/kx_fxg/kx_k/$I81+kx_g4/kx_fxg4/kx_k/$J81)/2+dr_jv_B/100*3*(kx_g/kx_fxg/kx_k)/(kx_g/kx_fxg/kx_k+sd_g/sd_k)</f>
        <v>0.133335235239453</v>
      </c>
      <c r="T85" s="12" t="n">
        <f aca="false">(kx_g/kx_fxg/kx_k/$I81+kx_g4/kx_fxg4/kx_k/$J81)/2+dr_jv_B/100*3*(kx_g/kx_fxg/kx_k)/(kx_g/kx_fxg/kx_k+sd_g/sd_k)</f>
        <v>0.133335235239453</v>
      </c>
      <c r="U85" s="12" t="n">
        <f aca="false">(kx_g/kx_fxg/kx_k/$I81+kx_g4/kx_fxg4/kx_k/$J81)/2+dr_jv_B/100*3*(kx_g/kx_fxg/kx_k)/(kx_g/kx_fxg/kx_k+sd_g/sd_k)</f>
        <v>0.133335235239453</v>
      </c>
      <c r="V85" s="12" t="n">
        <f aca="false">(kx_g/kx_fxg/kx_k/$I81+kx_g4/kx_fxg4/kx_k/$J81)/2+dr_jv_B/100*3*(kx_g/kx_fxg/kx_k)/(kx_g/kx_fxg/kx_k+sd_g/sd_k)</f>
        <v>0.133335235239453</v>
      </c>
      <c r="W85" s="12" t="n">
        <f aca="false">(kx_g/kx_fxg/kx_k/$I81+kx_g4/kx_fxg4/kx_k/$J81)/2+dr_jv_B/100*4*(kx_g/kx_fxg/kx_k)/(kx_g/kx_fxg/kx_k+sd_g/sd_k)</f>
        <v>0.131609317856862</v>
      </c>
      <c r="X85" s="12" t="n">
        <f aca="false">(kx_g/kx_fxg/kx_k/$I81+kx_g4/kx_fxg4/kx_k/$J81)/2+dr_jv_B/100*4*(kx_g/kx_fxg/kx_k)/(kx_g/kx_fxg/kx_k+sd_g/sd_k)</f>
        <v>0.131609317856862</v>
      </c>
      <c r="Y85" s="12" t="n">
        <f aca="false">(kx_g/kx_fxg/kx_k/$I81+kx_g4/kx_fxg4/kx_k/$J81)/2+dr_jv_B/100*4*(kx_g/kx_fxg/kx_k)/(kx_g/kx_fxg/kx_k+sd_g/sd_k)</f>
        <v>0.131609317856862</v>
      </c>
      <c r="Z85" s="12" t="n">
        <f aca="false">(kx_g/kx_fxg/kx_k/$I81+kx_g4/kx_fxg4/kx_k/$J81)/2+dr_jv_B/100*4*(kx_g/kx_fxg/kx_k)/(kx_g/kx_fxg/kx_k+sd_g/sd_k)</f>
        <v>0.131609317856862</v>
      </c>
      <c r="AB85" s="8" t="s">
        <v>543</v>
      </c>
    </row>
    <row r="86" customFormat="false" ht="17.15" hidden="false" customHeight="false" outlineLevel="0" collapsed="false">
      <c r="A86" s="5" t="s">
        <v>458</v>
      </c>
      <c r="B86" s="0" t="s">
        <v>25</v>
      </c>
      <c r="C86" s="12" t="n">
        <f aca="false">rv_sd_0/C81</f>
        <v>0.130648379052369</v>
      </c>
      <c r="D86" s="12" t="n">
        <f aca="false">rv_sd_1/D81</f>
        <v>0.120211538461538</v>
      </c>
      <c r="E86" s="12" t="n">
        <f aca="false">rv_sd_2/E81</f>
        <v>0.122929824561404</v>
      </c>
      <c r="F86" s="12" t="n">
        <f aca="false">rv_sd_3/F81</f>
        <v>0.128545454545455</v>
      </c>
      <c r="G86" s="12" t="n">
        <f aca="false">rv_sd_4/G81</f>
        <v>0.135366323907455</v>
      </c>
      <c r="H86" s="12" t="n">
        <f aca="false">rv_sd_5/H81</f>
        <v>0.113972679965308</v>
      </c>
      <c r="I86" s="12" t="n">
        <f aca="false">sd_g/sd_k/$I81</f>
        <v>0.106969261015561</v>
      </c>
      <c r="J86" s="12" t="n">
        <f aca="false">(sd_g/sd_k/$I81+sd_g4/sd_k/$J81)/2</f>
        <v>0.106513670372059</v>
      </c>
      <c r="K86" s="12" t="n">
        <f aca="false">(sd_g/sd_k/$I81+sd_g4/sd_k/$J81)/2+dr_jv_B/100*1*(sd_g/sd_k)/(kx_g/kx_fxg/kx_k+sd_g/sd_k)</f>
        <v>0.105239587754649</v>
      </c>
      <c r="L86" s="12" t="n">
        <f aca="false">(sd_g/sd_k/$I81+sd_g4/sd_k/$J81)/2+dr_jv_B/100*1*(sd_g/sd_k)/(kx_g/kx_fxg/kx_k+sd_g/sd_k)</f>
        <v>0.105239587754649</v>
      </c>
      <c r="M86" s="12" t="n">
        <f aca="false">(sd_g/sd_k/$I81+sd_g4/sd_k/$J81)/2+dr_jv_B/100*1*(sd_g/sd_k)/(kx_g/kx_fxg/kx_k+sd_g/sd_k)</f>
        <v>0.105239587754649</v>
      </c>
      <c r="N86" s="12" t="n">
        <f aca="false">(sd_g/sd_k/$I81+sd_g4/sd_k/$J81)/2+dr_jv_B/100*1*(sd_g/sd_k)/(kx_g/kx_fxg/kx_k+sd_g/sd_k)</f>
        <v>0.105239587754649</v>
      </c>
      <c r="O86" s="12" t="n">
        <f aca="false">(sd_g/sd_k/$I81+sd_g4/sd_k/$J81)/2+dr_jv_B/100*2*(sd_g/sd_k)/(kx_g/kx_fxg/kx_k+sd_g/sd_k)</f>
        <v>0.103965505137239</v>
      </c>
      <c r="P86" s="12" t="n">
        <f aca="false">(sd_g/sd_k/$I81+sd_g4/sd_k/$J81)/2+dr_jv_B/100*2*(sd_g/sd_k)/(kx_g/kx_fxg/kx_k+sd_g/sd_k)</f>
        <v>0.103965505137239</v>
      </c>
      <c r="Q86" s="12" t="n">
        <f aca="false">(sd_g/sd_k/$I81+sd_g4/sd_k/$J81)/2+dr_jv_B/100*2*(sd_g/sd_k)/(kx_g/kx_fxg/kx_k+sd_g/sd_k)</f>
        <v>0.103965505137239</v>
      </c>
      <c r="R86" s="12" t="n">
        <f aca="false">(sd_g/sd_k/$I81+sd_g4/sd_k/$J81)/2+dr_jv_B/100*2*(sd_g/sd_k)/(kx_g/kx_fxg/kx_k+sd_g/sd_k)</f>
        <v>0.103965505137239</v>
      </c>
      <c r="S86" s="12" t="n">
        <f aca="false">(sd_g/sd_k/$I81+sd_g4/sd_k/$J81)/2+dr_jv_B/100*3*(sd_g/sd_k)/(kx_g/kx_fxg/kx_k+sd_g/sd_k)</f>
        <v>0.10269142251983</v>
      </c>
      <c r="T86" s="12" t="n">
        <f aca="false">(sd_g/sd_k/$I81+sd_g4/sd_k/$J81)/2+dr_jv_B/100*3*(sd_g/sd_k)/(kx_g/kx_fxg/kx_k+sd_g/sd_k)</f>
        <v>0.10269142251983</v>
      </c>
      <c r="U86" s="12" t="n">
        <f aca="false">(sd_g/sd_k/$I81+sd_g4/sd_k/$J81)/2+dr_jv_B/100*3*(sd_g/sd_k)/(kx_g/kx_fxg/kx_k+sd_g/sd_k)</f>
        <v>0.10269142251983</v>
      </c>
      <c r="V86" s="12" t="n">
        <f aca="false">(sd_g/sd_k/$I81+sd_g4/sd_k/$J81)/2+dr_jv_B/100*3*(sd_g/sd_k)/(kx_g/kx_fxg/kx_k+sd_g/sd_k)</f>
        <v>0.10269142251983</v>
      </c>
      <c r="W86" s="12" t="n">
        <f aca="false">(sd_g/sd_k/$I81+sd_g4/sd_k/$J81)/2+dr_jv_B/100*4*(sd_g/sd_k)/(kx_g/kx_fxg/kx_k+sd_g/sd_k)</f>
        <v>0.10141733990242</v>
      </c>
      <c r="X86" s="12" t="n">
        <f aca="false">(sd_g/sd_k/$I81+sd_g4/sd_k/$J81)/2+dr_jv_B/100*4*(sd_g/sd_k)/(kx_g/kx_fxg/kx_k+sd_g/sd_k)</f>
        <v>0.10141733990242</v>
      </c>
      <c r="Y86" s="12" t="n">
        <f aca="false">(sd_g/sd_k/$I81+sd_g4/sd_k/$J81)/2+dr_jv_B/100*4*(sd_g/sd_k)/(kx_g/kx_fxg/kx_k+sd_g/sd_k)</f>
        <v>0.10141733990242</v>
      </c>
      <c r="Z86" s="12" t="n">
        <f aca="false">(sd_g/sd_k/$I81+sd_g4/sd_k/$J81)/2+dr_jv_B/100*4*(sd_g/sd_k)/(kx_g/kx_fxg/kx_k+sd_g/sd_k)</f>
        <v>0.10141733990242</v>
      </c>
      <c r="AB86" s="8" t="s">
        <v>544</v>
      </c>
    </row>
    <row r="87" customFormat="false" ht="15" hidden="false" customHeight="false" outlineLevel="0" collapsed="false">
      <c r="A87" s="5" t="s">
        <v>459</v>
      </c>
      <c r="B87" s="0" t="s">
        <v>25</v>
      </c>
      <c r="C87" s="12" t="n">
        <f aca="false">1-t5_0</f>
        <v>0.07</v>
      </c>
      <c r="D87" s="12" t="n">
        <f aca="false">1-t5_1</f>
        <v>0.0712076923076923</v>
      </c>
      <c r="E87" s="12" t="n">
        <f aca="false">1-t5_2</f>
        <v>0.09</v>
      </c>
      <c r="F87" s="12" t="n">
        <f aca="false">1-t5_3</f>
        <v>0.101454545454545</v>
      </c>
      <c r="G87" s="12" t="n">
        <f aca="false">1-t5_4</f>
        <v>0.115</v>
      </c>
      <c r="H87" s="12" t="n">
        <f aca="false">1-t5_5</f>
        <v>0.124938855160451</v>
      </c>
      <c r="I87" s="12" t="n">
        <f aca="false">1-I82-I83-I84-I85-I86</f>
        <v>0.127130794252464</v>
      </c>
      <c r="J87" s="12" t="n">
        <f aca="false">1-J82-J83-J84-J85-J86</f>
        <v>0.133977742381572</v>
      </c>
      <c r="K87" s="12" t="n">
        <f aca="false">1-K82-K83-K84-K85-K86</f>
        <v>0.139977742381572</v>
      </c>
      <c r="L87" s="12" t="n">
        <f aca="false">1-L82-L83-L84-L85-L86</f>
        <v>0.139977742381572</v>
      </c>
      <c r="M87" s="12" t="n">
        <f aca="false">1-M82-M83-M84-M85-M86</f>
        <v>0.139977742381572</v>
      </c>
      <c r="N87" s="12" t="n">
        <f aca="false">1-N82-N83-N84-N85-N86</f>
        <v>0.139977742381572</v>
      </c>
      <c r="O87" s="12" t="n">
        <f aca="false">1-O82-O83-O84-O85-O86</f>
        <v>0.145977742381572</v>
      </c>
      <c r="P87" s="12" t="n">
        <f aca="false">1-P82-P83-P84-P85-P86</f>
        <v>0.145977742381572</v>
      </c>
      <c r="Q87" s="12" t="n">
        <f aca="false">1-Q82-Q83-Q84-Q85-Q86</f>
        <v>0.145977742381572</v>
      </c>
      <c r="R87" s="12" t="n">
        <f aca="false">1-R82-R83-R84-R85-R86</f>
        <v>0.145977742381572</v>
      </c>
      <c r="S87" s="12" t="n">
        <f aca="false">1-S82-S83-S84-S85-S86</f>
        <v>0.151977742381572</v>
      </c>
      <c r="T87" s="12" t="n">
        <f aca="false">1-T82-T83-T84-T85-T86</f>
        <v>0.151977742381572</v>
      </c>
      <c r="U87" s="12" t="n">
        <f aca="false">1-U82-U83-U84-U85-U86</f>
        <v>0.151977742381572</v>
      </c>
      <c r="V87" s="12" t="n">
        <f aca="false">1-V82-V83-V84-V85-V86</f>
        <v>0.151977742381572</v>
      </c>
      <c r="W87" s="12" t="n">
        <f aca="false">1-W82-W83-W84-W85-W86</f>
        <v>0.157977742381572</v>
      </c>
      <c r="X87" s="12" t="n">
        <f aca="false">1-X82-X83-X84-X85-X86</f>
        <v>0.157977742381572</v>
      </c>
      <c r="Y87" s="12" t="n">
        <f aca="false">1-Y82-Y83-Y84-Y85-Y86</f>
        <v>0.157977742381572</v>
      </c>
      <c r="Z87" s="12" t="n">
        <f aca="false">1-Z82-Z83-Z84-Z85-Z86</f>
        <v>0.157977742381572</v>
      </c>
      <c r="AB87" s="5" t="s">
        <v>545</v>
      </c>
    </row>
    <row r="88" customFormat="false" ht="17.15" hidden="false" customHeight="false" outlineLevel="0" collapsed="false">
      <c r="A88" s="5" t="s">
        <v>559</v>
      </c>
      <c r="B88" s="0" t="s">
        <v>285</v>
      </c>
      <c r="C88" s="19" t="n">
        <f aca="false">C81*C82</f>
        <v>4.2</v>
      </c>
      <c r="D88" s="19" t="n">
        <f aca="false">D81*D82</f>
        <v>5.2</v>
      </c>
      <c r="E88" s="19" t="n">
        <f aca="false">E81*E82</f>
        <v>6</v>
      </c>
      <c r="F88" s="19" t="n">
        <f aca="false">F81*F82</f>
        <v>6.6</v>
      </c>
      <c r="G88" s="19" t="n">
        <f aca="false">G81*G82</f>
        <v>13.51</v>
      </c>
      <c r="H88" s="19" t="n">
        <f aca="false">H81*H82</f>
        <v>23.06</v>
      </c>
      <c r="I88" s="19" t="n">
        <f aca="false">I81*I82</f>
        <v>30.7629206934451</v>
      </c>
      <c r="J88" s="19" t="n">
        <f aca="false">J81*J82</f>
        <v>34.877841715768</v>
      </c>
      <c r="K88" s="19" t="n">
        <f aca="false">K81*K82</f>
        <v>38.5203320943422</v>
      </c>
      <c r="L88" s="19" t="n">
        <f aca="false">L81*L82</f>
        <v>41.5448980590396</v>
      </c>
      <c r="M88" s="19" t="n">
        <f aca="false">M81*M82</f>
        <v>39.5355432151766</v>
      </c>
      <c r="N88" s="19" t="n">
        <f aca="false">N81*N82</f>
        <v>33.4429978241922</v>
      </c>
      <c r="O88" s="19" t="n">
        <f aca="false">O81*O82</f>
        <v>23.1214572212931</v>
      </c>
      <c r="P88" s="19" t="n">
        <f aca="false">P81*P82</f>
        <v>17.9572948057533</v>
      </c>
      <c r="Q88" s="19" t="n">
        <f aca="false">Q81*Q82</f>
        <v>14.876314350119</v>
      </c>
      <c r="R88" s="19" t="n">
        <f aca="false">R81*R82</f>
        <v>13.8644390715373</v>
      </c>
      <c r="S88" s="19" t="n">
        <f aca="false">S81*S82</f>
        <v>15.4222651097212</v>
      </c>
      <c r="T88" s="19" t="n">
        <f aca="false">T81*T82</f>
        <v>17.0472308363874</v>
      </c>
      <c r="U88" s="19" t="n">
        <f aca="false">U81*U82</f>
        <v>18.4844888332801</v>
      </c>
      <c r="V88" s="19" t="n">
        <f aca="false">V81*V82</f>
        <v>20.0429225548084</v>
      </c>
      <c r="W88" s="19" t="n">
        <f aca="false">W81*W82</f>
        <v>19.1441713011894</v>
      </c>
      <c r="X88" s="19" t="n">
        <f aca="false">X81*X82</f>
        <v>19.1446988104111</v>
      </c>
      <c r="Y88" s="19" t="n">
        <f aca="false">Y81*Y82</f>
        <v>19.1452263341681</v>
      </c>
      <c r="Z88" s="19" t="n">
        <f aca="false">Z81*Z82</f>
        <v>19.1457538724608</v>
      </c>
    </row>
    <row r="89" customFormat="false" ht="17.15" hidden="false" customHeight="false" outlineLevel="0" collapsed="false">
      <c r="A89" s="0" t="s">
        <v>560</v>
      </c>
      <c r="B89" s="0" t="s">
        <v>285</v>
      </c>
      <c r="C89" s="19" t="n">
        <f aca="false">C81*C83</f>
        <v>2.19</v>
      </c>
      <c r="D89" s="19" t="n">
        <f aca="false">D81*D83</f>
        <v>3.34</v>
      </c>
      <c r="E89" s="19" t="n">
        <f aca="false">E81*E83</f>
        <v>3.53</v>
      </c>
      <c r="F89" s="19" t="n">
        <f aca="false">F81*F83</f>
        <v>5.21</v>
      </c>
      <c r="G89" s="19" t="n">
        <f aca="false">G81*G83</f>
        <v>7.53</v>
      </c>
      <c r="H89" s="19" t="n">
        <f aca="false">H81*H83</f>
        <v>14.27</v>
      </c>
      <c r="I89" s="19" t="n">
        <f aca="false">I81*I83</f>
        <v>18.3383010969949</v>
      </c>
      <c r="J89" s="19" t="n">
        <f aca="false">J81*J83</f>
        <v>20.7912756194625</v>
      </c>
      <c r="K89" s="19" t="n">
        <f aca="false">K81*K83</f>
        <v>23.354284219428</v>
      </c>
      <c r="L89" s="19" t="n">
        <f aca="false">L81*L83</f>
        <v>25.1880319920836</v>
      </c>
      <c r="M89" s="19" t="n">
        <f aca="false">M81*M83</f>
        <v>23.9697910899457</v>
      </c>
      <c r="N89" s="19" t="n">
        <f aca="false">N81*N83</f>
        <v>20.2759746313458</v>
      </c>
      <c r="O89" s="19" t="n">
        <f aca="false">O81*O83</f>
        <v>14.2614311078306</v>
      </c>
      <c r="P89" s="19" t="n">
        <f aca="false">P81*P83</f>
        <v>11.0761497557953</v>
      </c>
      <c r="Q89" s="19" t="n">
        <f aca="false">Q81*Q83</f>
        <v>9.17578551438675</v>
      </c>
      <c r="R89" s="19" t="n">
        <f aca="false">R81*R83</f>
        <v>8.55165575313971</v>
      </c>
      <c r="S89" s="19" t="n">
        <f aca="false">S81*S83</f>
        <v>9.6805097212685</v>
      </c>
      <c r="T89" s="19" t="n">
        <f aca="false">T81*T83</f>
        <v>10.7004958518276</v>
      </c>
      <c r="U89" s="19" t="n">
        <f aca="false">U81*U83</f>
        <v>11.6026584013561</v>
      </c>
      <c r="V89" s="19" t="n">
        <f aca="false">V81*V83</f>
        <v>12.5808825911152</v>
      </c>
      <c r="W89" s="19" t="n">
        <f aca="false">W81*W83</f>
        <v>12.2327537814995</v>
      </c>
      <c r="X89" s="19" t="n">
        <f aca="false">X81*X83</f>
        <v>12.2330908496507</v>
      </c>
      <c r="Y89" s="19" t="n">
        <f aca="false">Y81*Y83</f>
        <v>12.2334279270896</v>
      </c>
      <c r="Z89" s="19" t="n">
        <f aca="false">Z81*Z83</f>
        <v>12.2337650138166</v>
      </c>
    </row>
    <row r="90" customFormat="false" ht="17.15" hidden="false" customHeight="false" outlineLevel="0" collapsed="false">
      <c r="A90" s="5" t="s">
        <v>561</v>
      </c>
      <c r="B90" s="0" t="s">
        <v>285</v>
      </c>
      <c r="C90" s="19" t="n">
        <f aca="false">C81*C84</f>
        <v>2.03</v>
      </c>
      <c r="D90" s="19" t="n">
        <f aca="false">D81*D84</f>
        <v>2.1</v>
      </c>
      <c r="E90" s="19" t="n">
        <f aca="false">E81*E84</f>
        <v>2.42</v>
      </c>
      <c r="F90" s="19" t="n">
        <f aca="false">F81*F84</f>
        <v>3.03</v>
      </c>
      <c r="G90" s="19" t="n">
        <f aca="false">G81*G84</f>
        <v>5.95</v>
      </c>
      <c r="H90" s="19" t="n">
        <f aca="false">H81*H84</f>
        <v>11.85</v>
      </c>
      <c r="I90" s="19" t="n">
        <f aca="false">I81*I84</f>
        <v>14.973475207638</v>
      </c>
      <c r="J90" s="19" t="n">
        <f aca="false">J81*J84</f>
        <v>16.976362661763</v>
      </c>
      <c r="K90" s="19" t="n">
        <f aca="false">K81*K84</f>
        <v>19.3319005873829</v>
      </c>
      <c r="L90" s="19" t="n">
        <f aca="false">L81*L84</f>
        <v>20.8498160717642</v>
      </c>
      <c r="M90" s="19" t="n">
        <f aca="false">M81*M84</f>
        <v>19.8413967260742</v>
      </c>
      <c r="N90" s="19" t="n">
        <f aca="false">N81*N84</f>
        <v>16.7837781797397</v>
      </c>
      <c r="O90" s="19" t="n">
        <f aca="false">O81*O84</f>
        <v>11.9656229814246</v>
      </c>
      <c r="P90" s="19" t="n">
        <f aca="false">P81*P84</f>
        <v>9.29310887957612</v>
      </c>
      <c r="Q90" s="19" t="n">
        <f aca="false">Q81*Q84</f>
        <v>7.6986656663989</v>
      </c>
      <c r="R90" s="19" t="n">
        <f aca="false">R81*R84</f>
        <v>7.17500844307381</v>
      </c>
      <c r="S90" s="19" t="n">
        <f aca="false">S81*S84</f>
        <v>8.23107419653791</v>
      </c>
      <c r="T90" s="19" t="n">
        <f aca="false">T81*T84</f>
        <v>9.09834066925537</v>
      </c>
      <c r="U90" s="19" t="n">
        <f aca="false">U81*U84</f>
        <v>9.8654249547235</v>
      </c>
      <c r="V90" s="19" t="n">
        <f aca="false">V81*V84</f>
        <v>10.6971823847135</v>
      </c>
      <c r="W90" s="19" t="n">
        <f aca="false">W81*W84</f>
        <v>10.538833297252</v>
      </c>
      <c r="X90" s="19" t="n">
        <f aca="false">X81*X84</f>
        <v>10.5391236901691</v>
      </c>
      <c r="Y90" s="19" t="n">
        <f aca="false">Y81*Y84</f>
        <v>10.5394140910879</v>
      </c>
      <c r="Z90" s="19" t="n">
        <f aca="false">Z81*Z84</f>
        <v>10.5397045000085</v>
      </c>
    </row>
    <row r="91" customFormat="false" ht="17.15" hidden="false" customHeight="false" outlineLevel="0" collapsed="false">
      <c r="A91" s="0" t="s">
        <v>562</v>
      </c>
      <c r="B91" s="0" t="s">
        <v>285</v>
      </c>
      <c r="C91" s="19" t="n">
        <f aca="false">C81*C85</f>
        <v>1.92</v>
      </c>
      <c r="D91" s="19" t="n">
        <f aca="false">D81*D85</f>
        <v>2.14</v>
      </c>
      <c r="E91" s="19" t="n">
        <f aca="false">E81*E85</f>
        <v>2.84</v>
      </c>
      <c r="F91" s="19" t="n">
        <f aca="false">F81*F85</f>
        <v>3.31</v>
      </c>
      <c r="G91" s="19" t="n">
        <f aca="false">G81*G85</f>
        <v>5.96</v>
      </c>
      <c r="H91" s="19" t="n">
        <f aca="false">H81*H85</f>
        <v>10.72</v>
      </c>
      <c r="I91" s="19" t="n">
        <f aca="false">I81*I85</f>
        <v>14.9513168749304</v>
      </c>
      <c r="J91" s="19" t="n">
        <f aca="false">J81*J85</f>
        <v>16.2035648188888</v>
      </c>
      <c r="K91" s="19" t="n">
        <f aca="false">K81*K85</f>
        <v>17.9742404553078</v>
      </c>
      <c r="L91" s="19" t="n">
        <f aca="false">L81*L85</f>
        <v>19.3855542464056</v>
      </c>
      <c r="M91" s="19" t="n">
        <f aca="false">M81*M85</f>
        <v>18.4479551874158</v>
      </c>
      <c r="N91" s="19" t="n">
        <f aca="false">N81*N85</f>
        <v>15.6050701475302</v>
      </c>
      <c r="O91" s="19" t="n">
        <f aca="false">O81*O85</f>
        <v>10.8375845604605</v>
      </c>
      <c r="P91" s="19" t="n">
        <f aca="false">P81*P85</f>
        <v>8.41701710544631</v>
      </c>
      <c r="Q91" s="19" t="n">
        <f aca="false">Q81*Q85</f>
        <v>6.97288726979248</v>
      </c>
      <c r="R91" s="19" t="n">
        <f aca="false">R81*R85</f>
        <v>6.49859692592223</v>
      </c>
      <c r="S91" s="19" t="n">
        <f aca="false">S81*S85</f>
        <v>7.26243228308299</v>
      </c>
      <c r="T91" s="19" t="n">
        <f aca="false">T81*T85</f>
        <v>8.02763787825889</v>
      </c>
      <c r="U91" s="19" t="n">
        <f aca="false">U81*U85</f>
        <v>8.70445083676345</v>
      </c>
      <c r="V91" s="19" t="n">
        <f aca="false">V81*V85</f>
        <v>9.43832613262633</v>
      </c>
      <c r="W91" s="19" t="n">
        <f aca="false">W81*W85</f>
        <v>9.05836490298616</v>
      </c>
      <c r="X91" s="19" t="n">
        <f aca="false">X81*X85</f>
        <v>9.05861450224771</v>
      </c>
      <c r="Y91" s="19" t="n">
        <f aca="false">Y81*Y85</f>
        <v>9.05886410838686</v>
      </c>
      <c r="Z91" s="19" t="n">
        <f aca="false">Z81*Z85</f>
        <v>9.0591137214038</v>
      </c>
    </row>
    <row r="92" customFormat="false" ht="17.15" hidden="false" customHeight="false" outlineLevel="0" collapsed="false">
      <c r="A92" s="0" t="s">
        <v>563</v>
      </c>
      <c r="B92" s="0" t="s">
        <v>285</v>
      </c>
      <c r="C92" s="19" t="n">
        <f aca="false">C81*C86</f>
        <v>1.69</v>
      </c>
      <c r="D92" s="19" t="n">
        <f aca="false">D81*D86</f>
        <v>1.9</v>
      </c>
      <c r="E92" s="19" t="n">
        <f aca="false">E81*E86</f>
        <v>2.31</v>
      </c>
      <c r="F92" s="19" t="n">
        <f aca="false">F81*F86</f>
        <v>3.03</v>
      </c>
      <c r="G92" s="19" t="n">
        <f aca="false">G81*G86</f>
        <v>5.95</v>
      </c>
      <c r="H92" s="19" t="n">
        <f aca="false">H81*H86</f>
        <v>8.97</v>
      </c>
      <c r="I92" s="19" t="n">
        <f aca="false">I81*I86</f>
        <v>11.0371522587842</v>
      </c>
      <c r="J92" s="19" t="n">
        <f aca="false">J81*J86</f>
        <v>12.4602118149868</v>
      </c>
      <c r="K92" s="19" t="n">
        <f aca="false">K81*K86</f>
        <v>13.8288045475019</v>
      </c>
      <c r="L92" s="19" t="n">
        <f aca="false">L81*L86</f>
        <v>14.91462414699</v>
      </c>
      <c r="M92" s="19" t="n">
        <f aca="false">M81*M86</f>
        <v>14.1932654802395</v>
      </c>
      <c r="N92" s="19" t="n">
        <f aca="false">N81*N86</f>
        <v>12.0060408425506</v>
      </c>
      <c r="O92" s="19" t="n">
        <f aca="false">O81*O86</f>
        <v>8.34240587631358</v>
      </c>
      <c r="P92" s="19" t="n">
        <f aca="false">P81*P86</f>
        <v>6.47913495574367</v>
      </c>
      <c r="Q92" s="19" t="n">
        <f aca="false">Q81*Q86</f>
        <v>5.36749267420871</v>
      </c>
      <c r="R92" s="19" t="n">
        <f aca="false">R81*R86</f>
        <v>5.00240001636523</v>
      </c>
      <c r="S92" s="19" t="n">
        <f aca="false">S81*S86</f>
        <v>5.59334148070003</v>
      </c>
      <c r="T92" s="19" t="n">
        <f aca="false">T81*T86</f>
        <v>6.18268345731728</v>
      </c>
      <c r="U92" s="19" t="n">
        <f aca="false">U81*U86</f>
        <v>6.70394766301557</v>
      </c>
      <c r="V92" s="19" t="n">
        <f aca="false">V81*V86</f>
        <v>7.26915983629429</v>
      </c>
      <c r="W92" s="19" t="n">
        <f aca="false">W81*W86</f>
        <v>6.98032090193984</v>
      </c>
      <c r="X92" s="19" t="n">
        <f aca="false">X81*X86</f>
        <v>6.98051324161275</v>
      </c>
      <c r="Y92" s="19" t="n">
        <f aca="false">Y81*Y86</f>
        <v>6.98070558658549</v>
      </c>
      <c r="Z92" s="19" t="n">
        <f aca="false">Z81*Z86</f>
        <v>6.98089793685821</v>
      </c>
    </row>
    <row r="93" customFormat="false" ht="17.15" hidden="false" customHeight="false" outlineLevel="0" collapsed="false">
      <c r="A93" s="5" t="s">
        <v>564</v>
      </c>
      <c r="B93" s="0" t="s">
        <v>285</v>
      </c>
      <c r="C93" s="19" t="n">
        <f aca="false">C81*C87</f>
        <v>0.905483870967741</v>
      </c>
      <c r="D93" s="19" t="n">
        <f aca="false">D81*D87</f>
        <v>1.12547112462006</v>
      </c>
      <c r="E93" s="19" t="n">
        <f aca="false">E81*E87</f>
        <v>1.69120879120879</v>
      </c>
      <c r="F93" s="19" t="n">
        <f aca="false">F81*F87</f>
        <v>2.39142857142857</v>
      </c>
      <c r="G93" s="19" t="n">
        <f aca="false">G81*G87</f>
        <v>5.05480225988701</v>
      </c>
      <c r="H93" s="19" t="n">
        <f aca="false">H81*H87</f>
        <v>9.83307167235495</v>
      </c>
      <c r="I93" s="19" t="n">
        <f aca="false">I81*I87</f>
        <v>13.1174313033769</v>
      </c>
      <c r="J93" s="19" t="n">
        <f aca="false">J81*J87</f>
        <v>15.6730215261275</v>
      </c>
      <c r="K93" s="19" t="n">
        <f aca="false">K81*K87</f>
        <v>18.3935045898146</v>
      </c>
      <c r="L93" s="19" t="n">
        <f aca="false">L81*L87</f>
        <v>19.8377384509767</v>
      </c>
      <c r="M93" s="19" t="n">
        <f aca="false">M81*M87</f>
        <v>18.8782691127414</v>
      </c>
      <c r="N93" s="19" t="n">
        <f aca="false">N81*N87</f>
        <v>15.9690714106483</v>
      </c>
      <c r="O93" s="19" t="n">
        <f aca="false">O81*O87</f>
        <v>11.713554166331</v>
      </c>
      <c r="P93" s="19" t="n">
        <f aca="false">P81*P87</f>
        <v>9.09733947020672</v>
      </c>
      <c r="Q93" s="19" t="n">
        <f aca="false">Q81*Q87</f>
        <v>7.53648493119243</v>
      </c>
      <c r="R93" s="19" t="n">
        <f aca="false">R81*R87</f>
        <v>7.0238591147572</v>
      </c>
      <c r="S93" s="19" t="n">
        <f aca="false">S81*S87</f>
        <v>8.27784239177174</v>
      </c>
      <c r="T93" s="19" t="n">
        <f aca="false">T81*T87</f>
        <v>9.15003659162995</v>
      </c>
      <c r="U93" s="19" t="n">
        <f aca="false">U81*U87</f>
        <v>9.92147937840264</v>
      </c>
      <c r="V93" s="19" t="n">
        <f aca="false">V81*V87</f>
        <v>10.7579627764673</v>
      </c>
      <c r="W93" s="19" t="n">
        <f aca="false">W81*W87</f>
        <v>10.8732425662945</v>
      </c>
      <c r="X93" s="19" t="n">
        <f aca="false">X81*X87</f>
        <v>10.873542173712</v>
      </c>
      <c r="Y93" s="19" t="n">
        <f aca="false">Y81*Y87</f>
        <v>10.873841789385</v>
      </c>
      <c r="Z93" s="19" t="n">
        <f aca="false">Z81*Z87</f>
        <v>10.8741414133139</v>
      </c>
    </row>
    <row r="94" customFormat="false" ht="17.15" hidden="false" customHeight="false" outlineLevel="0" collapsed="false">
      <c r="A94" s="0" t="s">
        <v>565</v>
      </c>
      <c r="B94" s="0" t="s">
        <v>25</v>
      </c>
      <c r="C94" s="12" t="n">
        <f aca="false">C85+C86</f>
        <v>0.279077306733167</v>
      </c>
      <c r="D94" s="12" t="n">
        <f aca="false">D85+D86</f>
        <v>0.255607692307692</v>
      </c>
      <c r="E94" s="12" t="n">
        <f aca="false">E85+E86</f>
        <v>0.27406432748538</v>
      </c>
      <c r="F94" s="12" t="n">
        <f aca="false">F85+F86</f>
        <v>0.268969696969697</v>
      </c>
      <c r="G94" s="12" t="n">
        <f aca="false">G85+G86</f>
        <v>0.270960154241645</v>
      </c>
      <c r="H94" s="12" t="n">
        <f aca="false">H85+H86</f>
        <v>0.250180832610581</v>
      </c>
      <c r="I94" s="12" t="n">
        <f aca="false">I85+I86</f>
        <v>0.251873605888391</v>
      </c>
      <c r="J94" s="12" t="n">
        <f aca="false">J85+J86</f>
        <v>0.245026657759283</v>
      </c>
      <c r="K94" s="12" t="n">
        <f aca="false">K85+K86</f>
        <v>0.242026657759283</v>
      </c>
      <c r="L94" s="12" t="n">
        <f aca="false">L85+L86</f>
        <v>0.242026657759283</v>
      </c>
      <c r="M94" s="12" t="n">
        <f aca="false">M85+M86</f>
        <v>0.242026657759283</v>
      </c>
      <c r="N94" s="12" t="n">
        <f aca="false">N85+N86</f>
        <v>0.242026657759283</v>
      </c>
      <c r="O94" s="12" t="n">
        <f aca="false">O85+O86</f>
        <v>0.239026657759283</v>
      </c>
      <c r="P94" s="12" t="n">
        <f aca="false">P85+P86</f>
        <v>0.239026657759283</v>
      </c>
      <c r="Q94" s="12" t="n">
        <f aca="false">Q85+Q86</f>
        <v>0.239026657759283</v>
      </c>
      <c r="R94" s="12" t="n">
        <f aca="false">R85+R86</f>
        <v>0.239026657759283</v>
      </c>
      <c r="S94" s="12" t="n">
        <f aca="false">S85+S86</f>
        <v>0.236026657759283</v>
      </c>
      <c r="T94" s="12" t="n">
        <f aca="false">T85+T86</f>
        <v>0.236026657759283</v>
      </c>
      <c r="U94" s="12" t="n">
        <f aca="false">U85+U86</f>
        <v>0.236026657759283</v>
      </c>
      <c r="V94" s="12" t="n">
        <f aca="false">V85+V86</f>
        <v>0.236026657759283</v>
      </c>
      <c r="W94" s="12" t="n">
        <f aca="false">W85+W86</f>
        <v>0.233026657759283</v>
      </c>
      <c r="X94" s="12" t="n">
        <f aca="false">X85+X86</f>
        <v>0.233026657759283</v>
      </c>
      <c r="Y94" s="12" t="n">
        <f aca="false">Y85+Y86</f>
        <v>0.233026657759283</v>
      </c>
      <c r="Z94" s="12" t="n">
        <f aca="false">Z85+Z86</f>
        <v>0.233026657759283</v>
      </c>
    </row>
    <row r="95" customFormat="false" ht="17.15" hidden="false" customHeight="false" outlineLevel="0" collapsed="false">
      <c r="A95" s="0" t="s">
        <v>566</v>
      </c>
      <c r="B95" s="0" t="s">
        <v>222</v>
      </c>
      <c r="C95" s="19" t="n">
        <f aca="false">C80*C85</f>
        <v>35.5454438457651</v>
      </c>
      <c r="D95" s="19" t="n">
        <f aca="false">D80*D85</f>
        <v>33.3561735612603</v>
      </c>
      <c r="E95" s="19" t="n">
        <f aca="false">E80*E85</f>
        <v>38.3034616573653</v>
      </c>
      <c r="F95" s="19" t="n">
        <f aca="false">F80*F85</f>
        <v>36.6117929947199</v>
      </c>
      <c r="G95" s="19" t="n">
        <f aca="false">G80*G85</f>
        <v>38.1333152375469</v>
      </c>
      <c r="H95" s="19" t="n">
        <f aca="false">H80*H85</f>
        <v>40.1757580440862</v>
      </c>
      <c r="I95" s="19" t="n">
        <f aca="false">I80*I85</f>
        <v>44.8269021796765</v>
      </c>
      <c r="J95" s="19" t="n">
        <f aca="false">J80*J85</f>
        <v>44.9411476117569</v>
      </c>
      <c r="K95" s="19" t="n">
        <f aca="false">K80*K85</f>
        <v>47.4782645224172</v>
      </c>
      <c r="L95" s="19" t="n">
        <f aca="false">L80*L85</f>
        <v>50.2021525440336</v>
      </c>
      <c r="M95" s="19" t="n">
        <f aca="false">M80*M85</f>
        <v>53.0823134629208</v>
      </c>
      <c r="N95" s="19" t="n">
        <f aca="false">N80*N85</f>
        <v>56.1277128526366</v>
      </c>
      <c r="O95" s="19" t="n">
        <f aca="false">O80*O85</f>
        <v>55.6860072193511</v>
      </c>
      <c r="P95" s="19" t="n">
        <f aca="false">P80*P85</f>
        <v>57.6647650202197</v>
      </c>
      <c r="Q95" s="19" t="n">
        <f aca="false">Q80*Q85</f>
        <v>59.7138363994901</v>
      </c>
      <c r="R95" s="19" t="n">
        <f aca="false">R80*R85</f>
        <v>61.8357198940249</v>
      </c>
      <c r="S95" s="19" t="n">
        <f aca="false">S80*S85</f>
        <v>65.8131408283531</v>
      </c>
      <c r="T95" s="19" t="n">
        <f aca="false">T80*T85</f>
        <v>69.2833686995897</v>
      </c>
      <c r="U95" s="19" t="n">
        <f aca="false">U80*U85</f>
        <v>72.9365764640017</v>
      </c>
      <c r="V95" s="19" t="n">
        <f aca="false">V80*V85</f>
        <v>76.7824123759829</v>
      </c>
      <c r="W95" s="19" t="n">
        <f aca="false">W80*W85</f>
        <v>76.0844519175624</v>
      </c>
      <c r="X95" s="19" t="n">
        <f aca="false">X80*X85</f>
        <v>78.5574205878787</v>
      </c>
      <c r="Y95" s="19" t="n">
        <f aca="false">Y80*Y85</f>
        <v>81.1107680200871</v>
      </c>
      <c r="Z95" s="19" t="n">
        <f aca="false">Z80*Z85</f>
        <v>83.7471067605739</v>
      </c>
      <c r="AB95" s="5" t="s">
        <v>554</v>
      </c>
    </row>
    <row r="96" customFormat="false" ht="17.15" hidden="false" customHeight="false" outlineLevel="0" collapsed="false">
      <c r="A96" s="0" t="s">
        <v>567</v>
      </c>
      <c r="B96" s="0" t="s">
        <v>222</v>
      </c>
      <c r="C96" s="19" t="n">
        <f aca="false">C80*C86</f>
        <v>31.2873958850745</v>
      </c>
      <c r="D96" s="19" t="n">
        <f aca="false">D80*D86</f>
        <v>29.6152942833619</v>
      </c>
      <c r="E96" s="19" t="n">
        <f aca="false">E80*E86</f>
        <v>31.1552804325753</v>
      </c>
      <c r="F96" s="19" t="n">
        <f aca="false">F80*F86</f>
        <v>33.5147228924475</v>
      </c>
      <c r="G96" s="19" t="n">
        <f aca="false">G80*G86</f>
        <v>38.0693331650007</v>
      </c>
      <c r="H96" s="19" t="n">
        <f aca="false">H80*H86</f>
        <v>33.6172154529341</v>
      </c>
      <c r="I96" s="19" t="n">
        <f aca="false">I80*I86</f>
        <v>33.0914894510934</v>
      </c>
      <c r="J96" s="19" t="n">
        <f aca="false">J80*J86</f>
        <v>34.5588285485368</v>
      </c>
      <c r="K96" s="19" t="n">
        <f aca="false">K80*K86</f>
        <v>36.5282550863624</v>
      </c>
      <c r="L96" s="19" t="n">
        <f aca="false">L80*L86</f>
        <v>38.6239272319463</v>
      </c>
      <c r="M96" s="19" t="n">
        <f aca="false">M80*M86</f>
        <v>40.8398307362794</v>
      </c>
      <c r="N96" s="19" t="n">
        <f aca="false">N80*N86</f>
        <v>43.1828634243186</v>
      </c>
      <c r="O96" s="19" t="n">
        <f aca="false">O80*O86</f>
        <v>42.8652040741648</v>
      </c>
      <c r="P96" s="19" t="n">
        <f aca="false">P80*P86</f>
        <v>44.3883848727713</v>
      </c>
      <c r="Q96" s="19" t="n">
        <f aca="false">Q80*Q86</f>
        <v>45.9656906847857</v>
      </c>
      <c r="R96" s="19" t="n">
        <f aca="false">R80*R86</f>
        <v>47.5990447993401</v>
      </c>
      <c r="S96" s="19" t="n">
        <f aca="false">S80*S86</f>
        <v>50.6876148680743</v>
      </c>
      <c r="T96" s="19" t="n">
        <f aca="false">T80*T86</f>
        <v>53.3602965183917</v>
      </c>
      <c r="U96" s="19" t="n">
        <f aca="false">U80*U86</f>
        <v>56.1739046499125</v>
      </c>
      <c r="V96" s="19" t="n">
        <f aca="false">V80*V86</f>
        <v>59.1358701039048</v>
      </c>
      <c r="W96" s="19" t="n">
        <f aca="false">W80*W86</f>
        <v>58.6302159076985</v>
      </c>
      <c r="X96" s="19" t="n">
        <f aca="false">X80*X86</f>
        <v>60.5358705246329</v>
      </c>
      <c r="Y96" s="19" t="n">
        <f aca="false">Y80*Y86</f>
        <v>62.5034645266236</v>
      </c>
      <c r="Z96" s="19" t="n">
        <f aca="false">Z80*Z86</f>
        <v>64.5350111260266</v>
      </c>
    </row>
    <row r="97" customFormat="false" ht="17.15" hidden="false" customHeight="false" outlineLevel="0" collapsed="false">
      <c r="A97" s="5" t="s">
        <v>556</v>
      </c>
      <c r="B97" s="0" t="s">
        <v>557</v>
      </c>
      <c r="C97" s="17" t="n">
        <f aca="false">ABS(SUM(C82:C87)-1)+ABS(SUM(I82:I87)-1)+ABS(SUM(Z82:Z87)-1)+ABS(H92-rv_sd_5)</f>
        <v>0</v>
      </c>
    </row>
    <row r="100" customFormat="false" ht="17.15" hidden="false" customHeight="false" outlineLevel="0" collapsed="false">
      <c r="A100" s="3" t="s">
        <v>568</v>
      </c>
    </row>
    <row r="101" customFormat="false" ht="17.15" hidden="false" customHeight="false" outlineLevel="0" collapsed="false">
      <c r="A101" s="9" t="s">
        <v>508</v>
      </c>
      <c r="B101" s="6" t="s">
        <v>15</v>
      </c>
      <c r="C101" s="9" t="s">
        <v>427</v>
      </c>
      <c r="D101" s="9" t="s">
        <v>428</v>
      </c>
      <c r="E101" s="9" t="s">
        <v>429</v>
      </c>
      <c r="F101" s="9" t="s">
        <v>430</v>
      </c>
      <c r="G101" s="9" t="s">
        <v>431</v>
      </c>
      <c r="H101" s="9" t="s">
        <v>432</v>
      </c>
      <c r="I101" s="9" t="s">
        <v>433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6" t="s">
        <v>434</v>
      </c>
    </row>
    <row r="102" customFormat="false" ht="17.15" hidden="false" customHeight="false" outlineLevel="0" collapsed="false">
      <c r="A102" s="5" t="s">
        <v>509</v>
      </c>
      <c r="B102" s="5" t="s">
        <v>168</v>
      </c>
      <c r="E102" s="10" t="n">
        <f aca="false">(u_26)*1</f>
        <v>15.2</v>
      </c>
      <c r="F102" s="10" t="n">
        <f aca="false">(u_27)*1</f>
        <v>23.7</v>
      </c>
      <c r="G102" s="10" t="n">
        <f aca="false">(u_28)*um28_C</f>
        <v>15.9</v>
      </c>
      <c r="H102" s="10" t="n">
        <f aca="false">(u_28*(1+g_u29))*um29_C</f>
        <v>18.09</v>
      </c>
      <c r="I102" s="10" t="n">
        <f aca="false">(u_28*(1+g_u29)*(1+g_u30))*um29_C</f>
        <v>18.9945</v>
      </c>
      <c r="AB102" s="8" t="s">
        <v>510</v>
      </c>
    </row>
    <row r="103" customFormat="false" ht="17.15" hidden="false" customHeight="false" outlineLevel="0" collapsed="false">
      <c r="A103" s="5" t="s">
        <v>511</v>
      </c>
      <c r="B103" s="0" t="s">
        <v>512</v>
      </c>
      <c r="E103" s="18" t="n">
        <f aca="false">tb_26</f>
        <v>30</v>
      </c>
      <c r="F103" s="18" t="n">
        <f aca="false">tb_27</f>
        <v>34</v>
      </c>
      <c r="G103" s="18" t="n">
        <f aca="false">tb_28</f>
        <v>40</v>
      </c>
      <c r="H103" s="18" t="n">
        <f aca="false">tb_29</f>
        <v>46</v>
      </c>
      <c r="I103" s="18" t="n">
        <f aca="false">tb_30</f>
        <v>52</v>
      </c>
    </row>
    <row r="104" customFormat="false" ht="17.15" hidden="false" customHeight="false" outlineLevel="0" collapsed="false">
      <c r="A104" s="5" t="s">
        <v>513</v>
      </c>
      <c r="B104" s="0" t="s">
        <v>222</v>
      </c>
      <c r="D104" s="10" t="n">
        <f aca="false">bits25*sh_essd25*ai25</f>
        <v>165</v>
      </c>
      <c r="E104" s="10" t="n">
        <f aca="false">E102*E103</f>
        <v>456</v>
      </c>
      <c r="F104" s="10" t="n">
        <f aca="false">F102*F103</f>
        <v>805.8</v>
      </c>
      <c r="G104" s="10" t="n">
        <f aca="false">G102*G103</f>
        <v>636</v>
      </c>
      <c r="H104" s="10" t="n">
        <f aca="false">H102*H103</f>
        <v>832.14</v>
      </c>
      <c r="I104" s="10" t="n">
        <f aca="false">I102*I103</f>
        <v>987.714</v>
      </c>
      <c r="AB104" s="5" t="s">
        <v>514</v>
      </c>
    </row>
    <row r="105" customFormat="false" ht="17.15" hidden="false" customHeight="false" outlineLevel="0" collapsed="false">
      <c r="A105" s="5" t="s">
        <v>515</v>
      </c>
      <c r="B105" s="0" t="s">
        <v>222</v>
      </c>
      <c r="D105" s="10" t="n">
        <f aca="false">bits25*sh_essd25*(1-ai25)</f>
        <v>135</v>
      </c>
      <c r="E105" s="10" t="n">
        <f aca="false">D105*(1+g_nai)</f>
        <v>148.5</v>
      </c>
      <c r="F105" s="10" t="n">
        <f aca="false">E105*(1+g_nai)</f>
        <v>163.35</v>
      </c>
      <c r="G105" s="10" t="n">
        <f aca="false">F105*(1+g_nai)</f>
        <v>179.685</v>
      </c>
      <c r="H105" s="10" t="n">
        <f aca="false">G105*(1+g_nai)</f>
        <v>197.6535</v>
      </c>
      <c r="I105" s="10" t="n">
        <f aca="false">H105*(1+g_nai)</f>
        <v>217.41885</v>
      </c>
    </row>
    <row r="106" customFormat="false" ht="15" hidden="false" customHeight="false" outlineLevel="0" collapsed="false">
      <c r="A106" s="5" t="s">
        <v>516</v>
      </c>
      <c r="B106" s="0" t="s">
        <v>222</v>
      </c>
      <c r="D106" s="10" t="n">
        <f aca="false">bits25*sh_mob25</f>
        <v>320</v>
      </c>
      <c r="E106" s="10" t="n">
        <f aca="false">D106*(1+g_mob_26)</f>
        <v>304</v>
      </c>
      <c r="F106" s="10" t="n">
        <f aca="false">E106*(1+g_mob_27)</f>
        <v>313.12</v>
      </c>
      <c r="G106" s="10" t="n">
        <f aca="false">F106*(1+g_mob_28)</f>
        <v>338.1696</v>
      </c>
      <c r="H106" s="10" t="n">
        <f aca="false">G106*(1+g_mob_28)</f>
        <v>365.223168</v>
      </c>
      <c r="I106" s="10" t="n">
        <f aca="false">H106*(1+g_mob_28)</f>
        <v>394.44102144</v>
      </c>
    </row>
    <row r="107" customFormat="false" ht="17.15" hidden="false" customHeight="false" outlineLevel="0" collapsed="false">
      <c r="A107" s="5" t="s">
        <v>517</v>
      </c>
      <c r="B107" s="0" t="s">
        <v>222</v>
      </c>
      <c r="D107" s="10" t="n">
        <f aca="false">bits25*sh_pc25</f>
        <v>230</v>
      </c>
      <c r="E107" s="10" t="n">
        <f aca="false">D107*(1+g_pc_26)</f>
        <v>218.5</v>
      </c>
      <c r="F107" s="10" t="n">
        <f aca="false">E107*(1+g_pc_27)</f>
        <v>218.5</v>
      </c>
      <c r="G107" s="10" t="n">
        <f aca="false">F107*(1+g_pc_28)</f>
        <v>231.61</v>
      </c>
      <c r="H107" s="10" t="n">
        <f aca="false">G107*(1+g_pc_28)</f>
        <v>245.5066</v>
      </c>
      <c r="I107" s="10" t="n">
        <f aca="false">H107*(1+g_pc_28)</f>
        <v>260.236996</v>
      </c>
    </row>
    <row r="108" customFormat="false" ht="15" hidden="false" customHeight="false" outlineLevel="0" collapsed="false">
      <c r="A108" s="5" t="s">
        <v>518</v>
      </c>
      <c r="B108" s="0" t="s">
        <v>222</v>
      </c>
      <c r="D108" s="10" t="n">
        <f aca="false">bits25*(1-sh_essd25-sh_mob25-sh_pc25)</f>
        <v>150</v>
      </c>
      <c r="E108" s="10" t="n">
        <f aca="false">D108*(1+g_con_26)</f>
        <v>135</v>
      </c>
      <c r="F108" s="10" t="n">
        <f aca="false">E108*(1+g_con_27)</f>
        <v>135</v>
      </c>
      <c r="G108" s="10" t="n">
        <f aca="false">F108*(1+g_con_28)</f>
        <v>141.75</v>
      </c>
      <c r="H108" s="10" t="n">
        <f aca="false">G108*(1+g_con_28)</f>
        <v>148.8375</v>
      </c>
      <c r="I108" s="10" t="n">
        <f aca="false">H108*(1+g_con_28)</f>
        <v>156.279375</v>
      </c>
    </row>
    <row r="109" customFormat="false" ht="15" hidden="false" customHeight="false" outlineLevel="0" collapsed="false">
      <c r="A109" s="5" t="s">
        <v>442</v>
      </c>
      <c r="B109" s="0" t="s">
        <v>222</v>
      </c>
      <c r="D109" s="10" t="n">
        <f aca="false">SUM(D104:D108)</f>
        <v>1000</v>
      </c>
      <c r="E109" s="10" t="n">
        <f aca="false">SUM(E104:E108)</f>
        <v>1262</v>
      </c>
      <c r="F109" s="10" t="n">
        <f aca="false">SUM(F104:F108)</f>
        <v>1635.77</v>
      </c>
      <c r="G109" s="10" t="n">
        <f aca="false">SUM(G104:G108)</f>
        <v>1527.2146</v>
      </c>
      <c r="H109" s="10" t="n">
        <f aca="false">SUM(H104:H108)</f>
        <v>1789.360768</v>
      </c>
      <c r="I109" s="10" t="n">
        <f aca="false">SUM(I104:I108)</f>
        <v>2016.09024244</v>
      </c>
    </row>
    <row r="110" customFormat="false" ht="17.15" hidden="false" customHeight="false" outlineLevel="0" collapsed="false">
      <c r="A110" s="5" t="s">
        <v>519</v>
      </c>
      <c r="B110" s="0" t="s">
        <v>25</v>
      </c>
      <c r="D110" s="12" t="n">
        <f aca="false">(D104+D105)/D109</f>
        <v>0.3</v>
      </c>
      <c r="E110" s="12" t="n">
        <f aca="false">(E104+E105)/E109</f>
        <v>0.479001584786054</v>
      </c>
      <c r="F110" s="12" t="n">
        <f aca="false">(F104+F105)/F109</f>
        <v>0.592473269469424</v>
      </c>
      <c r="G110" s="12" t="n">
        <f aca="false">(G104+G105)/G109</f>
        <v>0.53409979186946</v>
      </c>
      <c r="H110" s="12" t="n">
        <f aca="false">(H104+H105)/H109</f>
        <v>0.575509152998262</v>
      </c>
      <c r="I110" s="12" t="n">
        <f aca="false">(I104+I105)/I109</f>
        <v>0.597757394302684</v>
      </c>
    </row>
    <row r="111" customFormat="false" ht="17.15" hidden="false" customHeight="false" outlineLevel="0" collapsed="false">
      <c r="A111" s="5" t="s">
        <v>520</v>
      </c>
      <c r="B111" s="0" t="s">
        <v>222</v>
      </c>
      <c r="D111" s="10" t="n">
        <f aca="false">bits25</f>
        <v>1000</v>
      </c>
      <c r="E111" s="10" t="n">
        <f aca="false">D111*(1+gs_26)</f>
        <v>1210</v>
      </c>
      <c r="F111" s="10" t="n">
        <f aca="false">E111*(1+gs_27)</f>
        <v>1512.5</v>
      </c>
      <c r="G111" s="10" t="n">
        <f aca="false">F111*(1+gs_28)</f>
        <v>1890.625</v>
      </c>
      <c r="H111" s="10" t="n">
        <f aca="false">G111*(1+gs_29)</f>
        <v>2306.5625</v>
      </c>
      <c r="I111" s="10" t="n">
        <f aca="false">H111*(1+gs_30)</f>
        <v>2767.875</v>
      </c>
      <c r="AB111" s="8" t="s">
        <v>521</v>
      </c>
    </row>
    <row r="112" customFormat="false" ht="17.15" hidden="false" customHeight="false" outlineLevel="0" collapsed="false">
      <c r="A112" s="5" t="s">
        <v>522</v>
      </c>
      <c r="B112" s="0" t="s">
        <v>25</v>
      </c>
      <c r="E112" s="12" t="n">
        <f aca="false">E109/E111-1</f>
        <v>0.0429752066115703</v>
      </c>
      <c r="F112" s="12" t="n">
        <f aca="false">F109/F111-1</f>
        <v>0.0815008264462809</v>
      </c>
      <c r="G112" s="12" t="n">
        <f aca="false">G109/G111-1</f>
        <v>-0.19221707107438</v>
      </c>
      <c r="H112" s="12" t="n">
        <f aca="false">H109/H111-1</f>
        <v>-0.224230530063677</v>
      </c>
      <c r="I112" s="12" t="n">
        <f aca="false">I109/I111-1</f>
        <v>-0.271610805242289</v>
      </c>
    </row>
    <row r="113" customFormat="false" ht="17.15" hidden="false" customHeight="false" outlineLevel="0" collapsed="false">
      <c r="A113" s="5" t="s">
        <v>523</v>
      </c>
      <c r="B113" s="0" t="s">
        <v>222</v>
      </c>
      <c r="C113" s="10" t="n">
        <f aca="false">bits25/(1+g25)</f>
        <v>892.857142857143</v>
      </c>
      <c r="D113" s="10" t="n">
        <f aca="false">bits25</f>
        <v>1000</v>
      </c>
      <c r="E113" s="10" t="n">
        <f aca="false">MIN(E109,E111)</f>
        <v>1210</v>
      </c>
      <c r="F113" s="10" t="n">
        <f aca="false">MIN(F109,F111)</f>
        <v>1512.5</v>
      </c>
      <c r="G113" s="10" t="n">
        <f aca="false">MIN(G109,G111)</f>
        <v>1527.2146</v>
      </c>
      <c r="H113" s="10" t="n">
        <f aca="false">MIN(H109,H111)</f>
        <v>1789.360768</v>
      </c>
      <c r="I113" s="10" t="n">
        <f aca="false">MIN(I109,I111)</f>
        <v>2016.09024244</v>
      </c>
    </row>
    <row r="114" customFormat="false" ht="15" hidden="false" customHeight="false" outlineLevel="0" collapsed="false">
      <c r="A114" s="5" t="s">
        <v>447</v>
      </c>
      <c r="B114" s="0" t="s">
        <v>25</v>
      </c>
      <c r="D114" s="12" t="n">
        <f aca="false">D113/C113-1</f>
        <v>0.12</v>
      </c>
      <c r="E114" s="12" t="n">
        <f aca="false">E113/D113-1</f>
        <v>0.21</v>
      </c>
      <c r="F114" s="12" t="n">
        <f aca="false">F113/E113-1</f>
        <v>0.25</v>
      </c>
      <c r="G114" s="12" t="n">
        <f aca="false">G113/F113-1</f>
        <v>0.00972866115702487</v>
      </c>
      <c r="H114" s="12" t="n">
        <f aca="false">H113/G113-1</f>
        <v>0.171649857197541</v>
      </c>
      <c r="I114" s="12" t="n">
        <f aca="false">I113/H113-1</f>
        <v>0.12670976054394</v>
      </c>
    </row>
    <row r="115" customFormat="false" ht="17.15" hidden="false" customHeight="false" outlineLevel="0" collapsed="false">
      <c r="A115" s="0" t="s">
        <v>524</v>
      </c>
      <c r="B115" s="0" t="s">
        <v>285</v>
      </c>
      <c r="C115" s="10" t="n">
        <f aca="false">rev24</f>
        <v>67.4</v>
      </c>
      <c r="D115" s="10" t="n">
        <f aca="false">SUM(C129:F129)</f>
        <v>71.1035923582252</v>
      </c>
      <c r="E115" s="10" t="n">
        <f aca="false">SUM(G129:J129)</f>
        <v>342.820749524408</v>
      </c>
      <c r="F115" s="10" t="n">
        <f aca="false">SUM(K129:N129)</f>
        <v>522.072883308637</v>
      </c>
      <c r="G115" s="10" t="n">
        <f aca="false">SUM(O129:R129)</f>
        <v>174.228249275541</v>
      </c>
      <c r="H115" s="10" t="n">
        <f aca="false">SUM(S129:V129)</f>
        <v>140.232849068806</v>
      </c>
      <c r="I115" s="10" t="n">
        <f aca="false">SUM(W129:Z129)</f>
        <v>163.547357151686</v>
      </c>
      <c r="AB115" s="8" t="s">
        <v>525</v>
      </c>
    </row>
    <row r="116" customFormat="false" ht="15" hidden="false" customHeight="false" outlineLevel="0" collapsed="false">
      <c r="A116" s="5" t="s">
        <v>453</v>
      </c>
      <c r="B116" s="0" t="s">
        <v>25</v>
      </c>
      <c r="D116" s="12" t="n">
        <f aca="false">D115/C115-1</f>
        <v>0.0549494415166936</v>
      </c>
      <c r="E116" s="12" t="n">
        <f aca="false">E115/D115-1</f>
        <v>3.82142657149095</v>
      </c>
      <c r="F116" s="12" t="n">
        <f aca="false">F115/E115-1</f>
        <v>0.522874225182997</v>
      </c>
      <c r="G116" s="12" t="n">
        <f aca="false">G115/F115-1</f>
        <v>-0.666276003129354</v>
      </c>
      <c r="H116" s="12" t="n">
        <f aca="false">H115/G115-1</f>
        <v>-0.195119909360799</v>
      </c>
      <c r="I116" s="12" t="n">
        <f aca="false">I115/H115-1</f>
        <v>0.166255682870994</v>
      </c>
    </row>
    <row r="117" customFormat="false" ht="17.15" hidden="false" customHeight="false" outlineLevel="0" collapsed="false">
      <c r="A117" s="5" t="s">
        <v>526</v>
      </c>
      <c r="B117" s="0" t="s">
        <v>449</v>
      </c>
      <c r="C117" s="13" t="n">
        <f aca="false">C115/C113</f>
        <v>0.075488</v>
      </c>
      <c r="D117" s="13" t="n">
        <f aca="false">D115/D113</f>
        <v>0.0711035923582252</v>
      </c>
      <c r="E117" s="13" t="n">
        <f aca="false">E115/E113</f>
        <v>0.283322933491246</v>
      </c>
      <c r="F117" s="13" t="n">
        <f aca="false">F115/F113</f>
        <v>0.345172154253644</v>
      </c>
      <c r="G117" s="13" t="n">
        <f aca="false">G115/G113</f>
        <v>0.114082362279368</v>
      </c>
      <c r="H117" s="13" t="n">
        <f aca="false">H115/H113</f>
        <v>0.0783703608443071</v>
      </c>
      <c r="I117" s="13" t="n">
        <f aca="false">I115/I113</f>
        <v>0.0811210498959364</v>
      </c>
    </row>
    <row r="118" customFormat="false" ht="17.15" hidden="false" customHeight="false" outlineLevel="0" collapsed="false">
      <c r="A118" s="5" t="s">
        <v>450</v>
      </c>
      <c r="B118" s="0" t="s">
        <v>25</v>
      </c>
      <c r="D118" s="12" t="n">
        <f aca="false">D117/C117-1</f>
        <v>-0.0580808557886665</v>
      </c>
      <c r="E118" s="12" t="n">
        <f aca="false">E117/D117-1</f>
        <v>2.98465005908343</v>
      </c>
      <c r="F118" s="12" t="n">
        <f aca="false">F117/E117-1</f>
        <v>0.218299380146398</v>
      </c>
      <c r="G118" s="12" t="n">
        <f aca="false">G117/F117-1</f>
        <v>-0.669491409218553</v>
      </c>
      <c r="H118" s="12" t="n">
        <f aca="false">H117/G117-1</f>
        <v>-0.313037008714885</v>
      </c>
      <c r="I118" s="12" t="n">
        <f aca="false">I117/H117-1</f>
        <v>0.0350985885734778</v>
      </c>
      <c r="AB118" s="8" t="s">
        <v>527</v>
      </c>
    </row>
    <row r="119" customFormat="false" ht="15" hidden="false" customHeight="false" outlineLevel="0" collapsed="false">
      <c r="A119" s="5" t="s">
        <v>528</v>
      </c>
      <c r="B119" s="0" t="s">
        <v>25</v>
      </c>
      <c r="D119" s="12" t="n">
        <f aca="false">SUM(C136:F136)/D115</f>
        <v>0.309407714439551</v>
      </c>
      <c r="E119" s="12" t="n">
        <f aca="false">SUM(G136:J136)/E115</f>
        <v>0.298146371102126</v>
      </c>
      <c r="F119" s="12" t="n">
        <f aca="false">SUM(K136:N136)/F115</f>
        <v>0.293146371102126</v>
      </c>
      <c r="G119" s="12" t="n">
        <f aca="false">SUM(O136:R136)/G115</f>
        <v>0.288146371102126</v>
      </c>
      <c r="H119" s="12" t="n">
        <f aca="false">SUM(S136:V136)/H115</f>
        <v>0.283146371102126</v>
      </c>
      <c r="I119" s="12" t="n">
        <f aca="false">SUM(W136:Z136)/I115</f>
        <v>0.278146371102126</v>
      </c>
    </row>
    <row r="120" customFormat="false" ht="17.15" hidden="false" customHeight="false" outlineLevel="0" collapsed="false">
      <c r="A120" s="5" t="s">
        <v>529</v>
      </c>
      <c r="B120" s="0" t="s">
        <v>25</v>
      </c>
      <c r="D120" s="12" t="n">
        <f aca="false">SUM(C137:F137)/D115</f>
        <v>0.200693094775109</v>
      </c>
      <c r="E120" s="12" t="n">
        <f aca="false">SUM(G137:J137)/E115</f>
        <v>0.177730130982399</v>
      </c>
      <c r="F120" s="12" t="n">
        <f aca="false">SUM(K137:N137)/F115</f>
        <v>0.177730130982399</v>
      </c>
      <c r="G120" s="12" t="n">
        <f aca="false">SUM(O137:R137)/G115</f>
        <v>0.177730130982399</v>
      </c>
      <c r="H120" s="12" t="n">
        <f aca="false">SUM(S137:V137)/H115</f>
        <v>0.177730130982399</v>
      </c>
      <c r="I120" s="12" t="n">
        <f aca="false">SUM(W137:Z137)/I115</f>
        <v>0.177730130982399</v>
      </c>
    </row>
    <row r="121" customFormat="false" ht="15" hidden="false" customHeight="false" outlineLevel="0" collapsed="false">
      <c r="A121" s="5" t="s">
        <v>530</v>
      </c>
      <c r="B121" s="0" t="s">
        <v>25</v>
      </c>
      <c r="D121" s="12" t="n">
        <f aca="false">SUM(C138:F138)/D115</f>
        <v>0.134732995651405</v>
      </c>
      <c r="E121" s="12" t="n">
        <f aca="false">SUM(G138:J138)/E115</f>
        <v>0.14511909777462</v>
      </c>
      <c r="F121" s="12" t="n">
        <f aca="false">SUM(K138:N138)/F115</f>
        <v>0.14711909777462</v>
      </c>
      <c r="G121" s="12" t="n">
        <f aca="false">SUM(O138:R138)/G115</f>
        <v>0.14911909777462</v>
      </c>
      <c r="H121" s="12" t="n">
        <f aca="false">SUM(S138:V138)/H115</f>
        <v>0.15111909777462</v>
      </c>
      <c r="I121" s="12" t="n">
        <f aca="false">SUM(W138:Z138)/I115</f>
        <v>0.15311909777462</v>
      </c>
    </row>
    <row r="122" customFormat="false" ht="17.15" hidden="false" customHeight="false" outlineLevel="0" collapsed="false">
      <c r="A122" s="5" t="s">
        <v>531</v>
      </c>
      <c r="B122" s="0" t="s">
        <v>25</v>
      </c>
      <c r="D122" s="12" t="n">
        <f aca="false">SUM(C139:F139)/D115</f>
        <v>0.143593307473992</v>
      </c>
      <c r="E122" s="12" t="n">
        <f aca="false">SUM(G139:J139)/E115</f>
        <v>0.139533216003349</v>
      </c>
      <c r="F122" s="12" t="n">
        <f aca="false">SUM(K139:N139)/F115</f>
        <v>0.135061152622043</v>
      </c>
      <c r="G122" s="12" t="n">
        <f aca="false">SUM(O139:R139)/G115</f>
        <v>0.131609317856862</v>
      </c>
      <c r="H122" s="12" t="n">
        <f aca="false">SUM(S139:V139)/H115</f>
        <v>0.128157483091682</v>
      </c>
      <c r="I122" s="12" t="n">
        <f aca="false">SUM(W139:Z139)/I115</f>
        <v>0.124705648326501</v>
      </c>
    </row>
    <row r="123" customFormat="false" ht="17.15" hidden="false" customHeight="false" outlineLevel="0" collapsed="false">
      <c r="A123" s="5" t="s">
        <v>532</v>
      </c>
      <c r="B123" s="0" t="s">
        <v>25</v>
      </c>
      <c r="D123" s="12" t="n">
        <f aca="false">SUM(C140:F140)/D115</f>
        <v>0.125591404088418</v>
      </c>
      <c r="E123" s="12" t="n">
        <f aca="false">SUM(G140:J140)/E115</f>
        <v>0.112062540342342</v>
      </c>
      <c r="F123" s="12" t="n">
        <f aca="false">SUM(K140:N140)/F115</f>
        <v>0.103965505137239</v>
      </c>
      <c r="G123" s="12" t="n">
        <f aca="false">SUM(O140:R140)/G115</f>
        <v>0.10141733990242</v>
      </c>
      <c r="H123" s="12" t="n">
        <f aca="false">SUM(S140:V140)/H115</f>
        <v>0.0988691746676009</v>
      </c>
      <c r="I123" s="12" t="n">
        <f aca="false">SUM(W140:Z140)/I115</f>
        <v>0.0963210094327817</v>
      </c>
    </row>
    <row r="124" customFormat="false" ht="15" hidden="false" customHeight="false" outlineLevel="0" collapsed="false">
      <c r="A124" s="5" t="s">
        <v>533</v>
      </c>
      <c r="B124" s="0" t="s">
        <v>25</v>
      </c>
      <c r="D124" s="12" t="n">
        <f aca="false">SUM(C141:F141)/D115</f>
        <v>0.0859814835715252</v>
      </c>
      <c r="E124" s="12" t="n">
        <f aca="false">SUM(G141:J141)/E115</f>
        <v>0.127408643795164</v>
      </c>
      <c r="F124" s="12" t="n">
        <f aca="false">SUM(K141:N141)/F115</f>
        <v>0.142977742381572</v>
      </c>
      <c r="G124" s="12" t="n">
        <f aca="false">SUM(O141:R141)/G115</f>
        <v>0.151977742381572</v>
      </c>
      <c r="H124" s="12" t="n">
        <f aca="false">SUM(S141:V141)/H115</f>
        <v>0.160977742381572</v>
      </c>
      <c r="I124" s="12" t="n">
        <f aca="false">SUM(W141:Z141)/I115</f>
        <v>0.169977742381572</v>
      </c>
    </row>
    <row r="126" customFormat="false" ht="17.15" hidden="false" customHeight="false" outlineLevel="0" collapsed="false">
      <c r="A126" s="9" t="s">
        <v>534</v>
      </c>
      <c r="B126" s="6" t="s">
        <v>15</v>
      </c>
      <c r="C126" s="9" t="s">
        <v>468</v>
      </c>
      <c r="D126" s="9" t="s">
        <v>469</v>
      </c>
      <c r="E126" s="9" t="s">
        <v>470</v>
      </c>
      <c r="F126" s="9" t="s">
        <v>471</v>
      </c>
      <c r="G126" s="9" t="s">
        <v>472</v>
      </c>
      <c r="H126" s="9" t="s">
        <v>473</v>
      </c>
      <c r="I126" s="9" t="s">
        <v>474</v>
      </c>
      <c r="J126" s="9" t="s">
        <v>475</v>
      </c>
      <c r="K126" s="9" t="s">
        <v>476</v>
      </c>
      <c r="L126" s="9" t="s">
        <v>477</v>
      </c>
      <c r="M126" s="9" t="s">
        <v>478</v>
      </c>
      <c r="N126" s="9" t="s">
        <v>479</v>
      </c>
      <c r="O126" s="9" t="s">
        <v>480</v>
      </c>
      <c r="P126" s="9" t="s">
        <v>481</v>
      </c>
      <c r="Q126" s="9" t="s">
        <v>482</v>
      </c>
      <c r="R126" s="9" t="s">
        <v>483</v>
      </c>
      <c r="S126" s="9" t="s">
        <v>484</v>
      </c>
      <c r="T126" s="9" t="s">
        <v>485</v>
      </c>
      <c r="U126" s="9" t="s">
        <v>486</v>
      </c>
      <c r="V126" s="9" t="s">
        <v>487</v>
      </c>
      <c r="W126" s="9" t="s">
        <v>488</v>
      </c>
      <c r="X126" s="9" t="s">
        <v>489</v>
      </c>
      <c r="Y126" s="9" t="s">
        <v>490</v>
      </c>
      <c r="Z126" s="9" t="s">
        <v>491</v>
      </c>
      <c r="AA126" s="9"/>
      <c r="AB126" s="6" t="s">
        <v>434</v>
      </c>
    </row>
    <row r="127" customFormat="false" ht="17.15" hidden="false" customHeight="false" outlineLevel="0" collapsed="false">
      <c r="A127" s="5" t="s">
        <v>535</v>
      </c>
      <c r="B127" s="0" t="s">
        <v>536</v>
      </c>
      <c r="C127" s="13" t="n">
        <f aca="false">Path!C6</f>
        <v>1</v>
      </c>
      <c r="D127" s="13" t="n">
        <f aca="false">Path!D6</f>
        <v>1</v>
      </c>
      <c r="E127" s="13" t="n">
        <f aca="false">Path!E6</f>
        <v>1.05</v>
      </c>
      <c r="F127" s="13" t="n">
        <f aca="false">Path!F6</f>
        <v>1.365</v>
      </c>
      <c r="G127" s="13" t="n">
        <f aca="false">Path!G6</f>
        <v>2.559375</v>
      </c>
      <c r="H127" s="13" t="n">
        <f aca="false">Path!H6</f>
        <v>4.414921875</v>
      </c>
      <c r="I127" s="13" t="n">
        <f aca="false">Path!I6</f>
        <v>5.51865234375</v>
      </c>
      <c r="J127" s="13" t="n">
        <f aca="false">Path!J6</f>
        <v>5.96566318359375</v>
      </c>
      <c r="K127" s="13" t="n">
        <f aca="false">Path!K6*1</f>
        <v>6.26394634277344</v>
      </c>
      <c r="L127" s="13" t="n">
        <f aca="false">Path!L6*1</f>
        <v>6.38922526962891</v>
      </c>
      <c r="M127" s="13" t="n">
        <f aca="false">Path!M6*1</f>
        <v>5.75030274266602</v>
      </c>
      <c r="N127" s="13" t="n">
        <f aca="false">Path!N6*1</f>
        <v>4.60024219413281</v>
      </c>
      <c r="O127" s="13" t="n">
        <f aca="false">Path!O6*1</f>
        <v>2.99015742618633</v>
      </c>
      <c r="P127" s="13" t="n">
        <f aca="false">Path!P6*1</f>
        <v>1.94360232702111</v>
      </c>
      <c r="Q127" s="13" t="n">
        <f aca="false">Path!Q6*1</f>
        <v>1.45770174526584</v>
      </c>
      <c r="R127" s="13" t="n">
        <f aca="false">Path!R6*1</f>
        <v>1.16616139621267</v>
      </c>
      <c r="S127" s="13" t="n">
        <f aca="false">Path!S6*1</f>
        <v>1.16616139621267</v>
      </c>
      <c r="T127" s="13" t="n">
        <f aca="false">Path!T6*1</f>
        <v>1.2244694660233</v>
      </c>
      <c r="U127" s="13" t="n">
        <f aca="false">Path!U6*1</f>
        <v>1.32242702330517</v>
      </c>
      <c r="V127" s="13" t="n">
        <f aca="false">Path!V6*1</f>
        <v>1.45466972563568</v>
      </c>
      <c r="W127" s="14" t="n">
        <f aca="false">Path!V6*(1+p10)^(1/4)*1</f>
        <v>1.4089158941891</v>
      </c>
      <c r="X127" s="14" t="n">
        <f aca="false">Path!V6*(1+p10)^(2/4)*1</f>
        <v>1.36460116129193</v>
      </c>
      <c r="Y127" s="14" t="n">
        <f aca="false">Path!V6*(1+p10)^(3/4)*1</f>
        <v>1.32168026287405</v>
      </c>
      <c r="Z127" s="14" t="n">
        <f aca="false">Path!V6*(1+p10)^(4/4)*1</f>
        <v>1.2801093585594</v>
      </c>
      <c r="AB127" s="8" t="s">
        <v>537</v>
      </c>
    </row>
    <row r="128" customFormat="false" ht="17.15" hidden="false" customHeight="false" outlineLevel="0" collapsed="false">
      <c r="A128" s="5" t="s">
        <v>538</v>
      </c>
      <c r="B128" s="0" t="s">
        <v>222</v>
      </c>
      <c r="C128" s="10" t="n">
        <f aca="false">D113/4*(D113/C113)^((1-2.5)/4)/(((D113/C113)^(-0.375)+(D113/C113)^(-0.125)+(D113/C113)^(0.125)+(D113/C113)^(0.375))/4)</f>
        <v>239.477872684002</v>
      </c>
      <c r="D128" s="10" t="n">
        <f aca="false">D113/4*(D113/C113)^((2-2.5)/4)/(((D113/C113)^(-0.375)+(D113/C113)^(-0.125)+(D113/C113)^(0.125)+(D113/C113)^(0.375))/4)</f>
        <v>246.359830864633</v>
      </c>
      <c r="E128" s="10" t="n">
        <f aca="false">D113/4*(D113/C113)^((3-2.5)/4)/(((D113/C113)^(-0.375)+(D113/C113)^(-0.125)+(D113/C113)^(0.125)+(D113/C113)^(0.375))/4)</f>
        <v>253.439558249863</v>
      </c>
      <c r="F128" s="10" t="n">
        <f aca="false">D113/4*(D113/C113)^((4-2.5)/4)/(((D113/C113)^(-0.375)+(D113/C113)^(-0.125)+(D113/C113)^(0.125)+(D113/C113)^(0.375))/4)</f>
        <v>260.722738201501</v>
      </c>
      <c r="G128" s="10" t="n">
        <f aca="false">E113/4*(E113/D113)^((1-2.5)/4)/(((E113/D113)^(-0.375)+(E113/D113)^(-0.125)+(E113/D113)^(0.125)+(E113/D113)^(0.375))/4)</f>
        <v>281.231934694683</v>
      </c>
      <c r="H128" s="10" t="n">
        <f aca="false">E113/4*(E113/D113)^((2-2.5)/4)/(((E113/D113)^(-0.375)+(E113/D113)^(-0.125)+(E113/D113)^(0.125)+(E113/D113)^(0.375))/4)</f>
        <v>294.958541495794</v>
      </c>
      <c r="I128" s="10" t="n">
        <f aca="false">E113/4*(E113/D113)^((3-2.5)/4)/(((E113/D113)^(-0.375)+(E113/D113)^(-0.125)+(E113/D113)^(0.125)+(E113/D113)^(0.375))/4)</f>
        <v>309.355128164151</v>
      </c>
      <c r="J128" s="10" t="n">
        <f aca="false">E113/4*(E113/D113)^((4-2.5)/4)/(((E113/D113)^(-0.375)+(E113/D113)^(-0.125)+(E113/D113)^(0.125)+(E113/D113)^(0.375))/4)</f>
        <v>324.454395645373</v>
      </c>
      <c r="K128" s="10" t="n">
        <f aca="false">F113/4*(F113/E113)^((1-2.5)/4)/(((F113/E113)^(-0.375)+(F113/E113)^(-0.125)+(F113/E113)^(0.125)+(F113/E113)^(0.375))/4)</f>
        <v>347.096143815413</v>
      </c>
      <c r="L128" s="10" t="n">
        <f aca="false">F113/4*(F113/E113)^((2-2.5)/4)/(((F113/E113)^(-0.375)+(F113/E113)^(-0.125)+(F113/E113)^(0.125)+(F113/E113)^(0.375))/4)</f>
        <v>367.009488121451</v>
      </c>
      <c r="M128" s="10" t="n">
        <f aca="false">F113/4*(F113/E113)^((3-2.5)/4)/(((F113/E113)^(-0.375)+(F113/E113)^(-0.125)+(F113/E113)^(0.125)+(F113/E113)^(0.375))/4)</f>
        <v>388.065286149653</v>
      </c>
      <c r="N128" s="10" t="n">
        <f aca="false">F113/4*(F113/E113)^((4-2.5)/4)/(((F113/E113)^(-0.375)+(F113/E113)^(-0.125)+(F113/E113)^(0.125)+(F113/E113)^(0.375))/4)</f>
        <v>410.329081913483</v>
      </c>
      <c r="O128" s="10" t="n">
        <f aca="false">G113/4*(G113/F113)^((1-2.5)/4)/(((G113/F113)^(-0.375)+(G113/F113)^(-0.125)+(G113/F113)^(0.125)+(G113/F113)^(0.375))/4)</f>
        <v>380.418587996254</v>
      </c>
      <c r="P128" s="10" t="n">
        <f aca="false">G113/4*(G113/F113)^((2-2.5)/4)/(((G113/F113)^(-0.375)+(G113/F113)^(-0.125)+(G113/F113)^(0.125)+(G113/F113)^(0.375))/4)</f>
        <v>381.340472402207</v>
      </c>
      <c r="Q128" s="10" t="n">
        <f aca="false">G113/4*(G113/F113)^((3-2.5)/4)/(((G113/F113)^(-0.375)+(G113/F113)^(-0.125)+(G113/F113)^(0.125)+(G113/F113)^(0.375))/4)</f>
        <v>382.264590849515</v>
      </c>
      <c r="R128" s="10" t="n">
        <f aca="false">G113/4*(G113/F113)^((4-2.5)/4)/(((G113/F113)^(-0.375)+(G113/F113)^(-0.125)+(G113/F113)^(0.125)+(G113/F113)^(0.375))/4)</f>
        <v>383.190948752025</v>
      </c>
      <c r="S128" s="10" t="n">
        <f aca="false">H113/4*(H113/G113)^((1-2.5)/4)/(((H113/G113)^(-0.375)+(H113/G113)^(-0.125)+(H113/G113)^(0.125)+(H113/G113)^(0.375))/4)</f>
        <v>421.127014608572</v>
      </c>
      <c r="T128" s="10" t="n">
        <f aca="false">H113/4*(H113/G113)^((2-2.5)/4)/(((H113/G113)^(-0.375)+(H113/G113)^(-0.125)+(H113/G113)^(0.125)+(H113/G113)^(0.375))/4)</f>
        <v>438.139655642357</v>
      </c>
      <c r="U128" s="10" t="n">
        <f aca="false">H113/4*(H113/G113)^((3-2.5)/4)/(((H113/G113)^(-0.375)+(H113/G113)^(-0.125)+(H113/G113)^(0.125)+(H113/G113)^(0.375))/4)</f>
        <v>455.83957140539</v>
      </c>
      <c r="V128" s="10" t="n">
        <f aca="false">H113/4*(H113/G113)^((4-2.5)/4)/(((H113/G113)^(-0.375)+(H113/G113)^(-0.125)+(H113/G113)^(0.125)+(H113/G113)^(0.375))/4)</f>
        <v>474.254526343682</v>
      </c>
      <c r="W128" s="10" t="n">
        <f aca="false">I113/4*(I113/H113)^((1-2.5)/4)/(((I113/H113)^(-0.375)+(I113/H113)^(-0.125)+(I113/H113)^(0.125)+(I113/H113)^(0.375))/4)</f>
        <v>481.702643811467</v>
      </c>
      <c r="X128" s="10" t="n">
        <f aca="false">I113/4*(I113/H113)^((2-2.5)/4)/(((I113/H113)^(-0.375)+(I113/H113)^(-0.125)+(I113/H113)^(0.125)+(I113/H113)^(0.375))/4)</f>
        <v>496.286022802915</v>
      </c>
      <c r="Y128" s="10" t="n">
        <f aca="false">I113/4*(I113/H113)^((3-2.5)/4)/(((I113/H113)^(-0.375)+(I113/H113)^(-0.125)+(I113/H113)^(0.125)+(I113/H113)^(0.375))/4)</f>
        <v>511.310908490539</v>
      </c>
      <c r="Z128" s="10" t="n">
        <f aca="false">I113/4*(I113/H113)^((4-2.5)/4)/(((I113/H113)^(-0.375)+(I113/H113)^(-0.125)+(I113/H113)^(0.125)+(I113/H113)^(0.375))/4)</f>
        <v>526.79066733508</v>
      </c>
      <c r="AB128" s="5" t="s">
        <v>539</v>
      </c>
    </row>
    <row r="129" customFormat="false" ht="17.15" hidden="false" customHeight="false" outlineLevel="0" collapsed="false">
      <c r="A129" s="0" t="s">
        <v>540</v>
      </c>
      <c r="B129" s="0" t="s">
        <v>285</v>
      </c>
      <c r="C129" s="10" t="n">
        <f aca="false">(rv_ss_0+rv_sk_0+rv_mu_0+rv_kx_0+rv_sd_0)/t5_0</f>
        <v>12.9354838709677</v>
      </c>
      <c r="D129" s="10" t="n">
        <f aca="false">(rv_ss_1+rv_sk_1+rv_mu_1+rv_kx_1+rv_sd_1)/t5_1</f>
        <v>15.8054711246201</v>
      </c>
      <c r="E129" s="10" t="n">
        <f aca="false">(rv_ss_2+rv_sk_2+rv_mu_2+rv_kx_2+rv_sd_2)/t5_2</f>
        <v>18.7912087912088</v>
      </c>
      <c r="F129" s="10" t="n">
        <f aca="false">(rv_ss_3+rv_sk_3+rv_mu_3+rv_kx_3+rv_sd_3)/t5_3</f>
        <v>23.5714285714286</v>
      </c>
      <c r="G129" s="10" t="n">
        <f aca="false">(rv_ss_4+rv_sk_4+rv_mu_4+rv_kx_4+rv_sd_4)/t5_4</f>
        <v>43.954802259887</v>
      </c>
      <c r="H129" s="10" t="n">
        <f aca="false">(rv_ss_5+rv_sk_5+rv_mu_5+rv_kx_5+rv_sd_5)/t5_5</f>
        <v>78.703071672355</v>
      </c>
      <c r="I129" s="10" t="n">
        <f aca="false">$H129*I127/$H127*I128/$H128</f>
        <v>103.180597435169</v>
      </c>
      <c r="J129" s="10" t="n">
        <f aca="false">$H129*J127/$H127*J128/$H128</f>
        <v>116.982278156997</v>
      </c>
      <c r="K129" s="10" t="n">
        <f aca="false">$H129*K127/$H127*K128/$H128</f>
        <v>131.403066493777</v>
      </c>
      <c r="L129" s="10" t="n">
        <f aca="false">$H129*L127/$H127*L128/$H128</f>
        <v>141.72066296726</v>
      </c>
      <c r="M129" s="10" t="n">
        <f aca="false">$H129*M127/$H127*M128/$H128</f>
        <v>134.866220811593</v>
      </c>
      <c r="N129" s="10" t="n">
        <f aca="false">$H129*N127/$H127*N128/$H128</f>
        <v>114.082933036007</v>
      </c>
      <c r="O129" s="10" t="n">
        <f aca="false">$H129*O127/$H127*O128/$H128</f>
        <v>68.7485377918368</v>
      </c>
      <c r="P129" s="10" t="n">
        <f aca="false">$H129*P127/$H127*P128/$H128</f>
        <v>44.7948403646165</v>
      </c>
      <c r="Q129" s="10" t="n">
        <f aca="false">$H129*Q127/$H127*Q128/$H128</f>
        <v>33.6775451926507</v>
      </c>
      <c r="R129" s="10" t="n">
        <f aca="false">$H129*R127/$H127*R128/$H128</f>
        <v>27.0073259264367</v>
      </c>
      <c r="S129" s="10" t="n">
        <f aca="false">$H129*S127/$H127*S128/$H128</f>
        <v>29.6810626059989</v>
      </c>
      <c r="T129" s="10" t="n">
        <f aca="false">$H129*T127/$H127*T128/$H128</f>
        <v>32.4241205220422</v>
      </c>
      <c r="U129" s="10" t="n">
        <f aca="false">$H129*U127/$H127*U128/$H128</f>
        <v>36.4327053544578</v>
      </c>
      <c r="V129" s="10" t="n">
        <f aca="false">$H129*V127/$H127*V128/$H128</f>
        <v>41.6949605863075</v>
      </c>
      <c r="W129" s="16" t="n">
        <f aca="false">$H129*W127/$H127*W128/$H128</f>
        <v>41.0177450231794</v>
      </c>
      <c r="X129" s="16" t="n">
        <f aca="false">$H129*X127/$H127*X128/$H128</f>
        <v>40.9303504608342</v>
      </c>
      <c r="Y129" s="16" t="n">
        <f aca="false">$H129*Y127/$H127*Y128/$H128</f>
        <v>40.8431421059347</v>
      </c>
      <c r="Z129" s="16" t="n">
        <f aca="false">$H129*Z127/$H127*Z128/$H128</f>
        <v>40.7561195617375</v>
      </c>
      <c r="AB129" s="5" t="s">
        <v>541</v>
      </c>
    </row>
    <row r="130" customFormat="false" ht="17.15" hidden="false" customHeight="false" outlineLevel="0" collapsed="false">
      <c r="A130" s="5" t="s">
        <v>454</v>
      </c>
      <c r="B130" s="0" t="s">
        <v>25</v>
      </c>
      <c r="C130" s="12" t="n">
        <f aca="false">rv_ss_0/C129</f>
        <v>0.324688279301746</v>
      </c>
      <c r="D130" s="12" t="n">
        <f aca="false">rv_ss_1/D129</f>
        <v>0.329</v>
      </c>
      <c r="E130" s="12" t="n">
        <f aca="false">rv_ss_2/E129</f>
        <v>0.319298245614035</v>
      </c>
      <c r="F130" s="12" t="n">
        <f aca="false">rv_ss_3/F129</f>
        <v>0.28</v>
      </c>
      <c r="G130" s="12" t="n">
        <f aca="false">rv_ss_4/G129</f>
        <v>0.30736118251928</v>
      </c>
      <c r="H130" s="12" t="n">
        <f aca="false">rv_ss_5/H129</f>
        <v>0.293</v>
      </c>
      <c r="I130" s="12" t="n">
        <f aca="false">(rv_ss_4+rv_ss_5)/($G129+$H129)</f>
        <v>0.298146371102126</v>
      </c>
      <c r="J130" s="12" t="n">
        <f aca="false">(rv_ss_4+rv_ss_5)/($G129+$H129)</f>
        <v>0.298146371102126</v>
      </c>
      <c r="K130" s="12" t="n">
        <f aca="false">(rv_ss_4+rv_ss_5)/($G129+$H129)+dr_ss/100*1</f>
        <v>0.293146371102126</v>
      </c>
      <c r="L130" s="12" t="n">
        <f aca="false">(rv_ss_4+rv_ss_5)/($G129+$H129)+dr_ss/100*1</f>
        <v>0.293146371102126</v>
      </c>
      <c r="M130" s="12" t="n">
        <f aca="false">(rv_ss_4+rv_ss_5)/($G129+$H129)+dr_ss/100*1</f>
        <v>0.293146371102126</v>
      </c>
      <c r="N130" s="12" t="n">
        <f aca="false">(rv_ss_4+rv_ss_5)/($G129+$H129)+dr_ss/100*1</f>
        <v>0.293146371102126</v>
      </c>
      <c r="O130" s="12" t="n">
        <f aca="false">(rv_ss_4+rv_ss_5)/($G129+$H129)+dr_ss/100*2</f>
        <v>0.288146371102126</v>
      </c>
      <c r="P130" s="12" t="n">
        <f aca="false">(rv_ss_4+rv_ss_5)/($G129+$H129)+dr_ss/100*2</f>
        <v>0.288146371102126</v>
      </c>
      <c r="Q130" s="12" t="n">
        <f aca="false">(rv_ss_4+rv_ss_5)/($G129+$H129)+dr_ss/100*2</f>
        <v>0.288146371102126</v>
      </c>
      <c r="R130" s="12" t="n">
        <f aca="false">(rv_ss_4+rv_ss_5)/($G129+$H129)+dr_ss/100*2</f>
        <v>0.288146371102126</v>
      </c>
      <c r="S130" s="12" t="n">
        <f aca="false">(rv_ss_4+rv_ss_5)/($G129+$H129)+dr_ss/100*3</f>
        <v>0.283146371102126</v>
      </c>
      <c r="T130" s="12" t="n">
        <f aca="false">(rv_ss_4+rv_ss_5)/($G129+$H129)+dr_ss/100*3</f>
        <v>0.283146371102126</v>
      </c>
      <c r="U130" s="12" t="n">
        <f aca="false">(rv_ss_4+rv_ss_5)/($G129+$H129)+dr_ss/100*3</f>
        <v>0.283146371102126</v>
      </c>
      <c r="V130" s="12" t="n">
        <f aca="false">(rv_ss_4+rv_ss_5)/($G129+$H129)+dr_ss/100*3</f>
        <v>0.283146371102126</v>
      </c>
      <c r="W130" s="12" t="n">
        <f aca="false">(rv_ss_4+rv_ss_5)/($G129+$H129)+dr_ss/100*4</f>
        <v>0.278146371102126</v>
      </c>
      <c r="X130" s="12" t="n">
        <f aca="false">(rv_ss_4+rv_ss_5)/($G129+$H129)+dr_ss/100*4</f>
        <v>0.278146371102126</v>
      </c>
      <c r="Y130" s="12" t="n">
        <f aca="false">(rv_ss_4+rv_ss_5)/($G129+$H129)+dr_ss/100*4</f>
        <v>0.278146371102126</v>
      </c>
      <c r="Z130" s="12" t="n">
        <f aca="false">(rv_ss_4+rv_ss_5)/($G129+$H129)+dr_ss/100*4</f>
        <v>0.278146371102126</v>
      </c>
      <c r="AB130" s="8" t="s">
        <v>542</v>
      </c>
    </row>
    <row r="131" customFormat="false" ht="17.15" hidden="false" customHeight="false" outlineLevel="0" collapsed="false">
      <c r="A131" s="5" t="s">
        <v>455</v>
      </c>
      <c r="B131" s="0" t="s">
        <v>25</v>
      </c>
      <c r="C131" s="12" t="n">
        <f aca="false">rv_sk_0/C129</f>
        <v>0.16930174563591</v>
      </c>
      <c r="D131" s="12" t="n">
        <f aca="false">rv_sk_1/D129</f>
        <v>0.211319230769231</v>
      </c>
      <c r="E131" s="12" t="n">
        <f aca="false">rv_sk_2/E129</f>
        <v>0.187853801169591</v>
      </c>
      <c r="F131" s="12" t="n">
        <f aca="false">rv_sk_3/F129</f>
        <v>0.221030303030303</v>
      </c>
      <c r="G131" s="12" t="n">
        <f aca="false">rv_sk_4/G129</f>
        <v>0.17131233933162</v>
      </c>
      <c r="H131" s="12" t="n">
        <f aca="false">rv_sk_5/H129</f>
        <v>0.181314397224631</v>
      </c>
      <c r="I131" s="12" t="n">
        <f aca="false">(rv_sk_4+rv_sk_5)/($G129+$H129)</f>
        <v>0.177730130982399</v>
      </c>
      <c r="J131" s="12" t="n">
        <f aca="false">(rv_sk_4+rv_sk_5)/($G129+$H129)</f>
        <v>0.177730130982399</v>
      </c>
      <c r="K131" s="12" t="n">
        <f aca="false">(rv_sk_4+rv_sk_5)/($G129+$H129)+dr_sk/100*1</f>
        <v>0.177730130982399</v>
      </c>
      <c r="L131" s="12" t="n">
        <f aca="false">(rv_sk_4+rv_sk_5)/($G129+$H129)+dr_sk/100*1</f>
        <v>0.177730130982399</v>
      </c>
      <c r="M131" s="12" t="n">
        <f aca="false">(rv_sk_4+rv_sk_5)/($G129+$H129)+dr_sk/100*1</f>
        <v>0.177730130982399</v>
      </c>
      <c r="N131" s="12" t="n">
        <f aca="false">(rv_sk_4+rv_sk_5)/($G129+$H129)+dr_sk/100*1</f>
        <v>0.177730130982399</v>
      </c>
      <c r="O131" s="12" t="n">
        <f aca="false">(rv_sk_4+rv_sk_5)/($G129+$H129)+dr_sk/100*2</f>
        <v>0.177730130982399</v>
      </c>
      <c r="P131" s="12" t="n">
        <f aca="false">(rv_sk_4+rv_sk_5)/($G129+$H129)+dr_sk/100*2</f>
        <v>0.177730130982399</v>
      </c>
      <c r="Q131" s="12" t="n">
        <f aca="false">(rv_sk_4+rv_sk_5)/($G129+$H129)+dr_sk/100*2</f>
        <v>0.177730130982399</v>
      </c>
      <c r="R131" s="12" t="n">
        <f aca="false">(rv_sk_4+rv_sk_5)/($G129+$H129)+dr_sk/100*2</f>
        <v>0.177730130982399</v>
      </c>
      <c r="S131" s="12" t="n">
        <f aca="false">(rv_sk_4+rv_sk_5)/($G129+$H129)+dr_sk/100*3</f>
        <v>0.177730130982399</v>
      </c>
      <c r="T131" s="12" t="n">
        <f aca="false">(rv_sk_4+rv_sk_5)/($G129+$H129)+dr_sk/100*3</f>
        <v>0.177730130982399</v>
      </c>
      <c r="U131" s="12" t="n">
        <f aca="false">(rv_sk_4+rv_sk_5)/($G129+$H129)+dr_sk/100*3</f>
        <v>0.177730130982399</v>
      </c>
      <c r="V131" s="12" t="n">
        <f aca="false">(rv_sk_4+rv_sk_5)/($G129+$H129)+dr_sk/100*3</f>
        <v>0.177730130982399</v>
      </c>
      <c r="W131" s="12" t="n">
        <f aca="false">(rv_sk_4+rv_sk_5)/($G129+$H129)+dr_sk/100*4</f>
        <v>0.177730130982399</v>
      </c>
      <c r="X131" s="12" t="n">
        <f aca="false">(rv_sk_4+rv_sk_5)/($G129+$H129)+dr_sk/100*4</f>
        <v>0.177730130982399</v>
      </c>
      <c r="Y131" s="12" t="n">
        <f aca="false">(rv_sk_4+rv_sk_5)/($G129+$H129)+dr_sk/100*4</f>
        <v>0.177730130982399</v>
      </c>
      <c r="Z131" s="12" t="n">
        <f aca="false">(rv_sk_4+rv_sk_5)/($G129+$H129)+dr_sk/100*4</f>
        <v>0.177730130982399</v>
      </c>
      <c r="AB131" s="8" t="s">
        <v>542</v>
      </c>
    </row>
    <row r="132" customFormat="false" ht="17.15" hidden="false" customHeight="false" outlineLevel="0" collapsed="false">
      <c r="A132" s="5" t="s">
        <v>456</v>
      </c>
      <c r="B132" s="0" t="s">
        <v>25</v>
      </c>
      <c r="C132" s="12" t="n">
        <f aca="false">rv_mu_0/C129</f>
        <v>0.156932668329177</v>
      </c>
      <c r="D132" s="12" t="n">
        <f aca="false">rv_mu_1/D129</f>
        <v>0.132865384615385</v>
      </c>
      <c r="E132" s="12" t="n">
        <f aca="false">rv_mu_2/E129</f>
        <v>0.128783625730994</v>
      </c>
      <c r="F132" s="12" t="n">
        <f aca="false">rv_mu_3/F129</f>
        <v>0.128545454545455</v>
      </c>
      <c r="G132" s="12" t="n">
        <f aca="false">rv_mu_4/G129</f>
        <v>0.135366323907455</v>
      </c>
      <c r="H132" s="12" t="n">
        <f aca="false">rv_mu_5/H129</f>
        <v>0.150565915004337</v>
      </c>
      <c r="I132" s="12" t="n">
        <f aca="false">(rv_mu_4+rv_mu_5)/($G129+$H129)</f>
        <v>0.14511909777462</v>
      </c>
      <c r="J132" s="12" t="n">
        <f aca="false">(rv_mu_4+rv_mu_5)/($G129+$H129)</f>
        <v>0.14511909777462</v>
      </c>
      <c r="K132" s="12" t="n">
        <f aca="false">(rv_mu_4+rv_mu_5)/($G129+$H129)+dr_mu/100*1</f>
        <v>0.14711909777462</v>
      </c>
      <c r="L132" s="12" t="n">
        <f aca="false">(rv_mu_4+rv_mu_5)/($G129+$H129)+dr_mu/100*1</f>
        <v>0.14711909777462</v>
      </c>
      <c r="M132" s="12" t="n">
        <f aca="false">(rv_mu_4+rv_mu_5)/($G129+$H129)+dr_mu/100*1</f>
        <v>0.14711909777462</v>
      </c>
      <c r="N132" s="12" t="n">
        <f aca="false">(rv_mu_4+rv_mu_5)/($G129+$H129)+dr_mu/100*1</f>
        <v>0.14711909777462</v>
      </c>
      <c r="O132" s="12" t="n">
        <f aca="false">(rv_mu_4+rv_mu_5)/($G129+$H129)+dr_mu/100*2</f>
        <v>0.14911909777462</v>
      </c>
      <c r="P132" s="12" t="n">
        <f aca="false">(rv_mu_4+rv_mu_5)/($G129+$H129)+dr_mu/100*2</f>
        <v>0.14911909777462</v>
      </c>
      <c r="Q132" s="12" t="n">
        <f aca="false">(rv_mu_4+rv_mu_5)/($G129+$H129)+dr_mu/100*2</f>
        <v>0.14911909777462</v>
      </c>
      <c r="R132" s="12" t="n">
        <f aca="false">(rv_mu_4+rv_mu_5)/($G129+$H129)+dr_mu/100*2</f>
        <v>0.14911909777462</v>
      </c>
      <c r="S132" s="12" t="n">
        <f aca="false">(rv_mu_4+rv_mu_5)/($G129+$H129)+dr_mu/100*3</f>
        <v>0.15111909777462</v>
      </c>
      <c r="T132" s="12" t="n">
        <f aca="false">(rv_mu_4+rv_mu_5)/($G129+$H129)+dr_mu/100*3</f>
        <v>0.15111909777462</v>
      </c>
      <c r="U132" s="12" t="n">
        <f aca="false">(rv_mu_4+rv_mu_5)/($G129+$H129)+dr_mu/100*3</f>
        <v>0.15111909777462</v>
      </c>
      <c r="V132" s="12" t="n">
        <f aca="false">(rv_mu_4+rv_mu_5)/($G129+$H129)+dr_mu/100*3</f>
        <v>0.15111909777462</v>
      </c>
      <c r="W132" s="12" t="n">
        <f aca="false">(rv_mu_4+rv_mu_5)/($G129+$H129)+dr_mu/100*4</f>
        <v>0.15311909777462</v>
      </c>
      <c r="X132" s="12" t="n">
        <f aca="false">(rv_mu_4+rv_mu_5)/($G129+$H129)+dr_mu/100*4</f>
        <v>0.15311909777462</v>
      </c>
      <c r="Y132" s="12" t="n">
        <f aca="false">(rv_mu_4+rv_mu_5)/($G129+$H129)+dr_mu/100*4</f>
        <v>0.15311909777462</v>
      </c>
      <c r="Z132" s="12" t="n">
        <f aca="false">(rv_mu_4+rv_mu_5)/($G129+$H129)+dr_mu/100*4</f>
        <v>0.15311909777462</v>
      </c>
      <c r="AB132" s="8" t="s">
        <v>542</v>
      </c>
    </row>
    <row r="133" customFormat="false" ht="17.15" hidden="false" customHeight="false" outlineLevel="0" collapsed="false">
      <c r="A133" s="5" t="s">
        <v>457</v>
      </c>
      <c r="B133" s="0" t="s">
        <v>25</v>
      </c>
      <c r="C133" s="12" t="n">
        <f aca="false">rv_kx_0/C129</f>
        <v>0.148428927680798</v>
      </c>
      <c r="D133" s="12" t="n">
        <f aca="false">rv_kx_1/D129</f>
        <v>0.135396153846154</v>
      </c>
      <c r="E133" s="12" t="n">
        <f aca="false">rv_kx_2/E129</f>
        <v>0.151134502923977</v>
      </c>
      <c r="F133" s="12" t="n">
        <f aca="false">rv_kx_3/F129</f>
        <v>0.140424242424242</v>
      </c>
      <c r="G133" s="12" t="n">
        <f aca="false">rv_kx_4/G129</f>
        <v>0.13559383033419</v>
      </c>
      <c r="H133" s="12" t="n">
        <f aca="false">rv_kx_5/H129</f>
        <v>0.136208152645273</v>
      </c>
      <c r="I133" s="12" t="n">
        <f aca="false">kx_g/kx_fxg/kx_k/$I129</f>
        <v>0.144904344872829</v>
      </c>
      <c r="J133" s="12" t="n">
        <f aca="false">(kx_g/kx_fxg/kx_k/$I129+kx_g4/kx_fxg4/kx_k/$J129)/2</f>
        <v>0.138512987387224</v>
      </c>
      <c r="K133" s="12" t="n">
        <f aca="false">(kx_g/kx_fxg/kx_k/$I129+kx_g4/kx_fxg4/kx_k/$J129)/2+dr_jv_C/100*1*(kx_g/kx_fxg/kx_k)/(kx_g/kx_fxg/kx_k+sd_g/sd_k)</f>
        <v>0.135061152622043</v>
      </c>
      <c r="L133" s="12" t="n">
        <f aca="false">(kx_g/kx_fxg/kx_k/$I129+kx_g4/kx_fxg4/kx_k/$J129)/2+dr_jv_C/100*1*(kx_g/kx_fxg/kx_k)/(kx_g/kx_fxg/kx_k+sd_g/sd_k)</f>
        <v>0.135061152622043</v>
      </c>
      <c r="M133" s="12" t="n">
        <f aca="false">(kx_g/kx_fxg/kx_k/$I129+kx_g4/kx_fxg4/kx_k/$J129)/2+dr_jv_C/100*1*(kx_g/kx_fxg/kx_k)/(kx_g/kx_fxg/kx_k+sd_g/sd_k)</f>
        <v>0.135061152622043</v>
      </c>
      <c r="N133" s="12" t="n">
        <f aca="false">(kx_g/kx_fxg/kx_k/$I129+kx_g4/kx_fxg4/kx_k/$J129)/2+dr_jv_C/100*1*(kx_g/kx_fxg/kx_k)/(kx_g/kx_fxg/kx_k+sd_g/sd_k)</f>
        <v>0.135061152622043</v>
      </c>
      <c r="O133" s="12" t="n">
        <f aca="false">(kx_g/kx_fxg/kx_k/$I129+kx_g4/kx_fxg4/kx_k/$J129)/2+dr_jv_C/100*2*(kx_g/kx_fxg/kx_k)/(kx_g/kx_fxg/kx_k+sd_g/sd_k)</f>
        <v>0.131609317856862</v>
      </c>
      <c r="P133" s="12" t="n">
        <f aca="false">(kx_g/kx_fxg/kx_k/$I129+kx_g4/kx_fxg4/kx_k/$J129)/2+dr_jv_C/100*2*(kx_g/kx_fxg/kx_k)/(kx_g/kx_fxg/kx_k+sd_g/sd_k)</f>
        <v>0.131609317856862</v>
      </c>
      <c r="Q133" s="12" t="n">
        <f aca="false">(kx_g/kx_fxg/kx_k/$I129+kx_g4/kx_fxg4/kx_k/$J129)/2+dr_jv_C/100*2*(kx_g/kx_fxg/kx_k)/(kx_g/kx_fxg/kx_k+sd_g/sd_k)</f>
        <v>0.131609317856862</v>
      </c>
      <c r="R133" s="12" t="n">
        <f aca="false">(kx_g/kx_fxg/kx_k/$I129+kx_g4/kx_fxg4/kx_k/$J129)/2+dr_jv_C/100*2*(kx_g/kx_fxg/kx_k)/(kx_g/kx_fxg/kx_k+sd_g/sd_k)</f>
        <v>0.131609317856862</v>
      </c>
      <c r="S133" s="12" t="n">
        <f aca="false">(kx_g/kx_fxg/kx_k/$I129+kx_g4/kx_fxg4/kx_k/$J129)/2+dr_jv_C/100*3*(kx_g/kx_fxg/kx_k)/(kx_g/kx_fxg/kx_k+sd_g/sd_k)</f>
        <v>0.128157483091682</v>
      </c>
      <c r="T133" s="12" t="n">
        <f aca="false">(kx_g/kx_fxg/kx_k/$I129+kx_g4/kx_fxg4/kx_k/$J129)/2+dr_jv_C/100*3*(kx_g/kx_fxg/kx_k)/(kx_g/kx_fxg/kx_k+sd_g/sd_k)</f>
        <v>0.128157483091682</v>
      </c>
      <c r="U133" s="12" t="n">
        <f aca="false">(kx_g/kx_fxg/kx_k/$I129+kx_g4/kx_fxg4/kx_k/$J129)/2+dr_jv_C/100*3*(kx_g/kx_fxg/kx_k)/(kx_g/kx_fxg/kx_k+sd_g/sd_k)</f>
        <v>0.128157483091682</v>
      </c>
      <c r="V133" s="12" t="n">
        <f aca="false">(kx_g/kx_fxg/kx_k/$I129+kx_g4/kx_fxg4/kx_k/$J129)/2+dr_jv_C/100*3*(kx_g/kx_fxg/kx_k)/(kx_g/kx_fxg/kx_k+sd_g/sd_k)</f>
        <v>0.128157483091682</v>
      </c>
      <c r="W133" s="12" t="n">
        <f aca="false">(kx_g/kx_fxg/kx_k/$I129+kx_g4/kx_fxg4/kx_k/$J129)/2+dr_jv_C/100*4*(kx_g/kx_fxg/kx_k)/(kx_g/kx_fxg/kx_k+sd_g/sd_k)</f>
        <v>0.124705648326501</v>
      </c>
      <c r="X133" s="12" t="n">
        <f aca="false">(kx_g/kx_fxg/kx_k/$I129+kx_g4/kx_fxg4/kx_k/$J129)/2+dr_jv_C/100*4*(kx_g/kx_fxg/kx_k)/(kx_g/kx_fxg/kx_k+sd_g/sd_k)</f>
        <v>0.124705648326501</v>
      </c>
      <c r="Y133" s="12" t="n">
        <f aca="false">(kx_g/kx_fxg/kx_k/$I129+kx_g4/kx_fxg4/kx_k/$J129)/2+dr_jv_C/100*4*(kx_g/kx_fxg/kx_k)/(kx_g/kx_fxg/kx_k+sd_g/sd_k)</f>
        <v>0.124705648326501</v>
      </c>
      <c r="Z133" s="12" t="n">
        <f aca="false">(kx_g/kx_fxg/kx_k/$I129+kx_g4/kx_fxg4/kx_k/$J129)/2+dr_jv_C/100*4*(kx_g/kx_fxg/kx_k)/(kx_g/kx_fxg/kx_k+sd_g/sd_k)</f>
        <v>0.124705648326501</v>
      </c>
      <c r="AB133" s="8" t="s">
        <v>543</v>
      </c>
    </row>
    <row r="134" customFormat="false" ht="17.15" hidden="false" customHeight="false" outlineLevel="0" collapsed="false">
      <c r="A134" s="5" t="s">
        <v>458</v>
      </c>
      <c r="B134" s="0" t="s">
        <v>25</v>
      </c>
      <c r="C134" s="12" t="n">
        <f aca="false">rv_sd_0/C129</f>
        <v>0.130648379052369</v>
      </c>
      <c r="D134" s="12" t="n">
        <f aca="false">rv_sd_1/D129</f>
        <v>0.120211538461538</v>
      </c>
      <c r="E134" s="12" t="n">
        <f aca="false">rv_sd_2/E129</f>
        <v>0.122929824561404</v>
      </c>
      <c r="F134" s="12" t="n">
        <f aca="false">rv_sd_3/F129</f>
        <v>0.128545454545455</v>
      </c>
      <c r="G134" s="12" t="n">
        <f aca="false">rv_sd_4/G129</f>
        <v>0.135366323907455</v>
      </c>
      <c r="H134" s="12" t="n">
        <f aca="false">rv_sd_5/H129</f>
        <v>0.113972679965308</v>
      </c>
      <c r="I134" s="12" t="n">
        <f aca="false">sd_g/sd_k/$I129</f>
        <v>0.106969261015561</v>
      </c>
      <c r="J134" s="12" t="n">
        <f aca="false">(sd_g/sd_k/$I129+sd_g4/sd_k/$J129)/2</f>
        <v>0.106513670372059</v>
      </c>
      <c r="K134" s="12" t="n">
        <f aca="false">(sd_g/sd_k/$I129+sd_g4/sd_k/$J129)/2+dr_jv_C/100*1*(sd_g/sd_k)/(kx_g/kx_fxg/kx_k+sd_g/sd_k)</f>
        <v>0.103965505137239</v>
      </c>
      <c r="L134" s="12" t="n">
        <f aca="false">(sd_g/sd_k/$I129+sd_g4/sd_k/$J129)/2+dr_jv_C/100*1*(sd_g/sd_k)/(kx_g/kx_fxg/kx_k+sd_g/sd_k)</f>
        <v>0.103965505137239</v>
      </c>
      <c r="M134" s="12" t="n">
        <f aca="false">(sd_g/sd_k/$I129+sd_g4/sd_k/$J129)/2+dr_jv_C/100*1*(sd_g/sd_k)/(kx_g/kx_fxg/kx_k+sd_g/sd_k)</f>
        <v>0.103965505137239</v>
      </c>
      <c r="N134" s="12" t="n">
        <f aca="false">(sd_g/sd_k/$I129+sd_g4/sd_k/$J129)/2+dr_jv_C/100*1*(sd_g/sd_k)/(kx_g/kx_fxg/kx_k+sd_g/sd_k)</f>
        <v>0.103965505137239</v>
      </c>
      <c r="O134" s="12" t="n">
        <f aca="false">(sd_g/sd_k/$I129+sd_g4/sd_k/$J129)/2+dr_jv_C/100*2*(sd_g/sd_k)/(kx_g/kx_fxg/kx_k+sd_g/sd_k)</f>
        <v>0.10141733990242</v>
      </c>
      <c r="P134" s="12" t="n">
        <f aca="false">(sd_g/sd_k/$I129+sd_g4/sd_k/$J129)/2+dr_jv_C/100*2*(sd_g/sd_k)/(kx_g/kx_fxg/kx_k+sd_g/sd_k)</f>
        <v>0.10141733990242</v>
      </c>
      <c r="Q134" s="12" t="n">
        <f aca="false">(sd_g/sd_k/$I129+sd_g4/sd_k/$J129)/2+dr_jv_C/100*2*(sd_g/sd_k)/(kx_g/kx_fxg/kx_k+sd_g/sd_k)</f>
        <v>0.10141733990242</v>
      </c>
      <c r="R134" s="12" t="n">
        <f aca="false">(sd_g/sd_k/$I129+sd_g4/sd_k/$J129)/2+dr_jv_C/100*2*(sd_g/sd_k)/(kx_g/kx_fxg/kx_k+sd_g/sd_k)</f>
        <v>0.10141733990242</v>
      </c>
      <c r="S134" s="12" t="n">
        <f aca="false">(sd_g/sd_k/$I129+sd_g4/sd_k/$J129)/2+dr_jv_C/100*3*(sd_g/sd_k)/(kx_g/kx_fxg/kx_k+sd_g/sd_k)</f>
        <v>0.0988691746676009</v>
      </c>
      <c r="T134" s="12" t="n">
        <f aca="false">(sd_g/sd_k/$I129+sd_g4/sd_k/$J129)/2+dr_jv_C/100*3*(sd_g/sd_k)/(kx_g/kx_fxg/kx_k+sd_g/sd_k)</f>
        <v>0.0988691746676009</v>
      </c>
      <c r="U134" s="12" t="n">
        <f aca="false">(sd_g/sd_k/$I129+sd_g4/sd_k/$J129)/2+dr_jv_C/100*3*(sd_g/sd_k)/(kx_g/kx_fxg/kx_k+sd_g/sd_k)</f>
        <v>0.0988691746676009</v>
      </c>
      <c r="V134" s="12" t="n">
        <f aca="false">(sd_g/sd_k/$I129+sd_g4/sd_k/$J129)/2+dr_jv_C/100*3*(sd_g/sd_k)/(kx_g/kx_fxg/kx_k+sd_g/sd_k)</f>
        <v>0.0988691746676009</v>
      </c>
      <c r="W134" s="12" t="n">
        <f aca="false">(sd_g/sd_k/$I129+sd_g4/sd_k/$J129)/2+dr_jv_C/100*4*(sd_g/sd_k)/(kx_g/kx_fxg/kx_k+sd_g/sd_k)</f>
        <v>0.0963210094327817</v>
      </c>
      <c r="X134" s="12" t="n">
        <f aca="false">(sd_g/sd_k/$I129+sd_g4/sd_k/$J129)/2+dr_jv_C/100*4*(sd_g/sd_k)/(kx_g/kx_fxg/kx_k+sd_g/sd_k)</f>
        <v>0.0963210094327817</v>
      </c>
      <c r="Y134" s="12" t="n">
        <f aca="false">(sd_g/sd_k/$I129+sd_g4/sd_k/$J129)/2+dr_jv_C/100*4*(sd_g/sd_k)/(kx_g/kx_fxg/kx_k+sd_g/sd_k)</f>
        <v>0.0963210094327817</v>
      </c>
      <c r="Z134" s="12" t="n">
        <f aca="false">(sd_g/sd_k/$I129+sd_g4/sd_k/$J129)/2+dr_jv_C/100*4*(sd_g/sd_k)/(kx_g/kx_fxg/kx_k+sd_g/sd_k)</f>
        <v>0.0963210094327817</v>
      </c>
      <c r="AB134" s="8" t="s">
        <v>544</v>
      </c>
    </row>
    <row r="135" customFormat="false" ht="15" hidden="false" customHeight="false" outlineLevel="0" collapsed="false">
      <c r="A135" s="5" t="s">
        <v>459</v>
      </c>
      <c r="B135" s="0" t="s">
        <v>25</v>
      </c>
      <c r="C135" s="12" t="n">
        <f aca="false">1-t5_0</f>
        <v>0.07</v>
      </c>
      <c r="D135" s="12" t="n">
        <f aca="false">1-t5_1</f>
        <v>0.0712076923076923</v>
      </c>
      <c r="E135" s="12" t="n">
        <f aca="false">1-t5_2</f>
        <v>0.09</v>
      </c>
      <c r="F135" s="12" t="n">
        <f aca="false">1-t5_3</f>
        <v>0.101454545454545</v>
      </c>
      <c r="G135" s="12" t="n">
        <f aca="false">1-t5_4</f>
        <v>0.115</v>
      </c>
      <c r="H135" s="12" t="n">
        <f aca="false">1-t5_5</f>
        <v>0.124938855160451</v>
      </c>
      <c r="I135" s="12" t="n">
        <f aca="false">1-I130-I131-I132-I133-I134</f>
        <v>0.127130794252464</v>
      </c>
      <c r="J135" s="12" t="n">
        <f aca="false">1-J130-J131-J132-J133-J134</f>
        <v>0.133977742381572</v>
      </c>
      <c r="K135" s="12" t="n">
        <f aca="false">1-K130-K131-K132-K133-K134</f>
        <v>0.142977742381572</v>
      </c>
      <c r="L135" s="12" t="n">
        <f aca="false">1-L130-L131-L132-L133-L134</f>
        <v>0.142977742381572</v>
      </c>
      <c r="M135" s="12" t="n">
        <f aca="false">1-M130-M131-M132-M133-M134</f>
        <v>0.142977742381572</v>
      </c>
      <c r="N135" s="12" t="n">
        <f aca="false">1-N130-N131-N132-N133-N134</f>
        <v>0.142977742381572</v>
      </c>
      <c r="O135" s="12" t="n">
        <f aca="false">1-O130-O131-O132-O133-O134</f>
        <v>0.151977742381572</v>
      </c>
      <c r="P135" s="12" t="n">
        <f aca="false">1-P130-P131-P132-P133-P134</f>
        <v>0.151977742381572</v>
      </c>
      <c r="Q135" s="12" t="n">
        <f aca="false">1-Q130-Q131-Q132-Q133-Q134</f>
        <v>0.151977742381572</v>
      </c>
      <c r="R135" s="12" t="n">
        <f aca="false">1-R130-R131-R132-R133-R134</f>
        <v>0.151977742381572</v>
      </c>
      <c r="S135" s="12" t="n">
        <f aca="false">1-S130-S131-S132-S133-S134</f>
        <v>0.160977742381572</v>
      </c>
      <c r="T135" s="12" t="n">
        <f aca="false">1-T130-T131-T132-T133-T134</f>
        <v>0.160977742381572</v>
      </c>
      <c r="U135" s="12" t="n">
        <f aca="false">1-U130-U131-U132-U133-U134</f>
        <v>0.160977742381572</v>
      </c>
      <c r="V135" s="12" t="n">
        <f aca="false">1-V130-V131-V132-V133-V134</f>
        <v>0.160977742381572</v>
      </c>
      <c r="W135" s="12" t="n">
        <f aca="false">1-W130-W131-W132-W133-W134</f>
        <v>0.169977742381572</v>
      </c>
      <c r="X135" s="12" t="n">
        <f aca="false">1-X130-X131-X132-X133-X134</f>
        <v>0.169977742381572</v>
      </c>
      <c r="Y135" s="12" t="n">
        <f aca="false">1-Y130-Y131-Y132-Y133-Y134</f>
        <v>0.169977742381572</v>
      </c>
      <c r="Z135" s="12" t="n">
        <f aca="false">1-Z130-Z131-Z132-Z133-Z134</f>
        <v>0.169977742381572</v>
      </c>
      <c r="AB135" s="5" t="s">
        <v>545</v>
      </c>
    </row>
    <row r="136" customFormat="false" ht="17.15" hidden="false" customHeight="false" outlineLevel="0" collapsed="false">
      <c r="A136" s="5" t="s">
        <v>569</v>
      </c>
      <c r="B136" s="0" t="s">
        <v>285</v>
      </c>
      <c r="C136" s="19" t="n">
        <f aca="false">C129*C130</f>
        <v>4.2</v>
      </c>
      <c r="D136" s="19" t="n">
        <f aca="false">D129*D130</f>
        <v>5.2</v>
      </c>
      <c r="E136" s="19" t="n">
        <f aca="false">E129*E130</f>
        <v>6</v>
      </c>
      <c r="F136" s="19" t="n">
        <f aca="false">F129*F130</f>
        <v>6.6</v>
      </c>
      <c r="G136" s="19" t="n">
        <f aca="false">G129*G130</f>
        <v>13.51</v>
      </c>
      <c r="H136" s="19" t="n">
        <f aca="false">H129*H130</f>
        <v>23.06</v>
      </c>
      <c r="I136" s="19" t="n">
        <f aca="false">I129*I130</f>
        <v>30.7629206934451</v>
      </c>
      <c r="J136" s="19" t="n">
        <f aca="false">J129*J130</f>
        <v>34.877841715768</v>
      </c>
      <c r="K136" s="19" t="n">
        <f aca="false">K129*K130</f>
        <v>38.5203320943422</v>
      </c>
      <c r="L136" s="19" t="n">
        <f aca="false">L129*L130</f>
        <v>41.5448980590396</v>
      </c>
      <c r="M136" s="19" t="n">
        <f aca="false">M129*M130</f>
        <v>39.5355432151766</v>
      </c>
      <c r="N136" s="19" t="n">
        <f aca="false">N129*N130</f>
        <v>33.4429978241922</v>
      </c>
      <c r="O136" s="19" t="n">
        <f aca="false">O129*O130</f>
        <v>19.8096416832951</v>
      </c>
      <c r="P136" s="19" t="n">
        <f aca="false">P129*P130</f>
        <v>12.9074706951633</v>
      </c>
      <c r="Q136" s="19" t="n">
        <f aca="false">Q129*Q130</f>
        <v>9.70406243489015</v>
      </c>
      <c r="R136" s="19" t="n">
        <f aca="false">R129*R130</f>
        <v>7.7820629588751</v>
      </c>
      <c r="S136" s="19" t="n">
        <f aca="false">S129*S130</f>
        <v>8.4040851673436</v>
      </c>
      <c r="T136" s="19" t="n">
        <f aca="false">T129*T130</f>
        <v>9.18077206199422</v>
      </c>
      <c r="U136" s="19" t="n">
        <f aca="false">U129*U130</f>
        <v>10.3157883105477</v>
      </c>
      <c r="V136" s="19" t="n">
        <f aca="false">V129*V130</f>
        <v>11.8057767832591</v>
      </c>
      <c r="W136" s="19" t="n">
        <f aca="false">W129*W130</f>
        <v>11.4089369289896</v>
      </c>
      <c r="X136" s="19" t="n">
        <f aca="false">X129*X130</f>
        <v>11.3846284486193</v>
      </c>
      <c r="Y136" s="19" t="n">
        <f aca="false">Y129*Y130</f>
        <v>11.3603717611742</v>
      </c>
      <c r="Z136" s="19" t="n">
        <f aca="false">Z129*Z130</f>
        <v>11.3361667563017</v>
      </c>
    </row>
    <row r="137" customFormat="false" ht="17.15" hidden="false" customHeight="false" outlineLevel="0" collapsed="false">
      <c r="A137" s="0" t="s">
        <v>570</v>
      </c>
      <c r="B137" s="0" t="s">
        <v>285</v>
      </c>
      <c r="C137" s="19" t="n">
        <f aca="false">C129*C131</f>
        <v>2.19</v>
      </c>
      <c r="D137" s="19" t="n">
        <f aca="false">D129*D131</f>
        <v>3.34</v>
      </c>
      <c r="E137" s="19" t="n">
        <f aca="false">E129*E131</f>
        <v>3.53</v>
      </c>
      <c r="F137" s="19" t="n">
        <f aca="false">F129*F131</f>
        <v>5.21</v>
      </c>
      <c r="G137" s="19" t="n">
        <f aca="false">G129*G131</f>
        <v>7.53</v>
      </c>
      <c r="H137" s="19" t="n">
        <f aca="false">H129*H131</f>
        <v>14.27</v>
      </c>
      <c r="I137" s="19" t="n">
        <f aca="false">I129*I131</f>
        <v>18.3383010969949</v>
      </c>
      <c r="J137" s="19" t="n">
        <f aca="false">J129*J131</f>
        <v>20.7912756194625</v>
      </c>
      <c r="K137" s="19" t="n">
        <f aca="false">K129*K131</f>
        <v>23.354284219428</v>
      </c>
      <c r="L137" s="19" t="n">
        <f aca="false">L129*L131</f>
        <v>25.1880319920836</v>
      </c>
      <c r="M137" s="19" t="n">
        <f aca="false">M129*M131</f>
        <v>23.9697910899457</v>
      </c>
      <c r="N137" s="19" t="n">
        <f aca="false">N129*N131</f>
        <v>20.2759746313458</v>
      </c>
      <c r="O137" s="19" t="n">
        <f aca="false">O129*O131</f>
        <v>12.2186866265916</v>
      </c>
      <c r="P137" s="19" t="n">
        <f aca="false">P129*P131</f>
        <v>7.96139284533896</v>
      </c>
      <c r="Q137" s="19" t="n">
        <f aca="false">Q129*Q131</f>
        <v>5.98551451825549</v>
      </c>
      <c r="R137" s="19" t="n">
        <f aca="false">R129*R131</f>
        <v>4.80001557438995</v>
      </c>
      <c r="S137" s="19" t="n">
        <f aca="false">S129*S131</f>
        <v>5.27521914466098</v>
      </c>
      <c r="T137" s="19" t="n">
        <f aca="false">T129*T131</f>
        <v>5.76274318737167</v>
      </c>
      <c r="U137" s="19" t="n">
        <f aca="false">U129*U131</f>
        <v>6.47518949469095</v>
      </c>
      <c r="V137" s="19" t="n">
        <f aca="false">V129*V131</f>
        <v>7.41045080631042</v>
      </c>
      <c r="W137" s="19" t="n">
        <f aca="false">W129*W131</f>
        <v>7.29008919557233</v>
      </c>
      <c r="X137" s="19" t="n">
        <f aca="false">X129*X131</f>
        <v>7.27455654855958</v>
      </c>
      <c r="Y137" s="19" t="n">
        <f aca="false">Y129*Y131</f>
        <v>7.25905699622053</v>
      </c>
      <c r="Z137" s="19" t="n">
        <f aca="false">Z129*Z131</f>
        <v>7.24359046804194</v>
      </c>
    </row>
    <row r="138" customFormat="false" ht="17.15" hidden="false" customHeight="false" outlineLevel="0" collapsed="false">
      <c r="A138" s="5" t="s">
        <v>571</v>
      </c>
      <c r="B138" s="0" t="s">
        <v>285</v>
      </c>
      <c r="C138" s="19" t="n">
        <f aca="false">C129*C132</f>
        <v>2.03</v>
      </c>
      <c r="D138" s="19" t="n">
        <f aca="false">D129*D132</f>
        <v>2.1</v>
      </c>
      <c r="E138" s="19" t="n">
        <f aca="false">E129*E132</f>
        <v>2.42</v>
      </c>
      <c r="F138" s="19" t="n">
        <f aca="false">F129*F132</f>
        <v>3.03</v>
      </c>
      <c r="G138" s="19" t="n">
        <f aca="false">G129*G132</f>
        <v>5.95</v>
      </c>
      <c r="H138" s="19" t="n">
        <f aca="false">H129*H132</f>
        <v>11.85</v>
      </c>
      <c r="I138" s="19" t="n">
        <f aca="false">I129*I132</f>
        <v>14.973475207638</v>
      </c>
      <c r="J138" s="19" t="n">
        <f aca="false">J129*J132</f>
        <v>16.976362661763</v>
      </c>
      <c r="K138" s="19" t="n">
        <f aca="false">K129*K132</f>
        <v>19.3319005873829</v>
      </c>
      <c r="L138" s="19" t="n">
        <f aca="false">L129*L132</f>
        <v>20.8498160717642</v>
      </c>
      <c r="M138" s="19" t="n">
        <f aca="false">M129*M132</f>
        <v>19.8413967260742</v>
      </c>
      <c r="N138" s="19" t="n">
        <f aca="false">N129*N132</f>
        <v>16.7837781797397</v>
      </c>
      <c r="O138" s="19" t="n">
        <f aca="false">O129*O132</f>
        <v>10.251719928843</v>
      </c>
      <c r="P138" s="19" t="n">
        <f aca="false">P129*P132</f>
        <v>6.67976618012973</v>
      </c>
      <c r="Q138" s="19" t="n">
        <f aca="false">Q129*Q132</f>
        <v>5.02196515439205</v>
      </c>
      <c r="R138" s="19" t="n">
        <f aca="false">R129*R132</f>
        <v>4.02730807545534</v>
      </c>
      <c r="S138" s="19" t="n">
        <f aca="false">S129*S132</f>
        <v>4.48537540201056</v>
      </c>
      <c r="T138" s="19" t="n">
        <f aca="false">T129*T132</f>
        <v>4.89990383942655</v>
      </c>
      <c r="U138" s="19" t="n">
        <f aca="false">U129*U132</f>
        <v>5.50567756265422</v>
      </c>
      <c r="V138" s="19" t="n">
        <f aca="false">V129*V132</f>
        <v>6.30090482555112</v>
      </c>
      <c r="W138" s="19" t="n">
        <f aca="false">W129*W132</f>
        <v>6.28060011069862</v>
      </c>
      <c r="X138" s="19" t="n">
        <f aca="false">X129*X132</f>
        <v>6.26721833416192</v>
      </c>
      <c r="Y138" s="19" t="n">
        <f aca="false">Y129*Y132</f>
        <v>6.25386506954131</v>
      </c>
      <c r="Z138" s="19" t="n">
        <f aca="false">Z129*Z132</f>
        <v>6.24054025608778</v>
      </c>
    </row>
    <row r="139" customFormat="false" ht="17.15" hidden="false" customHeight="false" outlineLevel="0" collapsed="false">
      <c r="A139" s="0" t="s">
        <v>572</v>
      </c>
      <c r="B139" s="0" t="s">
        <v>285</v>
      </c>
      <c r="C139" s="19" t="n">
        <f aca="false">C129*C133</f>
        <v>1.92</v>
      </c>
      <c r="D139" s="19" t="n">
        <f aca="false">D129*D133</f>
        <v>2.14</v>
      </c>
      <c r="E139" s="19" t="n">
        <f aca="false">E129*E133</f>
        <v>2.84</v>
      </c>
      <c r="F139" s="19" t="n">
        <f aca="false">F129*F133</f>
        <v>3.31</v>
      </c>
      <c r="G139" s="19" t="n">
        <f aca="false">G129*G133</f>
        <v>5.96</v>
      </c>
      <c r="H139" s="19" t="n">
        <f aca="false">H129*H133</f>
        <v>10.72</v>
      </c>
      <c r="I139" s="19" t="n">
        <f aca="false">I129*I133</f>
        <v>14.9513168749304</v>
      </c>
      <c r="J139" s="19" t="n">
        <f aca="false">J129*J133</f>
        <v>16.2035648188888</v>
      </c>
      <c r="K139" s="19" t="n">
        <f aca="false">K129*K133</f>
        <v>17.7474496187206</v>
      </c>
      <c r="L139" s="19" t="n">
        <f aca="false">L129*L133</f>
        <v>19.1409560907182</v>
      </c>
      <c r="M139" s="19" t="n">
        <f aca="false">M129*M133</f>
        <v>18.2151872325928</v>
      </c>
      <c r="N139" s="19" t="n">
        <f aca="false">N129*N133</f>
        <v>15.4081724303464</v>
      </c>
      <c r="O139" s="19" t="n">
        <f aca="false">O129*O133</f>
        <v>9.04794816244037</v>
      </c>
      <c r="P139" s="19" t="n">
        <f aca="false">P129*P133</f>
        <v>5.89541838389422</v>
      </c>
      <c r="Q139" s="19" t="n">
        <f aca="false">Q129*Q133</f>
        <v>4.43227874989842</v>
      </c>
      <c r="R139" s="19" t="n">
        <f aca="false">R129*R133</f>
        <v>3.55441574231629</v>
      </c>
      <c r="S139" s="19" t="n">
        <f aca="false">S129*S133</f>
        <v>3.80385027907145</v>
      </c>
      <c r="T139" s="19" t="n">
        <f aca="false">T129*T133</f>
        <v>4.15539367756628</v>
      </c>
      <c r="U139" s="19" t="n">
        <f aca="false">U129*U133</f>
        <v>4.66912382044815</v>
      </c>
      <c r="V139" s="19" t="n">
        <f aca="false">V129*V133</f>
        <v>5.34352120634804</v>
      </c>
      <c r="W139" s="19" t="n">
        <f aca="false">W129*W133</f>
        <v>5.11514448600669</v>
      </c>
      <c r="X139" s="19" t="n">
        <f aca="false">X129*X133</f>
        <v>5.10424589044923</v>
      </c>
      <c r="Y139" s="19" t="n">
        <f aca="false">Y129*Y133</f>
        <v>5.093370516012</v>
      </c>
      <c r="Z139" s="19" t="n">
        <f aca="false">Z129*Z133</f>
        <v>5.08251831321886</v>
      </c>
    </row>
    <row r="140" customFormat="false" ht="17.15" hidden="false" customHeight="false" outlineLevel="0" collapsed="false">
      <c r="A140" s="0" t="s">
        <v>573</v>
      </c>
      <c r="B140" s="0" t="s">
        <v>285</v>
      </c>
      <c r="C140" s="19" t="n">
        <f aca="false">C129*C134</f>
        <v>1.69</v>
      </c>
      <c r="D140" s="19" t="n">
        <f aca="false">D129*D134</f>
        <v>1.9</v>
      </c>
      <c r="E140" s="19" t="n">
        <f aca="false">E129*E134</f>
        <v>2.31</v>
      </c>
      <c r="F140" s="19" t="n">
        <f aca="false">F129*F134</f>
        <v>3.03</v>
      </c>
      <c r="G140" s="19" t="n">
        <f aca="false">G129*G134</f>
        <v>5.95</v>
      </c>
      <c r="H140" s="19" t="n">
        <f aca="false">H129*H134</f>
        <v>8.97</v>
      </c>
      <c r="I140" s="19" t="n">
        <f aca="false">I129*I134</f>
        <v>11.0371522587842</v>
      </c>
      <c r="J140" s="19" t="n">
        <f aca="false">J129*J134</f>
        <v>12.4602118149868</v>
      </c>
      <c r="K140" s="19" t="n">
        <f aca="false">K129*K134</f>
        <v>13.6613861846078</v>
      </c>
      <c r="L140" s="19" t="n">
        <f aca="false">L129*L134</f>
        <v>14.7340603137756</v>
      </c>
      <c r="M140" s="19" t="n">
        <f aca="false">M129*M134</f>
        <v>14.0214347726278</v>
      </c>
      <c r="N140" s="19" t="n">
        <f aca="false">N129*N134</f>
        <v>11.8606897606263</v>
      </c>
      <c r="O140" s="19" t="n">
        <f aca="false">O129*O134</f>
        <v>6.97229382502909</v>
      </c>
      <c r="P140" s="19" t="n">
        <f aca="false">P129*P134</f>
        <v>4.54297355113296</v>
      </c>
      <c r="Q140" s="19" t="n">
        <f aca="false">Q129*Q134</f>
        <v>3.41548704788217</v>
      </c>
      <c r="R140" s="19" t="n">
        <f aca="false">R129*R134</f>
        <v>2.73901115333688</v>
      </c>
      <c r="S140" s="19" t="n">
        <f aca="false">S129*S134</f>
        <v>2.9345421631125</v>
      </c>
      <c r="T140" s="19" t="n">
        <f aca="false">T129*T134</f>
        <v>3.20574603533714</v>
      </c>
      <c r="U140" s="19" t="n">
        <f aca="false">U129*U134</f>
        <v>3.60207150930313</v>
      </c>
      <c r="V140" s="19" t="n">
        <f aca="false">V129*V134</f>
        <v>4.12234634096637</v>
      </c>
      <c r="W140" s="19" t="n">
        <f aca="false">W129*W134</f>
        <v>3.95087060528909</v>
      </c>
      <c r="X140" s="19" t="n">
        <f aca="false">X129*X134</f>
        <v>3.94245267282507</v>
      </c>
      <c r="Y140" s="19" t="n">
        <f aca="false">Y129*Y134</f>
        <v>3.93405267605018</v>
      </c>
      <c r="Z140" s="19" t="n">
        <f aca="false">Z129*Z134</f>
        <v>3.9256705767497</v>
      </c>
    </row>
    <row r="141" customFormat="false" ht="17.15" hidden="false" customHeight="false" outlineLevel="0" collapsed="false">
      <c r="A141" s="5" t="s">
        <v>574</v>
      </c>
      <c r="B141" s="0" t="s">
        <v>285</v>
      </c>
      <c r="C141" s="19" t="n">
        <f aca="false">C129*C135</f>
        <v>0.905483870967741</v>
      </c>
      <c r="D141" s="19" t="n">
        <f aca="false">D129*D135</f>
        <v>1.12547112462006</v>
      </c>
      <c r="E141" s="19" t="n">
        <f aca="false">E129*E135</f>
        <v>1.69120879120879</v>
      </c>
      <c r="F141" s="19" t="n">
        <f aca="false">F129*F135</f>
        <v>2.39142857142857</v>
      </c>
      <c r="G141" s="19" t="n">
        <f aca="false">G129*G135</f>
        <v>5.05480225988701</v>
      </c>
      <c r="H141" s="19" t="n">
        <f aca="false">H129*H135</f>
        <v>9.83307167235495</v>
      </c>
      <c r="I141" s="19" t="n">
        <f aca="false">I129*I135</f>
        <v>13.1174313033769</v>
      </c>
      <c r="J141" s="19" t="n">
        <f aca="false">J129*J135</f>
        <v>15.6730215261275</v>
      </c>
      <c r="K141" s="19" t="n">
        <f aca="false">K129*K135</f>
        <v>18.7877137892959</v>
      </c>
      <c r="L141" s="19" t="n">
        <f aca="false">L129*L135</f>
        <v>20.2629004398785</v>
      </c>
      <c r="M141" s="19" t="n">
        <f aca="false">M129*M135</f>
        <v>19.2828677751762</v>
      </c>
      <c r="N141" s="19" t="n">
        <f aca="false">N129*N135</f>
        <v>16.3113202097563</v>
      </c>
      <c r="O141" s="19" t="n">
        <f aca="false">O129*O135</f>
        <v>10.4482475656375</v>
      </c>
      <c r="P141" s="19" t="n">
        <f aca="false">P129*P135</f>
        <v>6.80781870895733</v>
      </c>
      <c r="Q141" s="19" t="n">
        <f aca="false">Q129*Q135</f>
        <v>5.11823728733242</v>
      </c>
      <c r="R141" s="19" t="n">
        <f aca="false">R129*R135</f>
        <v>4.10451242206315</v>
      </c>
      <c r="S141" s="19" t="n">
        <f aca="false">S129*S135</f>
        <v>4.7779904497998</v>
      </c>
      <c r="T141" s="19" t="n">
        <f aca="false">T129*T135</f>
        <v>5.21956172034636</v>
      </c>
      <c r="U141" s="19" t="n">
        <f aca="false">U129*U135</f>
        <v>5.86485465681363</v>
      </c>
      <c r="V141" s="19" t="n">
        <f aca="false">V129*V135</f>
        <v>6.71196062387241</v>
      </c>
      <c r="W141" s="19" t="n">
        <f aca="false">W129*W135</f>
        <v>6.972103696623</v>
      </c>
      <c r="X141" s="19" t="n">
        <f aca="false">X129*X135</f>
        <v>6.95724856621914</v>
      </c>
      <c r="Y141" s="19" t="n">
        <f aca="false">Y129*Y135</f>
        <v>6.94242508693651</v>
      </c>
      <c r="Z141" s="19" t="n">
        <f aca="false">Z129*Z135</f>
        <v>6.92763319133757</v>
      </c>
    </row>
    <row r="142" customFormat="false" ht="17.15" hidden="false" customHeight="false" outlineLevel="0" collapsed="false">
      <c r="A142" s="0" t="s">
        <v>575</v>
      </c>
      <c r="B142" s="0" t="s">
        <v>25</v>
      </c>
      <c r="C142" s="12" t="n">
        <f aca="false">C133+C134</f>
        <v>0.279077306733167</v>
      </c>
      <c r="D142" s="12" t="n">
        <f aca="false">D133+D134</f>
        <v>0.255607692307692</v>
      </c>
      <c r="E142" s="12" t="n">
        <f aca="false">E133+E134</f>
        <v>0.27406432748538</v>
      </c>
      <c r="F142" s="12" t="n">
        <f aca="false">F133+F134</f>
        <v>0.268969696969697</v>
      </c>
      <c r="G142" s="12" t="n">
        <f aca="false">G133+G134</f>
        <v>0.270960154241645</v>
      </c>
      <c r="H142" s="12" t="n">
        <f aca="false">H133+H134</f>
        <v>0.250180832610581</v>
      </c>
      <c r="I142" s="12" t="n">
        <f aca="false">I133+I134</f>
        <v>0.251873605888391</v>
      </c>
      <c r="J142" s="12" t="n">
        <f aca="false">J133+J134</f>
        <v>0.245026657759283</v>
      </c>
      <c r="K142" s="12" t="n">
        <f aca="false">K133+K134</f>
        <v>0.239026657759283</v>
      </c>
      <c r="L142" s="12" t="n">
        <f aca="false">L133+L134</f>
        <v>0.239026657759283</v>
      </c>
      <c r="M142" s="12" t="n">
        <f aca="false">M133+M134</f>
        <v>0.239026657759283</v>
      </c>
      <c r="N142" s="12" t="n">
        <f aca="false">N133+N134</f>
        <v>0.239026657759283</v>
      </c>
      <c r="O142" s="12" t="n">
        <f aca="false">O133+O134</f>
        <v>0.233026657759283</v>
      </c>
      <c r="P142" s="12" t="n">
        <f aca="false">P133+P134</f>
        <v>0.233026657759283</v>
      </c>
      <c r="Q142" s="12" t="n">
        <f aca="false">Q133+Q134</f>
        <v>0.233026657759283</v>
      </c>
      <c r="R142" s="12" t="n">
        <f aca="false">R133+R134</f>
        <v>0.233026657759283</v>
      </c>
      <c r="S142" s="12" t="n">
        <f aca="false">S133+S134</f>
        <v>0.227026657759283</v>
      </c>
      <c r="T142" s="12" t="n">
        <f aca="false">T133+T134</f>
        <v>0.227026657759283</v>
      </c>
      <c r="U142" s="12" t="n">
        <f aca="false">U133+U134</f>
        <v>0.227026657759283</v>
      </c>
      <c r="V142" s="12" t="n">
        <f aca="false">V133+V134</f>
        <v>0.227026657759283</v>
      </c>
      <c r="W142" s="12" t="n">
        <f aca="false">W133+W134</f>
        <v>0.221026657759283</v>
      </c>
      <c r="X142" s="12" t="n">
        <f aca="false">X133+X134</f>
        <v>0.221026657759283</v>
      </c>
      <c r="Y142" s="12" t="n">
        <f aca="false">Y133+Y134</f>
        <v>0.221026657759283</v>
      </c>
      <c r="Z142" s="12" t="n">
        <f aca="false">Z133+Z134</f>
        <v>0.221026657759283</v>
      </c>
    </row>
    <row r="143" customFormat="false" ht="17.15" hidden="false" customHeight="false" outlineLevel="0" collapsed="false">
      <c r="A143" s="0" t="s">
        <v>576</v>
      </c>
      <c r="B143" s="0" t="s">
        <v>222</v>
      </c>
      <c r="C143" s="19" t="n">
        <f aca="false">C128*C133</f>
        <v>35.5454438457651</v>
      </c>
      <c r="D143" s="19" t="n">
        <f aca="false">D128*D133</f>
        <v>33.3561735612603</v>
      </c>
      <c r="E143" s="19" t="n">
        <f aca="false">E128*E133</f>
        <v>38.3034616573653</v>
      </c>
      <c r="F143" s="19" t="n">
        <f aca="false">F128*F133</f>
        <v>36.6117929947199</v>
      </c>
      <c r="G143" s="19" t="n">
        <f aca="false">G128*G133</f>
        <v>38.1333152375469</v>
      </c>
      <c r="H143" s="19" t="n">
        <f aca="false">H128*H133</f>
        <v>40.1757580440862</v>
      </c>
      <c r="I143" s="19" t="n">
        <f aca="false">I128*I133</f>
        <v>44.8269021796765</v>
      </c>
      <c r="J143" s="19" t="n">
        <f aca="false">J128*J133</f>
        <v>44.9411476117569</v>
      </c>
      <c r="K143" s="19" t="n">
        <f aca="false">K128*K133</f>
        <v>46.8792052543761</v>
      </c>
      <c r="L143" s="19" t="n">
        <f aca="false">L128*L133</f>
        <v>49.5687244889092</v>
      </c>
      <c r="M143" s="19" t="n">
        <f aca="false">M128*M133</f>
        <v>52.4125448399752</v>
      </c>
      <c r="N143" s="19" t="n">
        <f aca="false">N128*N133</f>
        <v>55.4195187575798</v>
      </c>
      <c r="O143" s="19" t="n">
        <f aca="false">O128*O133</f>
        <v>50.0666308662578</v>
      </c>
      <c r="P143" s="19" t="n">
        <f aca="false">P128*P133</f>
        <v>50.1879594440681</v>
      </c>
      <c r="Q143" s="19" t="n">
        <f aca="false">Q128*Q133</f>
        <v>50.3095820425373</v>
      </c>
      <c r="R143" s="19" t="n">
        <f aca="false">R128*R133</f>
        <v>50.4314993741779</v>
      </c>
      <c r="S143" s="19" t="n">
        <f aca="false">S128*S133</f>
        <v>53.9705782541484</v>
      </c>
      <c r="T143" s="19" t="n">
        <f aca="false">T128*T133</f>
        <v>56.1508755097806</v>
      </c>
      <c r="U143" s="19" t="n">
        <f aca="false">U128*U133</f>
        <v>58.4192521649057</v>
      </c>
      <c r="V143" s="19" t="n">
        <f aca="false">V128*V133</f>
        <v>60.7792664410439</v>
      </c>
      <c r="W143" s="19" t="n">
        <f aca="false">W128*W133</f>
        <v>60.0710404970986</v>
      </c>
      <c r="X143" s="19" t="n">
        <f aca="false">X128*X133</f>
        <v>61.8896702290182</v>
      </c>
      <c r="Y143" s="19" t="n">
        <f aca="false">Y128*Y133</f>
        <v>63.7633583397249</v>
      </c>
      <c r="Z143" s="19" t="n">
        <f aca="false">Z128*Z133</f>
        <v>65.6937717023712</v>
      </c>
      <c r="AB143" s="5" t="s">
        <v>554</v>
      </c>
    </row>
    <row r="144" customFormat="false" ht="17.15" hidden="false" customHeight="false" outlineLevel="0" collapsed="false">
      <c r="A144" s="0" t="s">
        <v>577</v>
      </c>
      <c r="B144" s="0" t="s">
        <v>222</v>
      </c>
      <c r="C144" s="19" t="n">
        <f aca="false">C128*C134</f>
        <v>31.2873958850745</v>
      </c>
      <c r="D144" s="19" t="n">
        <f aca="false">D128*D134</f>
        <v>29.6152942833619</v>
      </c>
      <c r="E144" s="19" t="n">
        <f aca="false">E128*E134</f>
        <v>31.1552804325753</v>
      </c>
      <c r="F144" s="19" t="n">
        <f aca="false">F128*F134</f>
        <v>33.5147228924475</v>
      </c>
      <c r="G144" s="19" t="n">
        <f aca="false">G128*G134</f>
        <v>38.0693331650007</v>
      </c>
      <c r="H144" s="19" t="n">
        <f aca="false">H128*H134</f>
        <v>33.6172154529341</v>
      </c>
      <c r="I144" s="19" t="n">
        <f aca="false">I128*I134</f>
        <v>33.0914894510934</v>
      </c>
      <c r="J144" s="19" t="n">
        <f aca="false">J128*J134</f>
        <v>34.5588285485368</v>
      </c>
      <c r="K144" s="19" t="n">
        <f aca="false">K128*K134</f>
        <v>36.0860259229573</v>
      </c>
      <c r="L144" s="19" t="n">
        <f aca="false">L128*L134</f>
        <v>38.1563268227063</v>
      </c>
      <c r="M144" s="19" t="n">
        <f aca="false">M128*M134</f>
        <v>40.3454035007761</v>
      </c>
      <c r="N144" s="19" t="n">
        <f aca="false">N128*N134</f>
        <v>42.660070273635</v>
      </c>
      <c r="O144" s="19" t="n">
        <f aca="false">O128*O134</f>
        <v>38.5810412440148</v>
      </c>
      <c r="P144" s="19" t="n">
        <f aca="false">P128*P134</f>
        <v>38.6745363081641</v>
      </c>
      <c r="Q144" s="19" t="n">
        <f aca="false">Q128*Q134</f>
        <v>38.7682579428448</v>
      </c>
      <c r="R144" s="19" t="n">
        <f aca="false">R128*R134</f>
        <v>38.862206697115</v>
      </c>
      <c r="S144" s="19" t="n">
        <f aca="false">S128*S134</f>
        <v>41.6364803645802</v>
      </c>
      <c r="T144" s="19" t="n">
        <f aca="false">T128*T134</f>
        <v>43.3185061425067</v>
      </c>
      <c r="U144" s="19" t="n">
        <f aca="false">U128*U134</f>
        <v>45.0684822056838</v>
      </c>
      <c r="V144" s="19" t="n">
        <f aca="false">V128*V134</f>
        <v>46.8891536019738</v>
      </c>
      <c r="W144" s="19" t="n">
        <f aca="false">W128*W134</f>
        <v>46.3980848983602</v>
      </c>
      <c r="X144" s="19" t="n">
        <f aca="false">X128*X134</f>
        <v>47.8027706837573</v>
      </c>
      <c r="Y144" s="19" t="n">
        <f aca="false">Y128*Y134</f>
        <v>49.2499828398014</v>
      </c>
      <c r="Z144" s="19" t="n">
        <f aca="false">Z128*Z134</f>
        <v>50.7410088374835</v>
      </c>
    </row>
    <row r="145" customFormat="false" ht="17.15" hidden="false" customHeight="false" outlineLevel="0" collapsed="false">
      <c r="A145" s="5" t="s">
        <v>556</v>
      </c>
      <c r="B145" s="0" t="s">
        <v>557</v>
      </c>
      <c r="C145" s="17" t="n">
        <f aca="false">ABS(SUM(C130:C135)-1)+ABS(SUM(I130:I135)-1)+ABS(SUM(Z130:Z135)-1)+ABS(H140-rv_sd_5)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578</v>
      </c>
    </row>
    <row r="3" customFormat="false" ht="17.15" hidden="false" customHeight="false" outlineLevel="0" collapsed="false">
      <c r="A3" s="6" t="s">
        <v>579</v>
      </c>
      <c r="B3" s="6" t="s">
        <v>580</v>
      </c>
      <c r="C3" s="6" t="s">
        <v>581</v>
      </c>
      <c r="D3" s="9" t="s">
        <v>582</v>
      </c>
      <c r="E3" s="9" t="s">
        <v>583</v>
      </c>
      <c r="F3" s="6" t="s">
        <v>19</v>
      </c>
      <c r="G3" s="6" t="s">
        <v>584</v>
      </c>
    </row>
    <row r="4" customFormat="false" ht="17.15" hidden="false" customHeight="false" outlineLevel="0" collapsed="false">
      <c r="A4" s="5" t="s">
        <v>585</v>
      </c>
      <c r="B4" s="0" t="s">
        <v>586</v>
      </c>
      <c r="C4" s="0" t="s">
        <v>587</v>
      </c>
      <c r="D4" s="5" t="s">
        <v>588</v>
      </c>
      <c r="E4" s="0" t="s">
        <v>589</v>
      </c>
      <c r="F4" s="0" t="s">
        <v>26</v>
      </c>
      <c r="G4" s="0" t="s">
        <v>590</v>
      </c>
    </row>
    <row r="5" customFormat="false" ht="17.15" hidden="false" customHeight="false" outlineLevel="0" collapsed="false">
      <c r="A5" s="0" t="s">
        <v>591</v>
      </c>
      <c r="B5" s="0" t="s">
        <v>592</v>
      </c>
      <c r="C5" s="0" t="s">
        <v>593</v>
      </c>
      <c r="D5" s="5" t="s">
        <v>594</v>
      </c>
      <c r="E5" s="0" t="s">
        <v>595</v>
      </c>
      <c r="F5" s="0" t="s">
        <v>26</v>
      </c>
      <c r="G5" s="5" t="s">
        <v>596</v>
      </c>
    </row>
    <row r="6" customFormat="false" ht="17.15" hidden="false" customHeight="false" outlineLevel="0" collapsed="false">
      <c r="A6" s="0" t="s">
        <v>597</v>
      </c>
      <c r="B6" s="0" t="s">
        <v>598</v>
      </c>
      <c r="C6" s="0" t="s">
        <v>599</v>
      </c>
      <c r="D6" s="0" t="s">
        <v>600</v>
      </c>
      <c r="E6" s="5" t="s">
        <v>601</v>
      </c>
      <c r="F6" s="0" t="s">
        <v>26</v>
      </c>
      <c r="G6" s="0" t="s">
        <v>602</v>
      </c>
    </row>
    <row r="7" customFormat="false" ht="17.15" hidden="false" customHeight="false" outlineLevel="0" collapsed="false">
      <c r="A7" s="0" t="s">
        <v>603</v>
      </c>
      <c r="B7" s="0" t="s">
        <v>604</v>
      </c>
      <c r="C7" s="0" t="s">
        <v>605</v>
      </c>
      <c r="D7" s="5" t="s">
        <v>606</v>
      </c>
      <c r="E7" s="5" t="s">
        <v>601</v>
      </c>
      <c r="F7" s="0" t="s">
        <v>26</v>
      </c>
      <c r="G7" s="0" t="s">
        <v>607</v>
      </c>
    </row>
    <row r="8" customFormat="false" ht="17.15" hidden="false" customHeight="false" outlineLevel="0" collapsed="false">
      <c r="A8" s="5" t="s">
        <v>608</v>
      </c>
      <c r="B8" s="0" t="s">
        <v>609</v>
      </c>
      <c r="C8" s="5" t="s">
        <v>601</v>
      </c>
      <c r="D8" s="5" t="s">
        <v>610</v>
      </c>
      <c r="E8" s="5" t="s">
        <v>601</v>
      </c>
      <c r="F8" s="0" t="s">
        <v>26</v>
      </c>
      <c r="G8" s="5" t="s">
        <v>611</v>
      </c>
    </row>
    <row r="9" customFormat="false" ht="17.15" hidden="false" customHeight="false" outlineLevel="0" collapsed="false">
      <c r="A9" s="5" t="s">
        <v>612</v>
      </c>
      <c r="B9" s="0" t="s">
        <v>613</v>
      </c>
      <c r="C9" s="5" t="s">
        <v>601</v>
      </c>
      <c r="D9" s="0" t="s">
        <v>614</v>
      </c>
      <c r="E9" s="0" t="s">
        <v>615</v>
      </c>
      <c r="F9" s="0" t="s">
        <v>26</v>
      </c>
      <c r="G9" s="0" t="s">
        <v>616</v>
      </c>
    </row>
    <row r="11" customFormat="false" ht="17.15" hidden="false" customHeight="false" outlineLevel="0" collapsed="false">
      <c r="A11" s="5" t="s">
        <v>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1"/>
    <col collapsed="false" customWidth="true" hidden="false" outlineLevel="0" max="7" min="7" style="0" width="60"/>
    <col collapsed="false" customWidth="true" hidden="false" outlineLevel="0" max="8" min="8" style="0" width="40"/>
  </cols>
  <sheetData>
    <row r="1" customFormat="false" ht="17.15" hidden="false" customHeight="false" outlineLevel="0" collapsed="false">
      <c r="A1" s="0" t="s">
        <v>618</v>
      </c>
    </row>
    <row r="3" customFormat="false" ht="17.15" hidden="false" customHeight="false" outlineLevel="0" collapsed="false">
      <c r="A3" s="6" t="s">
        <v>14</v>
      </c>
      <c r="B3" s="6" t="s">
        <v>619</v>
      </c>
      <c r="C3" s="6" t="s">
        <v>620</v>
      </c>
      <c r="D3" s="6" t="s">
        <v>621</v>
      </c>
      <c r="E3" s="6" t="s">
        <v>622</v>
      </c>
      <c r="F3" s="6" t="s">
        <v>623</v>
      </c>
      <c r="G3" s="6" t="s">
        <v>624</v>
      </c>
      <c r="H3" s="6" t="s">
        <v>434</v>
      </c>
    </row>
    <row r="4" customFormat="false" ht="17.15" hidden="false" customHeight="false" outlineLevel="0" collapsed="false">
      <c r="A4" s="0" t="s">
        <v>625</v>
      </c>
      <c r="B4" s="19" t="n">
        <f aca="false">rv_sd_5</f>
        <v>8.97</v>
      </c>
      <c r="C4" s="19" t="n">
        <f aca="false">Mkt!H44</f>
        <v>8.97</v>
      </c>
      <c r="D4" s="19" t="n">
        <f aca="false">Mkt!H92</f>
        <v>8.97</v>
      </c>
      <c r="E4" s="19" t="n">
        <f aca="false">Mkt!H140</f>
        <v>8.97</v>
      </c>
      <c r="F4" s="12" t="n">
        <f aca="false">C4/B4-1</f>
        <v>0</v>
      </c>
      <c r="G4" s="8" t="s">
        <v>301</v>
      </c>
      <c r="H4" s="5" t="s">
        <v>626</v>
      </c>
    </row>
    <row r="5" customFormat="false" ht="17.15" hidden="false" customHeight="false" outlineLevel="0" collapsed="false">
      <c r="A5" s="0" t="s">
        <v>627</v>
      </c>
      <c r="B5" s="19" t="n">
        <f aca="false">sd_g/sd_k</f>
        <v>11.0371522587842</v>
      </c>
      <c r="C5" s="19" t="n">
        <f aca="false">Mkt!I44</f>
        <v>11.0371522587842</v>
      </c>
      <c r="D5" s="19" t="n">
        <f aca="false">Mkt!I92</f>
        <v>11.0371522587842</v>
      </c>
      <c r="E5" s="19" t="n">
        <f aca="false">Mkt!I140</f>
        <v>11.0371522587842</v>
      </c>
      <c r="F5" s="12" t="n">
        <f aca="false">C5/B5-1</f>
        <v>0</v>
      </c>
      <c r="G5" s="8" t="s">
        <v>628</v>
      </c>
      <c r="H5" s="5" t="s">
        <v>629</v>
      </c>
    </row>
    <row r="6" customFormat="false" ht="17.15" hidden="false" customHeight="false" outlineLevel="0" collapsed="false">
      <c r="A6" s="0" t="s">
        <v>630</v>
      </c>
      <c r="B6" s="10" t="n">
        <f aca="false">Mkt!H33*1.25</f>
        <v>98.3788395904437</v>
      </c>
      <c r="C6" s="10" t="n">
        <f aca="false">Mkt!I33</f>
        <v>103.180597435169</v>
      </c>
      <c r="D6" s="10" t="n">
        <f aca="false">Mkt!I81</f>
        <v>103.180597435169</v>
      </c>
      <c r="E6" s="10" t="n">
        <f aca="false">Mkt!I129</f>
        <v>103.180597435169</v>
      </c>
      <c r="F6" s="12" t="n">
        <f aca="false">C6/B6-1</f>
        <v>0.0488088481701514</v>
      </c>
      <c r="G6" s="8" t="s">
        <v>631</v>
      </c>
      <c r="H6" s="5" t="s">
        <v>632</v>
      </c>
    </row>
    <row r="7" customFormat="false" ht="17.15" hidden="false" customHeight="false" outlineLevel="0" collapsed="false">
      <c r="A7" s="0" t="s">
        <v>633</v>
      </c>
      <c r="B7" s="12" t="n">
        <v>0.21</v>
      </c>
      <c r="C7" s="12" t="n">
        <f aca="false">Mkt!E18</f>
        <v>0.21</v>
      </c>
      <c r="D7" s="12" t="n">
        <f aca="false">Mkt!E66</f>
        <v>0.21</v>
      </c>
      <c r="E7" s="12" t="n">
        <f aca="false">Mkt!E114</f>
        <v>0.21</v>
      </c>
      <c r="F7" s="12" t="n">
        <f aca="false">C7-B7</f>
        <v>0</v>
      </c>
      <c r="G7" s="5" t="s">
        <v>634</v>
      </c>
      <c r="H7" s="5" t="s">
        <v>635</v>
      </c>
    </row>
    <row r="8" customFormat="false" ht="17.15" hidden="false" customHeight="false" outlineLevel="0" collapsed="false">
      <c r="A8" s="0" t="s">
        <v>636</v>
      </c>
      <c r="B8" s="12" t="n">
        <v>0.25</v>
      </c>
      <c r="C8" s="12" t="n">
        <f aca="false">Mkt!F18</f>
        <v>0.25</v>
      </c>
      <c r="D8" s="12" t="n">
        <f aca="false">Mkt!F66</f>
        <v>0.25</v>
      </c>
      <c r="E8" s="12" t="n">
        <f aca="false">Mkt!F114</f>
        <v>0.25</v>
      </c>
      <c r="F8" s="12" t="n">
        <f aca="false">C8-B8</f>
        <v>0</v>
      </c>
      <c r="G8" s="5" t="s">
        <v>32</v>
      </c>
    </row>
    <row r="9" customFormat="false" ht="17.15" hidden="false" customHeight="false" outlineLevel="0" collapsed="false">
      <c r="A9" s="0" t="s">
        <v>637</v>
      </c>
      <c r="B9" s="12" t="n">
        <v>0.25</v>
      </c>
      <c r="C9" s="12" t="n">
        <f aca="false">Mkt!G18</f>
        <v>0.25</v>
      </c>
      <c r="D9" s="12" t="n">
        <f aca="false">Mkt!G66</f>
        <v>0.149893950413223</v>
      </c>
      <c r="E9" s="12" t="n">
        <f aca="false">Mkt!G114</f>
        <v>0.00972866115702487</v>
      </c>
      <c r="F9" s="12" t="n">
        <f aca="false">C9-B9</f>
        <v>0</v>
      </c>
      <c r="G9" s="5" t="s">
        <v>32</v>
      </c>
      <c r="H9" s="8" t="s">
        <v>638</v>
      </c>
    </row>
    <row r="10" customFormat="false" ht="17.15" hidden="false" customHeight="false" outlineLevel="0" collapsed="false">
      <c r="A10" s="0" t="s">
        <v>639</v>
      </c>
      <c r="B10" s="12" t="n">
        <v>0.05</v>
      </c>
      <c r="C10" s="12" t="n">
        <f aca="false">Mkt!E16</f>
        <v>0.0429752066115703</v>
      </c>
      <c r="D10" s="12" t="n">
        <f aca="false">Mkt!E64</f>
        <v>0.0429752066115703</v>
      </c>
      <c r="E10" s="12" t="n">
        <f aca="false">Mkt!E112</f>
        <v>0.0429752066115703</v>
      </c>
      <c r="F10" s="12" t="n">
        <f aca="false">C10-B10</f>
        <v>-0.00702479338842972</v>
      </c>
      <c r="G10" s="8" t="s">
        <v>640</v>
      </c>
    </row>
    <row r="11" customFormat="false" ht="17.15" hidden="false" customHeight="false" outlineLevel="0" collapsed="false">
      <c r="A11" s="0" t="s">
        <v>641</v>
      </c>
      <c r="B11" s="12" t="n">
        <v>0.48</v>
      </c>
      <c r="C11" s="12" t="n">
        <f aca="false">Mkt!E14</f>
        <v>0.479001584786054</v>
      </c>
      <c r="D11" s="12" t="n">
        <f aca="false">Mkt!E62</f>
        <v>0.479001584786054</v>
      </c>
      <c r="E11" s="12" t="n">
        <f aca="false">Mkt!E110</f>
        <v>0.479001584786054</v>
      </c>
      <c r="F11" s="12" t="n">
        <f aca="false">C11-B11</f>
        <v>-0.000998415213946113</v>
      </c>
      <c r="G11" s="8" t="s">
        <v>642</v>
      </c>
      <c r="H11" s="8" t="s">
        <v>643</v>
      </c>
    </row>
    <row r="12" customFormat="false" ht="17.15" hidden="false" customHeight="false" outlineLevel="0" collapsed="false">
      <c r="A12" s="0" t="s">
        <v>644</v>
      </c>
      <c r="B12" s="10" t="n">
        <f aca="false">(rv_ss_0+rv_ss_1+rv_ss_2+rv_ss_3+rv_sk_0+rv_sk_1+rv_sk_2+rv_sk_3+rv_mu_0+rv_mu_1+rv_mu_2+rv_mu_3+rv_kx_0+rv_kx_1+rv_kx_2+rv_kx_3+rv_sd_0+rv_sd_1+rv_sd_2+rv_sd_3)/0.9</f>
        <v>72.2111111111111</v>
      </c>
      <c r="C12" s="10" t="n">
        <f aca="false">Mkt!D19</f>
        <v>71.1035923582252</v>
      </c>
      <c r="D12" s="10" t="n">
        <f aca="false">Mkt!D67</f>
        <v>71.1035923582252</v>
      </c>
      <c r="E12" s="10" t="n">
        <f aca="false">Mkt!D115</f>
        <v>71.1035923582252</v>
      </c>
      <c r="F12" s="12" t="n">
        <f aca="false">C12/B12-1</f>
        <v>-0.0153372346145156</v>
      </c>
      <c r="G12" s="8" t="s">
        <v>645</v>
      </c>
    </row>
    <row r="13" customFormat="false" ht="17.15" hidden="false" customHeight="false" outlineLevel="0" collapsed="false">
      <c r="A13" s="0" t="s">
        <v>646</v>
      </c>
      <c r="B13" s="10" t="n">
        <f aca="false">10071/160/kx_k*0.25+13477/160/kx_k*0.75+49.1/sd_k*0.5+58.4/sd_k*0.5</f>
        <v>130.371772156529</v>
      </c>
      <c r="C13" s="10" t="n">
        <f aca="false">Ann!F28+Ann!F29</f>
        <v>131.514304342793</v>
      </c>
      <c r="D13" s="10" t="n">
        <f aca="false">Ann!F55+Ann!F56</f>
        <v>126.355555053941</v>
      </c>
      <c r="E13" s="10" t="n">
        <f aca="false">Ann!F82+Ann!F83</f>
        <v>124.789336404015</v>
      </c>
      <c r="F13" s="12" t="n">
        <f aca="false">C13/B13-1</f>
        <v>0.00876364697176912</v>
      </c>
      <c r="G13" s="8" t="s">
        <v>647</v>
      </c>
      <c r="H13" s="5" t="s">
        <v>648</v>
      </c>
    </row>
    <row r="14" customFormat="false" ht="17.15" hidden="false" customHeight="false" outlineLevel="0" collapsed="false">
      <c r="A14" s="0" t="s">
        <v>649</v>
      </c>
      <c r="B14" s="19" t="n">
        <f aca="false">12.4/sd_k</f>
        <v>12.4069157836029</v>
      </c>
      <c r="C14" s="19" t="n">
        <f aca="false">Mkt!J44</f>
        <v>12.4602118149868</v>
      </c>
      <c r="D14" s="19" t="n">
        <f aca="false">Mkt!J92</f>
        <v>12.4602118149868</v>
      </c>
      <c r="E14" s="19" t="n">
        <f aca="false">Mkt!J140</f>
        <v>12.4602118149868</v>
      </c>
      <c r="F14" s="12" t="n">
        <f aca="false">C14/B14-1</f>
        <v>0.00429567124606067</v>
      </c>
      <c r="G14" s="8" t="s">
        <v>650</v>
      </c>
      <c r="H14" s="8" t="s">
        <v>651</v>
      </c>
    </row>
    <row r="15" customFormat="false" ht="17.15" hidden="false" customHeight="false" outlineLevel="0" collapsed="false">
      <c r="A15" s="0" t="s">
        <v>652</v>
      </c>
      <c r="B15" s="19" t="n">
        <f aca="false">2500/157/kx_k</f>
        <v>15.4558892597069</v>
      </c>
      <c r="C15" s="19" t="n">
        <f aca="false">Mkt!J43</f>
        <v>16.2035648188888</v>
      </c>
      <c r="D15" s="19" t="n">
        <f aca="false">Mkt!J91</f>
        <v>16.2035648188888</v>
      </c>
      <c r="E15" s="19" t="n">
        <f aca="false">Mkt!J139</f>
        <v>16.2035648188888</v>
      </c>
      <c r="F15" s="12" t="n">
        <f aca="false">C15/B15-1</f>
        <v>0.0483748004801692</v>
      </c>
      <c r="G15" s="8" t="s">
        <v>653</v>
      </c>
      <c r="H15" s="8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9" min="3" style="0" width="13"/>
  </cols>
  <sheetData>
    <row r="1" customFormat="false" ht="17.15" hidden="false" customHeight="false" outlineLevel="0" collapsed="false">
      <c r="A1" s="0" t="s">
        <v>655</v>
      </c>
    </row>
    <row r="3" customFormat="false" ht="17.15" hidden="false" customHeight="false" outlineLevel="0" collapsed="false">
      <c r="A3" s="6" t="s">
        <v>656</v>
      </c>
      <c r="B3" s="6" t="s">
        <v>657</v>
      </c>
      <c r="C3" s="9" t="s">
        <v>658</v>
      </c>
      <c r="D3" s="6" t="s">
        <v>659</v>
      </c>
      <c r="E3" s="9" t="s">
        <v>660</v>
      </c>
      <c r="F3" s="6" t="s">
        <v>659</v>
      </c>
      <c r="G3" s="9" t="s">
        <v>661</v>
      </c>
      <c r="H3" s="9" t="s">
        <v>662</v>
      </c>
      <c r="I3" s="6" t="s">
        <v>659</v>
      </c>
      <c r="J3" s="9" t="s">
        <v>663</v>
      </c>
      <c r="K3" s="6" t="s">
        <v>659</v>
      </c>
    </row>
    <row r="4" customFormat="false" ht="17.15" hidden="false" customHeight="false" outlineLevel="0" collapsed="false">
      <c r="A4" s="5" t="s">
        <v>664</v>
      </c>
      <c r="B4" s="0" t="s">
        <v>665</v>
      </c>
      <c r="C4" s="10" t="n">
        <f aca="false">Mkt!F19</f>
        <v>536.734678363014</v>
      </c>
      <c r="D4" s="12" t="n">
        <f aca="false">C4/C$4-1</f>
        <v>0</v>
      </c>
      <c r="E4" s="10" t="n">
        <f aca="false">Mkt!G19</f>
        <v>544.610149409284</v>
      </c>
      <c r="F4" s="12" t="n">
        <f aca="false">E4/E$4-1</f>
        <v>0</v>
      </c>
      <c r="G4" s="10" t="n">
        <f aca="false">Mkt!G17</f>
        <v>1890.625</v>
      </c>
      <c r="H4" s="10" t="n">
        <f aca="false">SUM(Mkt!O43:R43)+SUM(Mkt!O44:R44)</f>
        <v>133.44400469154</v>
      </c>
      <c r="I4" s="12" t="n">
        <f aca="false">H4/H$4-1</f>
        <v>0</v>
      </c>
      <c r="J4" s="10" t="n">
        <f aca="false">Mkt!I19</f>
        <v>583.689433024656</v>
      </c>
      <c r="K4" s="12" t="n">
        <f aca="false">J4/J$4-1</f>
        <v>0</v>
      </c>
    </row>
    <row r="5" customFormat="false" ht="17.15" hidden="false" customHeight="false" outlineLevel="0" collapsed="false">
      <c r="A5" s="5" t="s">
        <v>666</v>
      </c>
      <c r="B5" s="0" t="s">
        <v>667</v>
      </c>
      <c r="C5" s="10" t="n">
        <f aca="false">F55</f>
        <v>536.584957431665</v>
      </c>
      <c r="D5" s="12" t="n">
        <f aca="false">C5/C$4-1</f>
        <v>-0.000278947750880332</v>
      </c>
      <c r="E5" s="10" t="n">
        <f aca="false">G55</f>
        <v>515.864512954536</v>
      </c>
      <c r="F5" s="12" t="n">
        <f aca="false">E5/E$4-1</f>
        <v>-0.0527820432394208</v>
      </c>
      <c r="G5" s="10" t="n">
        <f aca="false">G53</f>
        <v>1739.2146</v>
      </c>
      <c r="H5" s="10" t="n">
        <f aca="false">SUM(O79:R79)+SUM(O80:R80)</f>
        <v>127.957634905098</v>
      </c>
      <c r="I5" s="12" t="n">
        <f aca="false">H5/H$4-1</f>
        <v>-0.0411136476241411</v>
      </c>
      <c r="J5" s="10" t="n">
        <f aca="false">I55</f>
        <v>529.509583677324</v>
      </c>
      <c r="K5" s="12" t="n">
        <f aca="false">J5/J$4-1</f>
        <v>-0.0928230772768559</v>
      </c>
    </row>
    <row r="6" customFormat="false" ht="17.15" hidden="false" customHeight="false" outlineLevel="0" collapsed="false">
      <c r="A6" s="5" t="s">
        <v>668</v>
      </c>
      <c r="B6" s="0" t="s">
        <v>669</v>
      </c>
      <c r="C6" s="10" t="n">
        <f aca="false">F125</f>
        <v>536.734678363014</v>
      </c>
      <c r="D6" s="12" t="n">
        <f aca="false">C6/C$4-1</f>
        <v>0</v>
      </c>
      <c r="E6" s="10" t="n">
        <f aca="false">G125</f>
        <v>544.610149409284</v>
      </c>
      <c r="F6" s="12" t="n">
        <f aca="false">E6/E$4-1</f>
        <v>0</v>
      </c>
      <c r="G6" s="10" t="n">
        <f aca="false">G123</f>
        <v>1890.625</v>
      </c>
      <c r="H6" s="10" t="n">
        <f aca="false">SUM(O149:R149)+SUM(O150:R150)</f>
        <v>133.44400469154</v>
      </c>
      <c r="I6" s="12" t="n">
        <f aca="false">H6/H$4-1</f>
        <v>0</v>
      </c>
      <c r="J6" s="10" t="n">
        <f aca="false">I125</f>
        <v>603.846148402198</v>
      </c>
      <c r="K6" s="12" t="n">
        <f aca="false">J6/J$4-1</f>
        <v>0.0345332881445037</v>
      </c>
    </row>
    <row r="7" customFormat="false" ht="17.15" hidden="false" customHeight="false" outlineLevel="0" collapsed="false">
      <c r="A7" s="5" t="s">
        <v>670</v>
      </c>
      <c r="B7" s="0" t="s">
        <v>671</v>
      </c>
      <c r="C7" s="10" t="n">
        <f aca="false">F195</f>
        <v>513.74938035165</v>
      </c>
      <c r="D7" s="12" t="n">
        <f aca="false">C7/C$4-1</f>
        <v>-0.0428243207267083</v>
      </c>
      <c r="E7" s="10" t="n">
        <f aca="false">G195</f>
        <v>500.492588262408</v>
      </c>
      <c r="F7" s="12" t="n">
        <f aca="false">E7/E$4-1</f>
        <v>-0.0810076000139334</v>
      </c>
      <c r="G7" s="10" t="n">
        <f aca="false">G193</f>
        <v>1699.2</v>
      </c>
      <c r="H7" s="10" t="n">
        <f aca="false">SUM(O219:R219)+SUM(O220:R220)</f>
        <v>123.783796839837</v>
      </c>
      <c r="I7" s="12" t="n">
        <f aca="false">H7/H$4-1</f>
        <v>-0.0723914714192906</v>
      </c>
      <c r="J7" s="10" t="n">
        <f aca="false">I195</f>
        <v>488.234132964099</v>
      </c>
      <c r="K7" s="12" t="n">
        <f aca="false">J7/J$4-1</f>
        <v>-0.163537824500113</v>
      </c>
    </row>
    <row r="8" customFormat="false" ht="17.15" hidden="false" customHeight="false" outlineLevel="0" collapsed="false">
      <c r="A8" s="5" t="s">
        <v>672</v>
      </c>
      <c r="B8" s="0" t="s">
        <v>673</v>
      </c>
      <c r="C8" s="10" t="n">
        <f aca="false">F265</f>
        <v>551.34164107225</v>
      </c>
      <c r="D8" s="12" t="n">
        <f aca="false">C8/C$4-1</f>
        <v>0.0272144940472008</v>
      </c>
      <c r="E8" s="10" t="n">
        <f aca="false">G265</f>
        <v>550.507124974447</v>
      </c>
      <c r="F8" s="12" t="n">
        <f aca="false">E8/E$4-1</f>
        <v>0.010827884077369</v>
      </c>
      <c r="G8" s="10" t="n">
        <f aca="false">G263</f>
        <v>1951.2146</v>
      </c>
      <c r="H8" s="10" t="n">
        <f aca="false">SUM(O289:R289)+SUM(O290:R290)</f>
        <v>133.667814701266</v>
      </c>
      <c r="I8" s="12" t="n">
        <f aca="false">H8/H$4-1</f>
        <v>0.00167718295207608</v>
      </c>
      <c r="J8" s="10" t="n">
        <f aca="false">I265</f>
        <v>571.628055460733</v>
      </c>
      <c r="K8" s="12" t="n">
        <f aca="false">J8/J$4-1</f>
        <v>-0.0206640327569769</v>
      </c>
    </row>
    <row r="9" customFormat="false" ht="17.15" hidden="false" customHeight="false" outlineLevel="0" collapsed="false">
      <c r="A9" s="0" t="s">
        <v>674</v>
      </c>
      <c r="B9" s="0" t="s">
        <v>675</v>
      </c>
      <c r="C9" s="10" t="n">
        <f aca="false">F335</f>
        <v>536.734678363014</v>
      </c>
      <c r="D9" s="12" t="n">
        <f aca="false">C9/C$4-1</f>
        <v>0</v>
      </c>
      <c r="E9" s="10" t="n">
        <f aca="false">G335</f>
        <v>544.610149409284</v>
      </c>
      <c r="F9" s="12" t="n">
        <f aca="false">E9/E$4-1</f>
        <v>0</v>
      </c>
      <c r="G9" s="10" t="n">
        <f aca="false">G333</f>
        <v>1607.03125</v>
      </c>
      <c r="H9" s="10" t="n">
        <f aca="false">SUM(O359:R359)+SUM(O360:R360)</f>
        <v>133.44400469154</v>
      </c>
      <c r="I9" s="12" t="n">
        <f aca="false">H9/H$4-1</f>
        <v>0</v>
      </c>
      <c r="J9" s="10" t="n">
        <f aca="false">I335</f>
        <v>603.846148402198</v>
      </c>
      <c r="K9" s="12" t="n">
        <f aca="false">J9/J$4-1</f>
        <v>0.0345332881445037</v>
      </c>
    </row>
    <row r="10" customFormat="false" ht="17.15" hidden="false" customHeight="false" outlineLevel="0" collapsed="false">
      <c r="A10" s="0" t="s">
        <v>676</v>
      </c>
      <c r="B10" s="0" t="s">
        <v>677</v>
      </c>
      <c r="C10" s="10" t="n">
        <f aca="false">F405</f>
        <v>539.56078243719</v>
      </c>
      <c r="D10" s="12" t="n">
        <f aca="false">C10/C$4-1</f>
        <v>0.00526536515731557</v>
      </c>
      <c r="E10" s="10" t="n">
        <f aca="false">G405</f>
        <v>525.382175276236</v>
      </c>
      <c r="F10" s="12" t="n">
        <f aca="false">E10/E$4-1</f>
        <v>-0.0353059416059434</v>
      </c>
      <c r="G10" s="10" t="n">
        <f aca="false">G403</f>
        <v>2084.89679</v>
      </c>
      <c r="H10" s="10" t="n">
        <f aca="false">SUM(O429:R429)+SUM(O430:R430)</f>
        <v>129.029513259813</v>
      </c>
      <c r="I10" s="12" t="n">
        <f aca="false">H10/H$4-1</f>
        <v>-0.0330812271554044</v>
      </c>
      <c r="J10" s="10" t="n">
        <f aca="false">I405</f>
        <v>539.805725246741</v>
      </c>
      <c r="K10" s="12" t="n">
        <f aca="false">J10/J$4-1</f>
        <v>-0.0751833171803549</v>
      </c>
    </row>
    <row r="11" customFormat="false" ht="17.15" hidden="false" customHeight="false" outlineLevel="0" collapsed="false">
      <c r="A11" s="5" t="s">
        <v>678</v>
      </c>
      <c r="B11" s="0" t="s">
        <v>679</v>
      </c>
      <c r="C11" s="10" t="n">
        <f aca="false">F475</f>
        <v>536.734678363014</v>
      </c>
      <c r="D11" s="12" t="n">
        <f aca="false">C11/C$4-1</f>
        <v>0</v>
      </c>
      <c r="E11" s="10" t="n">
        <f aca="false">G475</f>
        <v>544.610149409284</v>
      </c>
      <c r="F11" s="12" t="n">
        <f aca="false">E11/E$4-1</f>
        <v>0</v>
      </c>
      <c r="G11" s="10" t="n">
        <f aca="false">G473</f>
        <v>1890.625</v>
      </c>
      <c r="H11" s="10" t="n">
        <f aca="false">SUM(O499:R499)+SUM(O500:R500)</f>
        <v>133.44400469154</v>
      </c>
      <c r="I11" s="12" t="n">
        <f aca="false">H11/H$4-1</f>
        <v>0</v>
      </c>
      <c r="J11" s="10" t="n">
        <f aca="false">I475</f>
        <v>586.430139947779</v>
      </c>
      <c r="K11" s="12" t="n">
        <f aca="false">J11/J$4-1</f>
        <v>0.00469548833344646</v>
      </c>
    </row>
    <row r="12" customFormat="false" ht="17.15" hidden="false" customHeight="false" outlineLevel="0" collapsed="false">
      <c r="A12" s="5" t="s">
        <v>680</v>
      </c>
      <c r="B12" s="0" t="s">
        <v>681</v>
      </c>
      <c r="C12" s="10" t="n">
        <f aca="false">F545</f>
        <v>536.734678363014</v>
      </c>
      <c r="D12" s="12" t="n">
        <f aca="false">C12/C$4-1</f>
        <v>0</v>
      </c>
      <c r="E12" s="10" t="n">
        <f aca="false">G545</f>
        <v>544.610149409284</v>
      </c>
      <c r="F12" s="12" t="n">
        <f aca="false">E12/E$4-1</f>
        <v>0</v>
      </c>
      <c r="G12" s="10" t="n">
        <f aca="false">G543</f>
        <v>1890.625</v>
      </c>
      <c r="H12" s="10" t="n">
        <f aca="false">SUM(O569:R569)+SUM(O570:R570)</f>
        <v>133.44400469154</v>
      </c>
      <c r="I12" s="12" t="n">
        <f aca="false">H12/H$4-1</f>
        <v>0</v>
      </c>
      <c r="J12" s="10" t="n">
        <f aca="false">I545</f>
        <v>573.939873913503</v>
      </c>
      <c r="K12" s="12" t="n">
        <f aca="false">J12/J$4-1</f>
        <v>-0.0167033332445826</v>
      </c>
    </row>
    <row r="13" customFormat="false" ht="17.15" hidden="false" customHeight="false" outlineLevel="0" collapsed="false">
      <c r="A13" s="0" t="s">
        <v>682</v>
      </c>
      <c r="B13" s="0" t="s">
        <v>683</v>
      </c>
      <c r="C13" s="10" t="n">
        <f aca="false">F615</f>
        <v>536.734678363014</v>
      </c>
      <c r="D13" s="12" t="n">
        <f aca="false">C13/C$4-1</f>
        <v>0</v>
      </c>
      <c r="E13" s="10" t="n">
        <f aca="false">G615</f>
        <v>544.610149409284</v>
      </c>
      <c r="F13" s="12" t="n">
        <f aca="false">E13/E$4-1</f>
        <v>0</v>
      </c>
      <c r="G13" s="10" t="n">
        <f aca="false">G613</f>
        <v>1890.625</v>
      </c>
      <c r="H13" s="10" t="n">
        <f aca="false">SUM(O639:R639)+SUM(O640:R640)</f>
        <v>133.44400469154</v>
      </c>
      <c r="I13" s="12" t="n">
        <f aca="false">H13/H$4-1</f>
        <v>0</v>
      </c>
      <c r="J13" s="10" t="n">
        <f aca="false">I615</f>
        <v>540.300886529493</v>
      </c>
      <c r="K13" s="12" t="n">
        <f aca="false">J13/J$4-1</f>
        <v>-0.0743349871357522</v>
      </c>
    </row>
    <row r="14" customFormat="false" ht="17.15" hidden="false" customHeight="false" outlineLevel="0" collapsed="false">
      <c r="A14" s="0" t="s">
        <v>684</v>
      </c>
      <c r="B14" s="0" t="s">
        <v>685</v>
      </c>
      <c r="C14" s="10" t="n">
        <f aca="false">F685</f>
        <v>536.734678363014</v>
      </c>
      <c r="D14" s="12" t="n">
        <f aca="false">C14/C$4-1</f>
        <v>0</v>
      </c>
      <c r="E14" s="10" t="n">
        <f aca="false">G685</f>
        <v>544.610149409284</v>
      </c>
      <c r="F14" s="12" t="n">
        <f aca="false">E14/E$4-1</f>
        <v>0</v>
      </c>
      <c r="G14" s="10" t="n">
        <f aca="false">G683</f>
        <v>1890.625</v>
      </c>
      <c r="H14" s="10" t="n">
        <f aca="false">SUM(O709:R709)+SUM(O710:R710)</f>
        <v>133.44400469154</v>
      </c>
      <c r="I14" s="12" t="n">
        <f aca="false">H14/H$4-1</f>
        <v>0</v>
      </c>
      <c r="J14" s="10" t="n">
        <f aca="false">I685</f>
        <v>550.047502226013</v>
      </c>
      <c r="K14" s="12" t="n">
        <f aca="false">J14/J$4-1</f>
        <v>-0.0576366966664291</v>
      </c>
    </row>
    <row r="15" customFormat="false" ht="17.15" hidden="false" customHeight="false" outlineLevel="0" collapsed="false">
      <c r="A15" s="0" t="s">
        <v>686</v>
      </c>
      <c r="B15" s="5" t="s">
        <v>687</v>
      </c>
      <c r="C15" s="10" t="n">
        <f aca="false">F755</f>
        <v>429.387742690411</v>
      </c>
      <c r="D15" s="12" t="n">
        <f aca="false">C15/C$4-1</f>
        <v>-0.2</v>
      </c>
      <c r="E15" s="10" t="n">
        <f aca="false">G755</f>
        <v>435.688119527427</v>
      </c>
      <c r="F15" s="12" t="n">
        <f aca="false">E15/E$4-1</f>
        <v>-0.2</v>
      </c>
      <c r="G15" s="10" t="n">
        <f aca="false">G753</f>
        <v>1890.625</v>
      </c>
      <c r="H15" s="10" t="n">
        <f aca="false">SUM(O779:R779)+SUM(O780:R780)</f>
        <v>106.755203753232</v>
      </c>
      <c r="I15" s="12" t="n">
        <f aca="false">H15/H$4-1</f>
        <v>-0.2</v>
      </c>
      <c r="J15" s="10" t="n">
        <f aca="false">I755</f>
        <v>466.951546419724</v>
      </c>
      <c r="K15" s="12" t="n">
        <f aca="false">J15/J$4-1</f>
        <v>-0.2</v>
      </c>
    </row>
    <row r="16" customFormat="false" ht="17.15" hidden="false" customHeight="false" outlineLevel="0" collapsed="false">
      <c r="A16" s="5" t="s">
        <v>688</v>
      </c>
      <c r="B16" s="0" t="s">
        <v>422</v>
      </c>
      <c r="C16" s="10" t="n">
        <f aca="false">F825</f>
        <v>536.734678363014</v>
      </c>
      <c r="D16" s="12" t="n">
        <f aca="false">C16/C$4-1</f>
        <v>0</v>
      </c>
      <c r="E16" s="10" t="n">
        <f aca="false">G825</f>
        <v>544.610149409284</v>
      </c>
      <c r="F16" s="12" t="n">
        <f aca="false">E16/E$4-1</f>
        <v>0</v>
      </c>
      <c r="G16" s="10" t="n">
        <f aca="false">G823</f>
        <v>1890.625</v>
      </c>
      <c r="H16" s="10" t="n">
        <f aca="false">SUM(O849:R849)+SUM(O850:R850)</f>
        <v>126.908682898629</v>
      </c>
      <c r="I16" s="12" t="n">
        <f aca="false">H16/H$4-1</f>
        <v>-0.048974263085239</v>
      </c>
      <c r="J16" s="10" t="n">
        <f aca="false">I825</f>
        <v>583.689433024656</v>
      </c>
      <c r="K16" s="12" t="n">
        <f aca="false">J16/J$4-1</f>
        <v>0</v>
      </c>
    </row>
    <row r="17" customFormat="false" ht="17.15" hidden="false" customHeight="false" outlineLevel="0" collapsed="false">
      <c r="A17" s="5" t="s">
        <v>689</v>
      </c>
      <c r="B17" s="0" t="s">
        <v>690</v>
      </c>
      <c r="C17" s="10" t="n">
        <f aca="false">Mkt!F67</f>
        <v>522.072883308637</v>
      </c>
      <c r="D17" s="12" t="n">
        <f aca="false">C17/C$4-1</f>
        <v>-0.0273166531722784</v>
      </c>
      <c r="E17" s="10" t="n">
        <f aca="false">Mkt!G67</f>
        <v>242.305690617068</v>
      </c>
      <c r="F17" s="12" t="n">
        <f aca="false">E17/E$4-1</f>
        <v>-0.555084144355577</v>
      </c>
      <c r="G17" s="10" t="n">
        <f aca="false">Mkt!G65</f>
        <v>1739.2146</v>
      </c>
      <c r="H17" s="10" t="n">
        <f aca="false">SUM(Mkt!O91:R91)+SUM(Mkt!O92:R92)</f>
        <v>57.9175193842527</v>
      </c>
      <c r="I17" s="12" t="n">
        <f aca="false">H17/H$4-1</f>
        <v>-0.56597885743814</v>
      </c>
      <c r="J17" s="10" t="n">
        <f aca="false">Mkt!I67</f>
        <v>275.322126313529</v>
      </c>
      <c r="K17" s="12" t="n">
        <f aca="false">J17/J$4-1</f>
        <v>-0.528307160047731</v>
      </c>
    </row>
    <row r="18" customFormat="false" ht="17.15" hidden="false" customHeight="false" outlineLevel="0" collapsed="false">
      <c r="A18" s="5" t="s">
        <v>691</v>
      </c>
      <c r="B18" s="0" t="s">
        <v>692</v>
      </c>
      <c r="C18" s="10" t="n">
        <f aca="false">Mkt!F115</f>
        <v>522.072883308637</v>
      </c>
      <c r="D18" s="12" t="n">
        <f aca="false">C18/C$4-1</f>
        <v>-0.0273166531722784</v>
      </c>
      <c r="E18" s="10" t="n">
        <f aca="false">Mkt!G115</f>
        <v>174.228249275541</v>
      </c>
      <c r="F18" s="12" t="n">
        <f aca="false">E18/E$4-1</f>
        <v>-0.680086297575396</v>
      </c>
      <c r="G18" s="10" t="n">
        <f aca="false">Mkt!G113</f>
        <v>1527.2146</v>
      </c>
      <c r="H18" s="10" t="n">
        <f aca="false">SUM(Mkt!O139:R139)+SUM(Mkt!O140:R140)</f>
        <v>40.5998266159304</v>
      </c>
      <c r="I18" s="12" t="n">
        <f aca="false">H18/H$4-1</f>
        <v>-0.695753835402512</v>
      </c>
      <c r="J18" s="10" t="n">
        <f aca="false">Mkt!I115</f>
        <v>163.547357151686</v>
      </c>
      <c r="K18" s="12" t="n">
        <f aca="false">J18/J$4-1</f>
        <v>-0.719804149435788</v>
      </c>
    </row>
    <row r="20" customFormat="false" ht="17.15" hidden="false" customHeight="false" outlineLevel="0" collapsed="false">
      <c r="A20" s="5" t="s">
        <v>693</v>
      </c>
    </row>
    <row r="40" customFormat="false" ht="17.15" hidden="false" customHeight="false" outlineLevel="0" collapsed="false">
      <c r="A40" s="3" t="s">
        <v>694</v>
      </c>
    </row>
    <row r="41" customFormat="false" ht="17.15" hidden="false" customHeight="false" outlineLevel="0" collapsed="false">
      <c r="A41" s="9" t="s">
        <v>508</v>
      </c>
      <c r="B41" s="6" t="s">
        <v>15</v>
      </c>
      <c r="C41" s="9" t="s">
        <v>427</v>
      </c>
      <c r="D41" s="9" t="s">
        <v>428</v>
      </c>
      <c r="E41" s="9" t="s">
        <v>429</v>
      </c>
      <c r="F41" s="9" t="s">
        <v>430</v>
      </c>
      <c r="G41" s="9" t="s">
        <v>431</v>
      </c>
      <c r="H41" s="9" t="s">
        <v>432</v>
      </c>
      <c r="I41" s="9" t="s">
        <v>433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6" t="s">
        <v>434</v>
      </c>
    </row>
    <row r="42" customFormat="false" ht="17.15" hidden="false" customHeight="false" outlineLevel="0" collapsed="false">
      <c r="A42" s="5" t="s">
        <v>509</v>
      </c>
      <c r="B42" s="5" t="s">
        <v>168</v>
      </c>
      <c r="E42" s="10" t="n">
        <f aca="false">(u_26)*1</f>
        <v>15.2</v>
      </c>
      <c r="F42" s="10" t="n">
        <f aca="false">(u_27)*1</f>
        <v>23.7</v>
      </c>
      <c r="G42" s="10" t="n">
        <f aca="false">(u_28)*um28_A</f>
        <v>26.5</v>
      </c>
      <c r="H42" s="10" t="n">
        <f aca="false">(u_28*(1+g_u29))*um29_A</f>
        <v>30.15</v>
      </c>
      <c r="I42" s="10" t="n">
        <f aca="false">(u_28*(1+g_u29)*(1+g_u30))*um29_A</f>
        <v>31.6575</v>
      </c>
      <c r="AB42" s="8" t="s">
        <v>510</v>
      </c>
    </row>
    <row r="43" customFormat="false" ht="17.15" hidden="false" customHeight="false" outlineLevel="0" collapsed="false">
      <c r="A43" s="5" t="s">
        <v>511</v>
      </c>
      <c r="B43" s="0" t="s">
        <v>512</v>
      </c>
      <c r="E43" s="18" t="n">
        <f aca="false">tb_26_lo</f>
        <v>24</v>
      </c>
      <c r="F43" s="18" t="n">
        <f aca="false">tb_27_lo</f>
        <v>27</v>
      </c>
      <c r="G43" s="18" t="n">
        <f aca="false">tb_28_lo</f>
        <v>32</v>
      </c>
      <c r="H43" s="18" t="n">
        <f aca="false">tb_29_lo</f>
        <v>37</v>
      </c>
      <c r="I43" s="18" t="n">
        <f aca="false">tb_30_lo</f>
        <v>42</v>
      </c>
    </row>
    <row r="44" customFormat="false" ht="17.15" hidden="false" customHeight="false" outlineLevel="0" collapsed="false">
      <c r="A44" s="5" t="s">
        <v>513</v>
      </c>
      <c r="B44" s="0" t="s">
        <v>222</v>
      </c>
      <c r="D44" s="10" t="n">
        <f aca="false">bits25*sh_essd25*ai25</f>
        <v>165</v>
      </c>
      <c r="E44" s="10" t="n">
        <f aca="false">E42*E43</f>
        <v>364.8</v>
      </c>
      <c r="F44" s="10" t="n">
        <f aca="false">F42*F43</f>
        <v>639.9</v>
      </c>
      <c r="G44" s="10" t="n">
        <f aca="false">G42*G43</f>
        <v>848</v>
      </c>
      <c r="H44" s="10" t="n">
        <f aca="false">H42*H43</f>
        <v>1115.55</v>
      </c>
      <c r="I44" s="10" t="n">
        <f aca="false">I42*I43</f>
        <v>1329.615</v>
      </c>
      <c r="AB44" s="5" t="s">
        <v>514</v>
      </c>
    </row>
    <row r="45" customFormat="false" ht="17.15" hidden="false" customHeight="false" outlineLevel="0" collapsed="false">
      <c r="A45" s="5" t="s">
        <v>515</v>
      </c>
      <c r="B45" s="0" t="s">
        <v>222</v>
      </c>
      <c r="D45" s="10" t="n">
        <f aca="false">bits25*sh_essd25*(1-ai25)</f>
        <v>135</v>
      </c>
      <c r="E45" s="10" t="n">
        <f aca="false">D45*(1+g_nai)</f>
        <v>148.5</v>
      </c>
      <c r="F45" s="10" t="n">
        <f aca="false">E45*(1+g_nai)</f>
        <v>163.35</v>
      </c>
      <c r="G45" s="10" t="n">
        <f aca="false">F45*(1+g_nai)</f>
        <v>179.685</v>
      </c>
      <c r="H45" s="10" t="n">
        <f aca="false">G45*(1+g_nai)</f>
        <v>197.6535</v>
      </c>
      <c r="I45" s="10" t="n">
        <f aca="false">H45*(1+g_nai)</f>
        <v>217.41885</v>
      </c>
    </row>
    <row r="46" customFormat="false" ht="15" hidden="false" customHeight="false" outlineLevel="0" collapsed="false">
      <c r="A46" s="5" t="s">
        <v>516</v>
      </c>
      <c r="B46" s="0" t="s">
        <v>222</v>
      </c>
      <c r="D46" s="10" t="n">
        <f aca="false">bits25*sh_mob25</f>
        <v>320</v>
      </c>
      <c r="E46" s="10" t="n">
        <f aca="false">D46*(1+g_mob_26)</f>
        <v>304</v>
      </c>
      <c r="F46" s="10" t="n">
        <f aca="false">E46*(1+g_mob_27)</f>
        <v>313.12</v>
      </c>
      <c r="G46" s="10" t="n">
        <f aca="false">F46*(1+g_mob_28)</f>
        <v>338.1696</v>
      </c>
      <c r="H46" s="10" t="n">
        <f aca="false">G46*(1+g_mob_28)</f>
        <v>365.223168</v>
      </c>
      <c r="I46" s="10" t="n">
        <f aca="false">H46*(1+g_mob_28)</f>
        <v>394.44102144</v>
      </c>
    </row>
    <row r="47" customFormat="false" ht="17.15" hidden="false" customHeight="false" outlineLevel="0" collapsed="false">
      <c r="A47" s="5" t="s">
        <v>517</v>
      </c>
      <c r="B47" s="0" t="s">
        <v>222</v>
      </c>
      <c r="D47" s="10" t="n">
        <f aca="false">bits25*sh_pc25</f>
        <v>230</v>
      </c>
      <c r="E47" s="10" t="n">
        <f aca="false">D47*(1+g_pc_26)</f>
        <v>218.5</v>
      </c>
      <c r="F47" s="10" t="n">
        <f aca="false">E47*(1+g_pc_27)</f>
        <v>218.5</v>
      </c>
      <c r="G47" s="10" t="n">
        <f aca="false">F47*(1+g_pc_28)</f>
        <v>231.61</v>
      </c>
      <c r="H47" s="10" t="n">
        <f aca="false">G47*(1+g_pc_28)</f>
        <v>245.5066</v>
      </c>
      <c r="I47" s="10" t="n">
        <f aca="false">H47*(1+g_pc_28)</f>
        <v>260.236996</v>
      </c>
    </row>
    <row r="48" customFormat="false" ht="15" hidden="false" customHeight="false" outlineLevel="0" collapsed="false">
      <c r="A48" s="5" t="s">
        <v>518</v>
      </c>
      <c r="B48" s="0" t="s">
        <v>222</v>
      </c>
      <c r="D48" s="10" t="n">
        <f aca="false">bits25*(1-sh_essd25-sh_mob25-sh_pc25)</f>
        <v>150</v>
      </c>
      <c r="E48" s="10" t="n">
        <f aca="false">D48*(1+g_con_26)</f>
        <v>135</v>
      </c>
      <c r="F48" s="10" t="n">
        <f aca="false">E48*(1+g_con_27)</f>
        <v>135</v>
      </c>
      <c r="G48" s="10" t="n">
        <f aca="false">F48*(1+g_con_28)</f>
        <v>141.75</v>
      </c>
      <c r="H48" s="10" t="n">
        <f aca="false">G48*(1+g_con_28)</f>
        <v>148.8375</v>
      </c>
      <c r="I48" s="10" t="n">
        <f aca="false">H48*(1+g_con_28)</f>
        <v>156.279375</v>
      </c>
    </row>
    <row r="49" customFormat="false" ht="15" hidden="false" customHeight="false" outlineLevel="0" collapsed="false">
      <c r="A49" s="5" t="s">
        <v>442</v>
      </c>
      <c r="B49" s="0" t="s">
        <v>222</v>
      </c>
      <c r="D49" s="10" t="n">
        <f aca="false">SUM(D44:D48)</f>
        <v>1000</v>
      </c>
      <c r="E49" s="10" t="n">
        <f aca="false">SUM(E44:E48)</f>
        <v>1170.8</v>
      </c>
      <c r="F49" s="10" t="n">
        <f aca="false">SUM(F44:F48)</f>
        <v>1469.87</v>
      </c>
      <c r="G49" s="10" t="n">
        <f aca="false">SUM(G44:G48)</f>
        <v>1739.2146</v>
      </c>
      <c r="H49" s="10" t="n">
        <f aca="false">SUM(H44:H48)</f>
        <v>2072.770768</v>
      </c>
      <c r="I49" s="10" t="n">
        <f aca="false">SUM(I44:I48)</f>
        <v>2357.99124244</v>
      </c>
    </row>
    <row r="50" customFormat="false" ht="17.15" hidden="false" customHeight="false" outlineLevel="0" collapsed="false">
      <c r="A50" s="5" t="s">
        <v>519</v>
      </c>
      <c r="B50" s="0" t="s">
        <v>25</v>
      </c>
      <c r="D50" s="12" t="n">
        <f aca="false">(D44+D45)/D49</f>
        <v>0.3</v>
      </c>
      <c r="E50" s="12" t="n">
        <f aca="false">(E44+E45)/E49</f>
        <v>0.438418175606423</v>
      </c>
      <c r="F50" s="12" t="n">
        <f aca="false">(F44+F45)/F49</f>
        <v>0.546476899317627</v>
      </c>
      <c r="G50" s="12" t="n">
        <f aca="false">(G44+G45)/G49</f>
        <v>0.590890278864954</v>
      </c>
      <c r="H50" s="12" t="n">
        <f aca="false">(H44+H45)/H49</f>
        <v>0.633549797340639</v>
      </c>
      <c r="I50" s="12" t="n">
        <f aca="false">(I44+I45)/I49</f>
        <v>0.6560812534652</v>
      </c>
    </row>
    <row r="51" customFormat="false" ht="17.15" hidden="false" customHeight="false" outlineLevel="0" collapsed="false">
      <c r="A51" s="5" t="s">
        <v>520</v>
      </c>
      <c r="B51" s="0" t="s">
        <v>222</v>
      </c>
      <c r="D51" s="10" t="n">
        <f aca="false">bits25</f>
        <v>1000</v>
      </c>
      <c r="E51" s="10" t="n">
        <f aca="false">D51*(1+gs_26)</f>
        <v>1210</v>
      </c>
      <c r="F51" s="10" t="n">
        <f aca="false">E51*(1+gs_27)</f>
        <v>1512.5</v>
      </c>
      <c r="G51" s="10" t="n">
        <f aca="false">F51*(1+gs_28)</f>
        <v>1890.625</v>
      </c>
      <c r="H51" s="10" t="n">
        <f aca="false">G51*(1+gs_29)</f>
        <v>2306.5625</v>
      </c>
      <c r="I51" s="10" t="n">
        <f aca="false">H51*(1+gs_30)</f>
        <v>2767.875</v>
      </c>
      <c r="AB51" s="8" t="s">
        <v>521</v>
      </c>
    </row>
    <row r="52" customFormat="false" ht="17.15" hidden="false" customHeight="false" outlineLevel="0" collapsed="false">
      <c r="A52" s="5" t="s">
        <v>522</v>
      </c>
      <c r="B52" s="0" t="s">
        <v>25</v>
      </c>
      <c r="E52" s="12" t="n">
        <f aca="false">E49/E51-1</f>
        <v>-0.0323966942148761</v>
      </c>
      <c r="F52" s="12" t="n">
        <f aca="false">F49/F51-1</f>
        <v>-0.0281851239669422</v>
      </c>
      <c r="G52" s="12" t="n">
        <f aca="false">G49/G51-1</f>
        <v>-0.0800848396694215</v>
      </c>
      <c r="H52" s="12" t="n">
        <f aca="false">H49/H51-1</f>
        <v>-0.101359374393713</v>
      </c>
      <c r="I52" s="12" t="n">
        <f aca="false">I49/I51-1</f>
        <v>-0.148086079595357</v>
      </c>
    </row>
    <row r="53" customFormat="false" ht="17.15" hidden="false" customHeight="false" outlineLevel="0" collapsed="false">
      <c r="A53" s="5" t="s">
        <v>523</v>
      </c>
      <c r="B53" s="0" t="s">
        <v>222</v>
      </c>
      <c r="C53" s="10" t="n">
        <f aca="false">bits25/(1+g25)</f>
        <v>892.857142857143</v>
      </c>
      <c r="D53" s="10" t="n">
        <f aca="false">bits25</f>
        <v>1000</v>
      </c>
      <c r="E53" s="10" t="n">
        <f aca="false">MIN(E49,E51)</f>
        <v>1170.8</v>
      </c>
      <c r="F53" s="10" t="n">
        <f aca="false">MIN(F49,F51)</f>
        <v>1469.87</v>
      </c>
      <c r="G53" s="10" t="n">
        <f aca="false">MIN(G49,G51)</f>
        <v>1739.2146</v>
      </c>
      <c r="H53" s="10" t="n">
        <f aca="false">MIN(H49,H51)</f>
        <v>2072.770768</v>
      </c>
      <c r="I53" s="10" t="n">
        <f aca="false">MIN(I49,I51)</f>
        <v>2357.99124244</v>
      </c>
    </row>
    <row r="54" customFormat="false" ht="15" hidden="false" customHeight="false" outlineLevel="0" collapsed="false">
      <c r="A54" s="5" t="s">
        <v>447</v>
      </c>
      <c r="B54" s="0" t="s">
        <v>25</v>
      </c>
      <c r="D54" s="12" t="n">
        <f aca="false">D53/C53-1</f>
        <v>0.12</v>
      </c>
      <c r="E54" s="12" t="n">
        <f aca="false">E53/D53-1</f>
        <v>0.1708</v>
      </c>
      <c r="F54" s="12" t="n">
        <f aca="false">F53/E53-1</f>
        <v>0.255440724291083</v>
      </c>
      <c r="G54" s="12" t="n">
        <f aca="false">G53/F53-1</f>
        <v>0.18324382428378</v>
      </c>
      <c r="H54" s="12" t="n">
        <f aca="false">H53/G53-1</f>
        <v>0.191785515139995</v>
      </c>
      <c r="I54" s="12" t="n">
        <f aca="false">I53/H53-1</f>
        <v>0.137603481698658</v>
      </c>
    </row>
    <row r="55" customFormat="false" ht="17.15" hidden="false" customHeight="false" outlineLevel="0" collapsed="false">
      <c r="A55" s="0" t="s">
        <v>524</v>
      </c>
      <c r="B55" s="0" t="s">
        <v>285</v>
      </c>
      <c r="C55" s="10" t="n">
        <f aca="false">rev24</f>
        <v>67.4</v>
      </c>
      <c r="D55" s="10" t="n">
        <f aca="false">SUM(C69:F69)</f>
        <v>71.1035923582252</v>
      </c>
      <c r="E55" s="10" t="n">
        <f aca="false">SUM(G69:J69)</f>
        <v>340.064202689893</v>
      </c>
      <c r="F55" s="10" t="n">
        <f aca="false">SUM(K69:N69)</f>
        <v>536.584957431665</v>
      </c>
      <c r="G55" s="10" t="n">
        <f aca="false">SUM(O69:R69)</f>
        <v>515.864512954536</v>
      </c>
      <c r="H55" s="10" t="n">
        <f aca="false">SUM(S69:V69)</f>
        <v>527.511862159691</v>
      </c>
      <c r="I55" s="10" t="n">
        <f aca="false">SUM(W69:Z69)</f>
        <v>529.509583677324</v>
      </c>
      <c r="AB55" s="8" t="s">
        <v>525</v>
      </c>
    </row>
    <row r="56" customFormat="false" ht="15" hidden="false" customHeight="false" outlineLevel="0" collapsed="false">
      <c r="A56" s="5" t="s">
        <v>453</v>
      </c>
      <c r="B56" s="0" t="s">
        <v>25</v>
      </c>
      <c r="D56" s="12" t="n">
        <f aca="false">D55/C55-1</f>
        <v>0.0549494415166936</v>
      </c>
      <c r="E56" s="12" t="n">
        <f aca="false">E55/D55-1</f>
        <v>3.78265853259037</v>
      </c>
      <c r="F56" s="12" t="n">
        <f aca="false">F55/E55-1</f>
        <v>0.577893095442865</v>
      </c>
      <c r="G56" s="12" t="n">
        <f aca="false">G55/F55-1</f>
        <v>-0.0386154031904034</v>
      </c>
      <c r="H56" s="12" t="n">
        <f aca="false">H55/G55-1</f>
        <v>0.0225783106080453</v>
      </c>
      <c r="I56" s="12" t="n">
        <f aca="false">I55/H55-1</f>
        <v>0.00378706463481859</v>
      </c>
    </row>
    <row r="57" customFormat="false" ht="17.15" hidden="false" customHeight="false" outlineLevel="0" collapsed="false">
      <c r="A57" s="5" t="s">
        <v>526</v>
      </c>
      <c r="B57" s="0" t="s">
        <v>449</v>
      </c>
      <c r="C57" s="13" t="n">
        <f aca="false">C55/C53</f>
        <v>0.075488</v>
      </c>
      <c r="D57" s="13" t="n">
        <f aca="false">D55/D53</f>
        <v>0.0711035923582252</v>
      </c>
      <c r="E57" s="13" t="n">
        <f aca="false">E55/E53</f>
        <v>0.290454563281425</v>
      </c>
      <c r="F57" s="13" t="n">
        <f aca="false">F55/F53</f>
        <v>0.365056064435403</v>
      </c>
      <c r="G57" s="13" t="n">
        <f aca="false">G55/G53</f>
        <v>0.296607740617251</v>
      </c>
      <c r="H57" s="13" t="n">
        <f aca="false">H55/H53</f>
        <v>0.254495996520003</v>
      </c>
      <c r="I57" s="13" t="n">
        <f aca="false">I55/I53</f>
        <v>0.224559605713123</v>
      </c>
    </row>
    <row r="58" customFormat="false" ht="17.15" hidden="false" customHeight="false" outlineLevel="0" collapsed="false">
      <c r="A58" s="5" t="s">
        <v>450</v>
      </c>
      <c r="B58" s="0" t="s">
        <v>25</v>
      </c>
      <c r="D58" s="12" t="n">
        <f aca="false">D57/C57-1</f>
        <v>-0.0580808557886665</v>
      </c>
      <c r="E58" s="12" t="n">
        <f aca="false">E57/D57-1</f>
        <v>3.08494920788381</v>
      </c>
      <c r="F58" s="12" t="n">
        <f aca="false">F57/E57-1</f>
        <v>0.256843963169877</v>
      </c>
      <c r="G58" s="12" t="n">
        <f aca="false">G57/F57-1</f>
        <v>-0.187500853941474</v>
      </c>
      <c r="H58" s="12" t="n">
        <f aca="false">H57/G57-1</f>
        <v>-0.141977899867388</v>
      </c>
      <c r="I58" s="12" t="n">
        <f aca="false">I57/H57-1</f>
        <v>-0.117630105055608</v>
      </c>
      <c r="AB58" s="8" t="s">
        <v>527</v>
      </c>
    </row>
    <row r="59" customFormat="false" ht="15" hidden="false" customHeight="false" outlineLevel="0" collapsed="false">
      <c r="A59" s="5" t="s">
        <v>528</v>
      </c>
      <c r="B59" s="0" t="s">
        <v>25</v>
      </c>
      <c r="D59" s="12" t="n">
        <f aca="false">SUM(C76:F76)/D55</f>
        <v>0.309407714439551</v>
      </c>
      <c r="E59" s="12" t="n">
        <f aca="false">SUM(G76:J76)/E55</f>
        <v>0.298146371102126</v>
      </c>
      <c r="F59" s="12" t="n">
        <f aca="false">SUM(K76:N76)/F55</f>
        <v>0.293146371102126</v>
      </c>
      <c r="G59" s="12" t="n">
        <f aca="false">SUM(O76:R76)/G55</f>
        <v>0.288146371102126</v>
      </c>
      <c r="H59" s="12" t="n">
        <f aca="false">SUM(S76:V76)/H55</f>
        <v>0.283146371102126</v>
      </c>
      <c r="I59" s="12" t="n">
        <f aca="false">SUM(W76:Z76)/I55</f>
        <v>0.278146371102126</v>
      </c>
    </row>
    <row r="60" customFormat="false" ht="17.15" hidden="false" customHeight="false" outlineLevel="0" collapsed="false">
      <c r="A60" s="5" t="s">
        <v>529</v>
      </c>
      <c r="B60" s="0" t="s">
        <v>25</v>
      </c>
      <c r="D60" s="12" t="n">
        <f aca="false">SUM(C77:F77)/D55</f>
        <v>0.200693094775109</v>
      </c>
      <c r="E60" s="12" t="n">
        <f aca="false">SUM(G77:J77)/E55</f>
        <v>0.177730130982399</v>
      </c>
      <c r="F60" s="12" t="n">
        <f aca="false">SUM(K77:N77)/F55</f>
        <v>0.177730130982399</v>
      </c>
      <c r="G60" s="12" t="n">
        <f aca="false">SUM(O77:R77)/G55</f>
        <v>0.177730130982399</v>
      </c>
      <c r="H60" s="12" t="n">
        <f aca="false">SUM(S77:V77)/H55</f>
        <v>0.177730130982399</v>
      </c>
      <c r="I60" s="12" t="n">
        <f aca="false">SUM(W77:Z77)/I55</f>
        <v>0.177730130982399</v>
      </c>
    </row>
    <row r="61" customFormat="false" ht="15" hidden="false" customHeight="false" outlineLevel="0" collapsed="false">
      <c r="A61" s="5" t="s">
        <v>530</v>
      </c>
      <c r="B61" s="0" t="s">
        <v>25</v>
      </c>
      <c r="D61" s="12" t="n">
        <f aca="false">SUM(C78:F78)/D55</f>
        <v>0.134732995651405</v>
      </c>
      <c r="E61" s="12" t="n">
        <f aca="false">SUM(G78:J78)/E55</f>
        <v>0.14511909777462</v>
      </c>
      <c r="F61" s="12" t="n">
        <f aca="false">SUM(K78:N78)/F55</f>
        <v>0.14711909777462</v>
      </c>
      <c r="G61" s="12" t="n">
        <f aca="false">SUM(O78:R78)/G55</f>
        <v>0.14911909777462</v>
      </c>
      <c r="H61" s="12" t="n">
        <f aca="false">SUM(S78:V78)/H55</f>
        <v>0.15111909777462</v>
      </c>
      <c r="I61" s="12" t="n">
        <f aca="false">SUM(W78:Z78)/I55</f>
        <v>0.15311909777462</v>
      </c>
    </row>
    <row r="62" customFormat="false" ht="17.15" hidden="false" customHeight="false" outlineLevel="0" collapsed="false">
      <c r="A62" s="5" t="s">
        <v>531</v>
      </c>
      <c r="B62" s="0" t="s">
        <v>25</v>
      </c>
      <c r="D62" s="12" t="n">
        <f aca="false">SUM(C79:F79)/D55</f>
        <v>0.143593307473992</v>
      </c>
      <c r="E62" s="12" t="n">
        <f aca="false">SUM(G79:J79)/E55</f>
        <v>0.140459906450548</v>
      </c>
      <c r="F62" s="12" t="n">
        <f aca="false">SUM(K79:N79)/F55</f>
        <v>0.140208766789298</v>
      </c>
      <c r="G62" s="12" t="n">
        <f aca="false">SUM(O79:R79)/G55</f>
        <v>0.140208766789298</v>
      </c>
      <c r="H62" s="12" t="n">
        <f aca="false">SUM(S79:V79)/H55</f>
        <v>0.140208766789298</v>
      </c>
      <c r="I62" s="12" t="n">
        <f aca="false">SUM(W79:Z79)/I55</f>
        <v>0.140208766789298</v>
      </c>
    </row>
    <row r="63" customFormat="false" ht="17.15" hidden="false" customHeight="false" outlineLevel="0" collapsed="false">
      <c r="A63" s="5" t="s">
        <v>532</v>
      </c>
      <c r="B63" s="0" t="s">
        <v>25</v>
      </c>
      <c r="D63" s="12" t="n">
        <f aca="false">SUM(C80:F80)/D55</f>
        <v>0.125591404088418</v>
      </c>
      <c r="E63" s="12" t="n">
        <f aca="false">SUM(G80:J80)/E55</f>
        <v>0.112820054865338</v>
      </c>
      <c r="F63" s="12" t="n">
        <f aca="false">SUM(K80:N80)/F55</f>
        <v>0.107836275449099</v>
      </c>
      <c r="G63" s="12" t="n">
        <f aca="false">SUM(O80:R80)/G55</f>
        <v>0.107836275449099</v>
      </c>
      <c r="H63" s="12" t="n">
        <f aca="false">SUM(S80:V80)/H55</f>
        <v>0.107836275449099</v>
      </c>
      <c r="I63" s="12" t="n">
        <f aca="false">SUM(W80:Z80)/I55</f>
        <v>0.107836275449099</v>
      </c>
    </row>
    <row r="64" customFormat="false" ht="15" hidden="false" customHeight="false" outlineLevel="0" collapsed="false">
      <c r="A64" s="5" t="s">
        <v>533</v>
      </c>
      <c r="B64" s="0" t="s">
        <v>25</v>
      </c>
      <c r="D64" s="12" t="n">
        <f aca="false">SUM(C81:F81)/D55</f>
        <v>0.0859814835715252</v>
      </c>
      <c r="E64" s="12" t="n">
        <f aca="false">SUM(G81:J81)/E55</f>
        <v>0.125724438824969</v>
      </c>
      <c r="F64" s="12" t="n">
        <f aca="false">SUM(K81:N81)/F55</f>
        <v>0.133959357902457</v>
      </c>
      <c r="G64" s="12" t="n">
        <f aca="false">SUM(O81:R81)/G55</f>
        <v>0.136959357902457</v>
      </c>
      <c r="H64" s="12" t="n">
        <f aca="false">SUM(S81:V81)/H55</f>
        <v>0.139959357902457</v>
      </c>
      <c r="I64" s="12" t="n">
        <f aca="false">SUM(W81:Z81)/I55</f>
        <v>0.142959357902457</v>
      </c>
    </row>
    <row r="66" customFormat="false" ht="17.15" hidden="false" customHeight="false" outlineLevel="0" collapsed="false">
      <c r="A66" s="9" t="s">
        <v>534</v>
      </c>
      <c r="B66" s="6" t="s">
        <v>15</v>
      </c>
      <c r="C66" s="9" t="s">
        <v>468</v>
      </c>
      <c r="D66" s="9" t="s">
        <v>469</v>
      </c>
      <c r="E66" s="9" t="s">
        <v>470</v>
      </c>
      <c r="F66" s="9" t="s">
        <v>471</v>
      </c>
      <c r="G66" s="9" t="s">
        <v>472</v>
      </c>
      <c r="H66" s="9" t="s">
        <v>473</v>
      </c>
      <c r="I66" s="9" t="s">
        <v>474</v>
      </c>
      <c r="J66" s="9" t="s">
        <v>475</v>
      </c>
      <c r="K66" s="9" t="s">
        <v>476</v>
      </c>
      <c r="L66" s="9" t="s">
        <v>477</v>
      </c>
      <c r="M66" s="9" t="s">
        <v>478</v>
      </c>
      <c r="N66" s="9" t="s">
        <v>479</v>
      </c>
      <c r="O66" s="9" t="s">
        <v>480</v>
      </c>
      <c r="P66" s="9" t="s">
        <v>481</v>
      </c>
      <c r="Q66" s="9" t="s">
        <v>482</v>
      </c>
      <c r="R66" s="9" t="s">
        <v>483</v>
      </c>
      <c r="S66" s="9" t="s">
        <v>484</v>
      </c>
      <c r="T66" s="9" t="s">
        <v>485</v>
      </c>
      <c r="U66" s="9" t="s">
        <v>486</v>
      </c>
      <c r="V66" s="9" t="s">
        <v>487</v>
      </c>
      <c r="W66" s="9" t="s">
        <v>488</v>
      </c>
      <c r="X66" s="9" t="s">
        <v>489</v>
      </c>
      <c r="Y66" s="9" t="s">
        <v>490</v>
      </c>
      <c r="Z66" s="9" t="s">
        <v>491</v>
      </c>
      <c r="AA66" s="9"/>
      <c r="AB66" s="6" t="s">
        <v>434</v>
      </c>
    </row>
    <row r="67" customFormat="false" ht="17.15" hidden="false" customHeight="false" outlineLevel="0" collapsed="false">
      <c r="A67" s="5" t="s">
        <v>535</v>
      </c>
      <c r="B67" s="0" t="s">
        <v>536</v>
      </c>
      <c r="C67" s="13" t="n">
        <f aca="false">Path!C4</f>
        <v>1</v>
      </c>
      <c r="D67" s="13" t="n">
        <f aca="false">Path!D4</f>
        <v>1</v>
      </c>
      <c r="E67" s="13" t="n">
        <f aca="false">Path!E4</f>
        <v>1.05</v>
      </c>
      <c r="F67" s="13" t="n">
        <f aca="false">Path!F4</f>
        <v>1.365</v>
      </c>
      <c r="G67" s="13" t="n">
        <f aca="false">Path!G4</f>
        <v>2.559375</v>
      </c>
      <c r="H67" s="13" t="n">
        <f aca="false">Path!H4</f>
        <v>4.414921875</v>
      </c>
      <c r="I67" s="13" t="n">
        <f aca="false">Path!I4</f>
        <v>5.51865234375</v>
      </c>
      <c r="J67" s="13" t="n">
        <f aca="false">Path!J4</f>
        <v>5.96566318359375</v>
      </c>
      <c r="K67" s="13" t="n">
        <f aca="false">Path!K4*1</f>
        <v>6.14463307910156</v>
      </c>
      <c r="L67" s="13" t="n">
        <f aca="false">Path!L4*1</f>
        <v>6.14463307910156</v>
      </c>
      <c r="M67" s="13" t="n">
        <f aca="false">Path!M4*1</f>
        <v>5.83740142514648</v>
      </c>
      <c r="N67" s="13" t="n">
        <f aca="false">Path!N4*1</f>
        <v>5.42878332538623</v>
      </c>
      <c r="O67" s="13" t="n">
        <f aca="false">Path!O4*1</f>
        <v>5.15734415911692</v>
      </c>
      <c r="P67" s="13" t="n">
        <f aca="false">Path!P4*1</f>
        <v>4.89947695116107</v>
      </c>
      <c r="Q67" s="13" t="n">
        <f aca="false">Path!Q4*1</f>
        <v>4.65450310360302</v>
      </c>
      <c r="R67" s="13" t="n">
        <f aca="false">Path!R4*1</f>
        <v>4.42177794842287</v>
      </c>
      <c r="S67" s="13" t="n">
        <f aca="false">Path!S4*1</f>
        <v>4.28912460997018</v>
      </c>
      <c r="T67" s="13" t="n">
        <f aca="false">Path!T4*1</f>
        <v>4.16045087167108</v>
      </c>
      <c r="U67" s="13" t="n">
        <f aca="false">Path!U4*1</f>
        <v>4.03563734552094</v>
      </c>
      <c r="V67" s="13" t="n">
        <f aca="false">Path!V4*1</f>
        <v>3.91456822515532</v>
      </c>
      <c r="W67" s="13" t="n">
        <f aca="false">Path!V4*(1+p10)^(1/4)*1</f>
        <v>3.79144302937821</v>
      </c>
      <c r="X67" s="13" t="n">
        <f aca="false">Path!V4*(1+p10)^(2/4)*1</f>
        <v>3.6721904992345</v>
      </c>
      <c r="Y67" s="13" t="n">
        <f aca="false">Path!V4*(1+p10)^(3/4)*1</f>
        <v>3.55668882749365</v>
      </c>
      <c r="Z67" s="13" t="n">
        <f aca="false">Path!V4*(1+p10)^(4/4)*1</f>
        <v>3.44482003813668</v>
      </c>
      <c r="AB67" s="8" t="s">
        <v>537</v>
      </c>
    </row>
    <row r="68" customFormat="false" ht="17.15" hidden="false" customHeight="false" outlineLevel="0" collapsed="false">
      <c r="A68" s="5" t="s">
        <v>538</v>
      </c>
      <c r="B68" s="0" t="s">
        <v>222</v>
      </c>
      <c r="C68" s="10" t="n">
        <f aca="false">D53/4*(D53/C53)^((1-2.5)/4)/(((D53/C53)^(-0.375)+(D53/C53)^(-0.125)+(D53/C53)^(0.125)+(D53/C53)^(0.375))/4)</f>
        <v>239.477872684002</v>
      </c>
      <c r="D68" s="10" t="n">
        <f aca="false">D53/4*(D53/C53)^((2-2.5)/4)/(((D53/C53)^(-0.375)+(D53/C53)^(-0.125)+(D53/C53)^(0.125)+(D53/C53)^(0.375))/4)</f>
        <v>246.359830864633</v>
      </c>
      <c r="E68" s="10" t="n">
        <f aca="false">D53/4*(D53/C53)^((3-2.5)/4)/(((D53/C53)^(-0.375)+(D53/C53)^(-0.125)+(D53/C53)^(0.125)+(D53/C53)^(0.375))/4)</f>
        <v>253.439558249863</v>
      </c>
      <c r="F68" s="10" t="n">
        <f aca="false">D53/4*(D53/C53)^((4-2.5)/4)/(((D53/C53)^(-0.375)+(D53/C53)^(-0.125)+(D53/C53)^(0.125)+(D53/C53)^(0.375))/4)</f>
        <v>260.722738201501</v>
      </c>
      <c r="G68" s="10" t="n">
        <f aca="false">E53/4*(E53/D53)^((1-2.5)/4)/(((E53/D53)^(-0.375)+(E53/D53)^(-0.125)+(E53/D53)^(0.125)+(E53/D53)^(0.375))/4)</f>
        <v>275.625863516588</v>
      </c>
      <c r="H68" s="10" t="n">
        <f aca="false">E53/4*(E53/D53)^((2-2.5)/4)/(((E53/D53)^(-0.375)+(E53/D53)^(-0.125)+(E53/D53)^(0.125)+(E53/D53)^(0.375))/4)</f>
        <v>286.708551014014</v>
      </c>
      <c r="I68" s="10" t="n">
        <f aca="false">E53/4*(E53/D53)^((3-2.5)/4)/(((E53/D53)^(-0.375)+(E53/D53)^(-0.125)+(E53/D53)^(0.125)+(E53/D53)^(0.375))/4)</f>
        <v>298.236864188938</v>
      </c>
      <c r="J68" s="10" t="n">
        <f aca="false">E53/4*(E53/D53)^((4-2.5)/4)/(((E53/D53)^(-0.375)+(E53/D53)^(-0.125)+(E53/D53)^(0.125)+(E53/D53)^(0.375))/4)</f>
        <v>310.22872128046</v>
      </c>
      <c r="K68" s="10" t="n">
        <f aca="false">F53/4*(F53/E53)^((1-2.5)/4)/(((F53/E53)^(-0.375)+(F53/E53)^(-0.125)+(F53/E53)^(0.125)+(F53/E53)^(0.375))/4)</f>
        <v>336.738547517363</v>
      </c>
      <c r="L68" s="10" t="n">
        <f aca="false">F53/4*(F53/E53)^((2-2.5)/4)/(((F53/E53)^(-0.375)+(F53/E53)^(-0.125)+(F53/E53)^(0.125)+(F53/E53)^(0.375))/4)</f>
        <v>356.44447496408</v>
      </c>
      <c r="M68" s="10" t="n">
        <f aca="false">F53/4*(F53/E53)^((3-2.5)/4)/(((F53/E53)^(-0.375)+(F53/E53)^(-0.125)+(F53/E53)^(0.125)+(F53/E53)^(0.375))/4)</f>
        <v>377.303592562023</v>
      </c>
      <c r="N68" s="10" t="n">
        <f aca="false">F53/4*(F53/E53)^((4-2.5)/4)/(((F53/E53)^(-0.375)+(F53/E53)^(-0.125)+(F53/E53)^(0.125)+(F53/E53)^(0.375))/4)</f>
        <v>399.383384956534</v>
      </c>
      <c r="O68" s="10" t="n">
        <f aca="false">G53/4*(G53/F53)^((1-2.5)/4)/(((G53/F53)^(-0.375)+(G53/F53)^(-0.125)+(G53/F53)^(0.125)+(G53/F53)^(0.375))/4)</f>
        <v>407.765208633736</v>
      </c>
      <c r="P68" s="10" t="n">
        <f aca="false">G53/4*(G53/F53)^((2-2.5)/4)/(((G53/F53)^(-0.375)+(G53/F53)^(-0.125)+(G53/F53)^(0.125)+(G53/F53)^(0.375))/4)</f>
        <v>425.283692222753</v>
      </c>
      <c r="Q68" s="10" t="n">
        <f aca="false">G53/4*(G53/F53)^((3-2.5)/4)/(((G53/F53)^(-0.375)+(G53/F53)^(-0.125)+(G53/F53)^(0.125)+(G53/F53)^(0.375))/4)</f>
        <v>443.554808112812</v>
      </c>
      <c r="R68" s="10" t="n">
        <f aca="false">G53/4*(G53/F53)^((4-2.5)/4)/(((G53/F53)^(-0.375)+(G53/F53)^(-0.125)+(G53/F53)^(0.125)+(G53/F53)^(0.375))/4)</f>
        <v>462.610891030699</v>
      </c>
      <c r="S68" s="10" t="n">
        <f aca="false">H53/4*(H53/G53)^((1-2.5)/4)/(((H53/G53)^(-0.375)+(H53/G53)^(-0.125)+(H53/G53)^(0.125)+(H53/G53)^(0.375))/4)</f>
        <v>484.612826853285</v>
      </c>
      <c r="T68" s="10" t="n">
        <f aca="false">H53/4*(H53/G53)^((2-2.5)/4)/(((H53/G53)^(-0.375)+(H53/G53)^(-0.125)+(H53/G53)^(0.125)+(H53/G53)^(0.375))/4)</f>
        <v>506.342557254756</v>
      </c>
      <c r="U68" s="10" t="n">
        <f aca="false">H53/4*(H53/G53)^((3-2.5)/4)/(((H53/G53)^(-0.375)+(H53/G53)^(-0.125)+(H53/G53)^(0.125)+(H53/G53)^(0.375))/4)</f>
        <v>529.046634923067</v>
      </c>
      <c r="V68" s="10" t="n">
        <f aca="false">H53/4*(H53/G53)^((4-2.5)/4)/(((H53/G53)^(-0.375)+(H53/G53)^(-0.125)+(H53/G53)^(0.125)+(H53/G53)^(0.375))/4)</f>
        <v>552.768748968892</v>
      </c>
      <c r="W68" s="10" t="n">
        <f aca="false">I53/4*(I53/H53)^((1-2.5)/4)/(((I53/H53)^(-0.375)+(I53/H53)^(-0.125)+(I53/H53)^(0.125)+(I53/H53)^(0.375))/4)</f>
        <v>561.311151789485</v>
      </c>
      <c r="X68" s="10" t="n">
        <f aca="false">I53/4*(I53/H53)^((2-2.5)/4)/(((I53/H53)^(-0.375)+(I53/H53)^(-0.125)+(I53/H53)^(0.125)+(I53/H53)^(0.375))/4)</f>
        <v>579.697461702162</v>
      </c>
      <c r="Y68" s="10" t="n">
        <f aca="false">I53/4*(I53/H53)^((3-2.5)/4)/(((I53/H53)^(-0.375)+(I53/H53)^(-0.125)+(I53/H53)^(0.125)+(I53/H53)^(0.375))/4)</f>
        <v>598.686033642108</v>
      </c>
      <c r="Z68" s="10" t="n">
        <f aca="false">I53/4*(I53/H53)^((4-2.5)/4)/(((I53/H53)^(-0.375)+(I53/H53)^(-0.125)+(I53/H53)^(0.125)+(I53/H53)^(0.375))/4)</f>
        <v>618.296595306245</v>
      </c>
      <c r="AB68" s="5" t="s">
        <v>539</v>
      </c>
    </row>
    <row r="69" customFormat="false" ht="17.15" hidden="false" customHeight="false" outlineLevel="0" collapsed="false">
      <c r="A69" s="0" t="s">
        <v>540</v>
      </c>
      <c r="B69" s="0" t="s">
        <v>285</v>
      </c>
      <c r="C69" s="10" t="n">
        <f aca="false">(rv_ss_0+rv_sk_0+rv_mu_0+rv_kx_0+rv_sd_0)/t5_0</f>
        <v>12.9354838709677</v>
      </c>
      <c r="D69" s="10" t="n">
        <f aca="false">(rv_ss_1+rv_sk_1+rv_mu_1+rv_kx_1+rv_sd_1)/t5_1</f>
        <v>15.8054711246201</v>
      </c>
      <c r="E69" s="10" t="n">
        <f aca="false">(rv_ss_2+rv_sk_2+rv_mu_2+rv_kx_2+rv_sd_2)/t5_2</f>
        <v>18.7912087912088</v>
      </c>
      <c r="F69" s="10" t="n">
        <f aca="false">(rv_ss_3+rv_sk_3+rv_mu_3+rv_kx_3+rv_sd_3)/t5_3</f>
        <v>23.5714285714286</v>
      </c>
      <c r="G69" s="10" t="n">
        <f aca="false">(rv_ss_4+rv_sk_4+rv_mu_4+rv_kx_4+rv_sd_4)/t5_4</f>
        <v>43.954802259887</v>
      </c>
      <c r="H69" s="10" t="n">
        <f aca="false">(rv_ss_5+rv_sk_5+rv_mu_5+rv_kx_5+rv_sd_5)/t5_5</f>
        <v>78.703071672355</v>
      </c>
      <c r="I69" s="10" t="n">
        <f aca="false">$H69*I67/$H67*I68/$H68</f>
        <v>102.334571181194</v>
      </c>
      <c r="J69" s="10" t="n">
        <f aca="false">$H69*J67/$H67*J68/$H68</f>
        <v>115.071757576457</v>
      </c>
      <c r="K69" s="10" t="n">
        <f aca="false">$H69*K67/$H67*K68/$H68</f>
        <v>128.652077206229</v>
      </c>
      <c r="L69" s="10" t="n">
        <f aca="false">$H69*L67/$H67*L68/$H68</f>
        <v>136.180792044451</v>
      </c>
      <c r="M69" s="10" t="n">
        <f aca="false">$H69*M67/$H67*M68/$H68</f>
        <v>136.942582648858</v>
      </c>
      <c r="N69" s="10" t="n">
        <f aca="false">$H69*N67/$H67*N68/$H68</f>
        <v>134.809505532127</v>
      </c>
      <c r="O69" s="10" t="n">
        <f aca="false">$H69*O67/$H67*O68/$H68</f>
        <v>130.756803634549</v>
      </c>
      <c r="P69" s="10" t="n">
        <f aca="false">$H69*P67/$H67*P68/$H68</f>
        <v>129.555681315496</v>
      </c>
      <c r="Q69" s="10" t="n">
        <f aca="false">$H69*Q67/$H67*Q68/$H68</f>
        <v>128.365592417154</v>
      </c>
      <c r="R69" s="10" t="n">
        <f aca="false">$H69*R67/$H67*R68/$H68</f>
        <v>127.186435587338</v>
      </c>
      <c r="S69" s="10" t="n">
        <f aca="false">$H69*S67/$H67*S68/$H68</f>
        <v>129.238402951443</v>
      </c>
      <c r="T69" s="10" t="n">
        <f aca="false">$H69*T67/$H67*T68/$H68</f>
        <v>130.982369481922</v>
      </c>
      <c r="U69" s="10" t="n">
        <f aca="false">$H69*U67/$H67*U68/$H68</f>
        <v>132.749869414161</v>
      </c>
      <c r="V69" s="10" t="n">
        <f aca="false">$H69*V67/$H67*V68/$H68</f>
        <v>134.541220312165</v>
      </c>
      <c r="W69" s="10" t="n">
        <f aca="false">$H69*W67/$H67*W68/$H68</f>
        <v>132.323268291218</v>
      </c>
      <c r="X69" s="10" t="n">
        <f aca="false">$H69*X67/$H67*X68/$H68</f>
        <v>132.359346818199</v>
      </c>
      <c r="Y69" s="10" t="n">
        <f aca="false">$H69*Y67/$H67*Y68/$H68</f>
        <v>132.395435182151</v>
      </c>
      <c r="Z69" s="10" t="n">
        <f aca="false">$H69*Z67/$H67*Z68/$H68</f>
        <v>132.431533385755</v>
      </c>
      <c r="AB69" s="5" t="s">
        <v>541</v>
      </c>
    </row>
    <row r="70" customFormat="false" ht="17.15" hidden="false" customHeight="false" outlineLevel="0" collapsed="false">
      <c r="A70" s="5" t="s">
        <v>454</v>
      </c>
      <c r="B70" s="0" t="s">
        <v>25</v>
      </c>
      <c r="C70" s="12" t="n">
        <f aca="false">rv_ss_0/C69</f>
        <v>0.324688279301746</v>
      </c>
      <c r="D70" s="12" t="n">
        <f aca="false">rv_ss_1/D69</f>
        <v>0.329</v>
      </c>
      <c r="E70" s="12" t="n">
        <f aca="false">rv_ss_2/E69</f>
        <v>0.319298245614035</v>
      </c>
      <c r="F70" s="12" t="n">
        <f aca="false">rv_ss_3/F69</f>
        <v>0.28</v>
      </c>
      <c r="G70" s="12" t="n">
        <f aca="false">rv_ss_4/G69</f>
        <v>0.30736118251928</v>
      </c>
      <c r="H70" s="12" t="n">
        <f aca="false">rv_ss_5/H69</f>
        <v>0.293</v>
      </c>
      <c r="I70" s="12" t="n">
        <f aca="false">(rv_ss_4+rv_ss_5)/($G69+$H69)</f>
        <v>0.298146371102126</v>
      </c>
      <c r="J70" s="12" t="n">
        <f aca="false">(rv_ss_4+rv_ss_5)/($G69+$H69)</f>
        <v>0.298146371102126</v>
      </c>
      <c r="K70" s="12" t="n">
        <f aca="false">(rv_ss_4+rv_ss_5)/($G69+$H69)+dr_ss/100*1</f>
        <v>0.293146371102126</v>
      </c>
      <c r="L70" s="12" t="n">
        <f aca="false">(rv_ss_4+rv_ss_5)/($G69+$H69)+dr_ss/100*1</f>
        <v>0.293146371102126</v>
      </c>
      <c r="M70" s="12" t="n">
        <f aca="false">(rv_ss_4+rv_ss_5)/($G69+$H69)+dr_ss/100*1</f>
        <v>0.293146371102126</v>
      </c>
      <c r="N70" s="12" t="n">
        <f aca="false">(rv_ss_4+rv_ss_5)/($G69+$H69)+dr_ss/100*1</f>
        <v>0.293146371102126</v>
      </c>
      <c r="O70" s="12" t="n">
        <f aca="false">(rv_ss_4+rv_ss_5)/($G69+$H69)+dr_ss/100*2</f>
        <v>0.288146371102126</v>
      </c>
      <c r="P70" s="12" t="n">
        <f aca="false">(rv_ss_4+rv_ss_5)/($G69+$H69)+dr_ss/100*2</f>
        <v>0.288146371102126</v>
      </c>
      <c r="Q70" s="12" t="n">
        <f aca="false">(rv_ss_4+rv_ss_5)/($G69+$H69)+dr_ss/100*2</f>
        <v>0.288146371102126</v>
      </c>
      <c r="R70" s="12" t="n">
        <f aca="false">(rv_ss_4+rv_ss_5)/($G69+$H69)+dr_ss/100*2</f>
        <v>0.288146371102126</v>
      </c>
      <c r="S70" s="12" t="n">
        <f aca="false">(rv_ss_4+rv_ss_5)/($G69+$H69)+dr_ss/100*3</f>
        <v>0.283146371102126</v>
      </c>
      <c r="T70" s="12" t="n">
        <f aca="false">(rv_ss_4+rv_ss_5)/($G69+$H69)+dr_ss/100*3</f>
        <v>0.283146371102126</v>
      </c>
      <c r="U70" s="12" t="n">
        <f aca="false">(rv_ss_4+rv_ss_5)/($G69+$H69)+dr_ss/100*3</f>
        <v>0.283146371102126</v>
      </c>
      <c r="V70" s="12" t="n">
        <f aca="false">(rv_ss_4+rv_ss_5)/($G69+$H69)+dr_ss/100*3</f>
        <v>0.283146371102126</v>
      </c>
      <c r="W70" s="12" t="n">
        <f aca="false">(rv_ss_4+rv_ss_5)/($G69+$H69)+dr_ss/100*4</f>
        <v>0.278146371102126</v>
      </c>
      <c r="X70" s="12" t="n">
        <f aca="false">(rv_ss_4+rv_ss_5)/($G69+$H69)+dr_ss/100*4</f>
        <v>0.278146371102126</v>
      </c>
      <c r="Y70" s="12" t="n">
        <f aca="false">(rv_ss_4+rv_ss_5)/($G69+$H69)+dr_ss/100*4</f>
        <v>0.278146371102126</v>
      </c>
      <c r="Z70" s="12" t="n">
        <f aca="false">(rv_ss_4+rv_ss_5)/($G69+$H69)+dr_ss/100*4</f>
        <v>0.278146371102126</v>
      </c>
      <c r="AB70" s="8" t="s">
        <v>542</v>
      </c>
    </row>
    <row r="71" customFormat="false" ht="17.15" hidden="false" customHeight="false" outlineLevel="0" collapsed="false">
      <c r="A71" s="5" t="s">
        <v>455</v>
      </c>
      <c r="B71" s="0" t="s">
        <v>25</v>
      </c>
      <c r="C71" s="12" t="n">
        <f aca="false">rv_sk_0/C69</f>
        <v>0.16930174563591</v>
      </c>
      <c r="D71" s="12" t="n">
        <f aca="false">rv_sk_1/D69</f>
        <v>0.211319230769231</v>
      </c>
      <c r="E71" s="12" t="n">
        <f aca="false">rv_sk_2/E69</f>
        <v>0.187853801169591</v>
      </c>
      <c r="F71" s="12" t="n">
        <f aca="false">rv_sk_3/F69</f>
        <v>0.221030303030303</v>
      </c>
      <c r="G71" s="12" t="n">
        <f aca="false">rv_sk_4/G69</f>
        <v>0.17131233933162</v>
      </c>
      <c r="H71" s="12" t="n">
        <f aca="false">rv_sk_5/H69</f>
        <v>0.181314397224631</v>
      </c>
      <c r="I71" s="12" t="n">
        <f aca="false">(rv_sk_4+rv_sk_5)/($G69+$H69)</f>
        <v>0.177730130982399</v>
      </c>
      <c r="J71" s="12" t="n">
        <f aca="false">(rv_sk_4+rv_sk_5)/($G69+$H69)</f>
        <v>0.177730130982399</v>
      </c>
      <c r="K71" s="12" t="n">
        <f aca="false">(rv_sk_4+rv_sk_5)/($G69+$H69)+dr_sk/100*1</f>
        <v>0.177730130982399</v>
      </c>
      <c r="L71" s="12" t="n">
        <f aca="false">(rv_sk_4+rv_sk_5)/($G69+$H69)+dr_sk/100*1</f>
        <v>0.177730130982399</v>
      </c>
      <c r="M71" s="12" t="n">
        <f aca="false">(rv_sk_4+rv_sk_5)/($G69+$H69)+dr_sk/100*1</f>
        <v>0.177730130982399</v>
      </c>
      <c r="N71" s="12" t="n">
        <f aca="false">(rv_sk_4+rv_sk_5)/($G69+$H69)+dr_sk/100*1</f>
        <v>0.177730130982399</v>
      </c>
      <c r="O71" s="12" t="n">
        <f aca="false">(rv_sk_4+rv_sk_5)/($G69+$H69)+dr_sk/100*2</f>
        <v>0.177730130982399</v>
      </c>
      <c r="P71" s="12" t="n">
        <f aca="false">(rv_sk_4+rv_sk_5)/($G69+$H69)+dr_sk/100*2</f>
        <v>0.177730130982399</v>
      </c>
      <c r="Q71" s="12" t="n">
        <f aca="false">(rv_sk_4+rv_sk_5)/($G69+$H69)+dr_sk/100*2</f>
        <v>0.177730130982399</v>
      </c>
      <c r="R71" s="12" t="n">
        <f aca="false">(rv_sk_4+rv_sk_5)/($G69+$H69)+dr_sk/100*2</f>
        <v>0.177730130982399</v>
      </c>
      <c r="S71" s="12" t="n">
        <f aca="false">(rv_sk_4+rv_sk_5)/($G69+$H69)+dr_sk/100*3</f>
        <v>0.177730130982399</v>
      </c>
      <c r="T71" s="12" t="n">
        <f aca="false">(rv_sk_4+rv_sk_5)/($G69+$H69)+dr_sk/100*3</f>
        <v>0.177730130982399</v>
      </c>
      <c r="U71" s="12" t="n">
        <f aca="false">(rv_sk_4+rv_sk_5)/($G69+$H69)+dr_sk/100*3</f>
        <v>0.177730130982399</v>
      </c>
      <c r="V71" s="12" t="n">
        <f aca="false">(rv_sk_4+rv_sk_5)/($G69+$H69)+dr_sk/100*3</f>
        <v>0.177730130982399</v>
      </c>
      <c r="W71" s="12" t="n">
        <f aca="false">(rv_sk_4+rv_sk_5)/($G69+$H69)+dr_sk/100*4</f>
        <v>0.177730130982399</v>
      </c>
      <c r="X71" s="12" t="n">
        <f aca="false">(rv_sk_4+rv_sk_5)/($G69+$H69)+dr_sk/100*4</f>
        <v>0.177730130982399</v>
      </c>
      <c r="Y71" s="12" t="n">
        <f aca="false">(rv_sk_4+rv_sk_5)/($G69+$H69)+dr_sk/100*4</f>
        <v>0.177730130982399</v>
      </c>
      <c r="Z71" s="12" t="n">
        <f aca="false">(rv_sk_4+rv_sk_5)/($G69+$H69)+dr_sk/100*4</f>
        <v>0.177730130982399</v>
      </c>
      <c r="AB71" s="8" t="s">
        <v>542</v>
      </c>
    </row>
    <row r="72" customFormat="false" ht="17.15" hidden="false" customHeight="false" outlineLevel="0" collapsed="false">
      <c r="A72" s="5" t="s">
        <v>456</v>
      </c>
      <c r="B72" s="0" t="s">
        <v>25</v>
      </c>
      <c r="C72" s="12" t="n">
        <f aca="false">rv_mu_0/C69</f>
        <v>0.156932668329177</v>
      </c>
      <c r="D72" s="12" t="n">
        <f aca="false">rv_mu_1/D69</f>
        <v>0.132865384615385</v>
      </c>
      <c r="E72" s="12" t="n">
        <f aca="false">rv_mu_2/E69</f>
        <v>0.128783625730994</v>
      </c>
      <c r="F72" s="12" t="n">
        <f aca="false">rv_mu_3/F69</f>
        <v>0.128545454545455</v>
      </c>
      <c r="G72" s="12" t="n">
        <f aca="false">rv_mu_4/G69</f>
        <v>0.135366323907455</v>
      </c>
      <c r="H72" s="12" t="n">
        <f aca="false">rv_mu_5/H69</f>
        <v>0.150565915004337</v>
      </c>
      <c r="I72" s="12" t="n">
        <f aca="false">(rv_mu_4+rv_mu_5)/($G69+$H69)</f>
        <v>0.14511909777462</v>
      </c>
      <c r="J72" s="12" t="n">
        <f aca="false">(rv_mu_4+rv_mu_5)/($G69+$H69)</f>
        <v>0.14511909777462</v>
      </c>
      <c r="K72" s="12" t="n">
        <f aca="false">(rv_mu_4+rv_mu_5)/($G69+$H69)+dr_mu/100*1</f>
        <v>0.14711909777462</v>
      </c>
      <c r="L72" s="12" t="n">
        <f aca="false">(rv_mu_4+rv_mu_5)/($G69+$H69)+dr_mu/100*1</f>
        <v>0.14711909777462</v>
      </c>
      <c r="M72" s="12" t="n">
        <f aca="false">(rv_mu_4+rv_mu_5)/($G69+$H69)+dr_mu/100*1</f>
        <v>0.14711909777462</v>
      </c>
      <c r="N72" s="12" t="n">
        <f aca="false">(rv_mu_4+rv_mu_5)/($G69+$H69)+dr_mu/100*1</f>
        <v>0.14711909777462</v>
      </c>
      <c r="O72" s="12" t="n">
        <f aca="false">(rv_mu_4+rv_mu_5)/($G69+$H69)+dr_mu/100*2</f>
        <v>0.14911909777462</v>
      </c>
      <c r="P72" s="12" t="n">
        <f aca="false">(rv_mu_4+rv_mu_5)/($G69+$H69)+dr_mu/100*2</f>
        <v>0.14911909777462</v>
      </c>
      <c r="Q72" s="12" t="n">
        <f aca="false">(rv_mu_4+rv_mu_5)/($G69+$H69)+dr_mu/100*2</f>
        <v>0.14911909777462</v>
      </c>
      <c r="R72" s="12" t="n">
        <f aca="false">(rv_mu_4+rv_mu_5)/($G69+$H69)+dr_mu/100*2</f>
        <v>0.14911909777462</v>
      </c>
      <c r="S72" s="12" t="n">
        <f aca="false">(rv_mu_4+rv_mu_5)/($G69+$H69)+dr_mu/100*3</f>
        <v>0.15111909777462</v>
      </c>
      <c r="T72" s="12" t="n">
        <f aca="false">(rv_mu_4+rv_mu_5)/($G69+$H69)+dr_mu/100*3</f>
        <v>0.15111909777462</v>
      </c>
      <c r="U72" s="12" t="n">
        <f aca="false">(rv_mu_4+rv_mu_5)/($G69+$H69)+dr_mu/100*3</f>
        <v>0.15111909777462</v>
      </c>
      <c r="V72" s="12" t="n">
        <f aca="false">(rv_mu_4+rv_mu_5)/($G69+$H69)+dr_mu/100*3</f>
        <v>0.15111909777462</v>
      </c>
      <c r="W72" s="12" t="n">
        <f aca="false">(rv_mu_4+rv_mu_5)/($G69+$H69)+dr_mu/100*4</f>
        <v>0.15311909777462</v>
      </c>
      <c r="X72" s="12" t="n">
        <f aca="false">(rv_mu_4+rv_mu_5)/($G69+$H69)+dr_mu/100*4</f>
        <v>0.15311909777462</v>
      </c>
      <c r="Y72" s="12" t="n">
        <f aca="false">(rv_mu_4+rv_mu_5)/($G69+$H69)+dr_mu/100*4</f>
        <v>0.15311909777462</v>
      </c>
      <c r="Z72" s="12" t="n">
        <f aca="false">(rv_mu_4+rv_mu_5)/($G69+$H69)+dr_mu/100*4</f>
        <v>0.15311909777462</v>
      </c>
      <c r="AB72" s="8" t="s">
        <v>542</v>
      </c>
    </row>
    <row r="73" customFormat="false" ht="17.15" hidden="false" customHeight="false" outlineLevel="0" collapsed="false">
      <c r="A73" s="5" t="s">
        <v>457</v>
      </c>
      <c r="B73" s="0" t="s">
        <v>25</v>
      </c>
      <c r="C73" s="12" t="n">
        <f aca="false">rv_kx_0/C69</f>
        <v>0.148428927680798</v>
      </c>
      <c r="D73" s="12" t="n">
        <f aca="false">rv_kx_1/D69</f>
        <v>0.135396153846154</v>
      </c>
      <c r="E73" s="12" t="n">
        <f aca="false">rv_kx_2/E69</f>
        <v>0.151134502923977</v>
      </c>
      <c r="F73" s="12" t="n">
        <f aca="false">rv_kx_3/F69</f>
        <v>0.140424242424242</v>
      </c>
      <c r="G73" s="12" t="n">
        <f aca="false">rv_kx_4/G69</f>
        <v>0.13559383033419</v>
      </c>
      <c r="H73" s="12" t="n">
        <f aca="false">rv_kx_5/H69</f>
        <v>0.136208152645273</v>
      </c>
      <c r="I73" s="12" t="n">
        <f aca="false">kx_g/kx_fxg/kx_k/$I69</f>
        <v>0.146102306408824</v>
      </c>
      <c r="J73" s="12" t="n">
        <f aca="false">(kx_g/kx_fxg/kx_k/$I69+kx_g4/kx_fxg4/kx_k/$J69)/2</f>
        <v>0.140208766789298</v>
      </c>
      <c r="K73" s="12" t="n">
        <f aca="false">(kx_g/kx_fxg/kx_k/$I69+kx_g4/kx_fxg4/kx_k/$J69)/2+dr_jv_A/100*1*(kx_g/kx_fxg/kx_k)/(kx_g/kx_fxg/kx_k+sd_g/sd_k)</f>
        <v>0.140208766789298</v>
      </c>
      <c r="L73" s="12" t="n">
        <f aca="false">(kx_g/kx_fxg/kx_k/$I69+kx_g4/kx_fxg4/kx_k/$J69)/2+dr_jv_A/100*1*(kx_g/kx_fxg/kx_k)/(kx_g/kx_fxg/kx_k+sd_g/sd_k)</f>
        <v>0.140208766789298</v>
      </c>
      <c r="M73" s="12" t="n">
        <f aca="false">(kx_g/kx_fxg/kx_k/$I69+kx_g4/kx_fxg4/kx_k/$J69)/2+dr_jv_A/100*1*(kx_g/kx_fxg/kx_k)/(kx_g/kx_fxg/kx_k+sd_g/sd_k)</f>
        <v>0.140208766789298</v>
      </c>
      <c r="N73" s="12" t="n">
        <f aca="false">(kx_g/kx_fxg/kx_k/$I69+kx_g4/kx_fxg4/kx_k/$J69)/2+dr_jv_A/100*1*(kx_g/kx_fxg/kx_k)/(kx_g/kx_fxg/kx_k+sd_g/sd_k)</f>
        <v>0.140208766789298</v>
      </c>
      <c r="O73" s="12" t="n">
        <f aca="false">(kx_g/kx_fxg/kx_k/$I69+kx_g4/kx_fxg4/kx_k/$J69)/2+dr_jv_A/100*2*(kx_g/kx_fxg/kx_k)/(kx_g/kx_fxg/kx_k+sd_g/sd_k)</f>
        <v>0.140208766789298</v>
      </c>
      <c r="P73" s="12" t="n">
        <f aca="false">(kx_g/kx_fxg/kx_k/$I69+kx_g4/kx_fxg4/kx_k/$J69)/2+dr_jv_A/100*2*(kx_g/kx_fxg/kx_k)/(kx_g/kx_fxg/kx_k+sd_g/sd_k)</f>
        <v>0.140208766789298</v>
      </c>
      <c r="Q73" s="12" t="n">
        <f aca="false">(kx_g/kx_fxg/kx_k/$I69+kx_g4/kx_fxg4/kx_k/$J69)/2+dr_jv_A/100*2*(kx_g/kx_fxg/kx_k)/(kx_g/kx_fxg/kx_k+sd_g/sd_k)</f>
        <v>0.140208766789298</v>
      </c>
      <c r="R73" s="12" t="n">
        <f aca="false">(kx_g/kx_fxg/kx_k/$I69+kx_g4/kx_fxg4/kx_k/$J69)/2+dr_jv_A/100*2*(kx_g/kx_fxg/kx_k)/(kx_g/kx_fxg/kx_k+sd_g/sd_k)</f>
        <v>0.140208766789298</v>
      </c>
      <c r="S73" s="12" t="n">
        <f aca="false">(kx_g/kx_fxg/kx_k/$I69+kx_g4/kx_fxg4/kx_k/$J69)/2+dr_jv_A/100*3*(kx_g/kx_fxg/kx_k)/(kx_g/kx_fxg/kx_k+sd_g/sd_k)</f>
        <v>0.140208766789298</v>
      </c>
      <c r="T73" s="12" t="n">
        <f aca="false">(kx_g/kx_fxg/kx_k/$I69+kx_g4/kx_fxg4/kx_k/$J69)/2+dr_jv_A/100*3*(kx_g/kx_fxg/kx_k)/(kx_g/kx_fxg/kx_k+sd_g/sd_k)</f>
        <v>0.140208766789298</v>
      </c>
      <c r="U73" s="12" t="n">
        <f aca="false">(kx_g/kx_fxg/kx_k/$I69+kx_g4/kx_fxg4/kx_k/$J69)/2+dr_jv_A/100*3*(kx_g/kx_fxg/kx_k)/(kx_g/kx_fxg/kx_k+sd_g/sd_k)</f>
        <v>0.140208766789298</v>
      </c>
      <c r="V73" s="12" t="n">
        <f aca="false">(kx_g/kx_fxg/kx_k/$I69+kx_g4/kx_fxg4/kx_k/$J69)/2+dr_jv_A/100*3*(kx_g/kx_fxg/kx_k)/(kx_g/kx_fxg/kx_k+sd_g/sd_k)</f>
        <v>0.140208766789298</v>
      </c>
      <c r="W73" s="12" t="n">
        <f aca="false">(kx_g/kx_fxg/kx_k/$I69+kx_g4/kx_fxg4/kx_k/$J69)/2+dr_jv_A/100*4*(kx_g/kx_fxg/kx_k)/(kx_g/kx_fxg/kx_k+sd_g/sd_k)</f>
        <v>0.140208766789298</v>
      </c>
      <c r="X73" s="12" t="n">
        <f aca="false">(kx_g/kx_fxg/kx_k/$I69+kx_g4/kx_fxg4/kx_k/$J69)/2+dr_jv_A/100*4*(kx_g/kx_fxg/kx_k)/(kx_g/kx_fxg/kx_k+sd_g/sd_k)</f>
        <v>0.140208766789298</v>
      </c>
      <c r="Y73" s="12" t="n">
        <f aca="false">(kx_g/kx_fxg/kx_k/$I69+kx_g4/kx_fxg4/kx_k/$J69)/2+dr_jv_A/100*4*(kx_g/kx_fxg/kx_k)/(kx_g/kx_fxg/kx_k+sd_g/sd_k)</f>
        <v>0.140208766789298</v>
      </c>
      <c r="Z73" s="12" t="n">
        <f aca="false">(kx_g/kx_fxg/kx_k/$I69+kx_g4/kx_fxg4/kx_k/$J69)/2+dr_jv_A/100*4*(kx_g/kx_fxg/kx_k)/(kx_g/kx_fxg/kx_k+sd_g/sd_k)</f>
        <v>0.140208766789298</v>
      </c>
      <c r="AB73" s="8" t="s">
        <v>543</v>
      </c>
    </row>
    <row r="74" customFormat="false" ht="17.15" hidden="false" customHeight="false" outlineLevel="0" collapsed="false">
      <c r="A74" s="5" t="s">
        <v>458</v>
      </c>
      <c r="B74" s="0" t="s">
        <v>25</v>
      </c>
      <c r="C74" s="12" t="n">
        <f aca="false">rv_sd_0/C69</f>
        <v>0.130648379052369</v>
      </c>
      <c r="D74" s="12" t="n">
        <f aca="false">rv_sd_1/D69</f>
        <v>0.120211538461538</v>
      </c>
      <c r="E74" s="12" t="n">
        <f aca="false">rv_sd_2/E69</f>
        <v>0.122929824561404</v>
      </c>
      <c r="F74" s="12" t="n">
        <f aca="false">rv_sd_3/F69</f>
        <v>0.128545454545455</v>
      </c>
      <c r="G74" s="12" t="n">
        <f aca="false">rv_sd_4/G69</f>
        <v>0.135366323907455</v>
      </c>
      <c r="H74" s="12" t="n">
        <f aca="false">rv_sd_5/H69</f>
        <v>0.113972679965308</v>
      </c>
      <c r="I74" s="12" t="n">
        <f aca="false">sd_g/sd_k/$I69</f>
        <v>0.10785360344396</v>
      </c>
      <c r="J74" s="12" t="n">
        <f aca="false">(sd_g/sd_k/$I69+sd_g4/sd_k/$J69)/2</f>
        <v>0.107836275449099</v>
      </c>
      <c r="K74" s="12" t="n">
        <f aca="false">(sd_g/sd_k/$I69+sd_g4/sd_k/$J69)/2+dr_jv_A/100*1*(sd_g/sd_k)/(kx_g/kx_fxg/kx_k+sd_g/sd_k)</f>
        <v>0.107836275449099</v>
      </c>
      <c r="L74" s="12" t="n">
        <f aca="false">(sd_g/sd_k/$I69+sd_g4/sd_k/$J69)/2+dr_jv_A/100*1*(sd_g/sd_k)/(kx_g/kx_fxg/kx_k+sd_g/sd_k)</f>
        <v>0.107836275449099</v>
      </c>
      <c r="M74" s="12" t="n">
        <f aca="false">(sd_g/sd_k/$I69+sd_g4/sd_k/$J69)/2+dr_jv_A/100*1*(sd_g/sd_k)/(kx_g/kx_fxg/kx_k+sd_g/sd_k)</f>
        <v>0.107836275449099</v>
      </c>
      <c r="N74" s="12" t="n">
        <f aca="false">(sd_g/sd_k/$I69+sd_g4/sd_k/$J69)/2+dr_jv_A/100*1*(sd_g/sd_k)/(kx_g/kx_fxg/kx_k+sd_g/sd_k)</f>
        <v>0.107836275449099</v>
      </c>
      <c r="O74" s="12" t="n">
        <f aca="false">(sd_g/sd_k/$I69+sd_g4/sd_k/$J69)/2+dr_jv_A/100*2*(sd_g/sd_k)/(kx_g/kx_fxg/kx_k+sd_g/sd_k)</f>
        <v>0.107836275449099</v>
      </c>
      <c r="P74" s="12" t="n">
        <f aca="false">(sd_g/sd_k/$I69+sd_g4/sd_k/$J69)/2+dr_jv_A/100*2*(sd_g/sd_k)/(kx_g/kx_fxg/kx_k+sd_g/sd_k)</f>
        <v>0.107836275449099</v>
      </c>
      <c r="Q74" s="12" t="n">
        <f aca="false">(sd_g/sd_k/$I69+sd_g4/sd_k/$J69)/2+dr_jv_A/100*2*(sd_g/sd_k)/(kx_g/kx_fxg/kx_k+sd_g/sd_k)</f>
        <v>0.107836275449099</v>
      </c>
      <c r="R74" s="12" t="n">
        <f aca="false">(sd_g/sd_k/$I69+sd_g4/sd_k/$J69)/2+dr_jv_A/100*2*(sd_g/sd_k)/(kx_g/kx_fxg/kx_k+sd_g/sd_k)</f>
        <v>0.107836275449099</v>
      </c>
      <c r="S74" s="12" t="n">
        <f aca="false">(sd_g/sd_k/$I69+sd_g4/sd_k/$J69)/2+dr_jv_A/100*3*(sd_g/sd_k)/(kx_g/kx_fxg/kx_k+sd_g/sd_k)</f>
        <v>0.107836275449099</v>
      </c>
      <c r="T74" s="12" t="n">
        <f aca="false">(sd_g/sd_k/$I69+sd_g4/sd_k/$J69)/2+dr_jv_A/100*3*(sd_g/sd_k)/(kx_g/kx_fxg/kx_k+sd_g/sd_k)</f>
        <v>0.107836275449099</v>
      </c>
      <c r="U74" s="12" t="n">
        <f aca="false">(sd_g/sd_k/$I69+sd_g4/sd_k/$J69)/2+dr_jv_A/100*3*(sd_g/sd_k)/(kx_g/kx_fxg/kx_k+sd_g/sd_k)</f>
        <v>0.107836275449099</v>
      </c>
      <c r="V74" s="12" t="n">
        <f aca="false">(sd_g/sd_k/$I69+sd_g4/sd_k/$J69)/2+dr_jv_A/100*3*(sd_g/sd_k)/(kx_g/kx_fxg/kx_k+sd_g/sd_k)</f>
        <v>0.107836275449099</v>
      </c>
      <c r="W74" s="12" t="n">
        <f aca="false">(sd_g/sd_k/$I69+sd_g4/sd_k/$J69)/2+dr_jv_A/100*4*(sd_g/sd_k)/(kx_g/kx_fxg/kx_k+sd_g/sd_k)</f>
        <v>0.107836275449099</v>
      </c>
      <c r="X74" s="12" t="n">
        <f aca="false">(sd_g/sd_k/$I69+sd_g4/sd_k/$J69)/2+dr_jv_A/100*4*(sd_g/sd_k)/(kx_g/kx_fxg/kx_k+sd_g/sd_k)</f>
        <v>0.107836275449099</v>
      </c>
      <c r="Y74" s="12" t="n">
        <f aca="false">(sd_g/sd_k/$I69+sd_g4/sd_k/$J69)/2+dr_jv_A/100*4*(sd_g/sd_k)/(kx_g/kx_fxg/kx_k+sd_g/sd_k)</f>
        <v>0.107836275449099</v>
      </c>
      <c r="Z74" s="12" t="n">
        <f aca="false">(sd_g/sd_k/$I69+sd_g4/sd_k/$J69)/2+dr_jv_A/100*4*(sd_g/sd_k)/(kx_g/kx_fxg/kx_k+sd_g/sd_k)</f>
        <v>0.107836275449099</v>
      </c>
      <c r="AB74" s="8" t="s">
        <v>544</v>
      </c>
    </row>
    <row r="75" customFormat="false" ht="15" hidden="false" customHeight="false" outlineLevel="0" collapsed="false">
      <c r="A75" s="5" t="s">
        <v>459</v>
      </c>
      <c r="B75" s="0" t="s">
        <v>25</v>
      </c>
      <c r="C75" s="12" t="n">
        <f aca="false">1-t5_0</f>
        <v>0.07</v>
      </c>
      <c r="D75" s="12" t="n">
        <f aca="false">1-t5_1</f>
        <v>0.0712076923076923</v>
      </c>
      <c r="E75" s="12" t="n">
        <f aca="false">1-t5_2</f>
        <v>0.09</v>
      </c>
      <c r="F75" s="12" t="n">
        <f aca="false">1-t5_3</f>
        <v>0.101454545454545</v>
      </c>
      <c r="G75" s="12" t="n">
        <f aca="false">1-t5_4</f>
        <v>0.115</v>
      </c>
      <c r="H75" s="12" t="n">
        <f aca="false">1-t5_5</f>
        <v>0.124938855160451</v>
      </c>
      <c r="I75" s="12" t="n">
        <f aca="false">1-I70-I71-I72-I73-I74</f>
        <v>0.125048490288071</v>
      </c>
      <c r="J75" s="12" t="n">
        <f aca="false">1-J70-J71-J72-J73-J74</f>
        <v>0.130959357902457</v>
      </c>
      <c r="K75" s="12" t="n">
        <f aca="false">1-K70-K71-K72-K73-K74</f>
        <v>0.133959357902457</v>
      </c>
      <c r="L75" s="12" t="n">
        <f aca="false">1-L70-L71-L72-L73-L74</f>
        <v>0.133959357902457</v>
      </c>
      <c r="M75" s="12" t="n">
        <f aca="false">1-M70-M71-M72-M73-M74</f>
        <v>0.133959357902457</v>
      </c>
      <c r="N75" s="12" t="n">
        <f aca="false">1-N70-N71-N72-N73-N74</f>
        <v>0.133959357902457</v>
      </c>
      <c r="O75" s="12" t="n">
        <f aca="false">1-O70-O71-O72-O73-O74</f>
        <v>0.136959357902457</v>
      </c>
      <c r="P75" s="12" t="n">
        <f aca="false">1-P70-P71-P72-P73-P74</f>
        <v>0.136959357902457</v>
      </c>
      <c r="Q75" s="12" t="n">
        <f aca="false">1-Q70-Q71-Q72-Q73-Q74</f>
        <v>0.136959357902457</v>
      </c>
      <c r="R75" s="12" t="n">
        <f aca="false">1-R70-R71-R72-R73-R74</f>
        <v>0.136959357902457</v>
      </c>
      <c r="S75" s="12" t="n">
        <f aca="false">1-S70-S71-S72-S73-S74</f>
        <v>0.139959357902457</v>
      </c>
      <c r="T75" s="12" t="n">
        <f aca="false">1-T70-T71-T72-T73-T74</f>
        <v>0.139959357902457</v>
      </c>
      <c r="U75" s="12" t="n">
        <f aca="false">1-U70-U71-U72-U73-U74</f>
        <v>0.139959357902457</v>
      </c>
      <c r="V75" s="12" t="n">
        <f aca="false">1-V70-V71-V72-V73-V74</f>
        <v>0.139959357902457</v>
      </c>
      <c r="W75" s="12" t="n">
        <f aca="false">1-W70-W71-W72-W73-W74</f>
        <v>0.142959357902457</v>
      </c>
      <c r="X75" s="12" t="n">
        <f aca="false">1-X70-X71-X72-X73-X74</f>
        <v>0.142959357902457</v>
      </c>
      <c r="Y75" s="12" t="n">
        <f aca="false">1-Y70-Y71-Y72-Y73-Y74</f>
        <v>0.142959357902457</v>
      </c>
      <c r="Z75" s="12" t="n">
        <f aca="false">1-Z70-Z71-Z72-Z73-Z74</f>
        <v>0.142959357902457</v>
      </c>
      <c r="AB75" s="5" t="s">
        <v>545</v>
      </c>
    </row>
    <row r="76" customFormat="false" ht="17.15" hidden="false" customHeight="false" outlineLevel="0" collapsed="false">
      <c r="A76" s="5" t="s">
        <v>546</v>
      </c>
      <c r="B76" s="0" t="s">
        <v>285</v>
      </c>
      <c r="C76" s="19" t="n">
        <f aca="false">C69*C70</f>
        <v>4.2</v>
      </c>
      <c r="D76" s="19" t="n">
        <f aca="false">D69*D70</f>
        <v>5.2</v>
      </c>
      <c r="E76" s="19" t="n">
        <f aca="false">E69*E70</f>
        <v>6</v>
      </c>
      <c r="F76" s="19" t="n">
        <f aca="false">F69*F70</f>
        <v>6.6</v>
      </c>
      <c r="G76" s="19" t="n">
        <f aca="false">G69*G70</f>
        <v>13.51</v>
      </c>
      <c r="H76" s="19" t="n">
        <f aca="false">H69*H70</f>
        <v>23.06</v>
      </c>
      <c r="I76" s="19" t="n">
        <f aca="false">I69*I70</f>
        <v>30.5106810359651</v>
      </c>
      <c r="J76" s="19" t="n">
        <f aca="false">J69*J70</f>
        <v>34.3082269377643</v>
      </c>
      <c r="K76" s="19" t="n">
        <f aca="false">K69*K70</f>
        <v>37.7138895677565</v>
      </c>
      <c r="L76" s="19" t="n">
        <f aca="false">L69*L70</f>
        <v>39.920905001644</v>
      </c>
      <c r="M76" s="19" t="n">
        <f aca="false">M69*M70</f>
        <v>40.1442211528657</v>
      </c>
      <c r="N76" s="19" t="n">
        <f aca="false">N69*N70</f>
        <v>39.5189173368151</v>
      </c>
      <c r="O76" s="19" t="n">
        <f aca="false">O69*O70</f>
        <v>37.6770984642084</v>
      </c>
      <c r="P76" s="19" t="n">
        <f aca="false">P69*P70</f>
        <v>37.3309994267236</v>
      </c>
      <c r="Q76" s="19" t="n">
        <f aca="false">Q69*Q70</f>
        <v>36.9880796293775</v>
      </c>
      <c r="R76" s="19" t="n">
        <f aca="false">R69*R70</f>
        <v>36.6483098679056</v>
      </c>
      <c r="S76" s="19" t="n">
        <f aca="false">S69*S70</f>
        <v>36.5933848027355</v>
      </c>
      <c r="T76" s="19" t="n">
        <f aca="false">T69*T70</f>
        <v>37.0871825971641</v>
      </c>
      <c r="U76" s="19" t="n">
        <f aca="false">U69*U70</f>
        <v>37.5876437889007</v>
      </c>
      <c r="V76" s="19" t="n">
        <f aca="false">V69*V70</f>
        <v>38.0948582950412</v>
      </c>
      <c r="W76" s="19" t="n">
        <f aca="false">W69*W70</f>
        <v>36.8052368875754</v>
      </c>
      <c r="X76" s="19" t="n">
        <f aca="false">X69*X70</f>
        <v>36.8152719989299</v>
      </c>
      <c r="Y76" s="19" t="n">
        <f aca="false">Y69*Y70</f>
        <v>36.825309846402</v>
      </c>
      <c r="Z76" s="19" t="n">
        <f aca="false">Z69*Z70</f>
        <v>36.8353504307379</v>
      </c>
    </row>
    <row r="77" customFormat="false" ht="17.15" hidden="false" customHeight="false" outlineLevel="0" collapsed="false">
      <c r="A77" s="0" t="s">
        <v>547</v>
      </c>
      <c r="B77" s="0" t="s">
        <v>285</v>
      </c>
      <c r="C77" s="19" t="n">
        <f aca="false">C69*C71</f>
        <v>2.19</v>
      </c>
      <c r="D77" s="19" t="n">
        <f aca="false">D69*D71</f>
        <v>3.34</v>
      </c>
      <c r="E77" s="19" t="n">
        <f aca="false">E69*E71</f>
        <v>3.53</v>
      </c>
      <c r="F77" s="19" t="n">
        <f aca="false">F69*F71</f>
        <v>5.21</v>
      </c>
      <c r="G77" s="19" t="n">
        <f aca="false">G69*G71</f>
        <v>7.53</v>
      </c>
      <c r="H77" s="19" t="n">
        <f aca="false">H69*H71</f>
        <v>14.27</v>
      </c>
      <c r="I77" s="19" t="n">
        <f aca="false">I69*I71</f>
        <v>18.1879367400612</v>
      </c>
      <c r="J77" s="19" t="n">
        <f aca="false">J69*J71</f>
        <v>20.4517185464387</v>
      </c>
      <c r="K77" s="19" t="n">
        <f aca="false">K69*K71</f>
        <v>22.8653505330208</v>
      </c>
      <c r="L77" s="19" t="n">
        <f aca="false">L69*L71</f>
        <v>24.2034300073471</v>
      </c>
      <c r="M77" s="19" t="n">
        <f aca="false">M69*M71</f>
        <v>24.3388231512496</v>
      </c>
      <c r="N77" s="19" t="n">
        <f aca="false">N69*N71</f>
        <v>23.9597110758975</v>
      </c>
      <c r="O77" s="19" t="n">
        <f aca="false">O69*O71</f>
        <v>23.2394238368082</v>
      </c>
      <c r="P77" s="19" t="n">
        <f aca="false">P69*P71</f>
        <v>23.0259482097171</v>
      </c>
      <c r="Q77" s="19" t="n">
        <f aca="false">Q69*Q71</f>
        <v>22.8144335539341</v>
      </c>
      <c r="R77" s="19" t="n">
        <f aca="false">R69*R71</f>
        <v>22.604861856122</v>
      </c>
      <c r="S77" s="19" t="n">
        <f aca="false">S69*S71</f>
        <v>22.9695582845162</v>
      </c>
      <c r="T77" s="19" t="n">
        <f aca="false">T69*T71</f>
        <v>23.2795136844071</v>
      </c>
      <c r="U77" s="19" t="n">
        <f aca="false">U69*U71</f>
        <v>23.5936516788752</v>
      </c>
      <c r="V77" s="19" t="n">
        <f aca="false">V69*V71</f>
        <v>23.912028708613</v>
      </c>
      <c r="W77" s="19" t="n">
        <f aca="false">W69*W71</f>
        <v>23.5178318054174</v>
      </c>
      <c r="X77" s="19" t="n">
        <f aca="false">X69*X71</f>
        <v>23.5242440467434</v>
      </c>
      <c r="Y77" s="19" t="n">
        <f aca="false">Y69*Y71</f>
        <v>23.5306580363955</v>
      </c>
      <c r="Z77" s="19" t="n">
        <f aca="false">Z69*Z71</f>
        <v>23.5370737748503</v>
      </c>
    </row>
    <row r="78" customFormat="false" ht="17.15" hidden="false" customHeight="false" outlineLevel="0" collapsed="false">
      <c r="A78" s="5" t="s">
        <v>548</v>
      </c>
      <c r="B78" s="0" t="s">
        <v>285</v>
      </c>
      <c r="C78" s="19" t="n">
        <f aca="false">C69*C72</f>
        <v>2.03</v>
      </c>
      <c r="D78" s="19" t="n">
        <f aca="false">D69*D72</f>
        <v>2.1</v>
      </c>
      <c r="E78" s="19" t="n">
        <f aca="false">E69*E72</f>
        <v>2.42</v>
      </c>
      <c r="F78" s="19" t="n">
        <f aca="false">F69*F72</f>
        <v>3.03</v>
      </c>
      <c r="G78" s="19" t="n">
        <f aca="false">G69*G72</f>
        <v>5.95</v>
      </c>
      <c r="H78" s="19" t="n">
        <f aca="false">H69*H72</f>
        <v>11.85</v>
      </c>
      <c r="I78" s="19" t="n">
        <f aca="false">I69*I72</f>
        <v>14.8507006409674</v>
      </c>
      <c r="J78" s="19" t="n">
        <f aca="false">J69*J72</f>
        <v>16.6991096388353</v>
      </c>
      <c r="K78" s="19" t="n">
        <f aca="false">K69*K72</f>
        <v>18.9271775254111</v>
      </c>
      <c r="L78" s="19" t="n">
        <f aca="false">L69*L72</f>
        <v>20.0347952598127</v>
      </c>
      <c r="M78" s="19" t="n">
        <f aca="false">M69*M72</f>
        <v>20.1468692062263</v>
      </c>
      <c r="N78" s="19" t="n">
        <f aca="false">N69*N72</f>
        <v>19.8330528253292</v>
      </c>
      <c r="O78" s="19" t="n">
        <f aca="false">O69*O72</f>
        <v>19.498336585877</v>
      </c>
      <c r="P78" s="19" t="n">
        <f aca="false">P69*P72</f>
        <v>19.3192263093429</v>
      </c>
      <c r="Q78" s="19" t="n">
        <f aca="false">Q69*Q72</f>
        <v>19.1417613265506</v>
      </c>
      <c r="R78" s="19" t="n">
        <f aca="false">R69*R72</f>
        <v>18.9659265239536</v>
      </c>
      <c r="S78" s="19" t="n">
        <f aca="false">S69*S72</f>
        <v>19.5303908518549</v>
      </c>
      <c r="T78" s="19" t="n">
        <f aca="false">T69*T72</f>
        <v>19.79393750049</v>
      </c>
      <c r="U78" s="19" t="n">
        <f aca="false">U69*U72</f>
        <v>20.0610404955665</v>
      </c>
      <c r="V78" s="19" t="n">
        <f aca="false">V69*V72</f>
        <v>20.3317478270707</v>
      </c>
      <c r="W78" s="19" t="n">
        <f aca="false">W69*W72</f>
        <v>20.2612194553403</v>
      </c>
      <c r="X78" s="19" t="n">
        <f aca="false">X69*X72</f>
        <v>20.2667437668407</v>
      </c>
      <c r="Y78" s="19" t="n">
        <f aca="false">Y69*Y72</f>
        <v>20.2722695845691</v>
      </c>
      <c r="Z78" s="19" t="n">
        <f aca="false">Z69*Z72</f>
        <v>20.2777969089363</v>
      </c>
    </row>
    <row r="79" customFormat="false" ht="17.15" hidden="false" customHeight="false" outlineLevel="0" collapsed="false">
      <c r="A79" s="0" t="s">
        <v>549</v>
      </c>
      <c r="B79" s="0" t="s">
        <v>285</v>
      </c>
      <c r="C79" s="19" t="n">
        <f aca="false">C69*C73</f>
        <v>1.92</v>
      </c>
      <c r="D79" s="19" t="n">
        <f aca="false">D69*D73</f>
        <v>2.14</v>
      </c>
      <c r="E79" s="19" t="n">
        <f aca="false">E69*E73</f>
        <v>2.84</v>
      </c>
      <c r="F79" s="19" t="n">
        <f aca="false">F69*F73</f>
        <v>3.31</v>
      </c>
      <c r="G79" s="19" t="n">
        <f aca="false">G69*G73</f>
        <v>5.96</v>
      </c>
      <c r="H79" s="19" t="n">
        <f aca="false">H69*H73</f>
        <v>10.72</v>
      </c>
      <c r="I79" s="19" t="n">
        <f aca="false">I69*I73</f>
        <v>14.9513168749304</v>
      </c>
      <c r="J79" s="19" t="n">
        <f aca="false">J69*J73</f>
        <v>16.1340692220722</v>
      </c>
      <c r="K79" s="19" t="n">
        <f aca="false">K69*K73</f>
        <v>18.0381490899669</v>
      </c>
      <c r="L79" s="19" t="n">
        <f aca="false">L69*L73</f>
        <v>19.0937409129423</v>
      </c>
      <c r="M79" s="19" t="n">
        <f aca="false">M69*M73</f>
        <v>19.200550634138</v>
      </c>
      <c r="N79" s="19" t="n">
        <f aca="false">N69*N73</f>
        <v>18.9014745221347</v>
      </c>
      <c r="O79" s="19" t="n">
        <f aca="false">O69*O73</f>
        <v>18.3332501869105</v>
      </c>
      <c r="P79" s="19" t="n">
        <f aca="false">P69*P73</f>
        <v>18.164842307793</v>
      </c>
      <c r="Q79" s="19" t="n">
        <f aca="false">Q69*Q73</f>
        <v>17.9979814109869</v>
      </c>
      <c r="R79" s="19" t="n">
        <f aca="false">R69*R73</f>
        <v>17.8326532860271</v>
      </c>
      <c r="S79" s="19" t="n">
        <f aca="false">S69*S73</f>
        <v>18.1203570996403</v>
      </c>
      <c r="T79" s="19" t="n">
        <f aca="false">T69*T73</f>
        <v>18.3648764962005</v>
      </c>
      <c r="U79" s="19" t="n">
        <f aca="false">U69*U73</f>
        <v>18.6126954819999</v>
      </c>
      <c r="V79" s="19" t="n">
        <f aca="false">V69*V73</f>
        <v>18.863858582296</v>
      </c>
      <c r="W79" s="19" t="n">
        <f aca="false">W69*W73</f>
        <v>18.5528822646412</v>
      </c>
      <c r="X79" s="19" t="n">
        <f aca="false">X69*X73</f>
        <v>18.5579407904168</v>
      </c>
      <c r="Y79" s="19" t="n">
        <f aca="false">Y69*Y73</f>
        <v>18.5630006954219</v>
      </c>
      <c r="Z79" s="19" t="n">
        <f aca="false">Z69*Z73</f>
        <v>18.5680619800325</v>
      </c>
    </row>
    <row r="80" customFormat="false" ht="17.15" hidden="false" customHeight="false" outlineLevel="0" collapsed="false">
      <c r="A80" s="0" t="s">
        <v>550</v>
      </c>
      <c r="B80" s="0" t="s">
        <v>285</v>
      </c>
      <c r="C80" s="19" t="n">
        <f aca="false">C69*C74</f>
        <v>1.69</v>
      </c>
      <c r="D80" s="19" t="n">
        <f aca="false">D69*D74</f>
        <v>1.9</v>
      </c>
      <c r="E80" s="19" t="n">
        <f aca="false">E69*E74</f>
        <v>2.31</v>
      </c>
      <c r="F80" s="19" t="n">
        <f aca="false">F69*F74</f>
        <v>3.03</v>
      </c>
      <c r="G80" s="19" t="n">
        <f aca="false">G69*G74</f>
        <v>5.95</v>
      </c>
      <c r="H80" s="19" t="n">
        <f aca="false">H69*H74</f>
        <v>8.97</v>
      </c>
      <c r="I80" s="19" t="n">
        <f aca="false">I69*I74</f>
        <v>11.0371522587842</v>
      </c>
      <c r="J80" s="19" t="n">
        <f aca="false">J69*J74</f>
        <v>12.4089097464268</v>
      </c>
      <c r="K80" s="19" t="n">
        <f aca="false">K69*K74</f>
        <v>13.8733608347097</v>
      </c>
      <c r="L80" s="19" t="n">
        <f aca="false">L69*L74</f>
        <v>14.6852294017819</v>
      </c>
      <c r="M80" s="19" t="n">
        <f aca="false">M69*M74</f>
        <v>14.7673780632333</v>
      </c>
      <c r="N80" s="19" t="n">
        <f aca="false">N69*N74</f>
        <v>14.5373549717193</v>
      </c>
      <c r="O80" s="19" t="n">
        <f aca="false">O69*O74</f>
        <v>14.1003266935789</v>
      </c>
      <c r="P80" s="19" t="n">
        <f aca="false">P69*P74</f>
        <v>13.9708021363335</v>
      </c>
      <c r="Q80" s="19" t="n">
        <f aca="false">Q69*Q74</f>
        <v>13.842467382083</v>
      </c>
      <c r="R80" s="19" t="n">
        <f aca="false">R69*R74</f>
        <v>13.7153115013852</v>
      </c>
      <c r="S80" s="19" t="n">
        <f aca="false">S69*S74</f>
        <v>13.9365880192735</v>
      </c>
      <c r="T80" s="19" t="n">
        <f aca="false">T69*T74</f>
        <v>14.1246508744282</v>
      </c>
      <c r="U80" s="19" t="n">
        <f aca="false">U69*U74</f>
        <v>14.3152514839774</v>
      </c>
      <c r="V80" s="19" t="n">
        <f aca="false">V69*V74</f>
        <v>14.5084240928406</v>
      </c>
      <c r="W80" s="19" t="n">
        <f aca="false">W69*W74</f>
        <v>14.2692484077769</v>
      </c>
      <c r="X80" s="19" t="n">
        <f aca="false">X69*X74</f>
        <v>14.2731389817502</v>
      </c>
      <c r="Y80" s="19" t="n">
        <f aca="false">Y69*Y74</f>
        <v>14.2770306165058</v>
      </c>
      <c r="Z80" s="19" t="n">
        <f aca="false">Z69*Z74</f>
        <v>14.2809233123329</v>
      </c>
    </row>
    <row r="81" customFormat="false" ht="17.15" hidden="false" customHeight="false" outlineLevel="0" collapsed="false">
      <c r="A81" s="5" t="s">
        <v>551</v>
      </c>
      <c r="B81" s="0" t="s">
        <v>285</v>
      </c>
      <c r="C81" s="19" t="n">
        <f aca="false">C69*C75</f>
        <v>0.905483870967741</v>
      </c>
      <c r="D81" s="19" t="n">
        <f aca="false">D69*D75</f>
        <v>1.12547112462006</v>
      </c>
      <c r="E81" s="19" t="n">
        <f aca="false">E69*E75</f>
        <v>1.69120879120879</v>
      </c>
      <c r="F81" s="19" t="n">
        <f aca="false">F69*F75</f>
        <v>2.39142857142857</v>
      </c>
      <c r="G81" s="19" t="n">
        <f aca="false">G69*G75</f>
        <v>5.05480225988701</v>
      </c>
      <c r="H81" s="19" t="n">
        <f aca="false">H69*H75</f>
        <v>9.83307167235495</v>
      </c>
      <c r="I81" s="19" t="n">
        <f aca="false">I69*I75</f>
        <v>12.7967836304854</v>
      </c>
      <c r="J81" s="19" t="n">
        <f aca="false">J69*J75</f>
        <v>15.0697234849201</v>
      </c>
      <c r="K81" s="19" t="n">
        <f aca="false">K69*K75</f>
        <v>17.2341496553638</v>
      </c>
      <c r="L81" s="19" t="n">
        <f aca="false">L69*L75</f>
        <v>18.2426914609227</v>
      </c>
      <c r="M81" s="19" t="n">
        <f aca="false">M69*M75</f>
        <v>18.3447404411452</v>
      </c>
      <c r="N81" s="19" t="n">
        <f aca="false">N69*N75</f>
        <v>18.0589948002315</v>
      </c>
      <c r="O81" s="19" t="n">
        <f aca="false">O69*O75</f>
        <v>17.9083678671655</v>
      </c>
      <c r="P81" s="19" t="n">
        <f aca="false">P69*P75</f>
        <v>17.7438629255857</v>
      </c>
      <c r="Q81" s="19" t="n">
        <f aca="false">Q69*Q75</f>
        <v>17.580869114222</v>
      </c>
      <c r="R81" s="19" t="n">
        <f aca="false">R69*R75</f>
        <v>17.419372551944</v>
      </c>
      <c r="S81" s="19" t="n">
        <f aca="false">S69*S75</f>
        <v>18.0881238934231</v>
      </c>
      <c r="T81" s="19" t="n">
        <f aca="false">T69*T75</f>
        <v>18.3322083292323</v>
      </c>
      <c r="U81" s="19" t="n">
        <f aca="false">U69*U75</f>
        <v>18.579586484841</v>
      </c>
      <c r="V81" s="19" t="n">
        <f aca="false">V69*V75</f>
        <v>18.8303028063037</v>
      </c>
      <c r="W81" s="19" t="n">
        <f aca="false">W69*W75</f>
        <v>18.9168494704672</v>
      </c>
      <c r="X81" s="19" t="n">
        <f aca="false">X69*X75</f>
        <v>18.9220072335184</v>
      </c>
      <c r="Y81" s="19" t="n">
        <f aca="false">Y69*Y75</f>
        <v>18.9271664028567</v>
      </c>
      <c r="Z81" s="19" t="n">
        <f aca="false">Z69*Z75</f>
        <v>18.9323269788654</v>
      </c>
    </row>
    <row r="82" customFormat="false" ht="17.15" hidden="false" customHeight="false" outlineLevel="0" collapsed="false">
      <c r="A82" s="0" t="s">
        <v>552</v>
      </c>
      <c r="B82" s="0" t="s">
        <v>25</v>
      </c>
      <c r="C82" s="12" t="n">
        <f aca="false">C73+C74</f>
        <v>0.279077306733167</v>
      </c>
      <c r="D82" s="12" t="n">
        <f aca="false">D73+D74</f>
        <v>0.255607692307692</v>
      </c>
      <c r="E82" s="12" t="n">
        <f aca="false">E73+E74</f>
        <v>0.27406432748538</v>
      </c>
      <c r="F82" s="12" t="n">
        <f aca="false">F73+F74</f>
        <v>0.268969696969697</v>
      </c>
      <c r="G82" s="12" t="n">
        <f aca="false">G73+G74</f>
        <v>0.270960154241645</v>
      </c>
      <c r="H82" s="12" t="n">
        <f aca="false">H73+H74</f>
        <v>0.250180832610581</v>
      </c>
      <c r="I82" s="12" t="n">
        <f aca="false">I73+I74</f>
        <v>0.253955909852784</v>
      </c>
      <c r="J82" s="12" t="n">
        <f aca="false">J73+J74</f>
        <v>0.248045042238398</v>
      </c>
      <c r="K82" s="12" t="n">
        <f aca="false">K73+K74</f>
        <v>0.248045042238398</v>
      </c>
      <c r="L82" s="12" t="n">
        <f aca="false">L73+L74</f>
        <v>0.248045042238398</v>
      </c>
      <c r="M82" s="12" t="n">
        <f aca="false">M73+M74</f>
        <v>0.248045042238398</v>
      </c>
      <c r="N82" s="12" t="n">
        <f aca="false">N73+N74</f>
        <v>0.248045042238398</v>
      </c>
      <c r="O82" s="12" t="n">
        <f aca="false">O73+O74</f>
        <v>0.248045042238398</v>
      </c>
      <c r="P82" s="12" t="n">
        <f aca="false">P73+P74</f>
        <v>0.248045042238398</v>
      </c>
      <c r="Q82" s="12" t="n">
        <f aca="false">Q73+Q74</f>
        <v>0.248045042238398</v>
      </c>
      <c r="R82" s="12" t="n">
        <f aca="false">R73+R74</f>
        <v>0.248045042238398</v>
      </c>
      <c r="S82" s="12" t="n">
        <f aca="false">S73+S74</f>
        <v>0.248045042238398</v>
      </c>
      <c r="T82" s="12" t="n">
        <f aca="false">T73+T74</f>
        <v>0.248045042238398</v>
      </c>
      <c r="U82" s="12" t="n">
        <f aca="false">U73+U74</f>
        <v>0.248045042238398</v>
      </c>
      <c r="V82" s="12" t="n">
        <f aca="false">V73+V74</f>
        <v>0.248045042238398</v>
      </c>
      <c r="W82" s="12" t="n">
        <f aca="false">W73+W74</f>
        <v>0.248045042238398</v>
      </c>
      <c r="X82" s="12" t="n">
        <f aca="false">X73+X74</f>
        <v>0.248045042238398</v>
      </c>
      <c r="Y82" s="12" t="n">
        <f aca="false">Y73+Y74</f>
        <v>0.248045042238398</v>
      </c>
      <c r="Z82" s="12" t="n">
        <f aca="false">Z73+Z74</f>
        <v>0.248045042238398</v>
      </c>
    </row>
    <row r="83" customFormat="false" ht="17.15" hidden="false" customHeight="false" outlineLevel="0" collapsed="false">
      <c r="A83" s="0" t="s">
        <v>553</v>
      </c>
      <c r="B83" s="0" t="s">
        <v>222</v>
      </c>
      <c r="C83" s="19" t="n">
        <f aca="false">C68*C73</f>
        <v>35.5454438457651</v>
      </c>
      <c r="D83" s="19" t="n">
        <f aca="false">D68*D73</f>
        <v>33.3561735612603</v>
      </c>
      <c r="E83" s="19" t="n">
        <f aca="false">E68*E73</f>
        <v>38.3034616573653</v>
      </c>
      <c r="F83" s="19" t="n">
        <f aca="false">F68*F73</f>
        <v>36.6117929947199</v>
      </c>
      <c r="G83" s="19" t="n">
        <f aca="false">G68*G73</f>
        <v>37.3731665733829</v>
      </c>
      <c r="H83" s="19" t="n">
        <f aca="false">H68*H73</f>
        <v>39.0520420812219</v>
      </c>
      <c r="I83" s="19" t="n">
        <f aca="false">I68*I73</f>
        <v>43.5730937141391</v>
      </c>
      <c r="J83" s="19" t="n">
        <f aca="false">J68*J73</f>
        <v>43.4967864333543</v>
      </c>
      <c r="K83" s="19" t="n">
        <f aca="false">K68*K73</f>
        <v>47.2136964778291</v>
      </c>
      <c r="L83" s="19" t="n">
        <f aca="false">L68*L73</f>
        <v>49.9766402635726</v>
      </c>
      <c r="M83" s="19" t="n">
        <f aca="false">M68*M73</f>
        <v>52.9012714182931</v>
      </c>
      <c r="N83" s="19" t="n">
        <f aca="false">N68*N73</f>
        <v>55.9970518808912</v>
      </c>
      <c r="O83" s="19" t="n">
        <f aca="false">O68*O73</f>
        <v>57.1722570421171</v>
      </c>
      <c r="P83" s="19" t="n">
        <f aca="false">P68*P73</f>
        <v>59.6285020221518</v>
      </c>
      <c r="Q83" s="19" t="n">
        <f aca="false">Q68*Q73</f>
        <v>62.1902726489612</v>
      </c>
      <c r="R83" s="19" t="n">
        <f aca="false">R68*R73</f>
        <v>64.8621025347127</v>
      </c>
      <c r="S83" s="19" t="n">
        <f aca="false">S68*S73</f>
        <v>67.9469668233749</v>
      </c>
      <c r="T83" s="19" t="n">
        <f aca="false">T68*T73</f>
        <v>70.993665525629</v>
      </c>
      <c r="U83" s="19" t="n">
        <f aca="false">U68*U73</f>
        <v>74.1769762565914</v>
      </c>
      <c r="V83" s="19" t="n">
        <f aca="false">V68*V73</f>
        <v>77.5030246125916</v>
      </c>
      <c r="W83" s="19" t="n">
        <f aca="false">W68*W73</f>
        <v>78.7007443774843</v>
      </c>
      <c r="X83" s="19" t="n">
        <f aca="false">X68*X73</f>
        <v>81.2786662161467</v>
      </c>
      <c r="Y83" s="19" t="n">
        <f aca="false">Y68*Y73</f>
        <v>83.9410304709364</v>
      </c>
      <c r="Z83" s="19" t="n">
        <f aca="false">Z68*Z73</f>
        <v>86.6906031379105</v>
      </c>
      <c r="AB83" s="5" t="s">
        <v>554</v>
      </c>
    </row>
    <row r="84" customFormat="false" ht="17.15" hidden="false" customHeight="false" outlineLevel="0" collapsed="false">
      <c r="A84" s="0" t="s">
        <v>555</v>
      </c>
      <c r="B84" s="0" t="s">
        <v>222</v>
      </c>
      <c r="C84" s="19" t="n">
        <f aca="false">C68*C74</f>
        <v>31.2873958850745</v>
      </c>
      <c r="D84" s="19" t="n">
        <f aca="false">D68*D74</f>
        <v>29.6152942833619</v>
      </c>
      <c r="E84" s="19" t="n">
        <f aca="false">E68*E74</f>
        <v>31.1552804325753</v>
      </c>
      <c r="F84" s="19" t="n">
        <f aca="false">F68*F74</f>
        <v>33.5147228924475</v>
      </c>
      <c r="G84" s="19" t="n">
        <f aca="false">G68*G74</f>
        <v>37.3104599180584</v>
      </c>
      <c r="H84" s="19" t="n">
        <f aca="false">H68*H74</f>
        <v>32.6769419280374</v>
      </c>
      <c r="I84" s="19" t="n">
        <f aca="false">I68*I74</f>
        <v>32.1659204826039</v>
      </c>
      <c r="J84" s="19" t="n">
        <f aca="false">J68*J74</f>
        <v>33.4539098402215</v>
      </c>
      <c r="K84" s="19" t="n">
        <f aca="false">K68*K74</f>
        <v>36.312630764412</v>
      </c>
      <c r="L84" s="19" t="n">
        <f aca="false">L68*L74</f>
        <v>38.4376445845361</v>
      </c>
      <c r="M84" s="19" t="n">
        <f aca="false">M68*M74</f>
        <v>40.687014135453</v>
      </c>
      <c r="N84" s="19" t="n">
        <f aca="false">N68*N74</f>
        <v>43.0680167099664</v>
      </c>
      <c r="O84" s="19" t="n">
        <f aca="false">O68*O74</f>
        <v>43.971881356787</v>
      </c>
      <c r="P84" s="19" t="n">
        <f aca="false">P68*P74</f>
        <v>45.8610093785427</v>
      </c>
      <c r="Q84" s="19" t="n">
        <f aca="false">Q68*Q74</f>
        <v>47.8312984644255</v>
      </c>
      <c r="R84" s="19" t="n">
        <f aca="false">R68*R74</f>
        <v>49.8862354709396</v>
      </c>
      <c r="S84" s="19" t="n">
        <f aca="false">S68*S74</f>
        <v>52.2588422827175</v>
      </c>
      <c r="T84" s="19" t="n">
        <f aca="false">T68*T74</f>
        <v>54.6020954757251</v>
      </c>
      <c r="U84" s="19" t="n">
        <f aca="false">U68*U74</f>
        <v>57.0504186489829</v>
      </c>
      <c r="V84" s="19" t="n">
        <f aca="false">V68*V74</f>
        <v>59.6085230734634</v>
      </c>
      <c r="W84" s="19" t="n">
        <f aca="false">W68*W74</f>
        <v>60.529703977022</v>
      </c>
      <c r="X84" s="19" t="n">
        <f aca="false">X68*X74</f>
        <v>62.512415157258</v>
      </c>
      <c r="Y84" s="19" t="n">
        <f aca="false">Y68*Y74</f>
        <v>64.560072031359</v>
      </c>
      <c r="Z84" s="19" t="n">
        <f aca="false">Z68*Z74</f>
        <v>66.6748019606845</v>
      </c>
    </row>
    <row r="85" customFormat="false" ht="17.15" hidden="false" customHeight="false" outlineLevel="0" collapsed="false">
      <c r="A85" s="5" t="s">
        <v>556</v>
      </c>
      <c r="B85" s="0" t="s">
        <v>557</v>
      </c>
      <c r="C85" s="17" t="n">
        <f aca="false">ABS(SUM(C70:C75)-1)+ABS(SUM(I70:I75)-1)+ABS(SUM(Z70:Z75)-1)+ABS(H80-rv_sd_5)</f>
        <v>0</v>
      </c>
    </row>
    <row r="110" customFormat="false" ht="17.15" hidden="false" customHeight="false" outlineLevel="0" collapsed="false">
      <c r="A110" s="3" t="s">
        <v>695</v>
      </c>
    </row>
    <row r="111" customFormat="false" ht="17.15" hidden="false" customHeight="false" outlineLevel="0" collapsed="false">
      <c r="A111" s="9" t="s">
        <v>508</v>
      </c>
      <c r="B111" s="6" t="s">
        <v>15</v>
      </c>
      <c r="C111" s="9" t="s">
        <v>427</v>
      </c>
      <c r="D111" s="9" t="s">
        <v>428</v>
      </c>
      <c r="E111" s="9" t="s">
        <v>429</v>
      </c>
      <c r="F111" s="9" t="s">
        <v>430</v>
      </c>
      <c r="G111" s="9" t="s">
        <v>431</v>
      </c>
      <c r="H111" s="9" t="s">
        <v>432</v>
      </c>
      <c r="I111" s="9" t="s">
        <v>433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6" t="s">
        <v>434</v>
      </c>
    </row>
    <row r="112" customFormat="false" ht="17.15" hidden="false" customHeight="false" outlineLevel="0" collapsed="false">
      <c r="A112" s="5" t="s">
        <v>509</v>
      </c>
      <c r="B112" s="5" t="s">
        <v>168</v>
      </c>
      <c r="E112" s="10" t="n">
        <f aca="false">(u_26)*1</f>
        <v>15.2</v>
      </c>
      <c r="F112" s="10" t="n">
        <f aca="false">(u_27)*1</f>
        <v>23.7</v>
      </c>
      <c r="G112" s="10" t="n">
        <f aca="false">(u_28)*um28_A</f>
        <v>26.5</v>
      </c>
      <c r="H112" s="10" t="n">
        <f aca="false">(u_28*(1+g_u29))*um29_A</f>
        <v>30.15</v>
      </c>
      <c r="I112" s="10" t="n">
        <f aca="false">(u_28*(1+g_u29)*(1+g_u30))*um29_A</f>
        <v>31.6575</v>
      </c>
      <c r="AB112" s="8" t="s">
        <v>510</v>
      </c>
    </row>
    <row r="113" customFormat="false" ht="17.15" hidden="false" customHeight="false" outlineLevel="0" collapsed="false">
      <c r="A113" s="5" t="s">
        <v>511</v>
      </c>
      <c r="B113" s="0" t="s">
        <v>512</v>
      </c>
      <c r="E113" s="18" t="n">
        <f aca="false">tb_26_hi</f>
        <v>36</v>
      </c>
      <c r="F113" s="18" t="n">
        <f aca="false">tb_27_hi</f>
        <v>41</v>
      </c>
      <c r="G113" s="18" t="n">
        <f aca="false">tb_28_hi</f>
        <v>48</v>
      </c>
      <c r="H113" s="18" t="n">
        <f aca="false">tb_29_hi</f>
        <v>55</v>
      </c>
      <c r="I113" s="18" t="n">
        <f aca="false">tb_30_hi</f>
        <v>62</v>
      </c>
    </row>
    <row r="114" customFormat="false" ht="17.15" hidden="false" customHeight="false" outlineLevel="0" collapsed="false">
      <c r="A114" s="5" t="s">
        <v>513</v>
      </c>
      <c r="B114" s="0" t="s">
        <v>222</v>
      </c>
      <c r="D114" s="10" t="n">
        <f aca="false">bits25*sh_essd25*ai25</f>
        <v>165</v>
      </c>
      <c r="E114" s="10" t="n">
        <f aca="false">E112*E113</f>
        <v>547.2</v>
      </c>
      <c r="F114" s="10" t="n">
        <f aca="false">F112*F113</f>
        <v>971.7</v>
      </c>
      <c r="G114" s="10" t="n">
        <f aca="false">G112*G113</f>
        <v>1272</v>
      </c>
      <c r="H114" s="10" t="n">
        <f aca="false">H112*H113</f>
        <v>1658.25</v>
      </c>
      <c r="I114" s="10" t="n">
        <f aca="false">I112*I113</f>
        <v>1962.765</v>
      </c>
      <c r="AB114" s="5" t="s">
        <v>514</v>
      </c>
    </row>
    <row r="115" customFormat="false" ht="17.15" hidden="false" customHeight="false" outlineLevel="0" collapsed="false">
      <c r="A115" s="5" t="s">
        <v>515</v>
      </c>
      <c r="B115" s="0" t="s">
        <v>222</v>
      </c>
      <c r="D115" s="10" t="n">
        <f aca="false">bits25*sh_essd25*(1-ai25)</f>
        <v>135</v>
      </c>
      <c r="E115" s="10" t="n">
        <f aca="false">D115*(1+g_nai)</f>
        <v>148.5</v>
      </c>
      <c r="F115" s="10" t="n">
        <f aca="false">E115*(1+g_nai)</f>
        <v>163.35</v>
      </c>
      <c r="G115" s="10" t="n">
        <f aca="false">F115*(1+g_nai)</f>
        <v>179.685</v>
      </c>
      <c r="H115" s="10" t="n">
        <f aca="false">G115*(1+g_nai)</f>
        <v>197.6535</v>
      </c>
      <c r="I115" s="10" t="n">
        <f aca="false">H115*(1+g_nai)</f>
        <v>217.41885</v>
      </c>
    </row>
    <row r="116" customFormat="false" ht="15" hidden="false" customHeight="false" outlineLevel="0" collapsed="false">
      <c r="A116" s="5" t="s">
        <v>516</v>
      </c>
      <c r="B116" s="0" t="s">
        <v>222</v>
      </c>
      <c r="D116" s="10" t="n">
        <f aca="false">bits25*sh_mob25</f>
        <v>320</v>
      </c>
      <c r="E116" s="10" t="n">
        <f aca="false">D116*(1+g_mob_26)</f>
        <v>304</v>
      </c>
      <c r="F116" s="10" t="n">
        <f aca="false">E116*(1+g_mob_27)</f>
        <v>313.12</v>
      </c>
      <c r="G116" s="10" t="n">
        <f aca="false">F116*(1+g_mob_28)</f>
        <v>338.1696</v>
      </c>
      <c r="H116" s="10" t="n">
        <f aca="false">G116*(1+g_mob_28)</f>
        <v>365.223168</v>
      </c>
      <c r="I116" s="10" t="n">
        <f aca="false">H116*(1+g_mob_28)</f>
        <v>394.44102144</v>
      </c>
    </row>
    <row r="117" customFormat="false" ht="17.15" hidden="false" customHeight="false" outlineLevel="0" collapsed="false">
      <c r="A117" s="5" t="s">
        <v>517</v>
      </c>
      <c r="B117" s="0" t="s">
        <v>222</v>
      </c>
      <c r="D117" s="10" t="n">
        <f aca="false">bits25*sh_pc25</f>
        <v>230</v>
      </c>
      <c r="E117" s="10" t="n">
        <f aca="false">D117*(1+g_pc_26)</f>
        <v>218.5</v>
      </c>
      <c r="F117" s="10" t="n">
        <f aca="false">E117*(1+g_pc_27)</f>
        <v>218.5</v>
      </c>
      <c r="G117" s="10" t="n">
        <f aca="false">F117*(1+g_pc_28)</f>
        <v>231.61</v>
      </c>
      <c r="H117" s="10" t="n">
        <f aca="false">G117*(1+g_pc_28)</f>
        <v>245.5066</v>
      </c>
      <c r="I117" s="10" t="n">
        <f aca="false">H117*(1+g_pc_28)</f>
        <v>260.236996</v>
      </c>
    </row>
    <row r="118" customFormat="false" ht="15" hidden="false" customHeight="false" outlineLevel="0" collapsed="false">
      <c r="A118" s="5" t="s">
        <v>518</v>
      </c>
      <c r="B118" s="0" t="s">
        <v>222</v>
      </c>
      <c r="D118" s="10" t="n">
        <f aca="false">bits25*(1-sh_essd25-sh_mob25-sh_pc25)</f>
        <v>150</v>
      </c>
      <c r="E118" s="10" t="n">
        <f aca="false">D118*(1+g_con_26)</f>
        <v>135</v>
      </c>
      <c r="F118" s="10" t="n">
        <f aca="false">E118*(1+g_con_27)</f>
        <v>135</v>
      </c>
      <c r="G118" s="10" t="n">
        <f aca="false">F118*(1+g_con_28)</f>
        <v>141.75</v>
      </c>
      <c r="H118" s="10" t="n">
        <f aca="false">G118*(1+g_con_28)</f>
        <v>148.8375</v>
      </c>
      <c r="I118" s="10" t="n">
        <f aca="false">H118*(1+g_con_28)</f>
        <v>156.279375</v>
      </c>
    </row>
    <row r="119" customFormat="false" ht="15" hidden="false" customHeight="false" outlineLevel="0" collapsed="false">
      <c r="A119" s="5" t="s">
        <v>442</v>
      </c>
      <c r="B119" s="0" t="s">
        <v>222</v>
      </c>
      <c r="D119" s="10" t="n">
        <f aca="false">SUM(D114:D118)</f>
        <v>1000</v>
      </c>
      <c r="E119" s="10" t="n">
        <f aca="false">SUM(E114:E118)</f>
        <v>1353.2</v>
      </c>
      <c r="F119" s="10" t="n">
        <f aca="false">SUM(F114:F118)</f>
        <v>1801.67</v>
      </c>
      <c r="G119" s="10" t="n">
        <f aca="false">SUM(G114:G118)</f>
        <v>2163.2146</v>
      </c>
      <c r="H119" s="10" t="n">
        <f aca="false">SUM(H114:H118)</f>
        <v>2615.470768</v>
      </c>
      <c r="I119" s="10" t="n">
        <f aca="false">SUM(I114:I118)</f>
        <v>2991.14124244</v>
      </c>
    </row>
    <row r="120" customFormat="false" ht="17.15" hidden="false" customHeight="false" outlineLevel="0" collapsed="false">
      <c r="A120" s="5" t="s">
        <v>519</v>
      </c>
      <c r="B120" s="0" t="s">
        <v>25</v>
      </c>
      <c r="D120" s="12" t="n">
        <f aca="false">(D114+D115)/D119</f>
        <v>0.3</v>
      </c>
      <c r="E120" s="12" t="n">
        <f aca="false">(E114+E115)/E119</f>
        <v>0.514114691102572</v>
      </c>
      <c r="F120" s="12" t="n">
        <f aca="false">(F114+F115)/F119</f>
        <v>0.629998834414737</v>
      </c>
      <c r="G120" s="12" t="n">
        <f aca="false">(G114+G115)/G119</f>
        <v>0.671077663769466</v>
      </c>
      <c r="H120" s="12" t="n">
        <f aca="false">(H114+H115)/H119</f>
        <v>0.709586787475042</v>
      </c>
      <c r="I120" s="12" t="n">
        <f aca="false">(I114+I115)/I119</f>
        <v>0.728880274547494</v>
      </c>
    </row>
    <row r="121" customFormat="false" ht="17.15" hidden="false" customHeight="false" outlineLevel="0" collapsed="false">
      <c r="A121" s="5" t="s">
        <v>520</v>
      </c>
      <c r="B121" s="0" t="s">
        <v>222</v>
      </c>
      <c r="D121" s="10" t="n">
        <f aca="false">bits25</f>
        <v>1000</v>
      </c>
      <c r="E121" s="10" t="n">
        <f aca="false">D121*(1+gs_26)</f>
        <v>1210</v>
      </c>
      <c r="F121" s="10" t="n">
        <f aca="false">E121*(1+gs_27)</f>
        <v>1512.5</v>
      </c>
      <c r="G121" s="10" t="n">
        <f aca="false">F121*(1+gs_28)</f>
        <v>1890.625</v>
      </c>
      <c r="H121" s="10" t="n">
        <f aca="false">G121*(1+gs_29)</f>
        <v>2306.5625</v>
      </c>
      <c r="I121" s="10" t="n">
        <f aca="false">H121*(1+gs_30)</f>
        <v>2767.875</v>
      </c>
      <c r="AB121" s="8" t="s">
        <v>521</v>
      </c>
    </row>
    <row r="122" customFormat="false" ht="17.15" hidden="false" customHeight="false" outlineLevel="0" collapsed="false">
      <c r="A122" s="5" t="s">
        <v>522</v>
      </c>
      <c r="B122" s="0" t="s">
        <v>25</v>
      </c>
      <c r="E122" s="12" t="n">
        <f aca="false">E119/E121-1</f>
        <v>0.118347107438016</v>
      </c>
      <c r="F122" s="12" t="n">
        <f aca="false">F119/F121-1</f>
        <v>0.191186776859504</v>
      </c>
      <c r="G122" s="12" t="n">
        <f aca="false">G119/G121-1</f>
        <v>0.144179623140496</v>
      </c>
      <c r="H122" s="12" t="n">
        <f aca="false">H119/H121-1</f>
        <v>0.133925817314727</v>
      </c>
      <c r="I122" s="12" t="n">
        <f aca="false">I119/I121-1</f>
        <v>0.0806634123434047</v>
      </c>
    </row>
    <row r="123" customFormat="false" ht="17.15" hidden="false" customHeight="false" outlineLevel="0" collapsed="false">
      <c r="A123" s="5" t="s">
        <v>523</v>
      </c>
      <c r="B123" s="0" t="s">
        <v>222</v>
      </c>
      <c r="C123" s="10" t="n">
        <f aca="false">bits25/(1+g25)</f>
        <v>892.857142857143</v>
      </c>
      <c r="D123" s="10" t="n">
        <f aca="false">bits25</f>
        <v>1000</v>
      </c>
      <c r="E123" s="10" t="n">
        <f aca="false">MIN(E119,E121)</f>
        <v>1210</v>
      </c>
      <c r="F123" s="10" t="n">
        <f aca="false">MIN(F119,F121)</f>
        <v>1512.5</v>
      </c>
      <c r="G123" s="10" t="n">
        <f aca="false">MIN(G119,G121)</f>
        <v>1890.625</v>
      </c>
      <c r="H123" s="10" t="n">
        <f aca="false">MIN(H119,H121)</f>
        <v>2306.5625</v>
      </c>
      <c r="I123" s="10" t="n">
        <f aca="false">MIN(I119,I121)</f>
        <v>2767.875</v>
      </c>
    </row>
    <row r="124" customFormat="false" ht="15" hidden="false" customHeight="false" outlineLevel="0" collapsed="false">
      <c r="A124" s="5" t="s">
        <v>447</v>
      </c>
      <c r="B124" s="0" t="s">
        <v>25</v>
      </c>
      <c r="D124" s="12" t="n">
        <f aca="false">D123/C123-1</f>
        <v>0.12</v>
      </c>
      <c r="E124" s="12" t="n">
        <f aca="false">E123/D123-1</f>
        <v>0.21</v>
      </c>
      <c r="F124" s="12" t="n">
        <f aca="false">F123/E123-1</f>
        <v>0.25</v>
      </c>
      <c r="G124" s="12" t="n">
        <f aca="false">G123/F123-1</f>
        <v>0.25</v>
      </c>
      <c r="H124" s="12" t="n">
        <f aca="false">H123/G123-1</f>
        <v>0.22</v>
      </c>
      <c r="I124" s="12" t="n">
        <f aca="false">I123/H123-1</f>
        <v>0.2</v>
      </c>
    </row>
    <row r="125" customFormat="false" ht="17.15" hidden="false" customHeight="false" outlineLevel="0" collapsed="false">
      <c r="A125" s="0" t="s">
        <v>524</v>
      </c>
      <c r="B125" s="0" t="s">
        <v>285</v>
      </c>
      <c r="C125" s="10" t="n">
        <f aca="false">rev24</f>
        <v>67.4</v>
      </c>
      <c r="D125" s="10" t="n">
        <f aca="false">SUM(C139:F139)</f>
        <v>71.1035923582252</v>
      </c>
      <c r="E125" s="10" t="n">
        <f aca="false">SUM(G139:J139)</f>
        <v>342.820749524408</v>
      </c>
      <c r="F125" s="10" t="n">
        <f aca="false">SUM(K139:N139)</f>
        <v>536.734678363014</v>
      </c>
      <c r="G125" s="10" t="n">
        <f aca="false">SUM(O139:R139)</f>
        <v>544.610149409284</v>
      </c>
      <c r="H125" s="10" t="n">
        <f aca="false">SUM(S139:V139)</f>
        <v>570.465276442823</v>
      </c>
      <c r="I125" s="10" t="n">
        <f aca="false">SUM(W139:Z139)</f>
        <v>603.846148402198</v>
      </c>
      <c r="AB125" s="8" t="s">
        <v>525</v>
      </c>
    </row>
    <row r="126" customFormat="false" ht="15" hidden="false" customHeight="false" outlineLevel="0" collapsed="false">
      <c r="A126" s="5" t="s">
        <v>453</v>
      </c>
      <c r="B126" s="0" t="s">
        <v>25</v>
      </c>
      <c r="D126" s="12" t="n">
        <f aca="false">D125/C125-1</f>
        <v>0.0549494415166936</v>
      </c>
      <c r="E126" s="12" t="n">
        <f aca="false">E125/D125-1</f>
        <v>3.82142657149095</v>
      </c>
      <c r="F126" s="12" t="n">
        <f aca="false">F125/E125-1</f>
        <v>0.565642333807452</v>
      </c>
      <c r="G126" s="12" t="n">
        <f aca="false">G125/F125-1</f>
        <v>0.0146729312707903</v>
      </c>
      <c r="H126" s="12" t="n">
        <f aca="false">H125/G125-1</f>
        <v>0.0474745596672834</v>
      </c>
      <c r="I126" s="12" t="n">
        <f aca="false">I125/H125-1</f>
        <v>0.0585151688241627</v>
      </c>
    </row>
    <row r="127" customFormat="false" ht="17.15" hidden="false" customHeight="false" outlineLevel="0" collapsed="false">
      <c r="A127" s="5" t="s">
        <v>526</v>
      </c>
      <c r="B127" s="0" t="s">
        <v>449</v>
      </c>
      <c r="C127" s="13" t="n">
        <f aca="false">C125/C123</f>
        <v>0.075488</v>
      </c>
      <c r="D127" s="13" t="n">
        <f aca="false">D125/D123</f>
        <v>0.0711035923582252</v>
      </c>
      <c r="E127" s="13" t="n">
        <f aca="false">E125/E123</f>
        <v>0.283322933491246</v>
      </c>
      <c r="F127" s="13" t="n">
        <f aca="false">F125/F123</f>
        <v>0.354865903049927</v>
      </c>
      <c r="G127" s="13" t="n">
        <f aca="false">G125/G123</f>
        <v>0.28805826084458</v>
      </c>
      <c r="H127" s="13" t="n">
        <f aca="false">H125/H123</f>
        <v>0.247322704866148</v>
      </c>
      <c r="I127" s="13" t="n">
        <f aca="false">I125/I123</f>
        <v>0.218162362246199</v>
      </c>
    </row>
    <row r="128" customFormat="false" ht="17.15" hidden="false" customHeight="false" outlineLevel="0" collapsed="false">
      <c r="A128" s="5" t="s">
        <v>450</v>
      </c>
      <c r="B128" s="0" t="s">
        <v>25</v>
      </c>
      <c r="D128" s="12" t="n">
        <f aca="false">D127/C127-1</f>
        <v>-0.0580808557886665</v>
      </c>
      <c r="E128" s="12" t="n">
        <f aca="false">E127/D127-1</f>
        <v>2.98465005908343</v>
      </c>
      <c r="F128" s="12" t="n">
        <f aca="false">F127/E127-1</f>
        <v>0.252513867045961</v>
      </c>
      <c r="G128" s="12" t="n">
        <f aca="false">G127/F127-1</f>
        <v>-0.188261654983368</v>
      </c>
      <c r="H128" s="12" t="n">
        <f aca="false">H127/G127-1</f>
        <v>-0.141414295354686</v>
      </c>
      <c r="I128" s="12" t="n">
        <f aca="false">I127/H127-1</f>
        <v>-0.117904025979864</v>
      </c>
      <c r="AB128" s="8" t="s">
        <v>527</v>
      </c>
    </row>
    <row r="129" customFormat="false" ht="15" hidden="false" customHeight="false" outlineLevel="0" collapsed="false">
      <c r="A129" s="5" t="s">
        <v>528</v>
      </c>
      <c r="B129" s="0" t="s">
        <v>25</v>
      </c>
      <c r="D129" s="12" t="n">
        <f aca="false">SUM(C146:F146)/D125</f>
        <v>0.309407714439551</v>
      </c>
      <c r="E129" s="12" t="n">
        <f aca="false">SUM(G146:J146)/E125</f>
        <v>0.298146371102126</v>
      </c>
      <c r="F129" s="12" t="n">
        <f aca="false">SUM(K146:N146)/F125</f>
        <v>0.293146371102126</v>
      </c>
      <c r="G129" s="12" t="n">
        <f aca="false">SUM(O146:R146)/G125</f>
        <v>0.288146371102126</v>
      </c>
      <c r="H129" s="12" t="n">
        <f aca="false">SUM(S146:V146)/H125</f>
        <v>0.283146371102126</v>
      </c>
      <c r="I129" s="12" t="n">
        <f aca="false">SUM(W146:Z146)/I125</f>
        <v>0.278146371102126</v>
      </c>
    </row>
    <row r="130" customFormat="false" ht="17.15" hidden="false" customHeight="false" outlineLevel="0" collapsed="false">
      <c r="A130" s="5" t="s">
        <v>529</v>
      </c>
      <c r="B130" s="0" t="s">
        <v>25</v>
      </c>
      <c r="D130" s="12" t="n">
        <f aca="false">SUM(C147:F147)/D125</f>
        <v>0.200693094775109</v>
      </c>
      <c r="E130" s="12" t="n">
        <f aca="false">SUM(G147:J147)/E125</f>
        <v>0.177730130982399</v>
      </c>
      <c r="F130" s="12" t="n">
        <f aca="false">SUM(K147:N147)/F125</f>
        <v>0.177730130982399</v>
      </c>
      <c r="G130" s="12" t="n">
        <f aca="false">SUM(O147:R147)/G125</f>
        <v>0.177730130982399</v>
      </c>
      <c r="H130" s="12" t="n">
        <f aca="false">SUM(S147:V147)/H125</f>
        <v>0.177730130982399</v>
      </c>
      <c r="I130" s="12" t="n">
        <f aca="false">SUM(W147:Z147)/I125</f>
        <v>0.177730130982399</v>
      </c>
    </row>
    <row r="131" customFormat="false" ht="15" hidden="false" customHeight="false" outlineLevel="0" collapsed="false">
      <c r="A131" s="5" t="s">
        <v>530</v>
      </c>
      <c r="B131" s="0" t="s">
        <v>25</v>
      </c>
      <c r="D131" s="12" t="n">
        <f aca="false">SUM(C148:F148)/D125</f>
        <v>0.134732995651405</v>
      </c>
      <c r="E131" s="12" t="n">
        <f aca="false">SUM(G148:J148)/E125</f>
        <v>0.14511909777462</v>
      </c>
      <c r="F131" s="12" t="n">
        <f aca="false">SUM(K148:N148)/F125</f>
        <v>0.14711909777462</v>
      </c>
      <c r="G131" s="12" t="n">
        <f aca="false">SUM(O148:R148)/G125</f>
        <v>0.14911909777462</v>
      </c>
      <c r="H131" s="12" t="n">
        <f aca="false">SUM(S148:V148)/H125</f>
        <v>0.15111909777462</v>
      </c>
      <c r="I131" s="12" t="n">
        <f aca="false">SUM(W148:Z148)/I125</f>
        <v>0.15311909777462</v>
      </c>
    </row>
    <row r="132" customFormat="false" ht="17.15" hidden="false" customHeight="false" outlineLevel="0" collapsed="false">
      <c r="A132" s="5" t="s">
        <v>531</v>
      </c>
      <c r="B132" s="0" t="s">
        <v>25</v>
      </c>
      <c r="D132" s="12" t="n">
        <f aca="false">SUM(C149:F149)/D125</f>
        <v>0.143593307473992</v>
      </c>
      <c r="E132" s="12" t="n">
        <f aca="false">SUM(G149:J149)/E125</f>
        <v>0.139533216003349</v>
      </c>
      <c r="F132" s="12" t="n">
        <f aca="false">SUM(K149:N149)/F125</f>
        <v>0.138512987387224</v>
      </c>
      <c r="G132" s="12" t="n">
        <f aca="false">SUM(O149:R149)/G125</f>
        <v>0.138512987387224</v>
      </c>
      <c r="H132" s="12" t="n">
        <f aca="false">SUM(S149:V149)/H125</f>
        <v>0.138512987387224</v>
      </c>
      <c r="I132" s="12" t="n">
        <f aca="false">SUM(W149:Z149)/I125</f>
        <v>0.138512987387224</v>
      </c>
    </row>
    <row r="133" customFormat="false" ht="17.15" hidden="false" customHeight="false" outlineLevel="0" collapsed="false">
      <c r="A133" s="5" t="s">
        <v>532</v>
      </c>
      <c r="B133" s="0" t="s">
        <v>25</v>
      </c>
      <c r="D133" s="12" t="n">
        <f aca="false">SUM(C150:F150)/D125</f>
        <v>0.125591404088418</v>
      </c>
      <c r="E133" s="12" t="n">
        <f aca="false">SUM(G150:J150)/E125</f>
        <v>0.112062540342342</v>
      </c>
      <c r="F133" s="12" t="n">
        <f aca="false">SUM(K150:N150)/F125</f>
        <v>0.106513670372059</v>
      </c>
      <c r="G133" s="12" t="n">
        <f aca="false">SUM(O150:R150)/G125</f>
        <v>0.106513670372059</v>
      </c>
      <c r="H133" s="12" t="n">
        <f aca="false">SUM(S150:V150)/H125</f>
        <v>0.106513670372059</v>
      </c>
      <c r="I133" s="12" t="n">
        <f aca="false">SUM(W150:Z150)/I125</f>
        <v>0.106513670372059</v>
      </c>
    </row>
    <row r="134" customFormat="false" ht="15" hidden="false" customHeight="false" outlineLevel="0" collapsed="false">
      <c r="A134" s="5" t="s">
        <v>533</v>
      </c>
      <c r="B134" s="0" t="s">
        <v>25</v>
      </c>
      <c r="D134" s="12" t="n">
        <f aca="false">SUM(C151:F151)/D125</f>
        <v>0.0859814835715252</v>
      </c>
      <c r="E134" s="12" t="n">
        <f aca="false">SUM(G151:J151)/E125</f>
        <v>0.127408643795164</v>
      </c>
      <c r="F134" s="12" t="n">
        <f aca="false">SUM(K151:N151)/F125</f>
        <v>0.136977742381572</v>
      </c>
      <c r="G134" s="12" t="n">
        <f aca="false">SUM(O151:R151)/G125</f>
        <v>0.139977742381572</v>
      </c>
      <c r="H134" s="12" t="n">
        <f aca="false">SUM(S151:V151)/H125</f>
        <v>0.142977742381572</v>
      </c>
      <c r="I134" s="12" t="n">
        <f aca="false">SUM(W151:Z151)/I125</f>
        <v>0.145977742381572</v>
      </c>
    </row>
    <row r="136" customFormat="false" ht="17.15" hidden="false" customHeight="false" outlineLevel="0" collapsed="false">
      <c r="A136" s="9" t="s">
        <v>534</v>
      </c>
      <c r="B136" s="6" t="s">
        <v>15</v>
      </c>
      <c r="C136" s="9" t="s">
        <v>468</v>
      </c>
      <c r="D136" s="9" t="s">
        <v>469</v>
      </c>
      <c r="E136" s="9" t="s">
        <v>470</v>
      </c>
      <c r="F136" s="9" t="s">
        <v>471</v>
      </c>
      <c r="G136" s="9" t="s">
        <v>472</v>
      </c>
      <c r="H136" s="9" t="s">
        <v>473</v>
      </c>
      <c r="I136" s="9" t="s">
        <v>474</v>
      </c>
      <c r="J136" s="9" t="s">
        <v>475</v>
      </c>
      <c r="K136" s="9" t="s">
        <v>476</v>
      </c>
      <c r="L136" s="9" t="s">
        <v>477</v>
      </c>
      <c r="M136" s="9" t="s">
        <v>478</v>
      </c>
      <c r="N136" s="9" t="s">
        <v>479</v>
      </c>
      <c r="O136" s="9" t="s">
        <v>480</v>
      </c>
      <c r="P136" s="9" t="s">
        <v>481</v>
      </c>
      <c r="Q136" s="9" t="s">
        <v>482</v>
      </c>
      <c r="R136" s="9" t="s">
        <v>483</v>
      </c>
      <c r="S136" s="9" t="s">
        <v>484</v>
      </c>
      <c r="T136" s="9" t="s">
        <v>485</v>
      </c>
      <c r="U136" s="9" t="s">
        <v>486</v>
      </c>
      <c r="V136" s="9" t="s">
        <v>487</v>
      </c>
      <c r="W136" s="9" t="s">
        <v>488</v>
      </c>
      <c r="X136" s="9" t="s">
        <v>489</v>
      </c>
      <c r="Y136" s="9" t="s">
        <v>490</v>
      </c>
      <c r="Z136" s="9" t="s">
        <v>491</v>
      </c>
      <c r="AA136" s="9"/>
      <c r="AB136" s="6" t="s">
        <v>434</v>
      </c>
    </row>
    <row r="137" customFormat="false" ht="17.15" hidden="false" customHeight="false" outlineLevel="0" collapsed="false">
      <c r="A137" s="5" t="s">
        <v>535</v>
      </c>
      <c r="B137" s="0" t="s">
        <v>536</v>
      </c>
      <c r="C137" s="13" t="n">
        <f aca="false">Path!C4</f>
        <v>1</v>
      </c>
      <c r="D137" s="13" t="n">
        <f aca="false">Path!D4</f>
        <v>1</v>
      </c>
      <c r="E137" s="13" t="n">
        <f aca="false">Path!E4</f>
        <v>1.05</v>
      </c>
      <c r="F137" s="13" t="n">
        <f aca="false">Path!F4</f>
        <v>1.365</v>
      </c>
      <c r="G137" s="13" t="n">
        <f aca="false">Path!G4</f>
        <v>2.559375</v>
      </c>
      <c r="H137" s="13" t="n">
        <f aca="false">Path!H4</f>
        <v>4.414921875</v>
      </c>
      <c r="I137" s="13" t="n">
        <f aca="false">Path!I4</f>
        <v>5.51865234375</v>
      </c>
      <c r="J137" s="13" t="n">
        <f aca="false">Path!J4</f>
        <v>5.96566318359375</v>
      </c>
      <c r="K137" s="13" t="n">
        <f aca="false">Path!K4*1</f>
        <v>6.14463307910156</v>
      </c>
      <c r="L137" s="13" t="n">
        <f aca="false">Path!L4*1</f>
        <v>6.14463307910156</v>
      </c>
      <c r="M137" s="13" t="n">
        <f aca="false">Path!M4*1</f>
        <v>5.83740142514648</v>
      </c>
      <c r="N137" s="13" t="n">
        <f aca="false">Path!N4*1</f>
        <v>5.42878332538623</v>
      </c>
      <c r="O137" s="13" t="n">
        <f aca="false">Path!O4*1</f>
        <v>5.15734415911692</v>
      </c>
      <c r="P137" s="13" t="n">
        <f aca="false">Path!P4*1</f>
        <v>4.89947695116107</v>
      </c>
      <c r="Q137" s="13" t="n">
        <f aca="false">Path!Q4*1</f>
        <v>4.65450310360302</v>
      </c>
      <c r="R137" s="13" t="n">
        <f aca="false">Path!R4*1</f>
        <v>4.42177794842287</v>
      </c>
      <c r="S137" s="13" t="n">
        <f aca="false">Path!S4*1</f>
        <v>4.28912460997018</v>
      </c>
      <c r="T137" s="13" t="n">
        <f aca="false">Path!T4*1</f>
        <v>4.16045087167108</v>
      </c>
      <c r="U137" s="13" t="n">
        <f aca="false">Path!U4*1</f>
        <v>4.03563734552094</v>
      </c>
      <c r="V137" s="13" t="n">
        <f aca="false">Path!V4*1</f>
        <v>3.91456822515532</v>
      </c>
      <c r="W137" s="13" t="n">
        <f aca="false">Path!V4*(1+p10)^(1/4)*1</f>
        <v>3.79144302937821</v>
      </c>
      <c r="X137" s="13" t="n">
        <f aca="false">Path!V4*(1+p10)^(2/4)*1</f>
        <v>3.6721904992345</v>
      </c>
      <c r="Y137" s="13" t="n">
        <f aca="false">Path!V4*(1+p10)^(3/4)*1</f>
        <v>3.55668882749365</v>
      </c>
      <c r="Z137" s="13" t="n">
        <f aca="false">Path!V4*(1+p10)^(4/4)*1</f>
        <v>3.44482003813668</v>
      </c>
      <c r="AB137" s="8" t="s">
        <v>537</v>
      </c>
    </row>
    <row r="138" customFormat="false" ht="17.15" hidden="false" customHeight="false" outlineLevel="0" collapsed="false">
      <c r="A138" s="5" t="s">
        <v>538</v>
      </c>
      <c r="B138" s="0" t="s">
        <v>222</v>
      </c>
      <c r="C138" s="10" t="n">
        <f aca="false">D123/4*(D123/C123)^((1-2.5)/4)/(((D123/C123)^(-0.375)+(D123/C123)^(-0.125)+(D123/C123)^(0.125)+(D123/C123)^(0.375))/4)</f>
        <v>239.477872684002</v>
      </c>
      <c r="D138" s="10" t="n">
        <f aca="false">D123/4*(D123/C123)^((2-2.5)/4)/(((D123/C123)^(-0.375)+(D123/C123)^(-0.125)+(D123/C123)^(0.125)+(D123/C123)^(0.375))/4)</f>
        <v>246.359830864633</v>
      </c>
      <c r="E138" s="10" t="n">
        <f aca="false">D123/4*(D123/C123)^((3-2.5)/4)/(((D123/C123)^(-0.375)+(D123/C123)^(-0.125)+(D123/C123)^(0.125)+(D123/C123)^(0.375))/4)</f>
        <v>253.439558249863</v>
      </c>
      <c r="F138" s="10" t="n">
        <f aca="false">D123/4*(D123/C123)^((4-2.5)/4)/(((D123/C123)^(-0.375)+(D123/C123)^(-0.125)+(D123/C123)^(0.125)+(D123/C123)^(0.375))/4)</f>
        <v>260.722738201501</v>
      </c>
      <c r="G138" s="10" t="n">
        <f aca="false">E123/4*(E123/D123)^((1-2.5)/4)/(((E123/D123)^(-0.375)+(E123/D123)^(-0.125)+(E123/D123)^(0.125)+(E123/D123)^(0.375))/4)</f>
        <v>281.231934694683</v>
      </c>
      <c r="H138" s="10" t="n">
        <f aca="false">E123/4*(E123/D123)^((2-2.5)/4)/(((E123/D123)^(-0.375)+(E123/D123)^(-0.125)+(E123/D123)^(0.125)+(E123/D123)^(0.375))/4)</f>
        <v>294.958541495794</v>
      </c>
      <c r="I138" s="10" t="n">
        <f aca="false">E123/4*(E123/D123)^((3-2.5)/4)/(((E123/D123)^(-0.375)+(E123/D123)^(-0.125)+(E123/D123)^(0.125)+(E123/D123)^(0.375))/4)</f>
        <v>309.355128164151</v>
      </c>
      <c r="J138" s="10" t="n">
        <f aca="false">E123/4*(E123/D123)^((4-2.5)/4)/(((E123/D123)^(-0.375)+(E123/D123)^(-0.125)+(E123/D123)^(0.125)+(E123/D123)^(0.375))/4)</f>
        <v>324.454395645373</v>
      </c>
      <c r="K138" s="10" t="n">
        <f aca="false">F123/4*(F123/E123)^((1-2.5)/4)/(((F123/E123)^(-0.375)+(F123/E123)^(-0.125)+(F123/E123)^(0.125)+(F123/E123)^(0.375))/4)</f>
        <v>347.096143815413</v>
      </c>
      <c r="L138" s="10" t="n">
        <f aca="false">F123/4*(F123/E123)^((2-2.5)/4)/(((F123/E123)^(-0.375)+(F123/E123)^(-0.125)+(F123/E123)^(0.125)+(F123/E123)^(0.375))/4)</f>
        <v>367.009488121451</v>
      </c>
      <c r="M138" s="10" t="n">
        <f aca="false">F123/4*(F123/E123)^((3-2.5)/4)/(((F123/E123)^(-0.375)+(F123/E123)^(-0.125)+(F123/E123)^(0.125)+(F123/E123)^(0.375))/4)</f>
        <v>388.065286149653</v>
      </c>
      <c r="N138" s="10" t="n">
        <f aca="false">F123/4*(F123/E123)^((4-2.5)/4)/(((F123/E123)^(-0.375)+(F123/E123)^(-0.125)+(F123/E123)^(0.125)+(F123/E123)^(0.375))/4)</f>
        <v>410.329081913483</v>
      </c>
      <c r="O138" s="10" t="n">
        <f aca="false">G123/4*(G123/F123)^((1-2.5)/4)/(((G123/F123)^(-0.375)+(G123/F123)^(-0.125)+(G123/F123)^(0.125)+(G123/F123)^(0.375))/4)</f>
        <v>433.870179769266</v>
      </c>
      <c r="P138" s="10" t="n">
        <f aca="false">G123/4*(G123/F123)^((2-2.5)/4)/(((G123/F123)^(-0.375)+(G123/F123)^(-0.125)+(G123/F123)^(0.125)+(G123/F123)^(0.375))/4)</f>
        <v>458.761860151814</v>
      </c>
      <c r="Q138" s="10" t="n">
        <f aca="false">G123/4*(G123/F123)^((3-2.5)/4)/(((G123/F123)^(-0.375)+(G123/F123)^(-0.125)+(G123/F123)^(0.125)+(G123/F123)^(0.375))/4)</f>
        <v>485.081607687067</v>
      </c>
      <c r="R138" s="10" t="n">
        <f aca="false">G123/4*(G123/F123)^((4-2.5)/4)/(((G123/F123)^(-0.375)+(G123/F123)^(-0.125)+(G123/F123)^(0.125)+(G123/F123)^(0.375))/4)</f>
        <v>512.911352391854</v>
      </c>
      <c r="S138" s="10" t="n">
        <f aca="false">H123/4*(H123/G123)^((1-2.5)/4)/(((H123/G123)^(-0.375)+(H123/G123)^(-0.125)+(H123/G123)^(0.125)+(H123/G123)^(0.375))/4)</f>
        <v>534.379419998991</v>
      </c>
      <c r="T138" s="10" t="n">
        <f aca="false">H123/4*(H123/G123)^((2-2.5)/4)/(((H123/G123)^(-0.375)+(H123/G123)^(-0.125)+(H123/G123)^(0.125)+(H123/G123)^(0.375))/4)</f>
        <v>561.616271458278</v>
      </c>
      <c r="U138" s="10" t="n">
        <f aca="false">H123/4*(H123/G123)^((3-2.5)/4)/(((H123/G123)^(-0.375)+(H123/G123)^(-0.125)+(H123/G123)^(0.125)+(H123/G123)^(0.375))/4)</f>
        <v>590.241361404399</v>
      </c>
      <c r="V138" s="10" t="n">
        <f aca="false">H123/4*(H123/G123)^((4-2.5)/4)/(((H123/G123)^(-0.375)+(H123/G123)^(-0.125)+(H123/G123)^(0.125)+(H123/G123)^(0.375))/4)</f>
        <v>620.325447138332</v>
      </c>
      <c r="W138" s="10" t="n">
        <f aca="false">I123/4*(I123/H123)^((1-2.5)/4)/(((I123/H123)^(-0.375)+(I123/H123)^(-0.125)+(I123/H123)^(0.125)+(I123/H123)^(0.375))/4)</f>
        <v>645.401182224621</v>
      </c>
      <c r="X138" s="10" t="n">
        <f aca="false">I123/4*(I123/H123)^((2-2.5)/4)/(((I123/H123)^(-0.375)+(I123/H123)^(-0.125)+(I123/H123)^(0.125)+(I123/H123)^(0.375))/4)</f>
        <v>675.499556321496</v>
      </c>
      <c r="Y138" s="10" t="n">
        <f aca="false">I123/4*(I123/H123)^((3-2.5)/4)/(((I123/H123)^(-0.375)+(I123/H123)^(-0.125)+(I123/H123)^(0.125)+(I123/H123)^(0.375))/4)</f>
        <v>707.001572289854</v>
      </c>
      <c r="Z138" s="10" t="n">
        <f aca="false">I123/4*(I123/H123)^((4-2.5)/4)/(((I123/H123)^(-0.375)+(I123/H123)^(-0.125)+(I123/H123)^(0.125)+(I123/H123)^(0.375))/4)</f>
        <v>739.972689164029</v>
      </c>
      <c r="AB138" s="5" t="s">
        <v>539</v>
      </c>
    </row>
    <row r="139" customFormat="false" ht="17.15" hidden="false" customHeight="false" outlineLevel="0" collapsed="false">
      <c r="A139" s="0" t="s">
        <v>540</v>
      </c>
      <c r="B139" s="0" t="s">
        <v>285</v>
      </c>
      <c r="C139" s="10" t="n">
        <f aca="false">(rv_ss_0+rv_sk_0+rv_mu_0+rv_kx_0+rv_sd_0)/t5_0</f>
        <v>12.9354838709677</v>
      </c>
      <c r="D139" s="10" t="n">
        <f aca="false">(rv_ss_1+rv_sk_1+rv_mu_1+rv_kx_1+rv_sd_1)/t5_1</f>
        <v>15.8054711246201</v>
      </c>
      <c r="E139" s="10" t="n">
        <f aca="false">(rv_ss_2+rv_sk_2+rv_mu_2+rv_kx_2+rv_sd_2)/t5_2</f>
        <v>18.7912087912088</v>
      </c>
      <c r="F139" s="10" t="n">
        <f aca="false">(rv_ss_3+rv_sk_3+rv_mu_3+rv_kx_3+rv_sd_3)/t5_3</f>
        <v>23.5714285714286</v>
      </c>
      <c r="G139" s="10" t="n">
        <f aca="false">(rv_ss_4+rv_sk_4+rv_mu_4+rv_kx_4+rv_sd_4)/t5_4</f>
        <v>43.954802259887</v>
      </c>
      <c r="H139" s="10" t="n">
        <f aca="false">(rv_ss_5+rv_sk_5+rv_mu_5+rv_kx_5+rv_sd_5)/t5_5</f>
        <v>78.703071672355</v>
      </c>
      <c r="I139" s="10" t="n">
        <f aca="false">$H139*I137/$H137*I138/$H138</f>
        <v>103.180597435169</v>
      </c>
      <c r="J139" s="10" t="n">
        <f aca="false">$H139*J137/$H137*J138/$H138</f>
        <v>116.982278156997</v>
      </c>
      <c r="K139" s="10" t="n">
        <f aca="false">$H139*K137/$H137*K138/$H138</f>
        <v>128.900150941515</v>
      </c>
      <c r="L139" s="10" t="n">
        <f aca="false">$H139*L137/$H137*L138/$H138</f>
        <v>136.295315458709</v>
      </c>
      <c r="M139" s="10" t="n">
        <f aca="false">$H139*M137/$H137*M138/$H138</f>
        <v>136.909012412225</v>
      </c>
      <c r="N139" s="10" t="n">
        <f aca="false">$H139*N137/$H137*N138/$H138</f>
        <v>134.630199550565</v>
      </c>
      <c r="O139" s="10" t="n">
        <f aca="false">$H139*O137/$H137*O138/$H138</f>
        <v>135.236398986234</v>
      </c>
      <c r="P139" s="10" t="n">
        <f aca="false">$H139*P137/$H137*P138/$H138</f>
        <v>135.845327956265</v>
      </c>
      <c r="Q139" s="10" t="n">
        <f aca="false">$H139*Q137/$H137*Q138/$H138</f>
        <v>136.456998750933</v>
      </c>
      <c r="R139" s="10" t="n">
        <f aca="false">$H139*R137/$H137*R138/$H138</f>
        <v>137.071423715852</v>
      </c>
      <c r="S139" s="10" t="n">
        <f aca="false">$H139*S137/$H137*S138/$H138</f>
        <v>138.524333952196</v>
      </c>
      <c r="T139" s="10" t="n">
        <f aca="false">$H139*T137/$H137*T138/$H138</f>
        <v>141.217254104587</v>
      </c>
      <c r="U139" s="10" t="n">
        <f aca="false">$H139*U137/$H137*U138/$H138</f>
        <v>143.962524762772</v>
      </c>
      <c r="V139" s="10" t="n">
        <f aca="false">$H139*V137/$H137*V138/$H138</f>
        <v>146.761163623267</v>
      </c>
      <c r="W139" s="10" t="n">
        <f aca="false">$H139*W137/$H137*W138/$H138</f>
        <v>147.891077748855</v>
      </c>
      <c r="X139" s="10" t="n">
        <f aca="false">$H139*X137/$H137*X138/$H138</f>
        <v>149.919440722426</v>
      </c>
      <c r="Y139" s="10" t="n">
        <f aca="false">$H139*Y137/$H137*Y138/$H138</f>
        <v>151.97562319948</v>
      </c>
      <c r="Z139" s="10" t="n">
        <f aca="false">$H139*Z137/$H137*Z138/$H138</f>
        <v>154.060006731437</v>
      </c>
      <c r="AB139" s="5" t="s">
        <v>541</v>
      </c>
    </row>
    <row r="140" customFormat="false" ht="17.15" hidden="false" customHeight="false" outlineLevel="0" collapsed="false">
      <c r="A140" s="5" t="s">
        <v>454</v>
      </c>
      <c r="B140" s="0" t="s">
        <v>25</v>
      </c>
      <c r="C140" s="12" t="n">
        <f aca="false">rv_ss_0/C139</f>
        <v>0.324688279301746</v>
      </c>
      <c r="D140" s="12" t="n">
        <f aca="false">rv_ss_1/D139</f>
        <v>0.329</v>
      </c>
      <c r="E140" s="12" t="n">
        <f aca="false">rv_ss_2/E139</f>
        <v>0.319298245614035</v>
      </c>
      <c r="F140" s="12" t="n">
        <f aca="false">rv_ss_3/F139</f>
        <v>0.28</v>
      </c>
      <c r="G140" s="12" t="n">
        <f aca="false">rv_ss_4/G139</f>
        <v>0.30736118251928</v>
      </c>
      <c r="H140" s="12" t="n">
        <f aca="false">rv_ss_5/H139</f>
        <v>0.293</v>
      </c>
      <c r="I140" s="12" t="n">
        <f aca="false">(rv_ss_4+rv_ss_5)/($G139+$H139)</f>
        <v>0.298146371102126</v>
      </c>
      <c r="J140" s="12" t="n">
        <f aca="false">(rv_ss_4+rv_ss_5)/($G139+$H139)</f>
        <v>0.298146371102126</v>
      </c>
      <c r="K140" s="12" t="n">
        <f aca="false">(rv_ss_4+rv_ss_5)/($G139+$H139)+dr_ss/100*1</f>
        <v>0.293146371102126</v>
      </c>
      <c r="L140" s="12" t="n">
        <f aca="false">(rv_ss_4+rv_ss_5)/($G139+$H139)+dr_ss/100*1</f>
        <v>0.293146371102126</v>
      </c>
      <c r="M140" s="12" t="n">
        <f aca="false">(rv_ss_4+rv_ss_5)/($G139+$H139)+dr_ss/100*1</f>
        <v>0.293146371102126</v>
      </c>
      <c r="N140" s="12" t="n">
        <f aca="false">(rv_ss_4+rv_ss_5)/($G139+$H139)+dr_ss/100*1</f>
        <v>0.293146371102126</v>
      </c>
      <c r="O140" s="12" t="n">
        <f aca="false">(rv_ss_4+rv_ss_5)/($G139+$H139)+dr_ss/100*2</f>
        <v>0.288146371102126</v>
      </c>
      <c r="P140" s="12" t="n">
        <f aca="false">(rv_ss_4+rv_ss_5)/($G139+$H139)+dr_ss/100*2</f>
        <v>0.288146371102126</v>
      </c>
      <c r="Q140" s="12" t="n">
        <f aca="false">(rv_ss_4+rv_ss_5)/($G139+$H139)+dr_ss/100*2</f>
        <v>0.288146371102126</v>
      </c>
      <c r="R140" s="12" t="n">
        <f aca="false">(rv_ss_4+rv_ss_5)/($G139+$H139)+dr_ss/100*2</f>
        <v>0.288146371102126</v>
      </c>
      <c r="S140" s="12" t="n">
        <f aca="false">(rv_ss_4+rv_ss_5)/($G139+$H139)+dr_ss/100*3</f>
        <v>0.283146371102126</v>
      </c>
      <c r="T140" s="12" t="n">
        <f aca="false">(rv_ss_4+rv_ss_5)/($G139+$H139)+dr_ss/100*3</f>
        <v>0.283146371102126</v>
      </c>
      <c r="U140" s="12" t="n">
        <f aca="false">(rv_ss_4+rv_ss_5)/($G139+$H139)+dr_ss/100*3</f>
        <v>0.283146371102126</v>
      </c>
      <c r="V140" s="12" t="n">
        <f aca="false">(rv_ss_4+rv_ss_5)/($G139+$H139)+dr_ss/100*3</f>
        <v>0.283146371102126</v>
      </c>
      <c r="W140" s="12" t="n">
        <f aca="false">(rv_ss_4+rv_ss_5)/($G139+$H139)+dr_ss/100*4</f>
        <v>0.278146371102126</v>
      </c>
      <c r="X140" s="12" t="n">
        <f aca="false">(rv_ss_4+rv_ss_5)/($G139+$H139)+dr_ss/100*4</f>
        <v>0.278146371102126</v>
      </c>
      <c r="Y140" s="12" t="n">
        <f aca="false">(rv_ss_4+rv_ss_5)/($G139+$H139)+dr_ss/100*4</f>
        <v>0.278146371102126</v>
      </c>
      <c r="Z140" s="12" t="n">
        <f aca="false">(rv_ss_4+rv_ss_5)/($G139+$H139)+dr_ss/100*4</f>
        <v>0.278146371102126</v>
      </c>
      <c r="AB140" s="8" t="s">
        <v>542</v>
      </c>
    </row>
    <row r="141" customFormat="false" ht="17.15" hidden="false" customHeight="false" outlineLevel="0" collapsed="false">
      <c r="A141" s="5" t="s">
        <v>455</v>
      </c>
      <c r="B141" s="0" t="s">
        <v>25</v>
      </c>
      <c r="C141" s="12" t="n">
        <f aca="false">rv_sk_0/C139</f>
        <v>0.16930174563591</v>
      </c>
      <c r="D141" s="12" t="n">
        <f aca="false">rv_sk_1/D139</f>
        <v>0.211319230769231</v>
      </c>
      <c r="E141" s="12" t="n">
        <f aca="false">rv_sk_2/E139</f>
        <v>0.187853801169591</v>
      </c>
      <c r="F141" s="12" t="n">
        <f aca="false">rv_sk_3/F139</f>
        <v>0.221030303030303</v>
      </c>
      <c r="G141" s="12" t="n">
        <f aca="false">rv_sk_4/G139</f>
        <v>0.17131233933162</v>
      </c>
      <c r="H141" s="12" t="n">
        <f aca="false">rv_sk_5/H139</f>
        <v>0.181314397224631</v>
      </c>
      <c r="I141" s="12" t="n">
        <f aca="false">(rv_sk_4+rv_sk_5)/($G139+$H139)</f>
        <v>0.177730130982399</v>
      </c>
      <c r="J141" s="12" t="n">
        <f aca="false">(rv_sk_4+rv_sk_5)/($G139+$H139)</f>
        <v>0.177730130982399</v>
      </c>
      <c r="K141" s="12" t="n">
        <f aca="false">(rv_sk_4+rv_sk_5)/($G139+$H139)+dr_sk/100*1</f>
        <v>0.177730130982399</v>
      </c>
      <c r="L141" s="12" t="n">
        <f aca="false">(rv_sk_4+rv_sk_5)/($G139+$H139)+dr_sk/100*1</f>
        <v>0.177730130982399</v>
      </c>
      <c r="M141" s="12" t="n">
        <f aca="false">(rv_sk_4+rv_sk_5)/($G139+$H139)+dr_sk/100*1</f>
        <v>0.177730130982399</v>
      </c>
      <c r="N141" s="12" t="n">
        <f aca="false">(rv_sk_4+rv_sk_5)/($G139+$H139)+dr_sk/100*1</f>
        <v>0.177730130982399</v>
      </c>
      <c r="O141" s="12" t="n">
        <f aca="false">(rv_sk_4+rv_sk_5)/($G139+$H139)+dr_sk/100*2</f>
        <v>0.177730130982399</v>
      </c>
      <c r="P141" s="12" t="n">
        <f aca="false">(rv_sk_4+rv_sk_5)/($G139+$H139)+dr_sk/100*2</f>
        <v>0.177730130982399</v>
      </c>
      <c r="Q141" s="12" t="n">
        <f aca="false">(rv_sk_4+rv_sk_5)/($G139+$H139)+dr_sk/100*2</f>
        <v>0.177730130982399</v>
      </c>
      <c r="R141" s="12" t="n">
        <f aca="false">(rv_sk_4+rv_sk_5)/($G139+$H139)+dr_sk/100*2</f>
        <v>0.177730130982399</v>
      </c>
      <c r="S141" s="12" t="n">
        <f aca="false">(rv_sk_4+rv_sk_5)/($G139+$H139)+dr_sk/100*3</f>
        <v>0.177730130982399</v>
      </c>
      <c r="T141" s="12" t="n">
        <f aca="false">(rv_sk_4+rv_sk_5)/($G139+$H139)+dr_sk/100*3</f>
        <v>0.177730130982399</v>
      </c>
      <c r="U141" s="12" t="n">
        <f aca="false">(rv_sk_4+rv_sk_5)/($G139+$H139)+dr_sk/100*3</f>
        <v>0.177730130982399</v>
      </c>
      <c r="V141" s="12" t="n">
        <f aca="false">(rv_sk_4+rv_sk_5)/($G139+$H139)+dr_sk/100*3</f>
        <v>0.177730130982399</v>
      </c>
      <c r="W141" s="12" t="n">
        <f aca="false">(rv_sk_4+rv_sk_5)/($G139+$H139)+dr_sk/100*4</f>
        <v>0.177730130982399</v>
      </c>
      <c r="X141" s="12" t="n">
        <f aca="false">(rv_sk_4+rv_sk_5)/($G139+$H139)+dr_sk/100*4</f>
        <v>0.177730130982399</v>
      </c>
      <c r="Y141" s="12" t="n">
        <f aca="false">(rv_sk_4+rv_sk_5)/($G139+$H139)+dr_sk/100*4</f>
        <v>0.177730130982399</v>
      </c>
      <c r="Z141" s="12" t="n">
        <f aca="false">(rv_sk_4+rv_sk_5)/($G139+$H139)+dr_sk/100*4</f>
        <v>0.177730130982399</v>
      </c>
      <c r="AB141" s="8" t="s">
        <v>542</v>
      </c>
    </row>
    <row r="142" customFormat="false" ht="17.15" hidden="false" customHeight="false" outlineLevel="0" collapsed="false">
      <c r="A142" s="5" t="s">
        <v>456</v>
      </c>
      <c r="B142" s="0" t="s">
        <v>25</v>
      </c>
      <c r="C142" s="12" t="n">
        <f aca="false">rv_mu_0/C139</f>
        <v>0.156932668329177</v>
      </c>
      <c r="D142" s="12" t="n">
        <f aca="false">rv_mu_1/D139</f>
        <v>0.132865384615385</v>
      </c>
      <c r="E142" s="12" t="n">
        <f aca="false">rv_mu_2/E139</f>
        <v>0.128783625730994</v>
      </c>
      <c r="F142" s="12" t="n">
        <f aca="false">rv_mu_3/F139</f>
        <v>0.128545454545455</v>
      </c>
      <c r="G142" s="12" t="n">
        <f aca="false">rv_mu_4/G139</f>
        <v>0.135366323907455</v>
      </c>
      <c r="H142" s="12" t="n">
        <f aca="false">rv_mu_5/H139</f>
        <v>0.150565915004337</v>
      </c>
      <c r="I142" s="12" t="n">
        <f aca="false">(rv_mu_4+rv_mu_5)/($G139+$H139)</f>
        <v>0.14511909777462</v>
      </c>
      <c r="J142" s="12" t="n">
        <f aca="false">(rv_mu_4+rv_mu_5)/($G139+$H139)</f>
        <v>0.14511909777462</v>
      </c>
      <c r="K142" s="12" t="n">
        <f aca="false">(rv_mu_4+rv_mu_5)/($G139+$H139)+dr_mu/100*1</f>
        <v>0.14711909777462</v>
      </c>
      <c r="L142" s="12" t="n">
        <f aca="false">(rv_mu_4+rv_mu_5)/($G139+$H139)+dr_mu/100*1</f>
        <v>0.14711909777462</v>
      </c>
      <c r="M142" s="12" t="n">
        <f aca="false">(rv_mu_4+rv_mu_5)/($G139+$H139)+dr_mu/100*1</f>
        <v>0.14711909777462</v>
      </c>
      <c r="N142" s="12" t="n">
        <f aca="false">(rv_mu_4+rv_mu_5)/($G139+$H139)+dr_mu/100*1</f>
        <v>0.14711909777462</v>
      </c>
      <c r="O142" s="12" t="n">
        <f aca="false">(rv_mu_4+rv_mu_5)/($G139+$H139)+dr_mu/100*2</f>
        <v>0.14911909777462</v>
      </c>
      <c r="P142" s="12" t="n">
        <f aca="false">(rv_mu_4+rv_mu_5)/($G139+$H139)+dr_mu/100*2</f>
        <v>0.14911909777462</v>
      </c>
      <c r="Q142" s="12" t="n">
        <f aca="false">(rv_mu_4+rv_mu_5)/($G139+$H139)+dr_mu/100*2</f>
        <v>0.14911909777462</v>
      </c>
      <c r="R142" s="12" t="n">
        <f aca="false">(rv_mu_4+rv_mu_5)/($G139+$H139)+dr_mu/100*2</f>
        <v>0.14911909777462</v>
      </c>
      <c r="S142" s="12" t="n">
        <f aca="false">(rv_mu_4+rv_mu_5)/($G139+$H139)+dr_mu/100*3</f>
        <v>0.15111909777462</v>
      </c>
      <c r="T142" s="12" t="n">
        <f aca="false">(rv_mu_4+rv_mu_5)/($G139+$H139)+dr_mu/100*3</f>
        <v>0.15111909777462</v>
      </c>
      <c r="U142" s="12" t="n">
        <f aca="false">(rv_mu_4+rv_mu_5)/($G139+$H139)+dr_mu/100*3</f>
        <v>0.15111909777462</v>
      </c>
      <c r="V142" s="12" t="n">
        <f aca="false">(rv_mu_4+rv_mu_5)/($G139+$H139)+dr_mu/100*3</f>
        <v>0.15111909777462</v>
      </c>
      <c r="W142" s="12" t="n">
        <f aca="false">(rv_mu_4+rv_mu_5)/($G139+$H139)+dr_mu/100*4</f>
        <v>0.15311909777462</v>
      </c>
      <c r="X142" s="12" t="n">
        <f aca="false">(rv_mu_4+rv_mu_5)/($G139+$H139)+dr_mu/100*4</f>
        <v>0.15311909777462</v>
      </c>
      <c r="Y142" s="12" t="n">
        <f aca="false">(rv_mu_4+rv_mu_5)/($G139+$H139)+dr_mu/100*4</f>
        <v>0.15311909777462</v>
      </c>
      <c r="Z142" s="12" t="n">
        <f aca="false">(rv_mu_4+rv_mu_5)/($G139+$H139)+dr_mu/100*4</f>
        <v>0.15311909777462</v>
      </c>
      <c r="AB142" s="8" t="s">
        <v>542</v>
      </c>
    </row>
    <row r="143" customFormat="false" ht="17.15" hidden="false" customHeight="false" outlineLevel="0" collapsed="false">
      <c r="A143" s="5" t="s">
        <v>457</v>
      </c>
      <c r="B143" s="0" t="s">
        <v>25</v>
      </c>
      <c r="C143" s="12" t="n">
        <f aca="false">rv_kx_0/C139</f>
        <v>0.148428927680798</v>
      </c>
      <c r="D143" s="12" t="n">
        <f aca="false">rv_kx_1/D139</f>
        <v>0.135396153846154</v>
      </c>
      <c r="E143" s="12" t="n">
        <f aca="false">rv_kx_2/E139</f>
        <v>0.151134502923977</v>
      </c>
      <c r="F143" s="12" t="n">
        <f aca="false">rv_kx_3/F139</f>
        <v>0.140424242424242</v>
      </c>
      <c r="G143" s="12" t="n">
        <f aca="false">rv_kx_4/G139</f>
        <v>0.13559383033419</v>
      </c>
      <c r="H143" s="12" t="n">
        <f aca="false">rv_kx_5/H139</f>
        <v>0.136208152645273</v>
      </c>
      <c r="I143" s="12" t="n">
        <f aca="false">kx_g/kx_fxg/kx_k/$I139</f>
        <v>0.144904344872829</v>
      </c>
      <c r="J143" s="12" t="n">
        <f aca="false">(kx_g/kx_fxg/kx_k/$I139+kx_g4/kx_fxg4/kx_k/$J139)/2</f>
        <v>0.138512987387224</v>
      </c>
      <c r="K143" s="12" t="n">
        <f aca="false">(kx_g/kx_fxg/kx_k/$I139+kx_g4/kx_fxg4/kx_k/$J139)/2+dr_jv_A/100*1*(kx_g/kx_fxg/kx_k)/(kx_g/kx_fxg/kx_k+sd_g/sd_k)</f>
        <v>0.138512987387224</v>
      </c>
      <c r="L143" s="12" t="n">
        <f aca="false">(kx_g/kx_fxg/kx_k/$I139+kx_g4/kx_fxg4/kx_k/$J139)/2+dr_jv_A/100*1*(kx_g/kx_fxg/kx_k)/(kx_g/kx_fxg/kx_k+sd_g/sd_k)</f>
        <v>0.138512987387224</v>
      </c>
      <c r="M143" s="12" t="n">
        <f aca="false">(kx_g/kx_fxg/kx_k/$I139+kx_g4/kx_fxg4/kx_k/$J139)/2+dr_jv_A/100*1*(kx_g/kx_fxg/kx_k)/(kx_g/kx_fxg/kx_k+sd_g/sd_k)</f>
        <v>0.138512987387224</v>
      </c>
      <c r="N143" s="12" t="n">
        <f aca="false">(kx_g/kx_fxg/kx_k/$I139+kx_g4/kx_fxg4/kx_k/$J139)/2+dr_jv_A/100*1*(kx_g/kx_fxg/kx_k)/(kx_g/kx_fxg/kx_k+sd_g/sd_k)</f>
        <v>0.138512987387224</v>
      </c>
      <c r="O143" s="12" t="n">
        <f aca="false">(kx_g/kx_fxg/kx_k/$I139+kx_g4/kx_fxg4/kx_k/$J139)/2+dr_jv_A/100*2*(kx_g/kx_fxg/kx_k)/(kx_g/kx_fxg/kx_k+sd_g/sd_k)</f>
        <v>0.138512987387224</v>
      </c>
      <c r="P143" s="12" t="n">
        <f aca="false">(kx_g/kx_fxg/kx_k/$I139+kx_g4/kx_fxg4/kx_k/$J139)/2+dr_jv_A/100*2*(kx_g/kx_fxg/kx_k)/(kx_g/kx_fxg/kx_k+sd_g/sd_k)</f>
        <v>0.138512987387224</v>
      </c>
      <c r="Q143" s="12" t="n">
        <f aca="false">(kx_g/kx_fxg/kx_k/$I139+kx_g4/kx_fxg4/kx_k/$J139)/2+dr_jv_A/100*2*(kx_g/kx_fxg/kx_k)/(kx_g/kx_fxg/kx_k+sd_g/sd_k)</f>
        <v>0.138512987387224</v>
      </c>
      <c r="R143" s="12" t="n">
        <f aca="false">(kx_g/kx_fxg/kx_k/$I139+kx_g4/kx_fxg4/kx_k/$J139)/2+dr_jv_A/100*2*(kx_g/kx_fxg/kx_k)/(kx_g/kx_fxg/kx_k+sd_g/sd_k)</f>
        <v>0.138512987387224</v>
      </c>
      <c r="S143" s="12" t="n">
        <f aca="false">(kx_g/kx_fxg/kx_k/$I139+kx_g4/kx_fxg4/kx_k/$J139)/2+dr_jv_A/100*3*(kx_g/kx_fxg/kx_k)/(kx_g/kx_fxg/kx_k+sd_g/sd_k)</f>
        <v>0.138512987387224</v>
      </c>
      <c r="T143" s="12" t="n">
        <f aca="false">(kx_g/kx_fxg/kx_k/$I139+kx_g4/kx_fxg4/kx_k/$J139)/2+dr_jv_A/100*3*(kx_g/kx_fxg/kx_k)/(kx_g/kx_fxg/kx_k+sd_g/sd_k)</f>
        <v>0.138512987387224</v>
      </c>
      <c r="U143" s="12" t="n">
        <f aca="false">(kx_g/kx_fxg/kx_k/$I139+kx_g4/kx_fxg4/kx_k/$J139)/2+dr_jv_A/100*3*(kx_g/kx_fxg/kx_k)/(kx_g/kx_fxg/kx_k+sd_g/sd_k)</f>
        <v>0.138512987387224</v>
      </c>
      <c r="V143" s="12" t="n">
        <f aca="false">(kx_g/kx_fxg/kx_k/$I139+kx_g4/kx_fxg4/kx_k/$J139)/2+dr_jv_A/100*3*(kx_g/kx_fxg/kx_k)/(kx_g/kx_fxg/kx_k+sd_g/sd_k)</f>
        <v>0.138512987387224</v>
      </c>
      <c r="W143" s="12" t="n">
        <f aca="false">(kx_g/kx_fxg/kx_k/$I139+kx_g4/kx_fxg4/kx_k/$J139)/2+dr_jv_A/100*4*(kx_g/kx_fxg/kx_k)/(kx_g/kx_fxg/kx_k+sd_g/sd_k)</f>
        <v>0.138512987387224</v>
      </c>
      <c r="X143" s="12" t="n">
        <f aca="false">(kx_g/kx_fxg/kx_k/$I139+kx_g4/kx_fxg4/kx_k/$J139)/2+dr_jv_A/100*4*(kx_g/kx_fxg/kx_k)/(kx_g/kx_fxg/kx_k+sd_g/sd_k)</f>
        <v>0.138512987387224</v>
      </c>
      <c r="Y143" s="12" t="n">
        <f aca="false">(kx_g/kx_fxg/kx_k/$I139+kx_g4/kx_fxg4/kx_k/$J139)/2+dr_jv_A/100*4*(kx_g/kx_fxg/kx_k)/(kx_g/kx_fxg/kx_k+sd_g/sd_k)</f>
        <v>0.138512987387224</v>
      </c>
      <c r="Z143" s="12" t="n">
        <f aca="false">(kx_g/kx_fxg/kx_k/$I139+kx_g4/kx_fxg4/kx_k/$J139)/2+dr_jv_A/100*4*(kx_g/kx_fxg/kx_k)/(kx_g/kx_fxg/kx_k+sd_g/sd_k)</f>
        <v>0.138512987387224</v>
      </c>
      <c r="AB143" s="8" t="s">
        <v>543</v>
      </c>
    </row>
    <row r="144" customFormat="false" ht="17.15" hidden="false" customHeight="false" outlineLevel="0" collapsed="false">
      <c r="A144" s="5" t="s">
        <v>458</v>
      </c>
      <c r="B144" s="0" t="s">
        <v>25</v>
      </c>
      <c r="C144" s="12" t="n">
        <f aca="false">rv_sd_0/C139</f>
        <v>0.130648379052369</v>
      </c>
      <c r="D144" s="12" t="n">
        <f aca="false">rv_sd_1/D139</f>
        <v>0.120211538461538</v>
      </c>
      <c r="E144" s="12" t="n">
        <f aca="false">rv_sd_2/E139</f>
        <v>0.122929824561404</v>
      </c>
      <c r="F144" s="12" t="n">
        <f aca="false">rv_sd_3/F139</f>
        <v>0.128545454545455</v>
      </c>
      <c r="G144" s="12" t="n">
        <f aca="false">rv_sd_4/G139</f>
        <v>0.135366323907455</v>
      </c>
      <c r="H144" s="12" t="n">
        <f aca="false">rv_sd_5/H139</f>
        <v>0.113972679965308</v>
      </c>
      <c r="I144" s="12" t="n">
        <f aca="false">sd_g/sd_k/$I139</f>
        <v>0.106969261015561</v>
      </c>
      <c r="J144" s="12" t="n">
        <f aca="false">(sd_g/sd_k/$I139+sd_g4/sd_k/$J139)/2</f>
        <v>0.106513670372059</v>
      </c>
      <c r="K144" s="12" t="n">
        <f aca="false">(sd_g/sd_k/$I139+sd_g4/sd_k/$J139)/2+dr_jv_A/100*1*(sd_g/sd_k)/(kx_g/kx_fxg/kx_k+sd_g/sd_k)</f>
        <v>0.106513670372059</v>
      </c>
      <c r="L144" s="12" t="n">
        <f aca="false">(sd_g/sd_k/$I139+sd_g4/sd_k/$J139)/2+dr_jv_A/100*1*(sd_g/sd_k)/(kx_g/kx_fxg/kx_k+sd_g/sd_k)</f>
        <v>0.106513670372059</v>
      </c>
      <c r="M144" s="12" t="n">
        <f aca="false">(sd_g/sd_k/$I139+sd_g4/sd_k/$J139)/2+dr_jv_A/100*1*(sd_g/sd_k)/(kx_g/kx_fxg/kx_k+sd_g/sd_k)</f>
        <v>0.106513670372059</v>
      </c>
      <c r="N144" s="12" t="n">
        <f aca="false">(sd_g/sd_k/$I139+sd_g4/sd_k/$J139)/2+dr_jv_A/100*1*(sd_g/sd_k)/(kx_g/kx_fxg/kx_k+sd_g/sd_k)</f>
        <v>0.106513670372059</v>
      </c>
      <c r="O144" s="12" t="n">
        <f aca="false">(sd_g/sd_k/$I139+sd_g4/sd_k/$J139)/2+dr_jv_A/100*2*(sd_g/sd_k)/(kx_g/kx_fxg/kx_k+sd_g/sd_k)</f>
        <v>0.106513670372059</v>
      </c>
      <c r="P144" s="12" t="n">
        <f aca="false">(sd_g/sd_k/$I139+sd_g4/sd_k/$J139)/2+dr_jv_A/100*2*(sd_g/sd_k)/(kx_g/kx_fxg/kx_k+sd_g/sd_k)</f>
        <v>0.106513670372059</v>
      </c>
      <c r="Q144" s="12" t="n">
        <f aca="false">(sd_g/sd_k/$I139+sd_g4/sd_k/$J139)/2+dr_jv_A/100*2*(sd_g/sd_k)/(kx_g/kx_fxg/kx_k+sd_g/sd_k)</f>
        <v>0.106513670372059</v>
      </c>
      <c r="R144" s="12" t="n">
        <f aca="false">(sd_g/sd_k/$I139+sd_g4/sd_k/$J139)/2+dr_jv_A/100*2*(sd_g/sd_k)/(kx_g/kx_fxg/kx_k+sd_g/sd_k)</f>
        <v>0.106513670372059</v>
      </c>
      <c r="S144" s="12" t="n">
        <f aca="false">(sd_g/sd_k/$I139+sd_g4/sd_k/$J139)/2+dr_jv_A/100*3*(sd_g/sd_k)/(kx_g/kx_fxg/kx_k+sd_g/sd_k)</f>
        <v>0.106513670372059</v>
      </c>
      <c r="T144" s="12" t="n">
        <f aca="false">(sd_g/sd_k/$I139+sd_g4/sd_k/$J139)/2+dr_jv_A/100*3*(sd_g/sd_k)/(kx_g/kx_fxg/kx_k+sd_g/sd_k)</f>
        <v>0.106513670372059</v>
      </c>
      <c r="U144" s="12" t="n">
        <f aca="false">(sd_g/sd_k/$I139+sd_g4/sd_k/$J139)/2+dr_jv_A/100*3*(sd_g/sd_k)/(kx_g/kx_fxg/kx_k+sd_g/sd_k)</f>
        <v>0.106513670372059</v>
      </c>
      <c r="V144" s="12" t="n">
        <f aca="false">(sd_g/sd_k/$I139+sd_g4/sd_k/$J139)/2+dr_jv_A/100*3*(sd_g/sd_k)/(kx_g/kx_fxg/kx_k+sd_g/sd_k)</f>
        <v>0.106513670372059</v>
      </c>
      <c r="W144" s="12" t="n">
        <f aca="false">(sd_g/sd_k/$I139+sd_g4/sd_k/$J139)/2+dr_jv_A/100*4*(sd_g/sd_k)/(kx_g/kx_fxg/kx_k+sd_g/sd_k)</f>
        <v>0.106513670372059</v>
      </c>
      <c r="X144" s="12" t="n">
        <f aca="false">(sd_g/sd_k/$I139+sd_g4/sd_k/$J139)/2+dr_jv_A/100*4*(sd_g/sd_k)/(kx_g/kx_fxg/kx_k+sd_g/sd_k)</f>
        <v>0.106513670372059</v>
      </c>
      <c r="Y144" s="12" t="n">
        <f aca="false">(sd_g/sd_k/$I139+sd_g4/sd_k/$J139)/2+dr_jv_A/100*4*(sd_g/sd_k)/(kx_g/kx_fxg/kx_k+sd_g/sd_k)</f>
        <v>0.106513670372059</v>
      </c>
      <c r="Z144" s="12" t="n">
        <f aca="false">(sd_g/sd_k/$I139+sd_g4/sd_k/$J139)/2+dr_jv_A/100*4*(sd_g/sd_k)/(kx_g/kx_fxg/kx_k+sd_g/sd_k)</f>
        <v>0.106513670372059</v>
      </c>
      <c r="AB144" s="8" t="s">
        <v>544</v>
      </c>
    </row>
    <row r="145" customFormat="false" ht="15" hidden="false" customHeight="false" outlineLevel="0" collapsed="false">
      <c r="A145" s="5" t="s">
        <v>459</v>
      </c>
      <c r="B145" s="0" t="s">
        <v>25</v>
      </c>
      <c r="C145" s="12" t="n">
        <f aca="false">1-t5_0</f>
        <v>0.07</v>
      </c>
      <c r="D145" s="12" t="n">
        <f aca="false">1-t5_1</f>
        <v>0.0712076923076923</v>
      </c>
      <c r="E145" s="12" t="n">
        <f aca="false">1-t5_2</f>
        <v>0.09</v>
      </c>
      <c r="F145" s="12" t="n">
        <f aca="false">1-t5_3</f>
        <v>0.101454545454545</v>
      </c>
      <c r="G145" s="12" t="n">
        <f aca="false">1-t5_4</f>
        <v>0.115</v>
      </c>
      <c r="H145" s="12" t="n">
        <f aca="false">1-t5_5</f>
        <v>0.124938855160451</v>
      </c>
      <c r="I145" s="12" t="n">
        <f aca="false">1-I140-I141-I142-I143-I144</f>
        <v>0.127130794252464</v>
      </c>
      <c r="J145" s="12" t="n">
        <f aca="false">1-J140-J141-J142-J143-J144</f>
        <v>0.133977742381572</v>
      </c>
      <c r="K145" s="12" t="n">
        <f aca="false">1-K140-K141-K142-K143-K144</f>
        <v>0.136977742381572</v>
      </c>
      <c r="L145" s="12" t="n">
        <f aca="false">1-L140-L141-L142-L143-L144</f>
        <v>0.136977742381572</v>
      </c>
      <c r="M145" s="12" t="n">
        <f aca="false">1-M140-M141-M142-M143-M144</f>
        <v>0.136977742381572</v>
      </c>
      <c r="N145" s="12" t="n">
        <f aca="false">1-N140-N141-N142-N143-N144</f>
        <v>0.136977742381572</v>
      </c>
      <c r="O145" s="12" t="n">
        <f aca="false">1-O140-O141-O142-O143-O144</f>
        <v>0.139977742381572</v>
      </c>
      <c r="P145" s="12" t="n">
        <f aca="false">1-P140-P141-P142-P143-P144</f>
        <v>0.139977742381572</v>
      </c>
      <c r="Q145" s="12" t="n">
        <f aca="false">1-Q140-Q141-Q142-Q143-Q144</f>
        <v>0.139977742381572</v>
      </c>
      <c r="R145" s="12" t="n">
        <f aca="false">1-R140-R141-R142-R143-R144</f>
        <v>0.139977742381572</v>
      </c>
      <c r="S145" s="12" t="n">
        <f aca="false">1-S140-S141-S142-S143-S144</f>
        <v>0.142977742381572</v>
      </c>
      <c r="T145" s="12" t="n">
        <f aca="false">1-T140-T141-T142-T143-T144</f>
        <v>0.142977742381572</v>
      </c>
      <c r="U145" s="12" t="n">
        <f aca="false">1-U140-U141-U142-U143-U144</f>
        <v>0.142977742381572</v>
      </c>
      <c r="V145" s="12" t="n">
        <f aca="false">1-V140-V141-V142-V143-V144</f>
        <v>0.142977742381572</v>
      </c>
      <c r="W145" s="12" t="n">
        <f aca="false">1-W140-W141-W142-W143-W144</f>
        <v>0.145977742381572</v>
      </c>
      <c r="X145" s="12" t="n">
        <f aca="false">1-X140-X141-X142-X143-X144</f>
        <v>0.145977742381572</v>
      </c>
      <c r="Y145" s="12" t="n">
        <f aca="false">1-Y140-Y141-Y142-Y143-Y144</f>
        <v>0.145977742381572</v>
      </c>
      <c r="Z145" s="12" t="n">
        <f aca="false">1-Z140-Z141-Z142-Z143-Z144</f>
        <v>0.145977742381572</v>
      </c>
      <c r="AB145" s="5" t="s">
        <v>545</v>
      </c>
    </row>
    <row r="146" customFormat="false" ht="17.15" hidden="false" customHeight="false" outlineLevel="0" collapsed="false">
      <c r="A146" s="5" t="s">
        <v>546</v>
      </c>
      <c r="B146" s="0" t="s">
        <v>285</v>
      </c>
      <c r="C146" s="19" t="n">
        <f aca="false">C139*C140</f>
        <v>4.2</v>
      </c>
      <c r="D146" s="19" t="n">
        <f aca="false">D139*D140</f>
        <v>5.2</v>
      </c>
      <c r="E146" s="19" t="n">
        <f aca="false">E139*E140</f>
        <v>6</v>
      </c>
      <c r="F146" s="19" t="n">
        <f aca="false">F139*F140</f>
        <v>6.6</v>
      </c>
      <c r="G146" s="19" t="n">
        <f aca="false">G139*G140</f>
        <v>13.51</v>
      </c>
      <c r="H146" s="19" t="n">
        <f aca="false">H139*H140</f>
        <v>23.06</v>
      </c>
      <c r="I146" s="19" t="n">
        <f aca="false">I139*I140</f>
        <v>30.7629206934451</v>
      </c>
      <c r="J146" s="19" t="n">
        <f aca="false">J139*J140</f>
        <v>34.877841715768</v>
      </c>
      <c r="K146" s="19" t="n">
        <f aca="false">K139*K140</f>
        <v>37.7866114830214</v>
      </c>
      <c r="L146" s="19" t="n">
        <f aca="false">L139*L140</f>
        <v>39.9544771249401</v>
      </c>
      <c r="M146" s="19" t="n">
        <f aca="false">M139*M140</f>
        <v>40.1343801598198</v>
      </c>
      <c r="N146" s="19" t="n">
        <f aca="false">N139*N140</f>
        <v>39.4663544390031</v>
      </c>
      <c r="O146" s="19" t="n">
        <f aca="false">O139*O140</f>
        <v>38.9678776088025</v>
      </c>
      <c r="P146" s="19" t="n">
        <f aca="false">P139*P140</f>
        <v>39.1433382817759</v>
      </c>
      <c r="Q146" s="19" t="n">
        <f aca="false">Q139*Q140</f>
        <v>39.3195890015687</v>
      </c>
      <c r="R146" s="19" t="n">
        <f aca="false">R139*R140</f>
        <v>39.4966333255248</v>
      </c>
      <c r="S146" s="19" t="n">
        <f aca="false">S139*S140</f>
        <v>39.2226624679034</v>
      </c>
      <c r="T146" s="19" t="n">
        <f aca="false">T139*T140</f>
        <v>39.9851530367208</v>
      </c>
      <c r="U146" s="19" t="n">
        <f aca="false">U139*U140</f>
        <v>40.762466461279</v>
      </c>
      <c r="V146" s="19" t="n">
        <f aca="false">V139*V140</f>
        <v>41.5548908986535</v>
      </c>
      <c r="W146" s="19" t="n">
        <f aca="false">W139*W140</f>
        <v>41.1353665942265</v>
      </c>
      <c r="X146" s="19" t="n">
        <f aca="false">X139*X140</f>
        <v>41.6995483946031</v>
      </c>
      <c r="Y146" s="19" t="n">
        <f aca="false">Y139*Y140</f>
        <v>42.2714680889193</v>
      </c>
      <c r="Z146" s="19" t="n">
        <f aca="false">Z139*Z140</f>
        <v>42.8512318043183</v>
      </c>
    </row>
    <row r="147" customFormat="false" ht="17.15" hidden="false" customHeight="false" outlineLevel="0" collapsed="false">
      <c r="A147" s="0" t="s">
        <v>547</v>
      </c>
      <c r="B147" s="0" t="s">
        <v>285</v>
      </c>
      <c r="C147" s="19" t="n">
        <f aca="false">C139*C141</f>
        <v>2.19</v>
      </c>
      <c r="D147" s="19" t="n">
        <f aca="false">D139*D141</f>
        <v>3.34</v>
      </c>
      <c r="E147" s="19" t="n">
        <f aca="false">E139*E141</f>
        <v>3.53</v>
      </c>
      <c r="F147" s="19" t="n">
        <f aca="false">F139*F141</f>
        <v>5.21</v>
      </c>
      <c r="G147" s="19" t="n">
        <f aca="false">G139*G141</f>
        <v>7.53</v>
      </c>
      <c r="H147" s="19" t="n">
        <f aca="false">H139*H141</f>
        <v>14.27</v>
      </c>
      <c r="I147" s="19" t="n">
        <f aca="false">I139*I141</f>
        <v>18.3383010969949</v>
      </c>
      <c r="J147" s="19" t="n">
        <f aca="false">J139*J141</f>
        <v>20.7912756194625</v>
      </c>
      <c r="K147" s="19" t="n">
        <f aca="false">K139*K141</f>
        <v>22.9094407104865</v>
      </c>
      <c r="L147" s="19" t="n">
        <f aca="false">L139*L141</f>
        <v>24.2237842687638</v>
      </c>
      <c r="M147" s="19" t="n">
        <f aca="false">M139*M141</f>
        <v>24.3328567086957</v>
      </c>
      <c r="N147" s="19" t="n">
        <f aca="false">N139*N141</f>
        <v>23.9278430003084</v>
      </c>
      <c r="O147" s="19" t="n">
        <f aca="false">O139*O141</f>
        <v>24.0355829054114</v>
      </c>
      <c r="P147" s="19" t="n">
        <f aca="false">P139*P141</f>
        <v>24.143807931014</v>
      </c>
      <c r="Q147" s="19" t="n">
        <f aca="false">Q139*Q141</f>
        <v>24.2525202614684</v>
      </c>
      <c r="R147" s="19" t="n">
        <f aca="false">R139*R141</f>
        <v>24.3617220909624</v>
      </c>
      <c r="S147" s="19" t="n">
        <f aca="false">S139*S141</f>
        <v>24.6199480175735</v>
      </c>
      <c r="T147" s="19" t="n">
        <f aca="false">T139*T141</f>
        <v>25.0985610689831</v>
      </c>
      <c r="U147" s="19" t="n">
        <f aca="false">U139*U141</f>
        <v>25.5864783826445</v>
      </c>
      <c r="V147" s="19" t="n">
        <f aca="false">V139*V141</f>
        <v>26.0838808338927</v>
      </c>
      <c r="W147" s="19" t="n">
        <f aca="false">W139*W141</f>
        <v>26.2847006194323</v>
      </c>
      <c r="X147" s="19" t="n">
        <f aca="false">X139*X141</f>
        <v>26.6452018364048</v>
      </c>
      <c r="Y147" s="19" t="n">
        <f aca="false">Y139*Y141</f>
        <v>27.0106474173753</v>
      </c>
      <c r="Z147" s="19" t="n">
        <f aca="false">Z139*Z141</f>
        <v>27.3811051755276</v>
      </c>
    </row>
    <row r="148" customFormat="false" ht="17.15" hidden="false" customHeight="false" outlineLevel="0" collapsed="false">
      <c r="A148" s="5" t="s">
        <v>548</v>
      </c>
      <c r="B148" s="0" t="s">
        <v>285</v>
      </c>
      <c r="C148" s="19" t="n">
        <f aca="false">C139*C142</f>
        <v>2.03</v>
      </c>
      <c r="D148" s="19" t="n">
        <f aca="false">D139*D142</f>
        <v>2.1</v>
      </c>
      <c r="E148" s="19" t="n">
        <f aca="false">E139*E142</f>
        <v>2.42</v>
      </c>
      <c r="F148" s="19" t="n">
        <f aca="false">F139*F142</f>
        <v>3.03</v>
      </c>
      <c r="G148" s="19" t="n">
        <f aca="false">G139*G142</f>
        <v>5.95</v>
      </c>
      <c r="H148" s="19" t="n">
        <f aca="false">H139*H142</f>
        <v>11.85</v>
      </c>
      <c r="I148" s="19" t="n">
        <f aca="false">I139*I142</f>
        <v>14.973475207638</v>
      </c>
      <c r="J148" s="19" t="n">
        <f aca="false">J139*J142</f>
        <v>16.976362661763</v>
      </c>
      <c r="K148" s="19" t="n">
        <f aca="false">K139*K142</f>
        <v>18.963673909528</v>
      </c>
      <c r="L148" s="19" t="n">
        <f aca="false">L139*L142</f>
        <v>20.0516438411925</v>
      </c>
      <c r="M148" s="19" t="n">
        <f aca="false">M139*M142</f>
        <v>20.1419303833008</v>
      </c>
      <c r="N148" s="19" t="n">
        <f aca="false">N139*N142</f>
        <v>19.8066734910961</v>
      </c>
      <c r="O148" s="19" t="n">
        <f aca="false">O139*O142</f>
        <v>20.1663298031157</v>
      </c>
      <c r="P148" s="19" t="n">
        <f aca="false">P139*P142</f>
        <v>20.2571327417356</v>
      </c>
      <c r="Q148" s="19" t="n">
        <f aca="false">Q139*Q142</f>
        <v>20.3483445387715</v>
      </c>
      <c r="R148" s="19" t="n">
        <f aca="false">R139*R142</f>
        <v>20.4399670351905</v>
      </c>
      <c r="S148" s="19" t="n">
        <f aca="false">S139*S142</f>
        <v>20.933672366686</v>
      </c>
      <c r="T148" s="19" t="n">
        <f aca="false">T139*T142</f>
        <v>21.3406240304945</v>
      </c>
      <c r="U148" s="19" t="n">
        <f aca="false">U139*U142</f>
        <v>21.7554868555065</v>
      </c>
      <c r="V148" s="19" t="n">
        <f aca="false">V139*V142</f>
        <v>22.1784146351015</v>
      </c>
      <c r="W148" s="19" t="n">
        <f aca="false">W139*W142</f>
        <v>22.6449483938209</v>
      </c>
      <c r="X148" s="19" t="n">
        <f aca="false">X139*X142</f>
        <v>22.9555295022935</v>
      </c>
      <c r="Y148" s="19" t="n">
        <f aca="false">Y139*Y142</f>
        <v>23.2703703080399</v>
      </c>
      <c r="Z148" s="19" t="n">
        <f aca="false">Z139*Z142</f>
        <v>23.5895292338695</v>
      </c>
    </row>
    <row r="149" customFormat="false" ht="17.15" hidden="false" customHeight="false" outlineLevel="0" collapsed="false">
      <c r="A149" s="0" t="s">
        <v>549</v>
      </c>
      <c r="B149" s="0" t="s">
        <v>285</v>
      </c>
      <c r="C149" s="19" t="n">
        <f aca="false">C139*C143</f>
        <v>1.92</v>
      </c>
      <c r="D149" s="19" t="n">
        <f aca="false">D139*D143</f>
        <v>2.14</v>
      </c>
      <c r="E149" s="19" t="n">
        <f aca="false">E139*E143</f>
        <v>2.84</v>
      </c>
      <c r="F149" s="19" t="n">
        <f aca="false">F139*F143</f>
        <v>3.31</v>
      </c>
      <c r="G149" s="19" t="n">
        <f aca="false">G139*G143</f>
        <v>5.96</v>
      </c>
      <c r="H149" s="19" t="n">
        <f aca="false">H139*H143</f>
        <v>10.72</v>
      </c>
      <c r="I149" s="19" t="n">
        <f aca="false">I139*I143</f>
        <v>14.9513168749304</v>
      </c>
      <c r="J149" s="19" t="n">
        <f aca="false">J139*J143</f>
        <v>16.2035648188888</v>
      </c>
      <c r="K149" s="19" t="n">
        <f aca="false">K139*K143</f>
        <v>17.8543449815733</v>
      </c>
      <c r="L149" s="19" t="n">
        <f aca="false">L139*L143</f>
        <v>18.8786713110699</v>
      </c>
      <c r="M149" s="19" t="n">
        <f aca="false">M139*M143</f>
        <v>18.9636763094518</v>
      </c>
      <c r="N149" s="19" t="n">
        <f aca="false">N139*N143</f>
        <v>18.6480311322868</v>
      </c>
      <c r="O149" s="19" t="n">
        <f aca="false">O139*O143</f>
        <v>18.7319976270738</v>
      </c>
      <c r="P149" s="19" t="n">
        <f aca="false">P139*P143</f>
        <v>18.8163421978194</v>
      </c>
      <c r="Q149" s="19" t="n">
        <f aca="false">Q139*Q143</f>
        <v>18.9010665468864</v>
      </c>
      <c r="R149" s="19" t="n">
        <f aca="false">R139*R143</f>
        <v>18.9861723843027</v>
      </c>
      <c r="S149" s="19" t="n">
        <f aca="false">S139*S143</f>
        <v>19.1874193215442</v>
      </c>
      <c r="T149" s="19" t="n">
        <f aca="false">T139*T143</f>
        <v>19.5604237366471</v>
      </c>
      <c r="U149" s="19" t="n">
        <f aca="false">U139*U143</f>
        <v>19.9406793766988</v>
      </c>
      <c r="V149" s="19" t="n">
        <f aca="false">V139*V143</f>
        <v>20.3283272058839</v>
      </c>
      <c r="W149" s="19" t="n">
        <f aca="false">W139*W143</f>
        <v>20.4848349869102</v>
      </c>
      <c r="X149" s="19" t="n">
        <f aca="false">X139*X143</f>
        <v>20.7657896018851</v>
      </c>
      <c r="Y149" s="19" t="n">
        <f aca="false">Y139*Y143</f>
        <v>21.050597579395</v>
      </c>
      <c r="Z149" s="19" t="n">
        <f aca="false">Z139*Z143</f>
        <v>21.3393117692672</v>
      </c>
    </row>
    <row r="150" customFormat="false" ht="17.15" hidden="false" customHeight="false" outlineLevel="0" collapsed="false">
      <c r="A150" s="0" t="s">
        <v>550</v>
      </c>
      <c r="B150" s="0" t="s">
        <v>285</v>
      </c>
      <c r="C150" s="19" t="n">
        <f aca="false">C139*C144</f>
        <v>1.69</v>
      </c>
      <c r="D150" s="19" t="n">
        <f aca="false">D139*D144</f>
        <v>1.9</v>
      </c>
      <c r="E150" s="19" t="n">
        <f aca="false">E139*E144</f>
        <v>2.31</v>
      </c>
      <c r="F150" s="19" t="n">
        <f aca="false">F139*F144</f>
        <v>3.03</v>
      </c>
      <c r="G150" s="19" t="n">
        <f aca="false">G139*G144</f>
        <v>5.95</v>
      </c>
      <c r="H150" s="19" t="n">
        <f aca="false">H139*H144</f>
        <v>8.97</v>
      </c>
      <c r="I150" s="19" t="n">
        <f aca="false">I139*I144</f>
        <v>11.0371522587842</v>
      </c>
      <c r="J150" s="19" t="n">
        <f aca="false">J139*J144</f>
        <v>12.4602118149868</v>
      </c>
      <c r="K150" s="19" t="n">
        <f aca="false">K139*K144</f>
        <v>13.7296281882931</v>
      </c>
      <c r="L150" s="19" t="n">
        <f aca="false">L139*L144</f>
        <v>14.5173143040247</v>
      </c>
      <c r="M150" s="19" t="n">
        <f aca="false">M139*M144</f>
        <v>14.5826814190399</v>
      </c>
      <c r="N150" s="19" t="n">
        <f aca="false">N139*N144</f>
        <v>14.3399566970533</v>
      </c>
      <c r="O150" s="19" t="n">
        <f aca="false">O139*O144</f>
        <v>14.4045252239239</v>
      </c>
      <c r="P150" s="19" t="n">
        <f aca="false">P139*P144</f>
        <v>14.4693844835178</v>
      </c>
      <c r="Q150" s="19" t="n">
        <f aca="false">Q139*Q144</f>
        <v>14.5345357849173</v>
      </c>
      <c r="R150" s="19" t="n">
        <f aca="false">R139*R144</f>
        <v>14.5999804430991</v>
      </c>
      <c r="S150" s="19" t="n">
        <f aca="false">S139*S144</f>
        <v>14.7547352450932</v>
      </c>
      <c r="T150" s="19" t="n">
        <f aca="false">T139*T144</f>
        <v>15.0415680545433</v>
      </c>
      <c r="U150" s="19" t="n">
        <f aca="false">U139*U144</f>
        <v>15.3339769085113</v>
      </c>
      <c r="V150" s="19" t="n">
        <f aca="false">V139*V144</f>
        <v>15.6320702055885</v>
      </c>
      <c r="W150" s="19" t="n">
        <f aca="false">W139*W144</f>
        <v>15.7524215063101</v>
      </c>
      <c r="X150" s="19" t="n">
        <f aca="false">X139*X144</f>
        <v>15.9684698914719</v>
      </c>
      <c r="Y150" s="19" t="n">
        <f aca="false">Y139*Y144</f>
        <v>16.1874814340576</v>
      </c>
      <c r="Z150" s="19" t="n">
        <f aca="false">Z139*Z144</f>
        <v>16.4094967745094</v>
      </c>
    </row>
    <row r="151" customFormat="false" ht="17.15" hidden="false" customHeight="false" outlineLevel="0" collapsed="false">
      <c r="A151" s="5" t="s">
        <v>551</v>
      </c>
      <c r="B151" s="0" t="s">
        <v>285</v>
      </c>
      <c r="C151" s="19" t="n">
        <f aca="false">C139*C145</f>
        <v>0.905483870967741</v>
      </c>
      <c r="D151" s="19" t="n">
        <f aca="false">D139*D145</f>
        <v>1.12547112462006</v>
      </c>
      <c r="E151" s="19" t="n">
        <f aca="false">E139*E145</f>
        <v>1.69120879120879</v>
      </c>
      <c r="F151" s="19" t="n">
        <f aca="false">F139*F145</f>
        <v>2.39142857142857</v>
      </c>
      <c r="G151" s="19" t="n">
        <f aca="false">G139*G145</f>
        <v>5.05480225988701</v>
      </c>
      <c r="H151" s="19" t="n">
        <f aca="false">H139*H145</f>
        <v>9.83307167235495</v>
      </c>
      <c r="I151" s="19" t="n">
        <f aca="false">I139*I145</f>
        <v>13.1174313033769</v>
      </c>
      <c r="J151" s="19" t="n">
        <f aca="false">J139*J145</f>
        <v>15.6730215261275</v>
      </c>
      <c r="K151" s="19" t="n">
        <f aca="false">K139*K145</f>
        <v>17.6564516686126</v>
      </c>
      <c r="L151" s="19" t="n">
        <f aca="false">L139*L145</f>
        <v>18.6694246087182</v>
      </c>
      <c r="M151" s="19" t="n">
        <f aca="false">M139*M145</f>
        <v>18.7534874319173</v>
      </c>
      <c r="N151" s="19" t="n">
        <f aca="false">N139*N145</f>
        <v>18.4413407908169</v>
      </c>
      <c r="O151" s="19" t="n">
        <f aca="false">O139*O145</f>
        <v>18.9300858179065</v>
      </c>
      <c r="P151" s="19" t="n">
        <f aca="false">P139*P145</f>
        <v>19.0153223204022</v>
      </c>
      <c r="Q151" s="19" t="n">
        <f aca="false">Q139*Q145</f>
        <v>19.1009426173206</v>
      </c>
      <c r="R151" s="19" t="n">
        <f aca="false">R139*R145</f>
        <v>19.1869484367729</v>
      </c>
      <c r="S151" s="19" t="n">
        <f aca="false">S139*S145</f>
        <v>19.805896533396</v>
      </c>
      <c r="T151" s="19" t="n">
        <f aca="false">T139*T145</f>
        <v>20.1909241771987</v>
      </c>
      <c r="U151" s="19" t="n">
        <f aca="false">U139*U145</f>
        <v>20.5834367781324</v>
      </c>
      <c r="V151" s="19" t="n">
        <f aca="false">V139*V145</f>
        <v>20.9835798441473</v>
      </c>
      <c r="W151" s="19" t="n">
        <f aca="false">W139*W145</f>
        <v>21.5888056481555</v>
      </c>
      <c r="X151" s="19" t="n">
        <f aca="false">X139*X145</f>
        <v>21.8849014957677</v>
      </c>
      <c r="Y151" s="19" t="n">
        <f aca="false">Y139*Y145</f>
        <v>22.1850583716925</v>
      </c>
      <c r="Z151" s="19" t="n">
        <f aca="false">Z139*Z145</f>
        <v>22.489331973945</v>
      </c>
    </row>
    <row r="152" customFormat="false" ht="17.15" hidden="false" customHeight="false" outlineLevel="0" collapsed="false">
      <c r="A152" s="0" t="s">
        <v>552</v>
      </c>
      <c r="B152" s="0" t="s">
        <v>25</v>
      </c>
      <c r="C152" s="12" t="n">
        <f aca="false">C143+C144</f>
        <v>0.279077306733167</v>
      </c>
      <c r="D152" s="12" t="n">
        <f aca="false">D143+D144</f>
        <v>0.255607692307692</v>
      </c>
      <c r="E152" s="12" t="n">
        <f aca="false">E143+E144</f>
        <v>0.27406432748538</v>
      </c>
      <c r="F152" s="12" t="n">
        <f aca="false">F143+F144</f>
        <v>0.268969696969697</v>
      </c>
      <c r="G152" s="12" t="n">
        <f aca="false">G143+G144</f>
        <v>0.270960154241645</v>
      </c>
      <c r="H152" s="12" t="n">
        <f aca="false">H143+H144</f>
        <v>0.250180832610581</v>
      </c>
      <c r="I152" s="12" t="n">
        <f aca="false">I143+I144</f>
        <v>0.251873605888391</v>
      </c>
      <c r="J152" s="12" t="n">
        <f aca="false">J143+J144</f>
        <v>0.245026657759283</v>
      </c>
      <c r="K152" s="12" t="n">
        <f aca="false">K143+K144</f>
        <v>0.245026657759283</v>
      </c>
      <c r="L152" s="12" t="n">
        <f aca="false">L143+L144</f>
        <v>0.245026657759283</v>
      </c>
      <c r="M152" s="12" t="n">
        <f aca="false">M143+M144</f>
        <v>0.245026657759283</v>
      </c>
      <c r="N152" s="12" t="n">
        <f aca="false">N143+N144</f>
        <v>0.245026657759283</v>
      </c>
      <c r="O152" s="12" t="n">
        <f aca="false">O143+O144</f>
        <v>0.245026657759283</v>
      </c>
      <c r="P152" s="12" t="n">
        <f aca="false">P143+P144</f>
        <v>0.245026657759283</v>
      </c>
      <c r="Q152" s="12" t="n">
        <f aca="false">Q143+Q144</f>
        <v>0.245026657759283</v>
      </c>
      <c r="R152" s="12" t="n">
        <f aca="false">R143+R144</f>
        <v>0.245026657759283</v>
      </c>
      <c r="S152" s="12" t="n">
        <f aca="false">S143+S144</f>
        <v>0.245026657759283</v>
      </c>
      <c r="T152" s="12" t="n">
        <f aca="false">T143+T144</f>
        <v>0.245026657759283</v>
      </c>
      <c r="U152" s="12" t="n">
        <f aca="false">U143+U144</f>
        <v>0.245026657759283</v>
      </c>
      <c r="V152" s="12" t="n">
        <f aca="false">V143+V144</f>
        <v>0.245026657759283</v>
      </c>
      <c r="W152" s="12" t="n">
        <f aca="false">W143+W144</f>
        <v>0.245026657759283</v>
      </c>
      <c r="X152" s="12" t="n">
        <f aca="false">X143+X144</f>
        <v>0.245026657759283</v>
      </c>
      <c r="Y152" s="12" t="n">
        <f aca="false">Y143+Y144</f>
        <v>0.245026657759283</v>
      </c>
      <c r="Z152" s="12" t="n">
        <f aca="false">Z143+Z144</f>
        <v>0.245026657759283</v>
      </c>
    </row>
    <row r="153" customFormat="false" ht="17.15" hidden="false" customHeight="false" outlineLevel="0" collapsed="false">
      <c r="A153" s="0" t="s">
        <v>553</v>
      </c>
      <c r="B153" s="0" t="s">
        <v>222</v>
      </c>
      <c r="C153" s="19" t="n">
        <f aca="false">C138*C143</f>
        <v>35.5454438457651</v>
      </c>
      <c r="D153" s="19" t="n">
        <f aca="false">D138*D143</f>
        <v>33.3561735612603</v>
      </c>
      <c r="E153" s="19" t="n">
        <f aca="false">E138*E143</f>
        <v>38.3034616573653</v>
      </c>
      <c r="F153" s="19" t="n">
        <f aca="false">F138*F143</f>
        <v>36.6117929947199</v>
      </c>
      <c r="G153" s="19" t="n">
        <f aca="false">G138*G143</f>
        <v>38.1333152375469</v>
      </c>
      <c r="H153" s="19" t="n">
        <f aca="false">H138*H143</f>
        <v>40.1757580440862</v>
      </c>
      <c r="I153" s="19" t="n">
        <f aca="false">I138*I143</f>
        <v>44.8269021796765</v>
      </c>
      <c r="J153" s="19" t="n">
        <f aca="false">J138*J143</f>
        <v>44.9411476117569</v>
      </c>
      <c r="K153" s="19" t="n">
        <f aca="false">K138*K143</f>
        <v>48.0773237904583</v>
      </c>
      <c r="L153" s="19" t="n">
        <f aca="false">L138*L143</f>
        <v>50.835580599158</v>
      </c>
      <c r="M153" s="19" t="n">
        <f aca="false">M138*M143</f>
        <v>53.7520820858664</v>
      </c>
      <c r="N153" s="19" t="n">
        <f aca="false">N138*N143</f>
        <v>56.8359069476934</v>
      </c>
      <c r="O153" s="19" t="n">
        <f aca="false">O138*O143</f>
        <v>60.0966547380729</v>
      </c>
      <c r="P153" s="19" t="n">
        <f aca="false">P138*P143</f>
        <v>63.5444757489475</v>
      </c>
      <c r="Q153" s="19" t="n">
        <f aca="false">Q138*Q143</f>
        <v>67.190102607333</v>
      </c>
      <c r="R153" s="19" t="n">
        <f aca="false">R138*R143</f>
        <v>71.0448836846168</v>
      </c>
      <c r="S153" s="19" t="n">
        <f aca="false">S138*S143</f>
        <v>74.0184898623123</v>
      </c>
      <c r="T153" s="19" t="n">
        <f aca="false">T138*T143</f>
        <v>77.7911475249602</v>
      </c>
      <c r="U153" s="19" t="n">
        <f aca="false">U138*U143</f>
        <v>81.7560942476254</v>
      </c>
      <c r="V153" s="19" t="n">
        <f aca="false">V138*V143</f>
        <v>85.9231308354458</v>
      </c>
      <c r="W153" s="19" t="n">
        <f aca="false">W138*W143</f>
        <v>89.3964458131783</v>
      </c>
      <c r="X153" s="19" t="n">
        <f aca="false">X138*X143</f>
        <v>93.5654615248347</v>
      </c>
      <c r="Y153" s="19" t="n">
        <f aca="false">Y138*Y143</f>
        <v>97.9288998653321</v>
      </c>
      <c r="Z153" s="19" t="n">
        <f aca="false">Z138*Z143</f>
        <v>102.495827761067</v>
      </c>
      <c r="AB153" s="5" t="s">
        <v>554</v>
      </c>
    </row>
    <row r="154" customFormat="false" ht="17.15" hidden="false" customHeight="false" outlineLevel="0" collapsed="false">
      <c r="A154" s="0" t="s">
        <v>555</v>
      </c>
      <c r="B154" s="0" t="s">
        <v>222</v>
      </c>
      <c r="C154" s="19" t="n">
        <f aca="false">C138*C144</f>
        <v>31.2873958850745</v>
      </c>
      <c r="D154" s="19" t="n">
        <f aca="false">D138*D144</f>
        <v>29.6152942833619</v>
      </c>
      <c r="E154" s="19" t="n">
        <f aca="false">E138*E144</f>
        <v>31.1552804325753</v>
      </c>
      <c r="F154" s="19" t="n">
        <f aca="false">F138*F144</f>
        <v>33.5147228924475</v>
      </c>
      <c r="G154" s="19" t="n">
        <f aca="false">G138*G144</f>
        <v>38.0693331650007</v>
      </c>
      <c r="H154" s="19" t="n">
        <f aca="false">H138*H144</f>
        <v>33.6172154529341</v>
      </c>
      <c r="I154" s="19" t="n">
        <f aca="false">I138*I144</f>
        <v>33.0914894510934</v>
      </c>
      <c r="J154" s="19" t="n">
        <f aca="false">J138*J144</f>
        <v>34.5588285485368</v>
      </c>
      <c r="K154" s="19" t="n">
        <f aca="false">K138*K144</f>
        <v>36.9704842497676</v>
      </c>
      <c r="L154" s="19" t="n">
        <f aca="false">L138*L144</f>
        <v>39.0915276411862</v>
      </c>
      <c r="M154" s="19" t="n">
        <f aca="false">M138*M144</f>
        <v>41.3342579717828</v>
      </c>
      <c r="N154" s="19" t="n">
        <f aca="false">N138*N144</f>
        <v>43.7056565750022</v>
      </c>
      <c r="O154" s="19" t="n">
        <f aca="false">O138*O144</f>
        <v>46.2131053122095</v>
      </c>
      <c r="P154" s="19" t="n">
        <f aca="false">P138*P144</f>
        <v>48.8644095514828</v>
      </c>
      <c r="Q154" s="19" t="n">
        <f aca="false">Q138*Q144</f>
        <v>51.6678224647285</v>
      </c>
      <c r="R154" s="19" t="n">
        <f aca="false">R138*R144</f>
        <v>54.6320707187528</v>
      </c>
      <c r="S154" s="19" t="n">
        <f aca="false">S138*S144</f>
        <v>56.9187133953845</v>
      </c>
      <c r="T154" s="19" t="n">
        <f aca="false">T138*T144</f>
        <v>59.8198104136917</v>
      </c>
      <c r="U154" s="19" t="n">
        <f aca="false">U138*U144</f>
        <v>62.8687738085834</v>
      </c>
      <c r="V154" s="19" t="n">
        <f aca="false">V138*V144</f>
        <v>66.0731401998922</v>
      </c>
      <c r="W154" s="19" t="n">
        <f aca="false">W138*W144</f>
        <v>68.7440487812103</v>
      </c>
      <c r="X154" s="19" t="n">
        <f aca="false">X138*X144</f>
        <v>71.9499370784997</v>
      </c>
      <c r="Y154" s="19" t="n">
        <f aca="false">Y138*Y144</f>
        <v>75.3053324234088</v>
      </c>
      <c r="Z154" s="19" t="n">
        <f aca="false">Z138*Z144</f>
        <v>78.8172070979433</v>
      </c>
    </row>
    <row r="155" customFormat="false" ht="17.15" hidden="false" customHeight="false" outlineLevel="0" collapsed="false">
      <c r="A155" s="5" t="s">
        <v>556</v>
      </c>
      <c r="B155" s="0" t="s">
        <v>557</v>
      </c>
      <c r="C155" s="17" t="n">
        <f aca="false">ABS(SUM(C140:C145)-1)+ABS(SUM(I140:I145)-1)+ABS(SUM(Z140:Z145)-1)+ABS(H150-rv_sd_5)</f>
        <v>0</v>
      </c>
    </row>
    <row r="180" customFormat="false" ht="17.15" hidden="false" customHeight="false" outlineLevel="0" collapsed="false">
      <c r="A180" s="3" t="s">
        <v>696</v>
      </c>
    </row>
    <row r="181" customFormat="false" ht="17.15" hidden="false" customHeight="false" outlineLevel="0" collapsed="false">
      <c r="A181" s="9" t="s">
        <v>508</v>
      </c>
      <c r="B181" s="6" t="s">
        <v>15</v>
      </c>
      <c r="C181" s="9" t="s">
        <v>427</v>
      </c>
      <c r="D181" s="9" t="s">
        <v>428</v>
      </c>
      <c r="E181" s="9" t="s">
        <v>429</v>
      </c>
      <c r="F181" s="9" t="s">
        <v>430</v>
      </c>
      <c r="G181" s="9" t="s">
        <v>431</v>
      </c>
      <c r="H181" s="9" t="s">
        <v>432</v>
      </c>
      <c r="I181" s="9" t="s">
        <v>433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6" t="s">
        <v>434</v>
      </c>
    </row>
    <row r="182" customFormat="false" ht="17.15" hidden="false" customHeight="false" outlineLevel="0" collapsed="false">
      <c r="A182" s="5" t="s">
        <v>509</v>
      </c>
      <c r="B182" s="5" t="s">
        <v>168</v>
      </c>
      <c r="E182" s="10" t="n">
        <f aca="false">(u_26)*1</f>
        <v>15.2</v>
      </c>
      <c r="F182" s="10" t="n">
        <f aca="false">(u_27)*1</f>
        <v>23.7</v>
      </c>
      <c r="G182" s="10" t="n">
        <f aca="false">(u_28)*um28_A</f>
        <v>26.5</v>
      </c>
      <c r="H182" s="10" t="n">
        <f aca="false">(u_28*(1+g_u29))*um29_A</f>
        <v>30.15</v>
      </c>
      <c r="I182" s="10" t="n">
        <f aca="false">(u_28*(1+g_u29)*(1+g_u30))*um29_A</f>
        <v>31.6575</v>
      </c>
      <c r="AB182" s="8" t="s">
        <v>510</v>
      </c>
    </row>
    <row r="183" customFormat="false" ht="17.15" hidden="false" customHeight="false" outlineLevel="0" collapsed="false">
      <c r="A183" s="5" t="s">
        <v>511</v>
      </c>
      <c r="B183" s="0" t="s">
        <v>512</v>
      </c>
      <c r="E183" s="18" t="n">
        <f aca="false">tb_26</f>
        <v>30</v>
      </c>
      <c r="F183" s="18" t="n">
        <f aca="false">tb_27</f>
        <v>34</v>
      </c>
      <c r="G183" s="18" t="n">
        <f aca="false">tb_28</f>
        <v>40</v>
      </c>
      <c r="H183" s="18" t="n">
        <f aca="false">tb_29</f>
        <v>46</v>
      </c>
      <c r="I183" s="18" t="n">
        <f aca="false">tb_30</f>
        <v>52</v>
      </c>
    </row>
    <row r="184" customFormat="false" ht="17.15" hidden="false" customHeight="false" outlineLevel="0" collapsed="false">
      <c r="A184" s="5" t="s">
        <v>513</v>
      </c>
      <c r="B184" s="0" t="s">
        <v>222</v>
      </c>
      <c r="D184" s="10" t="n">
        <f aca="false">bits25*sh_essd25*ai25</f>
        <v>165</v>
      </c>
      <c r="E184" s="10" t="n">
        <f aca="false">E182*E183</f>
        <v>456</v>
      </c>
      <c r="F184" s="10" t="n">
        <f aca="false">F182*F183</f>
        <v>805.8</v>
      </c>
      <c r="G184" s="10" t="n">
        <f aca="false">G182*G183</f>
        <v>1060</v>
      </c>
      <c r="H184" s="10" t="n">
        <f aca="false">H182*H183</f>
        <v>1386.9</v>
      </c>
      <c r="I184" s="10" t="n">
        <f aca="false">I182*I183</f>
        <v>1646.19</v>
      </c>
      <c r="AB184" s="5" t="s">
        <v>514</v>
      </c>
    </row>
    <row r="185" customFormat="false" ht="17.15" hidden="false" customHeight="false" outlineLevel="0" collapsed="false">
      <c r="A185" s="5" t="s">
        <v>515</v>
      </c>
      <c r="B185" s="0" t="s">
        <v>222</v>
      </c>
      <c r="D185" s="10" t="n">
        <f aca="false">bits25*sh_essd25*(1-ai25)</f>
        <v>135</v>
      </c>
      <c r="E185" s="10" t="n">
        <f aca="false">D185*(1+g_nai)</f>
        <v>148.5</v>
      </c>
      <c r="F185" s="10" t="n">
        <f aca="false">E185*(1+g_nai)</f>
        <v>163.35</v>
      </c>
      <c r="G185" s="10" t="n">
        <f aca="false">F185*(1+g_nai)</f>
        <v>179.685</v>
      </c>
      <c r="H185" s="10" t="n">
        <f aca="false">G185*(1+g_nai)</f>
        <v>197.6535</v>
      </c>
      <c r="I185" s="10" t="n">
        <f aca="false">H185*(1+g_nai)</f>
        <v>217.41885</v>
      </c>
    </row>
    <row r="186" customFormat="false" ht="15" hidden="false" customHeight="false" outlineLevel="0" collapsed="false">
      <c r="A186" s="5" t="s">
        <v>516</v>
      </c>
      <c r="B186" s="0" t="s">
        <v>222</v>
      </c>
      <c r="D186" s="10" t="n">
        <f aca="false">bits25*sh_mob25</f>
        <v>320</v>
      </c>
      <c r="E186" s="10" t="n">
        <f aca="false">D186*(1+g_mob_26)</f>
        <v>304</v>
      </c>
      <c r="F186" s="10" t="n">
        <f aca="false">E186*(1+g_mob_27)</f>
        <v>313.12</v>
      </c>
      <c r="G186" s="10" t="n">
        <f aca="false">F186*(1+g_mob_28)</f>
        <v>338.1696</v>
      </c>
      <c r="H186" s="10" t="n">
        <f aca="false">G186*(1+g_mob_28)</f>
        <v>365.223168</v>
      </c>
      <c r="I186" s="10" t="n">
        <f aca="false">H186*(1+g_mob_28)</f>
        <v>394.44102144</v>
      </c>
    </row>
    <row r="187" customFormat="false" ht="17.15" hidden="false" customHeight="false" outlineLevel="0" collapsed="false">
      <c r="A187" s="5" t="s">
        <v>517</v>
      </c>
      <c r="B187" s="0" t="s">
        <v>222</v>
      </c>
      <c r="D187" s="10" t="n">
        <f aca="false">bits25*sh_pc25</f>
        <v>230</v>
      </c>
      <c r="E187" s="10" t="n">
        <f aca="false">D187*(1+g_pc_26)</f>
        <v>218.5</v>
      </c>
      <c r="F187" s="10" t="n">
        <f aca="false">E187*(1+g_pc_27)</f>
        <v>218.5</v>
      </c>
      <c r="G187" s="10" t="n">
        <f aca="false">F187*(1+g_pc_28)</f>
        <v>231.61</v>
      </c>
      <c r="H187" s="10" t="n">
        <f aca="false">G187*(1+g_pc_28)</f>
        <v>245.5066</v>
      </c>
      <c r="I187" s="10" t="n">
        <f aca="false">H187*(1+g_pc_28)</f>
        <v>260.236996</v>
      </c>
    </row>
    <row r="188" customFormat="false" ht="15" hidden="false" customHeight="false" outlineLevel="0" collapsed="false">
      <c r="A188" s="5" t="s">
        <v>518</v>
      </c>
      <c r="B188" s="0" t="s">
        <v>222</v>
      </c>
      <c r="D188" s="10" t="n">
        <f aca="false">bits25*(1-sh_essd25-sh_mob25-sh_pc25)</f>
        <v>150</v>
      </c>
      <c r="E188" s="10" t="n">
        <f aca="false">D188*(1+g_con_26)</f>
        <v>135</v>
      </c>
      <c r="F188" s="10" t="n">
        <f aca="false">E188*(1+g_con_27)</f>
        <v>135</v>
      </c>
      <c r="G188" s="10" t="n">
        <f aca="false">F188*(1+g_con_28)</f>
        <v>141.75</v>
      </c>
      <c r="H188" s="10" t="n">
        <f aca="false">G188*(1+g_con_28)</f>
        <v>148.8375</v>
      </c>
      <c r="I188" s="10" t="n">
        <f aca="false">H188*(1+g_con_28)</f>
        <v>156.279375</v>
      </c>
    </row>
    <row r="189" customFormat="false" ht="15" hidden="false" customHeight="false" outlineLevel="0" collapsed="false">
      <c r="A189" s="5" t="s">
        <v>442</v>
      </c>
      <c r="B189" s="0" t="s">
        <v>222</v>
      </c>
      <c r="D189" s="10" t="n">
        <f aca="false">SUM(D184:D188)</f>
        <v>1000</v>
      </c>
      <c r="E189" s="10" t="n">
        <f aca="false">SUM(E184:E188)</f>
        <v>1262</v>
      </c>
      <c r="F189" s="10" t="n">
        <f aca="false">SUM(F184:F188)</f>
        <v>1635.77</v>
      </c>
      <c r="G189" s="10" t="n">
        <f aca="false">SUM(G184:G188)</f>
        <v>1951.2146</v>
      </c>
      <c r="H189" s="10" t="n">
        <f aca="false">SUM(H184:H188)</f>
        <v>2344.120768</v>
      </c>
      <c r="I189" s="10" t="n">
        <f aca="false">SUM(I184:I188)</f>
        <v>2674.56624244</v>
      </c>
    </row>
    <row r="190" customFormat="false" ht="17.15" hidden="false" customHeight="false" outlineLevel="0" collapsed="false">
      <c r="A190" s="5" t="s">
        <v>519</v>
      </c>
      <c r="B190" s="0" t="s">
        <v>25</v>
      </c>
      <c r="D190" s="12" t="n">
        <f aca="false">(D184+D185)/D189</f>
        <v>0.3</v>
      </c>
      <c r="E190" s="12" t="n">
        <f aca="false">(E184+E185)/E189</f>
        <v>0.479001584786054</v>
      </c>
      <c r="F190" s="12" t="n">
        <f aca="false">(F184+F185)/F189</f>
        <v>0.592473269469424</v>
      </c>
      <c r="G190" s="12" t="n">
        <f aca="false">(G184+G185)/G189</f>
        <v>0.635340161968858</v>
      </c>
      <c r="H190" s="12" t="n">
        <f aca="false">(H184+H185)/H189</f>
        <v>0.675969225490007</v>
      </c>
      <c r="I190" s="12" t="n">
        <f aca="false">(I184+I185)/I189</f>
        <v>0.696789191618539</v>
      </c>
    </row>
    <row r="191" customFormat="false" ht="17.15" hidden="false" customHeight="false" outlineLevel="0" collapsed="false">
      <c r="A191" s="5" t="s">
        <v>520</v>
      </c>
      <c r="B191" s="0" t="s">
        <v>222</v>
      </c>
      <c r="D191" s="10" t="n">
        <f aca="false">bits25</f>
        <v>1000</v>
      </c>
      <c r="E191" s="10" t="n">
        <f aca="false">D191*(1+gs_26_lo)</f>
        <v>1180</v>
      </c>
      <c r="F191" s="10" t="n">
        <f aca="false">E191*(1+gs_27_lo)</f>
        <v>1416</v>
      </c>
      <c r="G191" s="10" t="n">
        <f aca="false">F191*(1+gs_28_lo)</f>
        <v>1699.2</v>
      </c>
      <c r="H191" s="10" t="n">
        <f aca="false">G191*(1+gs_29_lo)</f>
        <v>1954.08</v>
      </c>
      <c r="I191" s="10" t="n">
        <f aca="false">H191*(1+gs_30_lo)</f>
        <v>2188.5696</v>
      </c>
      <c r="AB191" s="8" t="s">
        <v>521</v>
      </c>
    </row>
    <row r="192" customFormat="false" ht="17.15" hidden="false" customHeight="false" outlineLevel="0" collapsed="false">
      <c r="A192" s="5" t="s">
        <v>522</v>
      </c>
      <c r="B192" s="0" t="s">
        <v>25</v>
      </c>
      <c r="E192" s="12" t="n">
        <f aca="false">E189/E191-1</f>
        <v>0.0694915254237287</v>
      </c>
      <c r="F192" s="12" t="n">
        <f aca="false">F189/F191-1</f>
        <v>0.155204802259887</v>
      </c>
      <c r="G192" s="12" t="n">
        <f aca="false">G189/G191-1</f>
        <v>0.148313677024482</v>
      </c>
      <c r="H192" s="12" t="n">
        <f aca="false">H189/H191-1</f>
        <v>0.199603275198559</v>
      </c>
      <c r="I192" s="12" t="n">
        <f aca="false">I189/I191-1</f>
        <v>0.222061314586477</v>
      </c>
    </row>
    <row r="193" customFormat="false" ht="17.15" hidden="false" customHeight="false" outlineLevel="0" collapsed="false">
      <c r="A193" s="5" t="s">
        <v>523</v>
      </c>
      <c r="B193" s="0" t="s">
        <v>222</v>
      </c>
      <c r="C193" s="10" t="n">
        <f aca="false">bits25/(1+g25)</f>
        <v>892.857142857143</v>
      </c>
      <c r="D193" s="10" t="n">
        <f aca="false">bits25</f>
        <v>1000</v>
      </c>
      <c r="E193" s="10" t="n">
        <f aca="false">MIN(E189,E191)</f>
        <v>1180</v>
      </c>
      <c r="F193" s="10" t="n">
        <f aca="false">MIN(F189,F191)</f>
        <v>1416</v>
      </c>
      <c r="G193" s="10" t="n">
        <f aca="false">MIN(G189,G191)</f>
        <v>1699.2</v>
      </c>
      <c r="H193" s="10" t="n">
        <f aca="false">MIN(H189,H191)</f>
        <v>1954.08</v>
      </c>
      <c r="I193" s="10" t="n">
        <f aca="false">MIN(I189,I191)</f>
        <v>2188.5696</v>
      </c>
    </row>
    <row r="194" customFormat="false" ht="15" hidden="false" customHeight="false" outlineLevel="0" collapsed="false">
      <c r="A194" s="5" t="s">
        <v>447</v>
      </c>
      <c r="B194" s="0" t="s">
        <v>25</v>
      </c>
      <c r="D194" s="12" t="n">
        <f aca="false">D193/C193-1</f>
        <v>0.12</v>
      </c>
      <c r="E194" s="12" t="n">
        <f aca="false">E193/D193-1</f>
        <v>0.18</v>
      </c>
      <c r="F194" s="12" t="n">
        <f aca="false">F193/E193-1</f>
        <v>0.2</v>
      </c>
      <c r="G194" s="12" t="n">
        <f aca="false">G193/F193-1</f>
        <v>0.2</v>
      </c>
      <c r="H194" s="12" t="n">
        <f aca="false">H193/G193-1</f>
        <v>0.15</v>
      </c>
      <c r="I194" s="12" t="n">
        <f aca="false">I193/H193-1</f>
        <v>0.12</v>
      </c>
    </row>
    <row r="195" customFormat="false" ht="17.15" hidden="false" customHeight="false" outlineLevel="0" collapsed="false">
      <c r="A195" s="0" t="s">
        <v>524</v>
      </c>
      <c r="B195" s="0" t="s">
        <v>285</v>
      </c>
      <c r="C195" s="10" t="n">
        <f aca="false">rev24</f>
        <v>67.4</v>
      </c>
      <c r="D195" s="10" t="n">
        <f aca="false">SUM(C209:F209)</f>
        <v>71.1035923582252</v>
      </c>
      <c r="E195" s="10" t="n">
        <f aca="false">SUM(G209:J209)</f>
        <v>340.715871130023</v>
      </c>
      <c r="F195" s="10" t="n">
        <f aca="false">SUM(K209:N209)</f>
        <v>513.74938035165</v>
      </c>
      <c r="G195" s="10" t="n">
        <f aca="false">SUM(O209:R209)</f>
        <v>500.492588262408</v>
      </c>
      <c r="H195" s="10" t="n">
        <f aca="false">SUM(S209:V209)</f>
        <v>494.127773175054</v>
      </c>
      <c r="I195" s="10" t="n">
        <f aca="false">SUM(W209:Z209)</f>
        <v>488.234132964099</v>
      </c>
      <c r="AB195" s="8" t="s">
        <v>525</v>
      </c>
    </row>
    <row r="196" customFormat="false" ht="15" hidden="false" customHeight="false" outlineLevel="0" collapsed="false">
      <c r="A196" s="5" t="s">
        <v>453</v>
      </c>
      <c r="B196" s="0" t="s">
        <v>25</v>
      </c>
      <c r="D196" s="12" t="n">
        <f aca="false">D195/C195-1</f>
        <v>0.0549494415166936</v>
      </c>
      <c r="E196" s="12" t="n">
        <f aca="false">E195/D195-1</f>
        <v>3.79182358907368</v>
      </c>
      <c r="F196" s="12" t="n">
        <f aca="false">F195/E195-1</f>
        <v>0.50785280018727</v>
      </c>
      <c r="G196" s="12" t="n">
        <f aca="false">G195/F195-1</f>
        <v>-0.025804005992508</v>
      </c>
      <c r="H196" s="12" t="n">
        <f aca="false">H195/G195-1</f>
        <v>-0.012717101584763</v>
      </c>
      <c r="I196" s="12" t="n">
        <f aca="false">I195/H195-1</f>
        <v>-0.0119273607574933</v>
      </c>
    </row>
    <row r="197" customFormat="false" ht="17.15" hidden="false" customHeight="false" outlineLevel="0" collapsed="false">
      <c r="A197" s="5" t="s">
        <v>526</v>
      </c>
      <c r="B197" s="0" t="s">
        <v>449</v>
      </c>
      <c r="C197" s="13" t="n">
        <f aca="false">C195/C193</f>
        <v>0.075488</v>
      </c>
      <c r="D197" s="13" t="n">
        <f aca="false">D195/D193</f>
        <v>0.0711035923582252</v>
      </c>
      <c r="E197" s="13" t="n">
        <f aca="false">E195/E193</f>
        <v>0.288742263669511</v>
      </c>
      <c r="F197" s="13" t="n">
        <f aca="false">F195/F193</f>
        <v>0.362817359005402</v>
      </c>
      <c r="G197" s="13" t="n">
        <f aca="false">G195/G193</f>
        <v>0.294546014749534</v>
      </c>
      <c r="H197" s="13" t="n">
        <f aca="false">H195/H193</f>
        <v>0.252869776659632</v>
      </c>
      <c r="I197" s="13" t="n">
        <f aca="false">I195/I193</f>
        <v>0.223083667507809</v>
      </c>
    </row>
    <row r="198" customFormat="false" ht="17.15" hidden="false" customHeight="false" outlineLevel="0" collapsed="false">
      <c r="A198" s="5" t="s">
        <v>450</v>
      </c>
      <c r="B198" s="0" t="s">
        <v>25</v>
      </c>
      <c r="D198" s="12" t="n">
        <f aca="false">D197/C197-1</f>
        <v>-0.0580808557886665</v>
      </c>
      <c r="E198" s="12" t="n">
        <f aca="false">E197/D197-1</f>
        <v>3.06086744836753</v>
      </c>
      <c r="F198" s="12" t="n">
        <f aca="false">F197/E197-1</f>
        <v>0.256544000156058</v>
      </c>
      <c r="G198" s="12" t="n">
        <f aca="false">G197/F197-1</f>
        <v>-0.188170004993757</v>
      </c>
      <c r="H198" s="12" t="n">
        <f aca="false">H197/G197-1</f>
        <v>-0.141493131812837</v>
      </c>
      <c r="I198" s="12" t="n">
        <f aca="false">I197/H197-1</f>
        <v>-0.117792286390619</v>
      </c>
      <c r="AB198" s="8" t="s">
        <v>527</v>
      </c>
    </row>
    <row r="199" customFormat="false" ht="15" hidden="false" customHeight="false" outlineLevel="0" collapsed="false">
      <c r="A199" s="5" t="s">
        <v>528</v>
      </c>
      <c r="B199" s="0" t="s">
        <v>25</v>
      </c>
      <c r="D199" s="12" t="n">
        <f aca="false">SUM(C216:F216)/D195</f>
        <v>0.309407714439551</v>
      </c>
      <c r="E199" s="12" t="n">
        <f aca="false">SUM(G216:J216)/E195</f>
        <v>0.298146371102126</v>
      </c>
      <c r="F199" s="12" t="n">
        <f aca="false">SUM(K216:N216)/F195</f>
        <v>0.293146371102126</v>
      </c>
      <c r="G199" s="12" t="n">
        <f aca="false">SUM(O216:R216)/G195</f>
        <v>0.288146371102126</v>
      </c>
      <c r="H199" s="12" t="n">
        <f aca="false">SUM(S216:V216)/H195</f>
        <v>0.283146371102126</v>
      </c>
      <c r="I199" s="12" t="n">
        <f aca="false">SUM(W216:Z216)/I195</f>
        <v>0.278146371102126</v>
      </c>
    </row>
    <row r="200" customFormat="false" ht="17.15" hidden="false" customHeight="false" outlineLevel="0" collapsed="false">
      <c r="A200" s="5" t="s">
        <v>529</v>
      </c>
      <c r="B200" s="0" t="s">
        <v>25</v>
      </c>
      <c r="D200" s="12" t="n">
        <f aca="false">SUM(C217:F217)/D195</f>
        <v>0.200693094775109</v>
      </c>
      <c r="E200" s="12" t="n">
        <f aca="false">SUM(G217:J217)/E195</f>
        <v>0.177730130982399</v>
      </c>
      <c r="F200" s="12" t="n">
        <f aca="false">SUM(K217:N217)/F195</f>
        <v>0.177730130982399</v>
      </c>
      <c r="G200" s="12" t="n">
        <f aca="false">SUM(O217:R217)/G195</f>
        <v>0.177730130982399</v>
      </c>
      <c r="H200" s="12" t="n">
        <f aca="false">SUM(S217:V217)/H195</f>
        <v>0.177730130982399</v>
      </c>
      <c r="I200" s="12" t="n">
        <f aca="false">SUM(W217:Z217)/I195</f>
        <v>0.177730130982399</v>
      </c>
    </row>
    <row r="201" customFormat="false" ht="15" hidden="false" customHeight="false" outlineLevel="0" collapsed="false">
      <c r="A201" s="5" t="s">
        <v>530</v>
      </c>
      <c r="B201" s="0" t="s">
        <v>25</v>
      </c>
      <c r="D201" s="12" t="n">
        <f aca="false">SUM(C218:F218)/D195</f>
        <v>0.134732995651405</v>
      </c>
      <c r="E201" s="12" t="n">
        <f aca="false">SUM(G218:J218)/E195</f>
        <v>0.14511909777462</v>
      </c>
      <c r="F201" s="12" t="n">
        <f aca="false">SUM(K218:N218)/F195</f>
        <v>0.14711909777462</v>
      </c>
      <c r="G201" s="12" t="n">
        <f aca="false">SUM(O218:R218)/G195</f>
        <v>0.14911909777462</v>
      </c>
      <c r="H201" s="12" t="n">
        <f aca="false">SUM(S218:V218)/H195</f>
        <v>0.15111909777462</v>
      </c>
      <c r="I201" s="12" t="n">
        <f aca="false">SUM(W218:Z218)/I195</f>
        <v>0.15311909777462</v>
      </c>
    </row>
    <row r="202" customFormat="false" ht="17.15" hidden="false" customHeight="false" outlineLevel="0" collapsed="false">
      <c r="A202" s="5" t="s">
        <v>531</v>
      </c>
      <c r="B202" s="0" t="s">
        <v>25</v>
      </c>
      <c r="D202" s="12" t="n">
        <f aca="false">SUM(C219:F219)/D195</f>
        <v>0.143593307473992</v>
      </c>
      <c r="E202" s="12" t="n">
        <f aca="false">SUM(G219:J219)/E195</f>
        <v>0.140239581645476</v>
      </c>
      <c r="F202" s="12" t="n">
        <f aca="false">SUM(K219:N219)/F195</f>
        <v>0.139803647585953</v>
      </c>
      <c r="G202" s="12" t="n">
        <f aca="false">SUM(O219:R219)/G195</f>
        <v>0.139803647585953</v>
      </c>
      <c r="H202" s="12" t="n">
        <f aca="false">SUM(S219:V219)/H195</f>
        <v>0.139803647585953</v>
      </c>
      <c r="I202" s="12" t="n">
        <f aca="false">SUM(W219:Z219)/I195</f>
        <v>0.139803647585953</v>
      </c>
    </row>
    <row r="203" customFormat="false" ht="17.15" hidden="false" customHeight="false" outlineLevel="0" collapsed="false">
      <c r="A203" s="5" t="s">
        <v>532</v>
      </c>
      <c r="B203" s="0" t="s">
        <v>25</v>
      </c>
      <c r="D203" s="12" t="n">
        <f aca="false">SUM(C220:F220)/D195</f>
        <v>0.125591404088418</v>
      </c>
      <c r="E203" s="12" t="n">
        <f aca="false">SUM(G220:J220)/E195</f>
        <v>0.112639944057614</v>
      </c>
      <c r="F203" s="12" t="n">
        <f aca="false">SUM(K220:N220)/F195</f>
        <v>0.107520288358004</v>
      </c>
      <c r="G203" s="12" t="n">
        <f aca="false">SUM(O220:R220)/G195</f>
        <v>0.107520288358004</v>
      </c>
      <c r="H203" s="12" t="n">
        <f aca="false">SUM(S220:V220)/H195</f>
        <v>0.107520288358004</v>
      </c>
      <c r="I203" s="12" t="n">
        <f aca="false">SUM(W220:Z220)/I195</f>
        <v>0.107520288358004</v>
      </c>
    </row>
    <row r="204" customFormat="false" ht="15" hidden="false" customHeight="false" outlineLevel="0" collapsed="false">
      <c r="A204" s="5" t="s">
        <v>533</v>
      </c>
      <c r="B204" s="0" t="s">
        <v>25</v>
      </c>
      <c r="D204" s="12" t="n">
        <f aca="false">SUM(C221:F221)/D195</f>
        <v>0.0859814835715252</v>
      </c>
      <c r="E204" s="12" t="n">
        <f aca="false">SUM(G221:J221)/E195</f>
        <v>0.126124874437765</v>
      </c>
      <c r="F204" s="12" t="n">
        <f aca="false">SUM(K221:N221)/F195</f>
        <v>0.134680464196898</v>
      </c>
      <c r="G204" s="12" t="n">
        <f aca="false">SUM(O221:R221)/G195</f>
        <v>0.137680464196898</v>
      </c>
      <c r="H204" s="12" t="n">
        <f aca="false">SUM(S221:V221)/H195</f>
        <v>0.140680464196898</v>
      </c>
      <c r="I204" s="12" t="n">
        <f aca="false">SUM(W221:Z221)/I195</f>
        <v>0.143680464196898</v>
      </c>
    </row>
    <row r="206" customFormat="false" ht="17.15" hidden="false" customHeight="false" outlineLevel="0" collapsed="false">
      <c r="A206" s="9" t="s">
        <v>534</v>
      </c>
      <c r="B206" s="6" t="s">
        <v>15</v>
      </c>
      <c r="C206" s="9" t="s">
        <v>468</v>
      </c>
      <c r="D206" s="9" t="s">
        <v>469</v>
      </c>
      <c r="E206" s="9" t="s">
        <v>470</v>
      </c>
      <c r="F206" s="9" t="s">
        <v>471</v>
      </c>
      <c r="G206" s="9" t="s">
        <v>472</v>
      </c>
      <c r="H206" s="9" t="s">
        <v>473</v>
      </c>
      <c r="I206" s="9" t="s">
        <v>474</v>
      </c>
      <c r="J206" s="9" t="s">
        <v>475</v>
      </c>
      <c r="K206" s="9" t="s">
        <v>476</v>
      </c>
      <c r="L206" s="9" t="s">
        <v>477</v>
      </c>
      <c r="M206" s="9" t="s">
        <v>478</v>
      </c>
      <c r="N206" s="9" t="s">
        <v>479</v>
      </c>
      <c r="O206" s="9" t="s">
        <v>480</v>
      </c>
      <c r="P206" s="9" t="s">
        <v>481</v>
      </c>
      <c r="Q206" s="9" t="s">
        <v>482</v>
      </c>
      <c r="R206" s="9" t="s">
        <v>483</v>
      </c>
      <c r="S206" s="9" t="s">
        <v>484</v>
      </c>
      <c r="T206" s="9" t="s">
        <v>485</v>
      </c>
      <c r="U206" s="9" t="s">
        <v>486</v>
      </c>
      <c r="V206" s="9" t="s">
        <v>487</v>
      </c>
      <c r="W206" s="9" t="s">
        <v>488</v>
      </c>
      <c r="X206" s="9" t="s">
        <v>489</v>
      </c>
      <c r="Y206" s="9" t="s">
        <v>490</v>
      </c>
      <c r="Z206" s="9" t="s">
        <v>491</v>
      </c>
      <c r="AA206" s="9"/>
      <c r="AB206" s="6" t="s">
        <v>434</v>
      </c>
    </row>
    <row r="207" customFormat="false" ht="17.15" hidden="false" customHeight="false" outlineLevel="0" collapsed="false">
      <c r="A207" s="5" t="s">
        <v>535</v>
      </c>
      <c r="B207" s="0" t="s">
        <v>536</v>
      </c>
      <c r="C207" s="13" t="n">
        <f aca="false">Path!C4</f>
        <v>1</v>
      </c>
      <c r="D207" s="13" t="n">
        <f aca="false">Path!D4</f>
        <v>1</v>
      </c>
      <c r="E207" s="13" t="n">
        <f aca="false">Path!E4</f>
        <v>1.05</v>
      </c>
      <c r="F207" s="13" t="n">
        <f aca="false">Path!F4</f>
        <v>1.365</v>
      </c>
      <c r="G207" s="13" t="n">
        <f aca="false">Path!G4</f>
        <v>2.559375</v>
      </c>
      <c r="H207" s="13" t="n">
        <f aca="false">Path!H4</f>
        <v>4.414921875</v>
      </c>
      <c r="I207" s="13" t="n">
        <f aca="false">Path!I4</f>
        <v>5.51865234375</v>
      </c>
      <c r="J207" s="13" t="n">
        <f aca="false">Path!J4</f>
        <v>5.96566318359375</v>
      </c>
      <c r="K207" s="13" t="n">
        <f aca="false">Path!K4*1</f>
        <v>6.14463307910156</v>
      </c>
      <c r="L207" s="13" t="n">
        <f aca="false">Path!L4*1</f>
        <v>6.14463307910156</v>
      </c>
      <c r="M207" s="13" t="n">
        <f aca="false">Path!M4*1</f>
        <v>5.83740142514648</v>
      </c>
      <c r="N207" s="13" t="n">
        <f aca="false">Path!N4*1</f>
        <v>5.42878332538623</v>
      </c>
      <c r="O207" s="13" t="n">
        <f aca="false">Path!O4*1</f>
        <v>5.15734415911692</v>
      </c>
      <c r="P207" s="13" t="n">
        <f aca="false">Path!P4*1</f>
        <v>4.89947695116107</v>
      </c>
      <c r="Q207" s="13" t="n">
        <f aca="false">Path!Q4*1</f>
        <v>4.65450310360302</v>
      </c>
      <c r="R207" s="13" t="n">
        <f aca="false">Path!R4*1</f>
        <v>4.42177794842287</v>
      </c>
      <c r="S207" s="13" t="n">
        <f aca="false">Path!S4*1</f>
        <v>4.28912460997018</v>
      </c>
      <c r="T207" s="13" t="n">
        <f aca="false">Path!T4*1</f>
        <v>4.16045087167108</v>
      </c>
      <c r="U207" s="13" t="n">
        <f aca="false">Path!U4*1</f>
        <v>4.03563734552094</v>
      </c>
      <c r="V207" s="13" t="n">
        <f aca="false">Path!V4*1</f>
        <v>3.91456822515532</v>
      </c>
      <c r="W207" s="13" t="n">
        <f aca="false">Path!V4*(1+p10)^(1/4)*1</f>
        <v>3.79144302937821</v>
      </c>
      <c r="X207" s="13" t="n">
        <f aca="false">Path!V4*(1+p10)^(2/4)*1</f>
        <v>3.6721904992345</v>
      </c>
      <c r="Y207" s="13" t="n">
        <f aca="false">Path!V4*(1+p10)^(3/4)*1</f>
        <v>3.55668882749365</v>
      </c>
      <c r="Z207" s="13" t="n">
        <f aca="false">Path!V4*(1+p10)^(4/4)*1</f>
        <v>3.44482003813668</v>
      </c>
      <c r="AB207" s="8" t="s">
        <v>537</v>
      </c>
    </row>
    <row r="208" customFormat="false" ht="17.15" hidden="false" customHeight="false" outlineLevel="0" collapsed="false">
      <c r="A208" s="5" t="s">
        <v>538</v>
      </c>
      <c r="B208" s="0" t="s">
        <v>222</v>
      </c>
      <c r="C208" s="10" t="n">
        <f aca="false">D193/4*(D193/C193)^((1-2.5)/4)/(((D193/C193)^(-0.375)+(D193/C193)^(-0.125)+(D193/C193)^(0.125)+(D193/C193)^(0.375))/4)</f>
        <v>239.477872684002</v>
      </c>
      <c r="D208" s="10" t="n">
        <f aca="false">D193/4*(D193/C193)^((2-2.5)/4)/(((D193/C193)^(-0.375)+(D193/C193)^(-0.125)+(D193/C193)^(0.125)+(D193/C193)^(0.375))/4)</f>
        <v>246.359830864633</v>
      </c>
      <c r="E208" s="10" t="n">
        <f aca="false">D193/4*(D193/C193)^((3-2.5)/4)/(((D193/C193)^(-0.375)+(D193/C193)^(-0.125)+(D193/C193)^(0.125)+(D193/C193)^(0.375))/4)</f>
        <v>253.439558249863</v>
      </c>
      <c r="F208" s="10" t="n">
        <f aca="false">D193/4*(D193/C193)^((4-2.5)/4)/(((D193/C193)^(-0.375)+(D193/C193)^(-0.125)+(D193/C193)^(0.125)+(D193/C193)^(0.375))/4)</f>
        <v>260.722738201501</v>
      </c>
      <c r="G208" s="10" t="n">
        <f aca="false">E193/4*(E193/D193)^((1-2.5)/4)/(((E193/D193)^(-0.375)+(E193/D193)^(-0.125)+(E193/D193)^(0.125)+(E193/D193)^(0.375))/4)</f>
        <v>276.950165769216</v>
      </c>
      <c r="H208" s="10" t="n">
        <f aca="false">E193/4*(E193/D193)^((2-2.5)/4)/(((E193/D193)^(-0.375)+(E193/D193)^(-0.125)+(E193/D193)^(0.125)+(E193/D193)^(0.375))/4)</f>
        <v>288.650378462036</v>
      </c>
      <c r="I208" s="10" t="n">
        <f aca="false">E193/4*(E193/D193)^((3-2.5)/4)/(((E193/D193)^(-0.375)+(E193/D193)^(-0.125)+(E193/D193)^(0.125)+(E193/D193)^(0.375))/4)</f>
        <v>300.844885775251</v>
      </c>
      <c r="J208" s="10" t="n">
        <f aca="false">E193/4*(E193/D193)^((4-2.5)/4)/(((E193/D193)^(-0.375)+(E193/D193)^(-0.125)+(E193/D193)^(0.125)+(E193/D193)^(0.375))/4)</f>
        <v>313.554569993497</v>
      </c>
      <c r="K208" s="10" t="n">
        <f aca="false">F193/4*(F193/E193)^((1-2.5)/4)/(((F193/E193)^(-0.375)+(F193/E193)^(-0.125)+(F193/E193)^(0.125)+(F193/E193)^(0.375))/4)</f>
        <v>330.176786896107</v>
      </c>
      <c r="L208" s="10" t="n">
        <f aca="false">F193/4*(F193/E193)^((2-2.5)/4)/(((F193/E193)^(-0.375)+(F193/E193)^(-0.125)+(F193/E193)^(0.125)+(F193/E193)^(0.375))/4)</f>
        <v>345.574627377045</v>
      </c>
      <c r="M208" s="10" t="n">
        <f aca="false">F193/4*(F193/E193)^((3-2.5)/4)/(((F193/E193)^(-0.375)+(F193/E193)^(-0.125)+(F193/E193)^(0.125)+(F193/E193)^(0.375))/4)</f>
        <v>361.690548295148</v>
      </c>
      <c r="N208" s="10" t="n">
        <f aca="false">F193/4*(F193/E193)^((4-2.5)/4)/(((F193/E193)^(-0.375)+(F193/E193)^(-0.125)+(F193/E193)^(0.125)+(F193/E193)^(0.375))/4)</f>
        <v>378.5580374317</v>
      </c>
      <c r="O208" s="10" t="n">
        <f aca="false">G193/4*(G193/F193)^((1-2.5)/4)/(((G193/F193)^(-0.375)+(G193/F193)^(-0.125)+(G193/F193)^(0.125)+(G193/F193)^(0.375))/4)</f>
        <v>396.212144275329</v>
      </c>
      <c r="P208" s="10" t="n">
        <f aca="false">G193/4*(G193/F193)^((2-2.5)/4)/(((G193/F193)^(-0.375)+(G193/F193)^(-0.125)+(G193/F193)^(0.125)+(G193/F193)^(0.375))/4)</f>
        <v>414.689552852454</v>
      </c>
      <c r="Q208" s="10" t="n">
        <f aca="false">G193/4*(G193/F193)^((3-2.5)/4)/(((G193/F193)^(-0.375)+(G193/F193)^(-0.125)+(G193/F193)^(0.125)+(G193/F193)^(0.375))/4)</f>
        <v>434.028657954178</v>
      </c>
      <c r="R208" s="10" t="n">
        <f aca="false">G193/4*(G193/F193)^((4-2.5)/4)/(((G193/F193)^(-0.375)+(G193/F193)^(-0.125)+(G193/F193)^(0.125)+(G193/F193)^(0.375))/4)</f>
        <v>454.26964491804</v>
      </c>
      <c r="S208" s="10" t="n">
        <f aca="false">H193/4*(H193/G193)^((1-2.5)/4)/(((H193/G193)^(-0.375)+(H193/G193)^(-0.125)+(H193/G193)^(0.125)+(H193/G193)^(0.375))/4)</f>
        <v>463.222172117579</v>
      </c>
      <c r="T208" s="10" t="n">
        <f aca="false">H193/4*(H193/G193)^((2-2.5)/4)/(((H193/G193)^(-0.375)+(H193/G193)^(-0.125)+(H193/G193)^(0.125)+(H193/G193)^(0.375))/4)</f>
        <v>479.693461476868</v>
      </c>
      <c r="U208" s="10" t="n">
        <f aca="false">H193/4*(H193/G193)^((3-2.5)/4)/(((H193/G193)^(-0.375)+(H193/G193)^(-0.125)+(H193/G193)^(0.125)+(H193/G193)^(0.375))/4)</f>
        <v>496.75043820064</v>
      </c>
      <c r="V208" s="10" t="n">
        <f aca="false">H193/4*(H193/G193)^((4-2.5)/4)/(((H193/G193)^(-0.375)+(H193/G193)^(-0.125)+(H193/G193)^(0.125)+(H193/G193)^(0.375))/4)</f>
        <v>514.413928204912</v>
      </c>
      <c r="W208" s="10" t="n">
        <f aca="false">I193/4*(I193/H193)^((1-2.5)/4)/(((I193/H193)^(-0.375)+(I193/H193)^(-0.125)+(I193/H193)^(0.125)+(I193/H193)^(0.375))/4)</f>
        <v>524.113992028878</v>
      </c>
      <c r="X208" s="10" t="n">
        <f aca="false">I193/4*(I193/H193)^((2-2.5)/4)/(((I193/H193)^(-0.375)+(I193/H193)^(-0.125)+(I193/H193)^(0.125)+(I193/H193)^(0.375))/4)</f>
        <v>539.175636491478</v>
      </c>
      <c r="Y208" s="10" t="n">
        <f aca="false">I193/4*(I193/H193)^((3-2.5)/4)/(((I193/H193)^(-0.375)+(I193/H193)^(-0.125)+(I193/H193)^(0.125)+(I193/H193)^(0.375))/4)</f>
        <v>554.67011262308</v>
      </c>
      <c r="Z208" s="10" t="n">
        <f aca="false">I193/4*(I193/H193)^((4-2.5)/4)/(((I193/H193)^(-0.375)+(I193/H193)^(-0.125)+(I193/H193)^(0.125)+(I193/H193)^(0.375))/4)</f>
        <v>570.609858856565</v>
      </c>
      <c r="AB208" s="5" t="s">
        <v>539</v>
      </c>
    </row>
    <row r="209" customFormat="false" ht="17.15" hidden="false" customHeight="false" outlineLevel="0" collapsed="false">
      <c r="A209" s="0" t="s">
        <v>540</v>
      </c>
      <c r="B209" s="0" t="s">
        <v>285</v>
      </c>
      <c r="C209" s="10" t="n">
        <f aca="false">(rv_ss_0+rv_sk_0+rv_mu_0+rv_kx_0+rv_sd_0)/t5_0</f>
        <v>12.9354838709677</v>
      </c>
      <c r="D209" s="10" t="n">
        <f aca="false">(rv_ss_1+rv_sk_1+rv_mu_1+rv_kx_1+rv_sd_1)/t5_1</f>
        <v>15.8054711246201</v>
      </c>
      <c r="E209" s="10" t="n">
        <f aca="false">(rv_ss_2+rv_sk_2+rv_mu_2+rv_kx_2+rv_sd_2)/t5_2</f>
        <v>18.7912087912088</v>
      </c>
      <c r="F209" s="10" t="n">
        <f aca="false">(rv_ss_3+rv_sk_3+rv_mu_3+rv_kx_3+rv_sd_3)/t5_3</f>
        <v>23.5714285714286</v>
      </c>
      <c r="G209" s="10" t="n">
        <f aca="false">(rv_ss_4+rv_sk_4+rv_mu_4+rv_kx_4+rv_sd_4)/t5_4</f>
        <v>43.954802259887</v>
      </c>
      <c r="H209" s="10" t="n">
        <f aca="false">(rv_ss_5+rv_sk_5+rv_mu_5+rv_kx_5+rv_sd_5)/t5_5</f>
        <v>78.703071672355</v>
      </c>
      <c r="I209" s="10" t="n">
        <f aca="false">$H209*I207/$H207*I208/$H208</f>
        <v>102.535014563237</v>
      </c>
      <c r="J209" s="10" t="n">
        <f aca="false">$H209*J207/$H207*J208/$H208</f>
        <v>115.522982634544</v>
      </c>
      <c r="K209" s="10" t="n">
        <f aca="false">$H209*K207/$H207*K208/$H208</f>
        <v>125.296523142084</v>
      </c>
      <c r="L209" s="10" t="n">
        <f aca="false">$H209*L207/$H207*L208/$H208</f>
        <v>131.139743964161</v>
      </c>
      <c r="M209" s="10" t="n">
        <f aca="false">$H209*M207/$H207*M208/$H208</f>
        <v>130.392690993586</v>
      </c>
      <c r="N209" s="10" t="n">
        <f aca="false">$H209*N207/$H207*N208/$H208</f>
        <v>126.920422251819</v>
      </c>
      <c r="O209" s="10" t="n">
        <f aca="false">$H209*O207/$H207*O208/$H208</f>
        <v>126.197405143475</v>
      </c>
      <c r="P209" s="10" t="n">
        <f aca="false">$H209*P207/$H207*P208/$H208</f>
        <v>125.4785067871</v>
      </c>
      <c r="Q209" s="10" t="n">
        <f aca="false">$H209*Q207/$H207*Q208/$H208</f>
        <v>124.763703719738</v>
      </c>
      <c r="R209" s="10" t="n">
        <f aca="false">$H209*R207/$H207*R208/$H208</f>
        <v>124.052972612095</v>
      </c>
      <c r="S209" s="10" t="n">
        <f aca="false">$H209*S207/$H207*S208/$H208</f>
        <v>122.702816337515</v>
      </c>
      <c r="T209" s="10" t="n">
        <f aca="false">$H209*T207/$H207*T208/$H208</f>
        <v>123.253915674731</v>
      </c>
      <c r="U209" s="10" t="n">
        <f aca="false">$H209*U207/$H207*U208/$H208</f>
        <v>123.807490183166</v>
      </c>
      <c r="V209" s="10" t="n">
        <f aca="false">$H209*V207/$H207*V208/$H208</f>
        <v>124.363550979641</v>
      </c>
      <c r="W209" s="10" t="n">
        <f aca="false">$H209*W207/$H207*W208/$H208</f>
        <v>122.723241306487</v>
      </c>
      <c r="X209" s="10" t="n">
        <f aca="false">$H209*X207/$H207*X208/$H208</f>
        <v>122.279031657193</v>
      </c>
      <c r="Y209" s="10" t="n">
        <f aca="false">$H209*Y207/$H207*Y208/$H208</f>
        <v>121.836429871335</v>
      </c>
      <c r="Z209" s="10" t="n">
        <f aca="false">$H209*Z207/$H207*Z208/$H208</f>
        <v>121.395430129084</v>
      </c>
      <c r="AB209" s="5" t="s">
        <v>541</v>
      </c>
    </row>
    <row r="210" customFormat="false" ht="17.15" hidden="false" customHeight="false" outlineLevel="0" collapsed="false">
      <c r="A210" s="5" t="s">
        <v>454</v>
      </c>
      <c r="B210" s="0" t="s">
        <v>25</v>
      </c>
      <c r="C210" s="12" t="n">
        <f aca="false">rv_ss_0/C209</f>
        <v>0.324688279301746</v>
      </c>
      <c r="D210" s="12" t="n">
        <f aca="false">rv_ss_1/D209</f>
        <v>0.329</v>
      </c>
      <c r="E210" s="12" t="n">
        <f aca="false">rv_ss_2/E209</f>
        <v>0.319298245614035</v>
      </c>
      <c r="F210" s="12" t="n">
        <f aca="false">rv_ss_3/F209</f>
        <v>0.28</v>
      </c>
      <c r="G210" s="12" t="n">
        <f aca="false">rv_ss_4/G209</f>
        <v>0.30736118251928</v>
      </c>
      <c r="H210" s="12" t="n">
        <f aca="false">rv_ss_5/H209</f>
        <v>0.293</v>
      </c>
      <c r="I210" s="12" t="n">
        <f aca="false">(rv_ss_4+rv_ss_5)/($G209+$H209)</f>
        <v>0.298146371102126</v>
      </c>
      <c r="J210" s="12" t="n">
        <f aca="false">(rv_ss_4+rv_ss_5)/($G209+$H209)</f>
        <v>0.298146371102126</v>
      </c>
      <c r="K210" s="12" t="n">
        <f aca="false">(rv_ss_4+rv_ss_5)/($G209+$H209)+dr_ss/100*1</f>
        <v>0.293146371102126</v>
      </c>
      <c r="L210" s="12" t="n">
        <f aca="false">(rv_ss_4+rv_ss_5)/($G209+$H209)+dr_ss/100*1</f>
        <v>0.293146371102126</v>
      </c>
      <c r="M210" s="12" t="n">
        <f aca="false">(rv_ss_4+rv_ss_5)/($G209+$H209)+dr_ss/100*1</f>
        <v>0.293146371102126</v>
      </c>
      <c r="N210" s="12" t="n">
        <f aca="false">(rv_ss_4+rv_ss_5)/($G209+$H209)+dr_ss/100*1</f>
        <v>0.293146371102126</v>
      </c>
      <c r="O210" s="12" t="n">
        <f aca="false">(rv_ss_4+rv_ss_5)/($G209+$H209)+dr_ss/100*2</f>
        <v>0.288146371102126</v>
      </c>
      <c r="P210" s="12" t="n">
        <f aca="false">(rv_ss_4+rv_ss_5)/($G209+$H209)+dr_ss/100*2</f>
        <v>0.288146371102126</v>
      </c>
      <c r="Q210" s="12" t="n">
        <f aca="false">(rv_ss_4+rv_ss_5)/($G209+$H209)+dr_ss/100*2</f>
        <v>0.288146371102126</v>
      </c>
      <c r="R210" s="12" t="n">
        <f aca="false">(rv_ss_4+rv_ss_5)/($G209+$H209)+dr_ss/100*2</f>
        <v>0.288146371102126</v>
      </c>
      <c r="S210" s="12" t="n">
        <f aca="false">(rv_ss_4+rv_ss_5)/($G209+$H209)+dr_ss/100*3</f>
        <v>0.283146371102126</v>
      </c>
      <c r="T210" s="12" t="n">
        <f aca="false">(rv_ss_4+rv_ss_5)/($G209+$H209)+dr_ss/100*3</f>
        <v>0.283146371102126</v>
      </c>
      <c r="U210" s="12" t="n">
        <f aca="false">(rv_ss_4+rv_ss_5)/($G209+$H209)+dr_ss/100*3</f>
        <v>0.283146371102126</v>
      </c>
      <c r="V210" s="12" t="n">
        <f aca="false">(rv_ss_4+rv_ss_5)/($G209+$H209)+dr_ss/100*3</f>
        <v>0.283146371102126</v>
      </c>
      <c r="W210" s="12" t="n">
        <f aca="false">(rv_ss_4+rv_ss_5)/($G209+$H209)+dr_ss/100*4</f>
        <v>0.278146371102126</v>
      </c>
      <c r="X210" s="12" t="n">
        <f aca="false">(rv_ss_4+rv_ss_5)/($G209+$H209)+dr_ss/100*4</f>
        <v>0.278146371102126</v>
      </c>
      <c r="Y210" s="12" t="n">
        <f aca="false">(rv_ss_4+rv_ss_5)/($G209+$H209)+dr_ss/100*4</f>
        <v>0.278146371102126</v>
      </c>
      <c r="Z210" s="12" t="n">
        <f aca="false">(rv_ss_4+rv_ss_5)/($G209+$H209)+dr_ss/100*4</f>
        <v>0.278146371102126</v>
      </c>
      <c r="AB210" s="8" t="s">
        <v>542</v>
      </c>
    </row>
    <row r="211" customFormat="false" ht="17.15" hidden="false" customHeight="false" outlineLevel="0" collapsed="false">
      <c r="A211" s="5" t="s">
        <v>455</v>
      </c>
      <c r="B211" s="0" t="s">
        <v>25</v>
      </c>
      <c r="C211" s="12" t="n">
        <f aca="false">rv_sk_0/C209</f>
        <v>0.16930174563591</v>
      </c>
      <c r="D211" s="12" t="n">
        <f aca="false">rv_sk_1/D209</f>
        <v>0.211319230769231</v>
      </c>
      <c r="E211" s="12" t="n">
        <f aca="false">rv_sk_2/E209</f>
        <v>0.187853801169591</v>
      </c>
      <c r="F211" s="12" t="n">
        <f aca="false">rv_sk_3/F209</f>
        <v>0.221030303030303</v>
      </c>
      <c r="G211" s="12" t="n">
        <f aca="false">rv_sk_4/G209</f>
        <v>0.17131233933162</v>
      </c>
      <c r="H211" s="12" t="n">
        <f aca="false">rv_sk_5/H209</f>
        <v>0.181314397224631</v>
      </c>
      <c r="I211" s="12" t="n">
        <f aca="false">(rv_sk_4+rv_sk_5)/($G209+$H209)</f>
        <v>0.177730130982399</v>
      </c>
      <c r="J211" s="12" t="n">
        <f aca="false">(rv_sk_4+rv_sk_5)/($G209+$H209)</f>
        <v>0.177730130982399</v>
      </c>
      <c r="K211" s="12" t="n">
        <f aca="false">(rv_sk_4+rv_sk_5)/($G209+$H209)+dr_sk/100*1</f>
        <v>0.177730130982399</v>
      </c>
      <c r="L211" s="12" t="n">
        <f aca="false">(rv_sk_4+rv_sk_5)/($G209+$H209)+dr_sk/100*1</f>
        <v>0.177730130982399</v>
      </c>
      <c r="M211" s="12" t="n">
        <f aca="false">(rv_sk_4+rv_sk_5)/($G209+$H209)+dr_sk/100*1</f>
        <v>0.177730130982399</v>
      </c>
      <c r="N211" s="12" t="n">
        <f aca="false">(rv_sk_4+rv_sk_5)/($G209+$H209)+dr_sk/100*1</f>
        <v>0.177730130982399</v>
      </c>
      <c r="O211" s="12" t="n">
        <f aca="false">(rv_sk_4+rv_sk_5)/($G209+$H209)+dr_sk/100*2</f>
        <v>0.177730130982399</v>
      </c>
      <c r="P211" s="12" t="n">
        <f aca="false">(rv_sk_4+rv_sk_5)/($G209+$H209)+dr_sk/100*2</f>
        <v>0.177730130982399</v>
      </c>
      <c r="Q211" s="12" t="n">
        <f aca="false">(rv_sk_4+rv_sk_5)/($G209+$H209)+dr_sk/100*2</f>
        <v>0.177730130982399</v>
      </c>
      <c r="R211" s="12" t="n">
        <f aca="false">(rv_sk_4+rv_sk_5)/($G209+$H209)+dr_sk/100*2</f>
        <v>0.177730130982399</v>
      </c>
      <c r="S211" s="12" t="n">
        <f aca="false">(rv_sk_4+rv_sk_5)/($G209+$H209)+dr_sk/100*3</f>
        <v>0.177730130982399</v>
      </c>
      <c r="T211" s="12" t="n">
        <f aca="false">(rv_sk_4+rv_sk_5)/($G209+$H209)+dr_sk/100*3</f>
        <v>0.177730130982399</v>
      </c>
      <c r="U211" s="12" t="n">
        <f aca="false">(rv_sk_4+rv_sk_5)/($G209+$H209)+dr_sk/100*3</f>
        <v>0.177730130982399</v>
      </c>
      <c r="V211" s="12" t="n">
        <f aca="false">(rv_sk_4+rv_sk_5)/($G209+$H209)+dr_sk/100*3</f>
        <v>0.177730130982399</v>
      </c>
      <c r="W211" s="12" t="n">
        <f aca="false">(rv_sk_4+rv_sk_5)/($G209+$H209)+dr_sk/100*4</f>
        <v>0.177730130982399</v>
      </c>
      <c r="X211" s="12" t="n">
        <f aca="false">(rv_sk_4+rv_sk_5)/($G209+$H209)+dr_sk/100*4</f>
        <v>0.177730130982399</v>
      </c>
      <c r="Y211" s="12" t="n">
        <f aca="false">(rv_sk_4+rv_sk_5)/($G209+$H209)+dr_sk/100*4</f>
        <v>0.177730130982399</v>
      </c>
      <c r="Z211" s="12" t="n">
        <f aca="false">(rv_sk_4+rv_sk_5)/($G209+$H209)+dr_sk/100*4</f>
        <v>0.177730130982399</v>
      </c>
      <c r="AB211" s="8" t="s">
        <v>542</v>
      </c>
    </row>
    <row r="212" customFormat="false" ht="17.15" hidden="false" customHeight="false" outlineLevel="0" collapsed="false">
      <c r="A212" s="5" t="s">
        <v>456</v>
      </c>
      <c r="B212" s="0" t="s">
        <v>25</v>
      </c>
      <c r="C212" s="12" t="n">
        <f aca="false">rv_mu_0/C209</f>
        <v>0.156932668329177</v>
      </c>
      <c r="D212" s="12" t="n">
        <f aca="false">rv_mu_1/D209</f>
        <v>0.132865384615385</v>
      </c>
      <c r="E212" s="12" t="n">
        <f aca="false">rv_mu_2/E209</f>
        <v>0.128783625730994</v>
      </c>
      <c r="F212" s="12" t="n">
        <f aca="false">rv_mu_3/F209</f>
        <v>0.128545454545455</v>
      </c>
      <c r="G212" s="12" t="n">
        <f aca="false">rv_mu_4/G209</f>
        <v>0.135366323907455</v>
      </c>
      <c r="H212" s="12" t="n">
        <f aca="false">rv_mu_5/H209</f>
        <v>0.150565915004337</v>
      </c>
      <c r="I212" s="12" t="n">
        <f aca="false">(rv_mu_4+rv_mu_5)/($G209+$H209)</f>
        <v>0.14511909777462</v>
      </c>
      <c r="J212" s="12" t="n">
        <f aca="false">(rv_mu_4+rv_mu_5)/($G209+$H209)</f>
        <v>0.14511909777462</v>
      </c>
      <c r="K212" s="12" t="n">
        <f aca="false">(rv_mu_4+rv_mu_5)/($G209+$H209)+dr_mu/100*1</f>
        <v>0.14711909777462</v>
      </c>
      <c r="L212" s="12" t="n">
        <f aca="false">(rv_mu_4+rv_mu_5)/($G209+$H209)+dr_mu/100*1</f>
        <v>0.14711909777462</v>
      </c>
      <c r="M212" s="12" t="n">
        <f aca="false">(rv_mu_4+rv_mu_5)/($G209+$H209)+dr_mu/100*1</f>
        <v>0.14711909777462</v>
      </c>
      <c r="N212" s="12" t="n">
        <f aca="false">(rv_mu_4+rv_mu_5)/($G209+$H209)+dr_mu/100*1</f>
        <v>0.14711909777462</v>
      </c>
      <c r="O212" s="12" t="n">
        <f aca="false">(rv_mu_4+rv_mu_5)/($G209+$H209)+dr_mu/100*2</f>
        <v>0.14911909777462</v>
      </c>
      <c r="P212" s="12" t="n">
        <f aca="false">(rv_mu_4+rv_mu_5)/($G209+$H209)+dr_mu/100*2</f>
        <v>0.14911909777462</v>
      </c>
      <c r="Q212" s="12" t="n">
        <f aca="false">(rv_mu_4+rv_mu_5)/($G209+$H209)+dr_mu/100*2</f>
        <v>0.14911909777462</v>
      </c>
      <c r="R212" s="12" t="n">
        <f aca="false">(rv_mu_4+rv_mu_5)/($G209+$H209)+dr_mu/100*2</f>
        <v>0.14911909777462</v>
      </c>
      <c r="S212" s="12" t="n">
        <f aca="false">(rv_mu_4+rv_mu_5)/($G209+$H209)+dr_mu/100*3</f>
        <v>0.15111909777462</v>
      </c>
      <c r="T212" s="12" t="n">
        <f aca="false">(rv_mu_4+rv_mu_5)/($G209+$H209)+dr_mu/100*3</f>
        <v>0.15111909777462</v>
      </c>
      <c r="U212" s="12" t="n">
        <f aca="false">(rv_mu_4+rv_mu_5)/($G209+$H209)+dr_mu/100*3</f>
        <v>0.15111909777462</v>
      </c>
      <c r="V212" s="12" t="n">
        <f aca="false">(rv_mu_4+rv_mu_5)/($G209+$H209)+dr_mu/100*3</f>
        <v>0.15111909777462</v>
      </c>
      <c r="W212" s="12" t="n">
        <f aca="false">(rv_mu_4+rv_mu_5)/($G209+$H209)+dr_mu/100*4</f>
        <v>0.15311909777462</v>
      </c>
      <c r="X212" s="12" t="n">
        <f aca="false">(rv_mu_4+rv_mu_5)/($G209+$H209)+dr_mu/100*4</f>
        <v>0.15311909777462</v>
      </c>
      <c r="Y212" s="12" t="n">
        <f aca="false">(rv_mu_4+rv_mu_5)/($G209+$H209)+dr_mu/100*4</f>
        <v>0.15311909777462</v>
      </c>
      <c r="Z212" s="12" t="n">
        <f aca="false">(rv_mu_4+rv_mu_5)/($G209+$H209)+dr_mu/100*4</f>
        <v>0.15311909777462</v>
      </c>
      <c r="AB212" s="8" t="s">
        <v>542</v>
      </c>
    </row>
    <row r="213" customFormat="false" ht="17.15" hidden="false" customHeight="false" outlineLevel="0" collapsed="false">
      <c r="A213" s="5" t="s">
        <v>457</v>
      </c>
      <c r="B213" s="0" t="s">
        <v>25</v>
      </c>
      <c r="C213" s="12" t="n">
        <f aca="false">rv_kx_0/C209</f>
        <v>0.148428927680798</v>
      </c>
      <c r="D213" s="12" t="n">
        <f aca="false">rv_kx_1/D209</f>
        <v>0.135396153846154</v>
      </c>
      <c r="E213" s="12" t="n">
        <f aca="false">rv_kx_2/E209</f>
        <v>0.151134502923977</v>
      </c>
      <c r="F213" s="12" t="n">
        <f aca="false">rv_kx_3/F209</f>
        <v>0.140424242424242</v>
      </c>
      <c r="G213" s="12" t="n">
        <f aca="false">rv_kx_4/G209</f>
        <v>0.13559383033419</v>
      </c>
      <c r="H213" s="12" t="n">
        <f aca="false">rv_kx_5/H209</f>
        <v>0.136208152645273</v>
      </c>
      <c r="I213" s="12" t="n">
        <f aca="false">kx_g/kx_fxg/kx_k/$I209</f>
        <v>0.145816694312842</v>
      </c>
      <c r="J213" s="12" t="n">
        <f aca="false">(kx_g/kx_fxg/kx_k/$I209+kx_g4/kx_fxg4/kx_k/$J209)/2</f>
        <v>0.139803647585953</v>
      </c>
      <c r="K213" s="12" t="n">
        <f aca="false">(kx_g/kx_fxg/kx_k/$I209+kx_g4/kx_fxg4/kx_k/$J209)/2+dr_jv_A/100*1*(kx_g/kx_fxg/kx_k)/(kx_g/kx_fxg/kx_k+sd_g/sd_k)</f>
        <v>0.139803647585953</v>
      </c>
      <c r="L213" s="12" t="n">
        <f aca="false">(kx_g/kx_fxg/kx_k/$I209+kx_g4/kx_fxg4/kx_k/$J209)/2+dr_jv_A/100*1*(kx_g/kx_fxg/kx_k)/(kx_g/kx_fxg/kx_k+sd_g/sd_k)</f>
        <v>0.139803647585953</v>
      </c>
      <c r="M213" s="12" t="n">
        <f aca="false">(kx_g/kx_fxg/kx_k/$I209+kx_g4/kx_fxg4/kx_k/$J209)/2+dr_jv_A/100*1*(kx_g/kx_fxg/kx_k)/(kx_g/kx_fxg/kx_k+sd_g/sd_k)</f>
        <v>0.139803647585953</v>
      </c>
      <c r="N213" s="12" t="n">
        <f aca="false">(kx_g/kx_fxg/kx_k/$I209+kx_g4/kx_fxg4/kx_k/$J209)/2+dr_jv_A/100*1*(kx_g/kx_fxg/kx_k)/(kx_g/kx_fxg/kx_k+sd_g/sd_k)</f>
        <v>0.139803647585953</v>
      </c>
      <c r="O213" s="12" t="n">
        <f aca="false">(kx_g/kx_fxg/kx_k/$I209+kx_g4/kx_fxg4/kx_k/$J209)/2+dr_jv_A/100*2*(kx_g/kx_fxg/kx_k)/(kx_g/kx_fxg/kx_k+sd_g/sd_k)</f>
        <v>0.139803647585953</v>
      </c>
      <c r="P213" s="12" t="n">
        <f aca="false">(kx_g/kx_fxg/kx_k/$I209+kx_g4/kx_fxg4/kx_k/$J209)/2+dr_jv_A/100*2*(kx_g/kx_fxg/kx_k)/(kx_g/kx_fxg/kx_k+sd_g/sd_k)</f>
        <v>0.139803647585953</v>
      </c>
      <c r="Q213" s="12" t="n">
        <f aca="false">(kx_g/kx_fxg/kx_k/$I209+kx_g4/kx_fxg4/kx_k/$J209)/2+dr_jv_A/100*2*(kx_g/kx_fxg/kx_k)/(kx_g/kx_fxg/kx_k+sd_g/sd_k)</f>
        <v>0.139803647585953</v>
      </c>
      <c r="R213" s="12" t="n">
        <f aca="false">(kx_g/kx_fxg/kx_k/$I209+kx_g4/kx_fxg4/kx_k/$J209)/2+dr_jv_A/100*2*(kx_g/kx_fxg/kx_k)/(kx_g/kx_fxg/kx_k+sd_g/sd_k)</f>
        <v>0.139803647585953</v>
      </c>
      <c r="S213" s="12" t="n">
        <f aca="false">(kx_g/kx_fxg/kx_k/$I209+kx_g4/kx_fxg4/kx_k/$J209)/2+dr_jv_A/100*3*(kx_g/kx_fxg/kx_k)/(kx_g/kx_fxg/kx_k+sd_g/sd_k)</f>
        <v>0.139803647585953</v>
      </c>
      <c r="T213" s="12" t="n">
        <f aca="false">(kx_g/kx_fxg/kx_k/$I209+kx_g4/kx_fxg4/kx_k/$J209)/2+dr_jv_A/100*3*(kx_g/kx_fxg/kx_k)/(kx_g/kx_fxg/kx_k+sd_g/sd_k)</f>
        <v>0.139803647585953</v>
      </c>
      <c r="U213" s="12" t="n">
        <f aca="false">(kx_g/kx_fxg/kx_k/$I209+kx_g4/kx_fxg4/kx_k/$J209)/2+dr_jv_A/100*3*(kx_g/kx_fxg/kx_k)/(kx_g/kx_fxg/kx_k+sd_g/sd_k)</f>
        <v>0.139803647585953</v>
      </c>
      <c r="V213" s="12" t="n">
        <f aca="false">(kx_g/kx_fxg/kx_k/$I209+kx_g4/kx_fxg4/kx_k/$J209)/2+dr_jv_A/100*3*(kx_g/kx_fxg/kx_k)/(kx_g/kx_fxg/kx_k+sd_g/sd_k)</f>
        <v>0.139803647585953</v>
      </c>
      <c r="W213" s="12" t="n">
        <f aca="false">(kx_g/kx_fxg/kx_k/$I209+kx_g4/kx_fxg4/kx_k/$J209)/2+dr_jv_A/100*4*(kx_g/kx_fxg/kx_k)/(kx_g/kx_fxg/kx_k+sd_g/sd_k)</f>
        <v>0.139803647585953</v>
      </c>
      <c r="X213" s="12" t="n">
        <f aca="false">(kx_g/kx_fxg/kx_k/$I209+kx_g4/kx_fxg4/kx_k/$J209)/2+dr_jv_A/100*4*(kx_g/kx_fxg/kx_k)/(kx_g/kx_fxg/kx_k+sd_g/sd_k)</f>
        <v>0.139803647585953</v>
      </c>
      <c r="Y213" s="12" t="n">
        <f aca="false">(kx_g/kx_fxg/kx_k/$I209+kx_g4/kx_fxg4/kx_k/$J209)/2+dr_jv_A/100*4*(kx_g/kx_fxg/kx_k)/(kx_g/kx_fxg/kx_k+sd_g/sd_k)</f>
        <v>0.139803647585953</v>
      </c>
      <c r="Z213" s="12" t="n">
        <f aca="false">(kx_g/kx_fxg/kx_k/$I209+kx_g4/kx_fxg4/kx_k/$J209)/2+dr_jv_A/100*4*(kx_g/kx_fxg/kx_k)/(kx_g/kx_fxg/kx_k+sd_g/sd_k)</f>
        <v>0.139803647585953</v>
      </c>
      <c r="AB213" s="8" t="s">
        <v>543</v>
      </c>
    </row>
    <row r="214" customFormat="false" ht="17.15" hidden="false" customHeight="false" outlineLevel="0" collapsed="false">
      <c r="A214" s="5" t="s">
        <v>458</v>
      </c>
      <c r="B214" s="0" t="s">
        <v>25</v>
      </c>
      <c r="C214" s="12" t="n">
        <f aca="false">rv_sd_0/C209</f>
        <v>0.130648379052369</v>
      </c>
      <c r="D214" s="12" t="n">
        <f aca="false">rv_sd_1/D209</f>
        <v>0.120211538461538</v>
      </c>
      <c r="E214" s="12" t="n">
        <f aca="false">rv_sd_2/E209</f>
        <v>0.122929824561404</v>
      </c>
      <c r="F214" s="12" t="n">
        <f aca="false">rv_sd_3/F209</f>
        <v>0.128545454545455</v>
      </c>
      <c r="G214" s="12" t="n">
        <f aca="false">rv_sd_4/G209</f>
        <v>0.135366323907455</v>
      </c>
      <c r="H214" s="12" t="n">
        <f aca="false">rv_sd_5/H209</f>
        <v>0.113972679965308</v>
      </c>
      <c r="I214" s="12" t="n">
        <f aca="false">sd_g/sd_k/$I209</f>
        <v>0.107642762872747</v>
      </c>
      <c r="J214" s="12" t="n">
        <f aca="false">(sd_g/sd_k/$I209+sd_g4/sd_k/$J209)/2</f>
        <v>0.107520288358004</v>
      </c>
      <c r="K214" s="12" t="n">
        <f aca="false">(sd_g/sd_k/$I209+sd_g4/sd_k/$J209)/2+dr_jv_A/100*1*(sd_g/sd_k)/(kx_g/kx_fxg/kx_k+sd_g/sd_k)</f>
        <v>0.107520288358004</v>
      </c>
      <c r="L214" s="12" t="n">
        <f aca="false">(sd_g/sd_k/$I209+sd_g4/sd_k/$J209)/2+dr_jv_A/100*1*(sd_g/sd_k)/(kx_g/kx_fxg/kx_k+sd_g/sd_k)</f>
        <v>0.107520288358004</v>
      </c>
      <c r="M214" s="12" t="n">
        <f aca="false">(sd_g/sd_k/$I209+sd_g4/sd_k/$J209)/2+dr_jv_A/100*1*(sd_g/sd_k)/(kx_g/kx_fxg/kx_k+sd_g/sd_k)</f>
        <v>0.107520288358004</v>
      </c>
      <c r="N214" s="12" t="n">
        <f aca="false">(sd_g/sd_k/$I209+sd_g4/sd_k/$J209)/2+dr_jv_A/100*1*(sd_g/sd_k)/(kx_g/kx_fxg/kx_k+sd_g/sd_k)</f>
        <v>0.107520288358004</v>
      </c>
      <c r="O214" s="12" t="n">
        <f aca="false">(sd_g/sd_k/$I209+sd_g4/sd_k/$J209)/2+dr_jv_A/100*2*(sd_g/sd_k)/(kx_g/kx_fxg/kx_k+sd_g/sd_k)</f>
        <v>0.107520288358004</v>
      </c>
      <c r="P214" s="12" t="n">
        <f aca="false">(sd_g/sd_k/$I209+sd_g4/sd_k/$J209)/2+dr_jv_A/100*2*(sd_g/sd_k)/(kx_g/kx_fxg/kx_k+sd_g/sd_k)</f>
        <v>0.107520288358004</v>
      </c>
      <c r="Q214" s="12" t="n">
        <f aca="false">(sd_g/sd_k/$I209+sd_g4/sd_k/$J209)/2+dr_jv_A/100*2*(sd_g/sd_k)/(kx_g/kx_fxg/kx_k+sd_g/sd_k)</f>
        <v>0.107520288358004</v>
      </c>
      <c r="R214" s="12" t="n">
        <f aca="false">(sd_g/sd_k/$I209+sd_g4/sd_k/$J209)/2+dr_jv_A/100*2*(sd_g/sd_k)/(kx_g/kx_fxg/kx_k+sd_g/sd_k)</f>
        <v>0.107520288358004</v>
      </c>
      <c r="S214" s="12" t="n">
        <f aca="false">(sd_g/sd_k/$I209+sd_g4/sd_k/$J209)/2+dr_jv_A/100*3*(sd_g/sd_k)/(kx_g/kx_fxg/kx_k+sd_g/sd_k)</f>
        <v>0.107520288358004</v>
      </c>
      <c r="T214" s="12" t="n">
        <f aca="false">(sd_g/sd_k/$I209+sd_g4/sd_k/$J209)/2+dr_jv_A/100*3*(sd_g/sd_k)/(kx_g/kx_fxg/kx_k+sd_g/sd_k)</f>
        <v>0.107520288358004</v>
      </c>
      <c r="U214" s="12" t="n">
        <f aca="false">(sd_g/sd_k/$I209+sd_g4/sd_k/$J209)/2+dr_jv_A/100*3*(sd_g/sd_k)/(kx_g/kx_fxg/kx_k+sd_g/sd_k)</f>
        <v>0.107520288358004</v>
      </c>
      <c r="V214" s="12" t="n">
        <f aca="false">(sd_g/sd_k/$I209+sd_g4/sd_k/$J209)/2+dr_jv_A/100*3*(sd_g/sd_k)/(kx_g/kx_fxg/kx_k+sd_g/sd_k)</f>
        <v>0.107520288358004</v>
      </c>
      <c r="W214" s="12" t="n">
        <f aca="false">(sd_g/sd_k/$I209+sd_g4/sd_k/$J209)/2+dr_jv_A/100*4*(sd_g/sd_k)/(kx_g/kx_fxg/kx_k+sd_g/sd_k)</f>
        <v>0.107520288358004</v>
      </c>
      <c r="X214" s="12" t="n">
        <f aca="false">(sd_g/sd_k/$I209+sd_g4/sd_k/$J209)/2+dr_jv_A/100*4*(sd_g/sd_k)/(kx_g/kx_fxg/kx_k+sd_g/sd_k)</f>
        <v>0.107520288358004</v>
      </c>
      <c r="Y214" s="12" t="n">
        <f aca="false">(sd_g/sd_k/$I209+sd_g4/sd_k/$J209)/2+dr_jv_A/100*4*(sd_g/sd_k)/(kx_g/kx_fxg/kx_k+sd_g/sd_k)</f>
        <v>0.107520288358004</v>
      </c>
      <c r="Z214" s="12" t="n">
        <f aca="false">(sd_g/sd_k/$I209+sd_g4/sd_k/$J209)/2+dr_jv_A/100*4*(sd_g/sd_k)/(kx_g/kx_fxg/kx_k+sd_g/sd_k)</f>
        <v>0.107520288358004</v>
      </c>
      <c r="AB214" s="8" t="s">
        <v>544</v>
      </c>
    </row>
    <row r="215" customFormat="false" ht="15" hidden="false" customHeight="false" outlineLevel="0" collapsed="false">
      <c r="A215" s="5" t="s">
        <v>459</v>
      </c>
      <c r="B215" s="0" t="s">
        <v>25</v>
      </c>
      <c r="C215" s="12" t="n">
        <f aca="false">1-t5_0</f>
        <v>0.07</v>
      </c>
      <c r="D215" s="12" t="n">
        <f aca="false">1-t5_1</f>
        <v>0.0712076923076923</v>
      </c>
      <c r="E215" s="12" t="n">
        <f aca="false">1-t5_2</f>
        <v>0.09</v>
      </c>
      <c r="F215" s="12" t="n">
        <f aca="false">1-t5_3</f>
        <v>0.101454545454545</v>
      </c>
      <c r="G215" s="12" t="n">
        <f aca="false">1-t5_4</f>
        <v>0.115</v>
      </c>
      <c r="H215" s="12" t="n">
        <f aca="false">1-t5_5</f>
        <v>0.124938855160451</v>
      </c>
      <c r="I215" s="12" t="n">
        <f aca="false">1-I210-I211-I212-I213-I214</f>
        <v>0.125544942955266</v>
      </c>
      <c r="J215" s="12" t="n">
        <f aca="false">1-J210-J211-J212-J213-J214</f>
        <v>0.131680464196898</v>
      </c>
      <c r="K215" s="12" t="n">
        <f aca="false">1-K210-K211-K212-K213-K214</f>
        <v>0.134680464196898</v>
      </c>
      <c r="L215" s="12" t="n">
        <f aca="false">1-L210-L211-L212-L213-L214</f>
        <v>0.134680464196898</v>
      </c>
      <c r="M215" s="12" t="n">
        <f aca="false">1-M210-M211-M212-M213-M214</f>
        <v>0.134680464196898</v>
      </c>
      <c r="N215" s="12" t="n">
        <f aca="false">1-N210-N211-N212-N213-N214</f>
        <v>0.134680464196898</v>
      </c>
      <c r="O215" s="12" t="n">
        <f aca="false">1-O210-O211-O212-O213-O214</f>
        <v>0.137680464196898</v>
      </c>
      <c r="P215" s="12" t="n">
        <f aca="false">1-P210-P211-P212-P213-P214</f>
        <v>0.137680464196898</v>
      </c>
      <c r="Q215" s="12" t="n">
        <f aca="false">1-Q210-Q211-Q212-Q213-Q214</f>
        <v>0.137680464196898</v>
      </c>
      <c r="R215" s="12" t="n">
        <f aca="false">1-R210-R211-R212-R213-R214</f>
        <v>0.137680464196898</v>
      </c>
      <c r="S215" s="12" t="n">
        <f aca="false">1-S210-S211-S212-S213-S214</f>
        <v>0.140680464196898</v>
      </c>
      <c r="T215" s="12" t="n">
        <f aca="false">1-T210-T211-T212-T213-T214</f>
        <v>0.140680464196898</v>
      </c>
      <c r="U215" s="12" t="n">
        <f aca="false">1-U210-U211-U212-U213-U214</f>
        <v>0.140680464196898</v>
      </c>
      <c r="V215" s="12" t="n">
        <f aca="false">1-V210-V211-V212-V213-V214</f>
        <v>0.140680464196898</v>
      </c>
      <c r="W215" s="12" t="n">
        <f aca="false">1-W210-W211-W212-W213-W214</f>
        <v>0.143680464196898</v>
      </c>
      <c r="X215" s="12" t="n">
        <f aca="false">1-X210-X211-X212-X213-X214</f>
        <v>0.143680464196898</v>
      </c>
      <c r="Y215" s="12" t="n">
        <f aca="false">1-Y210-Y211-Y212-Y213-Y214</f>
        <v>0.143680464196898</v>
      </c>
      <c r="Z215" s="12" t="n">
        <f aca="false">1-Z210-Z211-Z212-Z213-Z214</f>
        <v>0.143680464196898</v>
      </c>
      <c r="AB215" s="5" t="s">
        <v>545</v>
      </c>
    </row>
    <row r="216" customFormat="false" ht="17.15" hidden="false" customHeight="false" outlineLevel="0" collapsed="false">
      <c r="A216" s="5" t="s">
        <v>546</v>
      </c>
      <c r="B216" s="0" t="s">
        <v>285</v>
      </c>
      <c r="C216" s="19" t="n">
        <f aca="false">C209*C210</f>
        <v>4.2</v>
      </c>
      <c r="D216" s="19" t="n">
        <f aca="false">D209*D210</f>
        <v>5.2</v>
      </c>
      <c r="E216" s="19" t="n">
        <f aca="false">E209*E210</f>
        <v>6</v>
      </c>
      <c r="F216" s="19" t="n">
        <f aca="false">F209*F210</f>
        <v>6.6</v>
      </c>
      <c r="G216" s="19" t="n">
        <f aca="false">G209*G210</f>
        <v>13.51</v>
      </c>
      <c r="H216" s="19" t="n">
        <f aca="false">H209*H210</f>
        <v>23.06</v>
      </c>
      <c r="I216" s="19" t="n">
        <f aca="false">I209*I210</f>
        <v>30.5704425029328</v>
      </c>
      <c r="J216" s="19" t="n">
        <f aca="false">J209*J210</f>
        <v>34.4427580513831</v>
      </c>
      <c r="K216" s="19" t="n">
        <f aca="false">K209*K210</f>
        <v>36.7302210708154</v>
      </c>
      <c r="L216" s="19" t="n">
        <f aca="false">L209*L210</f>
        <v>38.4431400503558</v>
      </c>
      <c r="M216" s="19" t="n">
        <f aca="false">M209*M210</f>
        <v>38.2241441830106</v>
      </c>
      <c r="N216" s="19" t="n">
        <f aca="false">N209*N210</f>
        <v>37.2062612018702</v>
      </c>
      <c r="O216" s="19" t="n">
        <f aca="false">O209*O210</f>
        <v>36.3633243345972</v>
      </c>
      <c r="P216" s="19" t="n">
        <f aca="false">P209*P210</f>
        <v>36.1561763820164</v>
      </c>
      <c r="Q216" s="19" t="n">
        <f aca="false">Q209*Q210</f>
        <v>35.9502084721034</v>
      </c>
      <c r="R216" s="19" t="n">
        <f aca="false">R209*R210</f>
        <v>35.7454138826065</v>
      </c>
      <c r="S216" s="19" t="n">
        <f aca="false">S209*S210</f>
        <v>34.7428571699781</v>
      </c>
      <c r="T216" s="19" t="n">
        <f aca="false">T209*T210</f>
        <v>34.8988989474277</v>
      </c>
      <c r="U216" s="19" t="n">
        <f aca="false">U209*U210</f>
        <v>35.0556415606257</v>
      </c>
      <c r="V216" s="19" t="n">
        <f aca="false">V209*V210</f>
        <v>35.2130881572597</v>
      </c>
      <c r="W216" s="19" t="n">
        <f aca="false">W209*W210</f>
        <v>34.1350242192899</v>
      </c>
      <c r="X216" s="19" t="n">
        <f aca="false">X209*X210</f>
        <v>34.0114689173302</v>
      </c>
      <c r="Y216" s="19" t="n">
        <f aca="false">Y209*Y210</f>
        <v>33.8883608367505</v>
      </c>
      <c r="Z216" s="19" t="n">
        <f aca="false">Z209*Z210</f>
        <v>33.7656983587863</v>
      </c>
    </row>
    <row r="217" customFormat="false" ht="17.15" hidden="false" customHeight="false" outlineLevel="0" collapsed="false">
      <c r="A217" s="0" t="s">
        <v>547</v>
      </c>
      <c r="B217" s="0" t="s">
        <v>285</v>
      </c>
      <c r="C217" s="19" t="n">
        <f aca="false">C209*C211</f>
        <v>2.19</v>
      </c>
      <c r="D217" s="19" t="n">
        <f aca="false">D209*D211</f>
        <v>3.34</v>
      </c>
      <c r="E217" s="19" t="n">
        <f aca="false">E209*E211</f>
        <v>3.53</v>
      </c>
      <c r="F217" s="19" t="n">
        <f aca="false">F209*F211</f>
        <v>5.21</v>
      </c>
      <c r="G217" s="19" t="n">
        <f aca="false">G209*G211</f>
        <v>7.53</v>
      </c>
      <c r="H217" s="19" t="n">
        <f aca="false">H209*H211</f>
        <v>14.27</v>
      </c>
      <c r="I217" s="19" t="n">
        <f aca="false">I209*I211</f>
        <v>18.2235615686064</v>
      </c>
      <c r="J217" s="19" t="n">
        <f aca="false">J209*J211</f>
        <v>20.5319148351149</v>
      </c>
      <c r="K217" s="19" t="n">
        <f aca="false">K209*K211</f>
        <v>22.2689674696818</v>
      </c>
      <c r="L217" s="19" t="n">
        <f aca="false">L209*L211</f>
        <v>23.3074838717487</v>
      </c>
      <c r="M217" s="19" t="n">
        <f aca="false">M209*M211</f>
        <v>23.1747100494376</v>
      </c>
      <c r="N217" s="19" t="n">
        <f aca="false">N209*N211</f>
        <v>22.5575832711572</v>
      </c>
      <c r="O217" s="19" t="n">
        <f aca="false">O209*O211</f>
        <v>22.4290813457888</v>
      </c>
      <c r="P217" s="19" t="n">
        <f aca="false">P209*P211</f>
        <v>22.3013114467472</v>
      </c>
      <c r="Q217" s="19" t="n">
        <f aca="false">Q209*Q211</f>
        <v>22.1742694039584</v>
      </c>
      <c r="R217" s="19" t="n">
        <f aca="false">R209*R211</f>
        <v>22.0479510711036</v>
      </c>
      <c r="S217" s="19" t="n">
        <f aca="false">S209*S211</f>
        <v>21.8079876195759</v>
      </c>
      <c r="T217" s="19" t="n">
        <f aca="false">T209*T211</f>
        <v>21.9059345769636</v>
      </c>
      <c r="U217" s="19" t="n">
        <f aca="false">U209*U211</f>
        <v>22.0043214468563</v>
      </c>
      <c r="V217" s="19" t="n">
        <f aca="false">V209*V211</f>
        <v>22.1031502050479</v>
      </c>
      <c r="W217" s="19" t="n">
        <f aca="false">W209*W211</f>
        <v>21.8116177519866</v>
      </c>
      <c r="X217" s="19" t="n">
        <f aca="false">X209*X211</f>
        <v>21.7326683128338</v>
      </c>
      <c r="Y217" s="19" t="n">
        <f aca="false">Y209*Y211</f>
        <v>21.6540046394603</v>
      </c>
      <c r="Z217" s="19" t="n">
        <f aca="false">Z209*Z211</f>
        <v>21.5756256975068</v>
      </c>
    </row>
    <row r="218" customFormat="false" ht="17.15" hidden="false" customHeight="false" outlineLevel="0" collapsed="false">
      <c r="A218" s="5" t="s">
        <v>548</v>
      </c>
      <c r="B218" s="0" t="s">
        <v>285</v>
      </c>
      <c r="C218" s="19" t="n">
        <f aca="false">C209*C212</f>
        <v>2.03</v>
      </c>
      <c r="D218" s="19" t="n">
        <f aca="false">D209*D212</f>
        <v>2.1</v>
      </c>
      <c r="E218" s="19" t="n">
        <f aca="false">E209*E212</f>
        <v>2.42</v>
      </c>
      <c r="F218" s="19" t="n">
        <f aca="false">F209*F212</f>
        <v>3.03</v>
      </c>
      <c r="G218" s="19" t="n">
        <f aca="false">G209*G212</f>
        <v>5.95</v>
      </c>
      <c r="H218" s="19" t="n">
        <f aca="false">H209*H212</f>
        <v>11.85</v>
      </c>
      <c r="I218" s="19" t="n">
        <f aca="false">I209*I212</f>
        <v>14.8797888037245</v>
      </c>
      <c r="J218" s="19" t="n">
        <f aca="false">J209*J212</f>
        <v>16.764591012158</v>
      </c>
      <c r="K218" s="19" t="n">
        <f aca="false">K209*K212</f>
        <v>18.4335114389601</v>
      </c>
      <c r="L218" s="19" t="n">
        <f aca="false">L209*L212</f>
        <v>19.293160814402</v>
      </c>
      <c r="M218" s="19" t="n">
        <f aca="false">M209*M212</f>
        <v>19.1832550553812</v>
      </c>
      <c r="N218" s="19" t="n">
        <f aca="false">N209*N212</f>
        <v>18.6724180108614</v>
      </c>
      <c r="O218" s="19" t="n">
        <f aca="false">O209*O212</f>
        <v>18.8184431964932</v>
      </c>
      <c r="P218" s="19" t="n">
        <f aca="false">P209*P212</f>
        <v>18.7112417221989</v>
      </c>
      <c r="Q218" s="19" t="n">
        <f aca="false">Q209*Q212</f>
        <v>18.6046509337074</v>
      </c>
      <c r="R218" s="19" t="n">
        <f aca="false">R209*R212</f>
        <v>18.4986673521751</v>
      </c>
      <c r="S218" s="19" t="n">
        <f aca="false">S209*S212</f>
        <v>18.5427388993302</v>
      </c>
      <c r="T218" s="19" t="n">
        <f aca="false">T209*T212</f>
        <v>18.6260205339545</v>
      </c>
      <c r="U218" s="19" t="n">
        <f aca="false">U209*U212</f>
        <v>18.7096762142202</v>
      </c>
      <c r="V218" s="19" t="n">
        <f aca="false">V209*V212</f>
        <v>18.7937076200913</v>
      </c>
      <c r="W218" s="19" t="n">
        <f aca="false">W209*W212</f>
        <v>18.7912719848262</v>
      </c>
      <c r="X218" s="19" t="n">
        <f aca="false">X209*X212</f>
        <v>18.7232550041035</v>
      </c>
      <c r="Y218" s="19" t="n">
        <f aca="false">Y209*Y212</f>
        <v>18.6554842179796</v>
      </c>
      <c r="Z218" s="19" t="n">
        <f aca="false">Z209*Z212</f>
        <v>18.5879587353272</v>
      </c>
    </row>
    <row r="219" customFormat="false" ht="17.15" hidden="false" customHeight="false" outlineLevel="0" collapsed="false">
      <c r="A219" s="0" t="s">
        <v>549</v>
      </c>
      <c r="B219" s="0" t="s">
        <v>285</v>
      </c>
      <c r="C219" s="19" t="n">
        <f aca="false">C209*C213</f>
        <v>1.92</v>
      </c>
      <c r="D219" s="19" t="n">
        <f aca="false">D209*D213</f>
        <v>2.14</v>
      </c>
      <c r="E219" s="19" t="n">
        <f aca="false">E209*E213</f>
        <v>2.84</v>
      </c>
      <c r="F219" s="19" t="n">
        <f aca="false">F209*F213</f>
        <v>3.31</v>
      </c>
      <c r="G219" s="19" t="n">
        <f aca="false">G209*G213</f>
        <v>5.96</v>
      </c>
      <c r="H219" s="19" t="n">
        <f aca="false">H209*H213</f>
        <v>10.72</v>
      </c>
      <c r="I219" s="19" t="n">
        <f aca="false">I209*I213</f>
        <v>14.9513168749304</v>
      </c>
      <c r="J219" s="19" t="n">
        <f aca="false">J209*J213</f>
        <v>16.150534352318</v>
      </c>
      <c r="K219" s="19" t="n">
        <f aca="false">K209*K213</f>
        <v>17.5169109651011</v>
      </c>
      <c r="L219" s="19" t="n">
        <f aca="false">L209*L213</f>
        <v>18.3338145496777</v>
      </c>
      <c r="M219" s="19" t="n">
        <f aca="false">M209*M213</f>
        <v>18.2293738194514</v>
      </c>
      <c r="N219" s="19" t="n">
        <f aca="false">N209*N213</f>
        <v>17.7439379839537</v>
      </c>
      <c r="O219" s="19" t="n">
        <f aca="false">O209*O213</f>
        <v>17.6428575549402</v>
      </c>
      <c r="P219" s="19" t="n">
        <f aca="false">P209*P213</f>
        <v>17.5423529424754</v>
      </c>
      <c r="Q219" s="19" t="n">
        <f aca="false">Q209*Q213</f>
        <v>17.4424208663526</v>
      </c>
      <c r="R219" s="19" t="n">
        <f aca="false">R209*R213</f>
        <v>17.3430580650512</v>
      </c>
      <c r="S219" s="19" t="n">
        <f aca="false">S209*S213</f>
        <v>17.154301293054</v>
      </c>
      <c r="T219" s="19" t="n">
        <f aca="false">T209*T213</f>
        <v>17.231346990579</v>
      </c>
      <c r="U219" s="19" t="n">
        <f aca="false">U209*U213</f>
        <v>17.3087387260688</v>
      </c>
      <c r="V219" s="19" t="n">
        <f aca="false">V209*V213</f>
        <v>17.3864780536955</v>
      </c>
      <c r="W219" s="19" t="n">
        <f aca="false">W209*W213</f>
        <v>17.157156778218</v>
      </c>
      <c r="X219" s="19" t="n">
        <f aca="false">X209*X213</f>
        <v>17.0950546489538</v>
      </c>
      <c r="Y219" s="19" t="n">
        <f aca="false">Y209*Y213</f>
        <v>17.0331773048629</v>
      </c>
      <c r="Z219" s="19" t="n">
        <f aca="false">Z209*Z213</f>
        <v>16.9715239323117</v>
      </c>
    </row>
    <row r="220" customFormat="false" ht="17.15" hidden="false" customHeight="false" outlineLevel="0" collapsed="false">
      <c r="A220" s="0" t="s">
        <v>550</v>
      </c>
      <c r="B220" s="0" t="s">
        <v>285</v>
      </c>
      <c r="C220" s="19" t="n">
        <f aca="false">C209*C214</f>
        <v>1.69</v>
      </c>
      <c r="D220" s="19" t="n">
        <f aca="false">D209*D214</f>
        <v>1.9</v>
      </c>
      <c r="E220" s="19" t="n">
        <f aca="false">E209*E214</f>
        <v>2.31</v>
      </c>
      <c r="F220" s="19" t="n">
        <f aca="false">F209*F214</f>
        <v>3.03</v>
      </c>
      <c r="G220" s="19" t="n">
        <f aca="false">G209*G214</f>
        <v>5.95</v>
      </c>
      <c r="H220" s="19" t="n">
        <f aca="false">H209*H214</f>
        <v>8.97</v>
      </c>
      <c r="I220" s="19" t="n">
        <f aca="false">I209*I214</f>
        <v>11.0371522587842</v>
      </c>
      <c r="J220" s="19" t="n">
        <f aca="false">J209*J214</f>
        <v>12.4210644048428</v>
      </c>
      <c r="K220" s="19" t="n">
        <f aca="false">K209*K214</f>
        <v>13.4719182984921</v>
      </c>
      <c r="L220" s="19" t="n">
        <f aca="false">L209*L214</f>
        <v>14.1001830862213</v>
      </c>
      <c r="M220" s="19" t="n">
        <f aca="false">M209*M214</f>
        <v>14.0198597354064</v>
      </c>
      <c r="N220" s="19" t="n">
        <f aca="false">N209*N214</f>
        <v>13.6465203990351</v>
      </c>
      <c r="O220" s="19" t="n">
        <f aca="false">O209*O214</f>
        <v>13.5687813910583</v>
      </c>
      <c r="P220" s="19" t="n">
        <f aca="false">P209*P214</f>
        <v>13.4914852324807</v>
      </c>
      <c r="Q220" s="19" t="n">
        <f aca="false">Q209*Q214</f>
        <v>13.4146294005588</v>
      </c>
      <c r="R220" s="19" t="n">
        <f aca="false">R209*R214</f>
        <v>13.3382113869199</v>
      </c>
      <c r="S220" s="19" t="n">
        <f aca="false">S209*S214</f>
        <v>13.1930421949488</v>
      </c>
      <c r="T220" s="19" t="n">
        <f aca="false">T209*T214</f>
        <v>13.2522965546002</v>
      </c>
      <c r="U220" s="19" t="n">
        <f aca="false">U209*U214</f>
        <v>13.3118170453747</v>
      </c>
      <c r="V220" s="19" t="n">
        <f aca="false">V209*V214</f>
        <v>13.3716048625563</v>
      </c>
      <c r="W220" s="19" t="n">
        <f aca="false">W209*W214</f>
        <v>13.1952382935023</v>
      </c>
      <c r="X220" s="19" t="n">
        <f aca="false">X209*X214</f>
        <v>13.1474767439188</v>
      </c>
      <c r="Y220" s="19" t="n">
        <f aca="false">Y209*Y214</f>
        <v>13.0998880722756</v>
      </c>
      <c r="Z220" s="19" t="n">
        <f aca="false">Z209*Z214</f>
        <v>13.0524716528229</v>
      </c>
    </row>
    <row r="221" customFormat="false" ht="17.15" hidden="false" customHeight="false" outlineLevel="0" collapsed="false">
      <c r="A221" s="5" t="s">
        <v>551</v>
      </c>
      <c r="B221" s="0" t="s">
        <v>285</v>
      </c>
      <c r="C221" s="19" t="n">
        <f aca="false">C209*C215</f>
        <v>0.905483870967741</v>
      </c>
      <c r="D221" s="19" t="n">
        <f aca="false">D209*D215</f>
        <v>1.12547112462006</v>
      </c>
      <c r="E221" s="19" t="n">
        <f aca="false">E209*E215</f>
        <v>1.69120879120879</v>
      </c>
      <c r="F221" s="19" t="n">
        <f aca="false">F209*F215</f>
        <v>2.39142857142857</v>
      </c>
      <c r="G221" s="19" t="n">
        <f aca="false">G209*G215</f>
        <v>5.05480225988701</v>
      </c>
      <c r="H221" s="19" t="n">
        <f aca="false">H209*H215</f>
        <v>9.83307167235495</v>
      </c>
      <c r="I221" s="19" t="n">
        <f aca="false">I209*I215</f>
        <v>12.872752554259</v>
      </c>
      <c r="J221" s="19" t="n">
        <f aca="false">J209*J215</f>
        <v>15.2121199787269</v>
      </c>
      <c r="K221" s="19" t="n">
        <f aca="false">K209*K215</f>
        <v>16.8749938990332</v>
      </c>
      <c r="L221" s="19" t="n">
        <f aca="false">L209*L215</f>
        <v>17.6619615917556</v>
      </c>
      <c r="M221" s="19" t="n">
        <f aca="false">M209*M215</f>
        <v>17.5613481508988</v>
      </c>
      <c r="N221" s="19" t="n">
        <f aca="false">N209*N215</f>
        <v>17.0937013849412</v>
      </c>
      <c r="O221" s="19" t="n">
        <f aca="false">O209*O215</f>
        <v>17.3749173205977</v>
      </c>
      <c r="P221" s="19" t="n">
        <f aca="false">P209*P215</f>
        <v>17.2759390611816</v>
      </c>
      <c r="Q221" s="19" t="n">
        <f aca="false">Q209*Q215</f>
        <v>17.1775246430578</v>
      </c>
      <c r="R221" s="19" t="n">
        <f aca="false">R209*R215</f>
        <v>17.0796708542382</v>
      </c>
      <c r="S221" s="19" t="n">
        <f aca="false">S209*S215</f>
        <v>17.2618891606284</v>
      </c>
      <c r="T221" s="19" t="n">
        <f aca="false">T209*T215</f>
        <v>17.3394180712065</v>
      </c>
      <c r="U221" s="19" t="n">
        <f aca="false">U209*U215</f>
        <v>17.4172951900207</v>
      </c>
      <c r="V221" s="19" t="n">
        <f aca="false">V209*V215</f>
        <v>17.4955220809905</v>
      </c>
      <c r="W221" s="19" t="n">
        <f aca="false">W209*W215</f>
        <v>17.632932278664</v>
      </c>
      <c r="X221" s="19" t="n">
        <f aca="false">X209*X215</f>
        <v>17.5691080300526</v>
      </c>
      <c r="Y221" s="19" t="n">
        <f aca="false">Y209*Y215</f>
        <v>17.5055148000062</v>
      </c>
      <c r="Z221" s="19" t="n">
        <f aca="false">Z209*Z215</f>
        <v>17.4421517523288</v>
      </c>
    </row>
    <row r="222" customFormat="false" ht="17.15" hidden="false" customHeight="false" outlineLevel="0" collapsed="false">
      <c r="A222" s="0" t="s">
        <v>552</v>
      </c>
      <c r="B222" s="0" t="s">
        <v>25</v>
      </c>
      <c r="C222" s="12" t="n">
        <f aca="false">C213+C214</f>
        <v>0.279077306733167</v>
      </c>
      <c r="D222" s="12" t="n">
        <f aca="false">D213+D214</f>
        <v>0.255607692307692</v>
      </c>
      <c r="E222" s="12" t="n">
        <f aca="false">E213+E214</f>
        <v>0.27406432748538</v>
      </c>
      <c r="F222" s="12" t="n">
        <f aca="false">F213+F214</f>
        <v>0.268969696969697</v>
      </c>
      <c r="G222" s="12" t="n">
        <f aca="false">G213+G214</f>
        <v>0.270960154241645</v>
      </c>
      <c r="H222" s="12" t="n">
        <f aca="false">H213+H214</f>
        <v>0.250180832610581</v>
      </c>
      <c r="I222" s="12" t="n">
        <f aca="false">I213+I214</f>
        <v>0.253459457185589</v>
      </c>
      <c r="J222" s="12" t="n">
        <f aca="false">J213+J214</f>
        <v>0.247323935943957</v>
      </c>
      <c r="K222" s="12" t="n">
        <f aca="false">K213+K214</f>
        <v>0.247323935943957</v>
      </c>
      <c r="L222" s="12" t="n">
        <f aca="false">L213+L214</f>
        <v>0.247323935943957</v>
      </c>
      <c r="M222" s="12" t="n">
        <f aca="false">M213+M214</f>
        <v>0.247323935943957</v>
      </c>
      <c r="N222" s="12" t="n">
        <f aca="false">N213+N214</f>
        <v>0.247323935943957</v>
      </c>
      <c r="O222" s="12" t="n">
        <f aca="false">O213+O214</f>
        <v>0.247323935943957</v>
      </c>
      <c r="P222" s="12" t="n">
        <f aca="false">P213+P214</f>
        <v>0.247323935943957</v>
      </c>
      <c r="Q222" s="12" t="n">
        <f aca="false">Q213+Q214</f>
        <v>0.247323935943957</v>
      </c>
      <c r="R222" s="12" t="n">
        <f aca="false">R213+R214</f>
        <v>0.247323935943957</v>
      </c>
      <c r="S222" s="12" t="n">
        <f aca="false">S213+S214</f>
        <v>0.247323935943957</v>
      </c>
      <c r="T222" s="12" t="n">
        <f aca="false">T213+T214</f>
        <v>0.247323935943957</v>
      </c>
      <c r="U222" s="12" t="n">
        <f aca="false">U213+U214</f>
        <v>0.247323935943957</v>
      </c>
      <c r="V222" s="12" t="n">
        <f aca="false">V213+V214</f>
        <v>0.247323935943957</v>
      </c>
      <c r="W222" s="12" t="n">
        <f aca="false">W213+W214</f>
        <v>0.247323935943957</v>
      </c>
      <c r="X222" s="12" t="n">
        <f aca="false">X213+X214</f>
        <v>0.247323935943957</v>
      </c>
      <c r="Y222" s="12" t="n">
        <f aca="false">Y213+Y214</f>
        <v>0.247323935943957</v>
      </c>
      <c r="Z222" s="12" t="n">
        <f aca="false">Z213+Z214</f>
        <v>0.247323935943957</v>
      </c>
    </row>
    <row r="223" customFormat="false" ht="17.15" hidden="false" customHeight="false" outlineLevel="0" collapsed="false">
      <c r="A223" s="0" t="s">
        <v>553</v>
      </c>
      <c r="B223" s="0" t="s">
        <v>222</v>
      </c>
      <c r="C223" s="19" t="n">
        <f aca="false">C208*C213</f>
        <v>35.5454438457651</v>
      </c>
      <c r="D223" s="19" t="n">
        <f aca="false">D208*D213</f>
        <v>33.3561735612603</v>
      </c>
      <c r="E223" s="19" t="n">
        <f aca="false">E208*E213</f>
        <v>38.3034616573653</v>
      </c>
      <c r="F223" s="19" t="n">
        <f aca="false">F208*F213</f>
        <v>36.6117929947199</v>
      </c>
      <c r="G223" s="19" t="n">
        <f aca="false">G208*G213</f>
        <v>37.552733788337</v>
      </c>
      <c r="H223" s="19" t="n">
        <f aca="false">H208*H213</f>
        <v>39.3165348106729</v>
      </c>
      <c r="I223" s="19" t="n">
        <f aca="false">I208*I213</f>
        <v>43.8682067446717</v>
      </c>
      <c r="J223" s="19" t="n">
        <f aca="false">J208*J213</f>
        <v>43.836072602336</v>
      </c>
      <c r="K223" s="19" t="n">
        <f aca="false">K208*K213</f>
        <v>46.1599191562858</v>
      </c>
      <c r="L223" s="19" t="n">
        <f aca="false">L208*L213</f>
        <v>48.3125934204676</v>
      </c>
      <c r="M223" s="19" t="n">
        <f aca="false">M208*M213</f>
        <v>50.5656579490252</v>
      </c>
      <c r="N223" s="19" t="n">
        <f aca="false">N208*N213</f>
        <v>52.9237944559315</v>
      </c>
      <c r="O223" s="19" t="n">
        <f aca="false">O208*O213</f>
        <v>55.391902987543</v>
      </c>
      <c r="P223" s="19" t="n">
        <f aca="false">P208*P213</f>
        <v>57.9751121045611</v>
      </c>
      <c r="Q223" s="19" t="n">
        <f aca="false">Q208*Q213</f>
        <v>60.6787895388302</v>
      </c>
      <c r="R223" s="19" t="n">
        <f aca="false">R208*R213</f>
        <v>63.5085533471178</v>
      </c>
      <c r="S223" s="19" t="n">
        <f aca="false">S208*S213</f>
        <v>64.7601493047259</v>
      </c>
      <c r="T223" s="19" t="n">
        <f aca="false">T208*T213</f>
        <v>67.0628956375982</v>
      </c>
      <c r="U223" s="19" t="n">
        <f aca="false">U208*U213</f>
        <v>69.4475232003702</v>
      </c>
      <c r="V223" s="19" t="n">
        <f aca="false">V208*V213</f>
        <v>71.9169435320655</v>
      </c>
      <c r="W223" s="19" t="n">
        <f aca="false">W208*W213</f>
        <v>73.2730478364724</v>
      </c>
      <c r="X223" s="19" t="n">
        <f aca="false">X208*X213</f>
        <v>75.3787206709867</v>
      </c>
      <c r="Y223" s="19" t="n">
        <f aca="false">Y208*Y213</f>
        <v>77.5449049516182</v>
      </c>
      <c r="Z223" s="19" t="n">
        <f aca="false">Z208*Z213</f>
        <v>79.7733396166538</v>
      </c>
      <c r="AB223" s="5" t="s">
        <v>554</v>
      </c>
    </row>
    <row r="224" customFormat="false" ht="17.15" hidden="false" customHeight="false" outlineLevel="0" collapsed="false">
      <c r="A224" s="0" t="s">
        <v>555</v>
      </c>
      <c r="B224" s="0" t="s">
        <v>222</v>
      </c>
      <c r="C224" s="19" t="n">
        <f aca="false">C208*C214</f>
        <v>31.2873958850745</v>
      </c>
      <c r="D224" s="19" t="n">
        <f aca="false">D208*D214</f>
        <v>29.6152942833619</v>
      </c>
      <c r="E224" s="19" t="n">
        <f aca="false">E208*E214</f>
        <v>31.1552804325753</v>
      </c>
      <c r="F224" s="19" t="n">
        <f aca="false">F208*F214</f>
        <v>33.5147228924475</v>
      </c>
      <c r="G224" s="19" t="n">
        <f aca="false">G208*G214</f>
        <v>37.4897258457391</v>
      </c>
      <c r="H224" s="19" t="n">
        <f aca="false">H208*H214</f>
        <v>32.8982572063187</v>
      </c>
      <c r="I224" s="19" t="n">
        <f aca="false">I208*I214</f>
        <v>32.3837747009839</v>
      </c>
      <c r="J224" s="19" t="n">
        <f aca="false">J208*J214</f>
        <v>33.7134777816705</v>
      </c>
      <c r="K224" s="19" t="n">
        <f aca="false">K208*K214</f>
        <v>35.5007033361885</v>
      </c>
      <c r="L224" s="19" t="n">
        <f aca="false">L208*L214</f>
        <v>37.1562835847895</v>
      </c>
      <c r="M224" s="19" t="n">
        <f aca="false">M208*M214</f>
        <v>38.8890720490587</v>
      </c>
      <c r="N224" s="19" t="n">
        <f aca="false">N208*N214</f>
        <v>40.7026693448962</v>
      </c>
      <c r="O224" s="19" t="n">
        <f aca="false">O208*O214</f>
        <v>42.6008440034262</v>
      </c>
      <c r="P224" s="19" t="n">
        <f aca="false">P208*P214</f>
        <v>44.5875403017474</v>
      </c>
      <c r="Q224" s="19" t="n">
        <f aca="false">Q208*Q214</f>
        <v>46.6668864588705</v>
      </c>
      <c r="R224" s="19" t="n">
        <f aca="false">R208*R214</f>
        <v>48.8432032138755</v>
      </c>
      <c r="S224" s="19" t="n">
        <f aca="false">S208*S214</f>
        <v>49.8057815199029</v>
      </c>
      <c r="T224" s="19" t="n">
        <f aca="false">T208*T214</f>
        <v>51.5767793014417</v>
      </c>
      <c r="U224" s="19" t="n">
        <f aca="false">U208*U214</f>
        <v>53.4107503572974</v>
      </c>
      <c r="V224" s="19" t="n">
        <f aca="false">V208*V214</f>
        <v>55.3099338959655</v>
      </c>
      <c r="W224" s="19" t="n">
        <f aca="false">W208*W214</f>
        <v>56.3528875554093</v>
      </c>
      <c r="X224" s="19" t="n">
        <f aca="false">X208*X214</f>
        <v>57.9723199111737</v>
      </c>
      <c r="Y224" s="19" t="n">
        <f aca="false">Y208*Y214</f>
        <v>59.6382904527998</v>
      </c>
      <c r="Z224" s="19" t="n">
        <f aca="false">Z208*Z214</f>
        <v>61.3521365641775</v>
      </c>
    </row>
    <row r="225" customFormat="false" ht="17.15" hidden="false" customHeight="false" outlineLevel="0" collapsed="false">
      <c r="A225" s="5" t="s">
        <v>556</v>
      </c>
      <c r="B225" s="0" t="s">
        <v>557</v>
      </c>
      <c r="C225" s="17" t="n">
        <f aca="false">ABS(SUM(C210:C215)-1)+ABS(SUM(I210:I215)-1)+ABS(SUM(Z210:Z215)-1)+ABS(H220-rv_sd_5)</f>
        <v>0</v>
      </c>
    </row>
    <row r="250" customFormat="false" ht="17.15" hidden="false" customHeight="false" outlineLevel="0" collapsed="false">
      <c r="A250" s="3" t="s">
        <v>697</v>
      </c>
    </row>
    <row r="251" customFormat="false" ht="17.15" hidden="false" customHeight="false" outlineLevel="0" collapsed="false">
      <c r="A251" s="9" t="s">
        <v>508</v>
      </c>
      <c r="B251" s="6" t="s">
        <v>15</v>
      </c>
      <c r="C251" s="9" t="s">
        <v>427</v>
      </c>
      <c r="D251" s="9" t="s">
        <v>428</v>
      </c>
      <c r="E251" s="9" t="s">
        <v>429</v>
      </c>
      <c r="F251" s="9" t="s">
        <v>430</v>
      </c>
      <c r="G251" s="9" t="s">
        <v>431</v>
      </c>
      <c r="H251" s="9" t="s">
        <v>432</v>
      </c>
      <c r="I251" s="9" t="s">
        <v>433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6" t="s">
        <v>434</v>
      </c>
    </row>
    <row r="252" customFormat="false" ht="17.15" hidden="false" customHeight="false" outlineLevel="0" collapsed="false">
      <c r="A252" s="5" t="s">
        <v>509</v>
      </c>
      <c r="B252" s="5" t="s">
        <v>168</v>
      </c>
      <c r="E252" s="10" t="n">
        <f aca="false">(u_26)*1</f>
        <v>15.2</v>
      </c>
      <c r="F252" s="10" t="n">
        <f aca="false">(u_27)*1</f>
        <v>23.7</v>
      </c>
      <c r="G252" s="10" t="n">
        <f aca="false">(u_28)*um28_A</f>
        <v>26.5</v>
      </c>
      <c r="H252" s="10" t="n">
        <f aca="false">(u_28*(1+g_u29))*um29_A</f>
        <v>30.15</v>
      </c>
      <c r="I252" s="10" t="n">
        <f aca="false">(u_28*(1+g_u29)*(1+g_u30))*um29_A</f>
        <v>31.6575</v>
      </c>
      <c r="AB252" s="8" t="s">
        <v>510</v>
      </c>
    </row>
    <row r="253" customFormat="false" ht="17.15" hidden="false" customHeight="false" outlineLevel="0" collapsed="false">
      <c r="A253" s="5" t="s">
        <v>511</v>
      </c>
      <c r="B253" s="0" t="s">
        <v>512</v>
      </c>
      <c r="E253" s="18" t="n">
        <f aca="false">tb_26</f>
        <v>30</v>
      </c>
      <c r="F253" s="18" t="n">
        <f aca="false">tb_27</f>
        <v>34</v>
      </c>
      <c r="G253" s="18" t="n">
        <f aca="false">tb_28</f>
        <v>40</v>
      </c>
      <c r="H253" s="18" t="n">
        <f aca="false">tb_29</f>
        <v>46</v>
      </c>
      <c r="I253" s="18" t="n">
        <f aca="false">tb_30</f>
        <v>52</v>
      </c>
    </row>
    <row r="254" customFormat="false" ht="17.15" hidden="false" customHeight="false" outlineLevel="0" collapsed="false">
      <c r="A254" s="5" t="s">
        <v>513</v>
      </c>
      <c r="B254" s="0" t="s">
        <v>222</v>
      </c>
      <c r="D254" s="10" t="n">
        <f aca="false">bits25*sh_essd25*ai25</f>
        <v>165</v>
      </c>
      <c r="E254" s="10" t="n">
        <f aca="false">E252*E253</f>
        <v>456</v>
      </c>
      <c r="F254" s="10" t="n">
        <f aca="false">F252*F253</f>
        <v>805.8</v>
      </c>
      <c r="G254" s="10" t="n">
        <f aca="false">G252*G253</f>
        <v>1060</v>
      </c>
      <c r="H254" s="10" t="n">
        <f aca="false">H252*H253</f>
        <v>1386.9</v>
      </c>
      <c r="I254" s="10" t="n">
        <f aca="false">I252*I253</f>
        <v>1646.19</v>
      </c>
      <c r="AB254" s="5" t="s">
        <v>514</v>
      </c>
    </row>
    <row r="255" customFormat="false" ht="17.15" hidden="false" customHeight="false" outlineLevel="0" collapsed="false">
      <c r="A255" s="5" t="s">
        <v>515</v>
      </c>
      <c r="B255" s="0" t="s">
        <v>222</v>
      </c>
      <c r="D255" s="10" t="n">
        <f aca="false">bits25*sh_essd25*(1-ai25)</f>
        <v>135</v>
      </c>
      <c r="E255" s="10" t="n">
        <f aca="false">D255*(1+g_nai)</f>
        <v>148.5</v>
      </c>
      <c r="F255" s="10" t="n">
        <f aca="false">E255*(1+g_nai)</f>
        <v>163.35</v>
      </c>
      <c r="G255" s="10" t="n">
        <f aca="false">F255*(1+g_nai)</f>
        <v>179.685</v>
      </c>
      <c r="H255" s="10" t="n">
        <f aca="false">G255*(1+g_nai)</f>
        <v>197.6535</v>
      </c>
      <c r="I255" s="10" t="n">
        <f aca="false">H255*(1+g_nai)</f>
        <v>217.41885</v>
      </c>
    </row>
    <row r="256" customFormat="false" ht="15" hidden="false" customHeight="false" outlineLevel="0" collapsed="false">
      <c r="A256" s="5" t="s">
        <v>516</v>
      </c>
      <c r="B256" s="0" t="s">
        <v>222</v>
      </c>
      <c r="D256" s="10" t="n">
        <f aca="false">bits25*sh_mob25</f>
        <v>320</v>
      </c>
      <c r="E256" s="10" t="n">
        <f aca="false">D256*(1+g_mob_26)</f>
        <v>304</v>
      </c>
      <c r="F256" s="10" t="n">
        <f aca="false">E256*(1+g_mob_27)</f>
        <v>313.12</v>
      </c>
      <c r="G256" s="10" t="n">
        <f aca="false">F256*(1+g_mob_28)</f>
        <v>338.1696</v>
      </c>
      <c r="H256" s="10" t="n">
        <f aca="false">G256*(1+g_mob_28)</f>
        <v>365.223168</v>
      </c>
      <c r="I256" s="10" t="n">
        <f aca="false">H256*(1+g_mob_28)</f>
        <v>394.44102144</v>
      </c>
    </row>
    <row r="257" customFormat="false" ht="17.15" hidden="false" customHeight="false" outlineLevel="0" collapsed="false">
      <c r="A257" s="5" t="s">
        <v>517</v>
      </c>
      <c r="B257" s="0" t="s">
        <v>222</v>
      </c>
      <c r="D257" s="10" t="n">
        <f aca="false">bits25*sh_pc25</f>
        <v>230</v>
      </c>
      <c r="E257" s="10" t="n">
        <f aca="false">D257*(1+g_pc_26)</f>
        <v>218.5</v>
      </c>
      <c r="F257" s="10" t="n">
        <f aca="false">E257*(1+g_pc_27)</f>
        <v>218.5</v>
      </c>
      <c r="G257" s="10" t="n">
        <f aca="false">F257*(1+g_pc_28)</f>
        <v>231.61</v>
      </c>
      <c r="H257" s="10" t="n">
        <f aca="false">G257*(1+g_pc_28)</f>
        <v>245.5066</v>
      </c>
      <c r="I257" s="10" t="n">
        <f aca="false">H257*(1+g_pc_28)</f>
        <v>260.236996</v>
      </c>
    </row>
    <row r="258" customFormat="false" ht="15" hidden="false" customHeight="false" outlineLevel="0" collapsed="false">
      <c r="A258" s="5" t="s">
        <v>518</v>
      </c>
      <c r="B258" s="0" t="s">
        <v>222</v>
      </c>
      <c r="D258" s="10" t="n">
        <f aca="false">bits25*(1-sh_essd25-sh_mob25-sh_pc25)</f>
        <v>150</v>
      </c>
      <c r="E258" s="10" t="n">
        <f aca="false">D258*(1+g_con_26)</f>
        <v>135</v>
      </c>
      <c r="F258" s="10" t="n">
        <f aca="false">E258*(1+g_con_27)</f>
        <v>135</v>
      </c>
      <c r="G258" s="10" t="n">
        <f aca="false">F258*(1+g_con_28)</f>
        <v>141.75</v>
      </c>
      <c r="H258" s="10" t="n">
        <f aca="false">G258*(1+g_con_28)</f>
        <v>148.8375</v>
      </c>
      <c r="I258" s="10" t="n">
        <f aca="false">H258*(1+g_con_28)</f>
        <v>156.279375</v>
      </c>
    </row>
    <row r="259" customFormat="false" ht="15" hidden="false" customHeight="false" outlineLevel="0" collapsed="false">
      <c r="A259" s="5" t="s">
        <v>442</v>
      </c>
      <c r="B259" s="0" t="s">
        <v>222</v>
      </c>
      <c r="D259" s="10" t="n">
        <f aca="false">SUM(D254:D258)</f>
        <v>1000</v>
      </c>
      <c r="E259" s="10" t="n">
        <f aca="false">SUM(E254:E258)</f>
        <v>1262</v>
      </c>
      <c r="F259" s="10" t="n">
        <f aca="false">SUM(F254:F258)</f>
        <v>1635.77</v>
      </c>
      <c r="G259" s="10" t="n">
        <f aca="false">SUM(G254:G258)</f>
        <v>1951.2146</v>
      </c>
      <c r="H259" s="10" t="n">
        <f aca="false">SUM(H254:H258)</f>
        <v>2344.120768</v>
      </c>
      <c r="I259" s="10" t="n">
        <f aca="false">SUM(I254:I258)</f>
        <v>2674.56624244</v>
      </c>
    </row>
    <row r="260" customFormat="false" ht="17.15" hidden="false" customHeight="false" outlineLevel="0" collapsed="false">
      <c r="A260" s="5" t="s">
        <v>519</v>
      </c>
      <c r="B260" s="0" t="s">
        <v>25</v>
      </c>
      <c r="D260" s="12" t="n">
        <f aca="false">(D254+D255)/D259</f>
        <v>0.3</v>
      </c>
      <c r="E260" s="12" t="n">
        <f aca="false">(E254+E255)/E259</f>
        <v>0.479001584786054</v>
      </c>
      <c r="F260" s="12" t="n">
        <f aca="false">(F254+F255)/F259</f>
        <v>0.592473269469424</v>
      </c>
      <c r="G260" s="12" t="n">
        <f aca="false">(G254+G255)/G259</f>
        <v>0.635340161968858</v>
      </c>
      <c r="H260" s="12" t="n">
        <f aca="false">(H254+H255)/H259</f>
        <v>0.675969225490007</v>
      </c>
      <c r="I260" s="12" t="n">
        <f aca="false">(I254+I255)/I259</f>
        <v>0.696789191618539</v>
      </c>
    </row>
    <row r="261" customFormat="false" ht="17.15" hidden="false" customHeight="false" outlineLevel="0" collapsed="false">
      <c r="A261" s="5" t="s">
        <v>520</v>
      </c>
      <c r="B261" s="0" t="s">
        <v>222</v>
      </c>
      <c r="D261" s="10" t="n">
        <f aca="false">bits25</f>
        <v>1000</v>
      </c>
      <c r="E261" s="10" t="n">
        <f aca="false">D261*(1+gs_26_hi)</f>
        <v>1240</v>
      </c>
      <c r="F261" s="10" t="n">
        <f aca="false">E261*(1+gs_27_hi)</f>
        <v>1587.2</v>
      </c>
      <c r="G261" s="10" t="n">
        <f aca="false">F261*(1+gs_28_hi)</f>
        <v>2031.616</v>
      </c>
      <c r="H261" s="10" t="n">
        <f aca="false">G261*(1+gs_29_hi)</f>
        <v>2600.46848</v>
      </c>
      <c r="I261" s="10" t="n">
        <f aca="false">H261*(1+gs_30_hi)</f>
        <v>3276.5902848</v>
      </c>
      <c r="AB261" s="8" t="s">
        <v>521</v>
      </c>
    </row>
    <row r="262" customFormat="false" ht="17.15" hidden="false" customHeight="false" outlineLevel="0" collapsed="false">
      <c r="A262" s="5" t="s">
        <v>522</v>
      </c>
      <c r="B262" s="0" t="s">
        <v>25</v>
      </c>
      <c r="E262" s="12" t="n">
        <f aca="false">E259/E261-1</f>
        <v>0.017741935483871</v>
      </c>
      <c r="F262" s="12" t="n">
        <f aca="false">F259/F261-1</f>
        <v>0.0306010584677419</v>
      </c>
      <c r="G262" s="12" t="n">
        <f aca="false">G259/G261-1</f>
        <v>-0.0395750968686996</v>
      </c>
      <c r="H262" s="12" t="n">
        <f aca="false">H259/H261-1</f>
        <v>-0.0985775116951234</v>
      </c>
      <c r="I262" s="12" t="n">
        <f aca="false">I259/I261-1</f>
        <v>-0.183734916493152</v>
      </c>
    </row>
    <row r="263" customFormat="false" ht="17.15" hidden="false" customHeight="false" outlineLevel="0" collapsed="false">
      <c r="A263" s="5" t="s">
        <v>523</v>
      </c>
      <c r="B263" s="0" t="s">
        <v>222</v>
      </c>
      <c r="C263" s="10" t="n">
        <f aca="false">bits25/(1+g25)</f>
        <v>892.857142857143</v>
      </c>
      <c r="D263" s="10" t="n">
        <f aca="false">bits25</f>
        <v>1000</v>
      </c>
      <c r="E263" s="10" t="n">
        <f aca="false">MIN(E259,E261)</f>
        <v>1240</v>
      </c>
      <c r="F263" s="10" t="n">
        <f aca="false">MIN(F259,F261)</f>
        <v>1587.2</v>
      </c>
      <c r="G263" s="10" t="n">
        <f aca="false">MIN(G259,G261)</f>
        <v>1951.2146</v>
      </c>
      <c r="H263" s="10" t="n">
        <f aca="false">MIN(H259,H261)</f>
        <v>2344.120768</v>
      </c>
      <c r="I263" s="10" t="n">
        <f aca="false">MIN(I259,I261)</f>
        <v>2674.56624244</v>
      </c>
    </row>
    <row r="264" customFormat="false" ht="15" hidden="false" customHeight="false" outlineLevel="0" collapsed="false">
      <c r="A264" s="5" t="s">
        <v>447</v>
      </c>
      <c r="B264" s="0" t="s">
        <v>25</v>
      </c>
      <c r="D264" s="12" t="n">
        <f aca="false">D263/C263-1</f>
        <v>0.12</v>
      </c>
      <c r="E264" s="12" t="n">
        <f aca="false">E263/D263-1</f>
        <v>0.24</v>
      </c>
      <c r="F264" s="12" t="n">
        <f aca="false">F263/E263-1</f>
        <v>0.28</v>
      </c>
      <c r="G264" s="12" t="n">
        <f aca="false">G263/F263-1</f>
        <v>0.229343876008064</v>
      </c>
      <c r="H264" s="12" t="n">
        <f aca="false">H263/G263-1</f>
        <v>0.201364918036181</v>
      </c>
      <c r="I264" s="12" t="n">
        <f aca="false">I263/H263-1</f>
        <v>0.140967768790315</v>
      </c>
    </row>
    <row r="265" customFormat="false" ht="17.15" hidden="false" customHeight="false" outlineLevel="0" collapsed="false">
      <c r="A265" s="0" t="s">
        <v>524</v>
      </c>
      <c r="B265" s="0" t="s">
        <v>285</v>
      </c>
      <c r="C265" s="10" t="n">
        <f aca="false">rev24</f>
        <v>67.4</v>
      </c>
      <c r="D265" s="10" t="n">
        <f aca="false">SUM(C279:F279)</f>
        <v>71.1035923582252</v>
      </c>
      <c r="E265" s="10" t="n">
        <f aca="false">SUM(G279:J279)</f>
        <v>344.895751482599</v>
      </c>
      <c r="F265" s="10" t="n">
        <f aca="false">SUM(K279:N279)</f>
        <v>551.34164107225</v>
      </c>
      <c r="G265" s="10" t="n">
        <f aca="false">SUM(O279:R279)</f>
        <v>550.507124974447</v>
      </c>
      <c r="H265" s="10" t="n">
        <f aca="false">SUM(S279:V279)</f>
        <v>567.765780518374</v>
      </c>
      <c r="I265" s="10" t="n">
        <f aca="false">SUM(W279:Z279)</f>
        <v>571.628055460733</v>
      </c>
      <c r="AB265" s="8" t="s">
        <v>525</v>
      </c>
    </row>
    <row r="266" customFormat="false" ht="15" hidden="false" customHeight="false" outlineLevel="0" collapsed="false">
      <c r="A266" s="5" t="s">
        <v>453</v>
      </c>
      <c r="B266" s="0" t="s">
        <v>25</v>
      </c>
      <c r="D266" s="12" t="n">
        <f aca="false">D265/C265-1</f>
        <v>0.0549494415166936</v>
      </c>
      <c r="E266" s="12" t="n">
        <f aca="false">E265/D265-1</f>
        <v>3.85060937209738</v>
      </c>
      <c r="F266" s="12" t="n">
        <f aca="false">F265/E265-1</f>
        <v>0.598574753971905</v>
      </c>
      <c r="G266" s="12" t="n">
        <f aca="false">G265/F265-1</f>
        <v>-0.00151360977592918</v>
      </c>
      <c r="H266" s="12" t="n">
        <f aca="false">H265/G265-1</f>
        <v>0.0313504671619433</v>
      </c>
      <c r="I266" s="12" t="n">
        <f aca="false">I265/H265-1</f>
        <v>0.00680258493006147</v>
      </c>
    </row>
    <row r="267" customFormat="false" ht="17.15" hidden="false" customHeight="false" outlineLevel="0" collapsed="false">
      <c r="A267" s="5" t="s">
        <v>526</v>
      </c>
      <c r="B267" s="0" t="s">
        <v>449</v>
      </c>
      <c r="C267" s="13" t="n">
        <f aca="false">C265/C263</f>
        <v>0.075488</v>
      </c>
      <c r="D267" s="13" t="n">
        <f aca="false">D265/D263</f>
        <v>0.0711035923582252</v>
      </c>
      <c r="E267" s="13" t="n">
        <f aca="false">E265/E263</f>
        <v>0.278141735066612</v>
      </c>
      <c r="F267" s="13" t="n">
        <f aca="false">F265/F263</f>
        <v>0.347367465393303</v>
      </c>
      <c r="G267" s="13" t="n">
        <f aca="false">G265/G263</f>
        <v>0.282135611825807</v>
      </c>
      <c r="H267" s="13" t="n">
        <f aca="false">H265/H263</f>
        <v>0.242208417018885</v>
      </c>
      <c r="I267" s="13" t="n">
        <f aca="false">I265/I263</f>
        <v>0.213727387413384</v>
      </c>
    </row>
    <row r="268" customFormat="false" ht="17.15" hidden="false" customHeight="false" outlineLevel="0" collapsed="false">
      <c r="A268" s="5" t="s">
        <v>450</v>
      </c>
      <c r="B268" s="0" t="s">
        <v>25</v>
      </c>
      <c r="D268" s="12" t="n">
        <f aca="false">D267/C267-1</f>
        <v>-0.0580808557886665</v>
      </c>
      <c r="E268" s="12" t="n">
        <f aca="false">E267/D267-1</f>
        <v>2.91178175169144</v>
      </c>
      <c r="F268" s="12" t="n">
        <f aca="false">F267/E267-1</f>
        <v>0.248886526540551</v>
      </c>
      <c r="G268" s="12" t="n">
        <f aca="false">G267/F267-1</f>
        <v>-0.187789185995408</v>
      </c>
      <c r="H268" s="12" t="n">
        <f aca="false">H267/G267-1</f>
        <v>-0.141517742296115</v>
      </c>
      <c r="I268" s="12" t="n">
        <f aca="false">I267/H267-1</f>
        <v>-0.117588934175151</v>
      </c>
      <c r="AB268" s="8" t="s">
        <v>527</v>
      </c>
    </row>
    <row r="269" customFormat="false" ht="15" hidden="false" customHeight="false" outlineLevel="0" collapsed="false">
      <c r="A269" s="5" t="s">
        <v>528</v>
      </c>
      <c r="B269" s="0" t="s">
        <v>25</v>
      </c>
      <c r="D269" s="12" t="n">
        <f aca="false">SUM(C286:F286)/D265</f>
        <v>0.309407714439551</v>
      </c>
      <c r="E269" s="12" t="n">
        <f aca="false">SUM(G286:J286)/E265</f>
        <v>0.298146371102126</v>
      </c>
      <c r="F269" s="12" t="n">
        <f aca="false">SUM(K286:N286)/F265</f>
        <v>0.293146371102126</v>
      </c>
      <c r="G269" s="12" t="n">
        <f aca="false">SUM(O286:R286)/G265</f>
        <v>0.288146371102126</v>
      </c>
      <c r="H269" s="12" t="n">
        <f aca="false">SUM(S286:V286)/H265</f>
        <v>0.283146371102126</v>
      </c>
      <c r="I269" s="12" t="n">
        <f aca="false">SUM(W286:Z286)/I265</f>
        <v>0.278146371102126</v>
      </c>
    </row>
    <row r="270" customFormat="false" ht="17.15" hidden="false" customHeight="false" outlineLevel="0" collapsed="false">
      <c r="A270" s="5" t="s">
        <v>529</v>
      </c>
      <c r="B270" s="0" t="s">
        <v>25</v>
      </c>
      <c r="D270" s="12" t="n">
        <f aca="false">SUM(C287:F287)/D265</f>
        <v>0.200693094775109</v>
      </c>
      <c r="E270" s="12" t="n">
        <f aca="false">SUM(G287:J287)/E265</f>
        <v>0.177730130982399</v>
      </c>
      <c r="F270" s="12" t="n">
        <f aca="false">SUM(K287:N287)/F265</f>
        <v>0.177730130982399</v>
      </c>
      <c r="G270" s="12" t="n">
        <f aca="false">SUM(O287:R287)/G265</f>
        <v>0.177730130982399</v>
      </c>
      <c r="H270" s="12" t="n">
        <f aca="false">SUM(S287:V287)/H265</f>
        <v>0.177730130982399</v>
      </c>
      <c r="I270" s="12" t="n">
        <f aca="false">SUM(W287:Z287)/I265</f>
        <v>0.177730130982399</v>
      </c>
    </row>
    <row r="271" customFormat="false" ht="15" hidden="false" customHeight="false" outlineLevel="0" collapsed="false">
      <c r="A271" s="5" t="s">
        <v>530</v>
      </c>
      <c r="B271" s="0" t="s">
        <v>25</v>
      </c>
      <c r="D271" s="12" t="n">
        <f aca="false">SUM(C288:F288)/D265</f>
        <v>0.134732995651405</v>
      </c>
      <c r="E271" s="12" t="n">
        <f aca="false">SUM(G288:J288)/E265</f>
        <v>0.14511909777462</v>
      </c>
      <c r="F271" s="12" t="n">
        <f aca="false">SUM(K288:N288)/F265</f>
        <v>0.14711909777462</v>
      </c>
      <c r="G271" s="12" t="n">
        <f aca="false">SUM(O288:R288)/G265</f>
        <v>0.14911909777462</v>
      </c>
      <c r="H271" s="12" t="n">
        <f aca="false">SUM(S288:V288)/H265</f>
        <v>0.15111909777462</v>
      </c>
      <c r="I271" s="12" t="n">
        <f aca="false">SUM(W288:Z288)/I265</f>
        <v>0.15311909777462</v>
      </c>
    </row>
    <row r="272" customFormat="false" ht="17.15" hidden="false" customHeight="false" outlineLevel="0" collapsed="false">
      <c r="A272" s="5" t="s">
        <v>531</v>
      </c>
      <c r="B272" s="0" t="s">
        <v>25</v>
      </c>
      <c r="D272" s="12" t="n">
        <f aca="false">SUM(C289:F289)/D265</f>
        <v>0.143593307473992</v>
      </c>
      <c r="E272" s="12" t="n">
        <f aca="false">SUM(G289:J289)/E265</f>
        <v>0.138844664876792</v>
      </c>
      <c r="F272" s="12" t="n">
        <f aca="false">SUM(K289:N289)/F265</f>
        <v>0.137266720233539</v>
      </c>
      <c r="G272" s="12" t="n">
        <f aca="false">SUM(O289:R289)/G265</f>
        <v>0.137266720233539</v>
      </c>
      <c r="H272" s="12" t="n">
        <f aca="false">SUM(S289:V289)/H265</f>
        <v>0.137266720233539</v>
      </c>
      <c r="I272" s="12" t="n">
        <f aca="false">SUM(W289:Z289)/I265</f>
        <v>0.137266720233539</v>
      </c>
    </row>
    <row r="273" customFormat="false" ht="17.15" hidden="false" customHeight="false" outlineLevel="0" collapsed="false">
      <c r="A273" s="5" t="s">
        <v>532</v>
      </c>
      <c r="B273" s="0" t="s">
        <v>25</v>
      </c>
      <c r="D273" s="12" t="n">
        <f aca="false">SUM(C290:F290)/D265</f>
        <v>0.125591404088418</v>
      </c>
      <c r="E273" s="12" t="n">
        <f aca="false">SUM(G290:J290)/E265</f>
        <v>0.111499750276887</v>
      </c>
      <c r="F273" s="12" t="n">
        <f aca="false">SUM(K290:N290)/F265</f>
        <v>0.105541789660807</v>
      </c>
      <c r="G273" s="12" t="n">
        <f aca="false">SUM(O290:R290)/G265</f>
        <v>0.105541789660807</v>
      </c>
      <c r="H273" s="12" t="n">
        <f aca="false">SUM(S290:V290)/H265</f>
        <v>0.105541789660807</v>
      </c>
      <c r="I273" s="12" t="n">
        <f aca="false">SUM(W290:Z290)/I265</f>
        <v>0.105541789660807</v>
      </c>
    </row>
    <row r="274" customFormat="false" ht="15" hidden="false" customHeight="false" outlineLevel="0" collapsed="false">
      <c r="A274" s="5" t="s">
        <v>533</v>
      </c>
      <c r="B274" s="0" t="s">
        <v>25</v>
      </c>
      <c r="D274" s="12" t="n">
        <f aca="false">SUM(C291:F291)/D265</f>
        <v>0.0859814835715252</v>
      </c>
      <c r="E274" s="12" t="n">
        <f aca="false">SUM(G291:J291)/E265</f>
        <v>0.128659984987176</v>
      </c>
      <c r="F274" s="12" t="n">
        <f aca="false">SUM(K291:N291)/F265</f>
        <v>0.139195890246509</v>
      </c>
      <c r="G274" s="12" t="n">
        <f aca="false">SUM(O291:R291)/G265</f>
        <v>0.142195890246509</v>
      </c>
      <c r="H274" s="12" t="n">
        <f aca="false">SUM(S291:V291)/H265</f>
        <v>0.145195890246509</v>
      </c>
      <c r="I274" s="12" t="n">
        <f aca="false">SUM(W291:Z291)/I265</f>
        <v>0.148195890246509</v>
      </c>
    </row>
    <row r="276" customFormat="false" ht="17.15" hidden="false" customHeight="false" outlineLevel="0" collapsed="false">
      <c r="A276" s="9" t="s">
        <v>534</v>
      </c>
      <c r="B276" s="6" t="s">
        <v>15</v>
      </c>
      <c r="C276" s="9" t="s">
        <v>468</v>
      </c>
      <c r="D276" s="9" t="s">
        <v>469</v>
      </c>
      <c r="E276" s="9" t="s">
        <v>470</v>
      </c>
      <c r="F276" s="9" t="s">
        <v>471</v>
      </c>
      <c r="G276" s="9" t="s">
        <v>472</v>
      </c>
      <c r="H276" s="9" t="s">
        <v>473</v>
      </c>
      <c r="I276" s="9" t="s">
        <v>474</v>
      </c>
      <c r="J276" s="9" t="s">
        <v>475</v>
      </c>
      <c r="K276" s="9" t="s">
        <v>476</v>
      </c>
      <c r="L276" s="9" t="s">
        <v>477</v>
      </c>
      <c r="M276" s="9" t="s">
        <v>478</v>
      </c>
      <c r="N276" s="9" t="s">
        <v>479</v>
      </c>
      <c r="O276" s="9" t="s">
        <v>480</v>
      </c>
      <c r="P276" s="9" t="s">
        <v>481</v>
      </c>
      <c r="Q276" s="9" t="s">
        <v>482</v>
      </c>
      <c r="R276" s="9" t="s">
        <v>483</v>
      </c>
      <c r="S276" s="9" t="s">
        <v>484</v>
      </c>
      <c r="T276" s="9" t="s">
        <v>485</v>
      </c>
      <c r="U276" s="9" t="s">
        <v>486</v>
      </c>
      <c r="V276" s="9" t="s">
        <v>487</v>
      </c>
      <c r="W276" s="9" t="s">
        <v>488</v>
      </c>
      <c r="X276" s="9" t="s">
        <v>489</v>
      </c>
      <c r="Y276" s="9" t="s">
        <v>490</v>
      </c>
      <c r="Z276" s="9" t="s">
        <v>491</v>
      </c>
      <c r="AA276" s="9"/>
      <c r="AB276" s="6" t="s">
        <v>434</v>
      </c>
    </row>
    <row r="277" customFormat="false" ht="17.15" hidden="false" customHeight="false" outlineLevel="0" collapsed="false">
      <c r="A277" s="5" t="s">
        <v>535</v>
      </c>
      <c r="B277" s="0" t="s">
        <v>536</v>
      </c>
      <c r="C277" s="13" t="n">
        <f aca="false">Path!C4</f>
        <v>1</v>
      </c>
      <c r="D277" s="13" t="n">
        <f aca="false">Path!D4</f>
        <v>1</v>
      </c>
      <c r="E277" s="13" t="n">
        <f aca="false">Path!E4</f>
        <v>1.05</v>
      </c>
      <c r="F277" s="13" t="n">
        <f aca="false">Path!F4</f>
        <v>1.365</v>
      </c>
      <c r="G277" s="13" t="n">
        <f aca="false">Path!G4</f>
        <v>2.559375</v>
      </c>
      <c r="H277" s="13" t="n">
        <f aca="false">Path!H4</f>
        <v>4.414921875</v>
      </c>
      <c r="I277" s="13" t="n">
        <f aca="false">Path!I4</f>
        <v>5.51865234375</v>
      </c>
      <c r="J277" s="13" t="n">
        <f aca="false">Path!J4</f>
        <v>5.96566318359375</v>
      </c>
      <c r="K277" s="13" t="n">
        <f aca="false">Path!K4*1</f>
        <v>6.14463307910156</v>
      </c>
      <c r="L277" s="13" t="n">
        <f aca="false">Path!L4*1</f>
        <v>6.14463307910156</v>
      </c>
      <c r="M277" s="13" t="n">
        <f aca="false">Path!M4*1</f>
        <v>5.83740142514648</v>
      </c>
      <c r="N277" s="13" t="n">
        <f aca="false">Path!N4*1</f>
        <v>5.42878332538623</v>
      </c>
      <c r="O277" s="13" t="n">
        <f aca="false">Path!O4*1</f>
        <v>5.15734415911692</v>
      </c>
      <c r="P277" s="13" t="n">
        <f aca="false">Path!P4*1</f>
        <v>4.89947695116107</v>
      </c>
      <c r="Q277" s="13" t="n">
        <f aca="false">Path!Q4*1</f>
        <v>4.65450310360302</v>
      </c>
      <c r="R277" s="13" t="n">
        <f aca="false">Path!R4*1</f>
        <v>4.42177794842287</v>
      </c>
      <c r="S277" s="13" t="n">
        <f aca="false">Path!S4*1</f>
        <v>4.28912460997018</v>
      </c>
      <c r="T277" s="13" t="n">
        <f aca="false">Path!T4*1</f>
        <v>4.16045087167108</v>
      </c>
      <c r="U277" s="13" t="n">
        <f aca="false">Path!U4*1</f>
        <v>4.03563734552094</v>
      </c>
      <c r="V277" s="13" t="n">
        <f aca="false">Path!V4*1</f>
        <v>3.91456822515532</v>
      </c>
      <c r="W277" s="13" t="n">
        <f aca="false">Path!V4*(1+p10)^(1/4)*1</f>
        <v>3.79144302937821</v>
      </c>
      <c r="X277" s="13" t="n">
        <f aca="false">Path!V4*(1+p10)^(2/4)*1</f>
        <v>3.6721904992345</v>
      </c>
      <c r="Y277" s="13" t="n">
        <f aca="false">Path!V4*(1+p10)^(3/4)*1</f>
        <v>3.55668882749365</v>
      </c>
      <c r="Z277" s="13" t="n">
        <f aca="false">Path!V4*(1+p10)^(4/4)*1</f>
        <v>3.44482003813668</v>
      </c>
      <c r="AB277" s="8" t="s">
        <v>537</v>
      </c>
    </row>
    <row r="278" customFormat="false" ht="17.15" hidden="false" customHeight="false" outlineLevel="0" collapsed="false">
      <c r="A278" s="5" t="s">
        <v>538</v>
      </c>
      <c r="B278" s="0" t="s">
        <v>222</v>
      </c>
      <c r="C278" s="10" t="n">
        <f aca="false">D263/4*(D263/C263)^((1-2.5)/4)/(((D263/C263)^(-0.375)+(D263/C263)^(-0.125)+(D263/C263)^(0.125)+(D263/C263)^(0.375))/4)</f>
        <v>239.477872684002</v>
      </c>
      <c r="D278" s="10" t="n">
        <f aca="false">D263/4*(D263/C263)^((2-2.5)/4)/(((D263/C263)^(-0.375)+(D263/C263)^(-0.125)+(D263/C263)^(0.125)+(D263/C263)^(0.375))/4)</f>
        <v>246.359830864633</v>
      </c>
      <c r="E278" s="10" t="n">
        <f aca="false">D263/4*(D263/C263)^((3-2.5)/4)/(((D263/C263)^(-0.375)+(D263/C263)^(-0.125)+(D263/C263)^(0.125)+(D263/C263)^(0.375))/4)</f>
        <v>253.439558249863</v>
      </c>
      <c r="F278" s="10" t="n">
        <f aca="false">D263/4*(D263/C263)^((4-2.5)/4)/(((D263/C263)^(-0.375)+(D263/C263)^(-0.125)+(D263/C263)^(0.125)+(D263/C263)^(0.375))/4)</f>
        <v>260.722738201501</v>
      </c>
      <c r="G278" s="10" t="n">
        <f aca="false">E263/4*(E263/D263)^((1-2.5)/4)/(((E263/D263)^(-0.375)+(E263/D263)^(-0.125)+(E263/D263)^(0.125)+(E263/D263)^(0.375))/4)</f>
        <v>285.459092398758</v>
      </c>
      <c r="H278" s="10" t="n">
        <f aca="false">E263/4*(E263/D263)^((2-2.5)/4)/(((E263/D263)^(-0.375)+(E263/D263)^(-0.125)+(E263/D263)^(0.125)+(E263/D263)^(0.375))/4)</f>
        <v>301.230749192265</v>
      </c>
      <c r="I278" s="10" t="n">
        <f aca="false">E263/4*(E263/D263)^((3-2.5)/4)/(((E263/D263)^(-0.375)+(E263/D263)^(-0.125)+(E263/D263)^(0.125)+(E263/D263)^(0.375))/4)</f>
        <v>317.873792340721</v>
      </c>
      <c r="J278" s="10" t="n">
        <f aca="false">E263/4*(E263/D263)^((4-2.5)/4)/(((E263/D263)^(-0.375)+(E263/D263)^(-0.125)+(E263/D263)^(0.125)+(E263/D263)^(0.375))/4)</f>
        <v>335.436366068256</v>
      </c>
      <c r="K278" s="10" t="n">
        <f aca="false">F263/4*(F263/E263)^((1-2.5)/4)/(((F263/E263)^(-0.375)+(F263/E263)^(-0.125)+(F263/E263)^(0.125)+(F263/E263)^(0.375))/4)</f>
        <v>360.856605450776</v>
      </c>
      <c r="L278" s="10" t="n">
        <f aca="false">F263/4*(F263/E263)^((2-2.5)/4)/(((F263/E263)^(-0.375)+(F263/E263)^(-0.125)+(F263/E263)^(0.125)+(F263/E263)^(0.375))/4)</f>
        <v>383.828440830872</v>
      </c>
      <c r="M278" s="10" t="n">
        <f aca="false">F263/4*(F263/E263)^((3-2.5)/4)/(((F263/E263)^(-0.375)+(F263/E263)^(-0.125)+(F263/E263)^(0.125)+(F263/E263)^(0.375))/4)</f>
        <v>408.262644400323</v>
      </c>
      <c r="N278" s="10" t="n">
        <f aca="false">F263/4*(F263/E263)^((4-2.5)/4)/(((F263/E263)^(-0.375)+(F263/E263)^(-0.125)+(F263/E263)^(0.125)+(F263/E263)^(0.375))/4)</f>
        <v>434.25230931803</v>
      </c>
      <c r="O278" s="10" t="n">
        <f aca="false">G263/4*(G263/F263)^((1-2.5)/4)/(((G263/F263)^(-0.375)+(G263/F263)^(-0.125)+(G263/F263)^(0.125)+(G263/F263)^(0.375))/4)</f>
        <v>450.70723141307</v>
      </c>
      <c r="P278" s="10" t="n">
        <f aca="false">G263/4*(G263/F263)^((2-2.5)/4)/(((G263/F263)^(-0.375)+(G263/F263)^(-0.125)+(G263/F263)^(0.125)+(G263/F263)^(0.375))/4)</f>
        <v>474.583758822282</v>
      </c>
      <c r="Q278" s="10" t="n">
        <f aca="false">G263/4*(G263/F263)^((3-2.5)/4)/(((G263/F263)^(-0.375)+(G263/F263)^(-0.125)+(G263/F263)^(0.125)+(G263/F263)^(0.375))/4)</f>
        <v>499.725161790148</v>
      </c>
      <c r="R278" s="10" t="n">
        <f aca="false">G263/4*(G263/F263)^((4-2.5)/4)/(((G263/F263)^(-0.375)+(G263/F263)^(-0.125)+(G263/F263)^(0.125)+(G263/F263)^(0.375))/4)</f>
        <v>526.198447974501</v>
      </c>
      <c r="S278" s="10" t="n">
        <f aca="false">H263/4*(H263/G263)^((1-2.5)/4)/(((H263/G263)^(-0.375)+(H263/G263)^(-0.125)+(H263/G263)^(0.125)+(H263/G263)^(0.375))/4)</f>
        <v>546.350165316374</v>
      </c>
      <c r="T278" s="10" t="n">
        <f aca="false">H263/4*(H263/G263)^((2-2.5)/4)/(((H263/G263)^(-0.375)+(H263/G263)^(-0.125)+(H263/G263)^(0.125)+(H263/G263)^(0.375))/4)</f>
        <v>571.991816309569</v>
      </c>
      <c r="U278" s="10" t="n">
        <f aca="false">H263/4*(H263/G263)^((3-2.5)/4)/(((H263/G263)^(-0.375)+(H263/G263)^(-0.125)+(H263/G263)^(0.125)+(H263/G263)^(0.375))/4)</f>
        <v>598.836897460557</v>
      </c>
      <c r="V278" s="10" t="n">
        <f aca="false">H263/4*(H263/G263)^((4-2.5)/4)/(((H263/G263)^(-0.375)+(H263/G263)^(-0.125)+(H263/G263)^(0.125)+(H263/G263)^(0.375))/4)</f>
        <v>626.941888913501</v>
      </c>
      <c r="W278" s="10" t="n">
        <f aca="false">I263/4*(I263/H263)^((1-2.5)/4)/(((I263/H263)^(-0.375)+(I263/H263)^(-0.125)+(I263/H263)^(0.125)+(I263/H263)^(0.375))/4)</f>
        <v>635.946902750128</v>
      </c>
      <c r="X278" s="10" t="n">
        <f aca="false">I263/4*(I263/H263)^((2-2.5)/4)/(((I263/H263)^(-0.375)+(I263/H263)^(-0.125)+(I263/H263)^(0.125)+(I263/H263)^(0.375))/4)</f>
        <v>657.263023912622</v>
      </c>
      <c r="Y278" s="10" t="n">
        <f aca="false">I263/4*(I263/H263)^((3-2.5)/4)/(((I263/H263)^(-0.375)+(I263/H263)^(-0.125)+(I263/H263)^(0.125)+(I263/H263)^(0.375))/4)</f>
        <v>679.293634004065</v>
      </c>
      <c r="Z278" s="10" t="n">
        <f aca="false">I263/4*(I263/H263)^((4-2.5)/4)/(((I263/H263)^(-0.375)+(I263/H263)^(-0.125)+(I263/H263)^(0.125)+(I263/H263)^(0.375))/4)</f>
        <v>702.062681773185</v>
      </c>
      <c r="AB278" s="5" t="s">
        <v>539</v>
      </c>
    </row>
    <row r="279" customFormat="false" ht="17.15" hidden="false" customHeight="false" outlineLevel="0" collapsed="false">
      <c r="A279" s="0" t="s">
        <v>540</v>
      </c>
      <c r="B279" s="0" t="s">
        <v>285</v>
      </c>
      <c r="C279" s="10" t="n">
        <f aca="false">(rv_ss_0+rv_sk_0+rv_mu_0+rv_kx_0+rv_sd_0)/t5_0</f>
        <v>12.9354838709677</v>
      </c>
      <c r="D279" s="10" t="n">
        <f aca="false">(rv_ss_1+rv_sk_1+rv_mu_1+rv_kx_1+rv_sd_1)/t5_1</f>
        <v>15.8054711246201</v>
      </c>
      <c r="E279" s="10" t="n">
        <f aca="false">(rv_ss_2+rv_sk_2+rv_mu_2+rv_kx_2+rv_sd_2)/t5_2</f>
        <v>18.7912087912088</v>
      </c>
      <c r="F279" s="10" t="n">
        <f aca="false">(rv_ss_3+rv_sk_3+rv_mu_3+rv_kx_3+rv_sd_3)/t5_3</f>
        <v>23.5714285714286</v>
      </c>
      <c r="G279" s="10" t="n">
        <f aca="false">(rv_ss_4+rv_sk_4+rv_mu_4+rv_kx_4+rv_sd_4)/t5_4</f>
        <v>43.954802259887</v>
      </c>
      <c r="H279" s="10" t="n">
        <f aca="false">(rv_ss_5+rv_sk_5+rv_mu_5+rv_kx_5+rv_sd_5)/t5_5</f>
        <v>78.703071672355</v>
      </c>
      <c r="I279" s="10" t="n">
        <f aca="false">$H279*I277/$H277*I278/$H278</f>
        <v>103.81428493123</v>
      </c>
      <c r="J279" s="10" t="n">
        <f aca="false">$H279*J277/$H277*J278/$H278</f>
        <v>118.423592619126</v>
      </c>
      <c r="K279" s="10" t="n">
        <f aca="false">$H279*K277/$H277*K278/$H278</f>
        <v>131.219981371971</v>
      </c>
      <c r="L279" s="10" t="n">
        <f aca="false">$H279*L277/$H277*L278/$H278</f>
        <v>139.57333770555</v>
      </c>
      <c r="M279" s="10" t="n">
        <f aca="false">$H279*M277/$H277*M278/$H278</f>
        <v>141.035538756045</v>
      </c>
      <c r="N279" s="10" t="n">
        <f aca="false">$H279*N277/$H277*N278/$H278</f>
        <v>139.512783238684</v>
      </c>
      <c r="O279" s="10" t="n">
        <f aca="false">$H279*O277/$H277*O278/$H278</f>
        <v>137.559312833681</v>
      </c>
      <c r="P279" s="10" t="n">
        <f aca="false">$H279*P277/$H277*P278/$H278</f>
        <v>137.604281972342</v>
      </c>
      <c r="Q279" s="10" t="n">
        <f aca="false">$H279*Q277/$H277*Q278/$H278</f>
        <v>137.649265811741</v>
      </c>
      <c r="R279" s="10" t="n">
        <f aca="false">$H279*R277/$H277*R278/$H278</f>
        <v>137.694264356683</v>
      </c>
      <c r="S279" s="10" t="n">
        <f aca="false">$H279*S277/$H277*S278/$H278</f>
        <v>138.678488795343</v>
      </c>
      <c r="T279" s="10" t="n">
        <f aca="false">$H279*T277/$H277*T278/$H278</f>
        <v>140.831424154298</v>
      </c>
      <c r="U279" s="10" t="n">
        <f aca="false">$H279*U277/$H277*U278/$H278</f>
        <v>143.017783086729</v>
      </c>
      <c r="V279" s="10" t="n">
        <f aca="false">$H279*V277/$H277*V278/$H278</f>
        <v>145.238084482003</v>
      </c>
      <c r="W279" s="10" t="n">
        <f aca="false">$H279*W277/$H277*W278/$H278</f>
        <v>142.690397882157</v>
      </c>
      <c r="X279" s="10" t="n">
        <f aca="false">$H279*X277/$H277*X278/$H278</f>
        <v>142.834711209761</v>
      </c>
      <c r="Y279" s="10" t="n">
        <f aca="false">$H279*Y277/$H277*Y278/$H278</f>
        <v>142.979170492081</v>
      </c>
      <c r="Z279" s="10" t="n">
        <f aca="false">$H279*Z277/$H277*Z278/$H278</f>
        <v>143.123775876732</v>
      </c>
      <c r="AB279" s="5" t="s">
        <v>541</v>
      </c>
    </row>
    <row r="280" customFormat="false" ht="17.15" hidden="false" customHeight="false" outlineLevel="0" collapsed="false">
      <c r="A280" s="5" t="s">
        <v>454</v>
      </c>
      <c r="B280" s="0" t="s">
        <v>25</v>
      </c>
      <c r="C280" s="12" t="n">
        <f aca="false">rv_ss_0/C279</f>
        <v>0.324688279301746</v>
      </c>
      <c r="D280" s="12" t="n">
        <f aca="false">rv_ss_1/D279</f>
        <v>0.329</v>
      </c>
      <c r="E280" s="12" t="n">
        <f aca="false">rv_ss_2/E279</f>
        <v>0.319298245614035</v>
      </c>
      <c r="F280" s="12" t="n">
        <f aca="false">rv_ss_3/F279</f>
        <v>0.28</v>
      </c>
      <c r="G280" s="12" t="n">
        <f aca="false">rv_ss_4/G279</f>
        <v>0.30736118251928</v>
      </c>
      <c r="H280" s="12" t="n">
        <f aca="false">rv_ss_5/H279</f>
        <v>0.293</v>
      </c>
      <c r="I280" s="12" t="n">
        <f aca="false">(rv_ss_4+rv_ss_5)/($G279+$H279)</f>
        <v>0.298146371102126</v>
      </c>
      <c r="J280" s="12" t="n">
        <f aca="false">(rv_ss_4+rv_ss_5)/($G279+$H279)</f>
        <v>0.298146371102126</v>
      </c>
      <c r="K280" s="12" t="n">
        <f aca="false">(rv_ss_4+rv_ss_5)/($G279+$H279)+dr_ss/100*1</f>
        <v>0.293146371102126</v>
      </c>
      <c r="L280" s="12" t="n">
        <f aca="false">(rv_ss_4+rv_ss_5)/($G279+$H279)+dr_ss/100*1</f>
        <v>0.293146371102126</v>
      </c>
      <c r="M280" s="12" t="n">
        <f aca="false">(rv_ss_4+rv_ss_5)/($G279+$H279)+dr_ss/100*1</f>
        <v>0.293146371102126</v>
      </c>
      <c r="N280" s="12" t="n">
        <f aca="false">(rv_ss_4+rv_ss_5)/($G279+$H279)+dr_ss/100*1</f>
        <v>0.293146371102126</v>
      </c>
      <c r="O280" s="12" t="n">
        <f aca="false">(rv_ss_4+rv_ss_5)/($G279+$H279)+dr_ss/100*2</f>
        <v>0.288146371102126</v>
      </c>
      <c r="P280" s="12" t="n">
        <f aca="false">(rv_ss_4+rv_ss_5)/($G279+$H279)+dr_ss/100*2</f>
        <v>0.288146371102126</v>
      </c>
      <c r="Q280" s="12" t="n">
        <f aca="false">(rv_ss_4+rv_ss_5)/($G279+$H279)+dr_ss/100*2</f>
        <v>0.288146371102126</v>
      </c>
      <c r="R280" s="12" t="n">
        <f aca="false">(rv_ss_4+rv_ss_5)/($G279+$H279)+dr_ss/100*2</f>
        <v>0.288146371102126</v>
      </c>
      <c r="S280" s="12" t="n">
        <f aca="false">(rv_ss_4+rv_ss_5)/($G279+$H279)+dr_ss/100*3</f>
        <v>0.283146371102126</v>
      </c>
      <c r="T280" s="12" t="n">
        <f aca="false">(rv_ss_4+rv_ss_5)/($G279+$H279)+dr_ss/100*3</f>
        <v>0.283146371102126</v>
      </c>
      <c r="U280" s="12" t="n">
        <f aca="false">(rv_ss_4+rv_ss_5)/($G279+$H279)+dr_ss/100*3</f>
        <v>0.283146371102126</v>
      </c>
      <c r="V280" s="12" t="n">
        <f aca="false">(rv_ss_4+rv_ss_5)/($G279+$H279)+dr_ss/100*3</f>
        <v>0.283146371102126</v>
      </c>
      <c r="W280" s="12" t="n">
        <f aca="false">(rv_ss_4+rv_ss_5)/($G279+$H279)+dr_ss/100*4</f>
        <v>0.278146371102126</v>
      </c>
      <c r="X280" s="12" t="n">
        <f aca="false">(rv_ss_4+rv_ss_5)/($G279+$H279)+dr_ss/100*4</f>
        <v>0.278146371102126</v>
      </c>
      <c r="Y280" s="12" t="n">
        <f aca="false">(rv_ss_4+rv_ss_5)/($G279+$H279)+dr_ss/100*4</f>
        <v>0.278146371102126</v>
      </c>
      <c r="Z280" s="12" t="n">
        <f aca="false">(rv_ss_4+rv_ss_5)/($G279+$H279)+dr_ss/100*4</f>
        <v>0.278146371102126</v>
      </c>
      <c r="AB280" s="8" t="s">
        <v>542</v>
      </c>
    </row>
    <row r="281" customFormat="false" ht="17.15" hidden="false" customHeight="false" outlineLevel="0" collapsed="false">
      <c r="A281" s="5" t="s">
        <v>455</v>
      </c>
      <c r="B281" s="0" t="s">
        <v>25</v>
      </c>
      <c r="C281" s="12" t="n">
        <f aca="false">rv_sk_0/C279</f>
        <v>0.16930174563591</v>
      </c>
      <c r="D281" s="12" t="n">
        <f aca="false">rv_sk_1/D279</f>
        <v>0.211319230769231</v>
      </c>
      <c r="E281" s="12" t="n">
        <f aca="false">rv_sk_2/E279</f>
        <v>0.187853801169591</v>
      </c>
      <c r="F281" s="12" t="n">
        <f aca="false">rv_sk_3/F279</f>
        <v>0.221030303030303</v>
      </c>
      <c r="G281" s="12" t="n">
        <f aca="false">rv_sk_4/G279</f>
        <v>0.17131233933162</v>
      </c>
      <c r="H281" s="12" t="n">
        <f aca="false">rv_sk_5/H279</f>
        <v>0.181314397224631</v>
      </c>
      <c r="I281" s="12" t="n">
        <f aca="false">(rv_sk_4+rv_sk_5)/($G279+$H279)</f>
        <v>0.177730130982399</v>
      </c>
      <c r="J281" s="12" t="n">
        <f aca="false">(rv_sk_4+rv_sk_5)/($G279+$H279)</f>
        <v>0.177730130982399</v>
      </c>
      <c r="K281" s="12" t="n">
        <f aca="false">(rv_sk_4+rv_sk_5)/($G279+$H279)+dr_sk/100*1</f>
        <v>0.177730130982399</v>
      </c>
      <c r="L281" s="12" t="n">
        <f aca="false">(rv_sk_4+rv_sk_5)/($G279+$H279)+dr_sk/100*1</f>
        <v>0.177730130982399</v>
      </c>
      <c r="M281" s="12" t="n">
        <f aca="false">(rv_sk_4+rv_sk_5)/($G279+$H279)+dr_sk/100*1</f>
        <v>0.177730130982399</v>
      </c>
      <c r="N281" s="12" t="n">
        <f aca="false">(rv_sk_4+rv_sk_5)/($G279+$H279)+dr_sk/100*1</f>
        <v>0.177730130982399</v>
      </c>
      <c r="O281" s="12" t="n">
        <f aca="false">(rv_sk_4+rv_sk_5)/($G279+$H279)+dr_sk/100*2</f>
        <v>0.177730130982399</v>
      </c>
      <c r="P281" s="12" t="n">
        <f aca="false">(rv_sk_4+rv_sk_5)/($G279+$H279)+dr_sk/100*2</f>
        <v>0.177730130982399</v>
      </c>
      <c r="Q281" s="12" t="n">
        <f aca="false">(rv_sk_4+rv_sk_5)/($G279+$H279)+dr_sk/100*2</f>
        <v>0.177730130982399</v>
      </c>
      <c r="R281" s="12" t="n">
        <f aca="false">(rv_sk_4+rv_sk_5)/($G279+$H279)+dr_sk/100*2</f>
        <v>0.177730130982399</v>
      </c>
      <c r="S281" s="12" t="n">
        <f aca="false">(rv_sk_4+rv_sk_5)/($G279+$H279)+dr_sk/100*3</f>
        <v>0.177730130982399</v>
      </c>
      <c r="T281" s="12" t="n">
        <f aca="false">(rv_sk_4+rv_sk_5)/($G279+$H279)+dr_sk/100*3</f>
        <v>0.177730130982399</v>
      </c>
      <c r="U281" s="12" t="n">
        <f aca="false">(rv_sk_4+rv_sk_5)/($G279+$H279)+dr_sk/100*3</f>
        <v>0.177730130982399</v>
      </c>
      <c r="V281" s="12" t="n">
        <f aca="false">(rv_sk_4+rv_sk_5)/($G279+$H279)+dr_sk/100*3</f>
        <v>0.177730130982399</v>
      </c>
      <c r="W281" s="12" t="n">
        <f aca="false">(rv_sk_4+rv_sk_5)/($G279+$H279)+dr_sk/100*4</f>
        <v>0.177730130982399</v>
      </c>
      <c r="X281" s="12" t="n">
        <f aca="false">(rv_sk_4+rv_sk_5)/($G279+$H279)+dr_sk/100*4</f>
        <v>0.177730130982399</v>
      </c>
      <c r="Y281" s="12" t="n">
        <f aca="false">(rv_sk_4+rv_sk_5)/($G279+$H279)+dr_sk/100*4</f>
        <v>0.177730130982399</v>
      </c>
      <c r="Z281" s="12" t="n">
        <f aca="false">(rv_sk_4+rv_sk_5)/($G279+$H279)+dr_sk/100*4</f>
        <v>0.177730130982399</v>
      </c>
      <c r="AB281" s="8" t="s">
        <v>542</v>
      </c>
    </row>
    <row r="282" customFormat="false" ht="17.15" hidden="false" customHeight="false" outlineLevel="0" collapsed="false">
      <c r="A282" s="5" t="s">
        <v>456</v>
      </c>
      <c r="B282" s="0" t="s">
        <v>25</v>
      </c>
      <c r="C282" s="12" t="n">
        <f aca="false">rv_mu_0/C279</f>
        <v>0.156932668329177</v>
      </c>
      <c r="D282" s="12" t="n">
        <f aca="false">rv_mu_1/D279</f>
        <v>0.132865384615385</v>
      </c>
      <c r="E282" s="12" t="n">
        <f aca="false">rv_mu_2/E279</f>
        <v>0.128783625730994</v>
      </c>
      <c r="F282" s="12" t="n">
        <f aca="false">rv_mu_3/F279</f>
        <v>0.128545454545455</v>
      </c>
      <c r="G282" s="12" t="n">
        <f aca="false">rv_mu_4/G279</f>
        <v>0.135366323907455</v>
      </c>
      <c r="H282" s="12" t="n">
        <f aca="false">rv_mu_5/H279</f>
        <v>0.150565915004337</v>
      </c>
      <c r="I282" s="12" t="n">
        <f aca="false">(rv_mu_4+rv_mu_5)/($G279+$H279)</f>
        <v>0.14511909777462</v>
      </c>
      <c r="J282" s="12" t="n">
        <f aca="false">(rv_mu_4+rv_mu_5)/($G279+$H279)</f>
        <v>0.14511909777462</v>
      </c>
      <c r="K282" s="12" t="n">
        <f aca="false">(rv_mu_4+rv_mu_5)/($G279+$H279)+dr_mu/100*1</f>
        <v>0.14711909777462</v>
      </c>
      <c r="L282" s="12" t="n">
        <f aca="false">(rv_mu_4+rv_mu_5)/($G279+$H279)+dr_mu/100*1</f>
        <v>0.14711909777462</v>
      </c>
      <c r="M282" s="12" t="n">
        <f aca="false">(rv_mu_4+rv_mu_5)/($G279+$H279)+dr_mu/100*1</f>
        <v>0.14711909777462</v>
      </c>
      <c r="N282" s="12" t="n">
        <f aca="false">(rv_mu_4+rv_mu_5)/($G279+$H279)+dr_mu/100*1</f>
        <v>0.14711909777462</v>
      </c>
      <c r="O282" s="12" t="n">
        <f aca="false">(rv_mu_4+rv_mu_5)/($G279+$H279)+dr_mu/100*2</f>
        <v>0.14911909777462</v>
      </c>
      <c r="P282" s="12" t="n">
        <f aca="false">(rv_mu_4+rv_mu_5)/($G279+$H279)+dr_mu/100*2</f>
        <v>0.14911909777462</v>
      </c>
      <c r="Q282" s="12" t="n">
        <f aca="false">(rv_mu_4+rv_mu_5)/($G279+$H279)+dr_mu/100*2</f>
        <v>0.14911909777462</v>
      </c>
      <c r="R282" s="12" t="n">
        <f aca="false">(rv_mu_4+rv_mu_5)/($G279+$H279)+dr_mu/100*2</f>
        <v>0.14911909777462</v>
      </c>
      <c r="S282" s="12" t="n">
        <f aca="false">(rv_mu_4+rv_mu_5)/($G279+$H279)+dr_mu/100*3</f>
        <v>0.15111909777462</v>
      </c>
      <c r="T282" s="12" t="n">
        <f aca="false">(rv_mu_4+rv_mu_5)/($G279+$H279)+dr_mu/100*3</f>
        <v>0.15111909777462</v>
      </c>
      <c r="U282" s="12" t="n">
        <f aca="false">(rv_mu_4+rv_mu_5)/($G279+$H279)+dr_mu/100*3</f>
        <v>0.15111909777462</v>
      </c>
      <c r="V282" s="12" t="n">
        <f aca="false">(rv_mu_4+rv_mu_5)/($G279+$H279)+dr_mu/100*3</f>
        <v>0.15111909777462</v>
      </c>
      <c r="W282" s="12" t="n">
        <f aca="false">(rv_mu_4+rv_mu_5)/($G279+$H279)+dr_mu/100*4</f>
        <v>0.15311909777462</v>
      </c>
      <c r="X282" s="12" t="n">
        <f aca="false">(rv_mu_4+rv_mu_5)/($G279+$H279)+dr_mu/100*4</f>
        <v>0.15311909777462</v>
      </c>
      <c r="Y282" s="12" t="n">
        <f aca="false">(rv_mu_4+rv_mu_5)/($G279+$H279)+dr_mu/100*4</f>
        <v>0.15311909777462</v>
      </c>
      <c r="Z282" s="12" t="n">
        <f aca="false">(rv_mu_4+rv_mu_5)/($G279+$H279)+dr_mu/100*4</f>
        <v>0.15311909777462</v>
      </c>
      <c r="AB282" s="8" t="s">
        <v>542</v>
      </c>
    </row>
    <row r="283" customFormat="false" ht="17.15" hidden="false" customHeight="false" outlineLevel="0" collapsed="false">
      <c r="A283" s="5" t="s">
        <v>457</v>
      </c>
      <c r="B283" s="0" t="s">
        <v>25</v>
      </c>
      <c r="C283" s="12" t="n">
        <f aca="false">rv_kx_0/C279</f>
        <v>0.148428927680798</v>
      </c>
      <c r="D283" s="12" t="n">
        <f aca="false">rv_kx_1/D279</f>
        <v>0.135396153846154</v>
      </c>
      <c r="E283" s="12" t="n">
        <f aca="false">rv_kx_2/E279</f>
        <v>0.151134502923977</v>
      </c>
      <c r="F283" s="12" t="n">
        <f aca="false">rv_kx_3/F279</f>
        <v>0.140424242424242</v>
      </c>
      <c r="G283" s="12" t="n">
        <f aca="false">rv_kx_4/G279</f>
        <v>0.13559383033419</v>
      </c>
      <c r="H283" s="12" t="n">
        <f aca="false">rv_kx_5/H279</f>
        <v>0.136208152645273</v>
      </c>
      <c r="I283" s="12" t="n">
        <f aca="false">kx_g/kx_fxg/kx_k/$I279</f>
        <v>0.144019841631954</v>
      </c>
      <c r="J283" s="12" t="n">
        <f aca="false">(kx_g/kx_fxg/kx_k/$I279+kx_g4/kx_fxg4/kx_k/$J279)/2</f>
        <v>0.137266720233539</v>
      </c>
      <c r="K283" s="12" t="n">
        <f aca="false">(kx_g/kx_fxg/kx_k/$I279+kx_g4/kx_fxg4/kx_k/$J279)/2+dr_jv_A/100*1*(kx_g/kx_fxg/kx_k)/(kx_g/kx_fxg/kx_k+sd_g/sd_k)</f>
        <v>0.137266720233539</v>
      </c>
      <c r="L283" s="12" t="n">
        <f aca="false">(kx_g/kx_fxg/kx_k/$I279+kx_g4/kx_fxg4/kx_k/$J279)/2+dr_jv_A/100*1*(kx_g/kx_fxg/kx_k)/(kx_g/kx_fxg/kx_k+sd_g/sd_k)</f>
        <v>0.137266720233539</v>
      </c>
      <c r="M283" s="12" t="n">
        <f aca="false">(kx_g/kx_fxg/kx_k/$I279+kx_g4/kx_fxg4/kx_k/$J279)/2+dr_jv_A/100*1*(kx_g/kx_fxg/kx_k)/(kx_g/kx_fxg/kx_k+sd_g/sd_k)</f>
        <v>0.137266720233539</v>
      </c>
      <c r="N283" s="12" t="n">
        <f aca="false">(kx_g/kx_fxg/kx_k/$I279+kx_g4/kx_fxg4/kx_k/$J279)/2+dr_jv_A/100*1*(kx_g/kx_fxg/kx_k)/(kx_g/kx_fxg/kx_k+sd_g/sd_k)</f>
        <v>0.137266720233539</v>
      </c>
      <c r="O283" s="12" t="n">
        <f aca="false">(kx_g/kx_fxg/kx_k/$I279+kx_g4/kx_fxg4/kx_k/$J279)/2+dr_jv_A/100*2*(kx_g/kx_fxg/kx_k)/(kx_g/kx_fxg/kx_k+sd_g/sd_k)</f>
        <v>0.137266720233539</v>
      </c>
      <c r="P283" s="12" t="n">
        <f aca="false">(kx_g/kx_fxg/kx_k/$I279+kx_g4/kx_fxg4/kx_k/$J279)/2+dr_jv_A/100*2*(kx_g/kx_fxg/kx_k)/(kx_g/kx_fxg/kx_k+sd_g/sd_k)</f>
        <v>0.137266720233539</v>
      </c>
      <c r="Q283" s="12" t="n">
        <f aca="false">(kx_g/kx_fxg/kx_k/$I279+kx_g4/kx_fxg4/kx_k/$J279)/2+dr_jv_A/100*2*(kx_g/kx_fxg/kx_k)/(kx_g/kx_fxg/kx_k+sd_g/sd_k)</f>
        <v>0.137266720233539</v>
      </c>
      <c r="R283" s="12" t="n">
        <f aca="false">(kx_g/kx_fxg/kx_k/$I279+kx_g4/kx_fxg4/kx_k/$J279)/2+dr_jv_A/100*2*(kx_g/kx_fxg/kx_k)/(kx_g/kx_fxg/kx_k+sd_g/sd_k)</f>
        <v>0.137266720233539</v>
      </c>
      <c r="S283" s="12" t="n">
        <f aca="false">(kx_g/kx_fxg/kx_k/$I279+kx_g4/kx_fxg4/kx_k/$J279)/2+dr_jv_A/100*3*(kx_g/kx_fxg/kx_k)/(kx_g/kx_fxg/kx_k+sd_g/sd_k)</f>
        <v>0.137266720233539</v>
      </c>
      <c r="T283" s="12" t="n">
        <f aca="false">(kx_g/kx_fxg/kx_k/$I279+kx_g4/kx_fxg4/kx_k/$J279)/2+dr_jv_A/100*3*(kx_g/kx_fxg/kx_k)/(kx_g/kx_fxg/kx_k+sd_g/sd_k)</f>
        <v>0.137266720233539</v>
      </c>
      <c r="U283" s="12" t="n">
        <f aca="false">(kx_g/kx_fxg/kx_k/$I279+kx_g4/kx_fxg4/kx_k/$J279)/2+dr_jv_A/100*3*(kx_g/kx_fxg/kx_k)/(kx_g/kx_fxg/kx_k+sd_g/sd_k)</f>
        <v>0.137266720233539</v>
      </c>
      <c r="V283" s="12" t="n">
        <f aca="false">(kx_g/kx_fxg/kx_k/$I279+kx_g4/kx_fxg4/kx_k/$J279)/2+dr_jv_A/100*3*(kx_g/kx_fxg/kx_k)/(kx_g/kx_fxg/kx_k+sd_g/sd_k)</f>
        <v>0.137266720233539</v>
      </c>
      <c r="W283" s="12" t="n">
        <f aca="false">(kx_g/kx_fxg/kx_k/$I279+kx_g4/kx_fxg4/kx_k/$J279)/2+dr_jv_A/100*4*(kx_g/kx_fxg/kx_k)/(kx_g/kx_fxg/kx_k+sd_g/sd_k)</f>
        <v>0.137266720233539</v>
      </c>
      <c r="X283" s="12" t="n">
        <f aca="false">(kx_g/kx_fxg/kx_k/$I279+kx_g4/kx_fxg4/kx_k/$J279)/2+dr_jv_A/100*4*(kx_g/kx_fxg/kx_k)/(kx_g/kx_fxg/kx_k+sd_g/sd_k)</f>
        <v>0.137266720233539</v>
      </c>
      <c r="Y283" s="12" t="n">
        <f aca="false">(kx_g/kx_fxg/kx_k/$I279+kx_g4/kx_fxg4/kx_k/$J279)/2+dr_jv_A/100*4*(kx_g/kx_fxg/kx_k)/(kx_g/kx_fxg/kx_k+sd_g/sd_k)</f>
        <v>0.137266720233539</v>
      </c>
      <c r="Z283" s="12" t="n">
        <f aca="false">(kx_g/kx_fxg/kx_k/$I279+kx_g4/kx_fxg4/kx_k/$J279)/2+dr_jv_A/100*4*(kx_g/kx_fxg/kx_k)/(kx_g/kx_fxg/kx_k+sd_g/sd_k)</f>
        <v>0.137266720233539</v>
      </c>
      <c r="AB283" s="8" t="s">
        <v>543</v>
      </c>
    </row>
    <row r="284" customFormat="false" ht="17.15" hidden="false" customHeight="false" outlineLevel="0" collapsed="false">
      <c r="A284" s="5" t="s">
        <v>458</v>
      </c>
      <c r="B284" s="0" t="s">
        <v>25</v>
      </c>
      <c r="C284" s="12" t="n">
        <f aca="false">rv_sd_0/C279</f>
        <v>0.130648379052369</v>
      </c>
      <c r="D284" s="12" t="n">
        <f aca="false">rv_sd_1/D279</f>
        <v>0.120211538461538</v>
      </c>
      <c r="E284" s="12" t="n">
        <f aca="false">rv_sd_2/E279</f>
        <v>0.122929824561404</v>
      </c>
      <c r="F284" s="12" t="n">
        <f aca="false">rv_sd_3/F279</f>
        <v>0.128545454545455</v>
      </c>
      <c r="G284" s="12" t="n">
        <f aca="false">rv_sd_4/G279</f>
        <v>0.135366323907455</v>
      </c>
      <c r="H284" s="12" t="n">
        <f aca="false">rv_sd_5/H279</f>
        <v>0.113972679965308</v>
      </c>
      <c r="I284" s="12" t="n">
        <f aca="false">sd_g/sd_k/$I279</f>
        <v>0.106316315390464</v>
      </c>
      <c r="J284" s="12" t="n">
        <f aca="false">(sd_g/sd_k/$I279+sd_g4/sd_k/$J279)/2</f>
        <v>0.105541789660807</v>
      </c>
      <c r="K284" s="12" t="n">
        <f aca="false">(sd_g/sd_k/$I279+sd_g4/sd_k/$J279)/2+dr_jv_A/100*1*(sd_g/sd_k)/(kx_g/kx_fxg/kx_k+sd_g/sd_k)</f>
        <v>0.105541789660807</v>
      </c>
      <c r="L284" s="12" t="n">
        <f aca="false">(sd_g/sd_k/$I279+sd_g4/sd_k/$J279)/2+dr_jv_A/100*1*(sd_g/sd_k)/(kx_g/kx_fxg/kx_k+sd_g/sd_k)</f>
        <v>0.105541789660807</v>
      </c>
      <c r="M284" s="12" t="n">
        <f aca="false">(sd_g/sd_k/$I279+sd_g4/sd_k/$J279)/2+dr_jv_A/100*1*(sd_g/sd_k)/(kx_g/kx_fxg/kx_k+sd_g/sd_k)</f>
        <v>0.105541789660807</v>
      </c>
      <c r="N284" s="12" t="n">
        <f aca="false">(sd_g/sd_k/$I279+sd_g4/sd_k/$J279)/2+dr_jv_A/100*1*(sd_g/sd_k)/(kx_g/kx_fxg/kx_k+sd_g/sd_k)</f>
        <v>0.105541789660807</v>
      </c>
      <c r="O284" s="12" t="n">
        <f aca="false">(sd_g/sd_k/$I279+sd_g4/sd_k/$J279)/2+dr_jv_A/100*2*(sd_g/sd_k)/(kx_g/kx_fxg/kx_k+sd_g/sd_k)</f>
        <v>0.105541789660807</v>
      </c>
      <c r="P284" s="12" t="n">
        <f aca="false">(sd_g/sd_k/$I279+sd_g4/sd_k/$J279)/2+dr_jv_A/100*2*(sd_g/sd_k)/(kx_g/kx_fxg/kx_k+sd_g/sd_k)</f>
        <v>0.105541789660807</v>
      </c>
      <c r="Q284" s="12" t="n">
        <f aca="false">(sd_g/sd_k/$I279+sd_g4/sd_k/$J279)/2+dr_jv_A/100*2*(sd_g/sd_k)/(kx_g/kx_fxg/kx_k+sd_g/sd_k)</f>
        <v>0.105541789660807</v>
      </c>
      <c r="R284" s="12" t="n">
        <f aca="false">(sd_g/sd_k/$I279+sd_g4/sd_k/$J279)/2+dr_jv_A/100*2*(sd_g/sd_k)/(kx_g/kx_fxg/kx_k+sd_g/sd_k)</f>
        <v>0.105541789660807</v>
      </c>
      <c r="S284" s="12" t="n">
        <f aca="false">(sd_g/sd_k/$I279+sd_g4/sd_k/$J279)/2+dr_jv_A/100*3*(sd_g/sd_k)/(kx_g/kx_fxg/kx_k+sd_g/sd_k)</f>
        <v>0.105541789660807</v>
      </c>
      <c r="T284" s="12" t="n">
        <f aca="false">(sd_g/sd_k/$I279+sd_g4/sd_k/$J279)/2+dr_jv_A/100*3*(sd_g/sd_k)/(kx_g/kx_fxg/kx_k+sd_g/sd_k)</f>
        <v>0.105541789660807</v>
      </c>
      <c r="U284" s="12" t="n">
        <f aca="false">(sd_g/sd_k/$I279+sd_g4/sd_k/$J279)/2+dr_jv_A/100*3*(sd_g/sd_k)/(kx_g/kx_fxg/kx_k+sd_g/sd_k)</f>
        <v>0.105541789660807</v>
      </c>
      <c r="V284" s="12" t="n">
        <f aca="false">(sd_g/sd_k/$I279+sd_g4/sd_k/$J279)/2+dr_jv_A/100*3*(sd_g/sd_k)/(kx_g/kx_fxg/kx_k+sd_g/sd_k)</f>
        <v>0.105541789660807</v>
      </c>
      <c r="W284" s="12" t="n">
        <f aca="false">(sd_g/sd_k/$I279+sd_g4/sd_k/$J279)/2+dr_jv_A/100*4*(sd_g/sd_k)/(kx_g/kx_fxg/kx_k+sd_g/sd_k)</f>
        <v>0.105541789660807</v>
      </c>
      <c r="X284" s="12" t="n">
        <f aca="false">(sd_g/sd_k/$I279+sd_g4/sd_k/$J279)/2+dr_jv_A/100*4*(sd_g/sd_k)/(kx_g/kx_fxg/kx_k+sd_g/sd_k)</f>
        <v>0.105541789660807</v>
      </c>
      <c r="Y284" s="12" t="n">
        <f aca="false">(sd_g/sd_k/$I279+sd_g4/sd_k/$J279)/2+dr_jv_A/100*4*(sd_g/sd_k)/(kx_g/kx_fxg/kx_k+sd_g/sd_k)</f>
        <v>0.105541789660807</v>
      </c>
      <c r="Z284" s="12" t="n">
        <f aca="false">(sd_g/sd_k/$I279+sd_g4/sd_k/$J279)/2+dr_jv_A/100*4*(sd_g/sd_k)/(kx_g/kx_fxg/kx_k+sd_g/sd_k)</f>
        <v>0.105541789660807</v>
      </c>
      <c r="AB284" s="8" t="s">
        <v>544</v>
      </c>
    </row>
    <row r="285" customFormat="false" ht="15" hidden="false" customHeight="false" outlineLevel="0" collapsed="false">
      <c r="A285" s="5" t="s">
        <v>459</v>
      </c>
      <c r="B285" s="0" t="s">
        <v>25</v>
      </c>
      <c r="C285" s="12" t="n">
        <f aca="false">1-t5_0</f>
        <v>0.07</v>
      </c>
      <c r="D285" s="12" t="n">
        <f aca="false">1-t5_1</f>
        <v>0.0712076923076923</v>
      </c>
      <c r="E285" s="12" t="n">
        <f aca="false">1-t5_2</f>
        <v>0.09</v>
      </c>
      <c r="F285" s="12" t="n">
        <f aca="false">1-t5_3</f>
        <v>0.101454545454545</v>
      </c>
      <c r="G285" s="12" t="n">
        <f aca="false">1-t5_4</f>
        <v>0.115</v>
      </c>
      <c r="H285" s="12" t="n">
        <f aca="false">1-t5_5</f>
        <v>0.124938855160451</v>
      </c>
      <c r="I285" s="12" t="n">
        <f aca="false">1-I280-I281-I282-I283-I284</f>
        <v>0.128668243118437</v>
      </c>
      <c r="J285" s="12" t="n">
        <f aca="false">1-J280-J281-J282-J283-J284</f>
        <v>0.136195890246509</v>
      </c>
      <c r="K285" s="12" t="n">
        <f aca="false">1-K280-K281-K282-K283-K284</f>
        <v>0.139195890246509</v>
      </c>
      <c r="L285" s="12" t="n">
        <f aca="false">1-L280-L281-L282-L283-L284</f>
        <v>0.139195890246509</v>
      </c>
      <c r="M285" s="12" t="n">
        <f aca="false">1-M280-M281-M282-M283-M284</f>
        <v>0.139195890246509</v>
      </c>
      <c r="N285" s="12" t="n">
        <f aca="false">1-N280-N281-N282-N283-N284</f>
        <v>0.139195890246509</v>
      </c>
      <c r="O285" s="12" t="n">
        <f aca="false">1-O280-O281-O282-O283-O284</f>
        <v>0.142195890246509</v>
      </c>
      <c r="P285" s="12" t="n">
        <f aca="false">1-P280-P281-P282-P283-P284</f>
        <v>0.142195890246509</v>
      </c>
      <c r="Q285" s="12" t="n">
        <f aca="false">1-Q280-Q281-Q282-Q283-Q284</f>
        <v>0.142195890246509</v>
      </c>
      <c r="R285" s="12" t="n">
        <f aca="false">1-R280-R281-R282-R283-R284</f>
        <v>0.142195890246509</v>
      </c>
      <c r="S285" s="12" t="n">
        <f aca="false">1-S280-S281-S282-S283-S284</f>
        <v>0.145195890246509</v>
      </c>
      <c r="T285" s="12" t="n">
        <f aca="false">1-T280-T281-T282-T283-T284</f>
        <v>0.145195890246509</v>
      </c>
      <c r="U285" s="12" t="n">
        <f aca="false">1-U280-U281-U282-U283-U284</f>
        <v>0.145195890246509</v>
      </c>
      <c r="V285" s="12" t="n">
        <f aca="false">1-V280-V281-V282-V283-V284</f>
        <v>0.145195890246509</v>
      </c>
      <c r="W285" s="12" t="n">
        <f aca="false">1-W280-W281-W282-W283-W284</f>
        <v>0.148195890246509</v>
      </c>
      <c r="X285" s="12" t="n">
        <f aca="false">1-X280-X281-X282-X283-X284</f>
        <v>0.148195890246509</v>
      </c>
      <c r="Y285" s="12" t="n">
        <f aca="false">1-Y280-Y281-Y282-Y283-Y284</f>
        <v>0.148195890246509</v>
      </c>
      <c r="Z285" s="12" t="n">
        <f aca="false">1-Z280-Z281-Z282-Z283-Z284</f>
        <v>0.148195890246509</v>
      </c>
      <c r="AB285" s="5" t="s">
        <v>545</v>
      </c>
    </row>
    <row r="286" customFormat="false" ht="17.15" hidden="false" customHeight="false" outlineLevel="0" collapsed="false">
      <c r="A286" s="5" t="s">
        <v>546</v>
      </c>
      <c r="B286" s="0" t="s">
        <v>285</v>
      </c>
      <c r="C286" s="19" t="n">
        <f aca="false">C279*C280</f>
        <v>4.2</v>
      </c>
      <c r="D286" s="19" t="n">
        <f aca="false">D279*D280</f>
        <v>5.2</v>
      </c>
      <c r="E286" s="19" t="n">
        <f aca="false">E279*E280</f>
        <v>6</v>
      </c>
      <c r="F286" s="19" t="n">
        <f aca="false">F279*F280</f>
        <v>6.6</v>
      </c>
      <c r="G286" s="19" t="n">
        <f aca="false">G279*G280</f>
        <v>13.51</v>
      </c>
      <c r="H286" s="19" t="n">
        <f aca="false">H279*H280</f>
        <v>23.06</v>
      </c>
      <c r="I286" s="19" t="n">
        <f aca="false">I279*I280</f>
        <v>30.9518523208085</v>
      </c>
      <c r="J286" s="19" t="n">
        <f aca="false">J279*J280</f>
        <v>35.307564392269</v>
      </c>
      <c r="K286" s="19" t="n">
        <f aca="false">K279*K280</f>
        <v>38.4666613552818</v>
      </c>
      <c r="L286" s="19" t="n">
        <f aca="false">L279*L280</f>
        <v>40.9154174509935</v>
      </c>
      <c r="M286" s="19" t="n">
        <f aca="false">M279*M280</f>
        <v>41.3440563827679</v>
      </c>
      <c r="N286" s="19" t="n">
        <f aca="false">N279*N280</f>
        <v>40.8976661287779</v>
      </c>
      <c r="O286" s="19" t="n">
        <f aca="false">O279*O280</f>
        <v>39.6372168043272</v>
      </c>
      <c r="P286" s="19" t="n">
        <f aca="false">P279*P280</f>
        <v>39.650174498444</v>
      </c>
      <c r="Q286" s="19" t="n">
        <f aca="false">Q279*Q280</f>
        <v>39.663136428525</v>
      </c>
      <c r="R286" s="19" t="n">
        <f aca="false">R279*R280</f>
        <v>39.6761025959552</v>
      </c>
      <c r="S286" s="19" t="n">
        <f aca="false">S279*S280</f>
        <v>39.2663108523283</v>
      </c>
      <c r="T286" s="19" t="n">
        <f aca="false">T279*T280</f>
        <v>39.8759066864338</v>
      </c>
      <c r="U286" s="19" t="n">
        <f aca="false">U279*U280</f>
        <v>40.4949662840784</v>
      </c>
      <c r="V286" s="19" t="n">
        <f aca="false">V279*V280</f>
        <v>41.1236365669032</v>
      </c>
      <c r="W286" s="19" t="n">
        <f aca="false">W279*W280</f>
        <v>39.6888163620406</v>
      </c>
      <c r="X286" s="19" t="n">
        <f aca="false">X279*X280</f>
        <v>39.7289565904153</v>
      </c>
      <c r="Y286" s="19" t="n">
        <f aca="false">Y279*Y280</f>
        <v>39.7691374155646</v>
      </c>
      <c r="Z286" s="19" t="n">
        <f aca="false">Z279*Z280</f>
        <v>39.8093588785471</v>
      </c>
    </row>
    <row r="287" customFormat="false" ht="17.15" hidden="false" customHeight="false" outlineLevel="0" collapsed="false">
      <c r="A287" s="0" t="s">
        <v>547</v>
      </c>
      <c r="B287" s="0" t="s">
        <v>285</v>
      </c>
      <c r="C287" s="19" t="n">
        <f aca="false">C279*C281</f>
        <v>2.19</v>
      </c>
      <c r="D287" s="19" t="n">
        <f aca="false">D279*D281</f>
        <v>3.34</v>
      </c>
      <c r="E287" s="19" t="n">
        <f aca="false">E279*E281</f>
        <v>3.53</v>
      </c>
      <c r="F287" s="19" t="n">
        <f aca="false">F279*F281</f>
        <v>5.21</v>
      </c>
      <c r="G287" s="19" t="n">
        <f aca="false">G279*G281</f>
        <v>7.53</v>
      </c>
      <c r="H287" s="19" t="n">
        <f aca="false">H279*H281</f>
        <v>14.27</v>
      </c>
      <c r="I287" s="19" t="n">
        <f aca="false">I279*I281</f>
        <v>18.4509264586717</v>
      </c>
      <c r="J287" s="19" t="n">
        <f aca="false">J279*J281</f>
        <v>21.0474406276036</v>
      </c>
      <c r="K287" s="19" t="n">
        <f aca="false">K279*K281</f>
        <v>23.3217444767484</v>
      </c>
      <c r="L287" s="19" t="n">
        <f aca="false">L279*L281</f>
        <v>24.8063875920581</v>
      </c>
      <c r="M287" s="19" t="n">
        <f aca="false">M279*M281</f>
        <v>25.0662647762852</v>
      </c>
      <c r="N287" s="19" t="n">
        <f aca="false">N279*N281</f>
        <v>24.7956252387305</v>
      </c>
      <c r="O287" s="19" t="n">
        <f aca="false">O279*O281</f>
        <v>24.448434687779</v>
      </c>
      <c r="P287" s="19" t="n">
        <f aca="false">P279*P281</f>
        <v>24.4564270586833</v>
      </c>
      <c r="Q287" s="19" t="n">
        <f aca="false">Q279*Q281</f>
        <v>24.4644220423518</v>
      </c>
      <c r="R287" s="19" t="n">
        <f aca="false">R279*R281</f>
        <v>24.4724196396385</v>
      </c>
      <c r="S287" s="19" t="n">
        <f aca="false">S279*S281</f>
        <v>24.6473459780376</v>
      </c>
      <c r="T287" s="19" t="n">
        <f aca="false">T279*T281</f>
        <v>25.0299874613813</v>
      </c>
      <c r="U287" s="19" t="n">
        <f aca="false">U279*U281</f>
        <v>25.4185693208168</v>
      </c>
      <c r="V287" s="19" t="n">
        <f aca="false">V279*V281</f>
        <v>25.8131837786192</v>
      </c>
      <c r="W287" s="19" t="n">
        <f aca="false">W279*W281</f>
        <v>25.3603831055265</v>
      </c>
      <c r="X287" s="19" t="n">
        <f aca="false">X279*X281</f>
        <v>25.3860319321441</v>
      </c>
      <c r="Y287" s="19" t="n">
        <f aca="false">Y279*Y281</f>
        <v>25.4117066993125</v>
      </c>
      <c r="Z287" s="19" t="n">
        <f aca="false">Z279*Z281</f>
        <v>25.4374074332672</v>
      </c>
    </row>
    <row r="288" customFormat="false" ht="17.15" hidden="false" customHeight="false" outlineLevel="0" collapsed="false">
      <c r="A288" s="5" t="s">
        <v>548</v>
      </c>
      <c r="B288" s="0" t="s">
        <v>285</v>
      </c>
      <c r="C288" s="19" t="n">
        <f aca="false">C279*C282</f>
        <v>2.03</v>
      </c>
      <c r="D288" s="19" t="n">
        <f aca="false">D279*D282</f>
        <v>2.1</v>
      </c>
      <c r="E288" s="19" t="n">
        <f aca="false">E279*E282</f>
        <v>2.42</v>
      </c>
      <c r="F288" s="19" t="n">
        <f aca="false">F279*F282</f>
        <v>3.03</v>
      </c>
      <c r="G288" s="19" t="n">
        <f aca="false">G279*G282</f>
        <v>5.95</v>
      </c>
      <c r="H288" s="19" t="n">
        <f aca="false">H279*H282</f>
        <v>11.85</v>
      </c>
      <c r="I288" s="19" t="n">
        <f aca="false">I279*I282</f>
        <v>15.0654353653375</v>
      </c>
      <c r="J288" s="19" t="n">
        <f aca="false">J279*J282</f>
        <v>17.1855249161167</v>
      </c>
      <c r="K288" s="19" t="n">
        <f aca="false">K279*K282</f>
        <v>19.3049652694467</v>
      </c>
      <c r="L288" s="19" t="n">
        <f aca="false">L279*L282</f>
        <v>20.5339035166328</v>
      </c>
      <c r="M288" s="19" t="n">
        <f aca="false">M279*M282</f>
        <v>20.7490212159468</v>
      </c>
      <c r="N288" s="19" t="n">
        <f aca="false">N279*N282</f>
        <v>20.5249947981013</v>
      </c>
      <c r="O288" s="19" t="n">
        <f aca="false">O279*O282</f>
        <v>20.5127206202552</v>
      </c>
      <c r="P288" s="19" t="n">
        <f aca="false">P279*P282</f>
        <v>20.51942637764</v>
      </c>
      <c r="Q288" s="19" t="n">
        <f aca="false">Q279*Q282</f>
        <v>20.5261343271856</v>
      </c>
      <c r="R288" s="19" t="n">
        <f aca="false">R279*R282</f>
        <v>20.5328444696086</v>
      </c>
      <c r="S288" s="19" t="n">
        <f aca="false">S279*S282</f>
        <v>20.9569681075</v>
      </c>
      <c r="T288" s="19" t="n">
        <f aca="false">T279*T282</f>
        <v>21.2823177565123</v>
      </c>
      <c r="U288" s="19" t="n">
        <f aca="false">U279*U282</f>
        <v>21.6127183457928</v>
      </c>
      <c r="V288" s="19" t="n">
        <f aca="false">V279*V282</f>
        <v>21.9482482894343</v>
      </c>
      <c r="W288" s="19" t="n">
        <f aca="false">W279*W282</f>
        <v>21.8486249848175</v>
      </c>
      <c r="X288" s="19" t="n">
        <f aca="false">X279*X282</f>
        <v>21.870722111337</v>
      </c>
      <c r="Y288" s="19" t="n">
        <f aca="false">Y279*Y282</f>
        <v>21.892841586311</v>
      </c>
      <c r="Z288" s="19" t="n">
        <f aca="false">Z279*Z282</f>
        <v>21.9149834323422</v>
      </c>
    </row>
    <row r="289" customFormat="false" ht="17.15" hidden="false" customHeight="false" outlineLevel="0" collapsed="false">
      <c r="A289" s="0" t="s">
        <v>549</v>
      </c>
      <c r="B289" s="0" t="s">
        <v>285</v>
      </c>
      <c r="C289" s="19" t="n">
        <f aca="false">C279*C283</f>
        <v>1.92</v>
      </c>
      <c r="D289" s="19" t="n">
        <f aca="false">D279*D283</f>
        <v>2.14</v>
      </c>
      <c r="E289" s="19" t="n">
        <f aca="false">E279*E283</f>
        <v>2.84</v>
      </c>
      <c r="F289" s="19" t="n">
        <f aca="false">F279*F283</f>
        <v>3.31</v>
      </c>
      <c r="G289" s="19" t="n">
        <f aca="false">G279*G283</f>
        <v>5.96</v>
      </c>
      <c r="H289" s="19" t="n">
        <f aca="false">H279*H283</f>
        <v>10.72</v>
      </c>
      <c r="I289" s="19" t="n">
        <f aca="false">I279*I283</f>
        <v>14.9513168749304</v>
      </c>
      <c r="J289" s="19" t="n">
        <f aca="false">J279*J283</f>
        <v>16.2556181571003</v>
      </c>
      <c r="K289" s="19" t="n">
        <f aca="false">K279*K283</f>
        <v>18.0121364720366</v>
      </c>
      <c r="L289" s="19" t="n">
        <f aca="false">L279*L283</f>
        <v>19.158774298889</v>
      </c>
      <c r="M289" s="19" t="n">
        <f aca="false">M279*M283</f>
        <v>19.3594858414126</v>
      </c>
      <c r="N289" s="19" t="n">
        <f aca="false">N279*N283</f>
        <v>19.1504621858269</v>
      </c>
      <c r="O289" s="19" t="n">
        <f aca="false">O279*O283</f>
        <v>18.8823157102588</v>
      </c>
      <c r="P289" s="19" t="n">
        <f aca="false">P279*P283</f>
        <v>18.8884884764345</v>
      </c>
      <c r="Q289" s="19" t="n">
        <f aca="false">Q279*Q283</f>
        <v>18.8946632605323</v>
      </c>
      <c r="R289" s="19" t="n">
        <f aca="false">R279*R283</f>
        <v>18.9008400632119</v>
      </c>
      <c r="S289" s="19" t="n">
        <f aca="false">S279*S283</f>
        <v>19.0359413238804</v>
      </c>
      <c r="T289" s="19" t="n">
        <f aca="false">T279*T283</f>
        <v>19.331467699479</v>
      </c>
      <c r="U289" s="19" t="n">
        <f aca="false">U279*U283</f>
        <v>19.6315820193871</v>
      </c>
      <c r="V289" s="19" t="n">
        <f aca="false">V279*V283</f>
        <v>19.9363555098463</v>
      </c>
      <c r="W289" s="19" t="n">
        <f aca="false">W279*W283</f>
        <v>19.5866429261025</v>
      </c>
      <c r="X289" s="19" t="n">
        <f aca="false">X279*X283</f>
        <v>19.6064523432687</v>
      </c>
      <c r="Y289" s="19" t="n">
        <f aca="false">Y279*Y283</f>
        <v>19.6262817951601</v>
      </c>
      <c r="Z289" s="19" t="n">
        <f aca="false">Z279*Z283</f>
        <v>19.6461313020392</v>
      </c>
    </row>
    <row r="290" customFormat="false" ht="17.15" hidden="false" customHeight="false" outlineLevel="0" collapsed="false">
      <c r="A290" s="0" t="s">
        <v>550</v>
      </c>
      <c r="B290" s="0" t="s">
        <v>285</v>
      </c>
      <c r="C290" s="19" t="n">
        <f aca="false">C279*C284</f>
        <v>1.69</v>
      </c>
      <c r="D290" s="19" t="n">
        <f aca="false">D279*D284</f>
        <v>1.9</v>
      </c>
      <c r="E290" s="19" t="n">
        <f aca="false">E279*E284</f>
        <v>2.31</v>
      </c>
      <c r="F290" s="19" t="n">
        <f aca="false">F279*F284</f>
        <v>3.03</v>
      </c>
      <c r="G290" s="19" t="n">
        <f aca="false">G279*G284</f>
        <v>5.95</v>
      </c>
      <c r="H290" s="19" t="n">
        <f aca="false">H279*H284</f>
        <v>8.97</v>
      </c>
      <c r="I290" s="19" t="n">
        <f aca="false">I279*I284</f>
        <v>11.0371522587842</v>
      </c>
      <c r="J290" s="19" t="n">
        <f aca="false">J279*J284</f>
        <v>12.4986379030849</v>
      </c>
      <c r="K290" s="19" t="n">
        <f aca="false">K279*K284</f>
        <v>13.8491916732555</v>
      </c>
      <c r="L290" s="19" t="n">
        <f aca="false">L279*L284</f>
        <v>14.7308198503759</v>
      </c>
      <c r="M290" s="19" t="n">
        <f aca="false">M279*M284</f>
        <v>14.8851431660891</v>
      </c>
      <c r="N290" s="19" t="n">
        <f aca="false">N279*N284</f>
        <v>14.7244288235709</v>
      </c>
      <c r="O290" s="19" t="n">
        <f aca="false">O279*O284</f>
        <v>14.5182560609774</v>
      </c>
      <c r="P290" s="19" t="n">
        <f aca="false">P279*P284</f>
        <v>14.5230021843512</v>
      </c>
      <c r="Q290" s="19" t="n">
        <f aca="false">Q279*Q284</f>
        <v>14.5277498592672</v>
      </c>
      <c r="R290" s="19" t="n">
        <f aca="false">R279*R284</f>
        <v>14.5324990862326</v>
      </c>
      <c r="S290" s="19" t="n">
        <f aca="false">S279*S284</f>
        <v>14.6363758949166</v>
      </c>
      <c r="T290" s="19" t="n">
        <f aca="false">T279*T284</f>
        <v>14.8636005457248</v>
      </c>
      <c r="U290" s="19" t="n">
        <f aca="false">U279*U284</f>
        <v>15.0943527802944</v>
      </c>
      <c r="V290" s="19" t="n">
        <f aca="false">V279*V284</f>
        <v>15.328687363138</v>
      </c>
      <c r="W290" s="19" t="n">
        <f aca="false">W279*W284</f>
        <v>15.0597999598955</v>
      </c>
      <c r="X290" s="19" t="n">
        <f aca="false">X279*X284</f>
        <v>15.0750310467627</v>
      </c>
      <c r="Y290" s="19" t="n">
        <f aca="false">Y279*Y284</f>
        <v>15.0902775379519</v>
      </c>
      <c r="Z290" s="19" t="n">
        <f aca="false">Z279*Z284</f>
        <v>15.1055394490425</v>
      </c>
    </row>
    <row r="291" customFormat="false" ht="17.15" hidden="false" customHeight="false" outlineLevel="0" collapsed="false">
      <c r="A291" s="5" t="s">
        <v>551</v>
      </c>
      <c r="B291" s="0" t="s">
        <v>285</v>
      </c>
      <c r="C291" s="19" t="n">
        <f aca="false">C279*C285</f>
        <v>0.905483870967741</v>
      </c>
      <c r="D291" s="19" t="n">
        <f aca="false">D279*D285</f>
        <v>1.12547112462006</v>
      </c>
      <c r="E291" s="19" t="n">
        <f aca="false">E279*E285</f>
        <v>1.69120879120879</v>
      </c>
      <c r="F291" s="19" t="n">
        <f aca="false">F279*F285</f>
        <v>2.39142857142857</v>
      </c>
      <c r="G291" s="19" t="n">
        <f aca="false">G279*G285</f>
        <v>5.05480225988701</v>
      </c>
      <c r="H291" s="19" t="n">
        <f aca="false">H279*H285</f>
        <v>9.83307167235495</v>
      </c>
      <c r="I291" s="19" t="n">
        <f aca="false">I279*I285</f>
        <v>13.3576016526982</v>
      </c>
      <c r="J291" s="19" t="n">
        <f aca="false">J279*J285</f>
        <v>16.1288066229518</v>
      </c>
      <c r="K291" s="19" t="n">
        <f aca="false">K279*K285</f>
        <v>18.2652821252018</v>
      </c>
      <c r="L291" s="19" t="n">
        <f aca="false">L279*L285</f>
        <v>19.4280349966006</v>
      </c>
      <c r="M291" s="19" t="n">
        <f aca="false">M279*M285</f>
        <v>19.6315673735437</v>
      </c>
      <c r="N291" s="19" t="n">
        <f aca="false">N279*N285</f>
        <v>19.4196060636769</v>
      </c>
      <c r="O291" s="19" t="n">
        <f aca="false">O279*O285</f>
        <v>19.5603689500833</v>
      </c>
      <c r="P291" s="19" t="n">
        <f aca="false">P279*P285</f>
        <v>19.5667633767888</v>
      </c>
      <c r="Q291" s="19" t="n">
        <f aca="false">Q279*Q285</f>
        <v>19.5731598938788</v>
      </c>
      <c r="R291" s="19" t="n">
        <f aca="false">R279*R285</f>
        <v>19.5795585020367</v>
      </c>
      <c r="S291" s="19" t="n">
        <f aca="false">S279*S285</f>
        <v>20.1355466386804</v>
      </c>
      <c r="T291" s="19" t="n">
        <f aca="false">T279*T285</f>
        <v>20.448144004767</v>
      </c>
      <c r="U291" s="19" t="n">
        <f aca="false">U279*U285</f>
        <v>20.7655943363598</v>
      </c>
      <c r="V291" s="19" t="n">
        <f aca="false">V279*V285</f>
        <v>21.0879729740621</v>
      </c>
      <c r="W291" s="19" t="n">
        <f aca="false">W279*W285</f>
        <v>21.1461305437749</v>
      </c>
      <c r="X291" s="19" t="n">
        <f aca="false">X279*X285</f>
        <v>21.1675171858336</v>
      </c>
      <c r="Y291" s="19" t="n">
        <f aca="false">Y279*Y285</f>
        <v>21.1889254577814</v>
      </c>
      <c r="Z291" s="19" t="n">
        <f aca="false">Z279*Z285</f>
        <v>21.2103553814942</v>
      </c>
    </row>
    <row r="292" customFormat="false" ht="17.15" hidden="false" customHeight="false" outlineLevel="0" collapsed="false">
      <c r="A292" s="0" t="s">
        <v>552</v>
      </c>
      <c r="B292" s="0" t="s">
        <v>25</v>
      </c>
      <c r="C292" s="12" t="n">
        <f aca="false">C283+C284</f>
        <v>0.279077306733167</v>
      </c>
      <c r="D292" s="12" t="n">
        <f aca="false">D283+D284</f>
        <v>0.255607692307692</v>
      </c>
      <c r="E292" s="12" t="n">
        <f aca="false">E283+E284</f>
        <v>0.27406432748538</v>
      </c>
      <c r="F292" s="12" t="n">
        <f aca="false">F283+F284</f>
        <v>0.268969696969697</v>
      </c>
      <c r="G292" s="12" t="n">
        <f aca="false">G283+G284</f>
        <v>0.270960154241645</v>
      </c>
      <c r="H292" s="12" t="n">
        <f aca="false">H283+H284</f>
        <v>0.250180832610581</v>
      </c>
      <c r="I292" s="12" t="n">
        <f aca="false">I283+I284</f>
        <v>0.250336157022418</v>
      </c>
      <c r="J292" s="12" t="n">
        <f aca="false">J283+J284</f>
        <v>0.242808509894346</v>
      </c>
      <c r="K292" s="12" t="n">
        <f aca="false">K283+K284</f>
        <v>0.242808509894346</v>
      </c>
      <c r="L292" s="12" t="n">
        <f aca="false">L283+L284</f>
        <v>0.242808509894346</v>
      </c>
      <c r="M292" s="12" t="n">
        <f aca="false">M283+M284</f>
        <v>0.242808509894346</v>
      </c>
      <c r="N292" s="12" t="n">
        <f aca="false">N283+N284</f>
        <v>0.242808509894346</v>
      </c>
      <c r="O292" s="12" t="n">
        <f aca="false">O283+O284</f>
        <v>0.242808509894346</v>
      </c>
      <c r="P292" s="12" t="n">
        <f aca="false">P283+P284</f>
        <v>0.242808509894346</v>
      </c>
      <c r="Q292" s="12" t="n">
        <f aca="false">Q283+Q284</f>
        <v>0.242808509894346</v>
      </c>
      <c r="R292" s="12" t="n">
        <f aca="false">R283+R284</f>
        <v>0.242808509894346</v>
      </c>
      <c r="S292" s="12" t="n">
        <f aca="false">S283+S284</f>
        <v>0.242808509894346</v>
      </c>
      <c r="T292" s="12" t="n">
        <f aca="false">T283+T284</f>
        <v>0.242808509894346</v>
      </c>
      <c r="U292" s="12" t="n">
        <f aca="false">U283+U284</f>
        <v>0.242808509894346</v>
      </c>
      <c r="V292" s="12" t="n">
        <f aca="false">V283+V284</f>
        <v>0.242808509894346</v>
      </c>
      <c r="W292" s="12" t="n">
        <f aca="false">W283+W284</f>
        <v>0.242808509894346</v>
      </c>
      <c r="X292" s="12" t="n">
        <f aca="false">X283+X284</f>
        <v>0.242808509894346</v>
      </c>
      <c r="Y292" s="12" t="n">
        <f aca="false">Y283+Y284</f>
        <v>0.242808509894346</v>
      </c>
      <c r="Z292" s="12" t="n">
        <f aca="false">Z283+Z284</f>
        <v>0.242808509894346</v>
      </c>
    </row>
    <row r="293" customFormat="false" ht="17.15" hidden="false" customHeight="false" outlineLevel="0" collapsed="false">
      <c r="A293" s="0" t="s">
        <v>553</v>
      </c>
      <c r="B293" s="0" t="s">
        <v>222</v>
      </c>
      <c r="C293" s="19" t="n">
        <f aca="false">C278*C283</f>
        <v>35.5454438457651</v>
      </c>
      <c r="D293" s="19" t="n">
        <f aca="false">D278*D283</f>
        <v>33.3561735612603</v>
      </c>
      <c r="E293" s="19" t="n">
        <f aca="false">E278*E283</f>
        <v>38.3034616573653</v>
      </c>
      <c r="F293" s="19" t="n">
        <f aca="false">F278*F283</f>
        <v>36.6117929947199</v>
      </c>
      <c r="G293" s="19" t="n">
        <f aca="false">G278*G283</f>
        <v>38.7064917420691</v>
      </c>
      <c r="H293" s="19" t="n">
        <f aca="false">H278*H283</f>
        <v>41.03008386743</v>
      </c>
      <c r="I293" s="19" t="n">
        <f aca="false">I278*I283</f>
        <v>45.7801332318593</v>
      </c>
      <c r="J293" s="19" t="n">
        <f aca="false">J278*J283</f>
        <v>46.0442498172465</v>
      </c>
      <c r="K293" s="19" t="n">
        <f aca="false">K278*K283</f>
        <v>49.5336027048364</v>
      </c>
      <c r="L293" s="19" t="n">
        <f aca="false">L278*L283</f>
        <v>52.6868712052069</v>
      </c>
      <c r="M293" s="19" t="n">
        <f aca="false">M278*M283</f>
        <v>56.0408741907041</v>
      </c>
      <c r="N293" s="19" t="n">
        <f aca="false">N278*N283</f>
        <v>59.6083902539264</v>
      </c>
      <c r="O293" s="19" t="n">
        <f aca="false">O278*O283</f>
        <v>61.8671034416109</v>
      </c>
      <c r="P293" s="19" t="n">
        <f aca="false">P278*P283</f>
        <v>65.1445560496397</v>
      </c>
      <c r="Q293" s="19" t="n">
        <f aca="false">Q278*Q283</f>
        <v>68.5956339771085</v>
      </c>
      <c r="R293" s="19" t="n">
        <f aca="false">R278*R283</f>
        <v>72.2295351454384</v>
      </c>
      <c r="S293" s="19" t="n">
        <f aca="false">S278*S283</f>
        <v>74.9956952920307</v>
      </c>
      <c r="T293" s="19" t="n">
        <f aca="false">T278*T283</f>
        <v>78.5154406252397</v>
      </c>
      <c r="U293" s="19" t="n">
        <f aca="false">U278*U283</f>
        <v>82.200376869239</v>
      </c>
      <c r="V293" s="19" t="n">
        <f aca="false">V278*V283</f>
        <v>86.0582568681763</v>
      </c>
      <c r="W293" s="19" t="n">
        <f aca="false">W278*W283</f>
        <v>87.2943455831878</v>
      </c>
      <c r="X293" s="19" t="n">
        <f aca="false">X278*X283</f>
        <v>90.2203396232641</v>
      </c>
      <c r="Y293" s="19" t="n">
        <f aca="false">Y278*Y283</f>
        <v>93.2444092152603</v>
      </c>
      <c r="Z293" s="19" t="n">
        <f aca="false">Z278*Z283</f>
        <v>96.3698417253682</v>
      </c>
      <c r="AB293" s="5" t="s">
        <v>554</v>
      </c>
    </row>
    <row r="294" customFormat="false" ht="17.15" hidden="false" customHeight="false" outlineLevel="0" collapsed="false">
      <c r="A294" s="0" t="s">
        <v>555</v>
      </c>
      <c r="B294" s="0" t="s">
        <v>222</v>
      </c>
      <c r="C294" s="19" t="n">
        <f aca="false">C278*C284</f>
        <v>31.2873958850745</v>
      </c>
      <c r="D294" s="19" t="n">
        <f aca="false">D278*D284</f>
        <v>29.6152942833619</v>
      </c>
      <c r="E294" s="19" t="n">
        <f aca="false">E278*E284</f>
        <v>31.1552804325753</v>
      </c>
      <c r="F294" s="19" t="n">
        <f aca="false">F278*F284</f>
        <v>33.5147228924475</v>
      </c>
      <c r="G294" s="19" t="n">
        <f aca="false">G278*G284</f>
        <v>38.6415479639783</v>
      </c>
      <c r="H294" s="19" t="n">
        <f aca="false">H278*H284</f>
        <v>34.3320757734</v>
      </c>
      <c r="I294" s="19" t="n">
        <f aca="false">I278*I284</f>
        <v>33.7951703608589</v>
      </c>
      <c r="J294" s="19" t="n">
        <f aca="false">J278*J284</f>
        <v>35.4025543921612</v>
      </c>
      <c r="K294" s="19" t="n">
        <f aca="false">K278*K284</f>
        <v>38.0854519501984</v>
      </c>
      <c r="L294" s="19" t="n">
        <f aca="false">L278*L284</f>
        <v>40.5099405680072</v>
      </c>
      <c r="M294" s="19" t="n">
        <f aca="false">M278*M284</f>
        <v>43.0887701416636</v>
      </c>
      <c r="N294" s="19" t="n">
        <f aca="false">N278*N284</f>
        <v>45.831765889763</v>
      </c>
      <c r="O294" s="19" t="n">
        <f aca="false">O278*O284</f>
        <v>47.5684478164026</v>
      </c>
      <c r="P294" s="19" t="n">
        <f aca="false">P278*P284</f>
        <v>50.0884192500562</v>
      </c>
      <c r="Q294" s="19" t="n">
        <f aca="false">Q278*Q284</f>
        <v>52.7418879138683</v>
      </c>
      <c r="R294" s="19" t="n">
        <f aca="false">R278*R284</f>
        <v>55.5359259159676</v>
      </c>
      <c r="S294" s="19" t="n">
        <f aca="false">S278*S284</f>
        <v>57.6627742289676</v>
      </c>
      <c r="T294" s="19" t="n">
        <f aca="false">T278*T284</f>
        <v>60.3690399646472</v>
      </c>
      <c r="U294" s="19" t="n">
        <f aca="false">U278*U284</f>
        <v>63.202317872912</v>
      </c>
      <c r="V294" s="19" t="n">
        <f aca="false">V278*V284</f>
        <v>66.1685689692575</v>
      </c>
      <c r="W294" s="19" t="n">
        <f aca="false">W278*W284</f>
        <v>67.1189742454954</v>
      </c>
      <c r="X294" s="19" t="n">
        <f aca="false">X278*X284</f>
        <v>69.3687158216116</v>
      </c>
      <c r="Y294" s="19" t="n">
        <f aca="false">Y278*Y284</f>
        <v>71.6938658379819</v>
      </c>
      <c r="Z294" s="19" t="n">
        <f aca="false">Z278*Z284</f>
        <v>74.0969518884072</v>
      </c>
    </row>
    <row r="295" customFormat="false" ht="17.15" hidden="false" customHeight="false" outlineLevel="0" collapsed="false">
      <c r="A295" s="5" t="s">
        <v>556</v>
      </c>
      <c r="B295" s="0" t="s">
        <v>557</v>
      </c>
      <c r="C295" s="17" t="n">
        <f aca="false">ABS(SUM(C280:C285)-1)+ABS(SUM(I280:I285)-1)+ABS(SUM(Z280:Z285)-1)+ABS(H290-rv_sd_5)</f>
        <v>0</v>
      </c>
    </row>
    <row r="320" customFormat="false" ht="17.15" hidden="false" customHeight="false" outlineLevel="0" collapsed="false">
      <c r="A320" s="3" t="s">
        <v>698</v>
      </c>
    </row>
    <row r="321" customFormat="false" ht="17.15" hidden="false" customHeight="false" outlineLevel="0" collapsed="false">
      <c r="A321" s="9" t="s">
        <v>508</v>
      </c>
      <c r="B321" s="6" t="s">
        <v>15</v>
      </c>
      <c r="C321" s="9" t="s">
        <v>427</v>
      </c>
      <c r="D321" s="9" t="s">
        <v>428</v>
      </c>
      <c r="E321" s="9" t="s">
        <v>429</v>
      </c>
      <c r="F321" s="9" t="s">
        <v>430</v>
      </c>
      <c r="G321" s="9" t="s">
        <v>431</v>
      </c>
      <c r="H321" s="9" t="s">
        <v>432</v>
      </c>
      <c r="I321" s="9" t="s">
        <v>433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6" t="s">
        <v>434</v>
      </c>
    </row>
    <row r="322" customFormat="false" ht="17.15" hidden="false" customHeight="false" outlineLevel="0" collapsed="false">
      <c r="A322" s="5" t="s">
        <v>509</v>
      </c>
      <c r="B322" s="5" t="s">
        <v>168</v>
      </c>
      <c r="E322" s="10" t="n">
        <f aca="false">(u_26)*1</f>
        <v>15.2</v>
      </c>
      <c r="F322" s="10" t="n">
        <f aca="false">(u_27)*1</f>
        <v>23.7</v>
      </c>
      <c r="G322" s="10" t="n">
        <f aca="false">(u_28)*um28_A</f>
        <v>26.5</v>
      </c>
      <c r="H322" s="10" t="n">
        <f aca="false">(u_28*(1+g_u29))*um29_A</f>
        <v>30.15</v>
      </c>
      <c r="I322" s="10" t="n">
        <f aca="false">(u_28*(1+g_u29)*(1+g_u30))*um29_A</f>
        <v>31.6575</v>
      </c>
      <c r="AB322" s="8" t="s">
        <v>510</v>
      </c>
    </row>
    <row r="323" customFormat="false" ht="17.15" hidden="false" customHeight="false" outlineLevel="0" collapsed="false">
      <c r="A323" s="5" t="s">
        <v>511</v>
      </c>
      <c r="B323" s="0" t="s">
        <v>512</v>
      </c>
      <c r="E323" s="18" t="n">
        <f aca="false">tb_26</f>
        <v>30</v>
      </c>
      <c r="F323" s="18" t="n">
        <f aca="false">tb_27</f>
        <v>34</v>
      </c>
      <c r="G323" s="18" t="n">
        <f aca="false">tb_28</f>
        <v>40</v>
      </c>
      <c r="H323" s="18" t="n">
        <f aca="false">tb_29</f>
        <v>46</v>
      </c>
      <c r="I323" s="18" t="n">
        <f aca="false">tb_30</f>
        <v>52</v>
      </c>
    </row>
    <row r="324" customFormat="false" ht="17.15" hidden="false" customHeight="false" outlineLevel="0" collapsed="false">
      <c r="A324" s="5" t="s">
        <v>513</v>
      </c>
      <c r="B324" s="0" t="s">
        <v>222</v>
      </c>
      <c r="D324" s="10" t="n">
        <f aca="false">bits25_lo*sh_essd25*ai25</f>
        <v>140.25</v>
      </c>
      <c r="E324" s="10" t="n">
        <f aca="false">E322*E323</f>
        <v>456</v>
      </c>
      <c r="F324" s="10" t="n">
        <f aca="false">F322*F323</f>
        <v>805.8</v>
      </c>
      <c r="G324" s="10" t="n">
        <f aca="false">G322*G323</f>
        <v>1060</v>
      </c>
      <c r="H324" s="10" t="n">
        <f aca="false">H322*H323</f>
        <v>1386.9</v>
      </c>
      <c r="I324" s="10" t="n">
        <f aca="false">I322*I323</f>
        <v>1646.19</v>
      </c>
      <c r="AB324" s="5" t="s">
        <v>514</v>
      </c>
    </row>
    <row r="325" customFormat="false" ht="17.15" hidden="false" customHeight="false" outlineLevel="0" collapsed="false">
      <c r="A325" s="5" t="s">
        <v>515</v>
      </c>
      <c r="B325" s="0" t="s">
        <v>222</v>
      </c>
      <c r="D325" s="10" t="n">
        <f aca="false">bits25_lo*sh_essd25*(1-ai25)</f>
        <v>114.75</v>
      </c>
      <c r="E325" s="10" t="n">
        <f aca="false">D325*(1+g_nai)</f>
        <v>126.225</v>
      </c>
      <c r="F325" s="10" t="n">
        <f aca="false">E325*(1+g_nai)</f>
        <v>138.8475</v>
      </c>
      <c r="G325" s="10" t="n">
        <f aca="false">F325*(1+g_nai)</f>
        <v>152.73225</v>
      </c>
      <c r="H325" s="10" t="n">
        <f aca="false">G325*(1+g_nai)</f>
        <v>168.005475</v>
      </c>
      <c r="I325" s="10" t="n">
        <f aca="false">H325*(1+g_nai)</f>
        <v>184.8060225</v>
      </c>
    </row>
    <row r="326" customFormat="false" ht="15" hidden="false" customHeight="false" outlineLevel="0" collapsed="false">
      <c r="A326" s="5" t="s">
        <v>516</v>
      </c>
      <c r="B326" s="0" t="s">
        <v>222</v>
      </c>
      <c r="D326" s="10" t="n">
        <f aca="false">bits25_lo*sh_mob25</f>
        <v>272</v>
      </c>
      <c r="E326" s="10" t="n">
        <f aca="false">D326*(1+g_mob_26)</f>
        <v>258.4</v>
      </c>
      <c r="F326" s="10" t="n">
        <f aca="false">E326*(1+g_mob_27)</f>
        <v>266.152</v>
      </c>
      <c r="G326" s="10" t="n">
        <f aca="false">F326*(1+g_mob_28)</f>
        <v>287.44416</v>
      </c>
      <c r="H326" s="10" t="n">
        <f aca="false">G326*(1+g_mob_28)</f>
        <v>310.4396928</v>
      </c>
      <c r="I326" s="10" t="n">
        <f aca="false">H326*(1+g_mob_28)</f>
        <v>335.274868224</v>
      </c>
    </row>
    <row r="327" customFormat="false" ht="17.15" hidden="false" customHeight="false" outlineLevel="0" collapsed="false">
      <c r="A327" s="5" t="s">
        <v>517</v>
      </c>
      <c r="B327" s="0" t="s">
        <v>222</v>
      </c>
      <c r="D327" s="10" t="n">
        <f aca="false">bits25_lo*sh_pc25</f>
        <v>195.5</v>
      </c>
      <c r="E327" s="10" t="n">
        <f aca="false">D327*(1+g_pc_26)</f>
        <v>185.725</v>
      </c>
      <c r="F327" s="10" t="n">
        <f aca="false">E327*(1+g_pc_27)</f>
        <v>185.725</v>
      </c>
      <c r="G327" s="10" t="n">
        <f aca="false">F327*(1+g_pc_28)</f>
        <v>196.8685</v>
      </c>
      <c r="H327" s="10" t="n">
        <f aca="false">G327*(1+g_pc_28)</f>
        <v>208.68061</v>
      </c>
      <c r="I327" s="10" t="n">
        <f aca="false">H327*(1+g_pc_28)</f>
        <v>221.2014466</v>
      </c>
    </row>
    <row r="328" customFormat="false" ht="15" hidden="false" customHeight="false" outlineLevel="0" collapsed="false">
      <c r="A328" s="5" t="s">
        <v>518</v>
      </c>
      <c r="B328" s="0" t="s">
        <v>222</v>
      </c>
      <c r="D328" s="10" t="n">
        <f aca="false">bits25_lo*(1-sh_essd25-sh_mob25-sh_pc25)</f>
        <v>127.5</v>
      </c>
      <c r="E328" s="10" t="n">
        <f aca="false">D328*(1+g_con_26)</f>
        <v>114.75</v>
      </c>
      <c r="F328" s="10" t="n">
        <f aca="false">E328*(1+g_con_27)</f>
        <v>114.75</v>
      </c>
      <c r="G328" s="10" t="n">
        <f aca="false">F328*(1+g_con_28)</f>
        <v>120.4875</v>
      </c>
      <c r="H328" s="10" t="n">
        <f aca="false">G328*(1+g_con_28)</f>
        <v>126.511875</v>
      </c>
      <c r="I328" s="10" t="n">
        <f aca="false">H328*(1+g_con_28)</f>
        <v>132.83746875</v>
      </c>
    </row>
    <row r="329" customFormat="false" ht="15" hidden="false" customHeight="false" outlineLevel="0" collapsed="false">
      <c r="A329" s="5" t="s">
        <v>442</v>
      </c>
      <c r="B329" s="0" t="s">
        <v>222</v>
      </c>
      <c r="D329" s="10" t="n">
        <f aca="false">SUM(D324:D328)</f>
        <v>850</v>
      </c>
      <c r="E329" s="10" t="n">
        <f aca="false">SUM(E324:E328)</f>
        <v>1141.1</v>
      </c>
      <c r="F329" s="10" t="n">
        <f aca="false">SUM(F324:F328)</f>
        <v>1511.2745</v>
      </c>
      <c r="G329" s="10" t="n">
        <f aca="false">SUM(G324:G328)</f>
        <v>1817.53241</v>
      </c>
      <c r="H329" s="10" t="n">
        <f aca="false">SUM(H324:H328)</f>
        <v>2200.5376528</v>
      </c>
      <c r="I329" s="10" t="n">
        <f aca="false">SUM(I324:I328)</f>
        <v>2520.309806074</v>
      </c>
    </row>
    <row r="330" customFormat="false" ht="17.15" hidden="false" customHeight="false" outlineLevel="0" collapsed="false">
      <c r="A330" s="5" t="s">
        <v>519</v>
      </c>
      <c r="B330" s="0" t="s">
        <v>25</v>
      </c>
      <c r="D330" s="12" t="n">
        <f aca="false">(D324+D325)/D329</f>
        <v>0.3</v>
      </c>
      <c r="E330" s="12" t="n">
        <f aca="false">(E324+E325)/E329</f>
        <v>0.510231355709403</v>
      </c>
      <c r="F330" s="12" t="n">
        <f aca="false">(F324+F325)/F329</f>
        <v>0.625066789653369</v>
      </c>
      <c r="G330" s="12" t="n">
        <f aca="false">(G324+G325)/G329</f>
        <v>0.667241058991625</v>
      </c>
      <c r="H330" s="12" t="n">
        <f aca="false">(H324+H325)/H329</f>
        <v>0.706602530986695</v>
      </c>
      <c r="I330" s="12" t="n">
        <f aca="false">(I324+I325)/I329</f>
        <v>0.726496408531706</v>
      </c>
    </row>
    <row r="331" customFormat="false" ht="17.15" hidden="false" customHeight="false" outlineLevel="0" collapsed="false">
      <c r="A331" s="5" t="s">
        <v>520</v>
      </c>
      <c r="B331" s="0" t="s">
        <v>222</v>
      </c>
      <c r="D331" s="10" t="n">
        <f aca="false">bits25_lo</f>
        <v>850</v>
      </c>
      <c r="E331" s="10" t="n">
        <f aca="false">D331*(1+gs_26)</f>
        <v>1028.5</v>
      </c>
      <c r="F331" s="10" t="n">
        <f aca="false">E331*(1+gs_27)</f>
        <v>1285.625</v>
      </c>
      <c r="G331" s="10" t="n">
        <f aca="false">F331*(1+gs_28)</f>
        <v>1607.03125</v>
      </c>
      <c r="H331" s="10" t="n">
        <f aca="false">G331*(1+gs_29)</f>
        <v>1960.578125</v>
      </c>
      <c r="I331" s="10" t="n">
        <f aca="false">H331*(1+gs_30)</f>
        <v>2352.69375</v>
      </c>
      <c r="AB331" s="8" t="s">
        <v>521</v>
      </c>
    </row>
    <row r="332" customFormat="false" ht="17.15" hidden="false" customHeight="false" outlineLevel="0" collapsed="false">
      <c r="A332" s="5" t="s">
        <v>522</v>
      </c>
      <c r="B332" s="0" t="s">
        <v>25</v>
      </c>
      <c r="E332" s="12" t="n">
        <f aca="false">E329/E331-1</f>
        <v>0.109479824987846</v>
      </c>
      <c r="F332" s="12" t="n">
        <f aca="false">F329/F331-1</f>
        <v>0.175517355371901</v>
      </c>
      <c r="G332" s="12" t="n">
        <f aca="false">G329/G331-1</f>
        <v>0.130987595916383</v>
      </c>
      <c r="H332" s="12" t="n">
        <f aca="false">H329/H331-1</f>
        <v>0.122392229485882</v>
      </c>
      <c r="I332" s="12" t="n">
        <f aca="false">I329/I331-1</f>
        <v>0.0712443156165143</v>
      </c>
    </row>
    <row r="333" customFormat="false" ht="17.15" hidden="false" customHeight="false" outlineLevel="0" collapsed="false">
      <c r="A333" s="5" t="s">
        <v>523</v>
      </c>
      <c r="B333" s="0" t="s">
        <v>222</v>
      </c>
      <c r="C333" s="10" t="n">
        <f aca="false">bits25_lo/(1+g25)</f>
        <v>758.928571428571</v>
      </c>
      <c r="D333" s="10" t="n">
        <f aca="false">bits25_lo</f>
        <v>850</v>
      </c>
      <c r="E333" s="10" t="n">
        <f aca="false">MIN(E329,E331)</f>
        <v>1028.5</v>
      </c>
      <c r="F333" s="10" t="n">
        <f aca="false">MIN(F329,F331)</f>
        <v>1285.625</v>
      </c>
      <c r="G333" s="10" t="n">
        <f aca="false">MIN(G329,G331)</f>
        <v>1607.03125</v>
      </c>
      <c r="H333" s="10" t="n">
        <f aca="false">MIN(H329,H331)</f>
        <v>1960.578125</v>
      </c>
      <c r="I333" s="10" t="n">
        <f aca="false">MIN(I329,I331)</f>
        <v>2352.69375</v>
      </c>
    </row>
    <row r="334" customFormat="false" ht="15" hidden="false" customHeight="false" outlineLevel="0" collapsed="false">
      <c r="A334" s="5" t="s">
        <v>447</v>
      </c>
      <c r="B334" s="0" t="s">
        <v>25</v>
      </c>
      <c r="D334" s="12" t="n">
        <f aca="false">D333/C333-1</f>
        <v>0.12</v>
      </c>
      <c r="E334" s="12" t="n">
        <f aca="false">E333/D333-1</f>
        <v>0.21</v>
      </c>
      <c r="F334" s="12" t="n">
        <f aca="false">F333/E333-1</f>
        <v>0.25</v>
      </c>
      <c r="G334" s="12" t="n">
        <f aca="false">G333/F333-1</f>
        <v>0.25</v>
      </c>
      <c r="H334" s="12" t="n">
        <f aca="false">H333/G333-1</f>
        <v>0.22</v>
      </c>
      <c r="I334" s="12" t="n">
        <f aca="false">I333/H333-1</f>
        <v>0.2</v>
      </c>
    </row>
    <row r="335" customFormat="false" ht="17.15" hidden="false" customHeight="false" outlineLevel="0" collapsed="false">
      <c r="A335" s="0" t="s">
        <v>524</v>
      </c>
      <c r="B335" s="0" t="s">
        <v>285</v>
      </c>
      <c r="C335" s="10" t="n">
        <f aca="false">rev24</f>
        <v>67.4</v>
      </c>
      <c r="D335" s="10" t="n">
        <f aca="false">SUM(C349:F349)</f>
        <v>71.1035923582252</v>
      </c>
      <c r="E335" s="10" t="n">
        <f aca="false">SUM(G349:J349)</f>
        <v>342.820749524408</v>
      </c>
      <c r="F335" s="10" t="n">
        <f aca="false">SUM(K349:N349)</f>
        <v>536.734678363014</v>
      </c>
      <c r="G335" s="10" t="n">
        <f aca="false">SUM(O349:R349)</f>
        <v>544.610149409284</v>
      </c>
      <c r="H335" s="10" t="n">
        <f aca="false">SUM(S349:V349)</f>
        <v>570.465276442823</v>
      </c>
      <c r="I335" s="10" t="n">
        <f aca="false">SUM(W349:Z349)</f>
        <v>603.846148402198</v>
      </c>
      <c r="AB335" s="8" t="s">
        <v>525</v>
      </c>
    </row>
    <row r="336" customFormat="false" ht="15" hidden="false" customHeight="false" outlineLevel="0" collapsed="false">
      <c r="A336" s="5" t="s">
        <v>453</v>
      </c>
      <c r="B336" s="0" t="s">
        <v>25</v>
      </c>
      <c r="D336" s="12" t="n">
        <f aca="false">D335/C335-1</f>
        <v>0.0549494415166936</v>
      </c>
      <c r="E336" s="12" t="n">
        <f aca="false">E335/D335-1</f>
        <v>3.82142657149095</v>
      </c>
      <c r="F336" s="12" t="n">
        <f aca="false">F335/E335-1</f>
        <v>0.565642333807452</v>
      </c>
      <c r="G336" s="12" t="n">
        <f aca="false">G335/F335-1</f>
        <v>0.0146729312707903</v>
      </c>
      <c r="H336" s="12" t="n">
        <f aca="false">H335/G335-1</f>
        <v>0.0474745596672832</v>
      </c>
      <c r="I336" s="12" t="n">
        <f aca="false">I335/H335-1</f>
        <v>0.058515168824163</v>
      </c>
    </row>
    <row r="337" customFormat="false" ht="17.15" hidden="false" customHeight="false" outlineLevel="0" collapsed="false">
      <c r="A337" s="5" t="s">
        <v>526</v>
      </c>
      <c r="B337" s="0" t="s">
        <v>449</v>
      </c>
      <c r="C337" s="13" t="n">
        <f aca="false">C335/C333</f>
        <v>0.0888094117647059</v>
      </c>
      <c r="D337" s="13" t="n">
        <f aca="false">D335/D333</f>
        <v>0.0836512851273237</v>
      </c>
      <c r="E337" s="13" t="n">
        <f aca="false">E335/E333</f>
        <v>0.333321098224996</v>
      </c>
      <c r="F337" s="13" t="n">
        <f aca="false">F335/F333</f>
        <v>0.417489297705796</v>
      </c>
      <c r="G337" s="13" t="n">
        <f aca="false">G335/G333</f>
        <v>0.338892071581859</v>
      </c>
      <c r="H337" s="13" t="n">
        <f aca="false">H335/H333</f>
        <v>0.290967888077821</v>
      </c>
      <c r="I337" s="13" t="n">
        <f aca="false">I335/I333</f>
        <v>0.256661602642587</v>
      </c>
    </row>
    <row r="338" customFormat="false" ht="17.15" hidden="false" customHeight="false" outlineLevel="0" collapsed="false">
      <c r="A338" s="5" t="s">
        <v>450</v>
      </c>
      <c r="B338" s="0" t="s">
        <v>25</v>
      </c>
      <c r="D338" s="12" t="n">
        <f aca="false">D337/C337-1</f>
        <v>-0.0580808557886665</v>
      </c>
      <c r="E338" s="12" t="n">
        <f aca="false">E337/D337-1</f>
        <v>2.98465005908343</v>
      </c>
      <c r="F338" s="12" t="n">
        <f aca="false">F337/E337-1</f>
        <v>0.252513867045961</v>
      </c>
      <c r="G338" s="12" t="n">
        <f aca="false">G337/F337-1</f>
        <v>-0.188261654983368</v>
      </c>
      <c r="H338" s="12" t="n">
        <f aca="false">H337/G337-1</f>
        <v>-0.141414295354686</v>
      </c>
      <c r="I338" s="12" t="n">
        <f aca="false">I337/H337-1</f>
        <v>-0.117904025979864</v>
      </c>
      <c r="AB338" s="8" t="s">
        <v>527</v>
      </c>
    </row>
    <row r="339" customFormat="false" ht="15" hidden="false" customHeight="false" outlineLevel="0" collapsed="false">
      <c r="A339" s="5" t="s">
        <v>528</v>
      </c>
      <c r="B339" s="0" t="s">
        <v>25</v>
      </c>
      <c r="D339" s="12" t="n">
        <f aca="false">SUM(C356:F356)/D335</f>
        <v>0.309407714439551</v>
      </c>
      <c r="E339" s="12" t="n">
        <f aca="false">SUM(G356:J356)/E335</f>
        <v>0.298146371102126</v>
      </c>
      <c r="F339" s="12" t="n">
        <f aca="false">SUM(K356:N356)/F335</f>
        <v>0.293146371102126</v>
      </c>
      <c r="G339" s="12" t="n">
        <f aca="false">SUM(O356:R356)/G335</f>
        <v>0.288146371102126</v>
      </c>
      <c r="H339" s="12" t="n">
        <f aca="false">SUM(S356:V356)/H335</f>
        <v>0.283146371102126</v>
      </c>
      <c r="I339" s="12" t="n">
        <f aca="false">SUM(W356:Z356)/I335</f>
        <v>0.278146371102126</v>
      </c>
    </row>
    <row r="340" customFormat="false" ht="17.15" hidden="false" customHeight="false" outlineLevel="0" collapsed="false">
      <c r="A340" s="5" t="s">
        <v>529</v>
      </c>
      <c r="B340" s="0" t="s">
        <v>25</v>
      </c>
      <c r="D340" s="12" t="n">
        <f aca="false">SUM(C357:F357)/D335</f>
        <v>0.200693094775109</v>
      </c>
      <c r="E340" s="12" t="n">
        <f aca="false">SUM(G357:J357)/E335</f>
        <v>0.177730130982399</v>
      </c>
      <c r="F340" s="12" t="n">
        <f aca="false">SUM(K357:N357)/F335</f>
        <v>0.177730130982399</v>
      </c>
      <c r="G340" s="12" t="n">
        <f aca="false">SUM(O357:R357)/G335</f>
        <v>0.177730130982399</v>
      </c>
      <c r="H340" s="12" t="n">
        <f aca="false">SUM(S357:V357)/H335</f>
        <v>0.177730130982399</v>
      </c>
      <c r="I340" s="12" t="n">
        <f aca="false">SUM(W357:Z357)/I335</f>
        <v>0.177730130982399</v>
      </c>
    </row>
    <row r="341" customFormat="false" ht="15" hidden="false" customHeight="false" outlineLevel="0" collapsed="false">
      <c r="A341" s="5" t="s">
        <v>530</v>
      </c>
      <c r="B341" s="0" t="s">
        <v>25</v>
      </c>
      <c r="D341" s="12" t="n">
        <f aca="false">SUM(C358:F358)/D335</f>
        <v>0.134732995651405</v>
      </c>
      <c r="E341" s="12" t="n">
        <f aca="false">SUM(G358:J358)/E335</f>
        <v>0.14511909777462</v>
      </c>
      <c r="F341" s="12" t="n">
        <f aca="false">SUM(K358:N358)/F335</f>
        <v>0.14711909777462</v>
      </c>
      <c r="G341" s="12" t="n">
        <f aca="false">SUM(O358:R358)/G335</f>
        <v>0.14911909777462</v>
      </c>
      <c r="H341" s="12" t="n">
        <f aca="false">SUM(S358:V358)/H335</f>
        <v>0.15111909777462</v>
      </c>
      <c r="I341" s="12" t="n">
        <f aca="false">SUM(W358:Z358)/I335</f>
        <v>0.15311909777462</v>
      </c>
    </row>
    <row r="342" customFormat="false" ht="17.15" hidden="false" customHeight="false" outlineLevel="0" collapsed="false">
      <c r="A342" s="5" t="s">
        <v>531</v>
      </c>
      <c r="B342" s="0" t="s">
        <v>25</v>
      </c>
      <c r="D342" s="12" t="n">
        <f aca="false">SUM(C359:F359)/D335</f>
        <v>0.143593307473992</v>
      </c>
      <c r="E342" s="12" t="n">
        <f aca="false">SUM(G359:J359)/E335</f>
        <v>0.139533216003349</v>
      </c>
      <c r="F342" s="12" t="n">
        <f aca="false">SUM(K359:N359)/F335</f>
        <v>0.138512987387224</v>
      </c>
      <c r="G342" s="12" t="n">
        <f aca="false">SUM(O359:R359)/G335</f>
        <v>0.138512987387224</v>
      </c>
      <c r="H342" s="12" t="n">
        <f aca="false">SUM(S359:V359)/H335</f>
        <v>0.138512987387224</v>
      </c>
      <c r="I342" s="12" t="n">
        <f aca="false">SUM(W359:Z359)/I335</f>
        <v>0.138512987387224</v>
      </c>
    </row>
    <row r="343" customFormat="false" ht="17.15" hidden="false" customHeight="false" outlineLevel="0" collapsed="false">
      <c r="A343" s="5" t="s">
        <v>532</v>
      </c>
      <c r="B343" s="0" t="s">
        <v>25</v>
      </c>
      <c r="D343" s="12" t="n">
        <f aca="false">SUM(C360:F360)/D335</f>
        <v>0.125591404088418</v>
      </c>
      <c r="E343" s="12" t="n">
        <f aca="false">SUM(G360:J360)/E335</f>
        <v>0.112062540342342</v>
      </c>
      <c r="F343" s="12" t="n">
        <f aca="false">SUM(K360:N360)/F335</f>
        <v>0.106513670372059</v>
      </c>
      <c r="G343" s="12" t="n">
        <f aca="false">SUM(O360:R360)/G335</f>
        <v>0.106513670372059</v>
      </c>
      <c r="H343" s="12" t="n">
        <f aca="false">SUM(S360:V360)/H335</f>
        <v>0.106513670372059</v>
      </c>
      <c r="I343" s="12" t="n">
        <f aca="false">SUM(W360:Z360)/I335</f>
        <v>0.106513670372059</v>
      </c>
    </row>
    <row r="344" customFormat="false" ht="15" hidden="false" customHeight="false" outlineLevel="0" collapsed="false">
      <c r="A344" s="5" t="s">
        <v>533</v>
      </c>
      <c r="B344" s="0" t="s">
        <v>25</v>
      </c>
      <c r="D344" s="12" t="n">
        <f aca="false">SUM(C361:F361)/D335</f>
        <v>0.0859814835715252</v>
      </c>
      <c r="E344" s="12" t="n">
        <f aca="false">SUM(G361:J361)/E335</f>
        <v>0.127408643795164</v>
      </c>
      <c r="F344" s="12" t="n">
        <f aca="false">SUM(K361:N361)/F335</f>
        <v>0.136977742381572</v>
      </c>
      <c r="G344" s="12" t="n">
        <f aca="false">SUM(O361:R361)/G335</f>
        <v>0.139977742381572</v>
      </c>
      <c r="H344" s="12" t="n">
        <f aca="false">SUM(S361:V361)/H335</f>
        <v>0.142977742381572</v>
      </c>
      <c r="I344" s="12" t="n">
        <f aca="false">SUM(W361:Z361)/I335</f>
        <v>0.145977742381572</v>
      </c>
    </row>
    <row r="346" customFormat="false" ht="17.15" hidden="false" customHeight="false" outlineLevel="0" collapsed="false">
      <c r="A346" s="9" t="s">
        <v>534</v>
      </c>
      <c r="B346" s="6" t="s">
        <v>15</v>
      </c>
      <c r="C346" s="9" t="s">
        <v>468</v>
      </c>
      <c r="D346" s="9" t="s">
        <v>469</v>
      </c>
      <c r="E346" s="9" t="s">
        <v>470</v>
      </c>
      <c r="F346" s="9" t="s">
        <v>471</v>
      </c>
      <c r="G346" s="9" t="s">
        <v>472</v>
      </c>
      <c r="H346" s="9" t="s">
        <v>473</v>
      </c>
      <c r="I346" s="9" t="s">
        <v>474</v>
      </c>
      <c r="J346" s="9" t="s">
        <v>475</v>
      </c>
      <c r="K346" s="9" t="s">
        <v>476</v>
      </c>
      <c r="L346" s="9" t="s">
        <v>477</v>
      </c>
      <c r="M346" s="9" t="s">
        <v>478</v>
      </c>
      <c r="N346" s="9" t="s">
        <v>479</v>
      </c>
      <c r="O346" s="9" t="s">
        <v>480</v>
      </c>
      <c r="P346" s="9" t="s">
        <v>481</v>
      </c>
      <c r="Q346" s="9" t="s">
        <v>482</v>
      </c>
      <c r="R346" s="9" t="s">
        <v>483</v>
      </c>
      <c r="S346" s="9" t="s">
        <v>484</v>
      </c>
      <c r="T346" s="9" t="s">
        <v>485</v>
      </c>
      <c r="U346" s="9" t="s">
        <v>486</v>
      </c>
      <c r="V346" s="9" t="s">
        <v>487</v>
      </c>
      <c r="W346" s="9" t="s">
        <v>488</v>
      </c>
      <c r="X346" s="9" t="s">
        <v>489</v>
      </c>
      <c r="Y346" s="9" t="s">
        <v>490</v>
      </c>
      <c r="Z346" s="9" t="s">
        <v>491</v>
      </c>
      <c r="AA346" s="9"/>
      <c r="AB346" s="6" t="s">
        <v>434</v>
      </c>
    </row>
    <row r="347" customFormat="false" ht="17.15" hidden="false" customHeight="false" outlineLevel="0" collapsed="false">
      <c r="A347" s="5" t="s">
        <v>535</v>
      </c>
      <c r="B347" s="0" t="s">
        <v>536</v>
      </c>
      <c r="C347" s="13" t="n">
        <f aca="false">Path!C4</f>
        <v>1</v>
      </c>
      <c r="D347" s="13" t="n">
        <f aca="false">Path!D4</f>
        <v>1</v>
      </c>
      <c r="E347" s="13" t="n">
        <f aca="false">Path!E4</f>
        <v>1.05</v>
      </c>
      <c r="F347" s="13" t="n">
        <f aca="false">Path!F4</f>
        <v>1.365</v>
      </c>
      <c r="G347" s="13" t="n">
        <f aca="false">Path!G4</f>
        <v>2.559375</v>
      </c>
      <c r="H347" s="13" t="n">
        <f aca="false">Path!H4</f>
        <v>4.414921875</v>
      </c>
      <c r="I347" s="13" t="n">
        <f aca="false">Path!I4</f>
        <v>5.51865234375</v>
      </c>
      <c r="J347" s="13" t="n">
        <f aca="false">Path!J4</f>
        <v>5.96566318359375</v>
      </c>
      <c r="K347" s="13" t="n">
        <f aca="false">Path!K4*1</f>
        <v>6.14463307910156</v>
      </c>
      <c r="L347" s="13" t="n">
        <f aca="false">Path!L4*1</f>
        <v>6.14463307910156</v>
      </c>
      <c r="M347" s="13" t="n">
        <f aca="false">Path!M4*1</f>
        <v>5.83740142514648</v>
      </c>
      <c r="N347" s="13" t="n">
        <f aca="false">Path!N4*1</f>
        <v>5.42878332538623</v>
      </c>
      <c r="O347" s="13" t="n">
        <f aca="false">Path!O4*1</f>
        <v>5.15734415911692</v>
      </c>
      <c r="P347" s="13" t="n">
        <f aca="false">Path!P4*1</f>
        <v>4.89947695116107</v>
      </c>
      <c r="Q347" s="13" t="n">
        <f aca="false">Path!Q4*1</f>
        <v>4.65450310360302</v>
      </c>
      <c r="R347" s="13" t="n">
        <f aca="false">Path!R4*1</f>
        <v>4.42177794842287</v>
      </c>
      <c r="S347" s="13" t="n">
        <f aca="false">Path!S4*1</f>
        <v>4.28912460997018</v>
      </c>
      <c r="T347" s="13" t="n">
        <f aca="false">Path!T4*1</f>
        <v>4.16045087167108</v>
      </c>
      <c r="U347" s="13" t="n">
        <f aca="false">Path!U4*1</f>
        <v>4.03563734552094</v>
      </c>
      <c r="V347" s="13" t="n">
        <f aca="false">Path!V4*1</f>
        <v>3.91456822515532</v>
      </c>
      <c r="W347" s="13" t="n">
        <f aca="false">Path!V4*(1+p10)^(1/4)*1</f>
        <v>3.79144302937821</v>
      </c>
      <c r="X347" s="13" t="n">
        <f aca="false">Path!V4*(1+p10)^(2/4)*1</f>
        <v>3.6721904992345</v>
      </c>
      <c r="Y347" s="13" t="n">
        <f aca="false">Path!V4*(1+p10)^(3/4)*1</f>
        <v>3.55668882749365</v>
      </c>
      <c r="Z347" s="13" t="n">
        <f aca="false">Path!V4*(1+p10)^(4/4)*1</f>
        <v>3.44482003813668</v>
      </c>
      <c r="AB347" s="8" t="s">
        <v>537</v>
      </c>
    </row>
    <row r="348" customFormat="false" ht="17.15" hidden="false" customHeight="false" outlineLevel="0" collapsed="false">
      <c r="A348" s="5" t="s">
        <v>538</v>
      </c>
      <c r="B348" s="0" t="s">
        <v>222</v>
      </c>
      <c r="C348" s="10" t="n">
        <f aca="false">D333/4*(D333/C333)^((1-2.5)/4)/(((D333/C333)^(-0.375)+(D333/C333)^(-0.125)+(D333/C333)^(0.125)+(D333/C333)^(0.375))/4)</f>
        <v>203.556191781402</v>
      </c>
      <c r="D348" s="10" t="n">
        <f aca="false">D333/4*(D333/C333)^((2-2.5)/4)/(((D333/C333)^(-0.375)+(D333/C333)^(-0.125)+(D333/C333)^(0.125)+(D333/C333)^(0.375))/4)</f>
        <v>209.405856234938</v>
      </c>
      <c r="E348" s="10" t="n">
        <f aca="false">D333/4*(D333/C333)^((3-2.5)/4)/(((D333/C333)^(-0.375)+(D333/C333)^(-0.125)+(D333/C333)^(0.125)+(D333/C333)^(0.375))/4)</f>
        <v>215.423624512384</v>
      </c>
      <c r="F348" s="10" t="n">
        <f aca="false">D333/4*(D333/C333)^((4-2.5)/4)/(((D333/C333)^(-0.375)+(D333/C333)^(-0.125)+(D333/C333)^(0.125)+(D333/C333)^(0.375))/4)</f>
        <v>221.614327471276</v>
      </c>
      <c r="G348" s="10" t="n">
        <f aca="false">E333/4*(E333/D333)^((1-2.5)/4)/(((E333/D333)^(-0.375)+(E333/D333)^(-0.125)+(E333/D333)^(0.125)+(E333/D333)^(0.375))/4)</f>
        <v>239.04714449048</v>
      </c>
      <c r="H348" s="10" t="n">
        <f aca="false">E333/4*(E333/D333)^((2-2.5)/4)/(((E333/D333)^(-0.375)+(E333/D333)^(-0.125)+(E333/D333)^(0.125)+(E333/D333)^(0.375))/4)</f>
        <v>250.714760271424</v>
      </c>
      <c r="I348" s="10" t="n">
        <f aca="false">E333/4*(E333/D333)^((3-2.5)/4)/(((E333/D333)^(-0.375)+(E333/D333)^(-0.125)+(E333/D333)^(0.125)+(E333/D333)^(0.375))/4)</f>
        <v>262.951858939528</v>
      </c>
      <c r="J348" s="10" t="n">
        <f aca="false">E333/4*(E333/D333)^((4-2.5)/4)/(((E333/D333)^(-0.375)+(E333/D333)^(-0.125)+(E333/D333)^(0.125)+(E333/D333)^(0.375))/4)</f>
        <v>275.786236298567</v>
      </c>
      <c r="K348" s="10" t="n">
        <f aca="false">F333/4*(F333/E333)^((1-2.5)/4)/(((F333/E333)^(-0.375)+(F333/E333)^(-0.125)+(F333/E333)^(0.125)+(F333/E333)^(0.375))/4)</f>
        <v>295.031722243101</v>
      </c>
      <c r="L348" s="10" t="n">
        <f aca="false">F333/4*(F333/E333)^((2-2.5)/4)/(((F333/E333)^(-0.375)+(F333/E333)^(-0.125)+(F333/E333)^(0.125)+(F333/E333)^(0.375))/4)</f>
        <v>311.958064903233</v>
      </c>
      <c r="M348" s="10" t="n">
        <f aca="false">F333/4*(F333/E333)^((3-2.5)/4)/(((F333/E333)^(-0.375)+(F333/E333)^(-0.125)+(F333/E333)^(0.125)+(F333/E333)^(0.375))/4)</f>
        <v>329.855493227205</v>
      </c>
      <c r="N348" s="10" t="n">
        <f aca="false">F333/4*(F333/E333)^((4-2.5)/4)/(((F333/E333)^(-0.375)+(F333/E333)^(-0.125)+(F333/E333)^(0.125)+(F333/E333)^(0.375))/4)</f>
        <v>348.77971962646</v>
      </c>
      <c r="O348" s="10" t="n">
        <f aca="false">G333/4*(G333/F333)^((1-2.5)/4)/(((G333/F333)^(-0.375)+(G333/F333)^(-0.125)+(G333/F333)^(0.125)+(G333/F333)^(0.375))/4)</f>
        <v>368.789652803876</v>
      </c>
      <c r="P348" s="10" t="n">
        <f aca="false">G333/4*(G333/F333)^((2-2.5)/4)/(((G333/F333)^(-0.375)+(G333/F333)^(-0.125)+(G333/F333)^(0.125)+(G333/F333)^(0.375))/4)</f>
        <v>389.947581129042</v>
      </c>
      <c r="Q348" s="10" t="n">
        <f aca="false">G333/4*(G333/F333)^((3-2.5)/4)/(((G333/F333)^(-0.375)+(G333/F333)^(-0.125)+(G333/F333)^(0.125)+(G333/F333)^(0.375))/4)</f>
        <v>412.319366534007</v>
      </c>
      <c r="R348" s="10" t="n">
        <f aca="false">G333/4*(G333/F333)^((4-2.5)/4)/(((G333/F333)^(-0.375)+(G333/F333)^(-0.125)+(G333/F333)^(0.125)+(G333/F333)^(0.375))/4)</f>
        <v>435.974649533076</v>
      </c>
      <c r="S348" s="10" t="n">
        <f aca="false">H333/4*(H333/G333)^((1-2.5)/4)/(((H333/G333)^(-0.375)+(H333/G333)^(-0.125)+(H333/G333)^(0.125)+(H333/G333)^(0.375))/4)</f>
        <v>454.222506999142</v>
      </c>
      <c r="T348" s="10" t="n">
        <f aca="false">H333/4*(H333/G333)^((2-2.5)/4)/(((H333/G333)^(-0.375)+(H333/G333)^(-0.125)+(H333/G333)^(0.125)+(H333/G333)^(0.375))/4)</f>
        <v>477.373830739536</v>
      </c>
      <c r="U348" s="10" t="n">
        <f aca="false">H333/4*(H333/G333)^((3-2.5)/4)/(((H333/G333)^(-0.375)+(H333/G333)^(-0.125)+(H333/G333)^(0.125)+(H333/G333)^(0.375))/4)</f>
        <v>501.705157193739</v>
      </c>
      <c r="V348" s="10" t="n">
        <f aca="false">H333/4*(H333/G333)^((4-2.5)/4)/(((H333/G333)^(-0.375)+(H333/G333)^(-0.125)+(H333/G333)^(0.125)+(H333/G333)^(0.375))/4)</f>
        <v>527.276630067582</v>
      </c>
      <c r="W348" s="10" t="n">
        <f aca="false">I333/4*(I333/H333)^((1-2.5)/4)/(((I333/H333)^(-0.375)+(I333/H333)^(-0.125)+(I333/H333)^(0.125)+(I333/H333)^(0.375))/4)</f>
        <v>548.591004890928</v>
      </c>
      <c r="X348" s="10" t="n">
        <f aca="false">I333/4*(I333/H333)^((2-2.5)/4)/(((I333/H333)^(-0.375)+(I333/H333)^(-0.125)+(I333/H333)^(0.125)+(I333/H333)^(0.375))/4)</f>
        <v>574.174622873271</v>
      </c>
      <c r="Y348" s="10" t="n">
        <f aca="false">I333/4*(I333/H333)^((3-2.5)/4)/(((I333/H333)^(-0.375)+(I333/H333)^(-0.125)+(I333/H333)^(0.125)+(I333/H333)^(0.375))/4)</f>
        <v>600.951336446376</v>
      </c>
      <c r="Z348" s="10" t="n">
        <f aca="false">I333/4*(I333/H333)^((4-2.5)/4)/(((I333/H333)^(-0.375)+(I333/H333)^(-0.125)+(I333/H333)^(0.125)+(I333/H333)^(0.375))/4)</f>
        <v>628.976785789425</v>
      </c>
      <c r="AB348" s="5" t="s">
        <v>539</v>
      </c>
    </row>
    <row r="349" customFormat="false" ht="17.15" hidden="false" customHeight="false" outlineLevel="0" collapsed="false">
      <c r="A349" s="0" t="s">
        <v>540</v>
      </c>
      <c r="B349" s="0" t="s">
        <v>285</v>
      </c>
      <c r="C349" s="10" t="n">
        <f aca="false">(rv_ss_0+rv_sk_0+rv_mu_0+rv_kx_0+rv_sd_0)/t5_0</f>
        <v>12.9354838709677</v>
      </c>
      <c r="D349" s="10" t="n">
        <f aca="false">(rv_ss_1+rv_sk_1+rv_mu_1+rv_kx_1+rv_sd_1)/t5_1</f>
        <v>15.8054711246201</v>
      </c>
      <c r="E349" s="10" t="n">
        <f aca="false">(rv_ss_2+rv_sk_2+rv_mu_2+rv_kx_2+rv_sd_2)/t5_2</f>
        <v>18.7912087912088</v>
      </c>
      <c r="F349" s="10" t="n">
        <f aca="false">(rv_ss_3+rv_sk_3+rv_mu_3+rv_kx_3+rv_sd_3)/t5_3</f>
        <v>23.5714285714286</v>
      </c>
      <c r="G349" s="10" t="n">
        <f aca="false">(rv_ss_4+rv_sk_4+rv_mu_4+rv_kx_4+rv_sd_4)/t5_4</f>
        <v>43.954802259887</v>
      </c>
      <c r="H349" s="10" t="n">
        <f aca="false">(rv_ss_5+rv_sk_5+rv_mu_5+rv_kx_5+rv_sd_5)/t5_5</f>
        <v>78.703071672355</v>
      </c>
      <c r="I349" s="10" t="n">
        <f aca="false">$H349*I347/$H347*I348/$H348</f>
        <v>103.180597435169</v>
      </c>
      <c r="J349" s="10" t="n">
        <f aca="false">$H349*J347/$H347*J348/$H348</f>
        <v>116.982278156997</v>
      </c>
      <c r="K349" s="10" t="n">
        <f aca="false">$H349*K347/$H347*K348/$H348</f>
        <v>128.900150941515</v>
      </c>
      <c r="L349" s="10" t="n">
        <f aca="false">$H349*L347/$H347*L348/$H348</f>
        <v>136.295315458709</v>
      </c>
      <c r="M349" s="10" t="n">
        <f aca="false">$H349*M347/$H347*M348/$H348</f>
        <v>136.909012412225</v>
      </c>
      <c r="N349" s="10" t="n">
        <f aca="false">$H349*N347/$H347*N348/$H348</f>
        <v>134.630199550565</v>
      </c>
      <c r="O349" s="10" t="n">
        <f aca="false">$H349*O347/$H347*O348/$H348</f>
        <v>135.236398986234</v>
      </c>
      <c r="P349" s="10" t="n">
        <f aca="false">$H349*P347/$H347*P348/$H348</f>
        <v>135.845327956265</v>
      </c>
      <c r="Q349" s="10" t="n">
        <f aca="false">$H349*Q347/$H347*Q348/$H348</f>
        <v>136.456998750933</v>
      </c>
      <c r="R349" s="10" t="n">
        <f aca="false">$H349*R347/$H347*R348/$H348</f>
        <v>137.071423715852</v>
      </c>
      <c r="S349" s="10" t="n">
        <f aca="false">$H349*S347/$H347*S348/$H348</f>
        <v>138.524333952196</v>
      </c>
      <c r="T349" s="10" t="n">
        <f aca="false">$H349*T347/$H347*T348/$H348</f>
        <v>141.217254104587</v>
      </c>
      <c r="U349" s="10" t="n">
        <f aca="false">$H349*U347/$H347*U348/$H348</f>
        <v>143.962524762772</v>
      </c>
      <c r="V349" s="10" t="n">
        <f aca="false">$H349*V347/$H347*V348/$H348</f>
        <v>146.761163623267</v>
      </c>
      <c r="W349" s="10" t="n">
        <f aca="false">$H349*W347/$H347*W348/$H348</f>
        <v>147.891077748855</v>
      </c>
      <c r="X349" s="10" t="n">
        <f aca="false">$H349*X347/$H347*X348/$H348</f>
        <v>149.919440722426</v>
      </c>
      <c r="Y349" s="10" t="n">
        <f aca="false">$H349*Y347/$H347*Y348/$H348</f>
        <v>151.97562319948</v>
      </c>
      <c r="Z349" s="10" t="n">
        <f aca="false">$H349*Z347/$H347*Z348/$H348</f>
        <v>154.060006731437</v>
      </c>
      <c r="AB349" s="5" t="s">
        <v>541</v>
      </c>
    </row>
    <row r="350" customFormat="false" ht="17.15" hidden="false" customHeight="false" outlineLevel="0" collapsed="false">
      <c r="A350" s="5" t="s">
        <v>454</v>
      </c>
      <c r="B350" s="0" t="s">
        <v>25</v>
      </c>
      <c r="C350" s="12" t="n">
        <f aca="false">rv_ss_0/C349</f>
        <v>0.324688279301746</v>
      </c>
      <c r="D350" s="12" t="n">
        <f aca="false">rv_ss_1/D349</f>
        <v>0.329</v>
      </c>
      <c r="E350" s="12" t="n">
        <f aca="false">rv_ss_2/E349</f>
        <v>0.319298245614035</v>
      </c>
      <c r="F350" s="12" t="n">
        <f aca="false">rv_ss_3/F349</f>
        <v>0.28</v>
      </c>
      <c r="G350" s="12" t="n">
        <f aca="false">rv_ss_4/G349</f>
        <v>0.30736118251928</v>
      </c>
      <c r="H350" s="12" t="n">
        <f aca="false">rv_ss_5/H349</f>
        <v>0.293</v>
      </c>
      <c r="I350" s="12" t="n">
        <f aca="false">(rv_ss_4+rv_ss_5)/($G349+$H349)</f>
        <v>0.298146371102126</v>
      </c>
      <c r="J350" s="12" t="n">
        <f aca="false">(rv_ss_4+rv_ss_5)/($G349+$H349)</f>
        <v>0.298146371102126</v>
      </c>
      <c r="K350" s="12" t="n">
        <f aca="false">(rv_ss_4+rv_ss_5)/($G349+$H349)+dr_ss/100*1</f>
        <v>0.293146371102126</v>
      </c>
      <c r="L350" s="12" t="n">
        <f aca="false">(rv_ss_4+rv_ss_5)/($G349+$H349)+dr_ss/100*1</f>
        <v>0.293146371102126</v>
      </c>
      <c r="M350" s="12" t="n">
        <f aca="false">(rv_ss_4+rv_ss_5)/($G349+$H349)+dr_ss/100*1</f>
        <v>0.293146371102126</v>
      </c>
      <c r="N350" s="12" t="n">
        <f aca="false">(rv_ss_4+rv_ss_5)/($G349+$H349)+dr_ss/100*1</f>
        <v>0.293146371102126</v>
      </c>
      <c r="O350" s="12" t="n">
        <f aca="false">(rv_ss_4+rv_ss_5)/($G349+$H349)+dr_ss/100*2</f>
        <v>0.288146371102126</v>
      </c>
      <c r="P350" s="12" t="n">
        <f aca="false">(rv_ss_4+rv_ss_5)/($G349+$H349)+dr_ss/100*2</f>
        <v>0.288146371102126</v>
      </c>
      <c r="Q350" s="12" t="n">
        <f aca="false">(rv_ss_4+rv_ss_5)/($G349+$H349)+dr_ss/100*2</f>
        <v>0.288146371102126</v>
      </c>
      <c r="R350" s="12" t="n">
        <f aca="false">(rv_ss_4+rv_ss_5)/($G349+$H349)+dr_ss/100*2</f>
        <v>0.288146371102126</v>
      </c>
      <c r="S350" s="12" t="n">
        <f aca="false">(rv_ss_4+rv_ss_5)/($G349+$H349)+dr_ss/100*3</f>
        <v>0.283146371102126</v>
      </c>
      <c r="T350" s="12" t="n">
        <f aca="false">(rv_ss_4+rv_ss_5)/($G349+$H349)+dr_ss/100*3</f>
        <v>0.283146371102126</v>
      </c>
      <c r="U350" s="12" t="n">
        <f aca="false">(rv_ss_4+rv_ss_5)/($G349+$H349)+dr_ss/100*3</f>
        <v>0.283146371102126</v>
      </c>
      <c r="V350" s="12" t="n">
        <f aca="false">(rv_ss_4+rv_ss_5)/($G349+$H349)+dr_ss/100*3</f>
        <v>0.283146371102126</v>
      </c>
      <c r="W350" s="12" t="n">
        <f aca="false">(rv_ss_4+rv_ss_5)/($G349+$H349)+dr_ss/100*4</f>
        <v>0.278146371102126</v>
      </c>
      <c r="X350" s="12" t="n">
        <f aca="false">(rv_ss_4+rv_ss_5)/($G349+$H349)+dr_ss/100*4</f>
        <v>0.278146371102126</v>
      </c>
      <c r="Y350" s="12" t="n">
        <f aca="false">(rv_ss_4+rv_ss_5)/($G349+$H349)+dr_ss/100*4</f>
        <v>0.278146371102126</v>
      </c>
      <c r="Z350" s="12" t="n">
        <f aca="false">(rv_ss_4+rv_ss_5)/($G349+$H349)+dr_ss/100*4</f>
        <v>0.278146371102126</v>
      </c>
      <c r="AB350" s="8" t="s">
        <v>542</v>
      </c>
    </row>
    <row r="351" customFormat="false" ht="17.15" hidden="false" customHeight="false" outlineLevel="0" collapsed="false">
      <c r="A351" s="5" t="s">
        <v>455</v>
      </c>
      <c r="B351" s="0" t="s">
        <v>25</v>
      </c>
      <c r="C351" s="12" t="n">
        <f aca="false">rv_sk_0/C349</f>
        <v>0.16930174563591</v>
      </c>
      <c r="D351" s="12" t="n">
        <f aca="false">rv_sk_1/D349</f>
        <v>0.211319230769231</v>
      </c>
      <c r="E351" s="12" t="n">
        <f aca="false">rv_sk_2/E349</f>
        <v>0.187853801169591</v>
      </c>
      <c r="F351" s="12" t="n">
        <f aca="false">rv_sk_3/F349</f>
        <v>0.221030303030303</v>
      </c>
      <c r="G351" s="12" t="n">
        <f aca="false">rv_sk_4/G349</f>
        <v>0.17131233933162</v>
      </c>
      <c r="H351" s="12" t="n">
        <f aca="false">rv_sk_5/H349</f>
        <v>0.181314397224631</v>
      </c>
      <c r="I351" s="12" t="n">
        <f aca="false">(rv_sk_4+rv_sk_5)/($G349+$H349)</f>
        <v>0.177730130982399</v>
      </c>
      <c r="J351" s="12" t="n">
        <f aca="false">(rv_sk_4+rv_sk_5)/($G349+$H349)</f>
        <v>0.177730130982399</v>
      </c>
      <c r="K351" s="12" t="n">
        <f aca="false">(rv_sk_4+rv_sk_5)/($G349+$H349)+dr_sk/100*1</f>
        <v>0.177730130982399</v>
      </c>
      <c r="L351" s="12" t="n">
        <f aca="false">(rv_sk_4+rv_sk_5)/($G349+$H349)+dr_sk/100*1</f>
        <v>0.177730130982399</v>
      </c>
      <c r="M351" s="12" t="n">
        <f aca="false">(rv_sk_4+rv_sk_5)/($G349+$H349)+dr_sk/100*1</f>
        <v>0.177730130982399</v>
      </c>
      <c r="N351" s="12" t="n">
        <f aca="false">(rv_sk_4+rv_sk_5)/($G349+$H349)+dr_sk/100*1</f>
        <v>0.177730130982399</v>
      </c>
      <c r="O351" s="12" t="n">
        <f aca="false">(rv_sk_4+rv_sk_5)/($G349+$H349)+dr_sk/100*2</f>
        <v>0.177730130982399</v>
      </c>
      <c r="P351" s="12" t="n">
        <f aca="false">(rv_sk_4+rv_sk_5)/($G349+$H349)+dr_sk/100*2</f>
        <v>0.177730130982399</v>
      </c>
      <c r="Q351" s="12" t="n">
        <f aca="false">(rv_sk_4+rv_sk_5)/($G349+$H349)+dr_sk/100*2</f>
        <v>0.177730130982399</v>
      </c>
      <c r="R351" s="12" t="n">
        <f aca="false">(rv_sk_4+rv_sk_5)/($G349+$H349)+dr_sk/100*2</f>
        <v>0.177730130982399</v>
      </c>
      <c r="S351" s="12" t="n">
        <f aca="false">(rv_sk_4+rv_sk_5)/($G349+$H349)+dr_sk/100*3</f>
        <v>0.177730130982399</v>
      </c>
      <c r="T351" s="12" t="n">
        <f aca="false">(rv_sk_4+rv_sk_5)/($G349+$H349)+dr_sk/100*3</f>
        <v>0.177730130982399</v>
      </c>
      <c r="U351" s="12" t="n">
        <f aca="false">(rv_sk_4+rv_sk_5)/($G349+$H349)+dr_sk/100*3</f>
        <v>0.177730130982399</v>
      </c>
      <c r="V351" s="12" t="n">
        <f aca="false">(rv_sk_4+rv_sk_5)/($G349+$H349)+dr_sk/100*3</f>
        <v>0.177730130982399</v>
      </c>
      <c r="W351" s="12" t="n">
        <f aca="false">(rv_sk_4+rv_sk_5)/($G349+$H349)+dr_sk/100*4</f>
        <v>0.177730130982399</v>
      </c>
      <c r="X351" s="12" t="n">
        <f aca="false">(rv_sk_4+rv_sk_5)/($G349+$H349)+dr_sk/100*4</f>
        <v>0.177730130982399</v>
      </c>
      <c r="Y351" s="12" t="n">
        <f aca="false">(rv_sk_4+rv_sk_5)/($G349+$H349)+dr_sk/100*4</f>
        <v>0.177730130982399</v>
      </c>
      <c r="Z351" s="12" t="n">
        <f aca="false">(rv_sk_4+rv_sk_5)/($G349+$H349)+dr_sk/100*4</f>
        <v>0.177730130982399</v>
      </c>
      <c r="AB351" s="8" t="s">
        <v>542</v>
      </c>
    </row>
    <row r="352" customFormat="false" ht="17.15" hidden="false" customHeight="false" outlineLevel="0" collapsed="false">
      <c r="A352" s="5" t="s">
        <v>456</v>
      </c>
      <c r="B352" s="0" t="s">
        <v>25</v>
      </c>
      <c r="C352" s="12" t="n">
        <f aca="false">rv_mu_0/C349</f>
        <v>0.156932668329177</v>
      </c>
      <c r="D352" s="12" t="n">
        <f aca="false">rv_mu_1/D349</f>
        <v>0.132865384615385</v>
      </c>
      <c r="E352" s="12" t="n">
        <f aca="false">rv_mu_2/E349</f>
        <v>0.128783625730994</v>
      </c>
      <c r="F352" s="12" t="n">
        <f aca="false">rv_mu_3/F349</f>
        <v>0.128545454545455</v>
      </c>
      <c r="G352" s="12" t="n">
        <f aca="false">rv_mu_4/G349</f>
        <v>0.135366323907455</v>
      </c>
      <c r="H352" s="12" t="n">
        <f aca="false">rv_mu_5/H349</f>
        <v>0.150565915004337</v>
      </c>
      <c r="I352" s="12" t="n">
        <f aca="false">(rv_mu_4+rv_mu_5)/($G349+$H349)</f>
        <v>0.14511909777462</v>
      </c>
      <c r="J352" s="12" t="n">
        <f aca="false">(rv_mu_4+rv_mu_5)/($G349+$H349)</f>
        <v>0.14511909777462</v>
      </c>
      <c r="K352" s="12" t="n">
        <f aca="false">(rv_mu_4+rv_mu_5)/($G349+$H349)+dr_mu/100*1</f>
        <v>0.14711909777462</v>
      </c>
      <c r="L352" s="12" t="n">
        <f aca="false">(rv_mu_4+rv_mu_5)/($G349+$H349)+dr_mu/100*1</f>
        <v>0.14711909777462</v>
      </c>
      <c r="M352" s="12" t="n">
        <f aca="false">(rv_mu_4+rv_mu_5)/($G349+$H349)+dr_mu/100*1</f>
        <v>0.14711909777462</v>
      </c>
      <c r="N352" s="12" t="n">
        <f aca="false">(rv_mu_4+rv_mu_5)/($G349+$H349)+dr_mu/100*1</f>
        <v>0.14711909777462</v>
      </c>
      <c r="O352" s="12" t="n">
        <f aca="false">(rv_mu_4+rv_mu_5)/($G349+$H349)+dr_mu/100*2</f>
        <v>0.14911909777462</v>
      </c>
      <c r="P352" s="12" t="n">
        <f aca="false">(rv_mu_4+rv_mu_5)/($G349+$H349)+dr_mu/100*2</f>
        <v>0.14911909777462</v>
      </c>
      <c r="Q352" s="12" t="n">
        <f aca="false">(rv_mu_4+rv_mu_5)/($G349+$H349)+dr_mu/100*2</f>
        <v>0.14911909777462</v>
      </c>
      <c r="R352" s="12" t="n">
        <f aca="false">(rv_mu_4+rv_mu_5)/($G349+$H349)+dr_mu/100*2</f>
        <v>0.14911909777462</v>
      </c>
      <c r="S352" s="12" t="n">
        <f aca="false">(rv_mu_4+rv_mu_5)/($G349+$H349)+dr_mu/100*3</f>
        <v>0.15111909777462</v>
      </c>
      <c r="T352" s="12" t="n">
        <f aca="false">(rv_mu_4+rv_mu_5)/($G349+$H349)+dr_mu/100*3</f>
        <v>0.15111909777462</v>
      </c>
      <c r="U352" s="12" t="n">
        <f aca="false">(rv_mu_4+rv_mu_5)/($G349+$H349)+dr_mu/100*3</f>
        <v>0.15111909777462</v>
      </c>
      <c r="V352" s="12" t="n">
        <f aca="false">(rv_mu_4+rv_mu_5)/($G349+$H349)+dr_mu/100*3</f>
        <v>0.15111909777462</v>
      </c>
      <c r="W352" s="12" t="n">
        <f aca="false">(rv_mu_4+rv_mu_5)/($G349+$H349)+dr_mu/100*4</f>
        <v>0.15311909777462</v>
      </c>
      <c r="X352" s="12" t="n">
        <f aca="false">(rv_mu_4+rv_mu_5)/($G349+$H349)+dr_mu/100*4</f>
        <v>0.15311909777462</v>
      </c>
      <c r="Y352" s="12" t="n">
        <f aca="false">(rv_mu_4+rv_mu_5)/($G349+$H349)+dr_mu/100*4</f>
        <v>0.15311909777462</v>
      </c>
      <c r="Z352" s="12" t="n">
        <f aca="false">(rv_mu_4+rv_mu_5)/($G349+$H349)+dr_mu/100*4</f>
        <v>0.15311909777462</v>
      </c>
      <c r="AB352" s="8" t="s">
        <v>542</v>
      </c>
    </row>
    <row r="353" customFormat="false" ht="17.15" hidden="false" customHeight="false" outlineLevel="0" collapsed="false">
      <c r="A353" s="5" t="s">
        <v>457</v>
      </c>
      <c r="B353" s="0" t="s">
        <v>25</v>
      </c>
      <c r="C353" s="12" t="n">
        <f aca="false">rv_kx_0/C349</f>
        <v>0.148428927680798</v>
      </c>
      <c r="D353" s="12" t="n">
        <f aca="false">rv_kx_1/D349</f>
        <v>0.135396153846154</v>
      </c>
      <c r="E353" s="12" t="n">
        <f aca="false">rv_kx_2/E349</f>
        <v>0.151134502923977</v>
      </c>
      <c r="F353" s="12" t="n">
        <f aca="false">rv_kx_3/F349</f>
        <v>0.140424242424242</v>
      </c>
      <c r="G353" s="12" t="n">
        <f aca="false">rv_kx_4/G349</f>
        <v>0.13559383033419</v>
      </c>
      <c r="H353" s="12" t="n">
        <f aca="false">rv_kx_5/H349</f>
        <v>0.136208152645273</v>
      </c>
      <c r="I353" s="12" t="n">
        <f aca="false">kx_g/kx_fxg/kx_k/$I349</f>
        <v>0.144904344872829</v>
      </c>
      <c r="J353" s="12" t="n">
        <f aca="false">(kx_g/kx_fxg/kx_k/$I349+kx_g4/kx_fxg4/kx_k/$J349)/2</f>
        <v>0.138512987387224</v>
      </c>
      <c r="K353" s="12" t="n">
        <f aca="false">(kx_g/kx_fxg/kx_k/$I349+kx_g4/kx_fxg4/kx_k/$J349)/2+dr_jv_A/100*1*(kx_g/kx_fxg/kx_k)/(kx_g/kx_fxg/kx_k+sd_g/sd_k)</f>
        <v>0.138512987387224</v>
      </c>
      <c r="L353" s="12" t="n">
        <f aca="false">(kx_g/kx_fxg/kx_k/$I349+kx_g4/kx_fxg4/kx_k/$J349)/2+dr_jv_A/100*1*(kx_g/kx_fxg/kx_k)/(kx_g/kx_fxg/kx_k+sd_g/sd_k)</f>
        <v>0.138512987387224</v>
      </c>
      <c r="M353" s="12" t="n">
        <f aca="false">(kx_g/kx_fxg/kx_k/$I349+kx_g4/kx_fxg4/kx_k/$J349)/2+dr_jv_A/100*1*(kx_g/kx_fxg/kx_k)/(kx_g/kx_fxg/kx_k+sd_g/sd_k)</f>
        <v>0.138512987387224</v>
      </c>
      <c r="N353" s="12" t="n">
        <f aca="false">(kx_g/kx_fxg/kx_k/$I349+kx_g4/kx_fxg4/kx_k/$J349)/2+dr_jv_A/100*1*(kx_g/kx_fxg/kx_k)/(kx_g/kx_fxg/kx_k+sd_g/sd_k)</f>
        <v>0.138512987387224</v>
      </c>
      <c r="O353" s="12" t="n">
        <f aca="false">(kx_g/kx_fxg/kx_k/$I349+kx_g4/kx_fxg4/kx_k/$J349)/2+dr_jv_A/100*2*(kx_g/kx_fxg/kx_k)/(kx_g/kx_fxg/kx_k+sd_g/sd_k)</f>
        <v>0.138512987387224</v>
      </c>
      <c r="P353" s="12" t="n">
        <f aca="false">(kx_g/kx_fxg/kx_k/$I349+kx_g4/kx_fxg4/kx_k/$J349)/2+dr_jv_A/100*2*(kx_g/kx_fxg/kx_k)/(kx_g/kx_fxg/kx_k+sd_g/sd_k)</f>
        <v>0.138512987387224</v>
      </c>
      <c r="Q353" s="12" t="n">
        <f aca="false">(kx_g/kx_fxg/kx_k/$I349+kx_g4/kx_fxg4/kx_k/$J349)/2+dr_jv_A/100*2*(kx_g/kx_fxg/kx_k)/(kx_g/kx_fxg/kx_k+sd_g/sd_k)</f>
        <v>0.138512987387224</v>
      </c>
      <c r="R353" s="12" t="n">
        <f aca="false">(kx_g/kx_fxg/kx_k/$I349+kx_g4/kx_fxg4/kx_k/$J349)/2+dr_jv_A/100*2*(kx_g/kx_fxg/kx_k)/(kx_g/kx_fxg/kx_k+sd_g/sd_k)</f>
        <v>0.138512987387224</v>
      </c>
      <c r="S353" s="12" t="n">
        <f aca="false">(kx_g/kx_fxg/kx_k/$I349+kx_g4/kx_fxg4/kx_k/$J349)/2+dr_jv_A/100*3*(kx_g/kx_fxg/kx_k)/(kx_g/kx_fxg/kx_k+sd_g/sd_k)</f>
        <v>0.138512987387224</v>
      </c>
      <c r="T353" s="12" t="n">
        <f aca="false">(kx_g/kx_fxg/kx_k/$I349+kx_g4/kx_fxg4/kx_k/$J349)/2+dr_jv_A/100*3*(kx_g/kx_fxg/kx_k)/(kx_g/kx_fxg/kx_k+sd_g/sd_k)</f>
        <v>0.138512987387224</v>
      </c>
      <c r="U353" s="12" t="n">
        <f aca="false">(kx_g/kx_fxg/kx_k/$I349+kx_g4/kx_fxg4/kx_k/$J349)/2+dr_jv_A/100*3*(kx_g/kx_fxg/kx_k)/(kx_g/kx_fxg/kx_k+sd_g/sd_k)</f>
        <v>0.138512987387224</v>
      </c>
      <c r="V353" s="12" t="n">
        <f aca="false">(kx_g/kx_fxg/kx_k/$I349+kx_g4/kx_fxg4/kx_k/$J349)/2+dr_jv_A/100*3*(kx_g/kx_fxg/kx_k)/(kx_g/kx_fxg/kx_k+sd_g/sd_k)</f>
        <v>0.138512987387224</v>
      </c>
      <c r="W353" s="12" t="n">
        <f aca="false">(kx_g/kx_fxg/kx_k/$I349+kx_g4/kx_fxg4/kx_k/$J349)/2+dr_jv_A/100*4*(kx_g/kx_fxg/kx_k)/(kx_g/kx_fxg/kx_k+sd_g/sd_k)</f>
        <v>0.138512987387224</v>
      </c>
      <c r="X353" s="12" t="n">
        <f aca="false">(kx_g/kx_fxg/kx_k/$I349+kx_g4/kx_fxg4/kx_k/$J349)/2+dr_jv_A/100*4*(kx_g/kx_fxg/kx_k)/(kx_g/kx_fxg/kx_k+sd_g/sd_k)</f>
        <v>0.138512987387224</v>
      </c>
      <c r="Y353" s="12" t="n">
        <f aca="false">(kx_g/kx_fxg/kx_k/$I349+kx_g4/kx_fxg4/kx_k/$J349)/2+dr_jv_A/100*4*(kx_g/kx_fxg/kx_k)/(kx_g/kx_fxg/kx_k+sd_g/sd_k)</f>
        <v>0.138512987387224</v>
      </c>
      <c r="Z353" s="12" t="n">
        <f aca="false">(kx_g/kx_fxg/kx_k/$I349+kx_g4/kx_fxg4/kx_k/$J349)/2+dr_jv_A/100*4*(kx_g/kx_fxg/kx_k)/(kx_g/kx_fxg/kx_k+sd_g/sd_k)</f>
        <v>0.138512987387224</v>
      </c>
      <c r="AB353" s="8" t="s">
        <v>543</v>
      </c>
    </row>
    <row r="354" customFormat="false" ht="17.15" hidden="false" customHeight="false" outlineLevel="0" collapsed="false">
      <c r="A354" s="5" t="s">
        <v>458</v>
      </c>
      <c r="B354" s="0" t="s">
        <v>25</v>
      </c>
      <c r="C354" s="12" t="n">
        <f aca="false">rv_sd_0/C349</f>
        <v>0.130648379052369</v>
      </c>
      <c r="D354" s="12" t="n">
        <f aca="false">rv_sd_1/D349</f>
        <v>0.120211538461538</v>
      </c>
      <c r="E354" s="12" t="n">
        <f aca="false">rv_sd_2/E349</f>
        <v>0.122929824561404</v>
      </c>
      <c r="F354" s="12" t="n">
        <f aca="false">rv_sd_3/F349</f>
        <v>0.128545454545455</v>
      </c>
      <c r="G354" s="12" t="n">
        <f aca="false">rv_sd_4/G349</f>
        <v>0.135366323907455</v>
      </c>
      <c r="H354" s="12" t="n">
        <f aca="false">rv_sd_5/H349</f>
        <v>0.113972679965308</v>
      </c>
      <c r="I354" s="12" t="n">
        <f aca="false">sd_g/sd_k/$I349</f>
        <v>0.106969261015561</v>
      </c>
      <c r="J354" s="12" t="n">
        <f aca="false">(sd_g/sd_k/$I349+sd_g4/sd_k/$J349)/2</f>
        <v>0.106513670372059</v>
      </c>
      <c r="K354" s="12" t="n">
        <f aca="false">(sd_g/sd_k/$I349+sd_g4/sd_k/$J349)/2+dr_jv_A/100*1*(sd_g/sd_k)/(kx_g/kx_fxg/kx_k+sd_g/sd_k)</f>
        <v>0.106513670372059</v>
      </c>
      <c r="L354" s="12" t="n">
        <f aca="false">(sd_g/sd_k/$I349+sd_g4/sd_k/$J349)/2+dr_jv_A/100*1*(sd_g/sd_k)/(kx_g/kx_fxg/kx_k+sd_g/sd_k)</f>
        <v>0.106513670372059</v>
      </c>
      <c r="M354" s="12" t="n">
        <f aca="false">(sd_g/sd_k/$I349+sd_g4/sd_k/$J349)/2+dr_jv_A/100*1*(sd_g/sd_k)/(kx_g/kx_fxg/kx_k+sd_g/sd_k)</f>
        <v>0.106513670372059</v>
      </c>
      <c r="N354" s="12" t="n">
        <f aca="false">(sd_g/sd_k/$I349+sd_g4/sd_k/$J349)/2+dr_jv_A/100*1*(sd_g/sd_k)/(kx_g/kx_fxg/kx_k+sd_g/sd_k)</f>
        <v>0.106513670372059</v>
      </c>
      <c r="O354" s="12" t="n">
        <f aca="false">(sd_g/sd_k/$I349+sd_g4/sd_k/$J349)/2+dr_jv_A/100*2*(sd_g/sd_k)/(kx_g/kx_fxg/kx_k+sd_g/sd_k)</f>
        <v>0.106513670372059</v>
      </c>
      <c r="P354" s="12" t="n">
        <f aca="false">(sd_g/sd_k/$I349+sd_g4/sd_k/$J349)/2+dr_jv_A/100*2*(sd_g/sd_k)/(kx_g/kx_fxg/kx_k+sd_g/sd_k)</f>
        <v>0.106513670372059</v>
      </c>
      <c r="Q354" s="12" t="n">
        <f aca="false">(sd_g/sd_k/$I349+sd_g4/sd_k/$J349)/2+dr_jv_A/100*2*(sd_g/sd_k)/(kx_g/kx_fxg/kx_k+sd_g/sd_k)</f>
        <v>0.106513670372059</v>
      </c>
      <c r="R354" s="12" t="n">
        <f aca="false">(sd_g/sd_k/$I349+sd_g4/sd_k/$J349)/2+dr_jv_A/100*2*(sd_g/sd_k)/(kx_g/kx_fxg/kx_k+sd_g/sd_k)</f>
        <v>0.106513670372059</v>
      </c>
      <c r="S354" s="12" t="n">
        <f aca="false">(sd_g/sd_k/$I349+sd_g4/sd_k/$J349)/2+dr_jv_A/100*3*(sd_g/sd_k)/(kx_g/kx_fxg/kx_k+sd_g/sd_k)</f>
        <v>0.106513670372059</v>
      </c>
      <c r="T354" s="12" t="n">
        <f aca="false">(sd_g/sd_k/$I349+sd_g4/sd_k/$J349)/2+dr_jv_A/100*3*(sd_g/sd_k)/(kx_g/kx_fxg/kx_k+sd_g/sd_k)</f>
        <v>0.106513670372059</v>
      </c>
      <c r="U354" s="12" t="n">
        <f aca="false">(sd_g/sd_k/$I349+sd_g4/sd_k/$J349)/2+dr_jv_A/100*3*(sd_g/sd_k)/(kx_g/kx_fxg/kx_k+sd_g/sd_k)</f>
        <v>0.106513670372059</v>
      </c>
      <c r="V354" s="12" t="n">
        <f aca="false">(sd_g/sd_k/$I349+sd_g4/sd_k/$J349)/2+dr_jv_A/100*3*(sd_g/sd_k)/(kx_g/kx_fxg/kx_k+sd_g/sd_k)</f>
        <v>0.106513670372059</v>
      </c>
      <c r="W354" s="12" t="n">
        <f aca="false">(sd_g/sd_k/$I349+sd_g4/sd_k/$J349)/2+dr_jv_A/100*4*(sd_g/sd_k)/(kx_g/kx_fxg/kx_k+sd_g/sd_k)</f>
        <v>0.106513670372059</v>
      </c>
      <c r="X354" s="12" t="n">
        <f aca="false">(sd_g/sd_k/$I349+sd_g4/sd_k/$J349)/2+dr_jv_A/100*4*(sd_g/sd_k)/(kx_g/kx_fxg/kx_k+sd_g/sd_k)</f>
        <v>0.106513670372059</v>
      </c>
      <c r="Y354" s="12" t="n">
        <f aca="false">(sd_g/sd_k/$I349+sd_g4/sd_k/$J349)/2+dr_jv_A/100*4*(sd_g/sd_k)/(kx_g/kx_fxg/kx_k+sd_g/sd_k)</f>
        <v>0.106513670372059</v>
      </c>
      <c r="Z354" s="12" t="n">
        <f aca="false">(sd_g/sd_k/$I349+sd_g4/sd_k/$J349)/2+dr_jv_A/100*4*(sd_g/sd_k)/(kx_g/kx_fxg/kx_k+sd_g/sd_k)</f>
        <v>0.106513670372059</v>
      </c>
      <c r="AB354" s="8" t="s">
        <v>544</v>
      </c>
    </row>
    <row r="355" customFormat="false" ht="15" hidden="false" customHeight="false" outlineLevel="0" collapsed="false">
      <c r="A355" s="5" t="s">
        <v>459</v>
      </c>
      <c r="B355" s="0" t="s">
        <v>25</v>
      </c>
      <c r="C355" s="12" t="n">
        <f aca="false">1-t5_0</f>
        <v>0.07</v>
      </c>
      <c r="D355" s="12" t="n">
        <f aca="false">1-t5_1</f>
        <v>0.0712076923076923</v>
      </c>
      <c r="E355" s="12" t="n">
        <f aca="false">1-t5_2</f>
        <v>0.09</v>
      </c>
      <c r="F355" s="12" t="n">
        <f aca="false">1-t5_3</f>
        <v>0.101454545454545</v>
      </c>
      <c r="G355" s="12" t="n">
        <f aca="false">1-t5_4</f>
        <v>0.115</v>
      </c>
      <c r="H355" s="12" t="n">
        <f aca="false">1-t5_5</f>
        <v>0.124938855160451</v>
      </c>
      <c r="I355" s="12" t="n">
        <f aca="false">1-I350-I351-I352-I353-I354</f>
        <v>0.127130794252464</v>
      </c>
      <c r="J355" s="12" t="n">
        <f aca="false">1-J350-J351-J352-J353-J354</f>
        <v>0.133977742381572</v>
      </c>
      <c r="K355" s="12" t="n">
        <f aca="false">1-K350-K351-K352-K353-K354</f>
        <v>0.136977742381572</v>
      </c>
      <c r="L355" s="12" t="n">
        <f aca="false">1-L350-L351-L352-L353-L354</f>
        <v>0.136977742381572</v>
      </c>
      <c r="M355" s="12" t="n">
        <f aca="false">1-M350-M351-M352-M353-M354</f>
        <v>0.136977742381572</v>
      </c>
      <c r="N355" s="12" t="n">
        <f aca="false">1-N350-N351-N352-N353-N354</f>
        <v>0.136977742381572</v>
      </c>
      <c r="O355" s="12" t="n">
        <f aca="false">1-O350-O351-O352-O353-O354</f>
        <v>0.139977742381572</v>
      </c>
      <c r="P355" s="12" t="n">
        <f aca="false">1-P350-P351-P352-P353-P354</f>
        <v>0.139977742381572</v>
      </c>
      <c r="Q355" s="12" t="n">
        <f aca="false">1-Q350-Q351-Q352-Q353-Q354</f>
        <v>0.139977742381572</v>
      </c>
      <c r="R355" s="12" t="n">
        <f aca="false">1-R350-R351-R352-R353-R354</f>
        <v>0.139977742381572</v>
      </c>
      <c r="S355" s="12" t="n">
        <f aca="false">1-S350-S351-S352-S353-S354</f>
        <v>0.142977742381572</v>
      </c>
      <c r="T355" s="12" t="n">
        <f aca="false">1-T350-T351-T352-T353-T354</f>
        <v>0.142977742381572</v>
      </c>
      <c r="U355" s="12" t="n">
        <f aca="false">1-U350-U351-U352-U353-U354</f>
        <v>0.142977742381572</v>
      </c>
      <c r="V355" s="12" t="n">
        <f aca="false">1-V350-V351-V352-V353-V354</f>
        <v>0.142977742381572</v>
      </c>
      <c r="W355" s="12" t="n">
        <f aca="false">1-W350-W351-W352-W353-W354</f>
        <v>0.145977742381572</v>
      </c>
      <c r="X355" s="12" t="n">
        <f aca="false">1-X350-X351-X352-X353-X354</f>
        <v>0.145977742381572</v>
      </c>
      <c r="Y355" s="12" t="n">
        <f aca="false">1-Y350-Y351-Y352-Y353-Y354</f>
        <v>0.145977742381572</v>
      </c>
      <c r="Z355" s="12" t="n">
        <f aca="false">1-Z350-Z351-Z352-Z353-Z354</f>
        <v>0.145977742381572</v>
      </c>
      <c r="AB355" s="5" t="s">
        <v>545</v>
      </c>
    </row>
    <row r="356" customFormat="false" ht="17.15" hidden="false" customHeight="false" outlineLevel="0" collapsed="false">
      <c r="A356" s="5" t="s">
        <v>546</v>
      </c>
      <c r="B356" s="0" t="s">
        <v>285</v>
      </c>
      <c r="C356" s="19" t="n">
        <f aca="false">C349*C350</f>
        <v>4.2</v>
      </c>
      <c r="D356" s="19" t="n">
        <f aca="false">D349*D350</f>
        <v>5.2</v>
      </c>
      <c r="E356" s="19" t="n">
        <f aca="false">E349*E350</f>
        <v>6</v>
      </c>
      <c r="F356" s="19" t="n">
        <f aca="false">F349*F350</f>
        <v>6.6</v>
      </c>
      <c r="G356" s="19" t="n">
        <f aca="false">G349*G350</f>
        <v>13.51</v>
      </c>
      <c r="H356" s="19" t="n">
        <f aca="false">H349*H350</f>
        <v>23.06</v>
      </c>
      <c r="I356" s="19" t="n">
        <f aca="false">I349*I350</f>
        <v>30.7629206934451</v>
      </c>
      <c r="J356" s="19" t="n">
        <f aca="false">J349*J350</f>
        <v>34.877841715768</v>
      </c>
      <c r="K356" s="19" t="n">
        <f aca="false">K349*K350</f>
        <v>37.7866114830214</v>
      </c>
      <c r="L356" s="19" t="n">
        <f aca="false">L349*L350</f>
        <v>39.9544771249401</v>
      </c>
      <c r="M356" s="19" t="n">
        <f aca="false">M349*M350</f>
        <v>40.1343801598198</v>
      </c>
      <c r="N356" s="19" t="n">
        <f aca="false">N349*N350</f>
        <v>39.4663544390031</v>
      </c>
      <c r="O356" s="19" t="n">
        <f aca="false">O349*O350</f>
        <v>38.9678776088025</v>
      </c>
      <c r="P356" s="19" t="n">
        <f aca="false">P349*P350</f>
        <v>39.1433382817759</v>
      </c>
      <c r="Q356" s="19" t="n">
        <f aca="false">Q349*Q350</f>
        <v>39.3195890015687</v>
      </c>
      <c r="R356" s="19" t="n">
        <f aca="false">R349*R350</f>
        <v>39.4966333255248</v>
      </c>
      <c r="S356" s="19" t="n">
        <f aca="false">S349*S350</f>
        <v>39.2226624679034</v>
      </c>
      <c r="T356" s="19" t="n">
        <f aca="false">T349*T350</f>
        <v>39.9851530367207</v>
      </c>
      <c r="U356" s="19" t="n">
        <f aca="false">U349*U350</f>
        <v>40.762466461279</v>
      </c>
      <c r="V356" s="19" t="n">
        <f aca="false">V349*V350</f>
        <v>41.5548908986535</v>
      </c>
      <c r="W356" s="19" t="n">
        <f aca="false">W349*W350</f>
        <v>41.1353665942265</v>
      </c>
      <c r="X356" s="19" t="n">
        <f aca="false">X349*X350</f>
        <v>41.6995483946031</v>
      </c>
      <c r="Y356" s="19" t="n">
        <f aca="false">Y349*Y350</f>
        <v>42.2714680889193</v>
      </c>
      <c r="Z356" s="19" t="n">
        <f aca="false">Z349*Z350</f>
        <v>42.8512318043183</v>
      </c>
    </row>
    <row r="357" customFormat="false" ht="17.15" hidden="false" customHeight="false" outlineLevel="0" collapsed="false">
      <c r="A357" s="0" t="s">
        <v>547</v>
      </c>
      <c r="B357" s="0" t="s">
        <v>285</v>
      </c>
      <c r="C357" s="19" t="n">
        <f aca="false">C349*C351</f>
        <v>2.19</v>
      </c>
      <c r="D357" s="19" t="n">
        <f aca="false">D349*D351</f>
        <v>3.34</v>
      </c>
      <c r="E357" s="19" t="n">
        <f aca="false">E349*E351</f>
        <v>3.53</v>
      </c>
      <c r="F357" s="19" t="n">
        <f aca="false">F349*F351</f>
        <v>5.21</v>
      </c>
      <c r="G357" s="19" t="n">
        <f aca="false">G349*G351</f>
        <v>7.53</v>
      </c>
      <c r="H357" s="19" t="n">
        <f aca="false">H349*H351</f>
        <v>14.27</v>
      </c>
      <c r="I357" s="19" t="n">
        <f aca="false">I349*I351</f>
        <v>18.3383010969949</v>
      </c>
      <c r="J357" s="19" t="n">
        <f aca="false">J349*J351</f>
        <v>20.7912756194625</v>
      </c>
      <c r="K357" s="19" t="n">
        <f aca="false">K349*K351</f>
        <v>22.9094407104865</v>
      </c>
      <c r="L357" s="19" t="n">
        <f aca="false">L349*L351</f>
        <v>24.2237842687638</v>
      </c>
      <c r="M357" s="19" t="n">
        <f aca="false">M349*M351</f>
        <v>24.3328567086957</v>
      </c>
      <c r="N357" s="19" t="n">
        <f aca="false">N349*N351</f>
        <v>23.9278430003084</v>
      </c>
      <c r="O357" s="19" t="n">
        <f aca="false">O349*O351</f>
        <v>24.0355829054114</v>
      </c>
      <c r="P357" s="19" t="n">
        <f aca="false">P349*P351</f>
        <v>24.143807931014</v>
      </c>
      <c r="Q357" s="19" t="n">
        <f aca="false">Q349*Q351</f>
        <v>24.2525202614684</v>
      </c>
      <c r="R357" s="19" t="n">
        <f aca="false">R349*R351</f>
        <v>24.3617220909624</v>
      </c>
      <c r="S357" s="19" t="n">
        <f aca="false">S349*S351</f>
        <v>24.6199480175735</v>
      </c>
      <c r="T357" s="19" t="n">
        <f aca="false">T349*T351</f>
        <v>25.0985610689831</v>
      </c>
      <c r="U357" s="19" t="n">
        <f aca="false">U349*U351</f>
        <v>25.5864783826445</v>
      </c>
      <c r="V357" s="19" t="n">
        <f aca="false">V349*V351</f>
        <v>26.0838808338926</v>
      </c>
      <c r="W357" s="19" t="n">
        <f aca="false">W349*W351</f>
        <v>26.2847006194323</v>
      </c>
      <c r="X357" s="19" t="n">
        <f aca="false">X349*X351</f>
        <v>26.6452018364048</v>
      </c>
      <c r="Y357" s="19" t="n">
        <f aca="false">Y349*Y351</f>
        <v>27.0106474173753</v>
      </c>
      <c r="Z357" s="19" t="n">
        <f aca="false">Z349*Z351</f>
        <v>27.3811051755276</v>
      </c>
    </row>
    <row r="358" customFormat="false" ht="17.15" hidden="false" customHeight="false" outlineLevel="0" collapsed="false">
      <c r="A358" s="5" t="s">
        <v>548</v>
      </c>
      <c r="B358" s="0" t="s">
        <v>285</v>
      </c>
      <c r="C358" s="19" t="n">
        <f aca="false">C349*C352</f>
        <v>2.03</v>
      </c>
      <c r="D358" s="19" t="n">
        <f aca="false">D349*D352</f>
        <v>2.1</v>
      </c>
      <c r="E358" s="19" t="n">
        <f aca="false">E349*E352</f>
        <v>2.42</v>
      </c>
      <c r="F358" s="19" t="n">
        <f aca="false">F349*F352</f>
        <v>3.03</v>
      </c>
      <c r="G358" s="19" t="n">
        <f aca="false">G349*G352</f>
        <v>5.95</v>
      </c>
      <c r="H358" s="19" t="n">
        <f aca="false">H349*H352</f>
        <v>11.85</v>
      </c>
      <c r="I358" s="19" t="n">
        <f aca="false">I349*I352</f>
        <v>14.973475207638</v>
      </c>
      <c r="J358" s="19" t="n">
        <f aca="false">J349*J352</f>
        <v>16.976362661763</v>
      </c>
      <c r="K358" s="19" t="n">
        <f aca="false">K349*K352</f>
        <v>18.963673909528</v>
      </c>
      <c r="L358" s="19" t="n">
        <f aca="false">L349*L352</f>
        <v>20.0516438411925</v>
      </c>
      <c r="M358" s="19" t="n">
        <f aca="false">M349*M352</f>
        <v>20.1419303833008</v>
      </c>
      <c r="N358" s="19" t="n">
        <f aca="false">N349*N352</f>
        <v>19.8066734910961</v>
      </c>
      <c r="O358" s="19" t="n">
        <f aca="false">O349*O352</f>
        <v>20.1663298031157</v>
      </c>
      <c r="P358" s="19" t="n">
        <f aca="false">P349*P352</f>
        <v>20.2571327417356</v>
      </c>
      <c r="Q358" s="19" t="n">
        <f aca="false">Q349*Q352</f>
        <v>20.3483445387715</v>
      </c>
      <c r="R358" s="19" t="n">
        <f aca="false">R349*R352</f>
        <v>20.4399670351905</v>
      </c>
      <c r="S358" s="19" t="n">
        <f aca="false">S349*S352</f>
        <v>20.933672366686</v>
      </c>
      <c r="T358" s="19" t="n">
        <f aca="false">T349*T352</f>
        <v>21.3406240304945</v>
      </c>
      <c r="U358" s="19" t="n">
        <f aca="false">U349*U352</f>
        <v>21.7554868555065</v>
      </c>
      <c r="V358" s="19" t="n">
        <f aca="false">V349*V352</f>
        <v>22.1784146351015</v>
      </c>
      <c r="W358" s="19" t="n">
        <f aca="false">W349*W352</f>
        <v>22.6449483938209</v>
      </c>
      <c r="X358" s="19" t="n">
        <f aca="false">X349*X352</f>
        <v>22.9555295022934</v>
      </c>
      <c r="Y358" s="19" t="n">
        <f aca="false">Y349*Y352</f>
        <v>23.2703703080399</v>
      </c>
      <c r="Z358" s="19" t="n">
        <f aca="false">Z349*Z352</f>
        <v>23.5895292338695</v>
      </c>
    </row>
    <row r="359" customFormat="false" ht="17.15" hidden="false" customHeight="false" outlineLevel="0" collapsed="false">
      <c r="A359" s="0" t="s">
        <v>549</v>
      </c>
      <c r="B359" s="0" t="s">
        <v>285</v>
      </c>
      <c r="C359" s="19" t="n">
        <f aca="false">C349*C353</f>
        <v>1.92</v>
      </c>
      <c r="D359" s="19" t="n">
        <f aca="false">D349*D353</f>
        <v>2.14</v>
      </c>
      <c r="E359" s="19" t="n">
        <f aca="false">E349*E353</f>
        <v>2.84</v>
      </c>
      <c r="F359" s="19" t="n">
        <f aca="false">F349*F353</f>
        <v>3.31</v>
      </c>
      <c r="G359" s="19" t="n">
        <f aca="false">G349*G353</f>
        <v>5.96</v>
      </c>
      <c r="H359" s="19" t="n">
        <f aca="false">H349*H353</f>
        <v>10.72</v>
      </c>
      <c r="I359" s="19" t="n">
        <f aca="false">I349*I353</f>
        <v>14.9513168749304</v>
      </c>
      <c r="J359" s="19" t="n">
        <f aca="false">J349*J353</f>
        <v>16.2035648188888</v>
      </c>
      <c r="K359" s="19" t="n">
        <f aca="false">K349*K353</f>
        <v>17.8543449815733</v>
      </c>
      <c r="L359" s="19" t="n">
        <f aca="false">L349*L353</f>
        <v>18.8786713110699</v>
      </c>
      <c r="M359" s="19" t="n">
        <f aca="false">M349*M353</f>
        <v>18.9636763094518</v>
      </c>
      <c r="N359" s="19" t="n">
        <f aca="false">N349*N353</f>
        <v>18.6480311322868</v>
      </c>
      <c r="O359" s="19" t="n">
        <f aca="false">O349*O353</f>
        <v>18.7319976270738</v>
      </c>
      <c r="P359" s="19" t="n">
        <f aca="false">P349*P353</f>
        <v>18.8163421978194</v>
      </c>
      <c r="Q359" s="19" t="n">
        <f aca="false">Q349*Q353</f>
        <v>18.9010665468864</v>
      </c>
      <c r="R359" s="19" t="n">
        <f aca="false">R349*R353</f>
        <v>18.9861723843027</v>
      </c>
      <c r="S359" s="19" t="n">
        <f aca="false">S349*S353</f>
        <v>19.1874193215442</v>
      </c>
      <c r="T359" s="19" t="n">
        <f aca="false">T349*T353</f>
        <v>19.5604237366471</v>
      </c>
      <c r="U359" s="19" t="n">
        <f aca="false">U349*U353</f>
        <v>19.9406793766988</v>
      </c>
      <c r="V359" s="19" t="n">
        <f aca="false">V349*V353</f>
        <v>20.3283272058839</v>
      </c>
      <c r="W359" s="19" t="n">
        <f aca="false">W349*W353</f>
        <v>20.4848349869102</v>
      </c>
      <c r="X359" s="19" t="n">
        <f aca="false">X349*X353</f>
        <v>20.7657896018851</v>
      </c>
      <c r="Y359" s="19" t="n">
        <f aca="false">Y349*Y353</f>
        <v>21.050597579395</v>
      </c>
      <c r="Z359" s="19" t="n">
        <f aca="false">Z349*Z353</f>
        <v>21.3393117692672</v>
      </c>
    </row>
    <row r="360" customFormat="false" ht="17.15" hidden="false" customHeight="false" outlineLevel="0" collapsed="false">
      <c r="A360" s="0" t="s">
        <v>550</v>
      </c>
      <c r="B360" s="0" t="s">
        <v>285</v>
      </c>
      <c r="C360" s="19" t="n">
        <f aca="false">C349*C354</f>
        <v>1.69</v>
      </c>
      <c r="D360" s="19" t="n">
        <f aca="false">D349*D354</f>
        <v>1.9</v>
      </c>
      <c r="E360" s="19" t="n">
        <f aca="false">E349*E354</f>
        <v>2.31</v>
      </c>
      <c r="F360" s="19" t="n">
        <f aca="false">F349*F354</f>
        <v>3.03</v>
      </c>
      <c r="G360" s="19" t="n">
        <f aca="false">G349*G354</f>
        <v>5.95</v>
      </c>
      <c r="H360" s="19" t="n">
        <f aca="false">H349*H354</f>
        <v>8.97</v>
      </c>
      <c r="I360" s="19" t="n">
        <f aca="false">I349*I354</f>
        <v>11.0371522587842</v>
      </c>
      <c r="J360" s="19" t="n">
        <f aca="false">J349*J354</f>
        <v>12.4602118149868</v>
      </c>
      <c r="K360" s="19" t="n">
        <f aca="false">K349*K354</f>
        <v>13.7296281882931</v>
      </c>
      <c r="L360" s="19" t="n">
        <f aca="false">L349*L354</f>
        <v>14.5173143040247</v>
      </c>
      <c r="M360" s="19" t="n">
        <f aca="false">M349*M354</f>
        <v>14.5826814190399</v>
      </c>
      <c r="N360" s="19" t="n">
        <f aca="false">N349*N354</f>
        <v>14.3399566970533</v>
      </c>
      <c r="O360" s="19" t="n">
        <f aca="false">O349*O354</f>
        <v>14.4045252239239</v>
      </c>
      <c r="P360" s="19" t="n">
        <f aca="false">P349*P354</f>
        <v>14.4693844835178</v>
      </c>
      <c r="Q360" s="19" t="n">
        <f aca="false">Q349*Q354</f>
        <v>14.5345357849173</v>
      </c>
      <c r="R360" s="19" t="n">
        <f aca="false">R349*R354</f>
        <v>14.5999804430991</v>
      </c>
      <c r="S360" s="19" t="n">
        <f aca="false">S349*S354</f>
        <v>14.7547352450932</v>
      </c>
      <c r="T360" s="19" t="n">
        <f aca="false">T349*T354</f>
        <v>15.0415680545433</v>
      </c>
      <c r="U360" s="19" t="n">
        <f aca="false">U349*U354</f>
        <v>15.3339769085113</v>
      </c>
      <c r="V360" s="19" t="n">
        <f aca="false">V349*V354</f>
        <v>15.6320702055885</v>
      </c>
      <c r="W360" s="19" t="n">
        <f aca="false">W349*W354</f>
        <v>15.7524215063101</v>
      </c>
      <c r="X360" s="19" t="n">
        <f aca="false">X349*X354</f>
        <v>15.9684698914719</v>
      </c>
      <c r="Y360" s="19" t="n">
        <f aca="false">Y349*Y354</f>
        <v>16.1874814340576</v>
      </c>
      <c r="Z360" s="19" t="n">
        <f aca="false">Z349*Z354</f>
        <v>16.4094967745094</v>
      </c>
    </row>
    <row r="361" customFormat="false" ht="17.15" hidden="false" customHeight="false" outlineLevel="0" collapsed="false">
      <c r="A361" s="5" t="s">
        <v>551</v>
      </c>
      <c r="B361" s="0" t="s">
        <v>285</v>
      </c>
      <c r="C361" s="19" t="n">
        <f aca="false">C349*C355</f>
        <v>0.905483870967741</v>
      </c>
      <c r="D361" s="19" t="n">
        <f aca="false">D349*D355</f>
        <v>1.12547112462006</v>
      </c>
      <c r="E361" s="19" t="n">
        <f aca="false">E349*E355</f>
        <v>1.69120879120879</v>
      </c>
      <c r="F361" s="19" t="n">
        <f aca="false">F349*F355</f>
        <v>2.39142857142857</v>
      </c>
      <c r="G361" s="19" t="n">
        <f aca="false">G349*G355</f>
        <v>5.05480225988701</v>
      </c>
      <c r="H361" s="19" t="n">
        <f aca="false">H349*H355</f>
        <v>9.83307167235495</v>
      </c>
      <c r="I361" s="19" t="n">
        <f aca="false">I349*I355</f>
        <v>13.1174313033769</v>
      </c>
      <c r="J361" s="19" t="n">
        <f aca="false">J349*J355</f>
        <v>15.6730215261275</v>
      </c>
      <c r="K361" s="19" t="n">
        <f aca="false">K349*K355</f>
        <v>17.6564516686126</v>
      </c>
      <c r="L361" s="19" t="n">
        <f aca="false">L349*L355</f>
        <v>18.6694246087182</v>
      </c>
      <c r="M361" s="19" t="n">
        <f aca="false">M349*M355</f>
        <v>18.7534874319173</v>
      </c>
      <c r="N361" s="19" t="n">
        <f aca="false">N349*N355</f>
        <v>18.4413407908169</v>
      </c>
      <c r="O361" s="19" t="n">
        <f aca="false">O349*O355</f>
        <v>18.9300858179065</v>
      </c>
      <c r="P361" s="19" t="n">
        <f aca="false">P349*P355</f>
        <v>19.0153223204022</v>
      </c>
      <c r="Q361" s="19" t="n">
        <f aca="false">Q349*Q355</f>
        <v>19.1009426173206</v>
      </c>
      <c r="R361" s="19" t="n">
        <f aca="false">R349*R355</f>
        <v>19.1869484367729</v>
      </c>
      <c r="S361" s="19" t="n">
        <f aca="false">S349*S355</f>
        <v>19.805896533396</v>
      </c>
      <c r="T361" s="19" t="n">
        <f aca="false">T349*T355</f>
        <v>20.1909241771987</v>
      </c>
      <c r="U361" s="19" t="n">
        <f aca="false">U349*U355</f>
        <v>20.5834367781324</v>
      </c>
      <c r="V361" s="19" t="n">
        <f aca="false">V349*V355</f>
        <v>20.9835798441473</v>
      </c>
      <c r="W361" s="19" t="n">
        <f aca="false">W349*W355</f>
        <v>21.5888056481555</v>
      </c>
      <c r="X361" s="19" t="n">
        <f aca="false">X349*X355</f>
        <v>21.8849014957677</v>
      </c>
      <c r="Y361" s="19" t="n">
        <f aca="false">Y349*Y355</f>
        <v>22.1850583716925</v>
      </c>
      <c r="Z361" s="19" t="n">
        <f aca="false">Z349*Z355</f>
        <v>22.489331973945</v>
      </c>
    </row>
    <row r="362" customFormat="false" ht="17.15" hidden="false" customHeight="false" outlineLevel="0" collapsed="false">
      <c r="A362" s="0" t="s">
        <v>552</v>
      </c>
      <c r="B362" s="0" t="s">
        <v>25</v>
      </c>
      <c r="C362" s="12" t="n">
        <f aca="false">C353+C354</f>
        <v>0.279077306733167</v>
      </c>
      <c r="D362" s="12" t="n">
        <f aca="false">D353+D354</f>
        <v>0.255607692307692</v>
      </c>
      <c r="E362" s="12" t="n">
        <f aca="false">E353+E354</f>
        <v>0.27406432748538</v>
      </c>
      <c r="F362" s="12" t="n">
        <f aca="false">F353+F354</f>
        <v>0.268969696969697</v>
      </c>
      <c r="G362" s="12" t="n">
        <f aca="false">G353+G354</f>
        <v>0.270960154241645</v>
      </c>
      <c r="H362" s="12" t="n">
        <f aca="false">H353+H354</f>
        <v>0.250180832610581</v>
      </c>
      <c r="I362" s="12" t="n">
        <f aca="false">I353+I354</f>
        <v>0.251873605888391</v>
      </c>
      <c r="J362" s="12" t="n">
        <f aca="false">J353+J354</f>
        <v>0.245026657759283</v>
      </c>
      <c r="K362" s="12" t="n">
        <f aca="false">K353+K354</f>
        <v>0.245026657759283</v>
      </c>
      <c r="L362" s="12" t="n">
        <f aca="false">L353+L354</f>
        <v>0.245026657759283</v>
      </c>
      <c r="M362" s="12" t="n">
        <f aca="false">M353+M354</f>
        <v>0.245026657759283</v>
      </c>
      <c r="N362" s="12" t="n">
        <f aca="false">N353+N354</f>
        <v>0.245026657759283</v>
      </c>
      <c r="O362" s="12" t="n">
        <f aca="false">O353+O354</f>
        <v>0.245026657759283</v>
      </c>
      <c r="P362" s="12" t="n">
        <f aca="false">P353+P354</f>
        <v>0.245026657759283</v>
      </c>
      <c r="Q362" s="12" t="n">
        <f aca="false">Q353+Q354</f>
        <v>0.245026657759283</v>
      </c>
      <c r="R362" s="12" t="n">
        <f aca="false">R353+R354</f>
        <v>0.245026657759283</v>
      </c>
      <c r="S362" s="12" t="n">
        <f aca="false">S353+S354</f>
        <v>0.245026657759283</v>
      </c>
      <c r="T362" s="12" t="n">
        <f aca="false">T353+T354</f>
        <v>0.245026657759283</v>
      </c>
      <c r="U362" s="12" t="n">
        <f aca="false">U353+U354</f>
        <v>0.245026657759283</v>
      </c>
      <c r="V362" s="12" t="n">
        <f aca="false">V353+V354</f>
        <v>0.245026657759283</v>
      </c>
      <c r="W362" s="12" t="n">
        <f aca="false">W353+W354</f>
        <v>0.245026657759283</v>
      </c>
      <c r="X362" s="12" t="n">
        <f aca="false">X353+X354</f>
        <v>0.245026657759283</v>
      </c>
      <c r="Y362" s="12" t="n">
        <f aca="false">Y353+Y354</f>
        <v>0.245026657759283</v>
      </c>
      <c r="Z362" s="12" t="n">
        <f aca="false">Z353+Z354</f>
        <v>0.245026657759283</v>
      </c>
    </row>
    <row r="363" customFormat="false" ht="17.15" hidden="false" customHeight="false" outlineLevel="0" collapsed="false">
      <c r="A363" s="0" t="s">
        <v>553</v>
      </c>
      <c r="B363" s="0" t="s">
        <v>222</v>
      </c>
      <c r="C363" s="19" t="n">
        <f aca="false">C348*C353</f>
        <v>30.2136272689004</v>
      </c>
      <c r="D363" s="19" t="n">
        <f aca="false">D348*D353</f>
        <v>28.3527475270712</v>
      </c>
      <c r="E363" s="19" t="n">
        <f aca="false">E348*E353</f>
        <v>32.5579424087605</v>
      </c>
      <c r="F363" s="19" t="n">
        <f aca="false">F348*F353</f>
        <v>31.1200240455119</v>
      </c>
      <c r="G363" s="19" t="n">
        <f aca="false">G348*G353</f>
        <v>32.4133179519149</v>
      </c>
      <c r="H363" s="19" t="n">
        <f aca="false">H348*H353</f>
        <v>34.1493943374733</v>
      </c>
      <c r="I363" s="19" t="n">
        <f aca="false">I348*I353</f>
        <v>38.102866852725</v>
      </c>
      <c r="J363" s="19" t="n">
        <f aca="false">J348*J353</f>
        <v>38.1999754699934</v>
      </c>
      <c r="K363" s="19" t="n">
        <f aca="false">K348*K353</f>
        <v>40.8657252218896</v>
      </c>
      <c r="L363" s="19" t="n">
        <f aca="false">L348*L353</f>
        <v>43.2102435092843</v>
      </c>
      <c r="M363" s="19" t="n">
        <f aca="false">M348*M353</f>
        <v>45.6892697729864</v>
      </c>
      <c r="N363" s="19" t="n">
        <f aca="false">N348*N353</f>
        <v>48.3105209055394</v>
      </c>
      <c r="O363" s="19" t="n">
        <f aca="false">O348*O353</f>
        <v>51.082156527362</v>
      </c>
      <c r="P363" s="19" t="n">
        <f aca="false">P348*P353</f>
        <v>54.0128043866054</v>
      </c>
      <c r="Q363" s="19" t="n">
        <f aca="false">Q348*Q353</f>
        <v>57.111587216233</v>
      </c>
      <c r="R363" s="19" t="n">
        <f aca="false">R348*R353</f>
        <v>60.3881511319243</v>
      </c>
      <c r="S363" s="19" t="n">
        <f aca="false">S348*S353</f>
        <v>62.9157163829654</v>
      </c>
      <c r="T363" s="19" t="n">
        <f aca="false">T348*T353</f>
        <v>66.1224753962161</v>
      </c>
      <c r="U363" s="19" t="n">
        <f aca="false">U348*U353</f>
        <v>69.4926801104816</v>
      </c>
      <c r="V363" s="19" t="n">
        <f aca="false">V348*V353</f>
        <v>73.0346612101289</v>
      </c>
      <c r="W363" s="19" t="n">
        <f aca="false">W348*W353</f>
        <v>75.9869789412016</v>
      </c>
      <c r="X363" s="19" t="n">
        <f aca="false">X348*X353</f>
        <v>79.5306422961095</v>
      </c>
      <c r="Y363" s="19" t="n">
        <f aca="false">Y348*Y353</f>
        <v>83.2395648855323</v>
      </c>
      <c r="Z363" s="19" t="n">
        <f aca="false">Z348*Z353</f>
        <v>87.1214535969073</v>
      </c>
      <c r="AB363" s="5" t="s">
        <v>554</v>
      </c>
    </row>
    <row r="364" customFormat="false" ht="17.15" hidden="false" customHeight="false" outlineLevel="0" collapsed="false">
      <c r="A364" s="0" t="s">
        <v>555</v>
      </c>
      <c r="B364" s="0" t="s">
        <v>222</v>
      </c>
      <c r="C364" s="19" t="n">
        <f aca="false">C348*C354</f>
        <v>26.5942865023133</v>
      </c>
      <c r="D364" s="19" t="n">
        <f aca="false">D348*D354</f>
        <v>25.1730001408576</v>
      </c>
      <c r="E364" s="19" t="n">
        <f aca="false">E348*E354</f>
        <v>26.481988367689</v>
      </c>
      <c r="F364" s="19" t="n">
        <f aca="false">F348*F354</f>
        <v>28.4875144585804</v>
      </c>
      <c r="G364" s="19" t="n">
        <f aca="false">G348*G354</f>
        <v>32.3589331902506</v>
      </c>
      <c r="H364" s="19" t="n">
        <f aca="false">H348*H354</f>
        <v>28.574633134994</v>
      </c>
      <c r="I364" s="19" t="n">
        <f aca="false">I348*I354</f>
        <v>28.1277660334294</v>
      </c>
      <c r="J364" s="19" t="n">
        <f aca="false">J348*J354</f>
        <v>29.3750042662562</v>
      </c>
      <c r="K364" s="19" t="n">
        <f aca="false">K348*K354</f>
        <v>31.4249116123024</v>
      </c>
      <c r="L364" s="19" t="n">
        <f aca="false">L348*L354</f>
        <v>33.2277984950083</v>
      </c>
      <c r="M364" s="19" t="n">
        <f aca="false">M348*M354</f>
        <v>35.1341192760154</v>
      </c>
      <c r="N364" s="19" t="n">
        <f aca="false">N348*N354</f>
        <v>37.1498080887519</v>
      </c>
      <c r="O364" s="19" t="n">
        <f aca="false">O348*O354</f>
        <v>39.281139515378</v>
      </c>
      <c r="P364" s="19" t="n">
        <f aca="false">P348*P354</f>
        <v>41.5347481187604</v>
      </c>
      <c r="Q364" s="19" t="n">
        <f aca="false">Q348*Q354</f>
        <v>43.9176490950192</v>
      </c>
      <c r="R364" s="19" t="n">
        <f aca="false">R348*R354</f>
        <v>46.4372601109398</v>
      </c>
      <c r="S364" s="19" t="n">
        <f aca="false">S348*S354</f>
        <v>48.3809063860768</v>
      </c>
      <c r="T364" s="19" t="n">
        <f aca="false">T348*T354</f>
        <v>50.8468388516379</v>
      </c>
      <c r="U364" s="19" t="n">
        <f aca="false">U348*U354</f>
        <v>53.4384577372959</v>
      </c>
      <c r="V364" s="19" t="n">
        <f aca="false">V348*V354</f>
        <v>56.1621691699084</v>
      </c>
      <c r="W364" s="19" t="n">
        <f aca="false">W348*W354</f>
        <v>58.4324414640287</v>
      </c>
      <c r="X364" s="19" t="n">
        <f aca="false">X348*X354</f>
        <v>61.1574465167248</v>
      </c>
      <c r="Y364" s="19" t="n">
        <f aca="false">Y348*Y354</f>
        <v>64.0095325598975</v>
      </c>
      <c r="Z364" s="19" t="n">
        <f aca="false">Z348*Z354</f>
        <v>66.9946260332518</v>
      </c>
    </row>
    <row r="365" customFormat="false" ht="17.15" hidden="false" customHeight="false" outlineLevel="0" collapsed="false">
      <c r="A365" s="5" t="s">
        <v>556</v>
      </c>
      <c r="B365" s="0" t="s">
        <v>557</v>
      </c>
      <c r="C365" s="17" t="n">
        <f aca="false">ABS(SUM(C350:C355)-1)+ABS(SUM(I350:I355)-1)+ABS(SUM(Z350:Z355)-1)+ABS(H360-rv_sd_5)</f>
        <v>0</v>
      </c>
    </row>
    <row r="390" customFormat="false" ht="17.15" hidden="false" customHeight="false" outlineLevel="0" collapsed="false">
      <c r="A390" s="3" t="s">
        <v>699</v>
      </c>
    </row>
    <row r="391" customFormat="false" ht="17.15" hidden="false" customHeight="false" outlineLevel="0" collapsed="false">
      <c r="A391" s="9" t="s">
        <v>508</v>
      </c>
      <c r="B391" s="6" t="s">
        <v>15</v>
      </c>
      <c r="C391" s="9" t="s">
        <v>427</v>
      </c>
      <c r="D391" s="9" t="s">
        <v>428</v>
      </c>
      <c r="E391" s="9" t="s">
        <v>429</v>
      </c>
      <c r="F391" s="9" t="s">
        <v>430</v>
      </c>
      <c r="G391" s="9" t="s">
        <v>431</v>
      </c>
      <c r="H391" s="9" t="s">
        <v>432</v>
      </c>
      <c r="I391" s="9" t="s">
        <v>433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6" t="s">
        <v>434</v>
      </c>
    </row>
    <row r="392" customFormat="false" ht="17.15" hidden="false" customHeight="false" outlineLevel="0" collapsed="false">
      <c r="A392" s="5" t="s">
        <v>509</v>
      </c>
      <c r="B392" s="5" t="s">
        <v>168</v>
      </c>
      <c r="E392" s="10" t="n">
        <f aca="false">(u_26)*1</f>
        <v>15.2</v>
      </c>
      <c r="F392" s="10" t="n">
        <f aca="false">(u_27)*1</f>
        <v>23.7</v>
      </c>
      <c r="G392" s="10" t="n">
        <f aca="false">(u_28)*um28_A</f>
        <v>26.5</v>
      </c>
      <c r="H392" s="10" t="n">
        <f aca="false">(u_28*(1+g_u29))*um29_A</f>
        <v>30.15</v>
      </c>
      <c r="I392" s="10" t="n">
        <f aca="false">(u_28*(1+g_u29)*(1+g_u30))*um29_A</f>
        <v>31.6575</v>
      </c>
      <c r="AB392" s="8" t="s">
        <v>510</v>
      </c>
    </row>
    <row r="393" customFormat="false" ht="17.15" hidden="false" customHeight="false" outlineLevel="0" collapsed="false">
      <c r="A393" s="5" t="s">
        <v>511</v>
      </c>
      <c r="B393" s="0" t="s">
        <v>512</v>
      </c>
      <c r="E393" s="18" t="n">
        <f aca="false">tb_26</f>
        <v>30</v>
      </c>
      <c r="F393" s="18" t="n">
        <f aca="false">tb_27</f>
        <v>34</v>
      </c>
      <c r="G393" s="18" t="n">
        <f aca="false">tb_28</f>
        <v>40</v>
      </c>
      <c r="H393" s="18" t="n">
        <f aca="false">tb_29</f>
        <v>46</v>
      </c>
      <c r="I393" s="18" t="n">
        <f aca="false">tb_30</f>
        <v>52</v>
      </c>
    </row>
    <row r="394" customFormat="false" ht="17.15" hidden="false" customHeight="false" outlineLevel="0" collapsed="false">
      <c r="A394" s="5" t="s">
        <v>513</v>
      </c>
      <c r="B394" s="0" t="s">
        <v>222</v>
      </c>
      <c r="D394" s="10" t="n">
        <f aca="false">bits25_hi*sh_essd25*ai25</f>
        <v>189.75</v>
      </c>
      <c r="E394" s="10" t="n">
        <f aca="false">E392*E393</f>
        <v>456</v>
      </c>
      <c r="F394" s="10" t="n">
        <f aca="false">F392*F393</f>
        <v>805.8</v>
      </c>
      <c r="G394" s="10" t="n">
        <f aca="false">G392*G393</f>
        <v>1060</v>
      </c>
      <c r="H394" s="10" t="n">
        <f aca="false">H392*H393</f>
        <v>1386.9</v>
      </c>
      <c r="I394" s="10" t="n">
        <f aca="false">I392*I393</f>
        <v>1646.19</v>
      </c>
      <c r="AB394" s="5" t="s">
        <v>514</v>
      </c>
    </row>
    <row r="395" customFormat="false" ht="17.15" hidden="false" customHeight="false" outlineLevel="0" collapsed="false">
      <c r="A395" s="5" t="s">
        <v>515</v>
      </c>
      <c r="B395" s="0" t="s">
        <v>222</v>
      </c>
      <c r="D395" s="10" t="n">
        <f aca="false">bits25_hi*sh_essd25*(1-ai25)</f>
        <v>155.25</v>
      </c>
      <c r="E395" s="10" t="n">
        <f aca="false">D395*(1+g_nai)</f>
        <v>170.775</v>
      </c>
      <c r="F395" s="10" t="n">
        <f aca="false">E395*(1+g_nai)</f>
        <v>187.8525</v>
      </c>
      <c r="G395" s="10" t="n">
        <f aca="false">F395*(1+g_nai)</f>
        <v>206.63775</v>
      </c>
      <c r="H395" s="10" t="n">
        <f aca="false">G395*(1+g_nai)</f>
        <v>227.301525</v>
      </c>
      <c r="I395" s="10" t="n">
        <f aca="false">H395*(1+g_nai)</f>
        <v>250.0316775</v>
      </c>
    </row>
    <row r="396" customFormat="false" ht="15" hidden="false" customHeight="false" outlineLevel="0" collapsed="false">
      <c r="A396" s="5" t="s">
        <v>516</v>
      </c>
      <c r="B396" s="0" t="s">
        <v>222</v>
      </c>
      <c r="D396" s="10" t="n">
        <f aca="false">bits25_hi*sh_mob25</f>
        <v>368</v>
      </c>
      <c r="E396" s="10" t="n">
        <f aca="false">D396*(1+g_mob_26)</f>
        <v>349.6</v>
      </c>
      <c r="F396" s="10" t="n">
        <f aca="false">E396*(1+g_mob_27)</f>
        <v>360.088</v>
      </c>
      <c r="G396" s="10" t="n">
        <f aca="false">F396*(1+g_mob_28)</f>
        <v>388.89504</v>
      </c>
      <c r="H396" s="10" t="n">
        <f aca="false">G396*(1+g_mob_28)</f>
        <v>420.0066432</v>
      </c>
      <c r="I396" s="10" t="n">
        <f aca="false">H396*(1+g_mob_28)</f>
        <v>453.607174656</v>
      </c>
    </row>
    <row r="397" customFormat="false" ht="17.15" hidden="false" customHeight="false" outlineLevel="0" collapsed="false">
      <c r="A397" s="5" t="s">
        <v>517</v>
      </c>
      <c r="B397" s="0" t="s">
        <v>222</v>
      </c>
      <c r="D397" s="10" t="n">
        <f aca="false">bits25_hi*sh_pc25</f>
        <v>264.5</v>
      </c>
      <c r="E397" s="10" t="n">
        <f aca="false">D397*(1+g_pc_26)</f>
        <v>251.275</v>
      </c>
      <c r="F397" s="10" t="n">
        <f aca="false">E397*(1+g_pc_27)</f>
        <v>251.275</v>
      </c>
      <c r="G397" s="10" t="n">
        <f aca="false">F397*(1+g_pc_28)</f>
        <v>266.3515</v>
      </c>
      <c r="H397" s="10" t="n">
        <f aca="false">G397*(1+g_pc_28)</f>
        <v>282.33259</v>
      </c>
      <c r="I397" s="10" t="n">
        <f aca="false">H397*(1+g_pc_28)</f>
        <v>299.2725454</v>
      </c>
    </row>
    <row r="398" customFormat="false" ht="15" hidden="false" customHeight="false" outlineLevel="0" collapsed="false">
      <c r="A398" s="5" t="s">
        <v>518</v>
      </c>
      <c r="B398" s="0" t="s">
        <v>222</v>
      </c>
      <c r="D398" s="10" t="n">
        <f aca="false">bits25_hi*(1-sh_essd25-sh_mob25-sh_pc25)</f>
        <v>172.5</v>
      </c>
      <c r="E398" s="10" t="n">
        <f aca="false">D398*(1+g_con_26)</f>
        <v>155.25</v>
      </c>
      <c r="F398" s="10" t="n">
        <f aca="false">E398*(1+g_con_27)</f>
        <v>155.25</v>
      </c>
      <c r="G398" s="10" t="n">
        <f aca="false">F398*(1+g_con_28)</f>
        <v>163.0125</v>
      </c>
      <c r="H398" s="10" t="n">
        <f aca="false">G398*(1+g_con_28)</f>
        <v>171.163125</v>
      </c>
      <c r="I398" s="10" t="n">
        <f aca="false">H398*(1+g_con_28)</f>
        <v>179.72128125</v>
      </c>
    </row>
    <row r="399" customFormat="false" ht="15" hidden="false" customHeight="false" outlineLevel="0" collapsed="false">
      <c r="A399" s="5" t="s">
        <v>442</v>
      </c>
      <c r="B399" s="0" t="s">
        <v>222</v>
      </c>
      <c r="D399" s="10" t="n">
        <f aca="false">SUM(D394:D398)</f>
        <v>1150</v>
      </c>
      <c r="E399" s="10" t="n">
        <f aca="false">SUM(E394:E398)</f>
        <v>1382.9</v>
      </c>
      <c r="F399" s="10" t="n">
        <f aca="false">SUM(F394:F398)</f>
        <v>1760.2655</v>
      </c>
      <c r="G399" s="10" t="n">
        <f aca="false">SUM(G394:G398)</f>
        <v>2084.89679</v>
      </c>
      <c r="H399" s="10" t="n">
        <f aca="false">SUM(H394:H398)</f>
        <v>2487.7038832</v>
      </c>
      <c r="I399" s="10" t="n">
        <f aca="false">SUM(I394:I398)</f>
        <v>2828.822678806</v>
      </c>
    </row>
    <row r="400" customFormat="false" ht="17.15" hidden="false" customHeight="false" outlineLevel="0" collapsed="false">
      <c r="A400" s="5" t="s">
        <v>519</v>
      </c>
      <c r="B400" s="0" t="s">
        <v>25</v>
      </c>
      <c r="D400" s="12" t="n">
        <f aca="false">(D394+D395)/D399</f>
        <v>0.3</v>
      </c>
      <c r="E400" s="12" t="n">
        <f aca="false">(E394+E395)/E399</f>
        <v>0.453232337840769</v>
      </c>
      <c r="F400" s="12" t="n">
        <f aca="false">(F394+F395)/F399</f>
        <v>0.564490129471946</v>
      </c>
      <c r="G400" s="12" t="n">
        <f aca="false">(G394+G395)/G399</f>
        <v>0.607530193377103</v>
      </c>
      <c r="H400" s="12" t="n">
        <f aca="false">(H394+H395)/H399</f>
        <v>0.648872052618903</v>
      </c>
      <c r="I400" s="12" t="n">
        <f aca="false">(I394+I395)/I399</f>
        <v>0.670321859233808</v>
      </c>
    </row>
    <row r="401" customFormat="false" ht="17.15" hidden="false" customHeight="false" outlineLevel="0" collapsed="false">
      <c r="A401" s="5" t="s">
        <v>520</v>
      </c>
      <c r="B401" s="0" t="s">
        <v>222</v>
      </c>
      <c r="D401" s="10" t="n">
        <f aca="false">bits25_hi</f>
        <v>1150</v>
      </c>
      <c r="E401" s="10" t="n">
        <f aca="false">D401*(1+gs_26)</f>
        <v>1391.5</v>
      </c>
      <c r="F401" s="10" t="n">
        <f aca="false">E401*(1+gs_27)</f>
        <v>1739.375</v>
      </c>
      <c r="G401" s="10" t="n">
        <f aca="false">F401*(1+gs_28)</f>
        <v>2174.21875</v>
      </c>
      <c r="H401" s="10" t="n">
        <f aca="false">G401*(1+gs_29)</f>
        <v>2652.546875</v>
      </c>
      <c r="I401" s="10" t="n">
        <f aca="false">H401*(1+gs_30)</f>
        <v>3183.05625</v>
      </c>
      <c r="AB401" s="8" t="s">
        <v>521</v>
      </c>
    </row>
    <row r="402" customFormat="false" ht="17.15" hidden="false" customHeight="false" outlineLevel="0" collapsed="false">
      <c r="A402" s="5" t="s">
        <v>522</v>
      </c>
      <c r="B402" s="0" t="s">
        <v>25</v>
      </c>
      <c r="E402" s="12" t="n">
        <f aca="false">E399/E401-1</f>
        <v>-0.00618038088393824</v>
      </c>
      <c r="F402" s="12" t="n">
        <f aca="false">F399/F401-1</f>
        <v>0.0120103485447358</v>
      </c>
      <c r="G402" s="12" t="n">
        <f aca="false">G399/G401-1</f>
        <v>-0.0410823243981316</v>
      </c>
      <c r="H402" s="12" t="n">
        <f aca="false">H399/H401-1</f>
        <v>-0.0621451757756401</v>
      </c>
      <c r="I402" s="12" t="n">
        <f aca="false">I399/I401-1</f>
        <v>-0.111287248283469</v>
      </c>
    </row>
    <row r="403" customFormat="false" ht="17.15" hidden="false" customHeight="false" outlineLevel="0" collapsed="false">
      <c r="A403" s="5" t="s">
        <v>523</v>
      </c>
      <c r="B403" s="0" t="s">
        <v>222</v>
      </c>
      <c r="C403" s="10" t="n">
        <f aca="false">bits25_hi/(1+g25)</f>
        <v>1026.78571428571</v>
      </c>
      <c r="D403" s="10" t="n">
        <f aca="false">bits25_hi</f>
        <v>1150</v>
      </c>
      <c r="E403" s="10" t="n">
        <f aca="false">MIN(E399,E401)</f>
        <v>1382.9</v>
      </c>
      <c r="F403" s="10" t="n">
        <f aca="false">MIN(F399,F401)</f>
        <v>1739.375</v>
      </c>
      <c r="G403" s="10" t="n">
        <f aca="false">MIN(G399,G401)</f>
        <v>2084.89679</v>
      </c>
      <c r="H403" s="10" t="n">
        <f aca="false">MIN(H399,H401)</f>
        <v>2487.7038832</v>
      </c>
      <c r="I403" s="10" t="n">
        <f aca="false">MIN(I399,I401)</f>
        <v>2828.822678806</v>
      </c>
    </row>
    <row r="404" customFormat="false" ht="15" hidden="false" customHeight="false" outlineLevel="0" collapsed="false">
      <c r="A404" s="5" t="s">
        <v>447</v>
      </c>
      <c r="B404" s="0" t="s">
        <v>25</v>
      </c>
      <c r="D404" s="12" t="n">
        <f aca="false">D403/C403-1</f>
        <v>0.12</v>
      </c>
      <c r="E404" s="12" t="n">
        <f aca="false">E403/D403-1</f>
        <v>0.202521739130435</v>
      </c>
      <c r="F404" s="12" t="n">
        <f aca="false">F403/E403-1</f>
        <v>0.257773519415721</v>
      </c>
      <c r="G404" s="12" t="n">
        <f aca="false">G403/F403-1</f>
        <v>0.198647094502336</v>
      </c>
      <c r="H404" s="12" t="n">
        <f aca="false">H403/G403-1</f>
        <v>0.193202414206797</v>
      </c>
      <c r="I404" s="12" t="n">
        <f aca="false">I403/H403-1</f>
        <v>0.137121945224128</v>
      </c>
    </row>
    <row r="405" customFormat="false" ht="17.15" hidden="false" customHeight="false" outlineLevel="0" collapsed="false">
      <c r="A405" s="0" t="s">
        <v>524</v>
      </c>
      <c r="B405" s="0" t="s">
        <v>285</v>
      </c>
      <c r="C405" s="10" t="n">
        <f aca="false">rev24</f>
        <v>67.4</v>
      </c>
      <c r="D405" s="10" t="n">
        <f aca="false">SUM(C419:F419)</f>
        <v>71.1035923582252</v>
      </c>
      <c r="E405" s="10" t="n">
        <f aca="false">SUM(G419:J419)</f>
        <v>342.298897052459</v>
      </c>
      <c r="F405" s="10" t="n">
        <f aca="false">SUM(K419:N419)</f>
        <v>539.56078243719</v>
      </c>
      <c r="G405" s="10" t="n">
        <f aca="false">SUM(O419:R419)</f>
        <v>525.382175276236</v>
      </c>
      <c r="H405" s="10" t="n">
        <f aca="false">SUM(S419:V419)</f>
        <v>537.988533551242</v>
      </c>
      <c r="I405" s="10" t="n">
        <f aca="false">SUM(W419:Z419)</f>
        <v>539.805725246741</v>
      </c>
      <c r="AB405" s="8" t="s">
        <v>525</v>
      </c>
    </row>
    <row r="406" customFormat="false" ht="15" hidden="false" customHeight="false" outlineLevel="0" collapsed="false">
      <c r="A406" s="5" t="s">
        <v>453</v>
      </c>
      <c r="B406" s="0" t="s">
        <v>25</v>
      </c>
      <c r="D406" s="12" t="n">
        <f aca="false">D405/C405-1</f>
        <v>0.0549494415166936</v>
      </c>
      <c r="E406" s="12" t="n">
        <f aca="false">E405/D405-1</f>
        <v>3.81408724509912</v>
      </c>
      <c r="F406" s="12" t="n">
        <f aca="false">F405/E405-1</f>
        <v>0.576285483486379</v>
      </c>
      <c r="G406" s="12" t="n">
        <f aca="false">G405/F405-1</f>
        <v>-0.0262780535992796</v>
      </c>
      <c r="H406" s="12" t="n">
        <f aca="false">H405/G405-1</f>
        <v>0.0239946440291359</v>
      </c>
      <c r="I406" s="12" t="n">
        <f aca="false">I405/H405-1</f>
        <v>0.00337775172177723</v>
      </c>
    </row>
    <row r="407" customFormat="false" ht="17.15" hidden="false" customHeight="false" outlineLevel="0" collapsed="false">
      <c r="A407" s="5" t="s">
        <v>526</v>
      </c>
      <c r="B407" s="0" t="s">
        <v>449</v>
      </c>
      <c r="C407" s="13" t="n">
        <f aca="false">C405/C403</f>
        <v>0.0656417391304348</v>
      </c>
      <c r="D407" s="13" t="n">
        <f aca="false">D405/D403</f>
        <v>0.0618292107462827</v>
      </c>
      <c r="E407" s="13" t="n">
        <f aca="false">E405/E403</f>
        <v>0.247522522996933</v>
      </c>
      <c r="F407" s="13" t="n">
        <f aca="false">F405/F403</f>
        <v>0.310203827488143</v>
      </c>
      <c r="G407" s="13" t="n">
        <f aca="false">G405/G403</f>
        <v>0.251994332667295</v>
      </c>
      <c r="H407" s="13" t="n">
        <f aca="false">H405/H403</f>
        <v>0.216259072144557</v>
      </c>
      <c r="I407" s="13" t="n">
        <f aca="false">I405/I403</f>
        <v>0.190823457861482</v>
      </c>
    </row>
    <row r="408" customFormat="false" ht="17.15" hidden="false" customHeight="false" outlineLevel="0" collapsed="false">
      <c r="A408" s="5" t="s">
        <v>450</v>
      </c>
      <c r="B408" s="0" t="s">
        <v>25</v>
      </c>
      <c r="D408" s="12" t="n">
        <f aca="false">D407/C407-1</f>
        <v>-0.0580808557886664</v>
      </c>
      <c r="E408" s="12" t="n">
        <f aca="false">E407/D407-1</f>
        <v>3.0033265831687</v>
      </c>
      <c r="F408" s="12" t="n">
        <f aca="false">F407/E407-1</f>
        <v>0.253234751053288</v>
      </c>
      <c r="G408" s="12" t="n">
        <f aca="false">G407/F407-1</f>
        <v>-0.187649183094213</v>
      </c>
      <c r="H408" s="12" t="n">
        <f aca="false">H407/G407-1</f>
        <v>-0.141809778594979</v>
      </c>
      <c r="I408" s="12" t="n">
        <f aca="false">I407/H407-1</f>
        <v>-0.117616403468486</v>
      </c>
      <c r="AB408" s="8" t="s">
        <v>527</v>
      </c>
    </row>
    <row r="409" customFormat="false" ht="15" hidden="false" customHeight="false" outlineLevel="0" collapsed="false">
      <c r="A409" s="5" t="s">
        <v>528</v>
      </c>
      <c r="B409" s="0" t="s">
        <v>25</v>
      </c>
      <c r="D409" s="12" t="n">
        <f aca="false">SUM(C426:F426)/D405</f>
        <v>0.309407714439551</v>
      </c>
      <c r="E409" s="12" t="n">
        <f aca="false">SUM(G426:J426)/E405</f>
        <v>0.298146371102126</v>
      </c>
      <c r="F409" s="12" t="n">
        <f aca="false">SUM(K426:N426)/F405</f>
        <v>0.293146371102126</v>
      </c>
      <c r="G409" s="12" t="n">
        <f aca="false">SUM(O426:R426)/G405</f>
        <v>0.288146371102126</v>
      </c>
      <c r="H409" s="12" t="n">
        <f aca="false">SUM(S426:V426)/H405</f>
        <v>0.283146371102126</v>
      </c>
      <c r="I409" s="12" t="n">
        <f aca="false">SUM(W426:Z426)/I405</f>
        <v>0.278146371102126</v>
      </c>
    </row>
    <row r="410" customFormat="false" ht="17.15" hidden="false" customHeight="false" outlineLevel="0" collapsed="false">
      <c r="A410" s="5" t="s">
        <v>529</v>
      </c>
      <c r="B410" s="0" t="s">
        <v>25</v>
      </c>
      <c r="D410" s="12" t="n">
        <f aca="false">SUM(C427:F427)/D405</f>
        <v>0.200693094775109</v>
      </c>
      <c r="E410" s="12" t="n">
        <f aca="false">SUM(G427:J427)/E405</f>
        <v>0.177730130982399</v>
      </c>
      <c r="F410" s="12" t="n">
        <f aca="false">SUM(K427:N427)/F405</f>
        <v>0.177730130982399</v>
      </c>
      <c r="G410" s="12" t="n">
        <f aca="false">SUM(O427:R427)/G405</f>
        <v>0.177730130982399</v>
      </c>
      <c r="H410" s="12" t="n">
        <f aca="false">SUM(S427:V427)/H405</f>
        <v>0.177730130982399</v>
      </c>
      <c r="I410" s="12" t="n">
        <f aca="false">SUM(W427:Z427)/I405</f>
        <v>0.177730130982399</v>
      </c>
    </row>
    <row r="411" customFormat="false" ht="15" hidden="false" customHeight="false" outlineLevel="0" collapsed="false">
      <c r="A411" s="5" t="s">
        <v>530</v>
      </c>
      <c r="B411" s="0" t="s">
        <v>25</v>
      </c>
      <c r="D411" s="12" t="n">
        <f aca="false">SUM(C428:F428)/D405</f>
        <v>0.134732995651405</v>
      </c>
      <c r="E411" s="12" t="n">
        <f aca="false">SUM(G428:J428)/E405</f>
        <v>0.14511909777462</v>
      </c>
      <c r="F411" s="12" t="n">
        <f aca="false">SUM(K428:N428)/F405</f>
        <v>0.14711909777462</v>
      </c>
      <c r="G411" s="12" t="n">
        <f aca="false">SUM(O428:R428)/G405</f>
        <v>0.14911909777462</v>
      </c>
      <c r="H411" s="12" t="n">
        <f aca="false">SUM(S428:V428)/H405</f>
        <v>0.15111909777462</v>
      </c>
      <c r="I411" s="12" t="n">
        <f aca="false">SUM(W428:Z428)/I405</f>
        <v>0.15311909777462</v>
      </c>
    </row>
    <row r="412" customFormat="false" ht="17.15" hidden="false" customHeight="false" outlineLevel="0" collapsed="false">
      <c r="A412" s="5" t="s">
        <v>531</v>
      </c>
      <c r="B412" s="0" t="s">
        <v>25</v>
      </c>
      <c r="D412" s="12" t="n">
        <f aca="false">SUM(C429:F429)/D405</f>
        <v>0.143593307473992</v>
      </c>
      <c r="E412" s="12" t="n">
        <f aca="false">SUM(G429:J429)/E405</f>
        <v>0.139707594749671</v>
      </c>
      <c r="F412" s="12" t="n">
        <f aca="false">SUM(K429:N429)/F405</f>
        <v>0.138830458971725</v>
      </c>
      <c r="G412" s="12" t="n">
        <f aca="false">SUM(O429:R429)/G405</f>
        <v>0.138830458971725</v>
      </c>
      <c r="H412" s="12" t="n">
        <f aca="false">SUM(S429:V429)/H405</f>
        <v>0.138830458971725</v>
      </c>
      <c r="I412" s="12" t="n">
        <f aca="false">SUM(W429:Z429)/I405</f>
        <v>0.138830458971725</v>
      </c>
    </row>
    <row r="413" customFormat="false" ht="17.15" hidden="false" customHeight="false" outlineLevel="0" collapsed="false">
      <c r="A413" s="5" t="s">
        <v>532</v>
      </c>
      <c r="B413" s="0" t="s">
        <v>25</v>
      </c>
      <c r="D413" s="12" t="n">
        <f aca="false">SUM(C430:F430)/D405</f>
        <v>0.125591404088418</v>
      </c>
      <c r="E413" s="12" t="n">
        <f aca="false">SUM(G430:J430)/E405</f>
        <v>0.112205077601739</v>
      </c>
      <c r="F413" s="12" t="n">
        <f aca="false">SUM(K430:N430)/F405</f>
        <v>0.10676126326737</v>
      </c>
      <c r="G413" s="12" t="n">
        <f aca="false">SUM(O430:R430)/G405</f>
        <v>0.10676126326737</v>
      </c>
      <c r="H413" s="12" t="n">
        <f aca="false">SUM(S430:V430)/H405</f>
        <v>0.10676126326737</v>
      </c>
      <c r="I413" s="12" t="n">
        <f aca="false">SUM(W430:Z430)/I405</f>
        <v>0.10676126326737</v>
      </c>
    </row>
    <row r="414" customFormat="false" ht="15" hidden="false" customHeight="false" outlineLevel="0" collapsed="false">
      <c r="A414" s="5" t="s">
        <v>533</v>
      </c>
      <c r="B414" s="0" t="s">
        <v>25</v>
      </c>
      <c r="D414" s="12" t="n">
        <f aca="false">SUM(C431:F431)/D405</f>
        <v>0.0859814835715252</v>
      </c>
      <c r="E414" s="12" t="n">
        <f aca="false">SUM(G431:J431)/E405</f>
        <v>0.127091727789445</v>
      </c>
      <c r="F414" s="12" t="n">
        <f aca="false">SUM(K431:N431)/F405</f>
        <v>0.13641267790176</v>
      </c>
      <c r="G414" s="12" t="n">
        <f aca="false">SUM(O431:R431)/G405</f>
        <v>0.13941267790176</v>
      </c>
      <c r="H414" s="12" t="n">
        <f aca="false">SUM(S431:V431)/H405</f>
        <v>0.14241267790176</v>
      </c>
      <c r="I414" s="12" t="n">
        <f aca="false">SUM(W431:Z431)/I405</f>
        <v>0.14541267790176</v>
      </c>
    </row>
    <row r="416" customFormat="false" ht="17.15" hidden="false" customHeight="false" outlineLevel="0" collapsed="false">
      <c r="A416" s="9" t="s">
        <v>534</v>
      </c>
      <c r="B416" s="6" t="s">
        <v>15</v>
      </c>
      <c r="C416" s="9" t="s">
        <v>468</v>
      </c>
      <c r="D416" s="9" t="s">
        <v>469</v>
      </c>
      <c r="E416" s="9" t="s">
        <v>470</v>
      </c>
      <c r="F416" s="9" t="s">
        <v>471</v>
      </c>
      <c r="G416" s="9" t="s">
        <v>472</v>
      </c>
      <c r="H416" s="9" t="s">
        <v>473</v>
      </c>
      <c r="I416" s="9" t="s">
        <v>474</v>
      </c>
      <c r="J416" s="9" t="s">
        <v>475</v>
      </c>
      <c r="K416" s="9" t="s">
        <v>476</v>
      </c>
      <c r="L416" s="9" t="s">
        <v>477</v>
      </c>
      <c r="M416" s="9" t="s">
        <v>478</v>
      </c>
      <c r="N416" s="9" t="s">
        <v>479</v>
      </c>
      <c r="O416" s="9" t="s">
        <v>480</v>
      </c>
      <c r="P416" s="9" t="s">
        <v>481</v>
      </c>
      <c r="Q416" s="9" t="s">
        <v>482</v>
      </c>
      <c r="R416" s="9" t="s">
        <v>483</v>
      </c>
      <c r="S416" s="9" t="s">
        <v>484</v>
      </c>
      <c r="T416" s="9" t="s">
        <v>485</v>
      </c>
      <c r="U416" s="9" t="s">
        <v>486</v>
      </c>
      <c r="V416" s="9" t="s">
        <v>487</v>
      </c>
      <c r="W416" s="9" t="s">
        <v>488</v>
      </c>
      <c r="X416" s="9" t="s">
        <v>489</v>
      </c>
      <c r="Y416" s="9" t="s">
        <v>490</v>
      </c>
      <c r="Z416" s="9" t="s">
        <v>491</v>
      </c>
      <c r="AA416" s="9"/>
      <c r="AB416" s="6" t="s">
        <v>434</v>
      </c>
    </row>
    <row r="417" customFormat="false" ht="17.15" hidden="false" customHeight="false" outlineLevel="0" collapsed="false">
      <c r="A417" s="5" t="s">
        <v>535</v>
      </c>
      <c r="B417" s="0" t="s">
        <v>536</v>
      </c>
      <c r="C417" s="13" t="n">
        <f aca="false">Path!C4</f>
        <v>1</v>
      </c>
      <c r="D417" s="13" t="n">
        <f aca="false">Path!D4</f>
        <v>1</v>
      </c>
      <c r="E417" s="13" t="n">
        <f aca="false">Path!E4</f>
        <v>1.05</v>
      </c>
      <c r="F417" s="13" t="n">
        <f aca="false">Path!F4</f>
        <v>1.365</v>
      </c>
      <c r="G417" s="13" t="n">
        <f aca="false">Path!G4</f>
        <v>2.559375</v>
      </c>
      <c r="H417" s="13" t="n">
        <f aca="false">Path!H4</f>
        <v>4.414921875</v>
      </c>
      <c r="I417" s="13" t="n">
        <f aca="false">Path!I4</f>
        <v>5.51865234375</v>
      </c>
      <c r="J417" s="13" t="n">
        <f aca="false">Path!J4</f>
        <v>5.96566318359375</v>
      </c>
      <c r="K417" s="13" t="n">
        <f aca="false">Path!K4*1</f>
        <v>6.14463307910156</v>
      </c>
      <c r="L417" s="13" t="n">
        <f aca="false">Path!L4*1</f>
        <v>6.14463307910156</v>
      </c>
      <c r="M417" s="13" t="n">
        <f aca="false">Path!M4*1</f>
        <v>5.83740142514648</v>
      </c>
      <c r="N417" s="13" t="n">
        <f aca="false">Path!N4*1</f>
        <v>5.42878332538623</v>
      </c>
      <c r="O417" s="13" t="n">
        <f aca="false">Path!O4*1</f>
        <v>5.15734415911692</v>
      </c>
      <c r="P417" s="13" t="n">
        <f aca="false">Path!P4*1</f>
        <v>4.89947695116107</v>
      </c>
      <c r="Q417" s="13" t="n">
        <f aca="false">Path!Q4*1</f>
        <v>4.65450310360302</v>
      </c>
      <c r="R417" s="13" t="n">
        <f aca="false">Path!R4*1</f>
        <v>4.42177794842287</v>
      </c>
      <c r="S417" s="13" t="n">
        <f aca="false">Path!S4*1</f>
        <v>4.28912460997018</v>
      </c>
      <c r="T417" s="13" t="n">
        <f aca="false">Path!T4*1</f>
        <v>4.16045087167108</v>
      </c>
      <c r="U417" s="13" t="n">
        <f aca="false">Path!U4*1</f>
        <v>4.03563734552094</v>
      </c>
      <c r="V417" s="13" t="n">
        <f aca="false">Path!V4*1</f>
        <v>3.91456822515532</v>
      </c>
      <c r="W417" s="13" t="n">
        <f aca="false">Path!V4*(1+p10)^(1/4)*1</f>
        <v>3.79144302937821</v>
      </c>
      <c r="X417" s="13" t="n">
        <f aca="false">Path!V4*(1+p10)^(2/4)*1</f>
        <v>3.6721904992345</v>
      </c>
      <c r="Y417" s="13" t="n">
        <f aca="false">Path!V4*(1+p10)^(3/4)*1</f>
        <v>3.55668882749365</v>
      </c>
      <c r="Z417" s="13" t="n">
        <f aca="false">Path!V4*(1+p10)^(4/4)*1</f>
        <v>3.44482003813668</v>
      </c>
      <c r="AB417" s="8" t="s">
        <v>537</v>
      </c>
    </row>
    <row r="418" customFormat="false" ht="17.15" hidden="false" customHeight="false" outlineLevel="0" collapsed="false">
      <c r="A418" s="5" t="s">
        <v>538</v>
      </c>
      <c r="B418" s="0" t="s">
        <v>222</v>
      </c>
      <c r="C418" s="10" t="n">
        <f aca="false">D403/4*(D403/C403)^((1-2.5)/4)/(((D403/C403)^(-0.375)+(D403/C403)^(-0.125)+(D403/C403)^(0.125)+(D403/C403)^(0.375))/4)</f>
        <v>275.399553586603</v>
      </c>
      <c r="D418" s="10" t="n">
        <f aca="false">D403/4*(D403/C403)^((2-2.5)/4)/(((D403/C403)^(-0.375)+(D403/C403)^(-0.125)+(D403/C403)^(0.125)+(D403/C403)^(0.375))/4)</f>
        <v>283.313805494328</v>
      </c>
      <c r="E418" s="10" t="n">
        <f aca="false">D403/4*(D403/C403)^((3-2.5)/4)/(((D403/C403)^(-0.375)+(D403/C403)^(-0.125)+(D403/C403)^(0.125)+(D403/C403)^(0.375))/4)</f>
        <v>291.455491987343</v>
      </c>
      <c r="F418" s="10" t="n">
        <f aca="false">D403/4*(D403/C403)^((4-2.5)/4)/(((D403/C403)^(-0.375)+(D403/C403)^(-0.125)+(D403/C403)^(0.125)+(D403/C403)^(0.375))/4)</f>
        <v>299.831148931727</v>
      </c>
      <c r="G418" s="10" t="n">
        <f aca="false">E403/4*(E403/D403)^((1-2.5)/4)/(((E403/D403)^(-0.375)+(E403/D403)^(-0.125)+(E403/D403)^(0.125)+(E403/D403)^(0.375))/4)</f>
        <v>322.195242468986</v>
      </c>
      <c r="H418" s="10" t="n">
        <f aca="false">E403/4*(E403/D403)^((2-2.5)/4)/(((E403/D403)^(-0.375)+(E403/D403)^(-0.125)+(E403/D403)^(0.125)+(E403/D403)^(0.375))/4)</f>
        <v>337.397886205936</v>
      </c>
      <c r="I418" s="10" t="n">
        <f aca="false">E403/4*(E403/D403)^((3-2.5)/4)/(((E403/D403)^(-0.375)+(E403/D403)^(-0.125)+(E403/D403)^(0.125)+(E403/D403)^(0.375))/4)</f>
        <v>353.317860139388</v>
      </c>
      <c r="J418" s="10" t="n">
        <f aca="false">E403/4*(E403/D403)^((4-2.5)/4)/(((E403/D403)^(-0.375)+(E403/D403)^(-0.125)+(E403/D403)^(0.125)+(E403/D403)^(0.375))/4)</f>
        <v>369.98901118569</v>
      </c>
      <c r="K418" s="10" t="n">
        <f aca="false">F403/4*(F403/E403)^((1-2.5)/4)/(((F403/E403)^(-0.375)+(F403/E403)^(-0.125)+(F403/E403)^(0.125)+(F403/E403)^(0.375))/4)</f>
        <v>398.190064956364</v>
      </c>
      <c r="L418" s="10" t="n">
        <f aca="false">F403/4*(F403/E403)^((2-2.5)/4)/(((F403/E403)^(-0.375)+(F403/E403)^(-0.125)+(F403/E403)^(0.125)+(F403/E403)^(0.375))/4)</f>
        <v>421.687795392205</v>
      </c>
      <c r="M418" s="10" t="n">
        <f aca="false">F403/4*(F403/E403)^((3-2.5)/4)/(((F403/E403)^(-0.375)+(F403/E403)^(-0.125)+(F403/E403)^(0.125)+(F403/E403)^(0.375))/4)</f>
        <v>446.572158454593</v>
      </c>
      <c r="N418" s="10" t="n">
        <f aca="false">F403/4*(F403/E403)^((4-2.5)/4)/(((F403/E403)^(-0.375)+(F403/E403)^(-0.125)+(F403/E403)^(0.125)+(F403/E403)^(0.375))/4)</f>
        <v>472.924981196837</v>
      </c>
      <c r="O418" s="10" t="n">
        <f aca="false">G403/4*(G403/F403)^((1-2.5)/4)/(((G403/F403)^(-0.375)+(G403/F403)^(-0.125)+(G403/F403)^(0.125)+(G403/F403)^(0.375))/4)</f>
        <v>486.360742339168</v>
      </c>
      <c r="P418" s="10" t="n">
        <f aca="false">G403/4*(G403/F403)^((2-2.5)/4)/(((G403/F403)^(-0.375)+(G403/F403)^(-0.125)+(G403/F403)^(0.125)+(G403/F403)^(0.375))/4)</f>
        <v>508.898706393431</v>
      </c>
      <c r="Q418" s="10" t="n">
        <f aca="false">G403/4*(G403/F403)^((3-2.5)/4)/(((G403/F403)^(-0.375)+(G403/F403)^(-0.125)+(G403/F403)^(0.125)+(G403/F403)^(0.375))/4)</f>
        <v>532.481080038132</v>
      </c>
      <c r="R418" s="10" t="n">
        <f aca="false">G403/4*(G403/F403)^((4-2.5)/4)/(((G403/F403)^(-0.375)+(G403/F403)^(-0.125)+(G403/F403)^(0.125)+(G403/F403)^(0.375))/4)</f>
        <v>557.156261229269</v>
      </c>
      <c r="S418" s="10" t="n">
        <f aca="false">H403/4*(H403/G403)^((1-2.5)/4)/(((H403/G403)^(-0.375)+(H403/G403)^(-0.125)+(H403/G403)^(0.125)+(H403/G403)^(0.375))/4)</f>
        <v>581.355402645231</v>
      </c>
      <c r="T418" s="10" t="n">
        <f aca="false">H403/4*(H403/G403)^((2-2.5)/4)/(((H403/G403)^(-0.375)+(H403/G403)^(-0.125)+(H403/G403)^(0.125)+(H403/G403)^(0.375))/4)</f>
        <v>607.603467500879</v>
      </c>
      <c r="U418" s="10" t="n">
        <f aca="false">H403/4*(H403/G403)^((3-2.5)/4)/(((H403/G403)^(-0.375)+(H403/G403)^(-0.125)+(H403/G403)^(0.125)+(H403/G403)^(0.375))/4)</f>
        <v>635.036626544234</v>
      </c>
      <c r="V418" s="10" t="n">
        <f aca="false">H403/4*(H403/G403)^((4-2.5)/4)/(((H403/G403)^(-0.375)+(H403/G403)^(-0.125)+(H403/G403)^(0.125)+(H403/G403)^(0.375))/4)</f>
        <v>663.708386509656</v>
      </c>
      <c r="W418" s="10" t="n">
        <f aca="false">I403/4*(I403/H403)^((1-2.5)/4)/(((I403/H403)^(-0.375)+(I403/H403)^(-0.125)+(I403/H403)^(0.125)+(I403/H403)^(0.375))/4)</f>
        <v>673.500632859534</v>
      </c>
      <c r="X418" s="10" t="n">
        <f aca="false">I403/4*(I403/H403)^((2-2.5)/4)/(((I403/H403)^(-0.375)+(I403/H403)^(-0.125)+(I403/H403)^(0.125)+(I403/H403)^(0.375))/4)</f>
        <v>695.48820395592</v>
      </c>
      <c r="Y418" s="10" t="n">
        <f aca="false">I403/4*(I403/H403)^((3-2.5)/4)/(((I403/H403)^(-0.375)+(I403/H403)^(-0.125)+(I403/H403)^(0.125)+(I403/H403)^(0.375))/4)</f>
        <v>718.193596623855</v>
      </c>
      <c r="Z418" s="10" t="n">
        <f aca="false">I403/4*(I403/H403)^((4-2.5)/4)/(((I403/H403)^(-0.375)+(I403/H403)^(-0.125)+(I403/H403)^(0.125)+(I403/H403)^(0.375))/4)</f>
        <v>741.640245366692</v>
      </c>
      <c r="AB418" s="5" t="s">
        <v>539</v>
      </c>
    </row>
    <row r="419" customFormat="false" ht="17.15" hidden="false" customHeight="false" outlineLevel="0" collapsed="false">
      <c r="A419" s="0" t="s">
        <v>540</v>
      </c>
      <c r="B419" s="0" t="s">
        <v>285</v>
      </c>
      <c r="C419" s="10" t="n">
        <f aca="false">(rv_ss_0+rv_sk_0+rv_mu_0+rv_kx_0+rv_sd_0)/t5_0</f>
        <v>12.9354838709677</v>
      </c>
      <c r="D419" s="10" t="n">
        <f aca="false">(rv_ss_1+rv_sk_1+rv_mu_1+rv_kx_1+rv_sd_1)/t5_1</f>
        <v>15.8054711246201</v>
      </c>
      <c r="E419" s="10" t="n">
        <f aca="false">(rv_ss_2+rv_sk_2+rv_mu_2+rv_kx_2+rv_sd_2)/t5_2</f>
        <v>18.7912087912088</v>
      </c>
      <c r="F419" s="10" t="n">
        <f aca="false">(rv_ss_3+rv_sk_3+rv_mu_3+rv_kx_3+rv_sd_3)/t5_3</f>
        <v>23.5714285714286</v>
      </c>
      <c r="G419" s="10" t="n">
        <f aca="false">(rv_ss_4+rv_sk_4+rv_mu_4+rv_kx_4+rv_sd_4)/t5_4</f>
        <v>43.954802259887</v>
      </c>
      <c r="H419" s="10" t="n">
        <f aca="false">(rv_ss_5+rv_sk_5+rv_mu_5+rv_kx_5+rv_sd_5)/t5_5</f>
        <v>78.703071672355</v>
      </c>
      <c r="I419" s="10" t="n">
        <f aca="false">$H419*I417/$H417*I418/$H418</f>
        <v>103.020802761864</v>
      </c>
      <c r="J419" s="10" t="n">
        <f aca="false">$H419*J417/$H417*J418/$H418</f>
        <v>116.620220358353</v>
      </c>
      <c r="K419" s="10" t="n">
        <f aca="false">$H419*K417/$H417*K418/$H418</f>
        <v>129.274443476119</v>
      </c>
      <c r="L419" s="10" t="n">
        <f aca="false">$H419*L417/$H417*L418/$H418</f>
        <v>136.903101979635</v>
      </c>
      <c r="M419" s="10" t="n">
        <f aca="false">$H419*M417/$H417*M418/$H418</f>
        <v>137.732840972186</v>
      </c>
      <c r="N419" s="10" t="n">
        <f aca="false">$H419*N417/$H417*N418/$H418</f>
        <v>135.65039600925</v>
      </c>
      <c r="O419" s="10" t="n">
        <f aca="false">$H419*O417/$H417*O418/$H418</f>
        <v>132.52900233344</v>
      </c>
      <c r="P419" s="10" t="n">
        <f aca="false">$H419*P417/$H417*P418/$H418</f>
        <v>131.73687836438</v>
      </c>
      <c r="Q419" s="10" t="n">
        <f aca="false">$H419*Q417/$H417*Q418/$H418</f>
        <v>130.949488909059</v>
      </c>
      <c r="R419" s="10" t="n">
        <f aca="false">$H419*R417/$H417*R418/$H418</f>
        <v>130.166805669356</v>
      </c>
      <c r="S419" s="10" t="n">
        <f aca="false">$H419*S417/$H417*S418/$H418</f>
        <v>131.745769647051</v>
      </c>
      <c r="T419" s="10" t="n">
        <f aca="false">$H419*T417/$H417*T418/$H418</f>
        <v>133.563239489702</v>
      </c>
      <c r="U419" s="10" t="n">
        <f aca="false">$H419*U417/$H417*U418/$H418</f>
        <v>135.405781838572</v>
      </c>
      <c r="V419" s="10" t="n">
        <f aca="false">$H419*V417/$H417*V418/$H418</f>
        <v>137.273742575918</v>
      </c>
      <c r="W419" s="10" t="n">
        <f aca="false">$H419*W417/$H417*W418/$H418</f>
        <v>134.917673945528</v>
      </c>
      <c r="X419" s="10" t="n">
        <f aca="false">$H419*X417/$H417*X418/$H418</f>
        <v>134.940176354134</v>
      </c>
      <c r="Y419" s="10" t="n">
        <f aca="false">$H419*Y417/$H417*Y418/$H418</f>
        <v>134.962682515832</v>
      </c>
      <c r="Z419" s="10" t="n">
        <f aca="false">$H419*Z417/$H417*Z418/$H418</f>
        <v>134.985192431248</v>
      </c>
      <c r="AB419" s="5" t="s">
        <v>541</v>
      </c>
    </row>
    <row r="420" customFormat="false" ht="17.15" hidden="false" customHeight="false" outlineLevel="0" collapsed="false">
      <c r="A420" s="5" t="s">
        <v>454</v>
      </c>
      <c r="B420" s="0" t="s">
        <v>25</v>
      </c>
      <c r="C420" s="12" t="n">
        <f aca="false">rv_ss_0/C419</f>
        <v>0.324688279301746</v>
      </c>
      <c r="D420" s="12" t="n">
        <f aca="false">rv_ss_1/D419</f>
        <v>0.329</v>
      </c>
      <c r="E420" s="12" t="n">
        <f aca="false">rv_ss_2/E419</f>
        <v>0.319298245614035</v>
      </c>
      <c r="F420" s="12" t="n">
        <f aca="false">rv_ss_3/F419</f>
        <v>0.28</v>
      </c>
      <c r="G420" s="12" t="n">
        <f aca="false">rv_ss_4/G419</f>
        <v>0.30736118251928</v>
      </c>
      <c r="H420" s="12" t="n">
        <f aca="false">rv_ss_5/H419</f>
        <v>0.293</v>
      </c>
      <c r="I420" s="12" t="n">
        <f aca="false">(rv_ss_4+rv_ss_5)/($G419+$H419)</f>
        <v>0.298146371102126</v>
      </c>
      <c r="J420" s="12" t="n">
        <f aca="false">(rv_ss_4+rv_ss_5)/($G419+$H419)</f>
        <v>0.298146371102126</v>
      </c>
      <c r="K420" s="12" t="n">
        <f aca="false">(rv_ss_4+rv_ss_5)/($G419+$H419)+dr_ss/100*1</f>
        <v>0.293146371102126</v>
      </c>
      <c r="L420" s="12" t="n">
        <f aca="false">(rv_ss_4+rv_ss_5)/($G419+$H419)+dr_ss/100*1</f>
        <v>0.293146371102126</v>
      </c>
      <c r="M420" s="12" t="n">
        <f aca="false">(rv_ss_4+rv_ss_5)/($G419+$H419)+dr_ss/100*1</f>
        <v>0.293146371102126</v>
      </c>
      <c r="N420" s="12" t="n">
        <f aca="false">(rv_ss_4+rv_ss_5)/($G419+$H419)+dr_ss/100*1</f>
        <v>0.293146371102126</v>
      </c>
      <c r="O420" s="12" t="n">
        <f aca="false">(rv_ss_4+rv_ss_5)/($G419+$H419)+dr_ss/100*2</f>
        <v>0.288146371102126</v>
      </c>
      <c r="P420" s="12" t="n">
        <f aca="false">(rv_ss_4+rv_ss_5)/($G419+$H419)+dr_ss/100*2</f>
        <v>0.288146371102126</v>
      </c>
      <c r="Q420" s="12" t="n">
        <f aca="false">(rv_ss_4+rv_ss_5)/($G419+$H419)+dr_ss/100*2</f>
        <v>0.288146371102126</v>
      </c>
      <c r="R420" s="12" t="n">
        <f aca="false">(rv_ss_4+rv_ss_5)/($G419+$H419)+dr_ss/100*2</f>
        <v>0.288146371102126</v>
      </c>
      <c r="S420" s="12" t="n">
        <f aca="false">(rv_ss_4+rv_ss_5)/($G419+$H419)+dr_ss/100*3</f>
        <v>0.283146371102126</v>
      </c>
      <c r="T420" s="12" t="n">
        <f aca="false">(rv_ss_4+rv_ss_5)/($G419+$H419)+dr_ss/100*3</f>
        <v>0.283146371102126</v>
      </c>
      <c r="U420" s="12" t="n">
        <f aca="false">(rv_ss_4+rv_ss_5)/($G419+$H419)+dr_ss/100*3</f>
        <v>0.283146371102126</v>
      </c>
      <c r="V420" s="12" t="n">
        <f aca="false">(rv_ss_4+rv_ss_5)/($G419+$H419)+dr_ss/100*3</f>
        <v>0.283146371102126</v>
      </c>
      <c r="W420" s="12" t="n">
        <f aca="false">(rv_ss_4+rv_ss_5)/($G419+$H419)+dr_ss/100*4</f>
        <v>0.278146371102126</v>
      </c>
      <c r="X420" s="12" t="n">
        <f aca="false">(rv_ss_4+rv_ss_5)/($G419+$H419)+dr_ss/100*4</f>
        <v>0.278146371102126</v>
      </c>
      <c r="Y420" s="12" t="n">
        <f aca="false">(rv_ss_4+rv_ss_5)/($G419+$H419)+dr_ss/100*4</f>
        <v>0.278146371102126</v>
      </c>
      <c r="Z420" s="12" t="n">
        <f aca="false">(rv_ss_4+rv_ss_5)/($G419+$H419)+dr_ss/100*4</f>
        <v>0.278146371102126</v>
      </c>
      <c r="AB420" s="8" t="s">
        <v>542</v>
      </c>
    </row>
    <row r="421" customFormat="false" ht="17.15" hidden="false" customHeight="false" outlineLevel="0" collapsed="false">
      <c r="A421" s="5" t="s">
        <v>455</v>
      </c>
      <c r="B421" s="0" t="s">
        <v>25</v>
      </c>
      <c r="C421" s="12" t="n">
        <f aca="false">rv_sk_0/C419</f>
        <v>0.16930174563591</v>
      </c>
      <c r="D421" s="12" t="n">
        <f aca="false">rv_sk_1/D419</f>
        <v>0.211319230769231</v>
      </c>
      <c r="E421" s="12" t="n">
        <f aca="false">rv_sk_2/E419</f>
        <v>0.187853801169591</v>
      </c>
      <c r="F421" s="12" t="n">
        <f aca="false">rv_sk_3/F419</f>
        <v>0.221030303030303</v>
      </c>
      <c r="G421" s="12" t="n">
        <f aca="false">rv_sk_4/G419</f>
        <v>0.17131233933162</v>
      </c>
      <c r="H421" s="12" t="n">
        <f aca="false">rv_sk_5/H419</f>
        <v>0.181314397224631</v>
      </c>
      <c r="I421" s="12" t="n">
        <f aca="false">(rv_sk_4+rv_sk_5)/($G419+$H419)</f>
        <v>0.177730130982399</v>
      </c>
      <c r="J421" s="12" t="n">
        <f aca="false">(rv_sk_4+rv_sk_5)/($G419+$H419)</f>
        <v>0.177730130982399</v>
      </c>
      <c r="K421" s="12" t="n">
        <f aca="false">(rv_sk_4+rv_sk_5)/($G419+$H419)+dr_sk/100*1</f>
        <v>0.177730130982399</v>
      </c>
      <c r="L421" s="12" t="n">
        <f aca="false">(rv_sk_4+rv_sk_5)/($G419+$H419)+dr_sk/100*1</f>
        <v>0.177730130982399</v>
      </c>
      <c r="M421" s="12" t="n">
        <f aca="false">(rv_sk_4+rv_sk_5)/($G419+$H419)+dr_sk/100*1</f>
        <v>0.177730130982399</v>
      </c>
      <c r="N421" s="12" t="n">
        <f aca="false">(rv_sk_4+rv_sk_5)/($G419+$H419)+dr_sk/100*1</f>
        <v>0.177730130982399</v>
      </c>
      <c r="O421" s="12" t="n">
        <f aca="false">(rv_sk_4+rv_sk_5)/($G419+$H419)+dr_sk/100*2</f>
        <v>0.177730130982399</v>
      </c>
      <c r="P421" s="12" t="n">
        <f aca="false">(rv_sk_4+rv_sk_5)/($G419+$H419)+dr_sk/100*2</f>
        <v>0.177730130982399</v>
      </c>
      <c r="Q421" s="12" t="n">
        <f aca="false">(rv_sk_4+rv_sk_5)/($G419+$H419)+dr_sk/100*2</f>
        <v>0.177730130982399</v>
      </c>
      <c r="R421" s="12" t="n">
        <f aca="false">(rv_sk_4+rv_sk_5)/($G419+$H419)+dr_sk/100*2</f>
        <v>0.177730130982399</v>
      </c>
      <c r="S421" s="12" t="n">
        <f aca="false">(rv_sk_4+rv_sk_5)/($G419+$H419)+dr_sk/100*3</f>
        <v>0.177730130982399</v>
      </c>
      <c r="T421" s="12" t="n">
        <f aca="false">(rv_sk_4+rv_sk_5)/($G419+$H419)+dr_sk/100*3</f>
        <v>0.177730130982399</v>
      </c>
      <c r="U421" s="12" t="n">
        <f aca="false">(rv_sk_4+rv_sk_5)/($G419+$H419)+dr_sk/100*3</f>
        <v>0.177730130982399</v>
      </c>
      <c r="V421" s="12" t="n">
        <f aca="false">(rv_sk_4+rv_sk_5)/($G419+$H419)+dr_sk/100*3</f>
        <v>0.177730130982399</v>
      </c>
      <c r="W421" s="12" t="n">
        <f aca="false">(rv_sk_4+rv_sk_5)/($G419+$H419)+dr_sk/100*4</f>
        <v>0.177730130982399</v>
      </c>
      <c r="X421" s="12" t="n">
        <f aca="false">(rv_sk_4+rv_sk_5)/($G419+$H419)+dr_sk/100*4</f>
        <v>0.177730130982399</v>
      </c>
      <c r="Y421" s="12" t="n">
        <f aca="false">(rv_sk_4+rv_sk_5)/($G419+$H419)+dr_sk/100*4</f>
        <v>0.177730130982399</v>
      </c>
      <c r="Z421" s="12" t="n">
        <f aca="false">(rv_sk_4+rv_sk_5)/($G419+$H419)+dr_sk/100*4</f>
        <v>0.177730130982399</v>
      </c>
      <c r="AB421" s="8" t="s">
        <v>542</v>
      </c>
    </row>
    <row r="422" customFormat="false" ht="17.15" hidden="false" customHeight="false" outlineLevel="0" collapsed="false">
      <c r="A422" s="5" t="s">
        <v>456</v>
      </c>
      <c r="B422" s="0" t="s">
        <v>25</v>
      </c>
      <c r="C422" s="12" t="n">
        <f aca="false">rv_mu_0/C419</f>
        <v>0.156932668329177</v>
      </c>
      <c r="D422" s="12" t="n">
        <f aca="false">rv_mu_1/D419</f>
        <v>0.132865384615385</v>
      </c>
      <c r="E422" s="12" t="n">
        <f aca="false">rv_mu_2/E419</f>
        <v>0.128783625730994</v>
      </c>
      <c r="F422" s="12" t="n">
        <f aca="false">rv_mu_3/F419</f>
        <v>0.128545454545455</v>
      </c>
      <c r="G422" s="12" t="n">
        <f aca="false">rv_mu_4/G419</f>
        <v>0.135366323907455</v>
      </c>
      <c r="H422" s="12" t="n">
        <f aca="false">rv_mu_5/H419</f>
        <v>0.150565915004337</v>
      </c>
      <c r="I422" s="12" t="n">
        <f aca="false">(rv_mu_4+rv_mu_5)/($G419+$H419)</f>
        <v>0.14511909777462</v>
      </c>
      <c r="J422" s="12" t="n">
        <f aca="false">(rv_mu_4+rv_mu_5)/($G419+$H419)</f>
        <v>0.14511909777462</v>
      </c>
      <c r="K422" s="12" t="n">
        <f aca="false">(rv_mu_4+rv_mu_5)/($G419+$H419)+dr_mu/100*1</f>
        <v>0.14711909777462</v>
      </c>
      <c r="L422" s="12" t="n">
        <f aca="false">(rv_mu_4+rv_mu_5)/($G419+$H419)+dr_mu/100*1</f>
        <v>0.14711909777462</v>
      </c>
      <c r="M422" s="12" t="n">
        <f aca="false">(rv_mu_4+rv_mu_5)/($G419+$H419)+dr_mu/100*1</f>
        <v>0.14711909777462</v>
      </c>
      <c r="N422" s="12" t="n">
        <f aca="false">(rv_mu_4+rv_mu_5)/($G419+$H419)+dr_mu/100*1</f>
        <v>0.14711909777462</v>
      </c>
      <c r="O422" s="12" t="n">
        <f aca="false">(rv_mu_4+rv_mu_5)/($G419+$H419)+dr_mu/100*2</f>
        <v>0.14911909777462</v>
      </c>
      <c r="P422" s="12" t="n">
        <f aca="false">(rv_mu_4+rv_mu_5)/($G419+$H419)+dr_mu/100*2</f>
        <v>0.14911909777462</v>
      </c>
      <c r="Q422" s="12" t="n">
        <f aca="false">(rv_mu_4+rv_mu_5)/($G419+$H419)+dr_mu/100*2</f>
        <v>0.14911909777462</v>
      </c>
      <c r="R422" s="12" t="n">
        <f aca="false">(rv_mu_4+rv_mu_5)/($G419+$H419)+dr_mu/100*2</f>
        <v>0.14911909777462</v>
      </c>
      <c r="S422" s="12" t="n">
        <f aca="false">(rv_mu_4+rv_mu_5)/($G419+$H419)+dr_mu/100*3</f>
        <v>0.15111909777462</v>
      </c>
      <c r="T422" s="12" t="n">
        <f aca="false">(rv_mu_4+rv_mu_5)/($G419+$H419)+dr_mu/100*3</f>
        <v>0.15111909777462</v>
      </c>
      <c r="U422" s="12" t="n">
        <f aca="false">(rv_mu_4+rv_mu_5)/($G419+$H419)+dr_mu/100*3</f>
        <v>0.15111909777462</v>
      </c>
      <c r="V422" s="12" t="n">
        <f aca="false">(rv_mu_4+rv_mu_5)/($G419+$H419)+dr_mu/100*3</f>
        <v>0.15111909777462</v>
      </c>
      <c r="W422" s="12" t="n">
        <f aca="false">(rv_mu_4+rv_mu_5)/($G419+$H419)+dr_mu/100*4</f>
        <v>0.15311909777462</v>
      </c>
      <c r="X422" s="12" t="n">
        <f aca="false">(rv_mu_4+rv_mu_5)/($G419+$H419)+dr_mu/100*4</f>
        <v>0.15311909777462</v>
      </c>
      <c r="Y422" s="12" t="n">
        <f aca="false">(rv_mu_4+rv_mu_5)/($G419+$H419)+dr_mu/100*4</f>
        <v>0.15311909777462</v>
      </c>
      <c r="Z422" s="12" t="n">
        <f aca="false">(rv_mu_4+rv_mu_5)/($G419+$H419)+dr_mu/100*4</f>
        <v>0.15311909777462</v>
      </c>
      <c r="AB422" s="8" t="s">
        <v>542</v>
      </c>
    </row>
    <row r="423" customFormat="false" ht="17.15" hidden="false" customHeight="false" outlineLevel="0" collapsed="false">
      <c r="A423" s="5" t="s">
        <v>457</v>
      </c>
      <c r="B423" s="0" t="s">
        <v>25</v>
      </c>
      <c r="C423" s="12" t="n">
        <f aca="false">rv_kx_0/C419</f>
        <v>0.148428927680798</v>
      </c>
      <c r="D423" s="12" t="n">
        <f aca="false">rv_kx_1/D419</f>
        <v>0.135396153846154</v>
      </c>
      <c r="E423" s="12" t="n">
        <f aca="false">rv_kx_2/E419</f>
        <v>0.151134502923977</v>
      </c>
      <c r="F423" s="12" t="n">
        <f aca="false">rv_kx_3/F419</f>
        <v>0.140424242424242</v>
      </c>
      <c r="G423" s="12" t="n">
        <f aca="false">rv_kx_4/G419</f>
        <v>0.13559383033419</v>
      </c>
      <c r="H423" s="12" t="n">
        <f aca="false">rv_kx_5/H419</f>
        <v>0.136208152645273</v>
      </c>
      <c r="I423" s="12" t="n">
        <f aca="false">kx_g/kx_fxg/kx_k/$I419</f>
        <v>0.145129104744901</v>
      </c>
      <c r="J423" s="12" t="n">
        <f aca="false">(kx_g/kx_fxg/kx_k/$I419+kx_g4/kx_fxg4/kx_k/$J419)/2</f>
        <v>0.138830458971725</v>
      </c>
      <c r="K423" s="12" t="n">
        <f aca="false">(kx_g/kx_fxg/kx_k/$I419+kx_g4/kx_fxg4/kx_k/$J419)/2+dr_jv_A/100*1*(kx_g/kx_fxg/kx_k)/(kx_g/kx_fxg/kx_k+sd_g/sd_k)</f>
        <v>0.138830458971725</v>
      </c>
      <c r="L423" s="12" t="n">
        <f aca="false">(kx_g/kx_fxg/kx_k/$I419+kx_g4/kx_fxg4/kx_k/$J419)/2+dr_jv_A/100*1*(kx_g/kx_fxg/kx_k)/(kx_g/kx_fxg/kx_k+sd_g/sd_k)</f>
        <v>0.138830458971725</v>
      </c>
      <c r="M423" s="12" t="n">
        <f aca="false">(kx_g/kx_fxg/kx_k/$I419+kx_g4/kx_fxg4/kx_k/$J419)/2+dr_jv_A/100*1*(kx_g/kx_fxg/kx_k)/(kx_g/kx_fxg/kx_k+sd_g/sd_k)</f>
        <v>0.138830458971725</v>
      </c>
      <c r="N423" s="12" t="n">
        <f aca="false">(kx_g/kx_fxg/kx_k/$I419+kx_g4/kx_fxg4/kx_k/$J419)/2+dr_jv_A/100*1*(kx_g/kx_fxg/kx_k)/(kx_g/kx_fxg/kx_k+sd_g/sd_k)</f>
        <v>0.138830458971725</v>
      </c>
      <c r="O423" s="12" t="n">
        <f aca="false">(kx_g/kx_fxg/kx_k/$I419+kx_g4/kx_fxg4/kx_k/$J419)/2+dr_jv_A/100*2*(kx_g/kx_fxg/kx_k)/(kx_g/kx_fxg/kx_k+sd_g/sd_k)</f>
        <v>0.138830458971725</v>
      </c>
      <c r="P423" s="12" t="n">
        <f aca="false">(kx_g/kx_fxg/kx_k/$I419+kx_g4/kx_fxg4/kx_k/$J419)/2+dr_jv_A/100*2*(kx_g/kx_fxg/kx_k)/(kx_g/kx_fxg/kx_k+sd_g/sd_k)</f>
        <v>0.138830458971725</v>
      </c>
      <c r="Q423" s="12" t="n">
        <f aca="false">(kx_g/kx_fxg/kx_k/$I419+kx_g4/kx_fxg4/kx_k/$J419)/2+dr_jv_A/100*2*(kx_g/kx_fxg/kx_k)/(kx_g/kx_fxg/kx_k+sd_g/sd_k)</f>
        <v>0.138830458971725</v>
      </c>
      <c r="R423" s="12" t="n">
        <f aca="false">(kx_g/kx_fxg/kx_k/$I419+kx_g4/kx_fxg4/kx_k/$J419)/2+dr_jv_A/100*2*(kx_g/kx_fxg/kx_k)/(kx_g/kx_fxg/kx_k+sd_g/sd_k)</f>
        <v>0.138830458971725</v>
      </c>
      <c r="S423" s="12" t="n">
        <f aca="false">(kx_g/kx_fxg/kx_k/$I419+kx_g4/kx_fxg4/kx_k/$J419)/2+dr_jv_A/100*3*(kx_g/kx_fxg/kx_k)/(kx_g/kx_fxg/kx_k+sd_g/sd_k)</f>
        <v>0.138830458971725</v>
      </c>
      <c r="T423" s="12" t="n">
        <f aca="false">(kx_g/kx_fxg/kx_k/$I419+kx_g4/kx_fxg4/kx_k/$J419)/2+dr_jv_A/100*3*(kx_g/kx_fxg/kx_k)/(kx_g/kx_fxg/kx_k+sd_g/sd_k)</f>
        <v>0.138830458971725</v>
      </c>
      <c r="U423" s="12" t="n">
        <f aca="false">(kx_g/kx_fxg/kx_k/$I419+kx_g4/kx_fxg4/kx_k/$J419)/2+dr_jv_A/100*3*(kx_g/kx_fxg/kx_k)/(kx_g/kx_fxg/kx_k+sd_g/sd_k)</f>
        <v>0.138830458971725</v>
      </c>
      <c r="V423" s="12" t="n">
        <f aca="false">(kx_g/kx_fxg/kx_k/$I419+kx_g4/kx_fxg4/kx_k/$J419)/2+dr_jv_A/100*3*(kx_g/kx_fxg/kx_k)/(kx_g/kx_fxg/kx_k+sd_g/sd_k)</f>
        <v>0.138830458971725</v>
      </c>
      <c r="W423" s="12" t="n">
        <f aca="false">(kx_g/kx_fxg/kx_k/$I419+kx_g4/kx_fxg4/kx_k/$J419)/2+dr_jv_A/100*4*(kx_g/kx_fxg/kx_k)/(kx_g/kx_fxg/kx_k+sd_g/sd_k)</f>
        <v>0.138830458971725</v>
      </c>
      <c r="X423" s="12" t="n">
        <f aca="false">(kx_g/kx_fxg/kx_k/$I419+kx_g4/kx_fxg4/kx_k/$J419)/2+dr_jv_A/100*4*(kx_g/kx_fxg/kx_k)/(kx_g/kx_fxg/kx_k+sd_g/sd_k)</f>
        <v>0.138830458971725</v>
      </c>
      <c r="Y423" s="12" t="n">
        <f aca="false">(kx_g/kx_fxg/kx_k/$I419+kx_g4/kx_fxg4/kx_k/$J419)/2+dr_jv_A/100*4*(kx_g/kx_fxg/kx_k)/(kx_g/kx_fxg/kx_k+sd_g/sd_k)</f>
        <v>0.138830458971725</v>
      </c>
      <c r="Z423" s="12" t="n">
        <f aca="false">(kx_g/kx_fxg/kx_k/$I419+kx_g4/kx_fxg4/kx_k/$J419)/2+dr_jv_A/100*4*(kx_g/kx_fxg/kx_k)/(kx_g/kx_fxg/kx_k+sd_g/sd_k)</f>
        <v>0.138830458971725</v>
      </c>
      <c r="AB423" s="8" t="s">
        <v>543</v>
      </c>
    </row>
    <row r="424" customFormat="false" ht="17.15" hidden="false" customHeight="false" outlineLevel="0" collapsed="false">
      <c r="A424" s="5" t="s">
        <v>458</v>
      </c>
      <c r="B424" s="0" t="s">
        <v>25</v>
      </c>
      <c r="C424" s="12" t="n">
        <f aca="false">rv_sd_0/C419</f>
        <v>0.130648379052369</v>
      </c>
      <c r="D424" s="12" t="n">
        <f aca="false">rv_sd_1/D419</f>
        <v>0.120211538461538</v>
      </c>
      <c r="E424" s="12" t="n">
        <f aca="false">rv_sd_2/E419</f>
        <v>0.122929824561404</v>
      </c>
      <c r="F424" s="12" t="n">
        <f aca="false">rv_sd_3/F419</f>
        <v>0.128545454545455</v>
      </c>
      <c r="G424" s="12" t="n">
        <f aca="false">rv_sd_4/G419</f>
        <v>0.135366323907455</v>
      </c>
      <c r="H424" s="12" t="n">
        <f aca="false">rv_sd_5/H419</f>
        <v>0.113972679965308</v>
      </c>
      <c r="I424" s="12" t="n">
        <f aca="false">sd_g/sd_k/$I419</f>
        <v>0.107135180108205</v>
      </c>
      <c r="J424" s="12" t="n">
        <f aca="false">(sd_g/sd_k/$I419+sd_g4/sd_k/$J419)/2</f>
        <v>0.10676126326737</v>
      </c>
      <c r="K424" s="12" t="n">
        <f aca="false">(sd_g/sd_k/$I419+sd_g4/sd_k/$J419)/2+dr_jv_A/100*1*(sd_g/sd_k)/(kx_g/kx_fxg/kx_k+sd_g/sd_k)</f>
        <v>0.10676126326737</v>
      </c>
      <c r="L424" s="12" t="n">
        <f aca="false">(sd_g/sd_k/$I419+sd_g4/sd_k/$J419)/2+dr_jv_A/100*1*(sd_g/sd_k)/(kx_g/kx_fxg/kx_k+sd_g/sd_k)</f>
        <v>0.10676126326737</v>
      </c>
      <c r="M424" s="12" t="n">
        <f aca="false">(sd_g/sd_k/$I419+sd_g4/sd_k/$J419)/2+dr_jv_A/100*1*(sd_g/sd_k)/(kx_g/kx_fxg/kx_k+sd_g/sd_k)</f>
        <v>0.10676126326737</v>
      </c>
      <c r="N424" s="12" t="n">
        <f aca="false">(sd_g/sd_k/$I419+sd_g4/sd_k/$J419)/2+dr_jv_A/100*1*(sd_g/sd_k)/(kx_g/kx_fxg/kx_k+sd_g/sd_k)</f>
        <v>0.10676126326737</v>
      </c>
      <c r="O424" s="12" t="n">
        <f aca="false">(sd_g/sd_k/$I419+sd_g4/sd_k/$J419)/2+dr_jv_A/100*2*(sd_g/sd_k)/(kx_g/kx_fxg/kx_k+sd_g/sd_k)</f>
        <v>0.10676126326737</v>
      </c>
      <c r="P424" s="12" t="n">
        <f aca="false">(sd_g/sd_k/$I419+sd_g4/sd_k/$J419)/2+dr_jv_A/100*2*(sd_g/sd_k)/(kx_g/kx_fxg/kx_k+sd_g/sd_k)</f>
        <v>0.10676126326737</v>
      </c>
      <c r="Q424" s="12" t="n">
        <f aca="false">(sd_g/sd_k/$I419+sd_g4/sd_k/$J419)/2+dr_jv_A/100*2*(sd_g/sd_k)/(kx_g/kx_fxg/kx_k+sd_g/sd_k)</f>
        <v>0.10676126326737</v>
      </c>
      <c r="R424" s="12" t="n">
        <f aca="false">(sd_g/sd_k/$I419+sd_g4/sd_k/$J419)/2+dr_jv_A/100*2*(sd_g/sd_k)/(kx_g/kx_fxg/kx_k+sd_g/sd_k)</f>
        <v>0.10676126326737</v>
      </c>
      <c r="S424" s="12" t="n">
        <f aca="false">(sd_g/sd_k/$I419+sd_g4/sd_k/$J419)/2+dr_jv_A/100*3*(sd_g/sd_k)/(kx_g/kx_fxg/kx_k+sd_g/sd_k)</f>
        <v>0.10676126326737</v>
      </c>
      <c r="T424" s="12" t="n">
        <f aca="false">(sd_g/sd_k/$I419+sd_g4/sd_k/$J419)/2+dr_jv_A/100*3*(sd_g/sd_k)/(kx_g/kx_fxg/kx_k+sd_g/sd_k)</f>
        <v>0.10676126326737</v>
      </c>
      <c r="U424" s="12" t="n">
        <f aca="false">(sd_g/sd_k/$I419+sd_g4/sd_k/$J419)/2+dr_jv_A/100*3*(sd_g/sd_k)/(kx_g/kx_fxg/kx_k+sd_g/sd_k)</f>
        <v>0.10676126326737</v>
      </c>
      <c r="V424" s="12" t="n">
        <f aca="false">(sd_g/sd_k/$I419+sd_g4/sd_k/$J419)/2+dr_jv_A/100*3*(sd_g/sd_k)/(kx_g/kx_fxg/kx_k+sd_g/sd_k)</f>
        <v>0.10676126326737</v>
      </c>
      <c r="W424" s="12" t="n">
        <f aca="false">(sd_g/sd_k/$I419+sd_g4/sd_k/$J419)/2+dr_jv_A/100*4*(sd_g/sd_k)/(kx_g/kx_fxg/kx_k+sd_g/sd_k)</f>
        <v>0.10676126326737</v>
      </c>
      <c r="X424" s="12" t="n">
        <f aca="false">(sd_g/sd_k/$I419+sd_g4/sd_k/$J419)/2+dr_jv_A/100*4*(sd_g/sd_k)/(kx_g/kx_fxg/kx_k+sd_g/sd_k)</f>
        <v>0.10676126326737</v>
      </c>
      <c r="Y424" s="12" t="n">
        <f aca="false">(sd_g/sd_k/$I419+sd_g4/sd_k/$J419)/2+dr_jv_A/100*4*(sd_g/sd_k)/(kx_g/kx_fxg/kx_k+sd_g/sd_k)</f>
        <v>0.10676126326737</v>
      </c>
      <c r="Z424" s="12" t="n">
        <f aca="false">(sd_g/sd_k/$I419+sd_g4/sd_k/$J419)/2+dr_jv_A/100*4*(sd_g/sd_k)/(kx_g/kx_fxg/kx_k+sd_g/sd_k)</f>
        <v>0.10676126326737</v>
      </c>
      <c r="AB424" s="8" t="s">
        <v>544</v>
      </c>
    </row>
    <row r="425" customFormat="false" ht="15" hidden="false" customHeight="false" outlineLevel="0" collapsed="false">
      <c r="A425" s="5" t="s">
        <v>459</v>
      </c>
      <c r="B425" s="0" t="s">
        <v>25</v>
      </c>
      <c r="C425" s="12" t="n">
        <f aca="false">1-t5_0</f>
        <v>0.07</v>
      </c>
      <c r="D425" s="12" t="n">
        <f aca="false">1-t5_1</f>
        <v>0.0712076923076923</v>
      </c>
      <c r="E425" s="12" t="n">
        <f aca="false">1-t5_2</f>
        <v>0.09</v>
      </c>
      <c r="F425" s="12" t="n">
        <f aca="false">1-t5_3</f>
        <v>0.101454545454545</v>
      </c>
      <c r="G425" s="12" t="n">
        <f aca="false">1-t5_4</f>
        <v>0.115</v>
      </c>
      <c r="H425" s="12" t="n">
        <f aca="false">1-t5_5</f>
        <v>0.124938855160451</v>
      </c>
      <c r="I425" s="12" t="n">
        <f aca="false">1-I420-I421-I422-I423-I424</f>
        <v>0.12674011528775</v>
      </c>
      <c r="J425" s="12" t="n">
        <f aca="false">1-J420-J421-J422-J423-J424</f>
        <v>0.13341267790176</v>
      </c>
      <c r="K425" s="12" t="n">
        <f aca="false">1-K420-K421-K422-K423-K424</f>
        <v>0.13641267790176</v>
      </c>
      <c r="L425" s="12" t="n">
        <f aca="false">1-L420-L421-L422-L423-L424</f>
        <v>0.13641267790176</v>
      </c>
      <c r="M425" s="12" t="n">
        <f aca="false">1-M420-M421-M422-M423-M424</f>
        <v>0.13641267790176</v>
      </c>
      <c r="N425" s="12" t="n">
        <f aca="false">1-N420-N421-N422-N423-N424</f>
        <v>0.13641267790176</v>
      </c>
      <c r="O425" s="12" t="n">
        <f aca="false">1-O420-O421-O422-O423-O424</f>
        <v>0.13941267790176</v>
      </c>
      <c r="P425" s="12" t="n">
        <f aca="false">1-P420-P421-P422-P423-P424</f>
        <v>0.13941267790176</v>
      </c>
      <c r="Q425" s="12" t="n">
        <f aca="false">1-Q420-Q421-Q422-Q423-Q424</f>
        <v>0.13941267790176</v>
      </c>
      <c r="R425" s="12" t="n">
        <f aca="false">1-R420-R421-R422-R423-R424</f>
        <v>0.13941267790176</v>
      </c>
      <c r="S425" s="12" t="n">
        <f aca="false">1-S420-S421-S422-S423-S424</f>
        <v>0.14241267790176</v>
      </c>
      <c r="T425" s="12" t="n">
        <f aca="false">1-T420-T421-T422-T423-T424</f>
        <v>0.14241267790176</v>
      </c>
      <c r="U425" s="12" t="n">
        <f aca="false">1-U420-U421-U422-U423-U424</f>
        <v>0.14241267790176</v>
      </c>
      <c r="V425" s="12" t="n">
        <f aca="false">1-V420-V421-V422-V423-V424</f>
        <v>0.14241267790176</v>
      </c>
      <c r="W425" s="12" t="n">
        <f aca="false">1-W420-W421-W422-W423-W424</f>
        <v>0.14541267790176</v>
      </c>
      <c r="X425" s="12" t="n">
        <f aca="false">1-X420-X421-X422-X423-X424</f>
        <v>0.14541267790176</v>
      </c>
      <c r="Y425" s="12" t="n">
        <f aca="false">1-Y420-Y421-Y422-Y423-Y424</f>
        <v>0.14541267790176</v>
      </c>
      <c r="Z425" s="12" t="n">
        <f aca="false">1-Z420-Z421-Z422-Z423-Z424</f>
        <v>0.14541267790176</v>
      </c>
      <c r="AB425" s="5" t="s">
        <v>545</v>
      </c>
    </row>
    <row r="426" customFormat="false" ht="17.15" hidden="false" customHeight="false" outlineLevel="0" collapsed="false">
      <c r="A426" s="5" t="s">
        <v>546</v>
      </c>
      <c r="B426" s="0" t="s">
        <v>285</v>
      </c>
      <c r="C426" s="19" t="n">
        <f aca="false">C419*C420</f>
        <v>4.2</v>
      </c>
      <c r="D426" s="19" t="n">
        <f aca="false">D419*D420</f>
        <v>5.2</v>
      </c>
      <c r="E426" s="19" t="n">
        <f aca="false">E419*E420</f>
        <v>6</v>
      </c>
      <c r="F426" s="19" t="n">
        <f aca="false">F419*F420</f>
        <v>6.6</v>
      </c>
      <c r="G426" s="19" t="n">
        <f aca="false">G419*G420</f>
        <v>13.51</v>
      </c>
      <c r="H426" s="19" t="n">
        <f aca="false">H419*H420</f>
        <v>23.06</v>
      </c>
      <c r="I426" s="19" t="n">
        <f aca="false">I419*I420</f>
        <v>30.7152784914778</v>
      </c>
      <c r="J426" s="19" t="n">
        <f aca="false">J419*J420</f>
        <v>34.7698954969731</v>
      </c>
      <c r="K426" s="19" t="n">
        <f aca="false">K419*K420</f>
        <v>37.8963339812711</v>
      </c>
      <c r="L426" s="19" t="n">
        <f aca="false">L419*L420</f>
        <v>40.1326475379544</v>
      </c>
      <c r="M426" s="19" t="n">
        <f aca="false">M419*M420</f>
        <v>40.3758825125825</v>
      </c>
      <c r="N426" s="19" t="n">
        <f aca="false">N419*N420</f>
        <v>39.7654213286778</v>
      </c>
      <c r="O426" s="19" t="n">
        <f aca="false">O419*O420</f>
        <v>38.1877510881659</v>
      </c>
      <c r="P426" s="19" t="n">
        <f aca="false">P419*P420</f>
        <v>37.9595034410184</v>
      </c>
      <c r="Q426" s="19" t="n">
        <f aca="false">Q419*Q420</f>
        <v>37.7326200268236</v>
      </c>
      <c r="R426" s="19" t="n">
        <f aca="false">R419*R420</f>
        <v>37.5070926915806</v>
      </c>
      <c r="S426" s="19" t="n">
        <f aca="false">S419*S420</f>
        <v>37.3033365836192</v>
      </c>
      <c r="T426" s="19" t="n">
        <f aca="false">T419*T420</f>
        <v>37.8179465741532</v>
      </c>
      <c r="U426" s="19" t="n">
        <f aca="false">U419*U420</f>
        <v>38.3396557538378</v>
      </c>
      <c r="V426" s="19" t="n">
        <f aca="false">V419*V420</f>
        <v>38.8685620579785</v>
      </c>
      <c r="W426" s="19" t="n">
        <f aca="false">W419*W420</f>
        <v>37.5268614054884</v>
      </c>
      <c r="X426" s="19" t="n">
        <f aca="false">X419*X420</f>
        <v>37.5331203687833</v>
      </c>
      <c r="Y426" s="19" t="n">
        <f aca="false">Y419*Y420</f>
        <v>37.539380375987</v>
      </c>
      <c r="Z426" s="19" t="n">
        <f aca="false">Z419*Z420</f>
        <v>37.5456414272737</v>
      </c>
    </row>
    <row r="427" customFormat="false" ht="17.15" hidden="false" customHeight="false" outlineLevel="0" collapsed="false">
      <c r="A427" s="0" t="s">
        <v>547</v>
      </c>
      <c r="B427" s="0" t="s">
        <v>285</v>
      </c>
      <c r="C427" s="19" t="n">
        <f aca="false">C419*C421</f>
        <v>2.19</v>
      </c>
      <c r="D427" s="19" t="n">
        <f aca="false">D419*D421</f>
        <v>3.34</v>
      </c>
      <c r="E427" s="19" t="n">
        <f aca="false">E419*E421</f>
        <v>3.53</v>
      </c>
      <c r="F427" s="19" t="n">
        <f aca="false">F419*F421</f>
        <v>5.21</v>
      </c>
      <c r="G427" s="19" t="n">
        <f aca="false">G419*G421</f>
        <v>7.53</v>
      </c>
      <c r="H427" s="19" t="n">
        <f aca="false">H419*H421</f>
        <v>14.27</v>
      </c>
      <c r="I427" s="19" t="n">
        <f aca="false">I419*I421</f>
        <v>18.3099007687781</v>
      </c>
      <c r="J427" s="19" t="n">
        <f aca="false">J419*J421</f>
        <v>20.7269270394863</v>
      </c>
      <c r="K427" s="19" t="n">
        <f aca="false">K419*K421</f>
        <v>22.9759637716874</v>
      </c>
      <c r="L427" s="19" t="n">
        <f aca="false">L419*L421</f>
        <v>24.3318062467374</v>
      </c>
      <c r="M427" s="19" t="n">
        <f aca="false">M419*M421</f>
        <v>24.4792758665646</v>
      </c>
      <c r="N427" s="19" t="n">
        <f aca="false">N419*N421</f>
        <v>24.1091626505383</v>
      </c>
      <c r="O427" s="19" t="n">
        <f aca="false">O419*O421</f>
        <v>23.554396943689</v>
      </c>
      <c r="P427" s="19" t="n">
        <f aca="false">P419*P421</f>
        <v>23.4136126469137</v>
      </c>
      <c r="Q427" s="19" t="n">
        <f aca="false">Q419*Q421</f>
        <v>23.2736698158854</v>
      </c>
      <c r="R427" s="19" t="n">
        <f aca="false">R419*R421</f>
        <v>23.1345634211752</v>
      </c>
      <c r="S427" s="19" t="n">
        <f aca="false">S419*S421</f>
        <v>23.4151928957474</v>
      </c>
      <c r="T427" s="19" t="n">
        <f aca="false">T419*T421</f>
        <v>23.7382120489382</v>
      </c>
      <c r="U427" s="19" t="n">
        <f aca="false">U419*U421</f>
        <v>24.0656873419436</v>
      </c>
      <c r="V427" s="19" t="n">
        <f aca="false">V419*V421</f>
        <v>24.397680248462</v>
      </c>
      <c r="W427" s="19" t="n">
        <f aca="false">W419*W421</f>
        <v>23.9789358621793</v>
      </c>
      <c r="X427" s="19" t="n">
        <f aca="false">X419*X421</f>
        <v>23.9829352182083</v>
      </c>
      <c r="Y427" s="19" t="n">
        <f aca="false">Y419*Y421</f>
        <v>23.9869352412748</v>
      </c>
      <c r="Z427" s="19" t="n">
        <f aca="false">Z419*Z421</f>
        <v>23.99093593149</v>
      </c>
    </row>
    <row r="428" customFormat="false" ht="17.15" hidden="false" customHeight="false" outlineLevel="0" collapsed="false">
      <c r="A428" s="5" t="s">
        <v>548</v>
      </c>
      <c r="B428" s="0" t="s">
        <v>285</v>
      </c>
      <c r="C428" s="19" t="n">
        <f aca="false">C419*C422</f>
        <v>2.03</v>
      </c>
      <c r="D428" s="19" t="n">
        <f aca="false">D419*D422</f>
        <v>2.1</v>
      </c>
      <c r="E428" s="19" t="n">
        <f aca="false">E419*E422</f>
        <v>2.42</v>
      </c>
      <c r="F428" s="19" t="n">
        <f aca="false">F419*F422</f>
        <v>3.03</v>
      </c>
      <c r="G428" s="19" t="n">
        <f aca="false">G419*G422</f>
        <v>5.95</v>
      </c>
      <c r="H428" s="19" t="n">
        <f aca="false">H419*H422</f>
        <v>11.85</v>
      </c>
      <c r="I428" s="19" t="n">
        <f aca="false">I419*I422</f>
        <v>14.9502859488188</v>
      </c>
      <c r="J428" s="19" t="n">
        <f aca="false">J419*J422</f>
        <v>16.9238211606815</v>
      </c>
      <c r="K428" s="19" t="n">
        <f aca="false">K419*K422</f>
        <v>19.0187394895227</v>
      </c>
      <c r="L428" s="19" t="n">
        <f aca="false">L419*L422</f>
        <v>20.1410608457907</v>
      </c>
      <c r="M428" s="19" t="n">
        <f aca="false">M419*M422</f>
        <v>20.2631312977632</v>
      </c>
      <c r="N428" s="19" t="n">
        <f aca="false">N419*N422</f>
        <v>19.9567638736507</v>
      </c>
      <c r="O428" s="19" t="n">
        <f aca="false">O419*O422</f>
        <v>19.762605256933</v>
      </c>
      <c r="P428" s="19" t="n">
        <f aca="false">P419*P422</f>
        <v>19.6444844453412</v>
      </c>
      <c r="Q428" s="19" t="n">
        <f aca="false">Q419*Q422</f>
        <v>19.5270696401665</v>
      </c>
      <c r="R428" s="19" t="n">
        <f aca="false">R419*R422</f>
        <v>19.4103566216187</v>
      </c>
      <c r="S428" s="19" t="n">
        <f aca="false">S419*S422</f>
        <v>19.9093018446853</v>
      </c>
      <c r="T428" s="19" t="n">
        <f aca="false">T419*T422</f>
        <v>20.1839562475392</v>
      </c>
      <c r="U428" s="19" t="n">
        <f aca="false">U419*U422</f>
        <v>20.462399584912</v>
      </c>
      <c r="V428" s="19" t="n">
        <f aca="false">V419*V422</f>
        <v>20.7446841262181</v>
      </c>
      <c r="W428" s="19" t="n">
        <f aca="false">W419*W422</f>
        <v>20.6584725083895</v>
      </c>
      <c r="X428" s="19" t="n">
        <f aca="false">X419*X422</f>
        <v>20.6619180568931</v>
      </c>
      <c r="Y428" s="19" t="n">
        <f aca="false">Y419*Y422</f>
        <v>20.6653641800666</v>
      </c>
      <c r="Z428" s="19" t="n">
        <f aca="false">Z419*Z422</f>
        <v>20.6688108780061</v>
      </c>
    </row>
    <row r="429" customFormat="false" ht="17.15" hidden="false" customHeight="false" outlineLevel="0" collapsed="false">
      <c r="A429" s="0" t="s">
        <v>549</v>
      </c>
      <c r="B429" s="0" t="s">
        <v>285</v>
      </c>
      <c r="C429" s="19" t="n">
        <f aca="false">C419*C423</f>
        <v>1.92</v>
      </c>
      <c r="D429" s="19" t="n">
        <f aca="false">D419*D423</f>
        <v>2.14</v>
      </c>
      <c r="E429" s="19" t="n">
        <f aca="false">E419*E423</f>
        <v>2.84</v>
      </c>
      <c r="F429" s="19" t="n">
        <f aca="false">F419*F423</f>
        <v>3.31</v>
      </c>
      <c r="G429" s="19" t="n">
        <f aca="false">G419*G423</f>
        <v>5.96</v>
      </c>
      <c r="H429" s="19" t="n">
        <f aca="false">H419*H423</f>
        <v>10.72</v>
      </c>
      <c r="I429" s="19" t="n">
        <f aca="false">I419*I423</f>
        <v>14.9513168749304</v>
      </c>
      <c r="J429" s="19" t="n">
        <f aca="false">J419*J423</f>
        <v>16.1904387177338</v>
      </c>
      <c r="K429" s="19" t="n">
        <f aca="false">K419*K423</f>
        <v>17.9472303211039</v>
      </c>
      <c r="L429" s="19" t="n">
        <f aca="false">L419*L423</f>
        <v>19.0063204824857</v>
      </c>
      <c r="M429" s="19" t="n">
        <f aca="false">M419*M423</f>
        <v>19.1215135276482</v>
      </c>
      <c r="N429" s="19" t="n">
        <f aca="false">N419*N423</f>
        <v>18.8324067376604</v>
      </c>
      <c r="O429" s="19" t="n">
        <f aca="false">O419*O423</f>
        <v>18.3990622210163</v>
      </c>
      <c r="P429" s="19" t="n">
        <f aca="false">P419*P423</f>
        <v>18.2890912868292</v>
      </c>
      <c r="Q429" s="19" t="n">
        <f aca="false">Q419*Q423</f>
        <v>18.1797776473575</v>
      </c>
      <c r="R429" s="19" t="n">
        <f aca="false">R419*R423</f>
        <v>18.0711173739601</v>
      </c>
      <c r="S429" s="19" t="n">
        <f aca="false">S419*S423</f>
        <v>18.2903256676833</v>
      </c>
      <c r="T429" s="19" t="n">
        <f aca="false">T419*T423</f>
        <v>18.5426458401057</v>
      </c>
      <c r="U429" s="19" t="n">
        <f aca="false">U419*U423</f>
        <v>18.7984468400742</v>
      </c>
      <c r="V429" s="19" t="n">
        <f aca="false">V419*V423</f>
        <v>19.0577766865811</v>
      </c>
      <c r="W429" s="19" t="n">
        <f aca="false">W419*W423</f>
        <v>18.7306825972552</v>
      </c>
      <c r="X429" s="19" t="n">
        <f aca="false">X419*X423</f>
        <v>18.73380661697</v>
      </c>
      <c r="Y429" s="19" t="n">
        <f aca="false">Y419*Y423</f>
        <v>18.7369311577282</v>
      </c>
      <c r="Z429" s="19" t="n">
        <f aca="false">Z419*Z423</f>
        <v>18.7400562196167</v>
      </c>
    </row>
    <row r="430" customFormat="false" ht="17.15" hidden="false" customHeight="false" outlineLevel="0" collapsed="false">
      <c r="A430" s="0" t="s">
        <v>550</v>
      </c>
      <c r="B430" s="0" t="s">
        <v>285</v>
      </c>
      <c r="C430" s="19" t="n">
        <f aca="false">C419*C424</f>
        <v>1.69</v>
      </c>
      <c r="D430" s="19" t="n">
        <f aca="false">D419*D424</f>
        <v>1.9</v>
      </c>
      <c r="E430" s="19" t="n">
        <f aca="false">E419*E424</f>
        <v>2.31</v>
      </c>
      <c r="F430" s="19" t="n">
        <f aca="false">F419*F424</f>
        <v>3.03</v>
      </c>
      <c r="G430" s="19" t="n">
        <f aca="false">G419*G424</f>
        <v>5.95</v>
      </c>
      <c r="H430" s="19" t="n">
        <f aca="false">H419*H424</f>
        <v>8.97</v>
      </c>
      <c r="I430" s="19" t="n">
        <f aca="false">I419*I424</f>
        <v>11.0371522587842</v>
      </c>
      <c r="J430" s="19" t="n">
        <f aca="false">J419*J424</f>
        <v>12.4505220479768</v>
      </c>
      <c r="K430" s="19" t="n">
        <f aca="false">K419*K424</f>
        <v>13.8015028936966</v>
      </c>
      <c r="L430" s="19" t="n">
        <f aca="false">L419*L424</f>
        <v>14.6159481125674</v>
      </c>
      <c r="M430" s="19" t="n">
        <f aca="false">M419*M424</f>
        <v>14.7045320955943</v>
      </c>
      <c r="N430" s="19" t="n">
        <f aca="false">N419*N424</f>
        <v>14.4822076406664</v>
      </c>
      <c r="O430" s="19" t="n">
        <f aca="false">O419*O424</f>
        <v>14.1489637086822</v>
      </c>
      <c r="P430" s="19" t="n">
        <f aca="false">P419*P424</f>
        <v>14.0643955530811</v>
      </c>
      <c r="Q430" s="19" t="n">
        <f aca="false">Q419*Q424</f>
        <v>13.9803328601476</v>
      </c>
      <c r="R430" s="19" t="n">
        <f aca="false">R419*R424</f>
        <v>13.8967726087387</v>
      </c>
      <c r="S430" s="19" t="n">
        <f aca="false">S419*S424</f>
        <v>14.0653447976511</v>
      </c>
      <c r="T430" s="19" t="n">
        <f aca="false">T419*T424</f>
        <v>14.2593801740028</v>
      </c>
      <c r="U430" s="19" t="n">
        <f aca="false">U419*U424</f>
        <v>14.4560923227918</v>
      </c>
      <c r="V430" s="19" t="n">
        <f aca="false">V419*V424</f>
        <v>14.6555181708447</v>
      </c>
      <c r="W430" s="19" t="n">
        <f aca="false">W419*W424</f>
        <v>14.4039813075196</v>
      </c>
      <c r="X430" s="19" t="n">
        <f aca="false">X419*X424</f>
        <v>14.406383693089</v>
      </c>
      <c r="Y430" s="19" t="n">
        <f aca="false">Y419*Y424</f>
        <v>14.4087864793432</v>
      </c>
      <c r="Z430" s="19" t="n">
        <f aca="false">Z419*Z424</f>
        <v>14.411189666349</v>
      </c>
    </row>
    <row r="431" customFormat="false" ht="17.15" hidden="false" customHeight="false" outlineLevel="0" collapsed="false">
      <c r="A431" s="5" t="s">
        <v>551</v>
      </c>
      <c r="B431" s="0" t="s">
        <v>285</v>
      </c>
      <c r="C431" s="19" t="n">
        <f aca="false">C419*C425</f>
        <v>0.905483870967741</v>
      </c>
      <c r="D431" s="19" t="n">
        <f aca="false">D419*D425</f>
        <v>1.12547112462006</v>
      </c>
      <c r="E431" s="19" t="n">
        <f aca="false">E419*E425</f>
        <v>1.69120879120879</v>
      </c>
      <c r="F431" s="19" t="n">
        <f aca="false">F419*F425</f>
        <v>2.39142857142857</v>
      </c>
      <c r="G431" s="19" t="n">
        <f aca="false">G419*G425</f>
        <v>5.05480225988701</v>
      </c>
      <c r="H431" s="19" t="n">
        <f aca="false">H419*H425</f>
        <v>9.83307167235495</v>
      </c>
      <c r="I431" s="19" t="n">
        <f aca="false">I419*I425</f>
        <v>13.0568684190752</v>
      </c>
      <c r="J431" s="19" t="n">
        <f aca="false">J419*J425</f>
        <v>15.5586158955012</v>
      </c>
      <c r="K431" s="19" t="n">
        <f aca="false">K419*K425</f>
        <v>17.6346730188371</v>
      </c>
      <c r="L431" s="19" t="n">
        <f aca="false">L419*L425</f>
        <v>18.6753187540998</v>
      </c>
      <c r="M431" s="19" t="n">
        <f aca="false">M419*M425</f>
        <v>18.7885056720331</v>
      </c>
      <c r="N431" s="19" t="n">
        <f aca="false">N419*N425</f>
        <v>18.504433778056</v>
      </c>
      <c r="O431" s="19" t="n">
        <f aca="false">O419*O425</f>
        <v>18.4762231149535</v>
      </c>
      <c r="P431" s="19" t="n">
        <f aca="false">P419*P425</f>
        <v>18.3657909911967</v>
      </c>
      <c r="Q431" s="19" t="n">
        <f aca="false">Q419*Q425</f>
        <v>18.2560189186788</v>
      </c>
      <c r="R431" s="19" t="n">
        <f aca="false">R419*R425</f>
        <v>18.1469029522829</v>
      </c>
      <c r="S431" s="19" t="n">
        <f aca="false">S419*S425</f>
        <v>18.762267857665</v>
      </c>
      <c r="T431" s="19" t="n">
        <f aca="false">T419*T425</f>
        <v>19.0210986049625</v>
      </c>
      <c r="U431" s="19" t="n">
        <f aca="false">U419*U425</f>
        <v>19.2834999950125</v>
      </c>
      <c r="V431" s="19" t="n">
        <f aca="false">V419*V425</f>
        <v>19.5495212858333</v>
      </c>
      <c r="W431" s="19" t="n">
        <f aca="false">W419*W425</f>
        <v>19.6187402646957</v>
      </c>
      <c r="X431" s="19" t="n">
        <f aca="false">X419*X425</f>
        <v>19.6220124001904</v>
      </c>
      <c r="Y431" s="19" t="n">
        <f aca="false">Y419*Y425</f>
        <v>19.6252850814322</v>
      </c>
      <c r="Z431" s="19" t="n">
        <f aca="false">Z419*Z425</f>
        <v>19.6285583085121</v>
      </c>
    </row>
    <row r="432" customFormat="false" ht="17.15" hidden="false" customHeight="false" outlineLevel="0" collapsed="false">
      <c r="A432" s="0" t="s">
        <v>552</v>
      </c>
      <c r="B432" s="0" t="s">
        <v>25</v>
      </c>
      <c r="C432" s="12" t="n">
        <f aca="false">C423+C424</f>
        <v>0.279077306733167</v>
      </c>
      <c r="D432" s="12" t="n">
        <f aca="false">D423+D424</f>
        <v>0.255607692307692</v>
      </c>
      <c r="E432" s="12" t="n">
        <f aca="false">E423+E424</f>
        <v>0.27406432748538</v>
      </c>
      <c r="F432" s="12" t="n">
        <f aca="false">F423+F424</f>
        <v>0.268969696969697</v>
      </c>
      <c r="G432" s="12" t="n">
        <f aca="false">G423+G424</f>
        <v>0.270960154241645</v>
      </c>
      <c r="H432" s="12" t="n">
        <f aca="false">H423+H424</f>
        <v>0.250180832610581</v>
      </c>
      <c r="I432" s="12" t="n">
        <f aca="false">I423+I424</f>
        <v>0.252264284853105</v>
      </c>
      <c r="J432" s="12" t="n">
        <f aca="false">J423+J424</f>
        <v>0.245591722239095</v>
      </c>
      <c r="K432" s="12" t="n">
        <f aca="false">K423+K424</f>
        <v>0.245591722239095</v>
      </c>
      <c r="L432" s="12" t="n">
        <f aca="false">L423+L424</f>
        <v>0.245591722239095</v>
      </c>
      <c r="M432" s="12" t="n">
        <f aca="false">M423+M424</f>
        <v>0.245591722239095</v>
      </c>
      <c r="N432" s="12" t="n">
        <f aca="false">N423+N424</f>
        <v>0.245591722239095</v>
      </c>
      <c r="O432" s="12" t="n">
        <f aca="false">O423+O424</f>
        <v>0.245591722239095</v>
      </c>
      <c r="P432" s="12" t="n">
        <f aca="false">P423+P424</f>
        <v>0.245591722239095</v>
      </c>
      <c r="Q432" s="12" t="n">
        <f aca="false">Q423+Q424</f>
        <v>0.245591722239095</v>
      </c>
      <c r="R432" s="12" t="n">
        <f aca="false">R423+R424</f>
        <v>0.245591722239095</v>
      </c>
      <c r="S432" s="12" t="n">
        <f aca="false">S423+S424</f>
        <v>0.245591722239095</v>
      </c>
      <c r="T432" s="12" t="n">
        <f aca="false">T423+T424</f>
        <v>0.245591722239095</v>
      </c>
      <c r="U432" s="12" t="n">
        <f aca="false">U423+U424</f>
        <v>0.245591722239095</v>
      </c>
      <c r="V432" s="12" t="n">
        <f aca="false">V423+V424</f>
        <v>0.245591722239095</v>
      </c>
      <c r="W432" s="12" t="n">
        <f aca="false">W423+W424</f>
        <v>0.245591722239095</v>
      </c>
      <c r="X432" s="12" t="n">
        <f aca="false">X423+X424</f>
        <v>0.245591722239095</v>
      </c>
      <c r="Y432" s="12" t="n">
        <f aca="false">Y423+Y424</f>
        <v>0.245591722239095</v>
      </c>
      <c r="Z432" s="12" t="n">
        <f aca="false">Z423+Z424</f>
        <v>0.245591722239095</v>
      </c>
    </row>
    <row r="433" customFormat="false" ht="17.15" hidden="false" customHeight="false" outlineLevel="0" collapsed="false">
      <c r="A433" s="0" t="s">
        <v>553</v>
      </c>
      <c r="B433" s="0" t="s">
        <v>222</v>
      </c>
      <c r="C433" s="19" t="n">
        <f aca="false">C418*C423</f>
        <v>40.8772604226299</v>
      </c>
      <c r="D433" s="19" t="n">
        <f aca="false">D418*D423</f>
        <v>38.3595995954493</v>
      </c>
      <c r="E433" s="19" t="n">
        <f aca="false">E418*E423</f>
        <v>44.0489809059701</v>
      </c>
      <c r="F433" s="19" t="n">
        <f aca="false">F418*F423</f>
        <v>42.1035619439279</v>
      </c>
      <c r="G433" s="19" t="n">
        <f aca="false">G418*G423</f>
        <v>43.687687041823</v>
      </c>
      <c r="H433" s="19" t="n">
        <f aca="false">H418*H423</f>
        <v>45.9563427865306</v>
      </c>
      <c r="I433" s="19" t="n">
        <f aca="false">I418*I423</f>
        <v>51.2767047324134</v>
      </c>
      <c r="J433" s="19" t="n">
        <f aca="false">J418*J423</f>
        <v>51.365744237404</v>
      </c>
      <c r="K433" s="19" t="n">
        <f aca="false">K418*K423</f>
        <v>55.2809094758731</v>
      </c>
      <c r="L433" s="19" t="n">
        <f aca="false">L418*L423</f>
        <v>58.5431101770747</v>
      </c>
      <c r="M433" s="19" t="n">
        <f aca="false">M418*M423</f>
        <v>61.9978177222451</v>
      </c>
      <c r="N433" s="19" t="n">
        <f aca="false">N418*N423</f>
        <v>65.6563921987513</v>
      </c>
      <c r="O433" s="19" t="n">
        <f aca="false">O418*O423</f>
        <v>67.5216850847756</v>
      </c>
      <c r="P433" s="19" t="n">
        <f aca="false">P418*P423</f>
        <v>70.6506409787172</v>
      </c>
      <c r="Q433" s="19" t="n">
        <f aca="false">Q418*Q423</f>
        <v>73.9245927354537</v>
      </c>
      <c r="R433" s="19" t="n">
        <f aca="false">R418*R423</f>
        <v>77.3502594654297</v>
      </c>
      <c r="S433" s="19" t="n">
        <f aca="false">S418*S423</f>
        <v>80.7098373749294</v>
      </c>
      <c r="T433" s="19" t="n">
        <f aca="false">T418*T423</f>
        <v>84.3538682659587</v>
      </c>
      <c r="U433" s="19" t="n">
        <f aca="false">U418*U423</f>
        <v>88.162426326992</v>
      </c>
      <c r="V433" s="19" t="n">
        <f aca="false">V418*V423</f>
        <v>92.1429399225186</v>
      </c>
      <c r="W433" s="19" t="n">
        <f aca="false">W418*W423</f>
        <v>93.5024019776364</v>
      </c>
      <c r="X433" s="19" t="n">
        <f aca="false">X418*X423</f>
        <v>96.5549465646211</v>
      </c>
      <c r="Y433" s="19" t="n">
        <f aca="false">Y418*Y423</f>
        <v>99.7071466498437</v>
      </c>
      <c r="Z433" s="19" t="n">
        <f aca="false">Z418*Z423</f>
        <v>102.962255656161</v>
      </c>
      <c r="AB433" s="5" t="s">
        <v>554</v>
      </c>
    </row>
    <row r="434" customFormat="false" ht="17.15" hidden="false" customHeight="false" outlineLevel="0" collapsed="false">
      <c r="A434" s="0" t="s">
        <v>555</v>
      </c>
      <c r="B434" s="0" t="s">
        <v>222</v>
      </c>
      <c r="C434" s="19" t="n">
        <f aca="false">C418*C424</f>
        <v>35.9805052678357</v>
      </c>
      <c r="D434" s="19" t="n">
        <f aca="false">D418*D424</f>
        <v>34.0575884258662</v>
      </c>
      <c r="E434" s="19" t="n">
        <f aca="false">E418*E424</f>
        <v>35.8285724974616</v>
      </c>
      <c r="F434" s="19" t="n">
        <f aca="false">F418*F424</f>
        <v>38.5419313263147</v>
      </c>
      <c r="G434" s="19" t="n">
        <f aca="false">G418*G424</f>
        <v>43.6143855534978</v>
      </c>
      <c r="H434" s="19" t="n">
        <f aca="false">H418*H424</f>
        <v>38.4541413055205</v>
      </c>
      <c r="I434" s="19" t="n">
        <f aca="false">I418*I424</f>
        <v>37.8527725814788</v>
      </c>
      <c r="J434" s="19" t="n">
        <f aca="false">J418*J424</f>
        <v>39.5004942292292</v>
      </c>
      <c r="K434" s="19" t="n">
        <f aca="false">K418*K424</f>
        <v>42.5112743552575</v>
      </c>
      <c r="L434" s="19" t="n">
        <f aca="false">L418*L424</f>
        <v>45.019921740504</v>
      </c>
      <c r="M434" s="19" t="n">
        <f aca="false">M418*M424</f>
        <v>47.6766077766484</v>
      </c>
      <c r="N434" s="19" t="n">
        <f aca="false">N418*N424</f>
        <v>50.4900684232714</v>
      </c>
      <c r="O434" s="19" t="n">
        <f aca="false">O418*O424</f>
        <v>51.9244872557853</v>
      </c>
      <c r="P434" s="19" t="n">
        <f aca="false">P418*P424</f>
        <v>54.330668769693</v>
      </c>
      <c r="Q434" s="19" t="n">
        <f aca="false">Q418*Q424</f>
        <v>56.8483527708444</v>
      </c>
      <c r="R434" s="19" t="n">
        <f aca="false">R418*R424</f>
        <v>59.4827062861613</v>
      </c>
      <c r="S434" s="19" t="n">
        <f aca="false">S418*S424</f>
        <v>62.0662371937152</v>
      </c>
      <c r="T434" s="19" t="n">
        <f aca="false">T418*T424</f>
        <v>64.8685137560281</v>
      </c>
      <c r="U434" s="19" t="n">
        <f aca="false">U418*U424</f>
        <v>67.7973124709113</v>
      </c>
      <c r="V434" s="19" t="n">
        <f aca="false">V418*V424</f>
        <v>70.8583457849185</v>
      </c>
      <c r="W434" s="19" t="n">
        <f aca="false">W418*W424</f>
        <v>71.9037783754568</v>
      </c>
      <c r="X434" s="19" t="n">
        <f aca="false">X418*X424</f>
        <v>74.2511992418881</v>
      </c>
      <c r="Y434" s="19" t="n">
        <f aca="false">Y418*Y424</f>
        <v>76.6752556460985</v>
      </c>
      <c r="Z434" s="19" t="n">
        <f aca="false">Z418*Z424</f>
        <v>79.1784494852701</v>
      </c>
    </row>
    <row r="435" customFormat="false" ht="17.15" hidden="false" customHeight="false" outlineLevel="0" collapsed="false">
      <c r="A435" s="5" t="s">
        <v>556</v>
      </c>
      <c r="B435" s="0" t="s">
        <v>557</v>
      </c>
      <c r="C435" s="17" t="n">
        <f aca="false">ABS(SUM(C420:C425)-1)+ABS(SUM(I420:I425)-1)+ABS(SUM(Z420:Z425)-1)+ABS(H430-rv_sd_5)</f>
        <v>0</v>
      </c>
    </row>
    <row r="460" customFormat="false" ht="17.15" hidden="false" customHeight="false" outlineLevel="0" collapsed="false">
      <c r="A460" s="3" t="s">
        <v>700</v>
      </c>
    </row>
    <row r="461" customFormat="false" ht="17.15" hidden="false" customHeight="false" outlineLevel="0" collapsed="false">
      <c r="A461" s="9" t="s">
        <v>508</v>
      </c>
      <c r="B461" s="6" t="s">
        <v>15</v>
      </c>
      <c r="C461" s="9" t="s">
        <v>427</v>
      </c>
      <c r="D461" s="9" t="s">
        <v>428</v>
      </c>
      <c r="E461" s="9" t="s">
        <v>429</v>
      </c>
      <c r="F461" s="9" t="s">
        <v>430</v>
      </c>
      <c r="G461" s="9" t="s">
        <v>431</v>
      </c>
      <c r="H461" s="9" t="s">
        <v>432</v>
      </c>
      <c r="I461" s="9" t="s">
        <v>433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6" t="s">
        <v>434</v>
      </c>
    </row>
    <row r="462" customFormat="false" ht="17.15" hidden="false" customHeight="false" outlineLevel="0" collapsed="false">
      <c r="A462" s="5" t="s">
        <v>509</v>
      </c>
      <c r="B462" s="5" t="s">
        <v>168</v>
      </c>
      <c r="E462" s="10" t="n">
        <f aca="false">(u_26)*1</f>
        <v>15.2</v>
      </c>
      <c r="F462" s="10" t="n">
        <f aca="false">(u_27)*1</f>
        <v>23.7</v>
      </c>
      <c r="G462" s="10" t="n">
        <f aca="false">(u_28)*um28_A</f>
        <v>26.5</v>
      </c>
      <c r="H462" s="10" t="n">
        <f aca="false">(u_28*(1+g_u29))*um29_A</f>
        <v>30.15</v>
      </c>
      <c r="I462" s="10" t="n">
        <f aca="false">(u_28*(1+g_u29)*(1+g_u30))*um29_A</f>
        <v>31.6575</v>
      </c>
      <c r="AB462" s="8" t="s">
        <v>510</v>
      </c>
    </row>
    <row r="463" customFormat="false" ht="17.15" hidden="false" customHeight="false" outlineLevel="0" collapsed="false">
      <c r="A463" s="5" t="s">
        <v>511</v>
      </c>
      <c r="B463" s="0" t="s">
        <v>512</v>
      </c>
      <c r="E463" s="18" t="n">
        <f aca="false">tb_26</f>
        <v>30</v>
      </c>
      <c r="F463" s="18" t="n">
        <f aca="false">tb_27</f>
        <v>34</v>
      </c>
      <c r="G463" s="18" t="n">
        <f aca="false">tb_28</f>
        <v>40</v>
      </c>
      <c r="H463" s="18" t="n">
        <f aca="false">tb_29</f>
        <v>46</v>
      </c>
      <c r="I463" s="18" t="n">
        <f aca="false">tb_30</f>
        <v>52</v>
      </c>
    </row>
    <row r="464" customFormat="false" ht="17.15" hidden="false" customHeight="false" outlineLevel="0" collapsed="false">
      <c r="A464" s="5" t="s">
        <v>513</v>
      </c>
      <c r="B464" s="0" t="s">
        <v>222</v>
      </c>
      <c r="D464" s="10" t="n">
        <f aca="false">bits25*sh_essd25_lo*ai25</f>
        <v>143</v>
      </c>
      <c r="E464" s="10" t="n">
        <f aca="false">E462*E463</f>
        <v>456</v>
      </c>
      <c r="F464" s="10" t="n">
        <f aca="false">F462*F463</f>
        <v>805.8</v>
      </c>
      <c r="G464" s="10" t="n">
        <f aca="false">G462*G463</f>
        <v>1060</v>
      </c>
      <c r="H464" s="10" t="n">
        <f aca="false">H462*H463</f>
        <v>1386.9</v>
      </c>
      <c r="I464" s="10" t="n">
        <f aca="false">I462*I463</f>
        <v>1646.19</v>
      </c>
      <c r="AB464" s="5" t="s">
        <v>514</v>
      </c>
    </row>
    <row r="465" customFormat="false" ht="17.15" hidden="false" customHeight="false" outlineLevel="0" collapsed="false">
      <c r="A465" s="5" t="s">
        <v>515</v>
      </c>
      <c r="B465" s="0" t="s">
        <v>222</v>
      </c>
      <c r="D465" s="10" t="n">
        <f aca="false">bits25*sh_essd25_lo*(1-ai25)</f>
        <v>117</v>
      </c>
      <c r="E465" s="10" t="n">
        <f aca="false">D465*(1+g_nai)</f>
        <v>128.7</v>
      </c>
      <c r="F465" s="10" t="n">
        <f aca="false">E465*(1+g_nai)</f>
        <v>141.57</v>
      </c>
      <c r="G465" s="10" t="n">
        <f aca="false">F465*(1+g_nai)</f>
        <v>155.727</v>
      </c>
      <c r="H465" s="10" t="n">
        <f aca="false">G465*(1+g_nai)</f>
        <v>171.2997</v>
      </c>
      <c r="I465" s="10" t="n">
        <f aca="false">H465*(1+g_nai)</f>
        <v>188.42967</v>
      </c>
    </row>
    <row r="466" customFormat="false" ht="15" hidden="false" customHeight="false" outlineLevel="0" collapsed="false">
      <c r="A466" s="5" t="s">
        <v>516</v>
      </c>
      <c r="B466" s="0" t="s">
        <v>222</v>
      </c>
      <c r="D466" s="10" t="n">
        <f aca="false">bits25*sh_mob25</f>
        <v>320</v>
      </c>
      <c r="E466" s="10" t="n">
        <f aca="false">D466*(1+g_mob_26)</f>
        <v>304</v>
      </c>
      <c r="F466" s="10" t="n">
        <f aca="false">E466*(1+g_mob_27)</f>
        <v>313.12</v>
      </c>
      <c r="G466" s="10" t="n">
        <f aca="false">F466*(1+g_mob_28)</f>
        <v>338.1696</v>
      </c>
      <c r="H466" s="10" t="n">
        <f aca="false">G466*(1+g_mob_28)</f>
        <v>365.223168</v>
      </c>
      <c r="I466" s="10" t="n">
        <f aca="false">H466*(1+g_mob_28)</f>
        <v>394.44102144</v>
      </c>
    </row>
    <row r="467" customFormat="false" ht="17.15" hidden="false" customHeight="false" outlineLevel="0" collapsed="false">
      <c r="A467" s="5" t="s">
        <v>517</v>
      </c>
      <c r="B467" s="0" t="s">
        <v>222</v>
      </c>
      <c r="D467" s="10" t="n">
        <f aca="false">bits25*sh_pc25</f>
        <v>230</v>
      </c>
      <c r="E467" s="10" t="n">
        <f aca="false">D467*(1+g_pc_26)</f>
        <v>218.5</v>
      </c>
      <c r="F467" s="10" t="n">
        <f aca="false">E467*(1+g_pc_27)</f>
        <v>218.5</v>
      </c>
      <c r="G467" s="10" t="n">
        <f aca="false">F467*(1+g_pc_28)</f>
        <v>231.61</v>
      </c>
      <c r="H467" s="10" t="n">
        <f aca="false">G467*(1+g_pc_28)</f>
        <v>245.5066</v>
      </c>
      <c r="I467" s="10" t="n">
        <f aca="false">H467*(1+g_pc_28)</f>
        <v>260.236996</v>
      </c>
    </row>
    <row r="468" customFormat="false" ht="15" hidden="false" customHeight="false" outlineLevel="0" collapsed="false">
      <c r="A468" s="5" t="s">
        <v>518</v>
      </c>
      <c r="B468" s="0" t="s">
        <v>222</v>
      </c>
      <c r="D468" s="10" t="n">
        <f aca="false">bits25*(1-sh_essd25_lo-sh_mob25-sh_pc25)</f>
        <v>190</v>
      </c>
      <c r="E468" s="10" t="n">
        <f aca="false">D468*(1+g_con_26)</f>
        <v>171</v>
      </c>
      <c r="F468" s="10" t="n">
        <f aca="false">E468*(1+g_con_27)</f>
        <v>171</v>
      </c>
      <c r="G468" s="10" t="n">
        <f aca="false">F468*(1+g_con_28)</f>
        <v>179.55</v>
      </c>
      <c r="H468" s="10" t="n">
        <f aca="false">G468*(1+g_con_28)</f>
        <v>188.5275</v>
      </c>
      <c r="I468" s="10" t="n">
        <f aca="false">H468*(1+g_con_28)</f>
        <v>197.953875</v>
      </c>
    </row>
    <row r="469" customFormat="false" ht="15" hidden="false" customHeight="false" outlineLevel="0" collapsed="false">
      <c r="A469" s="5" t="s">
        <v>442</v>
      </c>
      <c r="B469" s="0" t="s">
        <v>222</v>
      </c>
      <c r="D469" s="10" t="n">
        <f aca="false">SUM(D464:D468)</f>
        <v>1000</v>
      </c>
      <c r="E469" s="10" t="n">
        <f aca="false">SUM(E464:E468)</f>
        <v>1278.2</v>
      </c>
      <c r="F469" s="10" t="n">
        <f aca="false">SUM(F464:F468)</f>
        <v>1649.99</v>
      </c>
      <c r="G469" s="10" t="n">
        <f aca="false">SUM(G464:G468)</f>
        <v>1965.0566</v>
      </c>
      <c r="H469" s="10" t="n">
        <f aca="false">SUM(H464:H468)</f>
        <v>2357.456968</v>
      </c>
      <c r="I469" s="10" t="n">
        <f aca="false">SUM(I464:I468)</f>
        <v>2687.25156244</v>
      </c>
    </row>
    <row r="470" customFormat="false" ht="17.15" hidden="false" customHeight="false" outlineLevel="0" collapsed="false">
      <c r="A470" s="5" t="s">
        <v>519</v>
      </c>
      <c r="B470" s="0" t="s">
        <v>25</v>
      </c>
      <c r="D470" s="12" t="n">
        <f aca="false">(D464+D465)/D469</f>
        <v>0.26</v>
      </c>
      <c r="E470" s="12" t="n">
        <f aca="false">(E464+E465)/E469</f>
        <v>0.457440150211235</v>
      </c>
      <c r="F470" s="12" t="n">
        <f aca="false">(F464+F465)/F469</f>
        <v>0.57416711616434</v>
      </c>
      <c r="G470" s="12" t="n">
        <f aca="false">(G464+G465)/G469</f>
        <v>0.61867276494733</v>
      </c>
      <c r="H470" s="12" t="n">
        <f aca="false">(H464+H465)/H469</f>
        <v>0.660966338368387</v>
      </c>
      <c r="I470" s="12" t="n">
        <f aca="false">(I464+I465)/I469</f>
        <v>0.682712290744445</v>
      </c>
    </row>
    <row r="471" customFormat="false" ht="17.15" hidden="false" customHeight="false" outlineLevel="0" collapsed="false">
      <c r="A471" s="5" t="s">
        <v>520</v>
      </c>
      <c r="B471" s="0" t="s">
        <v>222</v>
      </c>
      <c r="D471" s="10" t="n">
        <f aca="false">bits25</f>
        <v>1000</v>
      </c>
      <c r="E471" s="10" t="n">
        <f aca="false">D471*(1+gs_26)</f>
        <v>1210</v>
      </c>
      <c r="F471" s="10" t="n">
        <f aca="false">E471*(1+gs_27)</f>
        <v>1512.5</v>
      </c>
      <c r="G471" s="10" t="n">
        <f aca="false">F471*(1+gs_28)</f>
        <v>1890.625</v>
      </c>
      <c r="H471" s="10" t="n">
        <f aca="false">G471*(1+gs_29)</f>
        <v>2306.5625</v>
      </c>
      <c r="I471" s="10" t="n">
        <f aca="false">H471*(1+gs_30)</f>
        <v>2767.875</v>
      </c>
      <c r="AB471" s="8" t="s">
        <v>521</v>
      </c>
    </row>
    <row r="472" customFormat="false" ht="17.15" hidden="false" customHeight="false" outlineLevel="0" collapsed="false">
      <c r="A472" s="5" t="s">
        <v>522</v>
      </c>
      <c r="B472" s="0" t="s">
        <v>25</v>
      </c>
      <c r="E472" s="12" t="n">
        <f aca="false">E469/E471-1</f>
        <v>0.0563636363636364</v>
      </c>
      <c r="F472" s="12" t="n">
        <f aca="false">F469/F471-1</f>
        <v>0.0909024793388429</v>
      </c>
      <c r="G472" s="12" t="n">
        <f aca="false">G469/G471-1</f>
        <v>0.0393687801652891</v>
      </c>
      <c r="H472" s="12" t="n">
        <f aca="false">H469/H471-1</f>
        <v>0.0220650721582443</v>
      </c>
      <c r="I472" s="12" t="n">
        <f aca="false">I469/I471-1</f>
        <v>-0.0291282798392266</v>
      </c>
    </row>
    <row r="473" customFormat="false" ht="17.15" hidden="false" customHeight="false" outlineLevel="0" collapsed="false">
      <c r="A473" s="5" t="s">
        <v>523</v>
      </c>
      <c r="B473" s="0" t="s">
        <v>222</v>
      </c>
      <c r="C473" s="10" t="n">
        <f aca="false">bits25/(1+g25)</f>
        <v>892.857142857143</v>
      </c>
      <c r="D473" s="10" t="n">
        <f aca="false">bits25</f>
        <v>1000</v>
      </c>
      <c r="E473" s="10" t="n">
        <f aca="false">MIN(E469,E471)</f>
        <v>1210</v>
      </c>
      <c r="F473" s="10" t="n">
        <f aca="false">MIN(F469,F471)</f>
        <v>1512.5</v>
      </c>
      <c r="G473" s="10" t="n">
        <f aca="false">MIN(G469,G471)</f>
        <v>1890.625</v>
      </c>
      <c r="H473" s="10" t="n">
        <f aca="false">MIN(H469,H471)</f>
        <v>2306.5625</v>
      </c>
      <c r="I473" s="10" t="n">
        <f aca="false">MIN(I469,I471)</f>
        <v>2687.25156244</v>
      </c>
    </row>
    <row r="474" customFormat="false" ht="15" hidden="false" customHeight="false" outlineLevel="0" collapsed="false">
      <c r="A474" s="5" t="s">
        <v>447</v>
      </c>
      <c r="B474" s="0" t="s">
        <v>25</v>
      </c>
      <c r="D474" s="12" t="n">
        <f aca="false">D473/C473-1</f>
        <v>0.12</v>
      </c>
      <c r="E474" s="12" t="n">
        <f aca="false">E473/D473-1</f>
        <v>0.21</v>
      </c>
      <c r="F474" s="12" t="n">
        <f aca="false">F473/E473-1</f>
        <v>0.25</v>
      </c>
      <c r="G474" s="12" t="n">
        <f aca="false">G473/F473-1</f>
        <v>0.25</v>
      </c>
      <c r="H474" s="12" t="n">
        <f aca="false">H473/G473-1</f>
        <v>0.22</v>
      </c>
      <c r="I474" s="12" t="n">
        <f aca="false">I473/H473-1</f>
        <v>0.165046064192928</v>
      </c>
    </row>
    <row r="475" customFormat="false" ht="17.15" hidden="false" customHeight="false" outlineLevel="0" collapsed="false">
      <c r="A475" s="0" t="s">
        <v>524</v>
      </c>
      <c r="B475" s="0" t="s">
        <v>285</v>
      </c>
      <c r="C475" s="10" t="n">
        <f aca="false">rev24</f>
        <v>67.4</v>
      </c>
      <c r="D475" s="10" t="n">
        <f aca="false">SUM(C489:F489)</f>
        <v>71.1035923582252</v>
      </c>
      <c r="E475" s="10" t="n">
        <f aca="false">SUM(G489:J489)</f>
        <v>342.820749524408</v>
      </c>
      <c r="F475" s="10" t="n">
        <f aca="false">SUM(K489:N489)</f>
        <v>536.734678363014</v>
      </c>
      <c r="G475" s="10" t="n">
        <f aca="false">SUM(O489:R489)</f>
        <v>544.610149409284</v>
      </c>
      <c r="H475" s="10" t="n">
        <f aca="false">SUM(S489:V489)</f>
        <v>570.465276442823</v>
      </c>
      <c r="I475" s="10" t="n">
        <f aca="false">SUM(W489:Z489)</f>
        <v>586.430139947779</v>
      </c>
      <c r="AB475" s="8" t="s">
        <v>525</v>
      </c>
    </row>
    <row r="476" customFormat="false" ht="15" hidden="false" customHeight="false" outlineLevel="0" collapsed="false">
      <c r="A476" s="5" t="s">
        <v>453</v>
      </c>
      <c r="B476" s="0" t="s">
        <v>25</v>
      </c>
      <c r="D476" s="12" t="n">
        <f aca="false">D475/C475-1</f>
        <v>0.0549494415166936</v>
      </c>
      <c r="E476" s="12" t="n">
        <f aca="false">E475/D475-1</f>
        <v>3.82142657149095</v>
      </c>
      <c r="F476" s="12" t="n">
        <f aca="false">F475/E475-1</f>
        <v>0.565642333807452</v>
      </c>
      <c r="G476" s="12" t="n">
        <f aca="false">G475/F475-1</f>
        <v>0.0146729312707903</v>
      </c>
      <c r="H476" s="12" t="n">
        <f aca="false">H475/G475-1</f>
        <v>0.0474745596672834</v>
      </c>
      <c r="I476" s="12" t="n">
        <f aca="false">I475/H475-1</f>
        <v>0.0279856884620662</v>
      </c>
    </row>
    <row r="477" customFormat="false" ht="17.15" hidden="false" customHeight="false" outlineLevel="0" collapsed="false">
      <c r="A477" s="5" t="s">
        <v>526</v>
      </c>
      <c r="B477" s="0" t="s">
        <v>449</v>
      </c>
      <c r="C477" s="13" t="n">
        <f aca="false">C475/C473</f>
        <v>0.075488</v>
      </c>
      <c r="D477" s="13" t="n">
        <f aca="false">D475/D473</f>
        <v>0.0711035923582252</v>
      </c>
      <c r="E477" s="13" t="n">
        <f aca="false">E475/E473</f>
        <v>0.283322933491246</v>
      </c>
      <c r="F477" s="13" t="n">
        <f aca="false">F475/F473</f>
        <v>0.354865903049927</v>
      </c>
      <c r="G477" s="13" t="n">
        <f aca="false">G475/G473</f>
        <v>0.28805826084458</v>
      </c>
      <c r="H477" s="13" t="n">
        <f aca="false">H475/H473</f>
        <v>0.247322704866148</v>
      </c>
      <c r="I477" s="13" t="n">
        <f aca="false">I475/I473</f>
        <v>0.218226736991942</v>
      </c>
    </row>
    <row r="478" customFormat="false" ht="17.15" hidden="false" customHeight="false" outlineLevel="0" collapsed="false">
      <c r="A478" s="5" t="s">
        <v>450</v>
      </c>
      <c r="B478" s="0" t="s">
        <v>25</v>
      </c>
      <c r="D478" s="12" t="n">
        <f aca="false">D477/C477-1</f>
        <v>-0.0580808557886665</v>
      </c>
      <c r="E478" s="12" t="n">
        <f aca="false">E477/D477-1</f>
        <v>2.98465005908343</v>
      </c>
      <c r="F478" s="12" t="n">
        <f aca="false">F477/E477-1</f>
        <v>0.252513867045961</v>
      </c>
      <c r="G478" s="12" t="n">
        <f aca="false">G477/F477-1</f>
        <v>-0.188261654983368</v>
      </c>
      <c r="H478" s="12" t="n">
        <f aca="false">H477/G477-1</f>
        <v>-0.141414295354686</v>
      </c>
      <c r="I478" s="12" t="n">
        <f aca="false">I477/H477-1</f>
        <v>-0.117643739542444</v>
      </c>
      <c r="AB478" s="8" t="s">
        <v>527</v>
      </c>
    </row>
    <row r="479" customFormat="false" ht="15" hidden="false" customHeight="false" outlineLevel="0" collapsed="false">
      <c r="A479" s="5" t="s">
        <v>528</v>
      </c>
      <c r="B479" s="0" t="s">
        <v>25</v>
      </c>
      <c r="D479" s="12" t="n">
        <f aca="false">SUM(C496:F496)/D475</f>
        <v>0.309407714439551</v>
      </c>
      <c r="E479" s="12" t="n">
        <f aca="false">SUM(G496:J496)/E475</f>
        <v>0.298146371102126</v>
      </c>
      <c r="F479" s="12" t="n">
        <f aca="false">SUM(K496:N496)/F475</f>
        <v>0.293146371102126</v>
      </c>
      <c r="G479" s="12" t="n">
        <f aca="false">SUM(O496:R496)/G475</f>
        <v>0.288146371102126</v>
      </c>
      <c r="H479" s="12" t="n">
        <f aca="false">SUM(S496:V496)/H475</f>
        <v>0.283146371102126</v>
      </c>
      <c r="I479" s="12" t="n">
        <f aca="false">SUM(W496:Z496)/I475</f>
        <v>0.278146371102126</v>
      </c>
    </row>
    <row r="480" customFormat="false" ht="17.15" hidden="false" customHeight="false" outlineLevel="0" collapsed="false">
      <c r="A480" s="5" t="s">
        <v>529</v>
      </c>
      <c r="B480" s="0" t="s">
        <v>25</v>
      </c>
      <c r="D480" s="12" t="n">
        <f aca="false">SUM(C497:F497)/D475</f>
        <v>0.200693094775109</v>
      </c>
      <c r="E480" s="12" t="n">
        <f aca="false">SUM(G497:J497)/E475</f>
        <v>0.177730130982399</v>
      </c>
      <c r="F480" s="12" t="n">
        <f aca="false">SUM(K497:N497)/F475</f>
        <v>0.177730130982399</v>
      </c>
      <c r="G480" s="12" t="n">
        <f aca="false">SUM(O497:R497)/G475</f>
        <v>0.177730130982399</v>
      </c>
      <c r="H480" s="12" t="n">
        <f aca="false">SUM(S497:V497)/H475</f>
        <v>0.177730130982399</v>
      </c>
      <c r="I480" s="12" t="n">
        <f aca="false">SUM(W497:Z497)/I475</f>
        <v>0.177730130982399</v>
      </c>
    </row>
    <row r="481" customFormat="false" ht="15" hidden="false" customHeight="false" outlineLevel="0" collapsed="false">
      <c r="A481" s="5" t="s">
        <v>530</v>
      </c>
      <c r="B481" s="0" t="s">
        <v>25</v>
      </c>
      <c r="D481" s="12" t="n">
        <f aca="false">SUM(C498:F498)/D475</f>
        <v>0.134732995651405</v>
      </c>
      <c r="E481" s="12" t="n">
        <f aca="false">SUM(G498:J498)/E475</f>
        <v>0.14511909777462</v>
      </c>
      <c r="F481" s="12" t="n">
        <f aca="false">SUM(K498:N498)/F475</f>
        <v>0.14711909777462</v>
      </c>
      <c r="G481" s="12" t="n">
        <f aca="false">SUM(O498:R498)/G475</f>
        <v>0.14911909777462</v>
      </c>
      <c r="H481" s="12" t="n">
        <f aca="false">SUM(S498:V498)/H475</f>
        <v>0.15111909777462</v>
      </c>
      <c r="I481" s="12" t="n">
        <f aca="false">SUM(W498:Z498)/I475</f>
        <v>0.15311909777462</v>
      </c>
    </row>
    <row r="482" customFormat="false" ht="17.15" hidden="false" customHeight="false" outlineLevel="0" collapsed="false">
      <c r="A482" s="5" t="s">
        <v>531</v>
      </c>
      <c r="B482" s="0" t="s">
        <v>25</v>
      </c>
      <c r="D482" s="12" t="n">
        <f aca="false">SUM(C499:F499)/D475</f>
        <v>0.143593307473992</v>
      </c>
      <c r="E482" s="12" t="n">
        <f aca="false">SUM(G499:J499)/E475</f>
        <v>0.139533216003349</v>
      </c>
      <c r="F482" s="12" t="n">
        <f aca="false">SUM(K499:N499)/F475</f>
        <v>0.138512987387224</v>
      </c>
      <c r="G482" s="12" t="n">
        <f aca="false">SUM(O499:R499)/G475</f>
        <v>0.138512987387224</v>
      </c>
      <c r="H482" s="12" t="n">
        <f aca="false">SUM(S499:V499)/H475</f>
        <v>0.138512987387224</v>
      </c>
      <c r="I482" s="12" t="n">
        <f aca="false">SUM(W499:Z499)/I475</f>
        <v>0.138512987387224</v>
      </c>
    </row>
    <row r="483" customFormat="false" ht="17.15" hidden="false" customHeight="false" outlineLevel="0" collapsed="false">
      <c r="A483" s="5" t="s">
        <v>532</v>
      </c>
      <c r="B483" s="0" t="s">
        <v>25</v>
      </c>
      <c r="D483" s="12" t="n">
        <f aca="false">SUM(C500:F500)/D475</f>
        <v>0.125591404088418</v>
      </c>
      <c r="E483" s="12" t="n">
        <f aca="false">SUM(G500:J500)/E475</f>
        <v>0.112062540342342</v>
      </c>
      <c r="F483" s="12" t="n">
        <f aca="false">SUM(K500:N500)/F475</f>
        <v>0.106513670372059</v>
      </c>
      <c r="G483" s="12" t="n">
        <f aca="false">SUM(O500:R500)/G475</f>
        <v>0.106513670372059</v>
      </c>
      <c r="H483" s="12" t="n">
        <f aca="false">SUM(S500:V500)/H475</f>
        <v>0.106513670372059</v>
      </c>
      <c r="I483" s="12" t="n">
        <f aca="false">SUM(W500:Z500)/I475</f>
        <v>0.106513670372059</v>
      </c>
    </row>
    <row r="484" customFormat="false" ht="15" hidden="false" customHeight="false" outlineLevel="0" collapsed="false">
      <c r="A484" s="5" t="s">
        <v>533</v>
      </c>
      <c r="B484" s="0" t="s">
        <v>25</v>
      </c>
      <c r="D484" s="12" t="n">
        <f aca="false">SUM(C501:F501)/D475</f>
        <v>0.0859814835715252</v>
      </c>
      <c r="E484" s="12" t="n">
        <f aca="false">SUM(G501:J501)/E475</f>
        <v>0.127408643795164</v>
      </c>
      <c r="F484" s="12" t="n">
        <f aca="false">SUM(K501:N501)/F475</f>
        <v>0.136977742381572</v>
      </c>
      <c r="G484" s="12" t="n">
        <f aca="false">SUM(O501:R501)/G475</f>
        <v>0.139977742381572</v>
      </c>
      <c r="H484" s="12" t="n">
        <f aca="false">SUM(S501:V501)/H475</f>
        <v>0.142977742381572</v>
      </c>
      <c r="I484" s="12" t="n">
        <f aca="false">SUM(W501:Z501)/I475</f>
        <v>0.145977742381572</v>
      </c>
    </row>
    <row r="486" customFormat="false" ht="17.15" hidden="false" customHeight="false" outlineLevel="0" collapsed="false">
      <c r="A486" s="9" t="s">
        <v>534</v>
      </c>
      <c r="B486" s="6" t="s">
        <v>15</v>
      </c>
      <c r="C486" s="9" t="s">
        <v>468</v>
      </c>
      <c r="D486" s="9" t="s">
        <v>469</v>
      </c>
      <c r="E486" s="9" t="s">
        <v>470</v>
      </c>
      <c r="F486" s="9" t="s">
        <v>471</v>
      </c>
      <c r="G486" s="9" t="s">
        <v>472</v>
      </c>
      <c r="H486" s="9" t="s">
        <v>473</v>
      </c>
      <c r="I486" s="9" t="s">
        <v>474</v>
      </c>
      <c r="J486" s="9" t="s">
        <v>475</v>
      </c>
      <c r="K486" s="9" t="s">
        <v>476</v>
      </c>
      <c r="L486" s="9" t="s">
        <v>477</v>
      </c>
      <c r="M486" s="9" t="s">
        <v>478</v>
      </c>
      <c r="N486" s="9" t="s">
        <v>479</v>
      </c>
      <c r="O486" s="9" t="s">
        <v>480</v>
      </c>
      <c r="P486" s="9" t="s">
        <v>481</v>
      </c>
      <c r="Q486" s="9" t="s">
        <v>482</v>
      </c>
      <c r="R486" s="9" t="s">
        <v>483</v>
      </c>
      <c r="S486" s="9" t="s">
        <v>484</v>
      </c>
      <c r="T486" s="9" t="s">
        <v>485</v>
      </c>
      <c r="U486" s="9" t="s">
        <v>486</v>
      </c>
      <c r="V486" s="9" t="s">
        <v>487</v>
      </c>
      <c r="W486" s="9" t="s">
        <v>488</v>
      </c>
      <c r="X486" s="9" t="s">
        <v>489</v>
      </c>
      <c r="Y486" s="9" t="s">
        <v>490</v>
      </c>
      <c r="Z486" s="9" t="s">
        <v>491</v>
      </c>
      <c r="AA486" s="9"/>
      <c r="AB486" s="6" t="s">
        <v>434</v>
      </c>
    </row>
    <row r="487" customFormat="false" ht="17.15" hidden="false" customHeight="false" outlineLevel="0" collapsed="false">
      <c r="A487" s="5" t="s">
        <v>535</v>
      </c>
      <c r="B487" s="0" t="s">
        <v>536</v>
      </c>
      <c r="C487" s="13" t="n">
        <f aca="false">Path!C4</f>
        <v>1</v>
      </c>
      <c r="D487" s="13" t="n">
        <f aca="false">Path!D4</f>
        <v>1</v>
      </c>
      <c r="E487" s="13" t="n">
        <f aca="false">Path!E4</f>
        <v>1.05</v>
      </c>
      <c r="F487" s="13" t="n">
        <f aca="false">Path!F4</f>
        <v>1.365</v>
      </c>
      <c r="G487" s="13" t="n">
        <f aca="false">Path!G4</f>
        <v>2.559375</v>
      </c>
      <c r="H487" s="13" t="n">
        <f aca="false">Path!H4</f>
        <v>4.414921875</v>
      </c>
      <c r="I487" s="13" t="n">
        <f aca="false">Path!I4</f>
        <v>5.51865234375</v>
      </c>
      <c r="J487" s="13" t="n">
        <f aca="false">Path!J4</f>
        <v>5.96566318359375</v>
      </c>
      <c r="K487" s="13" t="n">
        <f aca="false">Path!K4*1</f>
        <v>6.14463307910156</v>
      </c>
      <c r="L487" s="13" t="n">
        <f aca="false">Path!L4*1</f>
        <v>6.14463307910156</v>
      </c>
      <c r="M487" s="13" t="n">
        <f aca="false">Path!M4*1</f>
        <v>5.83740142514648</v>
      </c>
      <c r="N487" s="13" t="n">
        <f aca="false">Path!N4*1</f>
        <v>5.42878332538623</v>
      </c>
      <c r="O487" s="13" t="n">
        <f aca="false">Path!O4*1</f>
        <v>5.15734415911692</v>
      </c>
      <c r="P487" s="13" t="n">
        <f aca="false">Path!P4*1</f>
        <v>4.89947695116107</v>
      </c>
      <c r="Q487" s="13" t="n">
        <f aca="false">Path!Q4*1</f>
        <v>4.65450310360302</v>
      </c>
      <c r="R487" s="13" t="n">
        <f aca="false">Path!R4*1</f>
        <v>4.42177794842287</v>
      </c>
      <c r="S487" s="13" t="n">
        <f aca="false">Path!S4*1</f>
        <v>4.28912460997018</v>
      </c>
      <c r="T487" s="13" t="n">
        <f aca="false">Path!T4*1</f>
        <v>4.16045087167108</v>
      </c>
      <c r="U487" s="13" t="n">
        <f aca="false">Path!U4*1</f>
        <v>4.03563734552094</v>
      </c>
      <c r="V487" s="13" t="n">
        <f aca="false">Path!V4*1</f>
        <v>3.91456822515532</v>
      </c>
      <c r="W487" s="13" t="n">
        <f aca="false">Path!V4*(1+p10)^(1/4)*1</f>
        <v>3.79144302937821</v>
      </c>
      <c r="X487" s="13" t="n">
        <f aca="false">Path!V4*(1+p10)^(2/4)*1</f>
        <v>3.6721904992345</v>
      </c>
      <c r="Y487" s="13" t="n">
        <f aca="false">Path!V4*(1+p10)^(3/4)*1</f>
        <v>3.55668882749365</v>
      </c>
      <c r="Z487" s="13" t="n">
        <f aca="false">Path!V4*(1+p10)^(4/4)*1</f>
        <v>3.44482003813668</v>
      </c>
      <c r="AB487" s="8" t="s">
        <v>537</v>
      </c>
    </row>
    <row r="488" customFormat="false" ht="17.15" hidden="false" customHeight="false" outlineLevel="0" collapsed="false">
      <c r="A488" s="5" t="s">
        <v>538</v>
      </c>
      <c r="B488" s="0" t="s">
        <v>222</v>
      </c>
      <c r="C488" s="10" t="n">
        <f aca="false">D473/4*(D473/C473)^((1-2.5)/4)/(((D473/C473)^(-0.375)+(D473/C473)^(-0.125)+(D473/C473)^(0.125)+(D473/C473)^(0.375))/4)</f>
        <v>239.477872684002</v>
      </c>
      <c r="D488" s="10" t="n">
        <f aca="false">D473/4*(D473/C473)^((2-2.5)/4)/(((D473/C473)^(-0.375)+(D473/C473)^(-0.125)+(D473/C473)^(0.125)+(D473/C473)^(0.375))/4)</f>
        <v>246.359830864633</v>
      </c>
      <c r="E488" s="10" t="n">
        <f aca="false">D473/4*(D473/C473)^((3-2.5)/4)/(((D473/C473)^(-0.375)+(D473/C473)^(-0.125)+(D473/C473)^(0.125)+(D473/C473)^(0.375))/4)</f>
        <v>253.439558249863</v>
      </c>
      <c r="F488" s="10" t="n">
        <f aca="false">D473/4*(D473/C473)^((4-2.5)/4)/(((D473/C473)^(-0.375)+(D473/C473)^(-0.125)+(D473/C473)^(0.125)+(D473/C473)^(0.375))/4)</f>
        <v>260.722738201501</v>
      </c>
      <c r="G488" s="10" t="n">
        <f aca="false">E473/4*(E473/D473)^((1-2.5)/4)/(((E473/D473)^(-0.375)+(E473/D473)^(-0.125)+(E473/D473)^(0.125)+(E473/D473)^(0.375))/4)</f>
        <v>281.231934694683</v>
      </c>
      <c r="H488" s="10" t="n">
        <f aca="false">E473/4*(E473/D473)^((2-2.5)/4)/(((E473/D473)^(-0.375)+(E473/D473)^(-0.125)+(E473/D473)^(0.125)+(E473/D473)^(0.375))/4)</f>
        <v>294.958541495794</v>
      </c>
      <c r="I488" s="10" t="n">
        <f aca="false">E473/4*(E473/D473)^((3-2.5)/4)/(((E473/D473)^(-0.375)+(E473/D473)^(-0.125)+(E473/D473)^(0.125)+(E473/D473)^(0.375))/4)</f>
        <v>309.355128164151</v>
      </c>
      <c r="J488" s="10" t="n">
        <f aca="false">E473/4*(E473/D473)^((4-2.5)/4)/(((E473/D473)^(-0.375)+(E473/D473)^(-0.125)+(E473/D473)^(0.125)+(E473/D473)^(0.375))/4)</f>
        <v>324.454395645373</v>
      </c>
      <c r="K488" s="10" t="n">
        <f aca="false">F473/4*(F473/E473)^((1-2.5)/4)/(((F473/E473)^(-0.375)+(F473/E473)^(-0.125)+(F473/E473)^(0.125)+(F473/E473)^(0.375))/4)</f>
        <v>347.096143815413</v>
      </c>
      <c r="L488" s="10" t="n">
        <f aca="false">F473/4*(F473/E473)^((2-2.5)/4)/(((F473/E473)^(-0.375)+(F473/E473)^(-0.125)+(F473/E473)^(0.125)+(F473/E473)^(0.375))/4)</f>
        <v>367.009488121451</v>
      </c>
      <c r="M488" s="10" t="n">
        <f aca="false">F473/4*(F473/E473)^((3-2.5)/4)/(((F473/E473)^(-0.375)+(F473/E473)^(-0.125)+(F473/E473)^(0.125)+(F473/E473)^(0.375))/4)</f>
        <v>388.065286149653</v>
      </c>
      <c r="N488" s="10" t="n">
        <f aca="false">F473/4*(F473/E473)^((4-2.5)/4)/(((F473/E473)^(-0.375)+(F473/E473)^(-0.125)+(F473/E473)^(0.125)+(F473/E473)^(0.375))/4)</f>
        <v>410.329081913483</v>
      </c>
      <c r="O488" s="10" t="n">
        <f aca="false">G473/4*(G473/F473)^((1-2.5)/4)/(((G473/F473)^(-0.375)+(G473/F473)^(-0.125)+(G473/F473)^(0.125)+(G473/F473)^(0.375))/4)</f>
        <v>433.870179769266</v>
      </c>
      <c r="P488" s="10" t="n">
        <f aca="false">G473/4*(G473/F473)^((2-2.5)/4)/(((G473/F473)^(-0.375)+(G473/F473)^(-0.125)+(G473/F473)^(0.125)+(G473/F473)^(0.375))/4)</f>
        <v>458.761860151814</v>
      </c>
      <c r="Q488" s="10" t="n">
        <f aca="false">G473/4*(G473/F473)^((3-2.5)/4)/(((G473/F473)^(-0.375)+(G473/F473)^(-0.125)+(G473/F473)^(0.125)+(G473/F473)^(0.375))/4)</f>
        <v>485.081607687067</v>
      </c>
      <c r="R488" s="10" t="n">
        <f aca="false">G473/4*(G473/F473)^((4-2.5)/4)/(((G473/F473)^(-0.375)+(G473/F473)^(-0.125)+(G473/F473)^(0.125)+(G473/F473)^(0.375))/4)</f>
        <v>512.911352391854</v>
      </c>
      <c r="S488" s="10" t="n">
        <f aca="false">H473/4*(H473/G473)^((1-2.5)/4)/(((H473/G473)^(-0.375)+(H473/G473)^(-0.125)+(H473/G473)^(0.125)+(H473/G473)^(0.375))/4)</f>
        <v>534.379419998991</v>
      </c>
      <c r="T488" s="10" t="n">
        <f aca="false">H473/4*(H473/G473)^((2-2.5)/4)/(((H473/G473)^(-0.375)+(H473/G473)^(-0.125)+(H473/G473)^(0.125)+(H473/G473)^(0.375))/4)</f>
        <v>561.616271458278</v>
      </c>
      <c r="U488" s="10" t="n">
        <f aca="false">H473/4*(H473/G473)^((3-2.5)/4)/(((H473/G473)^(-0.375)+(H473/G473)^(-0.125)+(H473/G473)^(0.125)+(H473/G473)^(0.375))/4)</f>
        <v>590.241361404399</v>
      </c>
      <c r="V488" s="10" t="n">
        <f aca="false">H473/4*(H473/G473)^((4-2.5)/4)/(((H473/G473)^(-0.375)+(H473/G473)^(-0.125)+(H473/G473)^(0.125)+(H473/G473)^(0.375))/4)</f>
        <v>620.325447138332</v>
      </c>
      <c r="W488" s="10" t="n">
        <f aca="false">I473/4*(I473/H473)^((1-2.5)/4)/(((I473/H473)^(-0.375)+(I473/H473)^(-0.125)+(I473/H473)^(0.125)+(I473/H473)^(0.375))/4)</f>
        <v>633.831574339978</v>
      </c>
      <c r="X488" s="10" t="n">
        <f aca="false">I473/4*(I473/H473)^((2-2.5)/4)/(((I473/H473)^(-0.375)+(I473/H473)^(-0.125)+(I473/H473)^(0.125)+(I473/H473)^(0.375))/4)</f>
        <v>658.505859968151</v>
      </c>
      <c r="Y488" s="10" t="n">
        <f aca="false">I473/4*(I473/H473)^((3-2.5)/4)/(((I473/H473)^(-0.375)+(I473/H473)^(-0.125)+(I473/H473)^(0.125)+(I473/H473)^(0.375))/4)</f>
        <v>684.140685266337</v>
      </c>
      <c r="Z488" s="10" t="n">
        <f aca="false">I473/4*(I473/H473)^((4-2.5)/4)/(((I473/H473)^(-0.375)+(I473/H473)^(-0.125)+(I473/H473)^(0.125)+(I473/H473)^(0.375))/4)</f>
        <v>710.773442865535</v>
      </c>
      <c r="AB488" s="5" t="s">
        <v>539</v>
      </c>
    </row>
    <row r="489" customFormat="false" ht="17.15" hidden="false" customHeight="false" outlineLevel="0" collapsed="false">
      <c r="A489" s="0" t="s">
        <v>540</v>
      </c>
      <c r="B489" s="0" t="s">
        <v>285</v>
      </c>
      <c r="C489" s="10" t="n">
        <f aca="false">(rv_ss_0+rv_sk_0+rv_mu_0+rv_kx_0+rv_sd_0)/t5_0</f>
        <v>12.9354838709677</v>
      </c>
      <c r="D489" s="10" t="n">
        <f aca="false">(rv_ss_1+rv_sk_1+rv_mu_1+rv_kx_1+rv_sd_1)/t5_1</f>
        <v>15.8054711246201</v>
      </c>
      <c r="E489" s="10" t="n">
        <f aca="false">(rv_ss_2+rv_sk_2+rv_mu_2+rv_kx_2+rv_sd_2)/t5_2</f>
        <v>18.7912087912088</v>
      </c>
      <c r="F489" s="10" t="n">
        <f aca="false">(rv_ss_3+rv_sk_3+rv_mu_3+rv_kx_3+rv_sd_3)/t5_3</f>
        <v>23.5714285714286</v>
      </c>
      <c r="G489" s="10" t="n">
        <f aca="false">(rv_ss_4+rv_sk_4+rv_mu_4+rv_kx_4+rv_sd_4)/t5_4</f>
        <v>43.954802259887</v>
      </c>
      <c r="H489" s="10" t="n">
        <f aca="false">(rv_ss_5+rv_sk_5+rv_mu_5+rv_kx_5+rv_sd_5)/t5_5</f>
        <v>78.703071672355</v>
      </c>
      <c r="I489" s="10" t="n">
        <f aca="false">$H489*I487/$H487*I488/$H488</f>
        <v>103.180597435169</v>
      </c>
      <c r="J489" s="10" t="n">
        <f aca="false">$H489*J487/$H487*J488/$H488</f>
        <v>116.982278156997</v>
      </c>
      <c r="K489" s="10" t="n">
        <f aca="false">$H489*K487/$H487*K488/$H488</f>
        <v>128.900150941515</v>
      </c>
      <c r="L489" s="10" t="n">
        <f aca="false">$H489*L487/$H487*L488/$H488</f>
        <v>136.295315458709</v>
      </c>
      <c r="M489" s="10" t="n">
        <f aca="false">$H489*M487/$H487*M488/$H488</f>
        <v>136.909012412225</v>
      </c>
      <c r="N489" s="10" t="n">
        <f aca="false">$H489*N487/$H487*N488/$H488</f>
        <v>134.630199550565</v>
      </c>
      <c r="O489" s="10" t="n">
        <f aca="false">$H489*O487/$H487*O488/$H488</f>
        <v>135.236398986234</v>
      </c>
      <c r="P489" s="10" t="n">
        <f aca="false">$H489*P487/$H487*P488/$H488</f>
        <v>135.845327956265</v>
      </c>
      <c r="Q489" s="10" t="n">
        <f aca="false">$H489*Q487/$H487*Q488/$H488</f>
        <v>136.456998750933</v>
      </c>
      <c r="R489" s="10" t="n">
        <f aca="false">$H489*R487/$H487*R488/$H488</f>
        <v>137.071423715852</v>
      </c>
      <c r="S489" s="10" t="n">
        <f aca="false">$H489*S487/$H487*S488/$H488</f>
        <v>138.524333952196</v>
      </c>
      <c r="T489" s="10" t="n">
        <f aca="false">$H489*T487/$H487*T488/$H488</f>
        <v>141.217254104587</v>
      </c>
      <c r="U489" s="10" t="n">
        <f aca="false">$H489*U487/$H487*U488/$H488</f>
        <v>143.962524762772</v>
      </c>
      <c r="V489" s="10" t="n">
        <f aca="false">$H489*V487/$H487*V488/$H488</f>
        <v>146.761163623267</v>
      </c>
      <c r="W489" s="10" t="n">
        <f aca="false">$H489*W487/$H487*W488/$H488</f>
        <v>145.239948766888</v>
      </c>
      <c r="X489" s="10" t="n">
        <f aca="false">$H489*X487/$H487*X488/$H488</f>
        <v>146.147883170303</v>
      </c>
      <c r="Y489" s="10" t="n">
        <f aca="false">$H489*Y487/$H487*Y488/$H488</f>
        <v>147.061493318496</v>
      </c>
      <c r="Z489" s="10" t="n">
        <f aca="false">$H489*Z487/$H487*Z488/$H488</f>
        <v>147.980814692092</v>
      </c>
      <c r="AB489" s="5" t="s">
        <v>541</v>
      </c>
    </row>
    <row r="490" customFormat="false" ht="17.15" hidden="false" customHeight="false" outlineLevel="0" collapsed="false">
      <c r="A490" s="5" t="s">
        <v>454</v>
      </c>
      <c r="B490" s="0" t="s">
        <v>25</v>
      </c>
      <c r="C490" s="12" t="n">
        <f aca="false">rv_ss_0/C489</f>
        <v>0.324688279301746</v>
      </c>
      <c r="D490" s="12" t="n">
        <f aca="false">rv_ss_1/D489</f>
        <v>0.329</v>
      </c>
      <c r="E490" s="12" t="n">
        <f aca="false">rv_ss_2/E489</f>
        <v>0.319298245614035</v>
      </c>
      <c r="F490" s="12" t="n">
        <f aca="false">rv_ss_3/F489</f>
        <v>0.28</v>
      </c>
      <c r="G490" s="12" t="n">
        <f aca="false">rv_ss_4/G489</f>
        <v>0.30736118251928</v>
      </c>
      <c r="H490" s="12" t="n">
        <f aca="false">rv_ss_5/H489</f>
        <v>0.293</v>
      </c>
      <c r="I490" s="12" t="n">
        <f aca="false">(rv_ss_4+rv_ss_5)/($G489+$H489)</f>
        <v>0.298146371102126</v>
      </c>
      <c r="J490" s="12" t="n">
        <f aca="false">(rv_ss_4+rv_ss_5)/($G489+$H489)</f>
        <v>0.298146371102126</v>
      </c>
      <c r="K490" s="12" t="n">
        <f aca="false">(rv_ss_4+rv_ss_5)/($G489+$H489)+dr_ss/100*1</f>
        <v>0.293146371102126</v>
      </c>
      <c r="L490" s="12" t="n">
        <f aca="false">(rv_ss_4+rv_ss_5)/($G489+$H489)+dr_ss/100*1</f>
        <v>0.293146371102126</v>
      </c>
      <c r="M490" s="12" t="n">
        <f aca="false">(rv_ss_4+rv_ss_5)/($G489+$H489)+dr_ss/100*1</f>
        <v>0.293146371102126</v>
      </c>
      <c r="N490" s="12" t="n">
        <f aca="false">(rv_ss_4+rv_ss_5)/($G489+$H489)+dr_ss/100*1</f>
        <v>0.293146371102126</v>
      </c>
      <c r="O490" s="12" t="n">
        <f aca="false">(rv_ss_4+rv_ss_5)/($G489+$H489)+dr_ss/100*2</f>
        <v>0.288146371102126</v>
      </c>
      <c r="P490" s="12" t="n">
        <f aca="false">(rv_ss_4+rv_ss_5)/($G489+$H489)+dr_ss/100*2</f>
        <v>0.288146371102126</v>
      </c>
      <c r="Q490" s="12" t="n">
        <f aca="false">(rv_ss_4+rv_ss_5)/($G489+$H489)+dr_ss/100*2</f>
        <v>0.288146371102126</v>
      </c>
      <c r="R490" s="12" t="n">
        <f aca="false">(rv_ss_4+rv_ss_5)/($G489+$H489)+dr_ss/100*2</f>
        <v>0.288146371102126</v>
      </c>
      <c r="S490" s="12" t="n">
        <f aca="false">(rv_ss_4+rv_ss_5)/($G489+$H489)+dr_ss/100*3</f>
        <v>0.283146371102126</v>
      </c>
      <c r="T490" s="12" t="n">
        <f aca="false">(rv_ss_4+rv_ss_5)/($G489+$H489)+dr_ss/100*3</f>
        <v>0.283146371102126</v>
      </c>
      <c r="U490" s="12" t="n">
        <f aca="false">(rv_ss_4+rv_ss_5)/($G489+$H489)+dr_ss/100*3</f>
        <v>0.283146371102126</v>
      </c>
      <c r="V490" s="12" t="n">
        <f aca="false">(rv_ss_4+rv_ss_5)/($G489+$H489)+dr_ss/100*3</f>
        <v>0.283146371102126</v>
      </c>
      <c r="W490" s="12" t="n">
        <f aca="false">(rv_ss_4+rv_ss_5)/($G489+$H489)+dr_ss/100*4</f>
        <v>0.278146371102126</v>
      </c>
      <c r="X490" s="12" t="n">
        <f aca="false">(rv_ss_4+rv_ss_5)/($G489+$H489)+dr_ss/100*4</f>
        <v>0.278146371102126</v>
      </c>
      <c r="Y490" s="12" t="n">
        <f aca="false">(rv_ss_4+rv_ss_5)/($G489+$H489)+dr_ss/100*4</f>
        <v>0.278146371102126</v>
      </c>
      <c r="Z490" s="12" t="n">
        <f aca="false">(rv_ss_4+rv_ss_5)/($G489+$H489)+dr_ss/100*4</f>
        <v>0.278146371102126</v>
      </c>
      <c r="AB490" s="8" t="s">
        <v>542</v>
      </c>
    </row>
    <row r="491" customFormat="false" ht="17.15" hidden="false" customHeight="false" outlineLevel="0" collapsed="false">
      <c r="A491" s="5" t="s">
        <v>455</v>
      </c>
      <c r="B491" s="0" t="s">
        <v>25</v>
      </c>
      <c r="C491" s="12" t="n">
        <f aca="false">rv_sk_0/C489</f>
        <v>0.16930174563591</v>
      </c>
      <c r="D491" s="12" t="n">
        <f aca="false">rv_sk_1/D489</f>
        <v>0.211319230769231</v>
      </c>
      <c r="E491" s="12" t="n">
        <f aca="false">rv_sk_2/E489</f>
        <v>0.187853801169591</v>
      </c>
      <c r="F491" s="12" t="n">
        <f aca="false">rv_sk_3/F489</f>
        <v>0.221030303030303</v>
      </c>
      <c r="G491" s="12" t="n">
        <f aca="false">rv_sk_4/G489</f>
        <v>0.17131233933162</v>
      </c>
      <c r="H491" s="12" t="n">
        <f aca="false">rv_sk_5/H489</f>
        <v>0.181314397224631</v>
      </c>
      <c r="I491" s="12" t="n">
        <f aca="false">(rv_sk_4+rv_sk_5)/($G489+$H489)</f>
        <v>0.177730130982399</v>
      </c>
      <c r="J491" s="12" t="n">
        <f aca="false">(rv_sk_4+rv_sk_5)/($G489+$H489)</f>
        <v>0.177730130982399</v>
      </c>
      <c r="K491" s="12" t="n">
        <f aca="false">(rv_sk_4+rv_sk_5)/($G489+$H489)+dr_sk/100*1</f>
        <v>0.177730130982399</v>
      </c>
      <c r="L491" s="12" t="n">
        <f aca="false">(rv_sk_4+rv_sk_5)/($G489+$H489)+dr_sk/100*1</f>
        <v>0.177730130982399</v>
      </c>
      <c r="M491" s="12" t="n">
        <f aca="false">(rv_sk_4+rv_sk_5)/($G489+$H489)+dr_sk/100*1</f>
        <v>0.177730130982399</v>
      </c>
      <c r="N491" s="12" t="n">
        <f aca="false">(rv_sk_4+rv_sk_5)/($G489+$H489)+dr_sk/100*1</f>
        <v>0.177730130982399</v>
      </c>
      <c r="O491" s="12" t="n">
        <f aca="false">(rv_sk_4+rv_sk_5)/($G489+$H489)+dr_sk/100*2</f>
        <v>0.177730130982399</v>
      </c>
      <c r="P491" s="12" t="n">
        <f aca="false">(rv_sk_4+rv_sk_5)/($G489+$H489)+dr_sk/100*2</f>
        <v>0.177730130982399</v>
      </c>
      <c r="Q491" s="12" t="n">
        <f aca="false">(rv_sk_4+rv_sk_5)/($G489+$H489)+dr_sk/100*2</f>
        <v>0.177730130982399</v>
      </c>
      <c r="R491" s="12" t="n">
        <f aca="false">(rv_sk_4+rv_sk_5)/($G489+$H489)+dr_sk/100*2</f>
        <v>0.177730130982399</v>
      </c>
      <c r="S491" s="12" t="n">
        <f aca="false">(rv_sk_4+rv_sk_5)/($G489+$H489)+dr_sk/100*3</f>
        <v>0.177730130982399</v>
      </c>
      <c r="T491" s="12" t="n">
        <f aca="false">(rv_sk_4+rv_sk_5)/($G489+$H489)+dr_sk/100*3</f>
        <v>0.177730130982399</v>
      </c>
      <c r="U491" s="12" t="n">
        <f aca="false">(rv_sk_4+rv_sk_5)/($G489+$H489)+dr_sk/100*3</f>
        <v>0.177730130982399</v>
      </c>
      <c r="V491" s="12" t="n">
        <f aca="false">(rv_sk_4+rv_sk_5)/($G489+$H489)+dr_sk/100*3</f>
        <v>0.177730130982399</v>
      </c>
      <c r="W491" s="12" t="n">
        <f aca="false">(rv_sk_4+rv_sk_5)/($G489+$H489)+dr_sk/100*4</f>
        <v>0.177730130982399</v>
      </c>
      <c r="X491" s="12" t="n">
        <f aca="false">(rv_sk_4+rv_sk_5)/($G489+$H489)+dr_sk/100*4</f>
        <v>0.177730130982399</v>
      </c>
      <c r="Y491" s="12" t="n">
        <f aca="false">(rv_sk_4+rv_sk_5)/($G489+$H489)+dr_sk/100*4</f>
        <v>0.177730130982399</v>
      </c>
      <c r="Z491" s="12" t="n">
        <f aca="false">(rv_sk_4+rv_sk_5)/($G489+$H489)+dr_sk/100*4</f>
        <v>0.177730130982399</v>
      </c>
      <c r="AB491" s="8" t="s">
        <v>542</v>
      </c>
    </row>
    <row r="492" customFormat="false" ht="17.15" hidden="false" customHeight="false" outlineLevel="0" collapsed="false">
      <c r="A492" s="5" t="s">
        <v>456</v>
      </c>
      <c r="B492" s="0" t="s">
        <v>25</v>
      </c>
      <c r="C492" s="12" t="n">
        <f aca="false">rv_mu_0/C489</f>
        <v>0.156932668329177</v>
      </c>
      <c r="D492" s="12" t="n">
        <f aca="false">rv_mu_1/D489</f>
        <v>0.132865384615385</v>
      </c>
      <c r="E492" s="12" t="n">
        <f aca="false">rv_mu_2/E489</f>
        <v>0.128783625730994</v>
      </c>
      <c r="F492" s="12" t="n">
        <f aca="false">rv_mu_3/F489</f>
        <v>0.128545454545455</v>
      </c>
      <c r="G492" s="12" t="n">
        <f aca="false">rv_mu_4/G489</f>
        <v>0.135366323907455</v>
      </c>
      <c r="H492" s="12" t="n">
        <f aca="false">rv_mu_5/H489</f>
        <v>0.150565915004337</v>
      </c>
      <c r="I492" s="12" t="n">
        <f aca="false">(rv_mu_4+rv_mu_5)/($G489+$H489)</f>
        <v>0.14511909777462</v>
      </c>
      <c r="J492" s="12" t="n">
        <f aca="false">(rv_mu_4+rv_mu_5)/($G489+$H489)</f>
        <v>0.14511909777462</v>
      </c>
      <c r="K492" s="12" t="n">
        <f aca="false">(rv_mu_4+rv_mu_5)/($G489+$H489)+dr_mu/100*1</f>
        <v>0.14711909777462</v>
      </c>
      <c r="L492" s="12" t="n">
        <f aca="false">(rv_mu_4+rv_mu_5)/($G489+$H489)+dr_mu/100*1</f>
        <v>0.14711909777462</v>
      </c>
      <c r="M492" s="12" t="n">
        <f aca="false">(rv_mu_4+rv_mu_5)/($G489+$H489)+dr_mu/100*1</f>
        <v>0.14711909777462</v>
      </c>
      <c r="N492" s="12" t="n">
        <f aca="false">(rv_mu_4+rv_mu_5)/($G489+$H489)+dr_mu/100*1</f>
        <v>0.14711909777462</v>
      </c>
      <c r="O492" s="12" t="n">
        <f aca="false">(rv_mu_4+rv_mu_5)/($G489+$H489)+dr_mu/100*2</f>
        <v>0.14911909777462</v>
      </c>
      <c r="P492" s="12" t="n">
        <f aca="false">(rv_mu_4+rv_mu_5)/($G489+$H489)+dr_mu/100*2</f>
        <v>0.14911909777462</v>
      </c>
      <c r="Q492" s="12" t="n">
        <f aca="false">(rv_mu_4+rv_mu_5)/($G489+$H489)+dr_mu/100*2</f>
        <v>0.14911909777462</v>
      </c>
      <c r="R492" s="12" t="n">
        <f aca="false">(rv_mu_4+rv_mu_5)/($G489+$H489)+dr_mu/100*2</f>
        <v>0.14911909777462</v>
      </c>
      <c r="S492" s="12" t="n">
        <f aca="false">(rv_mu_4+rv_mu_5)/($G489+$H489)+dr_mu/100*3</f>
        <v>0.15111909777462</v>
      </c>
      <c r="T492" s="12" t="n">
        <f aca="false">(rv_mu_4+rv_mu_5)/($G489+$H489)+dr_mu/100*3</f>
        <v>0.15111909777462</v>
      </c>
      <c r="U492" s="12" t="n">
        <f aca="false">(rv_mu_4+rv_mu_5)/($G489+$H489)+dr_mu/100*3</f>
        <v>0.15111909777462</v>
      </c>
      <c r="V492" s="12" t="n">
        <f aca="false">(rv_mu_4+rv_mu_5)/($G489+$H489)+dr_mu/100*3</f>
        <v>0.15111909777462</v>
      </c>
      <c r="W492" s="12" t="n">
        <f aca="false">(rv_mu_4+rv_mu_5)/($G489+$H489)+dr_mu/100*4</f>
        <v>0.15311909777462</v>
      </c>
      <c r="X492" s="12" t="n">
        <f aca="false">(rv_mu_4+rv_mu_5)/($G489+$H489)+dr_mu/100*4</f>
        <v>0.15311909777462</v>
      </c>
      <c r="Y492" s="12" t="n">
        <f aca="false">(rv_mu_4+rv_mu_5)/($G489+$H489)+dr_mu/100*4</f>
        <v>0.15311909777462</v>
      </c>
      <c r="Z492" s="12" t="n">
        <f aca="false">(rv_mu_4+rv_mu_5)/($G489+$H489)+dr_mu/100*4</f>
        <v>0.15311909777462</v>
      </c>
      <c r="AB492" s="8" t="s">
        <v>542</v>
      </c>
    </row>
    <row r="493" customFormat="false" ht="17.15" hidden="false" customHeight="false" outlineLevel="0" collapsed="false">
      <c r="A493" s="5" t="s">
        <v>457</v>
      </c>
      <c r="B493" s="0" t="s">
        <v>25</v>
      </c>
      <c r="C493" s="12" t="n">
        <f aca="false">rv_kx_0/C489</f>
        <v>0.148428927680798</v>
      </c>
      <c r="D493" s="12" t="n">
        <f aca="false">rv_kx_1/D489</f>
        <v>0.135396153846154</v>
      </c>
      <c r="E493" s="12" t="n">
        <f aca="false">rv_kx_2/E489</f>
        <v>0.151134502923977</v>
      </c>
      <c r="F493" s="12" t="n">
        <f aca="false">rv_kx_3/F489</f>
        <v>0.140424242424242</v>
      </c>
      <c r="G493" s="12" t="n">
        <f aca="false">rv_kx_4/G489</f>
        <v>0.13559383033419</v>
      </c>
      <c r="H493" s="12" t="n">
        <f aca="false">rv_kx_5/H489</f>
        <v>0.136208152645273</v>
      </c>
      <c r="I493" s="12" t="n">
        <f aca="false">kx_g/kx_fxg/kx_k/$I489</f>
        <v>0.144904344872829</v>
      </c>
      <c r="J493" s="12" t="n">
        <f aca="false">(kx_g/kx_fxg/kx_k/$I489+kx_g4/kx_fxg4/kx_k/$J489)/2</f>
        <v>0.138512987387224</v>
      </c>
      <c r="K493" s="12" t="n">
        <f aca="false">(kx_g/kx_fxg/kx_k/$I489+kx_g4/kx_fxg4/kx_k/$J489)/2+dr_jv_A/100*1*(kx_g/kx_fxg/kx_k)/(kx_g/kx_fxg/kx_k+sd_g/sd_k)</f>
        <v>0.138512987387224</v>
      </c>
      <c r="L493" s="12" t="n">
        <f aca="false">(kx_g/kx_fxg/kx_k/$I489+kx_g4/kx_fxg4/kx_k/$J489)/2+dr_jv_A/100*1*(kx_g/kx_fxg/kx_k)/(kx_g/kx_fxg/kx_k+sd_g/sd_k)</f>
        <v>0.138512987387224</v>
      </c>
      <c r="M493" s="12" t="n">
        <f aca="false">(kx_g/kx_fxg/kx_k/$I489+kx_g4/kx_fxg4/kx_k/$J489)/2+dr_jv_A/100*1*(kx_g/kx_fxg/kx_k)/(kx_g/kx_fxg/kx_k+sd_g/sd_k)</f>
        <v>0.138512987387224</v>
      </c>
      <c r="N493" s="12" t="n">
        <f aca="false">(kx_g/kx_fxg/kx_k/$I489+kx_g4/kx_fxg4/kx_k/$J489)/2+dr_jv_A/100*1*(kx_g/kx_fxg/kx_k)/(kx_g/kx_fxg/kx_k+sd_g/sd_k)</f>
        <v>0.138512987387224</v>
      </c>
      <c r="O493" s="12" t="n">
        <f aca="false">(kx_g/kx_fxg/kx_k/$I489+kx_g4/kx_fxg4/kx_k/$J489)/2+dr_jv_A/100*2*(kx_g/kx_fxg/kx_k)/(kx_g/kx_fxg/kx_k+sd_g/sd_k)</f>
        <v>0.138512987387224</v>
      </c>
      <c r="P493" s="12" t="n">
        <f aca="false">(kx_g/kx_fxg/kx_k/$I489+kx_g4/kx_fxg4/kx_k/$J489)/2+dr_jv_A/100*2*(kx_g/kx_fxg/kx_k)/(kx_g/kx_fxg/kx_k+sd_g/sd_k)</f>
        <v>0.138512987387224</v>
      </c>
      <c r="Q493" s="12" t="n">
        <f aca="false">(kx_g/kx_fxg/kx_k/$I489+kx_g4/kx_fxg4/kx_k/$J489)/2+dr_jv_A/100*2*(kx_g/kx_fxg/kx_k)/(kx_g/kx_fxg/kx_k+sd_g/sd_k)</f>
        <v>0.138512987387224</v>
      </c>
      <c r="R493" s="12" t="n">
        <f aca="false">(kx_g/kx_fxg/kx_k/$I489+kx_g4/kx_fxg4/kx_k/$J489)/2+dr_jv_A/100*2*(kx_g/kx_fxg/kx_k)/(kx_g/kx_fxg/kx_k+sd_g/sd_k)</f>
        <v>0.138512987387224</v>
      </c>
      <c r="S493" s="12" t="n">
        <f aca="false">(kx_g/kx_fxg/kx_k/$I489+kx_g4/kx_fxg4/kx_k/$J489)/2+dr_jv_A/100*3*(kx_g/kx_fxg/kx_k)/(kx_g/kx_fxg/kx_k+sd_g/sd_k)</f>
        <v>0.138512987387224</v>
      </c>
      <c r="T493" s="12" t="n">
        <f aca="false">(kx_g/kx_fxg/kx_k/$I489+kx_g4/kx_fxg4/kx_k/$J489)/2+dr_jv_A/100*3*(kx_g/kx_fxg/kx_k)/(kx_g/kx_fxg/kx_k+sd_g/sd_k)</f>
        <v>0.138512987387224</v>
      </c>
      <c r="U493" s="12" t="n">
        <f aca="false">(kx_g/kx_fxg/kx_k/$I489+kx_g4/kx_fxg4/kx_k/$J489)/2+dr_jv_A/100*3*(kx_g/kx_fxg/kx_k)/(kx_g/kx_fxg/kx_k+sd_g/sd_k)</f>
        <v>0.138512987387224</v>
      </c>
      <c r="V493" s="12" t="n">
        <f aca="false">(kx_g/kx_fxg/kx_k/$I489+kx_g4/kx_fxg4/kx_k/$J489)/2+dr_jv_A/100*3*(kx_g/kx_fxg/kx_k)/(kx_g/kx_fxg/kx_k+sd_g/sd_k)</f>
        <v>0.138512987387224</v>
      </c>
      <c r="W493" s="12" t="n">
        <f aca="false">(kx_g/kx_fxg/kx_k/$I489+kx_g4/kx_fxg4/kx_k/$J489)/2+dr_jv_A/100*4*(kx_g/kx_fxg/kx_k)/(kx_g/kx_fxg/kx_k+sd_g/sd_k)</f>
        <v>0.138512987387224</v>
      </c>
      <c r="X493" s="12" t="n">
        <f aca="false">(kx_g/kx_fxg/kx_k/$I489+kx_g4/kx_fxg4/kx_k/$J489)/2+dr_jv_A/100*4*(kx_g/kx_fxg/kx_k)/(kx_g/kx_fxg/kx_k+sd_g/sd_k)</f>
        <v>0.138512987387224</v>
      </c>
      <c r="Y493" s="12" t="n">
        <f aca="false">(kx_g/kx_fxg/kx_k/$I489+kx_g4/kx_fxg4/kx_k/$J489)/2+dr_jv_A/100*4*(kx_g/kx_fxg/kx_k)/(kx_g/kx_fxg/kx_k+sd_g/sd_k)</f>
        <v>0.138512987387224</v>
      </c>
      <c r="Z493" s="12" t="n">
        <f aca="false">(kx_g/kx_fxg/kx_k/$I489+kx_g4/kx_fxg4/kx_k/$J489)/2+dr_jv_A/100*4*(kx_g/kx_fxg/kx_k)/(kx_g/kx_fxg/kx_k+sd_g/sd_k)</f>
        <v>0.138512987387224</v>
      </c>
      <c r="AB493" s="8" t="s">
        <v>543</v>
      </c>
    </row>
    <row r="494" customFormat="false" ht="17.15" hidden="false" customHeight="false" outlineLevel="0" collapsed="false">
      <c r="A494" s="5" t="s">
        <v>458</v>
      </c>
      <c r="B494" s="0" t="s">
        <v>25</v>
      </c>
      <c r="C494" s="12" t="n">
        <f aca="false">rv_sd_0/C489</f>
        <v>0.130648379052369</v>
      </c>
      <c r="D494" s="12" t="n">
        <f aca="false">rv_sd_1/D489</f>
        <v>0.120211538461538</v>
      </c>
      <c r="E494" s="12" t="n">
        <f aca="false">rv_sd_2/E489</f>
        <v>0.122929824561404</v>
      </c>
      <c r="F494" s="12" t="n">
        <f aca="false">rv_sd_3/F489</f>
        <v>0.128545454545455</v>
      </c>
      <c r="G494" s="12" t="n">
        <f aca="false">rv_sd_4/G489</f>
        <v>0.135366323907455</v>
      </c>
      <c r="H494" s="12" t="n">
        <f aca="false">rv_sd_5/H489</f>
        <v>0.113972679965308</v>
      </c>
      <c r="I494" s="12" t="n">
        <f aca="false">sd_g/sd_k/$I489</f>
        <v>0.106969261015561</v>
      </c>
      <c r="J494" s="12" t="n">
        <f aca="false">(sd_g/sd_k/$I489+sd_g4/sd_k/$J489)/2</f>
        <v>0.106513670372059</v>
      </c>
      <c r="K494" s="12" t="n">
        <f aca="false">(sd_g/sd_k/$I489+sd_g4/sd_k/$J489)/2+dr_jv_A/100*1*(sd_g/sd_k)/(kx_g/kx_fxg/kx_k+sd_g/sd_k)</f>
        <v>0.106513670372059</v>
      </c>
      <c r="L494" s="12" t="n">
        <f aca="false">(sd_g/sd_k/$I489+sd_g4/sd_k/$J489)/2+dr_jv_A/100*1*(sd_g/sd_k)/(kx_g/kx_fxg/kx_k+sd_g/sd_k)</f>
        <v>0.106513670372059</v>
      </c>
      <c r="M494" s="12" t="n">
        <f aca="false">(sd_g/sd_k/$I489+sd_g4/sd_k/$J489)/2+dr_jv_A/100*1*(sd_g/sd_k)/(kx_g/kx_fxg/kx_k+sd_g/sd_k)</f>
        <v>0.106513670372059</v>
      </c>
      <c r="N494" s="12" t="n">
        <f aca="false">(sd_g/sd_k/$I489+sd_g4/sd_k/$J489)/2+dr_jv_A/100*1*(sd_g/sd_k)/(kx_g/kx_fxg/kx_k+sd_g/sd_k)</f>
        <v>0.106513670372059</v>
      </c>
      <c r="O494" s="12" t="n">
        <f aca="false">(sd_g/sd_k/$I489+sd_g4/sd_k/$J489)/2+dr_jv_A/100*2*(sd_g/sd_k)/(kx_g/kx_fxg/kx_k+sd_g/sd_k)</f>
        <v>0.106513670372059</v>
      </c>
      <c r="P494" s="12" t="n">
        <f aca="false">(sd_g/sd_k/$I489+sd_g4/sd_k/$J489)/2+dr_jv_A/100*2*(sd_g/sd_k)/(kx_g/kx_fxg/kx_k+sd_g/sd_k)</f>
        <v>0.106513670372059</v>
      </c>
      <c r="Q494" s="12" t="n">
        <f aca="false">(sd_g/sd_k/$I489+sd_g4/sd_k/$J489)/2+dr_jv_A/100*2*(sd_g/sd_k)/(kx_g/kx_fxg/kx_k+sd_g/sd_k)</f>
        <v>0.106513670372059</v>
      </c>
      <c r="R494" s="12" t="n">
        <f aca="false">(sd_g/sd_k/$I489+sd_g4/sd_k/$J489)/2+dr_jv_A/100*2*(sd_g/sd_k)/(kx_g/kx_fxg/kx_k+sd_g/sd_k)</f>
        <v>0.106513670372059</v>
      </c>
      <c r="S494" s="12" t="n">
        <f aca="false">(sd_g/sd_k/$I489+sd_g4/sd_k/$J489)/2+dr_jv_A/100*3*(sd_g/sd_k)/(kx_g/kx_fxg/kx_k+sd_g/sd_k)</f>
        <v>0.106513670372059</v>
      </c>
      <c r="T494" s="12" t="n">
        <f aca="false">(sd_g/sd_k/$I489+sd_g4/sd_k/$J489)/2+dr_jv_A/100*3*(sd_g/sd_k)/(kx_g/kx_fxg/kx_k+sd_g/sd_k)</f>
        <v>0.106513670372059</v>
      </c>
      <c r="U494" s="12" t="n">
        <f aca="false">(sd_g/sd_k/$I489+sd_g4/sd_k/$J489)/2+dr_jv_A/100*3*(sd_g/sd_k)/(kx_g/kx_fxg/kx_k+sd_g/sd_k)</f>
        <v>0.106513670372059</v>
      </c>
      <c r="V494" s="12" t="n">
        <f aca="false">(sd_g/sd_k/$I489+sd_g4/sd_k/$J489)/2+dr_jv_A/100*3*(sd_g/sd_k)/(kx_g/kx_fxg/kx_k+sd_g/sd_k)</f>
        <v>0.106513670372059</v>
      </c>
      <c r="W494" s="12" t="n">
        <f aca="false">(sd_g/sd_k/$I489+sd_g4/sd_k/$J489)/2+dr_jv_A/100*4*(sd_g/sd_k)/(kx_g/kx_fxg/kx_k+sd_g/sd_k)</f>
        <v>0.106513670372059</v>
      </c>
      <c r="X494" s="12" t="n">
        <f aca="false">(sd_g/sd_k/$I489+sd_g4/sd_k/$J489)/2+dr_jv_A/100*4*(sd_g/sd_k)/(kx_g/kx_fxg/kx_k+sd_g/sd_k)</f>
        <v>0.106513670372059</v>
      </c>
      <c r="Y494" s="12" t="n">
        <f aca="false">(sd_g/sd_k/$I489+sd_g4/sd_k/$J489)/2+dr_jv_A/100*4*(sd_g/sd_k)/(kx_g/kx_fxg/kx_k+sd_g/sd_k)</f>
        <v>0.106513670372059</v>
      </c>
      <c r="Z494" s="12" t="n">
        <f aca="false">(sd_g/sd_k/$I489+sd_g4/sd_k/$J489)/2+dr_jv_A/100*4*(sd_g/sd_k)/(kx_g/kx_fxg/kx_k+sd_g/sd_k)</f>
        <v>0.106513670372059</v>
      </c>
      <c r="AB494" s="8" t="s">
        <v>544</v>
      </c>
    </row>
    <row r="495" customFormat="false" ht="15" hidden="false" customHeight="false" outlineLevel="0" collapsed="false">
      <c r="A495" s="5" t="s">
        <v>459</v>
      </c>
      <c r="B495" s="0" t="s">
        <v>25</v>
      </c>
      <c r="C495" s="12" t="n">
        <f aca="false">1-t5_0</f>
        <v>0.07</v>
      </c>
      <c r="D495" s="12" t="n">
        <f aca="false">1-t5_1</f>
        <v>0.0712076923076923</v>
      </c>
      <c r="E495" s="12" t="n">
        <f aca="false">1-t5_2</f>
        <v>0.09</v>
      </c>
      <c r="F495" s="12" t="n">
        <f aca="false">1-t5_3</f>
        <v>0.101454545454545</v>
      </c>
      <c r="G495" s="12" t="n">
        <f aca="false">1-t5_4</f>
        <v>0.115</v>
      </c>
      <c r="H495" s="12" t="n">
        <f aca="false">1-t5_5</f>
        <v>0.124938855160451</v>
      </c>
      <c r="I495" s="12" t="n">
        <f aca="false">1-I490-I491-I492-I493-I494</f>
        <v>0.127130794252464</v>
      </c>
      <c r="J495" s="12" t="n">
        <f aca="false">1-J490-J491-J492-J493-J494</f>
        <v>0.133977742381572</v>
      </c>
      <c r="K495" s="12" t="n">
        <f aca="false">1-K490-K491-K492-K493-K494</f>
        <v>0.136977742381572</v>
      </c>
      <c r="L495" s="12" t="n">
        <f aca="false">1-L490-L491-L492-L493-L494</f>
        <v>0.136977742381572</v>
      </c>
      <c r="M495" s="12" t="n">
        <f aca="false">1-M490-M491-M492-M493-M494</f>
        <v>0.136977742381572</v>
      </c>
      <c r="N495" s="12" t="n">
        <f aca="false">1-N490-N491-N492-N493-N494</f>
        <v>0.136977742381572</v>
      </c>
      <c r="O495" s="12" t="n">
        <f aca="false">1-O490-O491-O492-O493-O494</f>
        <v>0.139977742381572</v>
      </c>
      <c r="P495" s="12" t="n">
        <f aca="false">1-P490-P491-P492-P493-P494</f>
        <v>0.139977742381572</v>
      </c>
      <c r="Q495" s="12" t="n">
        <f aca="false">1-Q490-Q491-Q492-Q493-Q494</f>
        <v>0.139977742381572</v>
      </c>
      <c r="R495" s="12" t="n">
        <f aca="false">1-R490-R491-R492-R493-R494</f>
        <v>0.139977742381572</v>
      </c>
      <c r="S495" s="12" t="n">
        <f aca="false">1-S490-S491-S492-S493-S494</f>
        <v>0.142977742381572</v>
      </c>
      <c r="T495" s="12" t="n">
        <f aca="false">1-T490-T491-T492-T493-T494</f>
        <v>0.142977742381572</v>
      </c>
      <c r="U495" s="12" t="n">
        <f aca="false">1-U490-U491-U492-U493-U494</f>
        <v>0.142977742381572</v>
      </c>
      <c r="V495" s="12" t="n">
        <f aca="false">1-V490-V491-V492-V493-V494</f>
        <v>0.142977742381572</v>
      </c>
      <c r="W495" s="12" t="n">
        <f aca="false">1-W490-W491-W492-W493-W494</f>
        <v>0.145977742381572</v>
      </c>
      <c r="X495" s="12" t="n">
        <f aca="false">1-X490-X491-X492-X493-X494</f>
        <v>0.145977742381572</v>
      </c>
      <c r="Y495" s="12" t="n">
        <f aca="false">1-Y490-Y491-Y492-Y493-Y494</f>
        <v>0.145977742381572</v>
      </c>
      <c r="Z495" s="12" t="n">
        <f aca="false">1-Z490-Z491-Z492-Z493-Z494</f>
        <v>0.145977742381572</v>
      </c>
      <c r="AB495" s="5" t="s">
        <v>545</v>
      </c>
    </row>
    <row r="496" customFormat="false" ht="17.15" hidden="false" customHeight="false" outlineLevel="0" collapsed="false">
      <c r="A496" s="5" t="s">
        <v>546</v>
      </c>
      <c r="B496" s="0" t="s">
        <v>285</v>
      </c>
      <c r="C496" s="19" t="n">
        <f aca="false">C489*C490</f>
        <v>4.2</v>
      </c>
      <c r="D496" s="19" t="n">
        <f aca="false">D489*D490</f>
        <v>5.2</v>
      </c>
      <c r="E496" s="19" t="n">
        <f aca="false">E489*E490</f>
        <v>6</v>
      </c>
      <c r="F496" s="19" t="n">
        <f aca="false">F489*F490</f>
        <v>6.6</v>
      </c>
      <c r="G496" s="19" t="n">
        <f aca="false">G489*G490</f>
        <v>13.51</v>
      </c>
      <c r="H496" s="19" t="n">
        <f aca="false">H489*H490</f>
        <v>23.06</v>
      </c>
      <c r="I496" s="19" t="n">
        <f aca="false">I489*I490</f>
        <v>30.7629206934451</v>
      </c>
      <c r="J496" s="19" t="n">
        <f aca="false">J489*J490</f>
        <v>34.877841715768</v>
      </c>
      <c r="K496" s="19" t="n">
        <f aca="false">K489*K490</f>
        <v>37.7866114830214</v>
      </c>
      <c r="L496" s="19" t="n">
        <f aca="false">L489*L490</f>
        <v>39.9544771249401</v>
      </c>
      <c r="M496" s="19" t="n">
        <f aca="false">M489*M490</f>
        <v>40.1343801598198</v>
      </c>
      <c r="N496" s="19" t="n">
        <f aca="false">N489*N490</f>
        <v>39.4663544390031</v>
      </c>
      <c r="O496" s="19" t="n">
        <f aca="false">O489*O490</f>
        <v>38.9678776088025</v>
      </c>
      <c r="P496" s="19" t="n">
        <f aca="false">P489*P490</f>
        <v>39.1433382817759</v>
      </c>
      <c r="Q496" s="19" t="n">
        <f aca="false">Q489*Q490</f>
        <v>39.3195890015687</v>
      </c>
      <c r="R496" s="19" t="n">
        <f aca="false">R489*R490</f>
        <v>39.4966333255248</v>
      </c>
      <c r="S496" s="19" t="n">
        <f aca="false">S489*S490</f>
        <v>39.2226624679034</v>
      </c>
      <c r="T496" s="19" t="n">
        <f aca="false">T489*T490</f>
        <v>39.9851530367208</v>
      </c>
      <c r="U496" s="19" t="n">
        <f aca="false">U489*U490</f>
        <v>40.762466461279</v>
      </c>
      <c r="V496" s="19" t="n">
        <f aca="false">V489*V490</f>
        <v>41.5548908986535</v>
      </c>
      <c r="W496" s="19" t="n">
        <f aca="false">W489*W490</f>
        <v>40.3979646885687</v>
      </c>
      <c r="X496" s="19" t="n">
        <f aca="false">X489*X490</f>
        <v>40.6505033480772</v>
      </c>
      <c r="Y496" s="19" t="n">
        <f aca="false">Y489*Y490</f>
        <v>40.9046206953992</v>
      </c>
      <c r="Z496" s="19" t="n">
        <f aca="false">Z489*Z490</f>
        <v>41.1603265993415</v>
      </c>
    </row>
    <row r="497" customFormat="false" ht="17.15" hidden="false" customHeight="false" outlineLevel="0" collapsed="false">
      <c r="A497" s="0" t="s">
        <v>547</v>
      </c>
      <c r="B497" s="0" t="s">
        <v>285</v>
      </c>
      <c r="C497" s="19" t="n">
        <f aca="false">C489*C491</f>
        <v>2.19</v>
      </c>
      <c r="D497" s="19" t="n">
        <f aca="false">D489*D491</f>
        <v>3.34</v>
      </c>
      <c r="E497" s="19" t="n">
        <f aca="false">E489*E491</f>
        <v>3.53</v>
      </c>
      <c r="F497" s="19" t="n">
        <f aca="false">F489*F491</f>
        <v>5.21</v>
      </c>
      <c r="G497" s="19" t="n">
        <f aca="false">G489*G491</f>
        <v>7.53</v>
      </c>
      <c r="H497" s="19" t="n">
        <f aca="false">H489*H491</f>
        <v>14.27</v>
      </c>
      <c r="I497" s="19" t="n">
        <f aca="false">I489*I491</f>
        <v>18.3383010969949</v>
      </c>
      <c r="J497" s="19" t="n">
        <f aca="false">J489*J491</f>
        <v>20.7912756194625</v>
      </c>
      <c r="K497" s="19" t="n">
        <f aca="false">K489*K491</f>
        <v>22.9094407104865</v>
      </c>
      <c r="L497" s="19" t="n">
        <f aca="false">L489*L491</f>
        <v>24.2237842687638</v>
      </c>
      <c r="M497" s="19" t="n">
        <f aca="false">M489*M491</f>
        <v>24.3328567086957</v>
      </c>
      <c r="N497" s="19" t="n">
        <f aca="false">N489*N491</f>
        <v>23.9278430003084</v>
      </c>
      <c r="O497" s="19" t="n">
        <f aca="false">O489*O491</f>
        <v>24.0355829054114</v>
      </c>
      <c r="P497" s="19" t="n">
        <f aca="false">P489*P491</f>
        <v>24.143807931014</v>
      </c>
      <c r="Q497" s="19" t="n">
        <f aca="false">Q489*Q491</f>
        <v>24.2525202614684</v>
      </c>
      <c r="R497" s="19" t="n">
        <f aca="false">R489*R491</f>
        <v>24.3617220909624</v>
      </c>
      <c r="S497" s="19" t="n">
        <f aca="false">S489*S491</f>
        <v>24.6199480175735</v>
      </c>
      <c r="T497" s="19" t="n">
        <f aca="false">T489*T491</f>
        <v>25.0985610689831</v>
      </c>
      <c r="U497" s="19" t="n">
        <f aca="false">U489*U491</f>
        <v>25.5864783826445</v>
      </c>
      <c r="V497" s="19" t="n">
        <f aca="false">V489*V491</f>
        <v>26.0838808338927</v>
      </c>
      <c r="W497" s="19" t="n">
        <f aca="false">W489*W491</f>
        <v>25.8135151182161</v>
      </c>
      <c r="X497" s="19" t="n">
        <f aca="false">X489*X491</f>
        <v>25.9748824186583</v>
      </c>
      <c r="Y497" s="19" t="n">
        <f aca="false">Y489*Y491</f>
        <v>26.1372584699635</v>
      </c>
      <c r="Z497" s="19" t="n">
        <f aca="false">Z489*Z491</f>
        <v>26.3006495781076</v>
      </c>
    </row>
    <row r="498" customFormat="false" ht="17.15" hidden="false" customHeight="false" outlineLevel="0" collapsed="false">
      <c r="A498" s="5" t="s">
        <v>548</v>
      </c>
      <c r="B498" s="0" t="s">
        <v>285</v>
      </c>
      <c r="C498" s="19" t="n">
        <f aca="false">C489*C492</f>
        <v>2.03</v>
      </c>
      <c r="D498" s="19" t="n">
        <f aca="false">D489*D492</f>
        <v>2.1</v>
      </c>
      <c r="E498" s="19" t="n">
        <f aca="false">E489*E492</f>
        <v>2.42</v>
      </c>
      <c r="F498" s="19" t="n">
        <f aca="false">F489*F492</f>
        <v>3.03</v>
      </c>
      <c r="G498" s="19" t="n">
        <f aca="false">G489*G492</f>
        <v>5.95</v>
      </c>
      <c r="H498" s="19" t="n">
        <f aca="false">H489*H492</f>
        <v>11.85</v>
      </c>
      <c r="I498" s="19" t="n">
        <f aca="false">I489*I492</f>
        <v>14.973475207638</v>
      </c>
      <c r="J498" s="19" t="n">
        <f aca="false">J489*J492</f>
        <v>16.976362661763</v>
      </c>
      <c r="K498" s="19" t="n">
        <f aca="false">K489*K492</f>
        <v>18.963673909528</v>
      </c>
      <c r="L498" s="19" t="n">
        <f aca="false">L489*L492</f>
        <v>20.0516438411925</v>
      </c>
      <c r="M498" s="19" t="n">
        <f aca="false">M489*M492</f>
        <v>20.1419303833008</v>
      </c>
      <c r="N498" s="19" t="n">
        <f aca="false">N489*N492</f>
        <v>19.8066734910961</v>
      </c>
      <c r="O498" s="19" t="n">
        <f aca="false">O489*O492</f>
        <v>20.1663298031157</v>
      </c>
      <c r="P498" s="19" t="n">
        <f aca="false">P489*P492</f>
        <v>20.2571327417356</v>
      </c>
      <c r="Q498" s="19" t="n">
        <f aca="false">Q489*Q492</f>
        <v>20.3483445387715</v>
      </c>
      <c r="R498" s="19" t="n">
        <f aca="false">R489*R492</f>
        <v>20.4399670351905</v>
      </c>
      <c r="S498" s="19" t="n">
        <f aca="false">S489*S492</f>
        <v>20.933672366686</v>
      </c>
      <c r="T498" s="19" t="n">
        <f aca="false">T489*T492</f>
        <v>21.3406240304945</v>
      </c>
      <c r="U498" s="19" t="n">
        <f aca="false">U489*U492</f>
        <v>21.7554868555065</v>
      </c>
      <c r="V498" s="19" t="n">
        <f aca="false">V489*V492</f>
        <v>22.1784146351015</v>
      </c>
      <c r="W498" s="19" t="n">
        <f aca="false">W489*W492</f>
        <v>22.239009916018</v>
      </c>
      <c r="X498" s="19" t="n">
        <f aca="false">X489*X492</f>
        <v>22.3780320127073</v>
      </c>
      <c r="Y498" s="19" t="n">
        <f aca="false">Y489*Y492</f>
        <v>22.5179231743164</v>
      </c>
      <c r="Z498" s="19" t="n">
        <f aca="false">Z489*Z492</f>
        <v>22.6586888336063</v>
      </c>
    </row>
    <row r="499" customFormat="false" ht="17.15" hidden="false" customHeight="false" outlineLevel="0" collapsed="false">
      <c r="A499" s="0" t="s">
        <v>549</v>
      </c>
      <c r="B499" s="0" t="s">
        <v>285</v>
      </c>
      <c r="C499" s="19" t="n">
        <f aca="false">C489*C493</f>
        <v>1.92</v>
      </c>
      <c r="D499" s="19" t="n">
        <f aca="false">D489*D493</f>
        <v>2.14</v>
      </c>
      <c r="E499" s="19" t="n">
        <f aca="false">E489*E493</f>
        <v>2.84</v>
      </c>
      <c r="F499" s="19" t="n">
        <f aca="false">F489*F493</f>
        <v>3.31</v>
      </c>
      <c r="G499" s="19" t="n">
        <f aca="false">G489*G493</f>
        <v>5.96</v>
      </c>
      <c r="H499" s="19" t="n">
        <f aca="false">H489*H493</f>
        <v>10.72</v>
      </c>
      <c r="I499" s="19" t="n">
        <f aca="false">I489*I493</f>
        <v>14.9513168749304</v>
      </c>
      <c r="J499" s="19" t="n">
        <f aca="false">J489*J493</f>
        <v>16.2035648188888</v>
      </c>
      <c r="K499" s="19" t="n">
        <f aca="false">K489*K493</f>
        <v>17.8543449815733</v>
      </c>
      <c r="L499" s="19" t="n">
        <f aca="false">L489*L493</f>
        <v>18.8786713110699</v>
      </c>
      <c r="M499" s="19" t="n">
        <f aca="false">M489*M493</f>
        <v>18.9636763094518</v>
      </c>
      <c r="N499" s="19" t="n">
        <f aca="false">N489*N493</f>
        <v>18.6480311322868</v>
      </c>
      <c r="O499" s="19" t="n">
        <f aca="false">O489*O493</f>
        <v>18.7319976270738</v>
      </c>
      <c r="P499" s="19" t="n">
        <f aca="false">P489*P493</f>
        <v>18.8163421978194</v>
      </c>
      <c r="Q499" s="19" t="n">
        <f aca="false">Q489*Q493</f>
        <v>18.9010665468864</v>
      </c>
      <c r="R499" s="19" t="n">
        <f aca="false">R489*R493</f>
        <v>18.9861723843027</v>
      </c>
      <c r="S499" s="19" t="n">
        <f aca="false">S489*S493</f>
        <v>19.1874193215442</v>
      </c>
      <c r="T499" s="19" t="n">
        <f aca="false">T489*T493</f>
        <v>19.5604237366471</v>
      </c>
      <c r="U499" s="19" t="n">
        <f aca="false">U489*U493</f>
        <v>19.9406793766988</v>
      </c>
      <c r="V499" s="19" t="n">
        <f aca="false">V489*V493</f>
        <v>20.3283272058839</v>
      </c>
      <c r="W499" s="19" t="n">
        <f aca="false">W489*W493</f>
        <v>20.1176191916691</v>
      </c>
      <c r="X499" s="19" t="n">
        <f aca="false">X489*X493</f>
        <v>20.2433798982376</v>
      </c>
      <c r="Y499" s="19" t="n">
        <f aca="false">Y489*Y493</f>
        <v>20.3699267691711</v>
      </c>
      <c r="Z499" s="19" t="n">
        <f aca="false">Z489*Z493</f>
        <v>20.4972647189968</v>
      </c>
    </row>
    <row r="500" customFormat="false" ht="17.15" hidden="false" customHeight="false" outlineLevel="0" collapsed="false">
      <c r="A500" s="0" t="s">
        <v>550</v>
      </c>
      <c r="B500" s="0" t="s">
        <v>285</v>
      </c>
      <c r="C500" s="19" t="n">
        <f aca="false">C489*C494</f>
        <v>1.69</v>
      </c>
      <c r="D500" s="19" t="n">
        <f aca="false">D489*D494</f>
        <v>1.9</v>
      </c>
      <c r="E500" s="19" t="n">
        <f aca="false">E489*E494</f>
        <v>2.31</v>
      </c>
      <c r="F500" s="19" t="n">
        <f aca="false">F489*F494</f>
        <v>3.03</v>
      </c>
      <c r="G500" s="19" t="n">
        <f aca="false">G489*G494</f>
        <v>5.95</v>
      </c>
      <c r="H500" s="19" t="n">
        <f aca="false">H489*H494</f>
        <v>8.97</v>
      </c>
      <c r="I500" s="19" t="n">
        <f aca="false">I489*I494</f>
        <v>11.0371522587842</v>
      </c>
      <c r="J500" s="19" t="n">
        <f aca="false">J489*J494</f>
        <v>12.4602118149868</v>
      </c>
      <c r="K500" s="19" t="n">
        <f aca="false">K489*K494</f>
        <v>13.7296281882931</v>
      </c>
      <c r="L500" s="19" t="n">
        <f aca="false">L489*L494</f>
        <v>14.5173143040247</v>
      </c>
      <c r="M500" s="19" t="n">
        <f aca="false">M489*M494</f>
        <v>14.5826814190399</v>
      </c>
      <c r="N500" s="19" t="n">
        <f aca="false">N489*N494</f>
        <v>14.3399566970533</v>
      </c>
      <c r="O500" s="19" t="n">
        <f aca="false">O489*O494</f>
        <v>14.4045252239239</v>
      </c>
      <c r="P500" s="19" t="n">
        <f aca="false">P489*P494</f>
        <v>14.4693844835178</v>
      </c>
      <c r="Q500" s="19" t="n">
        <f aca="false">Q489*Q494</f>
        <v>14.5345357849173</v>
      </c>
      <c r="R500" s="19" t="n">
        <f aca="false">R489*R494</f>
        <v>14.5999804430991</v>
      </c>
      <c r="S500" s="19" t="n">
        <f aca="false">S489*S494</f>
        <v>14.7547352450932</v>
      </c>
      <c r="T500" s="19" t="n">
        <f aca="false">T489*T494</f>
        <v>15.0415680545433</v>
      </c>
      <c r="U500" s="19" t="n">
        <f aca="false">U489*U494</f>
        <v>15.3339769085113</v>
      </c>
      <c r="V500" s="19" t="n">
        <f aca="false">V489*V494</f>
        <v>15.6320702055885</v>
      </c>
      <c r="W500" s="19" t="n">
        <f aca="false">W489*W494</f>
        <v>15.4700400278111</v>
      </c>
      <c r="X500" s="19" t="n">
        <f aca="false">X489*X494</f>
        <v>15.5667474535758</v>
      </c>
      <c r="Y500" s="19" t="n">
        <f aca="false">Y489*Y494</f>
        <v>15.664059423749</v>
      </c>
      <c r="Z500" s="19" t="n">
        <f aca="false">Z489*Z494</f>
        <v>15.7619797175022</v>
      </c>
    </row>
    <row r="501" customFormat="false" ht="17.15" hidden="false" customHeight="false" outlineLevel="0" collapsed="false">
      <c r="A501" s="5" t="s">
        <v>551</v>
      </c>
      <c r="B501" s="0" t="s">
        <v>285</v>
      </c>
      <c r="C501" s="19" t="n">
        <f aca="false">C489*C495</f>
        <v>0.905483870967741</v>
      </c>
      <c r="D501" s="19" t="n">
        <f aca="false">D489*D495</f>
        <v>1.12547112462006</v>
      </c>
      <c r="E501" s="19" t="n">
        <f aca="false">E489*E495</f>
        <v>1.69120879120879</v>
      </c>
      <c r="F501" s="19" t="n">
        <f aca="false">F489*F495</f>
        <v>2.39142857142857</v>
      </c>
      <c r="G501" s="19" t="n">
        <f aca="false">G489*G495</f>
        <v>5.05480225988701</v>
      </c>
      <c r="H501" s="19" t="n">
        <f aca="false">H489*H495</f>
        <v>9.83307167235495</v>
      </c>
      <c r="I501" s="19" t="n">
        <f aca="false">I489*I495</f>
        <v>13.1174313033769</v>
      </c>
      <c r="J501" s="19" t="n">
        <f aca="false">J489*J495</f>
        <v>15.6730215261275</v>
      </c>
      <c r="K501" s="19" t="n">
        <f aca="false">K489*K495</f>
        <v>17.6564516686126</v>
      </c>
      <c r="L501" s="19" t="n">
        <f aca="false">L489*L495</f>
        <v>18.6694246087182</v>
      </c>
      <c r="M501" s="19" t="n">
        <f aca="false">M489*M495</f>
        <v>18.7534874319173</v>
      </c>
      <c r="N501" s="19" t="n">
        <f aca="false">N489*N495</f>
        <v>18.4413407908169</v>
      </c>
      <c r="O501" s="19" t="n">
        <f aca="false">O489*O495</f>
        <v>18.9300858179065</v>
      </c>
      <c r="P501" s="19" t="n">
        <f aca="false">P489*P495</f>
        <v>19.0153223204022</v>
      </c>
      <c r="Q501" s="19" t="n">
        <f aca="false">Q489*Q495</f>
        <v>19.1009426173206</v>
      </c>
      <c r="R501" s="19" t="n">
        <f aca="false">R489*R495</f>
        <v>19.1869484367729</v>
      </c>
      <c r="S501" s="19" t="n">
        <f aca="false">S489*S495</f>
        <v>19.805896533396</v>
      </c>
      <c r="T501" s="19" t="n">
        <f aca="false">T489*T495</f>
        <v>20.1909241771987</v>
      </c>
      <c r="U501" s="19" t="n">
        <f aca="false">U489*U495</f>
        <v>20.5834367781324</v>
      </c>
      <c r="V501" s="19" t="n">
        <f aca="false">V489*V495</f>
        <v>20.9835798441473</v>
      </c>
      <c r="W501" s="19" t="n">
        <f aca="false">W489*W495</f>
        <v>21.2017998246056</v>
      </c>
      <c r="X501" s="19" t="n">
        <f aca="false">X489*X495</f>
        <v>21.3343380390466</v>
      </c>
      <c r="Y501" s="19" t="n">
        <f aca="false">Y489*Y495</f>
        <v>21.4677047858967</v>
      </c>
      <c r="Z501" s="19" t="n">
        <f aca="false">Z489*Z495</f>
        <v>21.6019052445373</v>
      </c>
    </row>
    <row r="502" customFormat="false" ht="17.15" hidden="false" customHeight="false" outlineLevel="0" collapsed="false">
      <c r="A502" s="0" t="s">
        <v>552</v>
      </c>
      <c r="B502" s="0" t="s">
        <v>25</v>
      </c>
      <c r="C502" s="12" t="n">
        <f aca="false">C493+C494</f>
        <v>0.279077306733167</v>
      </c>
      <c r="D502" s="12" t="n">
        <f aca="false">D493+D494</f>
        <v>0.255607692307692</v>
      </c>
      <c r="E502" s="12" t="n">
        <f aca="false">E493+E494</f>
        <v>0.27406432748538</v>
      </c>
      <c r="F502" s="12" t="n">
        <f aca="false">F493+F494</f>
        <v>0.268969696969697</v>
      </c>
      <c r="G502" s="12" t="n">
        <f aca="false">G493+G494</f>
        <v>0.270960154241645</v>
      </c>
      <c r="H502" s="12" t="n">
        <f aca="false">H493+H494</f>
        <v>0.250180832610581</v>
      </c>
      <c r="I502" s="12" t="n">
        <f aca="false">I493+I494</f>
        <v>0.251873605888391</v>
      </c>
      <c r="J502" s="12" t="n">
        <f aca="false">J493+J494</f>
        <v>0.245026657759283</v>
      </c>
      <c r="K502" s="12" t="n">
        <f aca="false">K493+K494</f>
        <v>0.245026657759283</v>
      </c>
      <c r="L502" s="12" t="n">
        <f aca="false">L493+L494</f>
        <v>0.245026657759283</v>
      </c>
      <c r="M502" s="12" t="n">
        <f aca="false">M493+M494</f>
        <v>0.245026657759283</v>
      </c>
      <c r="N502" s="12" t="n">
        <f aca="false">N493+N494</f>
        <v>0.245026657759283</v>
      </c>
      <c r="O502" s="12" t="n">
        <f aca="false">O493+O494</f>
        <v>0.245026657759283</v>
      </c>
      <c r="P502" s="12" t="n">
        <f aca="false">P493+P494</f>
        <v>0.245026657759283</v>
      </c>
      <c r="Q502" s="12" t="n">
        <f aca="false">Q493+Q494</f>
        <v>0.245026657759283</v>
      </c>
      <c r="R502" s="12" t="n">
        <f aca="false">R493+R494</f>
        <v>0.245026657759283</v>
      </c>
      <c r="S502" s="12" t="n">
        <f aca="false">S493+S494</f>
        <v>0.245026657759283</v>
      </c>
      <c r="T502" s="12" t="n">
        <f aca="false">T493+T494</f>
        <v>0.245026657759283</v>
      </c>
      <c r="U502" s="12" t="n">
        <f aca="false">U493+U494</f>
        <v>0.245026657759283</v>
      </c>
      <c r="V502" s="12" t="n">
        <f aca="false">V493+V494</f>
        <v>0.245026657759283</v>
      </c>
      <c r="W502" s="12" t="n">
        <f aca="false">W493+W494</f>
        <v>0.245026657759283</v>
      </c>
      <c r="X502" s="12" t="n">
        <f aca="false">X493+X494</f>
        <v>0.245026657759283</v>
      </c>
      <c r="Y502" s="12" t="n">
        <f aca="false">Y493+Y494</f>
        <v>0.245026657759283</v>
      </c>
      <c r="Z502" s="12" t="n">
        <f aca="false">Z493+Z494</f>
        <v>0.245026657759283</v>
      </c>
    </row>
    <row r="503" customFormat="false" ht="17.15" hidden="false" customHeight="false" outlineLevel="0" collapsed="false">
      <c r="A503" s="0" t="s">
        <v>553</v>
      </c>
      <c r="B503" s="0" t="s">
        <v>222</v>
      </c>
      <c r="C503" s="19" t="n">
        <f aca="false">C488*C493</f>
        <v>35.5454438457651</v>
      </c>
      <c r="D503" s="19" t="n">
        <f aca="false">D488*D493</f>
        <v>33.3561735612603</v>
      </c>
      <c r="E503" s="19" t="n">
        <f aca="false">E488*E493</f>
        <v>38.3034616573653</v>
      </c>
      <c r="F503" s="19" t="n">
        <f aca="false">F488*F493</f>
        <v>36.6117929947199</v>
      </c>
      <c r="G503" s="19" t="n">
        <f aca="false">G488*G493</f>
        <v>38.1333152375469</v>
      </c>
      <c r="H503" s="19" t="n">
        <f aca="false">H488*H493</f>
        <v>40.1757580440862</v>
      </c>
      <c r="I503" s="19" t="n">
        <f aca="false">I488*I493</f>
        <v>44.8269021796765</v>
      </c>
      <c r="J503" s="19" t="n">
        <f aca="false">J488*J493</f>
        <v>44.9411476117569</v>
      </c>
      <c r="K503" s="19" t="n">
        <f aca="false">K488*K493</f>
        <v>48.0773237904583</v>
      </c>
      <c r="L503" s="19" t="n">
        <f aca="false">L488*L493</f>
        <v>50.835580599158</v>
      </c>
      <c r="M503" s="19" t="n">
        <f aca="false">M488*M493</f>
        <v>53.7520820858664</v>
      </c>
      <c r="N503" s="19" t="n">
        <f aca="false">N488*N493</f>
        <v>56.8359069476934</v>
      </c>
      <c r="O503" s="19" t="n">
        <f aca="false">O488*O493</f>
        <v>60.0966547380729</v>
      </c>
      <c r="P503" s="19" t="n">
        <f aca="false">P488*P493</f>
        <v>63.5444757489475</v>
      </c>
      <c r="Q503" s="19" t="n">
        <f aca="false">Q488*Q493</f>
        <v>67.190102607333</v>
      </c>
      <c r="R503" s="19" t="n">
        <f aca="false">R488*R493</f>
        <v>71.0448836846168</v>
      </c>
      <c r="S503" s="19" t="n">
        <f aca="false">S488*S493</f>
        <v>74.0184898623123</v>
      </c>
      <c r="T503" s="19" t="n">
        <f aca="false">T488*T493</f>
        <v>77.7911475249602</v>
      </c>
      <c r="U503" s="19" t="n">
        <f aca="false">U488*U493</f>
        <v>81.7560942476254</v>
      </c>
      <c r="V503" s="19" t="n">
        <f aca="false">V488*V493</f>
        <v>85.9231308354458</v>
      </c>
      <c r="W503" s="19" t="n">
        <f aca="false">W488*W493</f>
        <v>87.7939048621777</v>
      </c>
      <c r="X503" s="19" t="n">
        <f aca="false">X488*X493</f>
        <v>91.2116138761815</v>
      </c>
      <c r="Y503" s="19" t="n">
        <f aca="false">Y488*Y493</f>
        <v>94.7623701093828</v>
      </c>
      <c r="Z503" s="19" t="n">
        <f aca="false">Z488*Z493</f>
        <v>98.4513529268076</v>
      </c>
      <c r="AB503" s="5" t="s">
        <v>554</v>
      </c>
    </row>
    <row r="504" customFormat="false" ht="17.15" hidden="false" customHeight="false" outlineLevel="0" collapsed="false">
      <c r="A504" s="0" t="s">
        <v>555</v>
      </c>
      <c r="B504" s="0" t="s">
        <v>222</v>
      </c>
      <c r="C504" s="19" t="n">
        <f aca="false">C488*C494</f>
        <v>31.2873958850745</v>
      </c>
      <c r="D504" s="19" t="n">
        <f aca="false">D488*D494</f>
        <v>29.6152942833619</v>
      </c>
      <c r="E504" s="19" t="n">
        <f aca="false">E488*E494</f>
        <v>31.1552804325753</v>
      </c>
      <c r="F504" s="19" t="n">
        <f aca="false">F488*F494</f>
        <v>33.5147228924475</v>
      </c>
      <c r="G504" s="19" t="n">
        <f aca="false">G488*G494</f>
        <v>38.0693331650007</v>
      </c>
      <c r="H504" s="19" t="n">
        <f aca="false">H488*H494</f>
        <v>33.6172154529341</v>
      </c>
      <c r="I504" s="19" t="n">
        <f aca="false">I488*I494</f>
        <v>33.0914894510934</v>
      </c>
      <c r="J504" s="19" t="n">
        <f aca="false">J488*J494</f>
        <v>34.5588285485368</v>
      </c>
      <c r="K504" s="19" t="n">
        <f aca="false">K488*K494</f>
        <v>36.9704842497676</v>
      </c>
      <c r="L504" s="19" t="n">
        <f aca="false">L488*L494</f>
        <v>39.0915276411862</v>
      </c>
      <c r="M504" s="19" t="n">
        <f aca="false">M488*M494</f>
        <v>41.3342579717828</v>
      </c>
      <c r="N504" s="19" t="n">
        <f aca="false">N488*N494</f>
        <v>43.7056565750022</v>
      </c>
      <c r="O504" s="19" t="n">
        <f aca="false">O488*O494</f>
        <v>46.2131053122095</v>
      </c>
      <c r="P504" s="19" t="n">
        <f aca="false">P488*P494</f>
        <v>48.8644095514828</v>
      </c>
      <c r="Q504" s="19" t="n">
        <f aca="false">Q488*Q494</f>
        <v>51.6678224647285</v>
      </c>
      <c r="R504" s="19" t="n">
        <f aca="false">R488*R494</f>
        <v>54.6320707187528</v>
      </c>
      <c r="S504" s="19" t="n">
        <f aca="false">S488*S494</f>
        <v>56.9187133953845</v>
      </c>
      <c r="T504" s="19" t="n">
        <f aca="false">T488*T494</f>
        <v>59.8198104136917</v>
      </c>
      <c r="U504" s="19" t="n">
        <f aca="false">U488*U494</f>
        <v>62.8687738085834</v>
      </c>
      <c r="V504" s="19" t="n">
        <f aca="false">V488*V494</f>
        <v>66.0731401998922</v>
      </c>
      <c r="W504" s="19" t="n">
        <f aca="false">W488*W494</f>
        <v>67.5117273806515</v>
      </c>
      <c r="X504" s="19" t="n">
        <f aca="false">X488*X494</f>
        <v>70.1398761067167</v>
      </c>
      <c r="Y504" s="19" t="n">
        <f aca="false">Y488*Y494</f>
        <v>72.8703354385729</v>
      </c>
      <c r="Z504" s="19" t="n">
        <f aca="false">Z488*Z494</f>
        <v>75.7070882025929</v>
      </c>
    </row>
    <row r="505" customFormat="false" ht="17.15" hidden="false" customHeight="false" outlineLevel="0" collapsed="false">
      <c r="A505" s="5" t="s">
        <v>556</v>
      </c>
      <c r="B505" s="0" t="s">
        <v>557</v>
      </c>
      <c r="C505" s="17" t="n">
        <f aca="false">ABS(SUM(C490:C495)-1)+ABS(SUM(I490:I495)-1)+ABS(SUM(Z490:Z495)-1)+ABS(H500-rv_sd_5)</f>
        <v>0</v>
      </c>
    </row>
    <row r="530" customFormat="false" ht="17.15" hidden="false" customHeight="false" outlineLevel="0" collapsed="false">
      <c r="A530" s="3" t="s">
        <v>701</v>
      </c>
    </row>
    <row r="531" customFormat="false" ht="17.15" hidden="false" customHeight="false" outlineLevel="0" collapsed="false">
      <c r="A531" s="9" t="s">
        <v>508</v>
      </c>
      <c r="B531" s="6" t="s">
        <v>15</v>
      </c>
      <c r="C531" s="9" t="s">
        <v>427</v>
      </c>
      <c r="D531" s="9" t="s">
        <v>428</v>
      </c>
      <c r="E531" s="9" t="s">
        <v>429</v>
      </c>
      <c r="F531" s="9" t="s">
        <v>430</v>
      </c>
      <c r="G531" s="9" t="s">
        <v>431</v>
      </c>
      <c r="H531" s="9" t="s">
        <v>432</v>
      </c>
      <c r="I531" s="9" t="s">
        <v>433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6" t="s">
        <v>434</v>
      </c>
    </row>
    <row r="532" customFormat="false" ht="17.15" hidden="false" customHeight="false" outlineLevel="0" collapsed="false">
      <c r="A532" s="5" t="s">
        <v>509</v>
      </c>
      <c r="B532" s="5" t="s">
        <v>168</v>
      </c>
      <c r="E532" s="10" t="n">
        <f aca="false">(u_26)*1</f>
        <v>15.2</v>
      </c>
      <c r="F532" s="10" t="n">
        <f aca="false">(u_27)*1</f>
        <v>23.7</v>
      </c>
      <c r="G532" s="10" t="n">
        <f aca="false">(u_28)*um28_A</f>
        <v>26.5</v>
      </c>
      <c r="H532" s="10" t="n">
        <f aca="false">(u_28*(1+g_u29))*um29_A</f>
        <v>30.15</v>
      </c>
      <c r="I532" s="10" t="n">
        <f aca="false">(u_28*(1+g_u29)*(1+g_u30))*um29_A</f>
        <v>31.6575</v>
      </c>
      <c r="AB532" s="8" t="s">
        <v>510</v>
      </c>
    </row>
    <row r="533" customFormat="false" ht="17.15" hidden="false" customHeight="false" outlineLevel="0" collapsed="false">
      <c r="A533" s="5" t="s">
        <v>511</v>
      </c>
      <c r="B533" s="0" t="s">
        <v>512</v>
      </c>
      <c r="E533" s="18" t="n">
        <f aca="false">tb_26</f>
        <v>30</v>
      </c>
      <c r="F533" s="18" t="n">
        <f aca="false">tb_27</f>
        <v>34</v>
      </c>
      <c r="G533" s="18" t="n">
        <f aca="false">tb_28</f>
        <v>40</v>
      </c>
      <c r="H533" s="18" t="n">
        <f aca="false">tb_29</f>
        <v>46</v>
      </c>
      <c r="I533" s="18" t="n">
        <f aca="false">tb_30</f>
        <v>52</v>
      </c>
    </row>
    <row r="534" customFormat="false" ht="17.15" hidden="false" customHeight="false" outlineLevel="0" collapsed="false">
      <c r="A534" s="5" t="s">
        <v>513</v>
      </c>
      <c r="B534" s="0" t="s">
        <v>222</v>
      </c>
      <c r="D534" s="10" t="n">
        <f aca="false">bits25*sh_essd25*ai25</f>
        <v>165</v>
      </c>
      <c r="E534" s="10" t="n">
        <f aca="false">E532*E533</f>
        <v>456</v>
      </c>
      <c r="F534" s="10" t="n">
        <f aca="false">F532*F533</f>
        <v>805.8</v>
      </c>
      <c r="G534" s="10" t="n">
        <f aca="false">G532*G533</f>
        <v>1060</v>
      </c>
      <c r="H534" s="10" t="n">
        <f aca="false">H532*H533</f>
        <v>1386.9</v>
      </c>
      <c r="I534" s="10" t="n">
        <f aca="false">I532*I533</f>
        <v>1646.19</v>
      </c>
      <c r="AB534" s="5" t="s">
        <v>514</v>
      </c>
    </row>
    <row r="535" customFormat="false" ht="17.15" hidden="false" customHeight="false" outlineLevel="0" collapsed="false">
      <c r="A535" s="5" t="s">
        <v>515</v>
      </c>
      <c r="B535" s="0" t="s">
        <v>222</v>
      </c>
      <c r="D535" s="10" t="n">
        <f aca="false">bits25*sh_essd25*(1-ai25)</f>
        <v>135</v>
      </c>
      <c r="E535" s="10" t="n">
        <f aca="false">D535*(1+g_nai_lo)</f>
        <v>141.75</v>
      </c>
      <c r="F535" s="10" t="n">
        <f aca="false">E535*(1+g_nai_lo)</f>
        <v>148.8375</v>
      </c>
      <c r="G535" s="10" t="n">
        <f aca="false">F535*(1+g_nai_lo)</f>
        <v>156.279375</v>
      </c>
      <c r="H535" s="10" t="n">
        <f aca="false">G535*(1+g_nai_lo)</f>
        <v>164.09334375</v>
      </c>
      <c r="I535" s="10" t="n">
        <f aca="false">H535*(1+g_nai_lo)</f>
        <v>172.2980109375</v>
      </c>
    </row>
    <row r="536" customFormat="false" ht="15" hidden="false" customHeight="false" outlineLevel="0" collapsed="false">
      <c r="A536" s="5" t="s">
        <v>516</v>
      </c>
      <c r="B536" s="0" t="s">
        <v>222</v>
      </c>
      <c r="D536" s="10" t="n">
        <f aca="false">bits25*sh_mob25</f>
        <v>320</v>
      </c>
      <c r="E536" s="10" t="n">
        <f aca="false">D536*(1+g_mob_26)</f>
        <v>304</v>
      </c>
      <c r="F536" s="10" t="n">
        <f aca="false">E536*(1+g_mob_27)</f>
        <v>313.12</v>
      </c>
      <c r="G536" s="10" t="n">
        <f aca="false">F536*(1+g_mob_28)</f>
        <v>338.1696</v>
      </c>
      <c r="H536" s="10" t="n">
        <f aca="false">G536*(1+g_mob_28)</f>
        <v>365.223168</v>
      </c>
      <c r="I536" s="10" t="n">
        <f aca="false">H536*(1+g_mob_28)</f>
        <v>394.44102144</v>
      </c>
    </row>
    <row r="537" customFormat="false" ht="17.15" hidden="false" customHeight="false" outlineLevel="0" collapsed="false">
      <c r="A537" s="5" t="s">
        <v>517</v>
      </c>
      <c r="B537" s="0" t="s">
        <v>222</v>
      </c>
      <c r="D537" s="10" t="n">
        <f aca="false">bits25*sh_pc25</f>
        <v>230</v>
      </c>
      <c r="E537" s="10" t="n">
        <f aca="false">D537*(1+g_pc_26)</f>
        <v>218.5</v>
      </c>
      <c r="F537" s="10" t="n">
        <f aca="false">E537*(1+g_pc_27)</f>
        <v>218.5</v>
      </c>
      <c r="G537" s="10" t="n">
        <f aca="false">F537*(1+g_pc_28)</f>
        <v>231.61</v>
      </c>
      <c r="H537" s="10" t="n">
        <f aca="false">G537*(1+g_pc_28)</f>
        <v>245.5066</v>
      </c>
      <c r="I537" s="10" t="n">
        <f aca="false">H537*(1+g_pc_28)</f>
        <v>260.236996</v>
      </c>
    </row>
    <row r="538" customFormat="false" ht="15" hidden="false" customHeight="false" outlineLevel="0" collapsed="false">
      <c r="A538" s="5" t="s">
        <v>518</v>
      </c>
      <c r="B538" s="0" t="s">
        <v>222</v>
      </c>
      <c r="D538" s="10" t="n">
        <f aca="false">bits25*(1-sh_essd25-sh_mob25-sh_pc25)</f>
        <v>150</v>
      </c>
      <c r="E538" s="10" t="n">
        <f aca="false">D538*(1+g_con_26)</f>
        <v>135</v>
      </c>
      <c r="F538" s="10" t="n">
        <f aca="false">E538*(1+g_con_27)</f>
        <v>135</v>
      </c>
      <c r="G538" s="10" t="n">
        <f aca="false">F538*(1+g_con_28)</f>
        <v>141.75</v>
      </c>
      <c r="H538" s="10" t="n">
        <f aca="false">G538*(1+g_con_28)</f>
        <v>148.8375</v>
      </c>
      <c r="I538" s="10" t="n">
        <f aca="false">H538*(1+g_con_28)</f>
        <v>156.279375</v>
      </c>
    </row>
    <row r="539" customFormat="false" ht="15" hidden="false" customHeight="false" outlineLevel="0" collapsed="false">
      <c r="A539" s="5" t="s">
        <v>442</v>
      </c>
      <c r="B539" s="0" t="s">
        <v>222</v>
      </c>
      <c r="D539" s="10" t="n">
        <f aca="false">SUM(D534:D538)</f>
        <v>1000</v>
      </c>
      <c r="E539" s="10" t="n">
        <f aca="false">SUM(E534:E538)</f>
        <v>1255.25</v>
      </c>
      <c r="F539" s="10" t="n">
        <f aca="false">SUM(F534:F538)</f>
        <v>1621.2575</v>
      </c>
      <c r="G539" s="10" t="n">
        <f aca="false">SUM(G534:G538)</f>
        <v>1927.808975</v>
      </c>
      <c r="H539" s="10" t="n">
        <f aca="false">SUM(H534:H538)</f>
        <v>2310.56061175</v>
      </c>
      <c r="I539" s="10" t="n">
        <f aca="false">SUM(I534:I538)</f>
        <v>2629.4454033775</v>
      </c>
    </row>
    <row r="540" customFormat="false" ht="17.15" hidden="false" customHeight="false" outlineLevel="0" collapsed="false">
      <c r="A540" s="5" t="s">
        <v>519</v>
      </c>
      <c r="B540" s="0" t="s">
        <v>25</v>
      </c>
      <c r="D540" s="12" t="n">
        <f aca="false">(D534+D535)/D539</f>
        <v>0.3</v>
      </c>
      <c r="E540" s="12" t="n">
        <f aca="false">(E534+E535)/E539</f>
        <v>0.476199960167297</v>
      </c>
      <c r="F540" s="12" t="n">
        <f aca="false">(F534+F535)/F539</f>
        <v>0.588825340823404</v>
      </c>
      <c r="G540" s="12" t="n">
        <f aca="false">(G534+G535)/G539</f>
        <v>0.630912808671824</v>
      </c>
      <c r="H540" s="12" t="n">
        <f aca="false">(H534+H535)/H539</f>
        <v>0.671262781795319</v>
      </c>
      <c r="I540" s="12" t="n">
        <f aca="false">(I534+I535)/I539</f>
        <v>0.691586145352806</v>
      </c>
    </row>
    <row r="541" customFormat="false" ht="17.15" hidden="false" customHeight="false" outlineLevel="0" collapsed="false">
      <c r="A541" s="5" t="s">
        <v>520</v>
      </c>
      <c r="B541" s="0" t="s">
        <v>222</v>
      </c>
      <c r="D541" s="10" t="n">
        <f aca="false">bits25</f>
        <v>1000</v>
      </c>
      <c r="E541" s="10" t="n">
        <f aca="false">D541*(1+gs_26)</f>
        <v>1210</v>
      </c>
      <c r="F541" s="10" t="n">
        <f aca="false">E541*(1+gs_27)</f>
        <v>1512.5</v>
      </c>
      <c r="G541" s="10" t="n">
        <f aca="false">F541*(1+gs_28)</f>
        <v>1890.625</v>
      </c>
      <c r="H541" s="10" t="n">
        <f aca="false">G541*(1+gs_29)</f>
        <v>2306.5625</v>
      </c>
      <c r="I541" s="10" t="n">
        <f aca="false">H541*(1+gs_30)</f>
        <v>2767.875</v>
      </c>
      <c r="AB541" s="8" t="s">
        <v>521</v>
      </c>
    </row>
    <row r="542" customFormat="false" ht="17.15" hidden="false" customHeight="false" outlineLevel="0" collapsed="false">
      <c r="A542" s="5" t="s">
        <v>522</v>
      </c>
      <c r="B542" s="0" t="s">
        <v>25</v>
      </c>
      <c r="E542" s="12" t="n">
        <f aca="false">E539/E541-1</f>
        <v>0.037396694214876</v>
      </c>
      <c r="F542" s="12" t="n">
        <f aca="false">F539/F541-1</f>
        <v>0.0719057851239668</v>
      </c>
      <c r="G542" s="12" t="n">
        <f aca="false">G539/G541-1</f>
        <v>0.0196675570247933</v>
      </c>
      <c r="H542" s="12" t="n">
        <f aca="false">H539/H541-1</f>
        <v>0.00173336371765376</v>
      </c>
      <c r="I542" s="12" t="n">
        <f aca="false">I539/I541-1</f>
        <v>-0.0500129509542515</v>
      </c>
    </row>
    <row r="543" customFormat="false" ht="17.15" hidden="false" customHeight="false" outlineLevel="0" collapsed="false">
      <c r="A543" s="5" t="s">
        <v>523</v>
      </c>
      <c r="B543" s="0" t="s">
        <v>222</v>
      </c>
      <c r="C543" s="10" t="n">
        <f aca="false">bits25/(1+g25)</f>
        <v>892.857142857143</v>
      </c>
      <c r="D543" s="10" t="n">
        <f aca="false">bits25</f>
        <v>1000</v>
      </c>
      <c r="E543" s="10" t="n">
        <f aca="false">MIN(E539,E541)</f>
        <v>1210</v>
      </c>
      <c r="F543" s="10" t="n">
        <f aca="false">MIN(F539,F541)</f>
        <v>1512.5</v>
      </c>
      <c r="G543" s="10" t="n">
        <f aca="false">MIN(G539,G541)</f>
        <v>1890.625</v>
      </c>
      <c r="H543" s="10" t="n">
        <f aca="false">MIN(H539,H541)</f>
        <v>2306.5625</v>
      </c>
      <c r="I543" s="10" t="n">
        <f aca="false">MIN(I539,I541)</f>
        <v>2629.4454033775</v>
      </c>
    </row>
    <row r="544" customFormat="false" ht="15" hidden="false" customHeight="false" outlineLevel="0" collapsed="false">
      <c r="A544" s="5" t="s">
        <v>447</v>
      </c>
      <c r="B544" s="0" t="s">
        <v>25</v>
      </c>
      <c r="D544" s="12" t="n">
        <f aca="false">D543/C543-1</f>
        <v>0.12</v>
      </c>
      <c r="E544" s="12" t="n">
        <f aca="false">E543/D543-1</f>
        <v>0.21</v>
      </c>
      <c r="F544" s="12" t="n">
        <f aca="false">F543/E543-1</f>
        <v>0.25</v>
      </c>
      <c r="G544" s="12" t="n">
        <f aca="false">G543/F543-1</f>
        <v>0.25</v>
      </c>
      <c r="H544" s="12" t="n">
        <f aca="false">H543/G543-1</f>
        <v>0.22</v>
      </c>
      <c r="I544" s="12" t="n">
        <f aca="false">I543/H543-1</f>
        <v>0.139984458854898</v>
      </c>
    </row>
    <row r="545" customFormat="false" ht="17.15" hidden="false" customHeight="false" outlineLevel="0" collapsed="false">
      <c r="A545" s="0" t="s">
        <v>524</v>
      </c>
      <c r="B545" s="0" t="s">
        <v>285</v>
      </c>
      <c r="C545" s="10" t="n">
        <f aca="false">rev24</f>
        <v>67.4</v>
      </c>
      <c r="D545" s="10" t="n">
        <f aca="false">SUM(C559:F559)</f>
        <v>71.1035923582252</v>
      </c>
      <c r="E545" s="10" t="n">
        <f aca="false">SUM(G559:J559)</f>
        <v>342.820749524408</v>
      </c>
      <c r="F545" s="10" t="n">
        <f aca="false">SUM(K559:N559)</f>
        <v>536.734678363014</v>
      </c>
      <c r="G545" s="10" t="n">
        <f aca="false">SUM(O559:R559)</f>
        <v>544.610149409284</v>
      </c>
      <c r="H545" s="10" t="n">
        <f aca="false">SUM(S559:V559)</f>
        <v>570.465276442823</v>
      </c>
      <c r="I545" s="10" t="n">
        <f aca="false">SUM(W559:Z559)</f>
        <v>573.939873913503</v>
      </c>
      <c r="AB545" s="8" t="s">
        <v>525</v>
      </c>
    </row>
    <row r="546" customFormat="false" ht="15" hidden="false" customHeight="false" outlineLevel="0" collapsed="false">
      <c r="A546" s="5" t="s">
        <v>453</v>
      </c>
      <c r="B546" s="0" t="s">
        <v>25</v>
      </c>
      <c r="D546" s="12" t="n">
        <f aca="false">D545/C545-1</f>
        <v>0.0549494415166936</v>
      </c>
      <c r="E546" s="12" t="n">
        <f aca="false">E545/D545-1</f>
        <v>3.82142657149095</v>
      </c>
      <c r="F546" s="12" t="n">
        <f aca="false">F545/E545-1</f>
        <v>0.565642333807452</v>
      </c>
      <c r="G546" s="12" t="n">
        <f aca="false">G545/F545-1</f>
        <v>0.0146729312707903</v>
      </c>
      <c r="H546" s="12" t="n">
        <f aca="false">H545/G545-1</f>
        <v>0.0474745596672834</v>
      </c>
      <c r="I546" s="12" t="n">
        <f aca="false">I545/H545-1</f>
        <v>0.00609081326096805</v>
      </c>
    </row>
    <row r="547" customFormat="false" ht="17.15" hidden="false" customHeight="false" outlineLevel="0" collapsed="false">
      <c r="A547" s="5" t="s">
        <v>526</v>
      </c>
      <c r="B547" s="0" t="s">
        <v>449</v>
      </c>
      <c r="C547" s="13" t="n">
        <f aca="false">C545/C543</f>
        <v>0.075488</v>
      </c>
      <c r="D547" s="13" t="n">
        <f aca="false">D545/D543</f>
        <v>0.0711035923582252</v>
      </c>
      <c r="E547" s="13" t="n">
        <f aca="false">E545/E543</f>
        <v>0.283322933491246</v>
      </c>
      <c r="F547" s="13" t="n">
        <f aca="false">F545/F543</f>
        <v>0.354865903049927</v>
      </c>
      <c r="G547" s="13" t="n">
        <f aca="false">G545/G543</f>
        <v>0.28805826084458</v>
      </c>
      <c r="H547" s="13" t="n">
        <f aca="false">H545/H543</f>
        <v>0.247322704866148</v>
      </c>
      <c r="I547" s="13" t="n">
        <f aca="false">I545/I543</f>
        <v>0.218274117110887</v>
      </c>
    </row>
    <row r="548" customFormat="false" ht="17.15" hidden="false" customHeight="false" outlineLevel="0" collapsed="false">
      <c r="A548" s="5" t="s">
        <v>450</v>
      </c>
      <c r="B548" s="0" t="s">
        <v>25</v>
      </c>
      <c r="D548" s="12" t="n">
        <f aca="false">D547/C547-1</f>
        <v>-0.0580808557886665</v>
      </c>
      <c r="E548" s="12" t="n">
        <f aca="false">E547/D547-1</f>
        <v>2.98465005908343</v>
      </c>
      <c r="F548" s="12" t="n">
        <f aca="false">F547/E547-1</f>
        <v>0.252513867045961</v>
      </c>
      <c r="G548" s="12" t="n">
        <f aca="false">G547/F547-1</f>
        <v>-0.188261654983368</v>
      </c>
      <c r="H548" s="12" t="n">
        <f aca="false">H547/G547-1</f>
        <v>-0.141414295354686</v>
      </c>
      <c r="I548" s="12" t="n">
        <f aca="false">I547/H547-1</f>
        <v>-0.117452167486936</v>
      </c>
      <c r="AB548" s="8" t="s">
        <v>527</v>
      </c>
    </row>
    <row r="549" customFormat="false" ht="15" hidden="false" customHeight="false" outlineLevel="0" collapsed="false">
      <c r="A549" s="5" t="s">
        <v>528</v>
      </c>
      <c r="B549" s="0" t="s">
        <v>25</v>
      </c>
      <c r="D549" s="12" t="n">
        <f aca="false">SUM(C566:F566)/D545</f>
        <v>0.309407714439551</v>
      </c>
      <c r="E549" s="12" t="n">
        <f aca="false">SUM(G566:J566)/E545</f>
        <v>0.298146371102126</v>
      </c>
      <c r="F549" s="12" t="n">
        <f aca="false">SUM(K566:N566)/F545</f>
        <v>0.293146371102126</v>
      </c>
      <c r="G549" s="12" t="n">
        <f aca="false">SUM(O566:R566)/G545</f>
        <v>0.288146371102126</v>
      </c>
      <c r="H549" s="12" t="n">
        <f aca="false">SUM(S566:V566)/H545</f>
        <v>0.283146371102126</v>
      </c>
      <c r="I549" s="12" t="n">
        <f aca="false">SUM(W566:Z566)/I545</f>
        <v>0.278146371102126</v>
      </c>
    </row>
    <row r="550" customFormat="false" ht="17.15" hidden="false" customHeight="false" outlineLevel="0" collapsed="false">
      <c r="A550" s="5" t="s">
        <v>529</v>
      </c>
      <c r="B550" s="0" t="s">
        <v>25</v>
      </c>
      <c r="D550" s="12" t="n">
        <f aca="false">SUM(C567:F567)/D545</f>
        <v>0.200693094775109</v>
      </c>
      <c r="E550" s="12" t="n">
        <f aca="false">SUM(G567:J567)/E545</f>
        <v>0.177730130982399</v>
      </c>
      <c r="F550" s="12" t="n">
        <f aca="false">SUM(K567:N567)/F545</f>
        <v>0.177730130982399</v>
      </c>
      <c r="G550" s="12" t="n">
        <f aca="false">SUM(O567:R567)/G545</f>
        <v>0.177730130982399</v>
      </c>
      <c r="H550" s="12" t="n">
        <f aca="false">SUM(S567:V567)/H545</f>
        <v>0.177730130982399</v>
      </c>
      <c r="I550" s="12" t="n">
        <f aca="false">SUM(W567:Z567)/I545</f>
        <v>0.177730130982399</v>
      </c>
    </row>
    <row r="551" customFormat="false" ht="15" hidden="false" customHeight="false" outlineLevel="0" collapsed="false">
      <c r="A551" s="5" t="s">
        <v>530</v>
      </c>
      <c r="B551" s="0" t="s">
        <v>25</v>
      </c>
      <c r="D551" s="12" t="n">
        <f aca="false">SUM(C568:F568)/D545</f>
        <v>0.134732995651405</v>
      </c>
      <c r="E551" s="12" t="n">
        <f aca="false">SUM(G568:J568)/E545</f>
        <v>0.14511909777462</v>
      </c>
      <c r="F551" s="12" t="n">
        <f aca="false">SUM(K568:N568)/F545</f>
        <v>0.14711909777462</v>
      </c>
      <c r="G551" s="12" t="n">
        <f aca="false">SUM(O568:R568)/G545</f>
        <v>0.14911909777462</v>
      </c>
      <c r="H551" s="12" t="n">
        <f aca="false">SUM(S568:V568)/H545</f>
        <v>0.15111909777462</v>
      </c>
      <c r="I551" s="12" t="n">
        <f aca="false">SUM(W568:Z568)/I545</f>
        <v>0.15311909777462</v>
      </c>
    </row>
    <row r="552" customFormat="false" ht="17.15" hidden="false" customHeight="false" outlineLevel="0" collapsed="false">
      <c r="A552" s="5" t="s">
        <v>531</v>
      </c>
      <c r="B552" s="0" t="s">
        <v>25</v>
      </c>
      <c r="D552" s="12" t="n">
        <f aca="false">SUM(C569:F569)/D545</f>
        <v>0.143593307473992</v>
      </c>
      <c r="E552" s="12" t="n">
        <f aca="false">SUM(G569:J569)/E545</f>
        <v>0.139533216003349</v>
      </c>
      <c r="F552" s="12" t="n">
        <f aca="false">SUM(K569:N569)/F545</f>
        <v>0.138512987387224</v>
      </c>
      <c r="G552" s="12" t="n">
        <f aca="false">SUM(O569:R569)/G545</f>
        <v>0.138512987387224</v>
      </c>
      <c r="H552" s="12" t="n">
        <f aca="false">SUM(S569:V569)/H545</f>
        <v>0.138512987387224</v>
      </c>
      <c r="I552" s="12" t="n">
        <f aca="false">SUM(W569:Z569)/I545</f>
        <v>0.138512987387224</v>
      </c>
    </row>
    <row r="553" customFormat="false" ht="17.15" hidden="false" customHeight="false" outlineLevel="0" collapsed="false">
      <c r="A553" s="5" t="s">
        <v>532</v>
      </c>
      <c r="B553" s="0" t="s">
        <v>25</v>
      </c>
      <c r="D553" s="12" t="n">
        <f aca="false">SUM(C570:F570)/D545</f>
        <v>0.125591404088418</v>
      </c>
      <c r="E553" s="12" t="n">
        <f aca="false">SUM(G570:J570)/E545</f>
        <v>0.112062540342342</v>
      </c>
      <c r="F553" s="12" t="n">
        <f aca="false">SUM(K570:N570)/F545</f>
        <v>0.106513670372059</v>
      </c>
      <c r="G553" s="12" t="n">
        <f aca="false">SUM(O570:R570)/G545</f>
        <v>0.106513670372059</v>
      </c>
      <c r="H553" s="12" t="n">
        <f aca="false">SUM(S570:V570)/H545</f>
        <v>0.106513670372059</v>
      </c>
      <c r="I553" s="12" t="n">
        <f aca="false">SUM(W570:Z570)/I545</f>
        <v>0.106513670372059</v>
      </c>
    </row>
    <row r="554" customFormat="false" ht="15" hidden="false" customHeight="false" outlineLevel="0" collapsed="false">
      <c r="A554" s="5" t="s">
        <v>533</v>
      </c>
      <c r="B554" s="0" t="s">
        <v>25</v>
      </c>
      <c r="D554" s="12" t="n">
        <f aca="false">SUM(C571:F571)/D545</f>
        <v>0.0859814835715252</v>
      </c>
      <c r="E554" s="12" t="n">
        <f aca="false">SUM(G571:J571)/E545</f>
        <v>0.127408643795164</v>
      </c>
      <c r="F554" s="12" t="n">
        <f aca="false">SUM(K571:N571)/F545</f>
        <v>0.136977742381572</v>
      </c>
      <c r="G554" s="12" t="n">
        <f aca="false">SUM(O571:R571)/G545</f>
        <v>0.139977742381572</v>
      </c>
      <c r="H554" s="12" t="n">
        <f aca="false">SUM(S571:V571)/H545</f>
        <v>0.142977742381572</v>
      </c>
      <c r="I554" s="12" t="n">
        <f aca="false">SUM(W571:Z571)/I545</f>
        <v>0.145977742381572</v>
      </c>
    </row>
    <row r="556" customFormat="false" ht="17.15" hidden="false" customHeight="false" outlineLevel="0" collapsed="false">
      <c r="A556" s="9" t="s">
        <v>534</v>
      </c>
      <c r="B556" s="6" t="s">
        <v>15</v>
      </c>
      <c r="C556" s="9" t="s">
        <v>468</v>
      </c>
      <c r="D556" s="9" t="s">
        <v>469</v>
      </c>
      <c r="E556" s="9" t="s">
        <v>470</v>
      </c>
      <c r="F556" s="9" t="s">
        <v>471</v>
      </c>
      <c r="G556" s="9" t="s">
        <v>472</v>
      </c>
      <c r="H556" s="9" t="s">
        <v>473</v>
      </c>
      <c r="I556" s="9" t="s">
        <v>474</v>
      </c>
      <c r="J556" s="9" t="s">
        <v>475</v>
      </c>
      <c r="K556" s="9" t="s">
        <v>476</v>
      </c>
      <c r="L556" s="9" t="s">
        <v>477</v>
      </c>
      <c r="M556" s="9" t="s">
        <v>478</v>
      </c>
      <c r="N556" s="9" t="s">
        <v>479</v>
      </c>
      <c r="O556" s="9" t="s">
        <v>480</v>
      </c>
      <c r="P556" s="9" t="s">
        <v>481</v>
      </c>
      <c r="Q556" s="9" t="s">
        <v>482</v>
      </c>
      <c r="R556" s="9" t="s">
        <v>483</v>
      </c>
      <c r="S556" s="9" t="s">
        <v>484</v>
      </c>
      <c r="T556" s="9" t="s">
        <v>485</v>
      </c>
      <c r="U556" s="9" t="s">
        <v>486</v>
      </c>
      <c r="V556" s="9" t="s">
        <v>487</v>
      </c>
      <c r="W556" s="9" t="s">
        <v>488</v>
      </c>
      <c r="X556" s="9" t="s">
        <v>489</v>
      </c>
      <c r="Y556" s="9" t="s">
        <v>490</v>
      </c>
      <c r="Z556" s="9" t="s">
        <v>491</v>
      </c>
      <c r="AA556" s="9"/>
      <c r="AB556" s="6" t="s">
        <v>434</v>
      </c>
    </row>
    <row r="557" customFormat="false" ht="17.15" hidden="false" customHeight="false" outlineLevel="0" collapsed="false">
      <c r="A557" s="5" t="s">
        <v>535</v>
      </c>
      <c r="B557" s="0" t="s">
        <v>536</v>
      </c>
      <c r="C557" s="13" t="n">
        <f aca="false">Path!C4</f>
        <v>1</v>
      </c>
      <c r="D557" s="13" t="n">
        <f aca="false">Path!D4</f>
        <v>1</v>
      </c>
      <c r="E557" s="13" t="n">
        <f aca="false">Path!E4</f>
        <v>1.05</v>
      </c>
      <c r="F557" s="13" t="n">
        <f aca="false">Path!F4</f>
        <v>1.365</v>
      </c>
      <c r="G557" s="13" t="n">
        <f aca="false">Path!G4</f>
        <v>2.559375</v>
      </c>
      <c r="H557" s="13" t="n">
        <f aca="false">Path!H4</f>
        <v>4.414921875</v>
      </c>
      <c r="I557" s="13" t="n">
        <f aca="false">Path!I4</f>
        <v>5.51865234375</v>
      </c>
      <c r="J557" s="13" t="n">
        <f aca="false">Path!J4</f>
        <v>5.96566318359375</v>
      </c>
      <c r="K557" s="13" t="n">
        <f aca="false">Path!K4*1</f>
        <v>6.14463307910156</v>
      </c>
      <c r="L557" s="13" t="n">
        <f aca="false">Path!L4*1</f>
        <v>6.14463307910156</v>
      </c>
      <c r="M557" s="13" t="n">
        <f aca="false">Path!M4*1</f>
        <v>5.83740142514648</v>
      </c>
      <c r="N557" s="13" t="n">
        <f aca="false">Path!N4*1</f>
        <v>5.42878332538623</v>
      </c>
      <c r="O557" s="13" t="n">
        <f aca="false">Path!O4*1</f>
        <v>5.15734415911692</v>
      </c>
      <c r="P557" s="13" t="n">
        <f aca="false">Path!P4*1</f>
        <v>4.89947695116107</v>
      </c>
      <c r="Q557" s="13" t="n">
        <f aca="false">Path!Q4*1</f>
        <v>4.65450310360302</v>
      </c>
      <c r="R557" s="13" t="n">
        <f aca="false">Path!R4*1</f>
        <v>4.42177794842287</v>
      </c>
      <c r="S557" s="13" t="n">
        <f aca="false">Path!S4*1</f>
        <v>4.28912460997018</v>
      </c>
      <c r="T557" s="13" t="n">
        <f aca="false">Path!T4*1</f>
        <v>4.16045087167108</v>
      </c>
      <c r="U557" s="13" t="n">
        <f aca="false">Path!U4*1</f>
        <v>4.03563734552094</v>
      </c>
      <c r="V557" s="13" t="n">
        <f aca="false">Path!V4*1</f>
        <v>3.91456822515532</v>
      </c>
      <c r="W557" s="13" t="n">
        <f aca="false">Path!V4*(1+p10)^(1/4)*1</f>
        <v>3.79144302937821</v>
      </c>
      <c r="X557" s="13" t="n">
        <f aca="false">Path!V4*(1+p10)^(2/4)*1</f>
        <v>3.6721904992345</v>
      </c>
      <c r="Y557" s="13" t="n">
        <f aca="false">Path!V4*(1+p10)^(3/4)*1</f>
        <v>3.55668882749365</v>
      </c>
      <c r="Z557" s="13" t="n">
        <f aca="false">Path!V4*(1+p10)^(4/4)*1</f>
        <v>3.44482003813668</v>
      </c>
      <c r="AB557" s="8" t="s">
        <v>537</v>
      </c>
    </row>
    <row r="558" customFormat="false" ht="17.15" hidden="false" customHeight="false" outlineLevel="0" collapsed="false">
      <c r="A558" s="5" t="s">
        <v>538</v>
      </c>
      <c r="B558" s="0" t="s">
        <v>222</v>
      </c>
      <c r="C558" s="10" t="n">
        <f aca="false">D543/4*(D543/C543)^((1-2.5)/4)/(((D543/C543)^(-0.375)+(D543/C543)^(-0.125)+(D543/C543)^(0.125)+(D543/C543)^(0.375))/4)</f>
        <v>239.477872684002</v>
      </c>
      <c r="D558" s="10" t="n">
        <f aca="false">D543/4*(D543/C543)^((2-2.5)/4)/(((D543/C543)^(-0.375)+(D543/C543)^(-0.125)+(D543/C543)^(0.125)+(D543/C543)^(0.375))/4)</f>
        <v>246.359830864633</v>
      </c>
      <c r="E558" s="10" t="n">
        <f aca="false">D543/4*(D543/C543)^((3-2.5)/4)/(((D543/C543)^(-0.375)+(D543/C543)^(-0.125)+(D543/C543)^(0.125)+(D543/C543)^(0.375))/4)</f>
        <v>253.439558249863</v>
      </c>
      <c r="F558" s="10" t="n">
        <f aca="false">D543/4*(D543/C543)^((4-2.5)/4)/(((D543/C543)^(-0.375)+(D543/C543)^(-0.125)+(D543/C543)^(0.125)+(D543/C543)^(0.375))/4)</f>
        <v>260.722738201501</v>
      </c>
      <c r="G558" s="10" t="n">
        <f aca="false">E543/4*(E543/D543)^((1-2.5)/4)/(((E543/D543)^(-0.375)+(E543/D543)^(-0.125)+(E543/D543)^(0.125)+(E543/D543)^(0.375))/4)</f>
        <v>281.231934694683</v>
      </c>
      <c r="H558" s="10" t="n">
        <f aca="false">E543/4*(E543/D543)^((2-2.5)/4)/(((E543/D543)^(-0.375)+(E543/D543)^(-0.125)+(E543/D543)^(0.125)+(E543/D543)^(0.375))/4)</f>
        <v>294.958541495794</v>
      </c>
      <c r="I558" s="10" t="n">
        <f aca="false">E543/4*(E543/D543)^((3-2.5)/4)/(((E543/D543)^(-0.375)+(E543/D543)^(-0.125)+(E543/D543)^(0.125)+(E543/D543)^(0.375))/4)</f>
        <v>309.355128164151</v>
      </c>
      <c r="J558" s="10" t="n">
        <f aca="false">E543/4*(E543/D543)^((4-2.5)/4)/(((E543/D543)^(-0.375)+(E543/D543)^(-0.125)+(E543/D543)^(0.125)+(E543/D543)^(0.375))/4)</f>
        <v>324.454395645373</v>
      </c>
      <c r="K558" s="10" t="n">
        <f aca="false">F543/4*(F543/E543)^((1-2.5)/4)/(((F543/E543)^(-0.375)+(F543/E543)^(-0.125)+(F543/E543)^(0.125)+(F543/E543)^(0.375))/4)</f>
        <v>347.096143815413</v>
      </c>
      <c r="L558" s="10" t="n">
        <f aca="false">F543/4*(F543/E543)^((2-2.5)/4)/(((F543/E543)^(-0.375)+(F543/E543)^(-0.125)+(F543/E543)^(0.125)+(F543/E543)^(0.375))/4)</f>
        <v>367.009488121451</v>
      </c>
      <c r="M558" s="10" t="n">
        <f aca="false">F543/4*(F543/E543)^((3-2.5)/4)/(((F543/E543)^(-0.375)+(F543/E543)^(-0.125)+(F543/E543)^(0.125)+(F543/E543)^(0.375))/4)</f>
        <v>388.065286149653</v>
      </c>
      <c r="N558" s="10" t="n">
        <f aca="false">F543/4*(F543/E543)^((4-2.5)/4)/(((F543/E543)^(-0.375)+(F543/E543)^(-0.125)+(F543/E543)^(0.125)+(F543/E543)^(0.375))/4)</f>
        <v>410.329081913483</v>
      </c>
      <c r="O558" s="10" t="n">
        <f aca="false">G543/4*(G543/F543)^((1-2.5)/4)/(((G543/F543)^(-0.375)+(G543/F543)^(-0.125)+(G543/F543)^(0.125)+(G543/F543)^(0.375))/4)</f>
        <v>433.870179769266</v>
      </c>
      <c r="P558" s="10" t="n">
        <f aca="false">G543/4*(G543/F543)^((2-2.5)/4)/(((G543/F543)^(-0.375)+(G543/F543)^(-0.125)+(G543/F543)^(0.125)+(G543/F543)^(0.375))/4)</f>
        <v>458.761860151814</v>
      </c>
      <c r="Q558" s="10" t="n">
        <f aca="false">G543/4*(G543/F543)^((3-2.5)/4)/(((G543/F543)^(-0.375)+(G543/F543)^(-0.125)+(G543/F543)^(0.125)+(G543/F543)^(0.375))/4)</f>
        <v>485.081607687067</v>
      </c>
      <c r="R558" s="10" t="n">
        <f aca="false">G543/4*(G543/F543)^((4-2.5)/4)/(((G543/F543)^(-0.375)+(G543/F543)^(-0.125)+(G543/F543)^(0.125)+(G543/F543)^(0.375))/4)</f>
        <v>512.911352391854</v>
      </c>
      <c r="S558" s="10" t="n">
        <f aca="false">H543/4*(H543/G543)^((1-2.5)/4)/(((H543/G543)^(-0.375)+(H543/G543)^(-0.125)+(H543/G543)^(0.125)+(H543/G543)^(0.375))/4)</f>
        <v>534.379419998991</v>
      </c>
      <c r="T558" s="10" t="n">
        <f aca="false">H543/4*(H543/G543)^((2-2.5)/4)/(((H543/G543)^(-0.375)+(H543/G543)^(-0.125)+(H543/G543)^(0.125)+(H543/G543)^(0.375))/4)</f>
        <v>561.616271458278</v>
      </c>
      <c r="U558" s="10" t="n">
        <f aca="false">H543/4*(H543/G543)^((3-2.5)/4)/(((H543/G543)^(-0.375)+(H543/G543)^(-0.125)+(H543/G543)^(0.125)+(H543/G543)^(0.375))/4)</f>
        <v>590.241361404399</v>
      </c>
      <c r="V558" s="10" t="n">
        <f aca="false">H543/4*(H543/G543)^((4-2.5)/4)/(((H543/G543)^(-0.375)+(H543/G543)^(-0.125)+(H543/G543)^(0.125)+(H543/G543)^(0.375))/4)</f>
        <v>620.325447138332</v>
      </c>
      <c r="W558" s="10" t="n">
        <f aca="false">I543/4*(I543/H543)^((1-2.5)/4)/(((I543/H543)^(-0.375)+(I543/H543)^(-0.125)+(I543/H543)^(0.125)+(I543/H543)^(0.375))/4)</f>
        <v>625.425978392326</v>
      </c>
      <c r="X558" s="10" t="n">
        <f aca="false">I543/4*(I543/H543)^((2-2.5)/4)/(((I543/H543)^(-0.375)+(I543/H543)^(-0.125)+(I543/H543)^(0.125)+(I543/H543)^(0.375))/4)</f>
        <v>646.25013869416</v>
      </c>
      <c r="Y558" s="10" t="n">
        <f aca="false">I543/4*(I543/H543)^((3-2.5)/4)/(((I543/H543)^(-0.375)+(I543/H543)^(-0.125)+(I543/H543)^(0.125)+(I543/H543)^(0.375))/4)</f>
        <v>667.76765946911</v>
      </c>
      <c r="Z558" s="10" t="n">
        <f aca="false">I543/4*(I543/H543)^((4-2.5)/4)/(((I543/H543)^(-0.375)+(I543/H543)^(-0.125)+(I543/H543)^(0.125)+(I543/H543)^(0.375))/4)</f>
        <v>690.001626821905</v>
      </c>
      <c r="AB558" s="5" t="s">
        <v>539</v>
      </c>
    </row>
    <row r="559" customFormat="false" ht="17.15" hidden="false" customHeight="false" outlineLevel="0" collapsed="false">
      <c r="A559" s="0" t="s">
        <v>540</v>
      </c>
      <c r="B559" s="0" t="s">
        <v>285</v>
      </c>
      <c r="C559" s="10" t="n">
        <f aca="false">(rv_ss_0+rv_sk_0+rv_mu_0+rv_kx_0+rv_sd_0)/t5_0</f>
        <v>12.9354838709677</v>
      </c>
      <c r="D559" s="10" t="n">
        <f aca="false">(rv_ss_1+rv_sk_1+rv_mu_1+rv_kx_1+rv_sd_1)/t5_1</f>
        <v>15.8054711246201</v>
      </c>
      <c r="E559" s="10" t="n">
        <f aca="false">(rv_ss_2+rv_sk_2+rv_mu_2+rv_kx_2+rv_sd_2)/t5_2</f>
        <v>18.7912087912088</v>
      </c>
      <c r="F559" s="10" t="n">
        <f aca="false">(rv_ss_3+rv_sk_3+rv_mu_3+rv_kx_3+rv_sd_3)/t5_3</f>
        <v>23.5714285714286</v>
      </c>
      <c r="G559" s="10" t="n">
        <f aca="false">(rv_ss_4+rv_sk_4+rv_mu_4+rv_kx_4+rv_sd_4)/t5_4</f>
        <v>43.954802259887</v>
      </c>
      <c r="H559" s="10" t="n">
        <f aca="false">(rv_ss_5+rv_sk_5+rv_mu_5+rv_kx_5+rv_sd_5)/t5_5</f>
        <v>78.703071672355</v>
      </c>
      <c r="I559" s="10" t="n">
        <f aca="false">$H559*I557/$H557*I558/$H558</f>
        <v>103.180597435169</v>
      </c>
      <c r="J559" s="10" t="n">
        <f aca="false">$H559*J557/$H557*J558/$H558</f>
        <v>116.982278156997</v>
      </c>
      <c r="K559" s="10" t="n">
        <f aca="false">$H559*K557/$H557*K558/$H558</f>
        <v>128.900150941515</v>
      </c>
      <c r="L559" s="10" t="n">
        <f aca="false">$H559*L557/$H557*L558/$H558</f>
        <v>136.295315458709</v>
      </c>
      <c r="M559" s="10" t="n">
        <f aca="false">$H559*M557/$H557*M558/$H558</f>
        <v>136.909012412225</v>
      </c>
      <c r="N559" s="10" t="n">
        <f aca="false">$H559*N557/$H557*N558/$H558</f>
        <v>134.630199550565</v>
      </c>
      <c r="O559" s="10" t="n">
        <f aca="false">$H559*O557/$H557*O558/$H558</f>
        <v>135.236398986234</v>
      </c>
      <c r="P559" s="10" t="n">
        <f aca="false">$H559*P557/$H557*P558/$H558</f>
        <v>135.845327956265</v>
      </c>
      <c r="Q559" s="10" t="n">
        <f aca="false">$H559*Q557/$H557*Q558/$H558</f>
        <v>136.456998750933</v>
      </c>
      <c r="R559" s="10" t="n">
        <f aca="false">$H559*R557/$H557*R558/$H558</f>
        <v>137.071423715852</v>
      </c>
      <c r="S559" s="10" t="n">
        <f aca="false">$H559*S557/$H557*S558/$H558</f>
        <v>138.524333952196</v>
      </c>
      <c r="T559" s="10" t="n">
        <f aca="false">$H559*T557/$H557*T558/$H558</f>
        <v>141.217254104587</v>
      </c>
      <c r="U559" s="10" t="n">
        <f aca="false">$H559*U557/$H557*U558/$H558</f>
        <v>143.962524762772</v>
      </c>
      <c r="V559" s="10" t="n">
        <f aca="false">$H559*V557/$H557*V558/$H558</f>
        <v>146.761163623267</v>
      </c>
      <c r="W559" s="10" t="n">
        <f aca="false">$H559*W557/$H557*W558/$H558</f>
        <v>143.313840358573</v>
      </c>
      <c r="X559" s="10" t="n">
        <f aca="false">$H559*X557/$H557*X558/$H558</f>
        <v>143.427865278578</v>
      </c>
      <c r="Y559" s="10" t="n">
        <f aca="false">$H559*Y557/$H557*Y558/$H558</f>
        <v>143.541980920333</v>
      </c>
      <c r="Z559" s="10" t="n">
        <f aca="false">$H559*Z557/$H557*Z558/$H558</f>
        <v>143.656187356019</v>
      </c>
      <c r="AB559" s="5" t="s">
        <v>541</v>
      </c>
    </row>
    <row r="560" customFormat="false" ht="17.15" hidden="false" customHeight="false" outlineLevel="0" collapsed="false">
      <c r="A560" s="5" t="s">
        <v>454</v>
      </c>
      <c r="B560" s="0" t="s">
        <v>25</v>
      </c>
      <c r="C560" s="12" t="n">
        <f aca="false">rv_ss_0/C559</f>
        <v>0.324688279301746</v>
      </c>
      <c r="D560" s="12" t="n">
        <f aca="false">rv_ss_1/D559</f>
        <v>0.329</v>
      </c>
      <c r="E560" s="12" t="n">
        <f aca="false">rv_ss_2/E559</f>
        <v>0.319298245614035</v>
      </c>
      <c r="F560" s="12" t="n">
        <f aca="false">rv_ss_3/F559</f>
        <v>0.28</v>
      </c>
      <c r="G560" s="12" t="n">
        <f aca="false">rv_ss_4/G559</f>
        <v>0.30736118251928</v>
      </c>
      <c r="H560" s="12" t="n">
        <f aca="false">rv_ss_5/H559</f>
        <v>0.293</v>
      </c>
      <c r="I560" s="12" t="n">
        <f aca="false">(rv_ss_4+rv_ss_5)/($G559+$H559)</f>
        <v>0.298146371102126</v>
      </c>
      <c r="J560" s="12" t="n">
        <f aca="false">(rv_ss_4+rv_ss_5)/($G559+$H559)</f>
        <v>0.298146371102126</v>
      </c>
      <c r="K560" s="12" t="n">
        <f aca="false">(rv_ss_4+rv_ss_5)/($G559+$H559)+dr_ss/100*1</f>
        <v>0.293146371102126</v>
      </c>
      <c r="L560" s="12" t="n">
        <f aca="false">(rv_ss_4+rv_ss_5)/($G559+$H559)+dr_ss/100*1</f>
        <v>0.293146371102126</v>
      </c>
      <c r="M560" s="12" t="n">
        <f aca="false">(rv_ss_4+rv_ss_5)/($G559+$H559)+dr_ss/100*1</f>
        <v>0.293146371102126</v>
      </c>
      <c r="N560" s="12" t="n">
        <f aca="false">(rv_ss_4+rv_ss_5)/($G559+$H559)+dr_ss/100*1</f>
        <v>0.293146371102126</v>
      </c>
      <c r="O560" s="12" t="n">
        <f aca="false">(rv_ss_4+rv_ss_5)/($G559+$H559)+dr_ss/100*2</f>
        <v>0.288146371102126</v>
      </c>
      <c r="P560" s="12" t="n">
        <f aca="false">(rv_ss_4+rv_ss_5)/($G559+$H559)+dr_ss/100*2</f>
        <v>0.288146371102126</v>
      </c>
      <c r="Q560" s="12" t="n">
        <f aca="false">(rv_ss_4+rv_ss_5)/($G559+$H559)+dr_ss/100*2</f>
        <v>0.288146371102126</v>
      </c>
      <c r="R560" s="12" t="n">
        <f aca="false">(rv_ss_4+rv_ss_5)/($G559+$H559)+dr_ss/100*2</f>
        <v>0.288146371102126</v>
      </c>
      <c r="S560" s="12" t="n">
        <f aca="false">(rv_ss_4+rv_ss_5)/($G559+$H559)+dr_ss/100*3</f>
        <v>0.283146371102126</v>
      </c>
      <c r="T560" s="12" t="n">
        <f aca="false">(rv_ss_4+rv_ss_5)/($G559+$H559)+dr_ss/100*3</f>
        <v>0.283146371102126</v>
      </c>
      <c r="U560" s="12" t="n">
        <f aca="false">(rv_ss_4+rv_ss_5)/($G559+$H559)+dr_ss/100*3</f>
        <v>0.283146371102126</v>
      </c>
      <c r="V560" s="12" t="n">
        <f aca="false">(rv_ss_4+rv_ss_5)/($G559+$H559)+dr_ss/100*3</f>
        <v>0.283146371102126</v>
      </c>
      <c r="W560" s="12" t="n">
        <f aca="false">(rv_ss_4+rv_ss_5)/($G559+$H559)+dr_ss/100*4</f>
        <v>0.278146371102126</v>
      </c>
      <c r="X560" s="12" t="n">
        <f aca="false">(rv_ss_4+rv_ss_5)/($G559+$H559)+dr_ss/100*4</f>
        <v>0.278146371102126</v>
      </c>
      <c r="Y560" s="12" t="n">
        <f aca="false">(rv_ss_4+rv_ss_5)/($G559+$H559)+dr_ss/100*4</f>
        <v>0.278146371102126</v>
      </c>
      <c r="Z560" s="12" t="n">
        <f aca="false">(rv_ss_4+rv_ss_5)/($G559+$H559)+dr_ss/100*4</f>
        <v>0.278146371102126</v>
      </c>
      <c r="AB560" s="8" t="s">
        <v>542</v>
      </c>
    </row>
    <row r="561" customFormat="false" ht="17.15" hidden="false" customHeight="false" outlineLevel="0" collapsed="false">
      <c r="A561" s="5" t="s">
        <v>455</v>
      </c>
      <c r="B561" s="0" t="s">
        <v>25</v>
      </c>
      <c r="C561" s="12" t="n">
        <f aca="false">rv_sk_0/C559</f>
        <v>0.16930174563591</v>
      </c>
      <c r="D561" s="12" t="n">
        <f aca="false">rv_sk_1/D559</f>
        <v>0.211319230769231</v>
      </c>
      <c r="E561" s="12" t="n">
        <f aca="false">rv_sk_2/E559</f>
        <v>0.187853801169591</v>
      </c>
      <c r="F561" s="12" t="n">
        <f aca="false">rv_sk_3/F559</f>
        <v>0.221030303030303</v>
      </c>
      <c r="G561" s="12" t="n">
        <f aca="false">rv_sk_4/G559</f>
        <v>0.17131233933162</v>
      </c>
      <c r="H561" s="12" t="n">
        <f aca="false">rv_sk_5/H559</f>
        <v>0.181314397224631</v>
      </c>
      <c r="I561" s="12" t="n">
        <f aca="false">(rv_sk_4+rv_sk_5)/($G559+$H559)</f>
        <v>0.177730130982399</v>
      </c>
      <c r="J561" s="12" t="n">
        <f aca="false">(rv_sk_4+rv_sk_5)/($G559+$H559)</f>
        <v>0.177730130982399</v>
      </c>
      <c r="K561" s="12" t="n">
        <f aca="false">(rv_sk_4+rv_sk_5)/($G559+$H559)+dr_sk/100*1</f>
        <v>0.177730130982399</v>
      </c>
      <c r="L561" s="12" t="n">
        <f aca="false">(rv_sk_4+rv_sk_5)/($G559+$H559)+dr_sk/100*1</f>
        <v>0.177730130982399</v>
      </c>
      <c r="M561" s="12" t="n">
        <f aca="false">(rv_sk_4+rv_sk_5)/($G559+$H559)+dr_sk/100*1</f>
        <v>0.177730130982399</v>
      </c>
      <c r="N561" s="12" t="n">
        <f aca="false">(rv_sk_4+rv_sk_5)/($G559+$H559)+dr_sk/100*1</f>
        <v>0.177730130982399</v>
      </c>
      <c r="O561" s="12" t="n">
        <f aca="false">(rv_sk_4+rv_sk_5)/($G559+$H559)+dr_sk/100*2</f>
        <v>0.177730130982399</v>
      </c>
      <c r="P561" s="12" t="n">
        <f aca="false">(rv_sk_4+rv_sk_5)/($G559+$H559)+dr_sk/100*2</f>
        <v>0.177730130982399</v>
      </c>
      <c r="Q561" s="12" t="n">
        <f aca="false">(rv_sk_4+rv_sk_5)/($G559+$H559)+dr_sk/100*2</f>
        <v>0.177730130982399</v>
      </c>
      <c r="R561" s="12" t="n">
        <f aca="false">(rv_sk_4+rv_sk_5)/($G559+$H559)+dr_sk/100*2</f>
        <v>0.177730130982399</v>
      </c>
      <c r="S561" s="12" t="n">
        <f aca="false">(rv_sk_4+rv_sk_5)/($G559+$H559)+dr_sk/100*3</f>
        <v>0.177730130982399</v>
      </c>
      <c r="T561" s="12" t="n">
        <f aca="false">(rv_sk_4+rv_sk_5)/($G559+$H559)+dr_sk/100*3</f>
        <v>0.177730130982399</v>
      </c>
      <c r="U561" s="12" t="n">
        <f aca="false">(rv_sk_4+rv_sk_5)/($G559+$H559)+dr_sk/100*3</f>
        <v>0.177730130982399</v>
      </c>
      <c r="V561" s="12" t="n">
        <f aca="false">(rv_sk_4+rv_sk_5)/($G559+$H559)+dr_sk/100*3</f>
        <v>0.177730130982399</v>
      </c>
      <c r="W561" s="12" t="n">
        <f aca="false">(rv_sk_4+rv_sk_5)/($G559+$H559)+dr_sk/100*4</f>
        <v>0.177730130982399</v>
      </c>
      <c r="X561" s="12" t="n">
        <f aca="false">(rv_sk_4+rv_sk_5)/($G559+$H559)+dr_sk/100*4</f>
        <v>0.177730130982399</v>
      </c>
      <c r="Y561" s="12" t="n">
        <f aca="false">(rv_sk_4+rv_sk_5)/($G559+$H559)+dr_sk/100*4</f>
        <v>0.177730130982399</v>
      </c>
      <c r="Z561" s="12" t="n">
        <f aca="false">(rv_sk_4+rv_sk_5)/($G559+$H559)+dr_sk/100*4</f>
        <v>0.177730130982399</v>
      </c>
      <c r="AB561" s="8" t="s">
        <v>542</v>
      </c>
    </row>
    <row r="562" customFormat="false" ht="17.15" hidden="false" customHeight="false" outlineLevel="0" collapsed="false">
      <c r="A562" s="5" t="s">
        <v>456</v>
      </c>
      <c r="B562" s="0" t="s">
        <v>25</v>
      </c>
      <c r="C562" s="12" t="n">
        <f aca="false">rv_mu_0/C559</f>
        <v>0.156932668329177</v>
      </c>
      <c r="D562" s="12" t="n">
        <f aca="false">rv_mu_1/D559</f>
        <v>0.132865384615385</v>
      </c>
      <c r="E562" s="12" t="n">
        <f aca="false">rv_mu_2/E559</f>
        <v>0.128783625730994</v>
      </c>
      <c r="F562" s="12" t="n">
        <f aca="false">rv_mu_3/F559</f>
        <v>0.128545454545455</v>
      </c>
      <c r="G562" s="12" t="n">
        <f aca="false">rv_mu_4/G559</f>
        <v>0.135366323907455</v>
      </c>
      <c r="H562" s="12" t="n">
        <f aca="false">rv_mu_5/H559</f>
        <v>0.150565915004337</v>
      </c>
      <c r="I562" s="12" t="n">
        <f aca="false">(rv_mu_4+rv_mu_5)/($G559+$H559)</f>
        <v>0.14511909777462</v>
      </c>
      <c r="J562" s="12" t="n">
        <f aca="false">(rv_mu_4+rv_mu_5)/($G559+$H559)</f>
        <v>0.14511909777462</v>
      </c>
      <c r="K562" s="12" t="n">
        <f aca="false">(rv_mu_4+rv_mu_5)/($G559+$H559)+dr_mu/100*1</f>
        <v>0.14711909777462</v>
      </c>
      <c r="L562" s="12" t="n">
        <f aca="false">(rv_mu_4+rv_mu_5)/($G559+$H559)+dr_mu/100*1</f>
        <v>0.14711909777462</v>
      </c>
      <c r="M562" s="12" t="n">
        <f aca="false">(rv_mu_4+rv_mu_5)/($G559+$H559)+dr_mu/100*1</f>
        <v>0.14711909777462</v>
      </c>
      <c r="N562" s="12" t="n">
        <f aca="false">(rv_mu_4+rv_mu_5)/($G559+$H559)+dr_mu/100*1</f>
        <v>0.14711909777462</v>
      </c>
      <c r="O562" s="12" t="n">
        <f aca="false">(rv_mu_4+rv_mu_5)/($G559+$H559)+dr_mu/100*2</f>
        <v>0.14911909777462</v>
      </c>
      <c r="P562" s="12" t="n">
        <f aca="false">(rv_mu_4+rv_mu_5)/($G559+$H559)+dr_mu/100*2</f>
        <v>0.14911909777462</v>
      </c>
      <c r="Q562" s="12" t="n">
        <f aca="false">(rv_mu_4+rv_mu_5)/($G559+$H559)+dr_mu/100*2</f>
        <v>0.14911909777462</v>
      </c>
      <c r="R562" s="12" t="n">
        <f aca="false">(rv_mu_4+rv_mu_5)/($G559+$H559)+dr_mu/100*2</f>
        <v>0.14911909777462</v>
      </c>
      <c r="S562" s="12" t="n">
        <f aca="false">(rv_mu_4+rv_mu_5)/($G559+$H559)+dr_mu/100*3</f>
        <v>0.15111909777462</v>
      </c>
      <c r="T562" s="12" t="n">
        <f aca="false">(rv_mu_4+rv_mu_5)/($G559+$H559)+dr_mu/100*3</f>
        <v>0.15111909777462</v>
      </c>
      <c r="U562" s="12" t="n">
        <f aca="false">(rv_mu_4+rv_mu_5)/($G559+$H559)+dr_mu/100*3</f>
        <v>0.15111909777462</v>
      </c>
      <c r="V562" s="12" t="n">
        <f aca="false">(rv_mu_4+rv_mu_5)/($G559+$H559)+dr_mu/100*3</f>
        <v>0.15111909777462</v>
      </c>
      <c r="W562" s="12" t="n">
        <f aca="false">(rv_mu_4+rv_mu_5)/($G559+$H559)+dr_mu/100*4</f>
        <v>0.15311909777462</v>
      </c>
      <c r="X562" s="12" t="n">
        <f aca="false">(rv_mu_4+rv_mu_5)/($G559+$H559)+dr_mu/100*4</f>
        <v>0.15311909777462</v>
      </c>
      <c r="Y562" s="12" t="n">
        <f aca="false">(rv_mu_4+rv_mu_5)/($G559+$H559)+dr_mu/100*4</f>
        <v>0.15311909777462</v>
      </c>
      <c r="Z562" s="12" t="n">
        <f aca="false">(rv_mu_4+rv_mu_5)/($G559+$H559)+dr_mu/100*4</f>
        <v>0.15311909777462</v>
      </c>
      <c r="AB562" s="8" t="s">
        <v>542</v>
      </c>
    </row>
    <row r="563" customFormat="false" ht="17.15" hidden="false" customHeight="false" outlineLevel="0" collapsed="false">
      <c r="A563" s="5" t="s">
        <v>457</v>
      </c>
      <c r="B563" s="0" t="s">
        <v>25</v>
      </c>
      <c r="C563" s="12" t="n">
        <f aca="false">rv_kx_0/C559</f>
        <v>0.148428927680798</v>
      </c>
      <c r="D563" s="12" t="n">
        <f aca="false">rv_kx_1/D559</f>
        <v>0.135396153846154</v>
      </c>
      <c r="E563" s="12" t="n">
        <f aca="false">rv_kx_2/E559</f>
        <v>0.151134502923977</v>
      </c>
      <c r="F563" s="12" t="n">
        <f aca="false">rv_kx_3/F559</f>
        <v>0.140424242424242</v>
      </c>
      <c r="G563" s="12" t="n">
        <f aca="false">rv_kx_4/G559</f>
        <v>0.13559383033419</v>
      </c>
      <c r="H563" s="12" t="n">
        <f aca="false">rv_kx_5/H559</f>
        <v>0.136208152645273</v>
      </c>
      <c r="I563" s="12" t="n">
        <f aca="false">kx_g/kx_fxg/kx_k/$I559</f>
        <v>0.144904344872829</v>
      </c>
      <c r="J563" s="12" t="n">
        <f aca="false">(kx_g/kx_fxg/kx_k/$I559+kx_g4/kx_fxg4/kx_k/$J559)/2</f>
        <v>0.138512987387224</v>
      </c>
      <c r="K563" s="12" t="n">
        <f aca="false">(kx_g/kx_fxg/kx_k/$I559+kx_g4/kx_fxg4/kx_k/$J559)/2+dr_jv_A/100*1*(kx_g/kx_fxg/kx_k)/(kx_g/kx_fxg/kx_k+sd_g/sd_k)</f>
        <v>0.138512987387224</v>
      </c>
      <c r="L563" s="12" t="n">
        <f aca="false">(kx_g/kx_fxg/kx_k/$I559+kx_g4/kx_fxg4/kx_k/$J559)/2+dr_jv_A/100*1*(kx_g/kx_fxg/kx_k)/(kx_g/kx_fxg/kx_k+sd_g/sd_k)</f>
        <v>0.138512987387224</v>
      </c>
      <c r="M563" s="12" t="n">
        <f aca="false">(kx_g/kx_fxg/kx_k/$I559+kx_g4/kx_fxg4/kx_k/$J559)/2+dr_jv_A/100*1*(kx_g/kx_fxg/kx_k)/(kx_g/kx_fxg/kx_k+sd_g/sd_k)</f>
        <v>0.138512987387224</v>
      </c>
      <c r="N563" s="12" t="n">
        <f aca="false">(kx_g/kx_fxg/kx_k/$I559+kx_g4/kx_fxg4/kx_k/$J559)/2+dr_jv_A/100*1*(kx_g/kx_fxg/kx_k)/(kx_g/kx_fxg/kx_k+sd_g/sd_k)</f>
        <v>0.138512987387224</v>
      </c>
      <c r="O563" s="12" t="n">
        <f aca="false">(kx_g/kx_fxg/kx_k/$I559+kx_g4/kx_fxg4/kx_k/$J559)/2+dr_jv_A/100*2*(kx_g/kx_fxg/kx_k)/(kx_g/kx_fxg/kx_k+sd_g/sd_k)</f>
        <v>0.138512987387224</v>
      </c>
      <c r="P563" s="12" t="n">
        <f aca="false">(kx_g/kx_fxg/kx_k/$I559+kx_g4/kx_fxg4/kx_k/$J559)/2+dr_jv_A/100*2*(kx_g/kx_fxg/kx_k)/(kx_g/kx_fxg/kx_k+sd_g/sd_k)</f>
        <v>0.138512987387224</v>
      </c>
      <c r="Q563" s="12" t="n">
        <f aca="false">(kx_g/kx_fxg/kx_k/$I559+kx_g4/kx_fxg4/kx_k/$J559)/2+dr_jv_A/100*2*(kx_g/kx_fxg/kx_k)/(kx_g/kx_fxg/kx_k+sd_g/sd_k)</f>
        <v>0.138512987387224</v>
      </c>
      <c r="R563" s="12" t="n">
        <f aca="false">(kx_g/kx_fxg/kx_k/$I559+kx_g4/kx_fxg4/kx_k/$J559)/2+dr_jv_A/100*2*(kx_g/kx_fxg/kx_k)/(kx_g/kx_fxg/kx_k+sd_g/sd_k)</f>
        <v>0.138512987387224</v>
      </c>
      <c r="S563" s="12" t="n">
        <f aca="false">(kx_g/kx_fxg/kx_k/$I559+kx_g4/kx_fxg4/kx_k/$J559)/2+dr_jv_A/100*3*(kx_g/kx_fxg/kx_k)/(kx_g/kx_fxg/kx_k+sd_g/sd_k)</f>
        <v>0.138512987387224</v>
      </c>
      <c r="T563" s="12" t="n">
        <f aca="false">(kx_g/kx_fxg/kx_k/$I559+kx_g4/kx_fxg4/kx_k/$J559)/2+dr_jv_A/100*3*(kx_g/kx_fxg/kx_k)/(kx_g/kx_fxg/kx_k+sd_g/sd_k)</f>
        <v>0.138512987387224</v>
      </c>
      <c r="U563" s="12" t="n">
        <f aca="false">(kx_g/kx_fxg/kx_k/$I559+kx_g4/kx_fxg4/kx_k/$J559)/2+dr_jv_A/100*3*(kx_g/kx_fxg/kx_k)/(kx_g/kx_fxg/kx_k+sd_g/sd_k)</f>
        <v>0.138512987387224</v>
      </c>
      <c r="V563" s="12" t="n">
        <f aca="false">(kx_g/kx_fxg/kx_k/$I559+kx_g4/kx_fxg4/kx_k/$J559)/2+dr_jv_A/100*3*(kx_g/kx_fxg/kx_k)/(kx_g/kx_fxg/kx_k+sd_g/sd_k)</f>
        <v>0.138512987387224</v>
      </c>
      <c r="W563" s="12" t="n">
        <f aca="false">(kx_g/kx_fxg/kx_k/$I559+kx_g4/kx_fxg4/kx_k/$J559)/2+dr_jv_A/100*4*(kx_g/kx_fxg/kx_k)/(kx_g/kx_fxg/kx_k+sd_g/sd_k)</f>
        <v>0.138512987387224</v>
      </c>
      <c r="X563" s="12" t="n">
        <f aca="false">(kx_g/kx_fxg/kx_k/$I559+kx_g4/kx_fxg4/kx_k/$J559)/2+dr_jv_A/100*4*(kx_g/kx_fxg/kx_k)/(kx_g/kx_fxg/kx_k+sd_g/sd_k)</f>
        <v>0.138512987387224</v>
      </c>
      <c r="Y563" s="12" t="n">
        <f aca="false">(kx_g/kx_fxg/kx_k/$I559+kx_g4/kx_fxg4/kx_k/$J559)/2+dr_jv_A/100*4*(kx_g/kx_fxg/kx_k)/(kx_g/kx_fxg/kx_k+sd_g/sd_k)</f>
        <v>0.138512987387224</v>
      </c>
      <c r="Z563" s="12" t="n">
        <f aca="false">(kx_g/kx_fxg/kx_k/$I559+kx_g4/kx_fxg4/kx_k/$J559)/2+dr_jv_A/100*4*(kx_g/kx_fxg/kx_k)/(kx_g/kx_fxg/kx_k+sd_g/sd_k)</f>
        <v>0.138512987387224</v>
      </c>
      <c r="AB563" s="8" t="s">
        <v>543</v>
      </c>
    </row>
    <row r="564" customFormat="false" ht="17.15" hidden="false" customHeight="false" outlineLevel="0" collapsed="false">
      <c r="A564" s="5" t="s">
        <v>458</v>
      </c>
      <c r="B564" s="0" t="s">
        <v>25</v>
      </c>
      <c r="C564" s="12" t="n">
        <f aca="false">rv_sd_0/C559</f>
        <v>0.130648379052369</v>
      </c>
      <c r="D564" s="12" t="n">
        <f aca="false">rv_sd_1/D559</f>
        <v>0.120211538461538</v>
      </c>
      <c r="E564" s="12" t="n">
        <f aca="false">rv_sd_2/E559</f>
        <v>0.122929824561404</v>
      </c>
      <c r="F564" s="12" t="n">
        <f aca="false">rv_sd_3/F559</f>
        <v>0.128545454545455</v>
      </c>
      <c r="G564" s="12" t="n">
        <f aca="false">rv_sd_4/G559</f>
        <v>0.135366323907455</v>
      </c>
      <c r="H564" s="12" t="n">
        <f aca="false">rv_sd_5/H559</f>
        <v>0.113972679965308</v>
      </c>
      <c r="I564" s="12" t="n">
        <f aca="false">sd_g/sd_k/$I559</f>
        <v>0.106969261015561</v>
      </c>
      <c r="J564" s="12" t="n">
        <f aca="false">(sd_g/sd_k/$I559+sd_g4/sd_k/$J559)/2</f>
        <v>0.106513670372059</v>
      </c>
      <c r="K564" s="12" t="n">
        <f aca="false">(sd_g/sd_k/$I559+sd_g4/sd_k/$J559)/2+dr_jv_A/100*1*(sd_g/sd_k)/(kx_g/kx_fxg/kx_k+sd_g/sd_k)</f>
        <v>0.106513670372059</v>
      </c>
      <c r="L564" s="12" t="n">
        <f aca="false">(sd_g/sd_k/$I559+sd_g4/sd_k/$J559)/2+dr_jv_A/100*1*(sd_g/sd_k)/(kx_g/kx_fxg/kx_k+sd_g/sd_k)</f>
        <v>0.106513670372059</v>
      </c>
      <c r="M564" s="12" t="n">
        <f aca="false">(sd_g/sd_k/$I559+sd_g4/sd_k/$J559)/2+dr_jv_A/100*1*(sd_g/sd_k)/(kx_g/kx_fxg/kx_k+sd_g/sd_k)</f>
        <v>0.106513670372059</v>
      </c>
      <c r="N564" s="12" t="n">
        <f aca="false">(sd_g/sd_k/$I559+sd_g4/sd_k/$J559)/2+dr_jv_A/100*1*(sd_g/sd_k)/(kx_g/kx_fxg/kx_k+sd_g/sd_k)</f>
        <v>0.106513670372059</v>
      </c>
      <c r="O564" s="12" t="n">
        <f aca="false">(sd_g/sd_k/$I559+sd_g4/sd_k/$J559)/2+dr_jv_A/100*2*(sd_g/sd_k)/(kx_g/kx_fxg/kx_k+sd_g/sd_k)</f>
        <v>0.106513670372059</v>
      </c>
      <c r="P564" s="12" t="n">
        <f aca="false">(sd_g/sd_k/$I559+sd_g4/sd_k/$J559)/2+dr_jv_A/100*2*(sd_g/sd_k)/(kx_g/kx_fxg/kx_k+sd_g/sd_k)</f>
        <v>0.106513670372059</v>
      </c>
      <c r="Q564" s="12" t="n">
        <f aca="false">(sd_g/sd_k/$I559+sd_g4/sd_k/$J559)/2+dr_jv_A/100*2*(sd_g/sd_k)/(kx_g/kx_fxg/kx_k+sd_g/sd_k)</f>
        <v>0.106513670372059</v>
      </c>
      <c r="R564" s="12" t="n">
        <f aca="false">(sd_g/sd_k/$I559+sd_g4/sd_k/$J559)/2+dr_jv_A/100*2*(sd_g/sd_k)/(kx_g/kx_fxg/kx_k+sd_g/sd_k)</f>
        <v>0.106513670372059</v>
      </c>
      <c r="S564" s="12" t="n">
        <f aca="false">(sd_g/sd_k/$I559+sd_g4/sd_k/$J559)/2+dr_jv_A/100*3*(sd_g/sd_k)/(kx_g/kx_fxg/kx_k+sd_g/sd_k)</f>
        <v>0.106513670372059</v>
      </c>
      <c r="T564" s="12" t="n">
        <f aca="false">(sd_g/sd_k/$I559+sd_g4/sd_k/$J559)/2+dr_jv_A/100*3*(sd_g/sd_k)/(kx_g/kx_fxg/kx_k+sd_g/sd_k)</f>
        <v>0.106513670372059</v>
      </c>
      <c r="U564" s="12" t="n">
        <f aca="false">(sd_g/sd_k/$I559+sd_g4/sd_k/$J559)/2+dr_jv_A/100*3*(sd_g/sd_k)/(kx_g/kx_fxg/kx_k+sd_g/sd_k)</f>
        <v>0.106513670372059</v>
      </c>
      <c r="V564" s="12" t="n">
        <f aca="false">(sd_g/sd_k/$I559+sd_g4/sd_k/$J559)/2+dr_jv_A/100*3*(sd_g/sd_k)/(kx_g/kx_fxg/kx_k+sd_g/sd_k)</f>
        <v>0.106513670372059</v>
      </c>
      <c r="W564" s="12" t="n">
        <f aca="false">(sd_g/sd_k/$I559+sd_g4/sd_k/$J559)/2+dr_jv_A/100*4*(sd_g/sd_k)/(kx_g/kx_fxg/kx_k+sd_g/sd_k)</f>
        <v>0.106513670372059</v>
      </c>
      <c r="X564" s="12" t="n">
        <f aca="false">(sd_g/sd_k/$I559+sd_g4/sd_k/$J559)/2+dr_jv_A/100*4*(sd_g/sd_k)/(kx_g/kx_fxg/kx_k+sd_g/sd_k)</f>
        <v>0.106513670372059</v>
      </c>
      <c r="Y564" s="12" t="n">
        <f aca="false">(sd_g/sd_k/$I559+sd_g4/sd_k/$J559)/2+dr_jv_A/100*4*(sd_g/sd_k)/(kx_g/kx_fxg/kx_k+sd_g/sd_k)</f>
        <v>0.106513670372059</v>
      </c>
      <c r="Z564" s="12" t="n">
        <f aca="false">(sd_g/sd_k/$I559+sd_g4/sd_k/$J559)/2+dr_jv_A/100*4*(sd_g/sd_k)/(kx_g/kx_fxg/kx_k+sd_g/sd_k)</f>
        <v>0.106513670372059</v>
      </c>
      <c r="AB564" s="8" t="s">
        <v>544</v>
      </c>
    </row>
    <row r="565" customFormat="false" ht="15" hidden="false" customHeight="false" outlineLevel="0" collapsed="false">
      <c r="A565" s="5" t="s">
        <v>459</v>
      </c>
      <c r="B565" s="0" t="s">
        <v>25</v>
      </c>
      <c r="C565" s="12" t="n">
        <f aca="false">1-t5_0</f>
        <v>0.07</v>
      </c>
      <c r="D565" s="12" t="n">
        <f aca="false">1-t5_1</f>
        <v>0.0712076923076923</v>
      </c>
      <c r="E565" s="12" t="n">
        <f aca="false">1-t5_2</f>
        <v>0.09</v>
      </c>
      <c r="F565" s="12" t="n">
        <f aca="false">1-t5_3</f>
        <v>0.101454545454545</v>
      </c>
      <c r="G565" s="12" t="n">
        <f aca="false">1-t5_4</f>
        <v>0.115</v>
      </c>
      <c r="H565" s="12" t="n">
        <f aca="false">1-t5_5</f>
        <v>0.124938855160451</v>
      </c>
      <c r="I565" s="12" t="n">
        <f aca="false">1-I560-I561-I562-I563-I564</f>
        <v>0.127130794252464</v>
      </c>
      <c r="J565" s="12" t="n">
        <f aca="false">1-J560-J561-J562-J563-J564</f>
        <v>0.133977742381572</v>
      </c>
      <c r="K565" s="12" t="n">
        <f aca="false">1-K560-K561-K562-K563-K564</f>
        <v>0.136977742381572</v>
      </c>
      <c r="L565" s="12" t="n">
        <f aca="false">1-L560-L561-L562-L563-L564</f>
        <v>0.136977742381572</v>
      </c>
      <c r="M565" s="12" t="n">
        <f aca="false">1-M560-M561-M562-M563-M564</f>
        <v>0.136977742381572</v>
      </c>
      <c r="N565" s="12" t="n">
        <f aca="false">1-N560-N561-N562-N563-N564</f>
        <v>0.136977742381572</v>
      </c>
      <c r="O565" s="12" t="n">
        <f aca="false">1-O560-O561-O562-O563-O564</f>
        <v>0.139977742381572</v>
      </c>
      <c r="P565" s="12" t="n">
        <f aca="false">1-P560-P561-P562-P563-P564</f>
        <v>0.139977742381572</v>
      </c>
      <c r="Q565" s="12" t="n">
        <f aca="false">1-Q560-Q561-Q562-Q563-Q564</f>
        <v>0.139977742381572</v>
      </c>
      <c r="R565" s="12" t="n">
        <f aca="false">1-R560-R561-R562-R563-R564</f>
        <v>0.139977742381572</v>
      </c>
      <c r="S565" s="12" t="n">
        <f aca="false">1-S560-S561-S562-S563-S564</f>
        <v>0.142977742381572</v>
      </c>
      <c r="T565" s="12" t="n">
        <f aca="false">1-T560-T561-T562-T563-T564</f>
        <v>0.142977742381572</v>
      </c>
      <c r="U565" s="12" t="n">
        <f aca="false">1-U560-U561-U562-U563-U564</f>
        <v>0.142977742381572</v>
      </c>
      <c r="V565" s="12" t="n">
        <f aca="false">1-V560-V561-V562-V563-V564</f>
        <v>0.142977742381572</v>
      </c>
      <c r="W565" s="12" t="n">
        <f aca="false">1-W560-W561-W562-W563-W564</f>
        <v>0.145977742381572</v>
      </c>
      <c r="X565" s="12" t="n">
        <f aca="false">1-X560-X561-X562-X563-X564</f>
        <v>0.145977742381572</v>
      </c>
      <c r="Y565" s="12" t="n">
        <f aca="false">1-Y560-Y561-Y562-Y563-Y564</f>
        <v>0.145977742381572</v>
      </c>
      <c r="Z565" s="12" t="n">
        <f aca="false">1-Z560-Z561-Z562-Z563-Z564</f>
        <v>0.145977742381572</v>
      </c>
      <c r="AB565" s="5" t="s">
        <v>545</v>
      </c>
    </row>
    <row r="566" customFormat="false" ht="17.15" hidden="false" customHeight="false" outlineLevel="0" collapsed="false">
      <c r="A566" s="5" t="s">
        <v>546</v>
      </c>
      <c r="B566" s="0" t="s">
        <v>285</v>
      </c>
      <c r="C566" s="19" t="n">
        <f aca="false">C559*C560</f>
        <v>4.2</v>
      </c>
      <c r="D566" s="19" t="n">
        <f aca="false">D559*D560</f>
        <v>5.2</v>
      </c>
      <c r="E566" s="19" t="n">
        <f aca="false">E559*E560</f>
        <v>6</v>
      </c>
      <c r="F566" s="19" t="n">
        <f aca="false">F559*F560</f>
        <v>6.6</v>
      </c>
      <c r="G566" s="19" t="n">
        <f aca="false">G559*G560</f>
        <v>13.51</v>
      </c>
      <c r="H566" s="19" t="n">
        <f aca="false">H559*H560</f>
        <v>23.06</v>
      </c>
      <c r="I566" s="19" t="n">
        <f aca="false">I559*I560</f>
        <v>30.7629206934451</v>
      </c>
      <c r="J566" s="19" t="n">
        <f aca="false">J559*J560</f>
        <v>34.877841715768</v>
      </c>
      <c r="K566" s="19" t="n">
        <f aca="false">K559*K560</f>
        <v>37.7866114830214</v>
      </c>
      <c r="L566" s="19" t="n">
        <f aca="false">L559*L560</f>
        <v>39.9544771249401</v>
      </c>
      <c r="M566" s="19" t="n">
        <f aca="false">M559*M560</f>
        <v>40.1343801598198</v>
      </c>
      <c r="N566" s="19" t="n">
        <f aca="false">N559*N560</f>
        <v>39.4663544390031</v>
      </c>
      <c r="O566" s="19" t="n">
        <f aca="false">O559*O560</f>
        <v>38.9678776088025</v>
      </c>
      <c r="P566" s="19" t="n">
        <f aca="false">P559*P560</f>
        <v>39.1433382817759</v>
      </c>
      <c r="Q566" s="19" t="n">
        <f aca="false">Q559*Q560</f>
        <v>39.3195890015687</v>
      </c>
      <c r="R566" s="19" t="n">
        <f aca="false">R559*R560</f>
        <v>39.4966333255248</v>
      </c>
      <c r="S566" s="19" t="n">
        <f aca="false">S559*S560</f>
        <v>39.2226624679034</v>
      </c>
      <c r="T566" s="19" t="n">
        <f aca="false">T559*T560</f>
        <v>39.9851530367208</v>
      </c>
      <c r="U566" s="19" t="n">
        <f aca="false">U559*U560</f>
        <v>40.762466461279</v>
      </c>
      <c r="V566" s="19" t="n">
        <f aca="false">V559*V560</f>
        <v>41.5548908986535</v>
      </c>
      <c r="W566" s="19" t="n">
        <f aca="false">W559*W560</f>
        <v>39.8622246244464</v>
      </c>
      <c r="X566" s="19" t="n">
        <f aca="false">X559*X560</f>
        <v>39.8939402421611</v>
      </c>
      <c r="Y566" s="19" t="n">
        <f aca="false">Y559*Y560</f>
        <v>39.9256810938013</v>
      </c>
      <c r="Z566" s="19" t="n">
        <f aca="false">Z559*Z560</f>
        <v>39.9574471994439</v>
      </c>
    </row>
    <row r="567" customFormat="false" ht="17.15" hidden="false" customHeight="false" outlineLevel="0" collapsed="false">
      <c r="A567" s="0" t="s">
        <v>547</v>
      </c>
      <c r="B567" s="0" t="s">
        <v>285</v>
      </c>
      <c r="C567" s="19" t="n">
        <f aca="false">C559*C561</f>
        <v>2.19</v>
      </c>
      <c r="D567" s="19" t="n">
        <f aca="false">D559*D561</f>
        <v>3.34</v>
      </c>
      <c r="E567" s="19" t="n">
        <f aca="false">E559*E561</f>
        <v>3.53</v>
      </c>
      <c r="F567" s="19" t="n">
        <f aca="false">F559*F561</f>
        <v>5.21</v>
      </c>
      <c r="G567" s="19" t="n">
        <f aca="false">G559*G561</f>
        <v>7.53</v>
      </c>
      <c r="H567" s="19" t="n">
        <f aca="false">H559*H561</f>
        <v>14.27</v>
      </c>
      <c r="I567" s="19" t="n">
        <f aca="false">I559*I561</f>
        <v>18.3383010969949</v>
      </c>
      <c r="J567" s="19" t="n">
        <f aca="false">J559*J561</f>
        <v>20.7912756194625</v>
      </c>
      <c r="K567" s="19" t="n">
        <f aca="false">K559*K561</f>
        <v>22.9094407104865</v>
      </c>
      <c r="L567" s="19" t="n">
        <f aca="false">L559*L561</f>
        <v>24.2237842687638</v>
      </c>
      <c r="M567" s="19" t="n">
        <f aca="false">M559*M561</f>
        <v>24.3328567086957</v>
      </c>
      <c r="N567" s="19" t="n">
        <f aca="false">N559*N561</f>
        <v>23.9278430003084</v>
      </c>
      <c r="O567" s="19" t="n">
        <f aca="false">O559*O561</f>
        <v>24.0355829054114</v>
      </c>
      <c r="P567" s="19" t="n">
        <f aca="false">P559*P561</f>
        <v>24.143807931014</v>
      </c>
      <c r="Q567" s="19" t="n">
        <f aca="false">Q559*Q561</f>
        <v>24.2525202614684</v>
      </c>
      <c r="R567" s="19" t="n">
        <f aca="false">R559*R561</f>
        <v>24.3617220909624</v>
      </c>
      <c r="S567" s="19" t="n">
        <f aca="false">S559*S561</f>
        <v>24.6199480175735</v>
      </c>
      <c r="T567" s="19" t="n">
        <f aca="false">T559*T561</f>
        <v>25.0985610689831</v>
      </c>
      <c r="U567" s="19" t="n">
        <f aca="false">U559*U561</f>
        <v>25.5864783826445</v>
      </c>
      <c r="V567" s="19" t="n">
        <f aca="false">V559*V561</f>
        <v>26.0838808338927</v>
      </c>
      <c r="W567" s="19" t="n">
        <f aca="false">W559*W561</f>
        <v>25.4711876185198</v>
      </c>
      <c r="X567" s="19" t="n">
        <f aca="false">X559*X561</f>
        <v>25.4914532824876</v>
      </c>
      <c r="Y567" s="19" t="n">
        <f aca="false">Y559*Y561</f>
        <v>25.5117350704439</v>
      </c>
      <c r="Z567" s="19" t="n">
        <f aca="false">Z559*Z561</f>
        <v>25.5320329952174</v>
      </c>
    </row>
    <row r="568" customFormat="false" ht="17.15" hidden="false" customHeight="false" outlineLevel="0" collapsed="false">
      <c r="A568" s="5" t="s">
        <v>548</v>
      </c>
      <c r="B568" s="0" t="s">
        <v>285</v>
      </c>
      <c r="C568" s="19" t="n">
        <f aca="false">C559*C562</f>
        <v>2.03</v>
      </c>
      <c r="D568" s="19" t="n">
        <f aca="false">D559*D562</f>
        <v>2.1</v>
      </c>
      <c r="E568" s="19" t="n">
        <f aca="false">E559*E562</f>
        <v>2.42</v>
      </c>
      <c r="F568" s="19" t="n">
        <f aca="false">F559*F562</f>
        <v>3.03</v>
      </c>
      <c r="G568" s="19" t="n">
        <f aca="false">G559*G562</f>
        <v>5.95</v>
      </c>
      <c r="H568" s="19" t="n">
        <f aca="false">H559*H562</f>
        <v>11.85</v>
      </c>
      <c r="I568" s="19" t="n">
        <f aca="false">I559*I562</f>
        <v>14.973475207638</v>
      </c>
      <c r="J568" s="19" t="n">
        <f aca="false">J559*J562</f>
        <v>16.976362661763</v>
      </c>
      <c r="K568" s="19" t="n">
        <f aca="false">K559*K562</f>
        <v>18.963673909528</v>
      </c>
      <c r="L568" s="19" t="n">
        <f aca="false">L559*L562</f>
        <v>20.0516438411925</v>
      </c>
      <c r="M568" s="19" t="n">
        <f aca="false">M559*M562</f>
        <v>20.1419303833008</v>
      </c>
      <c r="N568" s="19" t="n">
        <f aca="false">N559*N562</f>
        <v>19.8066734910961</v>
      </c>
      <c r="O568" s="19" t="n">
        <f aca="false">O559*O562</f>
        <v>20.1663298031157</v>
      </c>
      <c r="P568" s="19" t="n">
        <f aca="false">P559*P562</f>
        <v>20.2571327417356</v>
      </c>
      <c r="Q568" s="19" t="n">
        <f aca="false">Q559*Q562</f>
        <v>20.3483445387715</v>
      </c>
      <c r="R568" s="19" t="n">
        <f aca="false">R559*R562</f>
        <v>20.4399670351905</v>
      </c>
      <c r="S568" s="19" t="n">
        <f aca="false">S559*S562</f>
        <v>20.933672366686</v>
      </c>
      <c r="T568" s="19" t="n">
        <f aca="false">T559*T562</f>
        <v>21.3406240304945</v>
      </c>
      <c r="U568" s="19" t="n">
        <f aca="false">U559*U562</f>
        <v>21.7554868555065</v>
      </c>
      <c r="V568" s="19" t="n">
        <f aca="false">V559*V562</f>
        <v>22.1784146351015</v>
      </c>
      <c r="W568" s="19" t="n">
        <f aca="false">W559*W562</f>
        <v>21.9440859343206</v>
      </c>
      <c r="X568" s="19" t="n">
        <f aca="false">X559*X562</f>
        <v>21.9615453271956</v>
      </c>
      <c r="Y568" s="19" t="n">
        <f aca="false">Y559*Y562</f>
        <v>21.9790186113031</v>
      </c>
      <c r="Z568" s="19" t="n">
        <f aca="false">Z559*Z562</f>
        <v>21.9965057976954</v>
      </c>
    </row>
    <row r="569" customFormat="false" ht="17.15" hidden="false" customHeight="false" outlineLevel="0" collapsed="false">
      <c r="A569" s="0" t="s">
        <v>549</v>
      </c>
      <c r="B569" s="0" t="s">
        <v>285</v>
      </c>
      <c r="C569" s="19" t="n">
        <f aca="false">C559*C563</f>
        <v>1.92</v>
      </c>
      <c r="D569" s="19" t="n">
        <f aca="false">D559*D563</f>
        <v>2.14</v>
      </c>
      <c r="E569" s="19" t="n">
        <f aca="false">E559*E563</f>
        <v>2.84</v>
      </c>
      <c r="F569" s="19" t="n">
        <f aca="false">F559*F563</f>
        <v>3.31</v>
      </c>
      <c r="G569" s="19" t="n">
        <f aca="false">G559*G563</f>
        <v>5.96</v>
      </c>
      <c r="H569" s="19" t="n">
        <f aca="false">H559*H563</f>
        <v>10.72</v>
      </c>
      <c r="I569" s="19" t="n">
        <f aca="false">I559*I563</f>
        <v>14.9513168749304</v>
      </c>
      <c r="J569" s="19" t="n">
        <f aca="false">J559*J563</f>
        <v>16.2035648188888</v>
      </c>
      <c r="K569" s="19" t="n">
        <f aca="false">K559*K563</f>
        <v>17.8543449815733</v>
      </c>
      <c r="L569" s="19" t="n">
        <f aca="false">L559*L563</f>
        <v>18.8786713110699</v>
      </c>
      <c r="M569" s="19" t="n">
        <f aca="false">M559*M563</f>
        <v>18.9636763094518</v>
      </c>
      <c r="N569" s="19" t="n">
        <f aca="false">N559*N563</f>
        <v>18.6480311322868</v>
      </c>
      <c r="O569" s="19" t="n">
        <f aca="false">O559*O563</f>
        <v>18.7319976270738</v>
      </c>
      <c r="P569" s="19" t="n">
        <f aca="false">P559*P563</f>
        <v>18.8163421978194</v>
      </c>
      <c r="Q569" s="19" t="n">
        <f aca="false">Q559*Q563</f>
        <v>18.9010665468864</v>
      </c>
      <c r="R569" s="19" t="n">
        <f aca="false">R559*R563</f>
        <v>18.9861723843027</v>
      </c>
      <c r="S569" s="19" t="n">
        <f aca="false">S559*S563</f>
        <v>19.1874193215442</v>
      </c>
      <c r="T569" s="19" t="n">
        <f aca="false">T559*T563</f>
        <v>19.5604237366471</v>
      </c>
      <c r="U569" s="19" t="n">
        <f aca="false">U559*U563</f>
        <v>19.9406793766988</v>
      </c>
      <c r="V569" s="19" t="n">
        <f aca="false">V559*V563</f>
        <v>20.3283272058839</v>
      </c>
      <c r="W569" s="19" t="n">
        <f aca="false">W559*W563</f>
        <v>19.8508281620016</v>
      </c>
      <c r="X569" s="19" t="n">
        <f aca="false">X559*X563</f>
        <v>19.8666220943081</v>
      </c>
      <c r="Y569" s="19" t="n">
        <f aca="false">Y559*Y563</f>
        <v>19.8824285927552</v>
      </c>
      <c r="Z569" s="19" t="n">
        <f aca="false">Z559*Z563</f>
        <v>19.898247667341</v>
      </c>
    </row>
    <row r="570" customFormat="false" ht="17.15" hidden="false" customHeight="false" outlineLevel="0" collapsed="false">
      <c r="A570" s="0" t="s">
        <v>550</v>
      </c>
      <c r="B570" s="0" t="s">
        <v>285</v>
      </c>
      <c r="C570" s="19" t="n">
        <f aca="false">C559*C564</f>
        <v>1.69</v>
      </c>
      <c r="D570" s="19" t="n">
        <f aca="false">D559*D564</f>
        <v>1.9</v>
      </c>
      <c r="E570" s="19" t="n">
        <f aca="false">E559*E564</f>
        <v>2.31</v>
      </c>
      <c r="F570" s="19" t="n">
        <f aca="false">F559*F564</f>
        <v>3.03</v>
      </c>
      <c r="G570" s="19" t="n">
        <f aca="false">G559*G564</f>
        <v>5.95</v>
      </c>
      <c r="H570" s="19" t="n">
        <f aca="false">H559*H564</f>
        <v>8.97</v>
      </c>
      <c r="I570" s="19" t="n">
        <f aca="false">I559*I564</f>
        <v>11.0371522587842</v>
      </c>
      <c r="J570" s="19" t="n">
        <f aca="false">J559*J564</f>
        <v>12.4602118149868</v>
      </c>
      <c r="K570" s="19" t="n">
        <f aca="false">K559*K564</f>
        <v>13.7296281882931</v>
      </c>
      <c r="L570" s="19" t="n">
        <f aca="false">L559*L564</f>
        <v>14.5173143040247</v>
      </c>
      <c r="M570" s="19" t="n">
        <f aca="false">M559*M564</f>
        <v>14.5826814190399</v>
      </c>
      <c r="N570" s="19" t="n">
        <f aca="false">N559*N564</f>
        <v>14.3399566970533</v>
      </c>
      <c r="O570" s="19" t="n">
        <f aca="false">O559*O564</f>
        <v>14.4045252239239</v>
      </c>
      <c r="P570" s="19" t="n">
        <f aca="false">P559*P564</f>
        <v>14.4693844835178</v>
      </c>
      <c r="Q570" s="19" t="n">
        <f aca="false">Q559*Q564</f>
        <v>14.5345357849173</v>
      </c>
      <c r="R570" s="19" t="n">
        <f aca="false">R559*R564</f>
        <v>14.5999804430991</v>
      </c>
      <c r="S570" s="19" t="n">
        <f aca="false">S559*S564</f>
        <v>14.7547352450932</v>
      </c>
      <c r="T570" s="19" t="n">
        <f aca="false">T559*T564</f>
        <v>15.0415680545433</v>
      </c>
      <c r="U570" s="19" t="n">
        <f aca="false">U559*U564</f>
        <v>15.3339769085113</v>
      </c>
      <c r="V570" s="19" t="n">
        <f aca="false">V559*V564</f>
        <v>15.6320702055885</v>
      </c>
      <c r="W570" s="19" t="n">
        <f aca="false">W559*W564</f>
        <v>15.2648831517069</v>
      </c>
      <c r="X570" s="19" t="n">
        <f aca="false">X559*X564</f>
        <v>15.2770283644505</v>
      </c>
      <c r="Y570" s="19" t="n">
        <f aca="false">Y559*Y564</f>
        <v>15.2891832403007</v>
      </c>
      <c r="Z570" s="19" t="n">
        <f aca="false">Z559*Z564</f>
        <v>15.3013477869457</v>
      </c>
    </row>
    <row r="571" customFormat="false" ht="17.15" hidden="false" customHeight="false" outlineLevel="0" collapsed="false">
      <c r="A571" s="5" t="s">
        <v>551</v>
      </c>
      <c r="B571" s="0" t="s">
        <v>285</v>
      </c>
      <c r="C571" s="19" t="n">
        <f aca="false">C559*C565</f>
        <v>0.905483870967741</v>
      </c>
      <c r="D571" s="19" t="n">
        <f aca="false">D559*D565</f>
        <v>1.12547112462006</v>
      </c>
      <c r="E571" s="19" t="n">
        <f aca="false">E559*E565</f>
        <v>1.69120879120879</v>
      </c>
      <c r="F571" s="19" t="n">
        <f aca="false">F559*F565</f>
        <v>2.39142857142857</v>
      </c>
      <c r="G571" s="19" t="n">
        <f aca="false">G559*G565</f>
        <v>5.05480225988701</v>
      </c>
      <c r="H571" s="19" t="n">
        <f aca="false">H559*H565</f>
        <v>9.83307167235495</v>
      </c>
      <c r="I571" s="19" t="n">
        <f aca="false">I559*I565</f>
        <v>13.1174313033769</v>
      </c>
      <c r="J571" s="19" t="n">
        <f aca="false">J559*J565</f>
        <v>15.6730215261275</v>
      </c>
      <c r="K571" s="19" t="n">
        <f aca="false">K559*K565</f>
        <v>17.6564516686126</v>
      </c>
      <c r="L571" s="19" t="n">
        <f aca="false">L559*L565</f>
        <v>18.6694246087182</v>
      </c>
      <c r="M571" s="19" t="n">
        <f aca="false">M559*M565</f>
        <v>18.7534874319173</v>
      </c>
      <c r="N571" s="19" t="n">
        <f aca="false">N559*N565</f>
        <v>18.4413407908169</v>
      </c>
      <c r="O571" s="19" t="n">
        <f aca="false">O559*O565</f>
        <v>18.9300858179065</v>
      </c>
      <c r="P571" s="19" t="n">
        <f aca="false">P559*P565</f>
        <v>19.0153223204022</v>
      </c>
      <c r="Q571" s="19" t="n">
        <f aca="false">Q559*Q565</f>
        <v>19.1009426173206</v>
      </c>
      <c r="R571" s="19" t="n">
        <f aca="false">R559*R565</f>
        <v>19.1869484367729</v>
      </c>
      <c r="S571" s="19" t="n">
        <f aca="false">S559*S565</f>
        <v>19.805896533396</v>
      </c>
      <c r="T571" s="19" t="n">
        <f aca="false">T559*T565</f>
        <v>20.1909241771987</v>
      </c>
      <c r="U571" s="19" t="n">
        <f aca="false">U559*U565</f>
        <v>20.5834367781324</v>
      </c>
      <c r="V571" s="19" t="n">
        <f aca="false">V559*V565</f>
        <v>20.9835798441473</v>
      </c>
      <c r="W571" s="19" t="n">
        <f aca="false">W559*W565</f>
        <v>20.9206308675775</v>
      </c>
      <c r="X571" s="19" t="n">
        <f aca="false">X559*X565</f>
        <v>20.9372759679751</v>
      </c>
      <c r="Y571" s="19" t="n">
        <f aca="false">Y559*Y565</f>
        <v>20.9539343117289</v>
      </c>
      <c r="Z571" s="19" t="n">
        <f aca="false">Z559*Z565</f>
        <v>20.9706059093758</v>
      </c>
    </row>
    <row r="572" customFormat="false" ht="17.15" hidden="false" customHeight="false" outlineLevel="0" collapsed="false">
      <c r="A572" s="0" t="s">
        <v>552</v>
      </c>
      <c r="B572" s="0" t="s">
        <v>25</v>
      </c>
      <c r="C572" s="12" t="n">
        <f aca="false">C563+C564</f>
        <v>0.279077306733167</v>
      </c>
      <c r="D572" s="12" t="n">
        <f aca="false">D563+D564</f>
        <v>0.255607692307692</v>
      </c>
      <c r="E572" s="12" t="n">
        <f aca="false">E563+E564</f>
        <v>0.27406432748538</v>
      </c>
      <c r="F572" s="12" t="n">
        <f aca="false">F563+F564</f>
        <v>0.268969696969697</v>
      </c>
      <c r="G572" s="12" t="n">
        <f aca="false">G563+G564</f>
        <v>0.270960154241645</v>
      </c>
      <c r="H572" s="12" t="n">
        <f aca="false">H563+H564</f>
        <v>0.250180832610581</v>
      </c>
      <c r="I572" s="12" t="n">
        <f aca="false">I563+I564</f>
        <v>0.251873605888391</v>
      </c>
      <c r="J572" s="12" t="n">
        <f aca="false">J563+J564</f>
        <v>0.245026657759283</v>
      </c>
      <c r="K572" s="12" t="n">
        <f aca="false">K563+K564</f>
        <v>0.245026657759283</v>
      </c>
      <c r="L572" s="12" t="n">
        <f aca="false">L563+L564</f>
        <v>0.245026657759283</v>
      </c>
      <c r="M572" s="12" t="n">
        <f aca="false">M563+M564</f>
        <v>0.245026657759283</v>
      </c>
      <c r="N572" s="12" t="n">
        <f aca="false">N563+N564</f>
        <v>0.245026657759283</v>
      </c>
      <c r="O572" s="12" t="n">
        <f aca="false">O563+O564</f>
        <v>0.245026657759283</v>
      </c>
      <c r="P572" s="12" t="n">
        <f aca="false">P563+P564</f>
        <v>0.245026657759283</v>
      </c>
      <c r="Q572" s="12" t="n">
        <f aca="false">Q563+Q564</f>
        <v>0.245026657759283</v>
      </c>
      <c r="R572" s="12" t="n">
        <f aca="false">R563+R564</f>
        <v>0.245026657759283</v>
      </c>
      <c r="S572" s="12" t="n">
        <f aca="false">S563+S564</f>
        <v>0.245026657759283</v>
      </c>
      <c r="T572" s="12" t="n">
        <f aca="false">T563+T564</f>
        <v>0.245026657759283</v>
      </c>
      <c r="U572" s="12" t="n">
        <f aca="false">U563+U564</f>
        <v>0.245026657759283</v>
      </c>
      <c r="V572" s="12" t="n">
        <f aca="false">V563+V564</f>
        <v>0.245026657759283</v>
      </c>
      <c r="W572" s="12" t="n">
        <f aca="false">W563+W564</f>
        <v>0.245026657759283</v>
      </c>
      <c r="X572" s="12" t="n">
        <f aca="false">X563+X564</f>
        <v>0.245026657759283</v>
      </c>
      <c r="Y572" s="12" t="n">
        <f aca="false">Y563+Y564</f>
        <v>0.245026657759283</v>
      </c>
      <c r="Z572" s="12" t="n">
        <f aca="false">Z563+Z564</f>
        <v>0.245026657759283</v>
      </c>
    </row>
    <row r="573" customFormat="false" ht="17.15" hidden="false" customHeight="false" outlineLevel="0" collapsed="false">
      <c r="A573" s="0" t="s">
        <v>553</v>
      </c>
      <c r="B573" s="0" t="s">
        <v>222</v>
      </c>
      <c r="C573" s="19" t="n">
        <f aca="false">C558*C563</f>
        <v>35.5454438457651</v>
      </c>
      <c r="D573" s="19" t="n">
        <f aca="false">D558*D563</f>
        <v>33.3561735612603</v>
      </c>
      <c r="E573" s="19" t="n">
        <f aca="false">E558*E563</f>
        <v>38.3034616573653</v>
      </c>
      <c r="F573" s="19" t="n">
        <f aca="false">F558*F563</f>
        <v>36.6117929947199</v>
      </c>
      <c r="G573" s="19" t="n">
        <f aca="false">G558*G563</f>
        <v>38.1333152375469</v>
      </c>
      <c r="H573" s="19" t="n">
        <f aca="false">H558*H563</f>
        <v>40.1757580440862</v>
      </c>
      <c r="I573" s="19" t="n">
        <f aca="false">I558*I563</f>
        <v>44.8269021796765</v>
      </c>
      <c r="J573" s="19" t="n">
        <f aca="false">J558*J563</f>
        <v>44.9411476117569</v>
      </c>
      <c r="K573" s="19" t="n">
        <f aca="false">K558*K563</f>
        <v>48.0773237904583</v>
      </c>
      <c r="L573" s="19" t="n">
        <f aca="false">L558*L563</f>
        <v>50.835580599158</v>
      </c>
      <c r="M573" s="19" t="n">
        <f aca="false">M558*M563</f>
        <v>53.7520820858664</v>
      </c>
      <c r="N573" s="19" t="n">
        <f aca="false">N558*N563</f>
        <v>56.8359069476934</v>
      </c>
      <c r="O573" s="19" t="n">
        <f aca="false">O558*O563</f>
        <v>60.0966547380729</v>
      </c>
      <c r="P573" s="19" t="n">
        <f aca="false">P558*P563</f>
        <v>63.5444757489475</v>
      </c>
      <c r="Q573" s="19" t="n">
        <f aca="false">Q558*Q563</f>
        <v>67.190102607333</v>
      </c>
      <c r="R573" s="19" t="n">
        <f aca="false">R558*R563</f>
        <v>71.0448836846168</v>
      </c>
      <c r="S573" s="19" t="n">
        <f aca="false">S558*S563</f>
        <v>74.0184898623123</v>
      </c>
      <c r="T573" s="19" t="n">
        <f aca="false">T558*T563</f>
        <v>77.7911475249602</v>
      </c>
      <c r="U573" s="19" t="n">
        <f aca="false">U558*U563</f>
        <v>81.7560942476254</v>
      </c>
      <c r="V573" s="19" t="n">
        <f aca="false">V558*V563</f>
        <v>85.9231308354458</v>
      </c>
      <c r="W573" s="19" t="n">
        <f aca="false">W558*W563</f>
        <v>86.6296206566984</v>
      </c>
      <c r="X573" s="19" t="n">
        <f aca="false">X558*X563</f>
        <v>89.5140373099359</v>
      </c>
      <c r="Y573" s="19" t="n">
        <f aca="false">Y558*Y563</f>
        <v>92.4944933936408</v>
      </c>
      <c r="Z573" s="19" t="n">
        <f aca="false">Z558*Z563</f>
        <v>95.5741866331466</v>
      </c>
      <c r="AB573" s="5" t="s">
        <v>554</v>
      </c>
    </row>
    <row r="574" customFormat="false" ht="17.15" hidden="false" customHeight="false" outlineLevel="0" collapsed="false">
      <c r="A574" s="0" t="s">
        <v>555</v>
      </c>
      <c r="B574" s="0" t="s">
        <v>222</v>
      </c>
      <c r="C574" s="19" t="n">
        <f aca="false">C558*C564</f>
        <v>31.2873958850745</v>
      </c>
      <c r="D574" s="19" t="n">
        <f aca="false">D558*D564</f>
        <v>29.6152942833619</v>
      </c>
      <c r="E574" s="19" t="n">
        <f aca="false">E558*E564</f>
        <v>31.1552804325753</v>
      </c>
      <c r="F574" s="19" t="n">
        <f aca="false">F558*F564</f>
        <v>33.5147228924475</v>
      </c>
      <c r="G574" s="19" t="n">
        <f aca="false">G558*G564</f>
        <v>38.0693331650007</v>
      </c>
      <c r="H574" s="19" t="n">
        <f aca="false">H558*H564</f>
        <v>33.6172154529341</v>
      </c>
      <c r="I574" s="19" t="n">
        <f aca="false">I558*I564</f>
        <v>33.0914894510934</v>
      </c>
      <c r="J574" s="19" t="n">
        <f aca="false">J558*J564</f>
        <v>34.5588285485368</v>
      </c>
      <c r="K574" s="19" t="n">
        <f aca="false">K558*K564</f>
        <v>36.9704842497676</v>
      </c>
      <c r="L574" s="19" t="n">
        <f aca="false">L558*L564</f>
        <v>39.0915276411862</v>
      </c>
      <c r="M574" s="19" t="n">
        <f aca="false">M558*M564</f>
        <v>41.3342579717828</v>
      </c>
      <c r="N574" s="19" t="n">
        <f aca="false">N558*N564</f>
        <v>43.7056565750022</v>
      </c>
      <c r="O574" s="19" t="n">
        <f aca="false">O558*O564</f>
        <v>46.2131053122095</v>
      </c>
      <c r="P574" s="19" t="n">
        <f aca="false">P558*P564</f>
        <v>48.8644095514828</v>
      </c>
      <c r="Q574" s="19" t="n">
        <f aca="false">Q558*Q564</f>
        <v>51.6678224647285</v>
      </c>
      <c r="R574" s="19" t="n">
        <f aca="false">R558*R564</f>
        <v>54.6320707187528</v>
      </c>
      <c r="S574" s="19" t="n">
        <f aca="false">S558*S564</f>
        <v>56.9187133953845</v>
      </c>
      <c r="T574" s="19" t="n">
        <f aca="false">T558*T564</f>
        <v>59.8198104136917</v>
      </c>
      <c r="U574" s="19" t="n">
        <f aca="false">U558*U564</f>
        <v>62.8687738085834</v>
      </c>
      <c r="V574" s="19" t="n">
        <f aca="false">V558*V564</f>
        <v>66.0731401998922</v>
      </c>
      <c r="W574" s="19" t="n">
        <f aca="false">W558*W564</f>
        <v>66.6164165046025</v>
      </c>
      <c r="X574" s="19" t="n">
        <f aca="false">X558*X564</f>
        <v>68.834474250767</v>
      </c>
      <c r="Y574" s="19" t="n">
        <f aca="false">Y558*Y564</f>
        <v>71.1263843658139</v>
      </c>
      <c r="Z574" s="19" t="n">
        <f aca="false">Z558*Z564</f>
        <v>73.4946058354927</v>
      </c>
    </row>
    <row r="575" customFormat="false" ht="17.15" hidden="false" customHeight="false" outlineLevel="0" collapsed="false">
      <c r="A575" s="5" t="s">
        <v>556</v>
      </c>
      <c r="B575" s="0" t="s">
        <v>557</v>
      </c>
      <c r="C575" s="17" t="n">
        <f aca="false">ABS(SUM(C560:C565)-1)+ABS(SUM(I560:I565)-1)+ABS(SUM(Z560:Z565)-1)+ABS(H570-rv_sd_5)</f>
        <v>0</v>
      </c>
    </row>
    <row r="600" customFormat="false" ht="17.15" hidden="false" customHeight="false" outlineLevel="0" collapsed="false">
      <c r="A600" s="3" t="s">
        <v>702</v>
      </c>
    </row>
    <row r="601" customFormat="false" ht="17.15" hidden="false" customHeight="false" outlineLevel="0" collapsed="false">
      <c r="A601" s="9" t="s">
        <v>508</v>
      </c>
      <c r="B601" s="6" t="s">
        <v>15</v>
      </c>
      <c r="C601" s="9" t="s">
        <v>427</v>
      </c>
      <c r="D601" s="9" t="s">
        <v>428</v>
      </c>
      <c r="E601" s="9" t="s">
        <v>429</v>
      </c>
      <c r="F601" s="9" t="s">
        <v>430</v>
      </c>
      <c r="G601" s="9" t="s">
        <v>431</v>
      </c>
      <c r="H601" s="9" t="s">
        <v>432</v>
      </c>
      <c r="I601" s="9" t="s">
        <v>433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6" t="s">
        <v>434</v>
      </c>
    </row>
    <row r="602" customFormat="false" ht="17.15" hidden="false" customHeight="false" outlineLevel="0" collapsed="false">
      <c r="A602" s="5" t="s">
        <v>509</v>
      </c>
      <c r="B602" s="5" t="s">
        <v>168</v>
      </c>
      <c r="E602" s="10" t="n">
        <f aca="false">(u_26)*1</f>
        <v>15.2</v>
      </c>
      <c r="F602" s="10" t="n">
        <f aca="false">(u_27)*1</f>
        <v>23.7</v>
      </c>
      <c r="G602" s="10" t="n">
        <f aca="false">(u_28)*um28_A</f>
        <v>26.5</v>
      </c>
      <c r="H602" s="10" t="n">
        <f aca="false">(u_28*(1+g_u29_lo))*um29_A</f>
        <v>26.5</v>
      </c>
      <c r="I602" s="10" t="n">
        <f aca="false">(u_28*(1+g_u29_lo)*(1+g_u30))*um29_A</f>
        <v>27.825</v>
      </c>
      <c r="AB602" s="8" t="s">
        <v>510</v>
      </c>
    </row>
    <row r="603" customFormat="false" ht="17.15" hidden="false" customHeight="false" outlineLevel="0" collapsed="false">
      <c r="A603" s="5" t="s">
        <v>511</v>
      </c>
      <c r="B603" s="0" t="s">
        <v>512</v>
      </c>
      <c r="E603" s="18" t="n">
        <f aca="false">tb_26</f>
        <v>30</v>
      </c>
      <c r="F603" s="18" t="n">
        <f aca="false">tb_27</f>
        <v>34</v>
      </c>
      <c r="G603" s="18" t="n">
        <f aca="false">tb_28</f>
        <v>40</v>
      </c>
      <c r="H603" s="18" t="n">
        <f aca="false">tb_29</f>
        <v>46</v>
      </c>
      <c r="I603" s="18" t="n">
        <f aca="false">tb_30</f>
        <v>52</v>
      </c>
    </row>
    <row r="604" customFormat="false" ht="17.15" hidden="false" customHeight="false" outlineLevel="0" collapsed="false">
      <c r="A604" s="5" t="s">
        <v>513</v>
      </c>
      <c r="B604" s="0" t="s">
        <v>222</v>
      </c>
      <c r="D604" s="10" t="n">
        <f aca="false">bits25*sh_essd25*ai25</f>
        <v>165</v>
      </c>
      <c r="E604" s="10" t="n">
        <f aca="false">E602*E603</f>
        <v>456</v>
      </c>
      <c r="F604" s="10" t="n">
        <f aca="false">F602*F603</f>
        <v>805.8</v>
      </c>
      <c r="G604" s="10" t="n">
        <f aca="false">G602*G603</f>
        <v>1060</v>
      </c>
      <c r="H604" s="10" t="n">
        <f aca="false">H602*H603</f>
        <v>1219</v>
      </c>
      <c r="I604" s="10" t="n">
        <f aca="false">I602*I603</f>
        <v>1446.9</v>
      </c>
      <c r="AB604" s="5" t="s">
        <v>514</v>
      </c>
    </row>
    <row r="605" customFormat="false" ht="17.15" hidden="false" customHeight="false" outlineLevel="0" collapsed="false">
      <c r="A605" s="5" t="s">
        <v>515</v>
      </c>
      <c r="B605" s="0" t="s">
        <v>222</v>
      </c>
      <c r="D605" s="10" t="n">
        <f aca="false">bits25*sh_essd25*(1-ai25)</f>
        <v>135</v>
      </c>
      <c r="E605" s="10" t="n">
        <f aca="false">D605*(1+g_nai)</f>
        <v>148.5</v>
      </c>
      <c r="F605" s="10" t="n">
        <f aca="false">E605*(1+g_nai)</f>
        <v>163.35</v>
      </c>
      <c r="G605" s="10" t="n">
        <f aca="false">F605*(1+g_nai)</f>
        <v>179.685</v>
      </c>
      <c r="H605" s="10" t="n">
        <f aca="false">G605*(1+g_nai)</f>
        <v>197.6535</v>
      </c>
      <c r="I605" s="10" t="n">
        <f aca="false">H605*(1+g_nai)</f>
        <v>217.41885</v>
      </c>
    </row>
    <row r="606" customFormat="false" ht="15" hidden="false" customHeight="false" outlineLevel="0" collapsed="false">
      <c r="A606" s="5" t="s">
        <v>516</v>
      </c>
      <c r="B606" s="0" t="s">
        <v>222</v>
      </c>
      <c r="D606" s="10" t="n">
        <f aca="false">bits25*sh_mob25</f>
        <v>320</v>
      </c>
      <c r="E606" s="10" t="n">
        <f aca="false">D606*(1+g_mob_26)</f>
        <v>304</v>
      </c>
      <c r="F606" s="10" t="n">
        <f aca="false">E606*(1+g_mob_27)</f>
        <v>313.12</v>
      </c>
      <c r="G606" s="10" t="n">
        <f aca="false">F606*(1+g_mob_28)</f>
        <v>338.1696</v>
      </c>
      <c r="H606" s="10" t="n">
        <f aca="false">G606*(1+g_mob_28)</f>
        <v>365.223168</v>
      </c>
      <c r="I606" s="10" t="n">
        <f aca="false">H606*(1+g_mob_28)</f>
        <v>394.44102144</v>
      </c>
    </row>
    <row r="607" customFormat="false" ht="17.15" hidden="false" customHeight="false" outlineLevel="0" collapsed="false">
      <c r="A607" s="5" t="s">
        <v>517</v>
      </c>
      <c r="B607" s="0" t="s">
        <v>222</v>
      </c>
      <c r="D607" s="10" t="n">
        <f aca="false">bits25*sh_pc25</f>
        <v>230</v>
      </c>
      <c r="E607" s="10" t="n">
        <f aca="false">D607*(1+g_pc_26)</f>
        <v>218.5</v>
      </c>
      <c r="F607" s="10" t="n">
        <f aca="false">E607*(1+g_pc_27)</f>
        <v>218.5</v>
      </c>
      <c r="G607" s="10" t="n">
        <f aca="false">F607*(1+g_pc_28)</f>
        <v>231.61</v>
      </c>
      <c r="H607" s="10" t="n">
        <f aca="false">G607*(1+g_pc_28)</f>
        <v>245.5066</v>
      </c>
      <c r="I607" s="10" t="n">
        <f aca="false">H607*(1+g_pc_28)</f>
        <v>260.236996</v>
      </c>
    </row>
    <row r="608" customFormat="false" ht="15" hidden="false" customHeight="false" outlineLevel="0" collapsed="false">
      <c r="A608" s="5" t="s">
        <v>518</v>
      </c>
      <c r="B608" s="0" t="s">
        <v>222</v>
      </c>
      <c r="D608" s="10" t="n">
        <f aca="false">bits25*(1-sh_essd25-sh_mob25-sh_pc25)</f>
        <v>150</v>
      </c>
      <c r="E608" s="10" t="n">
        <f aca="false">D608*(1+g_con_26)</f>
        <v>135</v>
      </c>
      <c r="F608" s="10" t="n">
        <f aca="false">E608*(1+g_con_27)</f>
        <v>135</v>
      </c>
      <c r="G608" s="10" t="n">
        <f aca="false">F608*(1+g_con_28)</f>
        <v>141.75</v>
      </c>
      <c r="H608" s="10" t="n">
        <f aca="false">G608*(1+g_con_28)</f>
        <v>148.8375</v>
      </c>
      <c r="I608" s="10" t="n">
        <f aca="false">H608*(1+g_con_28)</f>
        <v>156.279375</v>
      </c>
    </row>
    <row r="609" customFormat="false" ht="15" hidden="false" customHeight="false" outlineLevel="0" collapsed="false">
      <c r="A609" s="5" t="s">
        <v>442</v>
      </c>
      <c r="B609" s="0" t="s">
        <v>222</v>
      </c>
      <c r="D609" s="10" t="n">
        <f aca="false">SUM(D604:D608)</f>
        <v>1000</v>
      </c>
      <c r="E609" s="10" t="n">
        <f aca="false">SUM(E604:E608)</f>
        <v>1262</v>
      </c>
      <c r="F609" s="10" t="n">
        <f aca="false">SUM(F604:F608)</f>
        <v>1635.77</v>
      </c>
      <c r="G609" s="10" t="n">
        <f aca="false">SUM(G604:G608)</f>
        <v>1951.2146</v>
      </c>
      <c r="H609" s="10" t="n">
        <f aca="false">SUM(H604:H608)</f>
        <v>2176.220768</v>
      </c>
      <c r="I609" s="10" t="n">
        <f aca="false">SUM(I604:I608)</f>
        <v>2475.27624244</v>
      </c>
    </row>
    <row r="610" customFormat="false" ht="17.15" hidden="false" customHeight="false" outlineLevel="0" collapsed="false">
      <c r="A610" s="5" t="s">
        <v>519</v>
      </c>
      <c r="B610" s="0" t="s">
        <v>25</v>
      </c>
      <c r="D610" s="12" t="n">
        <f aca="false">(D604+D605)/D609</f>
        <v>0.3</v>
      </c>
      <c r="E610" s="12" t="n">
        <f aca="false">(E604+E605)/E609</f>
        <v>0.479001584786054</v>
      </c>
      <c r="F610" s="12" t="n">
        <f aca="false">(F604+F605)/F609</f>
        <v>0.592473269469424</v>
      </c>
      <c r="G610" s="12" t="n">
        <f aca="false">(G604+G605)/G609</f>
        <v>0.635340161968858</v>
      </c>
      <c r="H610" s="12" t="n">
        <f aca="false">(H604+H605)/H609</f>
        <v>0.650969571116601</v>
      </c>
      <c r="I610" s="12" t="n">
        <f aca="false">(I604+I605)/I609</f>
        <v>0.672377014518347</v>
      </c>
    </row>
    <row r="611" customFormat="false" ht="17.15" hidden="false" customHeight="false" outlineLevel="0" collapsed="false">
      <c r="A611" s="5" t="s">
        <v>520</v>
      </c>
      <c r="B611" s="0" t="s">
        <v>222</v>
      </c>
      <c r="D611" s="10" t="n">
        <f aca="false">bits25</f>
        <v>1000</v>
      </c>
      <c r="E611" s="10" t="n">
        <f aca="false">D611*(1+gs_26)</f>
        <v>1210</v>
      </c>
      <c r="F611" s="10" t="n">
        <f aca="false">E611*(1+gs_27)</f>
        <v>1512.5</v>
      </c>
      <c r="G611" s="10" t="n">
        <f aca="false">F611*(1+gs_28)</f>
        <v>1890.625</v>
      </c>
      <c r="H611" s="10" t="n">
        <f aca="false">G611*(1+gs_29)</f>
        <v>2306.5625</v>
      </c>
      <c r="I611" s="10" t="n">
        <f aca="false">H611*(1+gs_30)</f>
        <v>2767.875</v>
      </c>
      <c r="AB611" s="8" t="s">
        <v>521</v>
      </c>
    </row>
    <row r="612" customFormat="false" ht="17.15" hidden="false" customHeight="false" outlineLevel="0" collapsed="false">
      <c r="A612" s="5" t="s">
        <v>522</v>
      </c>
      <c r="B612" s="0" t="s">
        <v>25</v>
      </c>
      <c r="E612" s="12" t="n">
        <f aca="false">E609/E611-1</f>
        <v>0.0429752066115703</v>
      </c>
      <c r="F612" s="12" t="n">
        <f aca="false">F609/F611-1</f>
        <v>0.0815008264462809</v>
      </c>
      <c r="G612" s="12" t="n">
        <f aca="false">G609/G611-1</f>
        <v>0.0320473917355373</v>
      </c>
      <c r="H612" s="12" t="n">
        <f aca="false">H609/H611-1</f>
        <v>-0.0565090831052703</v>
      </c>
      <c r="I612" s="12" t="n">
        <f aca="false">I609/I611-1</f>
        <v>-0.105712417489952</v>
      </c>
    </row>
    <row r="613" customFormat="false" ht="17.15" hidden="false" customHeight="false" outlineLevel="0" collapsed="false">
      <c r="A613" s="5" t="s">
        <v>523</v>
      </c>
      <c r="B613" s="0" t="s">
        <v>222</v>
      </c>
      <c r="C613" s="10" t="n">
        <f aca="false">bits25/(1+g25)</f>
        <v>892.857142857143</v>
      </c>
      <c r="D613" s="10" t="n">
        <f aca="false">bits25</f>
        <v>1000</v>
      </c>
      <c r="E613" s="10" t="n">
        <f aca="false">MIN(E609,E611)</f>
        <v>1210</v>
      </c>
      <c r="F613" s="10" t="n">
        <f aca="false">MIN(F609,F611)</f>
        <v>1512.5</v>
      </c>
      <c r="G613" s="10" t="n">
        <f aca="false">MIN(G609,G611)</f>
        <v>1890.625</v>
      </c>
      <c r="H613" s="10" t="n">
        <f aca="false">MIN(H609,H611)</f>
        <v>2176.220768</v>
      </c>
      <c r="I613" s="10" t="n">
        <f aca="false">MIN(I609,I611)</f>
        <v>2475.27624244</v>
      </c>
    </row>
    <row r="614" customFormat="false" ht="15" hidden="false" customHeight="false" outlineLevel="0" collapsed="false">
      <c r="A614" s="5" t="s">
        <v>447</v>
      </c>
      <c r="B614" s="0" t="s">
        <v>25</v>
      </c>
      <c r="D614" s="12" t="n">
        <f aca="false">D613/C613-1</f>
        <v>0.12</v>
      </c>
      <c r="E614" s="12" t="n">
        <f aca="false">E613/D613-1</f>
        <v>0.21</v>
      </c>
      <c r="F614" s="12" t="n">
        <f aca="false">F613/E613-1</f>
        <v>0.25</v>
      </c>
      <c r="G614" s="12" t="n">
        <f aca="false">G613/F613-1</f>
        <v>0.25</v>
      </c>
      <c r="H614" s="12" t="n">
        <f aca="false">H613/G613-1</f>
        <v>0.15105891861157</v>
      </c>
      <c r="I614" s="12" t="n">
        <f aca="false">I613/H613-1</f>
        <v>0.13741963997285</v>
      </c>
    </row>
    <row r="615" customFormat="false" ht="17.15" hidden="false" customHeight="false" outlineLevel="0" collapsed="false">
      <c r="A615" s="0" t="s">
        <v>524</v>
      </c>
      <c r="B615" s="0" t="s">
        <v>285</v>
      </c>
      <c r="C615" s="10" t="n">
        <f aca="false">rev24</f>
        <v>67.4</v>
      </c>
      <c r="D615" s="10" t="n">
        <f aca="false">SUM(C629:F629)</f>
        <v>71.1035923582252</v>
      </c>
      <c r="E615" s="10" t="n">
        <f aca="false">SUM(G629:J629)</f>
        <v>342.820749524408</v>
      </c>
      <c r="F615" s="10" t="n">
        <f aca="false">SUM(K629:N629)</f>
        <v>536.734678363014</v>
      </c>
      <c r="G615" s="10" t="n">
        <f aca="false">SUM(O629:R629)</f>
        <v>544.610149409284</v>
      </c>
      <c r="H615" s="10" t="n">
        <f aca="false">SUM(S629:V629)</f>
        <v>538.52668279042</v>
      </c>
      <c r="I615" s="10" t="n">
        <f aca="false">SUM(W629:Z629)</f>
        <v>540.300886529493</v>
      </c>
      <c r="AB615" s="8" t="s">
        <v>525</v>
      </c>
    </row>
    <row r="616" customFormat="false" ht="15" hidden="false" customHeight="false" outlineLevel="0" collapsed="false">
      <c r="A616" s="5" t="s">
        <v>453</v>
      </c>
      <c r="B616" s="0" t="s">
        <v>25</v>
      </c>
      <c r="D616" s="12" t="n">
        <f aca="false">D615/C615-1</f>
        <v>0.0549494415166936</v>
      </c>
      <c r="E616" s="12" t="n">
        <f aca="false">E615/D615-1</f>
        <v>3.82142657149095</v>
      </c>
      <c r="F616" s="12" t="n">
        <f aca="false">F615/E615-1</f>
        <v>0.565642333807452</v>
      </c>
      <c r="G616" s="12" t="n">
        <f aca="false">G615/F615-1</f>
        <v>0.0146729312707903</v>
      </c>
      <c r="H616" s="12" t="n">
        <f aca="false">H615/G615-1</f>
        <v>-0.0111703144450435</v>
      </c>
      <c r="I616" s="12" t="n">
        <f aca="false">I615/H615-1</f>
        <v>0.00329455121866884</v>
      </c>
    </row>
    <row r="617" customFormat="false" ht="17.15" hidden="false" customHeight="false" outlineLevel="0" collapsed="false">
      <c r="A617" s="5" t="s">
        <v>526</v>
      </c>
      <c r="B617" s="0" t="s">
        <v>449</v>
      </c>
      <c r="C617" s="13" t="n">
        <f aca="false">C615/C613</f>
        <v>0.075488</v>
      </c>
      <c r="D617" s="13" t="n">
        <f aca="false">D615/D613</f>
        <v>0.0711035923582252</v>
      </c>
      <c r="E617" s="13" t="n">
        <f aca="false">E615/E613</f>
        <v>0.283322933491246</v>
      </c>
      <c r="F617" s="13" t="n">
        <f aca="false">F615/F613</f>
        <v>0.354865903049927</v>
      </c>
      <c r="G617" s="13" t="n">
        <f aca="false">G615/G613</f>
        <v>0.28805826084458</v>
      </c>
      <c r="H617" s="13" t="n">
        <f aca="false">H615/H613</f>
        <v>0.247459582552068</v>
      </c>
      <c r="I617" s="13" t="n">
        <f aca="false">I615/I613</f>
        <v>0.218279025696499</v>
      </c>
    </row>
    <row r="618" customFormat="false" ht="17.15" hidden="false" customHeight="false" outlineLevel="0" collapsed="false">
      <c r="A618" s="5" t="s">
        <v>450</v>
      </c>
      <c r="B618" s="0" t="s">
        <v>25</v>
      </c>
      <c r="D618" s="12" t="n">
        <f aca="false">D617/C617-1</f>
        <v>-0.0580808557886665</v>
      </c>
      <c r="E618" s="12" t="n">
        <f aca="false">E617/D617-1</f>
        <v>2.98465005908343</v>
      </c>
      <c r="F618" s="12" t="n">
        <f aca="false">F617/E617-1</f>
        <v>0.252513867045961</v>
      </c>
      <c r="G618" s="12" t="n">
        <f aca="false">G617/F617-1</f>
        <v>-0.188261654983368</v>
      </c>
      <c r="H618" s="12" t="n">
        <f aca="false">H617/G617-1</f>
        <v>-0.140939121736964</v>
      </c>
      <c r="I618" s="12" t="n">
        <f aca="false">I617/H617-1</f>
        <v>-0.117920496570099</v>
      </c>
      <c r="AB618" s="8" t="s">
        <v>527</v>
      </c>
    </row>
    <row r="619" customFormat="false" ht="15" hidden="false" customHeight="false" outlineLevel="0" collapsed="false">
      <c r="A619" s="5" t="s">
        <v>528</v>
      </c>
      <c r="B619" s="0" t="s">
        <v>25</v>
      </c>
      <c r="D619" s="12" t="n">
        <f aca="false">SUM(C636:F636)/D615</f>
        <v>0.309407714439551</v>
      </c>
      <c r="E619" s="12" t="n">
        <f aca="false">SUM(G636:J636)/E615</f>
        <v>0.298146371102126</v>
      </c>
      <c r="F619" s="12" t="n">
        <f aca="false">SUM(K636:N636)/F615</f>
        <v>0.293146371102126</v>
      </c>
      <c r="G619" s="12" t="n">
        <f aca="false">SUM(O636:R636)/G615</f>
        <v>0.288146371102126</v>
      </c>
      <c r="H619" s="12" t="n">
        <f aca="false">SUM(S636:V636)/H615</f>
        <v>0.283146371102126</v>
      </c>
      <c r="I619" s="12" t="n">
        <f aca="false">SUM(W636:Z636)/I615</f>
        <v>0.278146371102126</v>
      </c>
    </row>
    <row r="620" customFormat="false" ht="17.15" hidden="false" customHeight="false" outlineLevel="0" collapsed="false">
      <c r="A620" s="5" t="s">
        <v>529</v>
      </c>
      <c r="B620" s="0" t="s">
        <v>25</v>
      </c>
      <c r="D620" s="12" t="n">
        <f aca="false">SUM(C637:F637)/D615</f>
        <v>0.200693094775109</v>
      </c>
      <c r="E620" s="12" t="n">
        <f aca="false">SUM(G637:J637)/E615</f>
        <v>0.177730130982399</v>
      </c>
      <c r="F620" s="12" t="n">
        <f aca="false">SUM(K637:N637)/F615</f>
        <v>0.177730130982399</v>
      </c>
      <c r="G620" s="12" t="n">
        <f aca="false">SUM(O637:R637)/G615</f>
        <v>0.177730130982399</v>
      </c>
      <c r="H620" s="12" t="n">
        <f aca="false">SUM(S637:V637)/H615</f>
        <v>0.177730130982399</v>
      </c>
      <c r="I620" s="12" t="n">
        <f aca="false">SUM(W637:Z637)/I615</f>
        <v>0.177730130982399</v>
      </c>
    </row>
    <row r="621" customFormat="false" ht="15" hidden="false" customHeight="false" outlineLevel="0" collapsed="false">
      <c r="A621" s="5" t="s">
        <v>530</v>
      </c>
      <c r="B621" s="0" t="s">
        <v>25</v>
      </c>
      <c r="D621" s="12" t="n">
        <f aca="false">SUM(C638:F638)/D615</f>
        <v>0.134732995651405</v>
      </c>
      <c r="E621" s="12" t="n">
        <f aca="false">SUM(G638:J638)/E615</f>
        <v>0.14511909777462</v>
      </c>
      <c r="F621" s="12" t="n">
        <f aca="false">SUM(K638:N638)/F615</f>
        <v>0.14711909777462</v>
      </c>
      <c r="G621" s="12" t="n">
        <f aca="false">SUM(O638:R638)/G615</f>
        <v>0.14911909777462</v>
      </c>
      <c r="H621" s="12" t="n">
        <f aca="false">SUM(S638:V638)/H615</f>
        <v>0.15111909777462</v>
      </c>
      <c r="I621" s="12" t="n">
        <f aca="false">SUM(W638:Z638)/I615</f>
        <v>0.15311909777462</v>
      </c>
    </row>
    <row r="622" customFormat="false" ht="17.15" hidden="false" customHeight="false" outlineLevel="0" collapsed="false">
      <c r="A622" s="5" t="s">
        <v>531</v>
      </c>
      <c r="B622" s="0" t="s">
        <v>25</v>
      </c>
      <c r="D622" s="12" t="n">
        <f aca="false">SUM(C639:F639)/D615</f>
        <v>0.143593307473992</v>
      </c>
      <c r="E622" s="12" t="n">
        <f aca="false">SUM(G639:J639)/E615</f>
        <v>0.139533216003349</v>
      </c>
      <c r="F622" s="12" t="n">
        <f aca="false">SUM(K639:N639)/F615</f>
        <v>0.138512987387224</v>
      </c>
      <c r="G622" s="12" t="n">
        <f aca="false">SUM(O639:R639)/G615</f>
        <v>0.138512987387224</v>
      </c>
      <c r="H622" s="12" t="n">
        <f aca="false">SUM(S639:V639)/H615</f>
        <v>0.138512987387224</v>
      </c>
      <c r="I622" s="12" t="n">
        <f aca="false">SUM(W639:Z639)/I615</f>
        <v>0.138512987387224</v>
      </c>
    </row>
    <row r="623" customFormat="false" ht="17.15" hidden="false" customHeight="false" outlineLevel="0" collapsed="false">
      <c r="A623" s="5" t="s">
        <v>532</v>
      </c>
      <c r="B623" s="0" t="s">
        <v>25</v>
      </c>
      <c r="D623" s="12" t="n">
        <f aca="false">SUM(C640:F640)/D615</f>
        <v>0.125591404088418</v>
      </c>
      <c r="E623" s="12" t="n">
        <f aca="false">SUM(G640:J640)/E615</f>
        <v>0.112062540342342</v>
      </c>
      <c r="F623" s="12" t="n">
        <f aca="false">SUM(K640:N640)/F615</f>
        <v>0.106513670372059</v>
      </c>
      <c r="G623" s="12" t="n">
        <f aca="false">SUM(O640:R640)/G615</f>
        <v>0.106513670372059</v>
      </c>
      <c r="H623" s="12" t="n">
        <f aca="false">SUM(S640:V640)/H615</f>
        <v>0.106513670372059</v>
      </c>
      <c r="I623" s="12" t="n">
        <f aca="false">SUM(W640:Z640)/I615</f>
        <v>0.106513670372059</v>
      </c>
    </row>
    <row r="624" customFormat="false" ht="15" hidden="false" customHeight="false" outlineLevel="0" collapsed="false">
      <c r="A624" s="5" t="s">
        <v>533</v>
      </c>
      <c r="B624" s="0" t="s">
        <v>25</v>
      </c>
      <c r="D624" s="12" t="n">
        <f aca="false">SUM(C641:F641)/D615</f>
        <v>0.0859814835715252</v>
      </c>
      <c r="E624" s="12" t="n">
        <f aca="false">SUM(G641:J641)/E615</f>
        <v>0.127408643795164</v>
      </c>
      <c r="F624" s="12" t="n">
        <f aca="false">SUM(K641:N641)/F615</f>
        <v>0.136977742381572</v>
      </c>
      <c r="G624" s="12" t="n">
        <f aca="false">SUM(O641:R641)/G615</f>
        <v>0.139977742381572</v>
      </c>
      <c r="H624" s="12" t="n">
        <f aca="false">SUM(S641:V641)/H615</f>
        <v>0.142977742381572</v>
      </c>
      <c r="I624" s="12" t="n">
        <f aca="false">SUM(W641:Z641)/I615</f>
        <v>0.145977742381572</v>
      </c>
    </row>
    <row r="626" customFormat="false" ht="17.15" hidden="false" customHeight="false" outlineLevel="0" collapsed="false">
      <c r="A626" s="9" t="s">
        <v>534</v>
      </c>
      <c r="B626" s="6" t="s">
        <v>15</v>
      </c>
      <c r="C626" s="9" t="s">
        <v>468</v>
      </c>
      <c r="D626" s="9" t="s">
        <v>469</v>
      </c>
      <c r="E626" s="9" t="s">
        <v>470</v>
      </c>
      <c r="F626" s="9" t="s">
        <v>471</v>
      </c>
      <c r="G626" s="9" t="s">
        <v>472</v>
      </c>
      <c r="H626" s="9" t="s">
        <v>473</v>
      </c>
      <c r="I626" s="9" t="s">
        <v>474</v>
      </c>
      <c r="J626" s="9" t="s">
        <v>475</v>
      </c>
      <c r="K626" s="9" t="s">
        <v>476</v>
      </c>
      <c r="L626" s="9" t="s">
        <v>477</v>
      </c>
      <c r="M626" s="9" t="s">
        <v>478</v>
      </c>
      <c r="N626" s="9" t="s">
        <v>479</v>
      </c>
      <c r="O626" s="9" t="s">
        <v>480</v>
      </c>
      <c r="P626" s="9" t="s">
        <v>481</v>
      </c>
      <c r="Q626" s="9" t="s">
        <v>482</v>
      </c>
      <c r="R626" s="9" t="s">
        <v>483</v>
      </c>
      <c r="S626" s="9" t="s">
        <v>484</v>
      </c>
      <c r="T626" s="9" t="s">
        <v>485</v>
      </c>
      <c r="U626" s="9" t="s">
        <v>486</v>
      </c>
      <c r="V626" s="9" t="s">
        <v>487</v>
      </c>
      <c r="W626" s="9" t="s">
        <v>488</v>
      </c>
      <c r="X626" s="9" t="s">
        <v>489</v>
      </c>
      <c r="Y626" s="9" t="s">
        <v>490</v>
      </c>
      <c r="Z626" s="9" t="s">
        <v>491</v>
      </c>
      <c r="AA626" s="9"/>
      <c r="AB626" s="6" t="s">
        <v>434</v>
      </c>
    </row>
    <row r="627" customFormat="false" ht="17.15" hidden="false" customHeight="false" outlineLevel="0" collapsed="false">
      <c r="A627" s="5" t="s">
        <v>535</v>
      </c>
      <c r="B627" s="0" t="s">
        <v>536</v>
      </c>
      <c r="C627" s="13" t="n">
        <f aca="false">Path!C4</f>
        <v>1</v>
      </c>
      <c r="D627" s="13" t="n">
        <f aca="false">Path!D4</f>
        <v>1</v>
      </c>
      <c r="E627" s="13" t="n">
        <f aca="false">Path!E4</f>
        <v>1.05</v>
      </c>
      <c r="F627" s="13" t="n">
        <f aca="false">Path!F4</f>
        <v>1.365</v>
      </c>
      <c r="G627" s="13" t="n">
        <f aca="false">Path!G4</f>
        <v>2.559375</v>
      </c>
      <c r="H627" s="13" t="n">
        <f aca="false">Path!H4</f>
        <v>4.414921875</v>
      </c>
      <c r="I627" s="13" t="n">
        <f aca="false">Path!I4</f>
        <v>5.51865234375</v>
      </c>
      <c r="J627" s="13" t="n">
        <f aca="false">Path!J4</f>
        <v>5.96566318359375</v>
      </c>
      <c r="K627" s="13" t="n">
        <f aca="false">Path!K4*1</f>
        <v>6.14463307910156</v>
      </c>
      <c r="L627" s="13" t="n">
        <f aca="false">Path!L4*1</f>
        <v>6.14463307910156</v>
      </c>
      <c r="M627" s="13" t="n">
        <f aca="false">Path!M4*1</f>
        <v>5.83740142514648</v>
      </c>
      <c r="N627" s="13" t="n">
        <f aca="false">Path!N4*1</f>
        <v>5.42878332538623</v>
      </c>
      <c r="O627" s="13" t="n">
        <f aca="false">Path!O4*1</f>
        <v>5.15734415911692</v>
      </c>
      <c r="P627" s="13" t="n">
        <f aca="false">Path!P4*1</f>
        <v>4.89947695116107</v>
      </c>
      <c r="Q627" s="13" t="n">
        <f aca="false">Path!Q4*1</f>
        <v>4.65450310360302</v>
      </c>
      <c r="R627" s="13" t="n">
        <f aca="false">Path!R4*1</f>
        <v>4.42177794842287</v>
      </c>
      <c r="S627" s="13" t="n">
        <f aca="false">Path!S4*1</f>
        <v>4.28912460997018</v>
      </c>
      <c r="T627" s="13" t="n">
        <f aca="false">Path!T4*1</f>
        <v>4.16045087167108</v>
      </c>
      <c r="U627" s="13" t="n">
        <f aca="false">Path!U4*1</f>
        <v>4.03563734552094</v>
      </c>
      <c r="V627" s="13" t="n">
        <f aca="false">Path!V4*1</f>
        <v>3.91456822515532</v>
      </c>
      <c r="W627" s="13" t="n">
        <f aca="false">Path!V4*(1+p10)^(1/4)*1</f>
        <v>3.79144302937821</v>
      </c>
      <c r="X627" s="13" t="n">
        <f aca="false">Path!V4*(1+p10)^(2/4)*1</f>
        <v>3.6721904992345</v>
      </c>
      <c r="Y627" s="13" t="n">
        <f aca="false">Path!V4*(1+p10)^(3/4)*1</f>
        <v>3.55668882749365</v>
      </c>
      <c r="Z627" s="13" t="n">
        <f aca="false">Path!V4*(1+p10)^(4/4)*1</f>
        <v>3.44482003813668</v>
      </c>
      <c r="AB627" s="8" t="s">
        <v>537</v>
      </c>
    </row>
    <row r="628" customFormat="false" ht="17.15" hidden="false" customHeight="false" outlineLevel="0" collapsed="false">
      <c r="A628" s="5" t="s">
        <v>538</v>
      </c>
      <c r="B628" s="0" t="s">
        <v>222</v>
      </c>
      <c r="C628" s="10" t="n">
        <f aca="false">D613/4*(D613/C613)^((1-2.5)/4)/(((D613/C613)^(-0.375)+(D613/C613)^(-0.125)+(D613/C613)^(0.125)+(D613/C613)^(0.375))/4)</f>
        <v>239.477872684002</v>
      </c>
      <c r="D628" s="10" t="n">
        <f aca="false">D613/4*(D613/C613)^((2-2.5)/4)/(((D613/C613)^(-0.375)+(D613/C613)^(-0.125)+(D613/C613)^(0.125)+(D613/C613)^(0.375))/4)</f>
        <v>246.359830864633</v>
      </c>
      <c r="E628" s="10" t="n">
        <f aca="false">D613/4*(D613/C613)^((3-2.5)/4)/(((D613/C613)^(-0.375)+(D613/C613)^(-0.125)+(D613/C613)^(0.125)+(D613/C613)^(0.375))/4)</f>
        <v>253.439558249863</v>
      </c>
      <c r="F628" s="10" t="n">
        <f aca="false">D613/4*(D613/C613)^((4-2.5)/4)/(((D613/C613)^(-0.375)+(D613/C613)^(-0.125)+(D613/C613)^(0.125)+(D613/C613)^(0.375))/4)</f>
        <v>260.722738201501</v>
      </c>
      <c r="G628" s="10" t="n">
        <f aca="false">E613/4*(E613/D613)^((1-2.5)/4)/(((E613/D613)^(-0.375)+(E613/D613)^(-0.125)+(E613/D613)^(0.125)+(E613/D613)^(0.375))/4)</f>
        <v>281.231934694683</v>
      </c>
      <c r="H628" s="10" t="n">
        <f aca="false">E613/4*(E613/D613)^((2-2.5)/4)/(((E613/D613)^(-0.375)+(E613/D613)^(-0.125)+(E613/D613)^(0.125)+(E613/D613)^(0.375))/4)</f>
        <v>294.958541495794</v>
      </c>
      <c r="I628" s="10" t="n">
        <f aca="false">E613/4*(E613/D613)^((3-2.5)/4)/(((E613/D613)^(-0.375)+(E613/D613)^(-0.125)+(E613/D613)^(0.125)+(E613/D613)^(0.375))/4)</f>
        <v>309.355128164151</v>
      </c>
      <c r="J628" s="10" t="n">
        <f aca="false">E613/4*(E613/D613)^((4-2.5)/4)/(((E613/D613)^(-0.375)+(E613/D613)^(-0.125)+(E613/D613)^(0.125)+(E613/D613)^(0.375))/4)</f>
        <v>324.454395645373</v>
      </c>
      <c r="K628" s="10" t="n">
        <f aca="false">F613/4*(F613/E613)^((1-2.5)/4)/(((F613/E613)^(-0.375)+(F613/E613)^(-0.125)+(F613/E613)^(0.125)+(F613/E613)^(0.375))/4)</f>
        <v>347.096143815413</v>
      </c>
      <c r="L628" s="10" t="n">
        <f aca="false">F613/4*(F613/E613)^((2-2.5)/4)/(((F613/E613)^(-0.375)+(F613/E613)^(-0.125)+(F613/E613)^(0.125)+(F613/E613)^(0.375))/4)</f>
        <v>367.009488121451</v>
      </c>
      <c r="M628" s="10" t="n">
        <f aca="false">F613/4*(F613/E613)^((3-2.5)/4)/(((F613/E613)^(-0.375)+(F613/E613)^(-0.125)+(F613/E613)^(0.125)+(F613/E613)^(0.375))/4)</f>
        <v>388.065286149653</v>
      </c>
      <c r="N628" s="10" t="n">
        <f aca="false">F613/4*(F613/E613)^((4-2.5)/4)/(((F613/E613)^(-0.375)+(F613/E613)^(-0.125)+(F613/E613)^(0.125)+(F613/E613)^(0.375))/4)</f>
        <v>410.329081913483</v>
      </c>
      <c r="O628" s="10" t="n">
        <f aca="false">G613/4*(G613/F613)^((1-2.5)/4)/(((G613/F613)^(-0.375)+(G613/F613)^(-0.125)+(G613/F613)^(0.125)+(G613/F613)^(0.375))/4)</f>
        <v>433.870179769266</v>
      </c>
      <c r="P628" s="10" t="n">
        <f aca="false">G613/4*(G613/F613)^((2-2.5)/4)/(((G613/F613)^(-0.375)+(G613/F613)^(-0.125)+(G613/F613)^(0.125)+(G613/F613)^(0.375))/4)</f>
        <v>458.761860151814</v>
      </c>
      <c r="Q628" s="10" t="n">
        <f aca="false">G613/4*(G613/F613)^((3-2.5)/4)/(((G613/F613)^(-0.375)+(G613/F613)^(-0.125)+(G613/F613)^(0.125)+(G613/F613)^(0.375))/4)</f>
        <v>485.081607687067</v>
      </c>
      <c r="R628" s="10" t="n">
        <f aca="false">G613/4*(G613/F613)^((4-2.5)/4)/(((G613/F613)^(-0.375)+(G613/F613)^(-0.125)+(G613/F613)^(0.125)+(G613/F613)^(0.375))/4)</f>
        <v>512.911352391854</v>
      </c>
      <c r="S628" s="10" t="n">
        <f aca="false">H613/4*(H613/G613)^((1-2.5)/4)/(((H613/G613)^(-0.375)+(H613/G613)^(-0.125)+(H613/G613)^(0.125)+(H613/G613)^(0.375))/4)</f>
        <v>515.698275953985</v>
      </c>
      <c r="T628" s="10" t="n">
        <f aca="false">H613/4*(H613/G613)^((2-2.5)/4)/(((H613/G613)^(-0.375)+(H613/G613)^(-0.125)+(H613/G613)^(0.125)+(H613/G613)^(0.375))/4)</f>
        <v>534.158407007326</v>
      </c>
      <c r="U628" s="10" t="n">
        <f aca="false">H613/4*(H613/G613)^((3-2.5)/4)/(((H613/G613)^(-0.375)+(H613/G613)^(-0.125)+(H613/G613)^(0.125)+(H613/G613)^(0.375))/4)</f>
        <v>553.279343912454</v>
      </c>
      <c r="V628" s="10" t="n">
        <f aca="false">H613/4*(H613/G613)^((4-2.5)/4)/(((H613/G613)^(-0.375)+(H613/G613)^(-0.125)+(H613/G613)^(0.125)+(H613/G613)^(0.375))/4)</f>
        <v>573.084741126235</v>
      </c>
      <c r="W628" s="10" t="n">
        <f aca="false">I613/4*(I613/H613)^((1-2.5)/4)/(((I613/H613)^(-0.375)+(I613/H613)^(-0.125)+(I613/H613)^(0.125)+(I613/H613)^(0.375))/4)</f>
        <v>589.267085774945</v>
      </c>
      <c r="X628" s="10" t="n">
        <f aca="false">I613/4*(I613/H613)^((2-2.5)/4)/(((I613/H613)^(-0.375)+(I613/H613)^(-0.125)+(I613/H613)^(0.125)+(I613/H613)^(0.375))/4)</f>
        <v>608.5445320004</v>
      </c>
      <c r="Y628" s="10" t="n">
        <f aca="false">I613/4*(I613/H613)^((3-2.5)/4)/(((I613/H613)^(-0.375)+(I613/H613)^(-0.125)+(I613/H613)^(0.125)+(I613/H613)^(0.375))/4)</f>
        <v>628.452625926951</v>
      </c>
      <c r="Z628" s="10" t="n">
        <f aca="false">I613/4*(I613/H613)^((4-2.5)/4)/(((I613/H613)^(-0.375)+(I613/H613)^(-0.125)+(I613/H613)^(0.125)+(I613/H613)^(0.375))/4)</f>
        <v>649.011998737704</v>
      </c>
      <c r="AB628" s="5" t="s">
        <v>539</v>
      </c>
    </row>
    <row r="629" customFormat="false" ht="17.15" hidden="false" customHeight="false" outlineLevel="0" collapsed="false">
      <c r="A629" s="0" t="s">
        <v>540</v>
      </c>
      <c r="B629" s="0" t="s">
        <v>285</v>
      </c>
      <c r="C629" s="10" t="n">
        <f aca="false">(rv_ss_0+rv_sk_0+rv_mu_0+rv_kx_0+rv_sd_0)/t5_0</f>
        <v>12.9354838709677</v>
      </c>
      <c r="D629" s="10" t="n">
        <f aca="false">(rv_ss_1+rv_sk_1+rv_mu_1+rv_kx_1+rv_sd_1)/t5_1</f>
        <v>15.8054711246201</v>
      </c>
      <c r="E629" s="10" t="n">
        <f aca="false">(rv_ss_2+rv_sk_2+rv_mu_2+rv_kx_2+rv_sd_2)/t5_2</f>
        <v>18.7912087912088</v>
      </c>
      <c r="F629" s="10" t="n">
        <f aca="false">(rv_ss_3+rv_sk_3+rv_mu_3+rv_kx_3+rv_sd_3)/t5_3</f>
        <v>23.5714285714286</v>
      </c>
      <c r="G629" s="10" t="n">
        <f aca="false">(rv_ss_4+rv_sk_4+rv_mu_4+rv_kx_4+rv_sd_4)/t5_4</f>
        <v>43.954802259887</v>
      </c>
      <c r="H629" s="10" t="n">
        <f aca="false">(rv_ss_5+rv_sk_5+rv_mu_5+rv_kx_5+rv_sd_5)/t5_5</f>
        <v>78.703071672355</v>
      </c>
      <c r="I629" s="10" t="n">
        <f aca="false">$H629*I627/$H627*I628/$H628</f>
        <v>103.180597435169</v>
      </c>
      <c r="J629" s="10" t="n">
        <f aca="false">$H629*J627/$H627*J628/$H628</f>
        <v>116.982278156997</v>
      </c>
      <c r="K629" s="10" t="n">
        <f aca="false">$H629*K627/$H627*K628/$H628</f>
        <v>128.900150941515</v>
      </c>
      <c r="L629" s="10" t="n">
        <f aca="false">$H629*L627/$H627*L628/$H628</f>
        <v>136.295315458709</v>
      </c>
      <c r="M629" s="10" t="n">
        <f aca="false">$H629*M627/$H627*M628/$H628</f>
        <v>136.909012412225</v>
      </c>
      <c r="N629" s="10" t="n">
        <f aca="false">$H629*N627/$H627*N628/$H628</f>
        <v>134.630199550565</v>
      </c>
      <c r="O629" s="10" t="n">
        <f aca="false">$H629*O627/$H627*O628/$H628</f>
        <v>135.236398986234</v>
      </c>
      <c r="P629" s="10" t="n">
        <f aca="false">$H629*P627/$H627*P628/$H628</f>
        <v>135.845327956265</v>
      </c>
      <c r="Q629" s="10" t="n">
        <f aca="false">$H629*Q627/$H627*Q628/$H628</f>
        <v>136.456998750933</v>
      </c>
      <c r="R629" s="10" t="n">
        <f aca="false">$H629*R627/$H627*R628/$H628</f>
        <v>137.071423715852</v>
      </c>
      <c r="S629" s="10" t="n">
        <f aca="false">$H629*S627/$H627*S628/$H628</f>
        <v>133.681720371934</v>
      </c>
      <c r="T629" s="10" t="n">
        <f aca="false">$H629*T627/$H627*T628/$H628</f>
        <v>134.31303067233</v>
      </c>
      <c r="U629" s="10" t="n">
        <f aca="false">$H629*U627/$H627*U628/$H628</f>
        <v>134.947322327949</v>
      </c>
      <c r="V629" s="10" t="n">
        <f aca="false">$H629*V627/$H627*V628/$H628</f>
        <v>135.584609418207</v>
      </c>
      <c r="W629" s="10" t="n">
        <f aca="false">$H629*W627/$H627*W628/$H628</f>
        <v>135.028175958397</v>
      </c>
      <c r="X629" s="10" t="n">
        <f aca="false">$H629*X627/$H627*X628/$H628</f>
        <v>135.05953488557</v>
      </c>
      <c r="Y629" s="10" t="n">
        <f aca="false">$H629*Y627/$H627*Y628/$H628</f>
        <v>135.090901095537</v>
      </c>
      <c r="Z629" s="10" t="n">
        <f aca="false">$H629*Z627/$H627*Z628/$H628</f>
        <v>135.122274589988</v>
      </c>
      <c r="AB629" s="5" t="s">
        <v>541</v>
      </c>
    </row>
    <row r="630" customFormat="false" ht="17.15" hidden="false" customHeight="false" outlineLevel="0" collapsed="false">
      <c r="A630" s="5" t="s">
        <v>454</v>
      </c>
      <c r="B630" s="0" t="s">
        <v>25</v>
      </c>
      <c r="C630" s="12" t="n">
        <f aca="false">rv_ss_0/C629</f>
        <v>0.324688279301746</v>
      </c>
      <c r="D630" s="12" t="n">
        <f aca="false">rv_ss_1/D629</f>
        <v>0.329</v>
      </c>
      <c r="E630" s="12" t="n">
        <f aca="false">rv_ss_2/E629</f>
        <v>0.319298245614035</v>
      </c>
      <c r="F630" s="12" t="n">
        <f aca="false">rv_ss_3/F629</f>
        <v>0.28</v>
      </c>
      <c r="G630" s="12" t="n">
        <f aca="false">rv_ss_4/G629</f>
        <v>0.30736118251928</v>
      </c>
      <c r="H630" s="12" t="n">
        <f aca="false">rv_ss_5/H629</f>
        <v>0.293</v>
      </c>
      <c r="I630" s="12" t="n">
        <f aca="false">(rv_ss_4+rv_ss_5)/($G629+$H629)</f>
        <v>0.298146371102126</v>
      </c>
      <c r="J630" s="12" t="n">
        <f aca="false">(rv_ss_4+rv_ss_5)/($G629+$H629)</f>
        <v>0.298146371102126</v>
      </c>
      <c r="K630" s="12" t="n">
        <f aca="false">(rv_ss_4+rv_ss_5)/($G629+$H629)+dr_ss/100*1</f>
        <v>0.293146371102126</v>
      </c>
      <c r="L630" s="12" t="n">
        <f aca="false">(rv_ss_4+rv_ss_5)/($G629+$H629)+dr_ss/100*1</f>
        <v>0.293146371102126</v>
      </c>
      <c r="M630" s="12" t="n">
        <f aca="false">(rv_ss_4+rv_ss_5)/($G629+$H629)+dr_ss/100*1</f>
        <v>0.293146371102126</v>
      </c>
      <c r="N630" s="12" t="n">
        <f aca="false">(rv_ss_4+rv_ss_5)/($G629+$H629)+dr_ss/100*1</f>
        <v>0.293146371102126</v>
      </c>
      <c r="O630" s="12" t="n">
        <f aca="false">(rv_ss_4+rv_ss_5)/($G629+$H629)+dr_ss/100*2</f>
        <v>0.288146371102126</v>
      </c>
      <c r="P630" s="12" t="n">
        <f aca="false">(rv_ss_4+rv_ss_5)/($G629+$H629)+dr_ss/100*2</f>
        <v>0.288146371102126</v>
      </c>
      <c r="Q630" s="12" t="n">
        <f aca="false">(rv_ss_4+rv_ss_5)/($G629+$H629)+dr_ss/100*2</f>
        <v>0.288146371102126</v>
      </c>
      <c r="R630" s="12" t="n">
        <f aca="false">(rv_ss_4+rv_ss_5)/($G629+$H629)+dr_ss/100*2</f>
        <v>0.288146371102126</v>
      </c>
      <c r="S630" s="12" t="n">
        <f aca="false">(rv_ss_4+rv_ss_5)/($G629+$H629)+dr_ss/100*3</f>
        <v>0.283146371102126</v>
      </c>
      <c r="T630" s="12" t="n">
        <f aca="false">(rv_ss_4+rv_ss_5)/($G629+$H629)+dr_ss/100*3</f>
        <v>0.283146371102126</v>
      </c>
      <c r="U630" s="12" t="n">
        <f aca="false">(rv_ss_4+rv_ss_5)/($G629+$H629)+dr_ss/100*3</f>
        <v>0.283146371102126</v>
      </c>
      <c r="V630" s="12" t="n">
        <f aca="false">(rv_ss_4+rv_ss_5)/($G629+$H629)+dr_ss/100*3</f>
        <v>0.283146371102126</v>
      </c>
      <c r="W630" s="12" t="n">
        <f aca="false">(rv_ss_4+rv_ss_5)/($G629+$H629)+dr_ss/100*4</f>
        <v>0.278146371102126</v>
      </c>
      <c r="X630" s="12" t="n">
        <f aca="false">(rv_ss_4+rv_ss_5)/($G629+$H629)+dr_ss/100*4</f>
        <v>0.278146371102126</v>
      </c>
      <c r="Y630" s="12" t="n">
        <f aca="false">(rv_ss_4+rv_ss_5)/($G629+$H629)+dr_ss/100*4</f>
        <v>0.278146371102126</v>
      </c>
      <c r="Z630" s="12" t="n">
        <f aca="false">(rv_ss_4+rv_ss_5)/($G629+$H629)+dr_ss/100*4</f>
        <v>0.278146371102126</v>
      </c>
      <c r="AB630" s="8" t="s">
        <v>542</v>
      </c>
    </row>
    <row r="631" customFormat="false" ht="17.15" hidden="false" customHeight="false" outlineLevel="0" collapsed="false">
      <c r="A631" s="5" t="s">
        <v>455</v>
      </c>
      <c r="B631" s="0" t="s">
        <v>25</v>
      </c>
      <c r="C631" s="12" t="n">
        <f aca="false">rv_sk_0/C629</f>
        <v>0.16930174563591</v>
      </c>
      <c r="D631" s="12" t="n">
        <f aca="false">rv_sk_1/D629</f>
        <v>0.211319230769231</v>
      </c>
      <c r="E631" s="12" t="n">
        <f aca="false">rv_sk_2/E629</f>
        <v>0.187853801169591</v>
      </c>
      <c r="F631" s="12" t="n">
        <f aca="false">rv_sk_3/F629</f>
        <v>0.221030303030303</v>
      </c>
      <c r="G631" s="12" t="n">
        <f aca="false">rv_sk_4/G629</f>
        <v>0.17131233933162</v>
      </c>
      <c r="H631" s="12" t="n">
        <f aca="false">rv_sk_5/H629</f>
        <v>0.181314397224631</v>
      </c>
      <c r="I631" s="12" t="n">
        <f aca="false">(rv_sk_4+rv_sk_5)/($G629+$H629)</f>
        <v>0.177730130982399</v>
      </c>
      <c r="J631" s="12" t="n">
        <f aca="false">(rv_sk_4+rv_sk_5)/($G629+$H629)</f>
        <v>0.177730130982399</v>
      </c>
      <c r="K631" s="12" t="n">
        <f aca="false">(rv_sk_4+rv_sk_5)/($G629+$H629)+dr_sk/100*1</f>
        <v>0.177730130982399</v>
      </c>
      <c r="L631" s="12" t="n">
        <f aca="false">(rv_sk_4+rv_sk_5)/($G629+$H629)+dr_sk/100*1</f>
        <v>0.177730130982399</v>
      </c>
      <c r="M631" s="12" t="n">
        <f aca="false">(rv_sk_4+rv_sk_5)/($G629+$H629)+dr_sk/100*1</f>
        <v>0.177730130982399</v>
      </c>
      <c r="N631" s="12" t="n">
        <f aca="false">(rv_sk_4+rv_sk_5)/($G629+$H629)+dr_sk/100*1</f>
        <v>0.177730130982399</v>
      </c>
      <c r="O631" s="12" t="n">
        <f aca="false">(rv_sk_4+rv_sk_5)/($G629+$H629)+dr_sk/100*2</f>
        <v>0.177730130982399</v>
      </c>
      <c r="P631" s="12" t="n">
        <f aca="false">(rv_sk_4+rv_sk_5)/($G629+$H629)+dr_sk/100*2</f>
        <v>0.177730130982399</v>
      </c>
      <c r="Q631" s="12" t="n">
        <f aca="false">(rv_sk_4+rv_sk_5)/($G629+$H629)+dr_sk/100*2</f>
        <v>0.177730130982399</v>
      </c>
      <c r="R631" s="12" t="n">
        <f aca="false">(rv_sk_4+rv_sk_5)/($G629+$H629)+dr_sk/100*2</f>
        <v>0.177730130982399</v>
      </c>
      <c r="S631" s="12" t="n">
        <f aca="false">(rv_sk_4+rv_sk_5)/($G629+$H629)+dr_sk/100*3</f>
        <v>0.177730130982399</v>
      </c>
      <c r="T631" s="12" t="n">
        <f aca="false">(rv_sk_4+rv_sk_5)/($G629+$H629)+dr_sk/100*3</f>
        <v>0.177730130982399</v>
      </c>
      <c r="U631" s="12" t="n">
        <f aca="false">(rv_sk_4+rv_sk_5)/($G629+$H629)+dr_sk/100*3</f>
        <v>0.177730130982399</v>
      </c>
      <c r="V631" s="12" t="n">
        <f aca="false">(rv_sk_4+rv_sk_5)/($G629+$H629)+dr_sk/100*3</f>
        <v>0.177730130982399</v>
      </c>
      <c r="W631" s="12" t="n">
        <f aca="false">(rv_sk_4+rv_sk_5)/($G629+$H629)+dr_sk/100*4</f>
        <v>0.177730130982399</v>
      </c>
      <c r="X631" s="12" t="n">
        <f aca="false">(rv_sk_4+rv_sk_5)/($G629+$H629)+dr_sk/100*4</f>
        <v>0.177730130982399</v>
      </c>
      <c r="Y631" s="12" t="n">
        <f aca="false">(rv_sk_4+rv_sk_5)/($G629+$H629)+dr_sk/100*4</f>
        <v>0.177730130982399</v>
      </c>
      <c r="Z631" s="12" t="n">
        <f aca="false">(rv_sk_4+rv_sk_5)/($G629+$H629)+dr_sk/100*4</f>
        <v>0.177730130982399</v>
      </c>
      <c r="AB631" s="8" t="s">
        <v>542</v>
      </c>
    </row>
    <row r="632" customFormat="false" ht="17.15" hidden="false" customHeight="false" outlineLevel="0" collapsed="false">
      <c r="A632" s="5" t="s">
        <v>456</v>
      </c>
      <c r="B632" s="0" t="s">
        <v>25</v>
      </c>
      <c r="C632" s="12" t="n">
        <f aca="false">rv_mu_0/C629</f>
        <v>0.156932668329177</v>
      </c>
      <c r="D632" s="12" t="n">
        <f aca="false">rv_mu_1/D629</f>
        <v>0.132865384615385</v>
      </c>
      <c r="E632" s="12" t="n">
        <f aca="false">rv_mu_2/E629</f>
        <v>0.128783625730994</v>
      </c>
      <c r="F632" s="12" t="n">
        <f aca="false">rv_mu_3/F629</f>
        <v>0.128545454545455</v>
      </c>
      <c r="G632" s="12" t="n">
        <f aca="false">rv_mu_4/G629</f>
        <v>0.135366323907455</v>
      </c>
      <c r="H632" s="12" t="n">
        <f aca="false">rv_mu_5/H629</f>
        <v>0.150565915004337</v>
      </c>
      <c r="I632" s="12" t="n">
        <f aca="false">(rv_mu_4+rv_mu_5)/($G629+$H629)</f>
        <v>0.14511909777462</v>
      </c>
      <c r="J632" s="12" t="n">
        <f aca="false">(rv_mu_4+rv_mu_5)/($G629+$H629)</f>
        <v>0.14511909777462</v>
      </c>
      <c r="K632" s="12" t="n">
        <f aca="false">(rv_mu_4+rv_mu_5)/($G629+$H629)+dr_mu/100*1</f>
        <v>0.14711909777462</v>
      </c>
      <c r="L632" s="12" t="n">
        <f aca="false">(rv_mu_4+rv_mu_5)/($G629+$H629)+dr_mu/100*1</f>
        <v>0.14711909777462</v>
      </c>
      <c r="M632" s="12" t="n">
        <f aca="false">(rv_mu_4+rv_mu_5)/($G629+$H629)+dr_mu/100*1</f>
        <v>0.14711909777462</v>
      </c>
      <c r="N632" s="12" t="n">
        <f aca="false">(rv_mu_4+rv_mu_5)/($G629+$H629)+dr_mu/100*1</f>
        <v>0.14711909777462</v>
      </c>
      <c r="O632" s="12" t="n">
        <f aca="false">(rv_mu_4+rv_mu_5)/($G629+$H629)+dr_mu/100*2</f>
        <v>0.14911909777462</v>
      </c>
      <c r="P632" s="12" t="n">
        <f aca="false">(rv_mu_4+rv_mu_5)/($G629+$H629)+dr_mu/100*2</f>
        <v>0.14911909777462</v>
      </c>
      <c r="Q632" s="12" t="n">
        <f aca="false">(rv_mu_4+rv_mu_5)/($G629+$H629)+dr_mu/100*2</f>
        <v>0.14911909777462</v>
      </c>
      <c r="R632" s="12" t="n">
        <f aca="false">(rv_mu_4+rv_mu_5)/($G629+$H629)+dr_mu/100*2</f>
        <v>0.14911909777462</v>
      </c>
      <c r="S632" s="12" t="n">
        <f aca="false">(rv_mu_4+rv_mu_5)/($G629+$H629)+dr_mu/100*3</f>
        <v>0.15111909777462</v>
      </c>
      <c r="T632" s="12" t="n">
        <f aca="false">(rv_mu_4+rv_mu_5)/($G629+$H629)+dr_mu/100*3</f>
        <v>0.15111909777462</v>
      </c>
      <c r="U632" s="12" t="n">
        <f aca="false">(rv_mu_4+rv_mu_5)/($G629+$H629)+dr_mu/100*3</f>
        <v>0.15111909777462</v>
      </c>
      <c r="V632" s="12" t="n">
        <f aca="false">(rv_mu_4+rv_mu_5)/($G629+$H629)+dr_mu/100*3</f>
        <v>0.15111909777462</v>
      </c>
      <c r="W632" s="12" t="n">
        <f aca="false">(rv_mu_4+rv_mu_5)/($G629+$H629)+dr_mu/100*4</f>
        <v>0.15311909777462</v>
      </c>
      <c r="X632" s="12" t="n">
        <f aca="false">(rv_mu_4+rv_mu_5)/($G629+$H629)+dr_mu/100*4</f>
        <v>0.15311909777462</v>
      </c>
      <c r="Y632" s="12" t="n">
        <f aca="false">(rv_mu_4+rv_mu_5)/($G629+$H629)+dr_mu/100*4</f>
        <v>0.15311909777462</v>
      </c>
      <c r="Z632" s="12" t="n">
        <f aca="false">(rv_mu_4+rv_mu_5)/($G629+$H629)+dr_mu/100*4</f>
        <v>0.15311909777462</v>
      </c>
      <c r="AB632" s="8" t="s">
        <v>542</v>
      </c>
    </row>
    <row r="633" customFormat="false" ht="17.15" hidden="false" customHeight="false" outlineLevel="0" collapsed="false">
      <c r="A633" s="5" t="s">
        <v>457</v>
      </c>
      <c r="B633" s="0" t="s">
        <v>25</v>
      </c>
      <c r="C633" s="12" t="n">
        <f aca="false">rv_kx_0/C629</f>
        <v>0.148428927680798</v>
      </c>
      <c r="D633" s="12" t="n">
        <f aca="false">rv_kx_1/D629</f>
        <v>0.135396153846154</v>
      </c>
      <c r="E633" s="12" t="n">
        <f aca="false">rv_kx_2/E629</f>
        <v>0.151134502923977</v>
      </c>
      <c r="F633" s="12" t="n">
        <f aca="false">rv_kx_3/F629</f>
        <v>0.140424242424242</v>
      </c>
      <c r="G633" s="12" t="n">
        <f aca="false">rv_kx_4/G629</f>
        <v>0.13559383033419</v>
      </c>
      <c r="H633" s="12" t="n">
        <f aca="false">rv_kx_5/H629</f>
        <v>0.136208152645273</v>
      </c>
      <c r="I633" s="12" t="n">
        <f aca="false">kx_g/kx_fxg/kx_k/$I629</f>
        <v>0.144904344872829</v>
      </c>
      <c r="J633" s="12" t="n">
        <f aca="false">(kx_g/kx_fxg/kx_k/$I629+kx_g4/kx_fxg4/kx_k/$J629)/2</f>
        <v>0.138512987387224</v>
      </c>
      <c r="K633" s="12" t="n">
        <f aca="false">(kx_g/kx_fxg/kx_k/$I629+kx_g4/kx_fxg4/kx_k/$J629)/2+dr_jv_A/100*1*(kx_g/kx_fxg/kx_k)/(kx_g/kx_fxg/kx_k+sd_g/sd_k)</f>
        <v>0.138512987387224</v>
      </c>
      <c r="L633" s="12" t="n">
        <f aca="false">(kx_g/kx_fxg/kx_k/$I629+kx_g4/kx_fxg4/kx_k/$J629)/2+dr_jv_A/100*1*(kx_g/kx_fxg/kx_k)/(kx_g/kx_fxg/kx_k+sd_g/sd_k)</f>
        <v>0.138512987387224</v>
      </c>
      <c r="M633" s="12" t="n">
        <f aca="false">(kx_g/kx_fxg/kx_k/$I629+kx_g4/kx_fxg4/kx_k/$J629)/2+dr_jv_A/100*1*(kx_g/kx_fxg/kx_k)/(kx_g/kx_fxg/kx_k+sd_g/sd_k)</f>
        <v>0.138512987387224</v>
      </c>
      <c r="N633" s="12" t="n">
        <f aca="false">(kx_g/kx_fxg/kx_k/$I629+kx_g4/kx_fxg4/kx_k/$J629)/2+dr_jv_A/100*1*(kx_g/kx_fxg/kx_k)/(kx_g/kx_fxg/kx_k+sd_g/sd_k)</f>
        <v>0.138512987387224</v>
      </c>
      <c r="O633" s="12" t="n">
        <f aca="false">(kx_g/kx_fxg/kx_k/$I629+kx_g4/kx_fxg4/kx_k/$J629)/2+dr_jv_A/100*2*(kx_g/kx_fxg/kx_k)/(kx_g/kx_fxg/kx_k+sd_g/sd_k)</f>
        <v>0.138512987387224</v>
      </c>
      <c r="P633" s="12" t="n">
        <f aca="false">(kx_g/kx_fxg/kx_k/$I629+kx_g4/kx_fxg4/kx_k/$J629)/2+dr_jv_A/100*2*(kx_g/kx_fxg/kx_k)/(kx_g/kx_fxg/kx_k+sd_g/sd_k)</f>
        <v>0.138512987387224</v>
      </c>
      <c r="Q633" s="12" t="n">
        <f aca="false">(kx_g/kx_fxg/kx_k/$I629+kx_g4/kx_fxg4/kx_k/$J629)/2+dr_jv_A/100*2*(kx_g/kx_fxg/kx_k)/(kx_g/kx_fxg/kx_k+sd_g/sd_k)</f>
        <v>0.138512987387224</v>
      </c>
      <c r="R633" s="12" t="n">
        <f aca="false">(kx_g/kx_fxg/kx_k/$I629+kx_g4/kx_fxg4/kx_k/$J629)/2+dr_jv_A/100*2*(kx_g/kx_fxg/kx_k)/(kx_g/kx_fxg/kx_k+sd_g/sd_k)</f>
        <v>0.138512987387224</v>
      </c>
      <c r="S633" s="12" t="n">
        <f aca="false">(kx_g/kx_fxg/kx_k/$I629+kx_g4/kx_fxg4/kx_k/$J629)/2+dr_jv_A/100*3*(kx_g/kx_fxg/kx_k)/(kx_g/kx_fxg/kx_k+sd_g/sd_k)</f>
        <v>0.138512987387224</v>
      </c>
      <c r="T633" s="12" t="n">
        <f aca="false">(kx_g/kx_fxg/kx_k/$I629+kx_g4/kx_fxg4/kx_k/$J629)/2+dr_jv_A/100*3*(kx_g/kx_fxg/kx_k)/(kx_g/kx_fxg/kx_k+sd_g/sd_k)</f>
        <v>0.138512987387224</v>
      </c>
      <c r="U633" s="12" t="n">
        <f aca="false">(kx_g/kx_fxg/kx_k/$I629+kx_g4/kx_fxg4/kx_k/$J629)/2+dr_jv_A/100*3*(kx_g/kx_fxg/kx_k)/(kx_g/kx_fxg/kx_k+sd_g/sd_k)</f>
        <v>0.138512987387224</v>
      </c>
      <c r="V633" s="12" t="n">
        <f aca="false">(kx_g/kx_fxg/kx_k/$I629+kx_g4/kx_fxg4/kx_k/$J629)/2+dr_jv_A/100*3*(kx_g/kx_fxg/kx_k)/(kx_g/kx_fxg/kx_k+sd_g/sd_k)</f>
        <v>0.138512987387224</v>
      </c>
      <c r="W633" s="12" t="n">
        <f aca="false">(kx_g/kx_fxg/kx_k/$I629+kx_g4/kx_fxg4/kx_k/$J629)/2+dr_jv_A/100*4*(kx_g/kx_fxg/kx_k)/(kx_g/kx_fxg/kx_k+sd_g/sd_k)</f>
        <v>0.138512987387224</v>
      </c>
      <c r="X633" s="12" t="n">
        <f aca="false">(kx_g/kx_fxg/kx_k/$I629+kx_g4/kx_fxg4/kx_k/$J629)/2+dr_jv_A/100*4*(kx_g/kx_fxg/kx_k)/(kx_g/kx_fxg/kx_k+sd_g/sd_k)</f>
        <v>0.138512987387224</v>
      </c>
      <c r="Y633" s="12" t="n">
        <f aca="false">(kx_g/kx_fxg/kx_k/$I629+kx_g4/kx_fxg4/kx_k/$J629)/2+dr_jv_A/100*4*(kx_g/kx_fxg/kx_k)/(kx_g/kx_fxg/kx_k+sd_g/sd_k)</f>
        <v>0.138512987387224</v>
      </c>
      <c r="Z633" s="12" t="n">
        <f aca="false">(kx_g/kx_fxg/kx_k/$I629+kx_g4/kx_fxg4/kx_k/$J629)/2+dr_jv_A/100*4*(kx_g/kx_fxg/kx_k)/(kx_g/kx_fxg/kx_k+sd_g/sd_k)</f>
        <v>0.138512987387224</v>
      </c>
      <c r="AB633" s="8" t="s">
        <v>543</v>
      </c>
    </row>
    <row r="634" customFormat="false" ht="17.15" hidden="false" customHeight="false" outlineLevel="0" collapsed="false">
      <c r="A634" s="5" t="s">
        <v>458</v>
      </c>
      <c r="B634" s="0" t="s">
        <v>25</v>
      </c>
      <c r="C634" s="12" t="n">
        <f aca="false">rv_sd_0/C629</f>
        <v>0.130648379052369</v>
      </c>
      <c r="D634" s="12" t="n">
        <f aca="false">rv_sd_1/D629</f>
        <v>0.120211538461538</v>
      </c>
      <c r="E634" s="12" t="n">
        <f aca="false">rv_sd_2/E629</f>
        <v>0.122929824561404</v>
      </c>
      <c r="F634" s="12" t="n">
        <f aca="false">rv_sd_3/F629</f>
        <v>0.128545454545455</v>
      </c>
      <c r="G634" s="12" t="n">
        <f aca="false">rv_sd_4/G629</f>
        <v>0.135366323907455</v>
      </c>
      <c r="H634" s="12" t="n">
        <f aca="false">rv_sd_5/H629</f>
        <v>0.113972679965308</v>
      </c>
      <c r="I634" s="12" t="n">
        <f aca="false">sd_g/sd_k/$I629</f>
        <v>0.106969261015561</v>
      </c>
      <c r="J634" s="12" t="n">
        <f aca="false">(sd_g/sd_k/$I629+sd_g4/sd_k/$J629)/2</f>
        <v>0.106513670372059</v>
      </c>
      <c r="K634" s="12" t="n">
        <f aca="false">(sd_g/sd_k/$I629+sd_g4/sd_k/$J629)/2+dr_jv_A/100*1*(sd_g/sd_k)/(kx_g/kx_fxg/kx_k+sd_g/sd_k)</f>
        <v>0.106513670372059</v>
      </c>
      <c r="L634" s="12" t="n">
        <f aca="false">(sd_g/sd_k/$I629+sd_g4/sd_k/$J629)/2+dr_jv_A/100*1*(sd_g/sd_k)/(kx_g/kx_fxg/kx_k+sd_g/sd_k)</f>
        <v>0.106513670372059</v>
      </c>
      <c r="M634" s="12" t="n">
        <f aca="false">(sd_g/sd_k/$I629+sd_g4/sd_k/$J629)/2+dr_jv_A/100*1*(sd_g/sd_k)/(kx_g/kx_fxg/kx_k+sd_g/sd_k)</f>
        <v>0.106513670372059</v>
      </c>
      <c r="N634" s="12" t="n">
        <f aca="false">(sd_g/sd_k/$I629+sd_g4/sd_k/$J629)/2+dr_jv_A/100*1*(sd_g/sd_k)/(kx_g/kx_fxg/kx_k+sd_g/sd_k)</f>
        <v>0.106513670372059</v>
      </c>
      <c r="O634" s="12" t="n">
        <f aca="false">(sd_g/sd_k/$I629+sd_g4/sd_k/$J629)/2+dr_jv_A/100*2*(sd_g/sd_k)/(kx_g/kx_fxg/kx_k+sd_g/sd_k)</f>
        <v>0.106513670372059</v>
      </c>
      <c r="P634" s="12" t="n">
        <f aca="false">(sd_g/sd_k/$I629+sd_g4/sd_k/$J629)/2+dr_jv_A/100*2*(sd_g/sd_k)/(kx_g/kx_fxg/kx_k+sd_g/sd_k)</f>
        <v>0.106513670372059</v>
      </c>
      <c r="Q634" s="12" t="n">
        <f aca="false">(sd_g/sd_k/$I629+sd_g4/sd_k/$J629)/2+dr_jv_A/100*2*(sd_g/sd_k)/(kx_g/kx_fxg/kx_k+sd_g/sd_k)</f>
        <v>0.106513670372059</v>
      </c>
      <c r="R634" s="12" t="n">
        <f aca="false">(sd_g/sd_k/$I629+sd_g4/sd_k/$J629)/2+dr_jv_A/100*2*(sd_g/sd_k)/(kx_g/kx_fxg/kx_k+sd_g/sd_k)</f>
        <v>0.106513670372059</v>
      </c>
      <c r="S634" s="12" t="n">
        <f aca="false">(sd_g/sd_k/$I629+sd_g4/sd_k/$J629)/2+dr_jv_A/100*3*(sd_g/sd_k)/(kx_g/kx_fxg/kx_k+sd_g/sd_k)</f>
        <v>0.106513670372059</v>
      </c>
      <c r="T634" s="12" t="n">
        <f aca="false">(sd_g/sd_k/$I629+sd_g4/sd_k/$J629)/2+dr_jv_A/100*3*(sd_g/sd_k)/(kx_g/kx_fxg/kx_k+sd_g/sd_k)</f>
        <v>0.106513670372059</v>
      </c>
      <c r="U634" s="12" t="n">
        <f aca="false">(sd_g/sd_k/$I629+sd_g4/sd_k/$J629)/2+dr_jv_A/100*3*(sd_g/sd_k)/(kx_g/kx_fxg/kx_k+sd_g/sd_k)</f>
        <v>0.106513670372059</v>
      </c>
      <c r="V634" s="12" t="n">
        <f aca="false">(sd_g/sd_k/$I629+sd_g4/sd_k/$J629)/2+dr_jv_A/100*3*(sd_g/sd_k)/(kx_g/kx_fxg/kx_k+sd_g/sd_k)</f>
        <v>0.106513670372059</v>
      </c>
      <c r="W634" s="12" t="n">
        <f aca="false">(sd_g/sd_k/$I629+sd_g4/sd_k/$J629)/2+dr_jv_A/100*4*(sd_g/sd_k)/(kx_g/kx_fxg/kx_k+sd_g/sd_k)</f>
        <v>0.106513670372059</v>
      </c>
      <c r="X634" s="12" t="n">
        <f aca="false">(sd_g/sd_k/$I629+sd_g4/sd_k/$J629)/2+dr_jv_A/100*4*(sd_g/sd_k)/(kx_g/kx_fxg/kx_k+sd_g/sd_k)</f>
        <v>0.106513670372059</v>
      </c>
      <c r="Y634" s="12" t="n">
        <f aca="false">(sd_g/sd_k/$I629+sd_g4/sd_k/$J629)/2+dr_jv_A/100*4*(sd_g/sd_k)/(kx_g/kx_fxg/kx_k+sd_g/sd_k)</f>
        <v>0.106513670372059</v>
      </c>
      <c r="Z634" s="12" t="n">
        <f aca="false">(sd_g/sd_k/$I629+sd_g4/sd_k/$J629)/2+dr_jv_A/100*4*(sd_g/sd_k)/(kx_g/kx_fxg/kx_k+sd_g/sd_k)</f>
        <v>0.106513670372059</v>
      </c>
      <c r="AB634" s="8" t="s">
        <v>544</v>
      </c>
    </row>
    <row r="635" customFormat="false" ht="15" hidden="false" customHeight="false" outlineLevel="0" collapsed="false">
      <c r="A635" s="5" t="s">
        <v>459</v>
      </c>
      <c r="B635" s="0" t="s">
        <v>25</v>
      </c>
      <c r="C635" s="12" t="n">
        <f aca="false">1-t5_0</f>
        <v>0.07</v>
      </c>
      <c r="D635" s="12" t="n">
        <f aca="false">1-t5_1</f>
        <v>0.0712076923076923</v>
      </c>
      <c r="E635" s="12" t="n">
        <f aca="false">1-t5_2</f>
        <v>0.09</v>
      </c>
      <c r="F635" s="12" t="n">
        <f aca="false">1-t5_3</f>
        <v>0.101454545454545</v>
      </c>
      <c r="G635" s="12" t="n">
        <f aca="false">1-t5_4</f>
        <v>0.115</v>
      </c>
      <c r="H635" s="12" t="n">
        <f aca="false">1-t5_5</f>
        <v>0.124938855160451</v>
      </c>
      <c r="I635" s="12" t="n">
        <f aca="false">1-I630-I631-I632-I633-I634</f>
        <v>0.127130794252464</v>
      </c>
      <c r="J635" s="12" t="n">
        <f aca="false">1-J630-J631-J632-J633-J634</f>
        <v>0.133977742381572</v>
      </c>
      <c r="K635" s="12" t="n">
        <f aca="false">1-K630-K631-K632-K633-K634</f>
        <v>0.136977742381572</v>
      </c>
      <c r="L635" s="12" t="n">
        <f aca="false">1-L630-L631-L632-L633-L634</f>
        <v>0.136977742381572</v>
      </c>
      <c r="M635" s="12" t="n">
        <f aca="false">1-M630-M631-M632-M633-M634</f>
        <v>0.136977742381572</v>
      </c>
      <c r="N635" s="12" t="n">
        <f aca="false">1-N630-N631-N632-N633-N634</f>
        <v>0.136977742381572</v>
      </c>
      <c r="O635" s="12" t="n">
        <f aca="false">1-O630-O631-O632-O633-O634</f>
        <v>0.139977742381572</v>
      </c>
      <c r="P635" s="12" t="n">
        <f aca="false">1-P630-P631-P632-P633-P634</f>
        <v>0.139977742381572</v>
      </c>
      <c r="Q635" s="12" t="n">
        <f aca="false">1-Q630-Q631-Q632-Q633-Q634</f>
        <v>0.139977742381572</v>
      </c>
      <c r="R635" s="12" t="n">
        <f aca="false">1-R630-R631-R632-R633-R634</f>
        <v>0.139977742381572</v>
      </c>
      <c r="S635" s="12" t="n">
        <f aca="false">1-S630-S631-S632-S633-S634</f>
        <v>0.142977742381572</v>
      </c>
      <c r="T635" s="12" t="n">
        <f aca="false">1-T630-T631-T632-T633-T634</f>
        <v>0.142977742381572</v>
      </c>
      <c r="U635" s="12" t="n">
        <f aca="false">1-U630-U631-U632-U633-U634</f>
        <v>0.142977742381572</v>
      </c>
      <c r="V635" s="12" t="n">
        <f aca="false">1-V630-V631-V632-V633-V634</f>
        <v>0.142977742381572</v>
      </c>
      <c r="W635" s="12" t="n">
        <f aca="false">1-W630-W631-W632-W633-W634</f>
        <v>0.145977742381572</v>
      </c>
      <c r="X635" s="12" t="n">
        <f aca="false">1-X630-X631-X632-X633-X634</f>
        <v>0.145977742381572</v>
      </c>
      <c r="Y635" s="12" t="n">
        <f aca="false">1-Y630-Y631-Y632-Y633-Y634</f>
        <v>0.145977742381572</v>
      </c>
      <c r="Z635" s="12" t="n">
        <f aca="false">1-Z630-Z631-Z632-Z633-Z634</f>
        <v>0.145977742381572</v>
      </c>
      <c r="AB635" s="5" t="s">
        <v>545</v>
      </c>
    </row>
    <row r="636" customFormat="false" ht="17.15" hidden="false" customHeight="false" outlineLevel="0" collapsed="false">
      <c r="A636" s="5" t="s">
        <v>546</v>
      </c>
      <c r="B636" s="0" t="s">
        <v>285</v>
      </c>
      <c r="C636" s="19" t="n">
        <f aca="false">C629*C630</f>
        <v>4.2</v>
      </c>
      <c r="D636" s="19" t="n">
        <f aca="false">D629*D630</f>
        <v>5.2</v>
      </c>
      <c r="E636" s="19" t="n">
        <f aca="false">E629*E630</f>
        <v>6</v>
      </c>
      <c r="F636" s="19" t="n">
        <f aca="false">F629*F630</f>
        <v>6.6</v>
      </c>
      <c r="G636" s="19" t="n">
        <f aca="false">G629*G630</f>
        <v>13.51</v>
      </c>
      <c r="H636" s="19" t="n">
        <f aca="false">H629*H630</f>
        <v>23.06</v>
      </c>
      <c r="I636" s="19" t="n">
        <f aca="false">I629*I630</f>
        <v>30.7629206934451</v>
      </c>
      <c r="J636" s="19" t="n">
        <f aca="false">J629*J630</f>
        <v>34.877841715768</v>
      </c>
      <c r="K636" s="19" t="n">
        <f aca="false">K629*K630</f>
        <v>37.7866114830214</v>
      </c>
      <c r="L636" s="19" t="n">
        <f aca="false">L629*L630</f>
        <v>39.9544771249401</v>
      </c>
      <c r="M636" s="19" t="n">
        <f aca="false">M629*M630</f>
        <v>40.1343801598198</v>
      </c>
      <c r="N636" s="19" t="n">
        <f aca="false">N629*N630</f>
        <v>39.4663544390031</v>
      </c>
      <c r="O636" s="19" t="n">
        <f aca="false">O629*O630</f>
        <v>38.9678776088025</v>
      </c>
      <c r="P636" s="19" t="n">
        <f aca="false">P629*P630</f>
        <v>39.1433382817759</v>
      </c>
      <c r="Q636" s="19" t="n">
        <f aca="false">Q629*Q630</f>
        <v>39.3195890015687</v>
      </c>
      <c r="R636" s="19" t="n">
        <f aca="false">R629*R630</f>
        <v>39.4966333255248</v>
      </c>
      <c r="S636" s="19" t="n">
        <f aca="false">S629*S630</f>
        <v>37.8514940060024</v>
      </c>
      <c r="T636" s="19" t="n">
        <f aca="false">T629*T630</f>
        <v>38.0302472265988</v>
      </c>
      <c r="U636" s="19" t="n">
        <f aca="false">U629*U630</f>
        <v>38.2098446071078</v>
      </c>
      <c r="V636" s="19" t="n">
        <f aca="false">V629*V630</f>
        <v>38.3902901340644</v>
      </c>
      <c r="W636" s="19" t="n">
        <f aca="false">W629*W630</f>
        <v>37.5575971393676</v>
      </c>
      <c r="X636" s="19" t="n">
        <f aca="false">X629*X630</f>
        <v>37.5663195111624</v>
      </c>
      <c r="Y636" s="19" t="n">
        <f aca="false">Y629*Y630</f>
        <v>37.5750439086398</v>
      </c>
      <c r="Z636" s="19" t="n">
        <f aca="false">Z629*Z630</f>
        <v>37.5837703322703</v>
      </c>
    </row>
    <row r="637" customFormat="false" ht="17.15" hidden="false" customHeight="false" outlineLevel="0" collapsed="false">
      <c r="A637" s="0" t="s">
        <v>547</v>
      </c>
      <c r="B637" s="0" t="s">
        <v>285</v>
      </c>
      <c r="C637" s="19" t="n">
        <f aca="false">C629*C631</f>
        <v>2.19</v>
      </c>
      <c r="D637" s="19" t="n">
        <f aca="false">D629*D631</f>
        <v>3.34</v>
      </c>
      <c r="E637" s="19" t="n">
        <f aca="false">E629*E631</f>
        <v>3.53</v>
      </c>
      <c r="F637" s="19" t="n">
        <f aca="false">F629*F631</f>
        <v>5.21</v>
      </c>
      <c r="G637" s="19" t="n">
        <f aca="false">G629*G631</f>
        <v>7.53</v>
      </c>
      <c r="H637" s="19" t="n">
        <f aca="false">H629*H631</f>
        <v>14.27</v>
      </c>
      <c r="I637" s="19" t="n">
        <f aca="false">I629*I631</f>
        <v>18.3383010969949</v>
      </c>
      <c r="J637" s="19" t="n">
        <f aca="false">J629*J631</f>
        <v>20.7912756194625</v>
      </c>
      <c r="K637" s="19" t="n">
        <f aca="false">K629*K631</f>
        <v>22.9094407104865</v>
      </c>
      <c r="L637" s="19" t="n">
        <f aca="false">L629*L631</f>
        <v>24.2237842687638</v>
      </c>
      <c r="M637" s="19" t="n">
        <f aca="false">M629*M631</f>
        <v>24.3328567086957</v>
      </c>
      <c r="N637" s="19" t="n">
        <f aca="false">N629*N631</f>
        <v>23.9278430003084</v>
      </c>
      <c r="O637" s="19" t="n">
        <f aca="false">O629*O631</f>
        <v>24.0355829054114</v>
      </c>
      <c r="P637" s="19" t="n">
        <f aca="false">P629*P631</f>
        <v>24.143807931014</v>
      </c>
      <c r="Q637" s="19" t="n">
        <f aca="false">Q629*Q631</f>
        <v>24.2525202614684</v>
      </c>
      <c r="R637" s="19" t="n">
        <f aca="false">R629*R631</f>
        <v>24.3617220909624</v>
      </c>
      <c r="S637" s="19" t="n">
        <f aca="false">S629*S631</f>
        <v>23.7592696716564</v>
      </c>
      <c r="T637" s="19" t="n">
        <f aca="false">T629*T631</f>
        <v>23.8714725340362</v>
      </c>
      <c r="U637" s="19" t="n">
        <f aca="false">U629*U631</f>
        <v>23.9842052730705</v>
      </c>
      <c r="V637" s="19" t="n">
        <f aca="false">V629*V631</f>
        <v>24.0974703910953</v>
      </c>
      <c r="W637" s="19" t="n">
        <f aca="false">W629*W631</f>
        <v>23.9985753994005</v>
      </c>
      <c r="X637" s="19" t="n">
        <f aca="false">X629*X631</f>
        <v>24.0041488256344</v>
      </c>
      <c r="Y637" s="19" t="n">
        <f aca="false">Y629*Y631</f>
        <v>24.0097235462402</v>
      </c>
      <c r="Z637" s="19" t="n">
        <f aca="false">Z629*Z631</f>
        <v>24.0152995615184</v>
      </c>
    </row>
    <row r="638" customFormat="false" ht="17.15" hidden="false" customHeight="false" outlineLevel="0" collapsed="false">
      <c r="A638" s="5" t="s">
        <v>548</v>
      </c>
      <c r="B638" s="0" t="s">
        <v>285</v>
      </c>
      <c r="C638" s="19" t="n">
        <f aca="false">C629*C632</f>
        <v>2.03</v>
      </c>
      <c r="D638" s="19" t="n">
        <f aca="false">D629*D632</f>
        <v>2.1</v>
      </c>
      <c r="E638" s="19" t="n">
        <f aca="false">E629*E632</f>
        <v>2.42</v>
      </c>
      <c r="F638" s="19" t="n">
        <f aca="false">F629*F632</f>
        <v>3.03</v>
      </c>
      <c r="G638" s="19" t="n">
        <f aca="false">G629*G632</f>
        <v>5.95</v>
      </c>
      <c r="H638" s="19" t="n">
        <f aca="false">H629*H632</f>
        <v>11.85</v>
      </c>
      <c r="I638" s="19" t="n">
        <f aca="false">I629*I632</f>
        <v>14.973475207638</v>
      </c>
      <c r="J638" s="19" t="n">
        <f aca="false">J629*J632</f>
        <v>16.976362661763</v>
      </c>
      <c r="K638" s="19" t="n">
        <f aca="false">K629*K632</f>
        <v>18.963673909528</v>
      </c>
      <c r="L638" s="19" t="n">
        <f aca="false">L629*L632</f>
        <v>20.0516438411925</v>
      </c>
      <c r="M638" s="19" t="n">
        <f aca="false">M629*M632</f>
        <v>20.1419303833008</v>
      </c>
      <c r="N638" s="19" t="n">
        <f aca="false">N629*N632</f>
        <v>19.8066734910961</v>
      </c>
      <c r="O638" s="19" t="n">
        <f aca="false">O629*O632</f>
        <v>20.1663298031157</v>
      </c>
      <c r="P638" s="19" t="n">
        <f aca="false">P629*P632</f>
        <v>20.2571327417356</v>
      </c>
      <c r="Q638" s="19" t="n">
        <f aca="false">Q629*Q632</f>
        <v>20.3483445387715</v>
      </c>
      <c r="R638" s="19" t="n">
        <f aca="false">R629*R632</f>
        <v>20.4399670351905</v>
      </c>
      <c r="S638" s="19" t="n">
        <f aca="false">S629*S632</f>
        <v>20.2018609715657</v>
      </c>
      <c r="T638" s="19" t="n">
        <f aca="false">T629*T632</f>
        <v>20.2972640145773</v>
      </c>
      <c r="U638" s="19" t="n">
        <f aca="false">U629*U632</f>
        <v>20.3931175973005</v>
      </c>
      <c r="V638" s="19" t="n">
        <f aca="false">V629*V632</f>
        <v>20.4894238474036</v>
      </c>
      <c r="W638" s="19" t="n">
        <f aca="false">W629*W632</f>
        <v>20.6753924769024</v>
      </c>
      <c r="X638" s="19" t="n">
        <f aca="false">X629*X632</f>
        <v>20.6801941275383</v>
      </c>
      <c r="Y638" s="19" t="n">
        <f aca="false">Y629*Y632</f>
        <v>20.684996893309</v>
      </c>
      <c r="Z638" s="19" t="n">
        <f aca="false">Z629*Z632</f>
        <v>20.6898007744734</v>
      </c>
    </row>
    <row r="639" customFormat="false" ht="17.15" hidden="false" customHeight="false" outlineLevel="0" collapsed="false">
      <c r="A639" s="0" t="s">
        <v>549</v>
      </c>
      <c r="B639" s="0" t="s">
        <v>285</v>
      </c>
      <c r="C639" s="19" t="n">
        <f aca="false">C629*C633</f>
        <v>1.92</v>
      </c>
      <c r="D639" s="19" t="n">
        <f aca="false">D629*D633</f>
        <v>2.14</v>
      </c>
      <c r="E639" s="19" t="n">
        <f aca="false">E629*E633</f>
        <v>2.84</v>
      </c>
      <c r="F639" s="19" t="n">
        <f aca="false">F629*F633</f>
        <v>3.31</v>
      </c>
      <c r="G639" s="19" t="n">
        <f aca="false">G629*G633</f>
        <v>5.96</v>
      </c>
      <c r="H639" s="19" t="n">
        <f aca="false">H629*H633</f>
        <v>10.72</v>
      </c>
      <c r="I639" s="19" t="n">
        <f aca="false">I629*I633</f>
        <v>14.9513168749304</v>
      </c>
      <c r="J639" s="19" t="n">
        <f aca="false">J629*J633</f>
        <v>16.2035648188888</v>
      </c>
      <c r="K639" s="19" t="n">
        <f aca="false">K629*K633</f>
        <v>17.8543449815733</v>
      </c>
      <c r="L639" s="19" t="n">
        <f aca="false">L629*L633</f>
        <v>18.8786713110699</v>
      </c>
      <c r="M639" s="19" t="n">
        <f aca="false">M629*M633</f>
        <v>18.9636763094518</v>
      </c>
      <c r="N639" s="19" t="n">
        <f aca="false">N629*N633</f>
        <v>18.6480311322868</v>
      </c>
      <c r="O639" s="19" t="n">
        <f aca="false">O629*O633</f>
        <v>18.7319976270738</v>
      </c>
      <c r="P639" s="19" t="n">
        <f aca="false">P629*P633</f>
        <v>18.8163421978194</v>
      </c>
      <c r="Q639" s="19" t="n">
        <f aca="false">Q629*Q633</f>
        <v>18.9010665468864</v>
      </c>
      <c r="R639" s="19" t="n">
        <f aca="false">R629*R633</f>
        <v>18.9861723843027</v>
      </c>
      <c r="S639" s="19" t="n">
        <f aca="false">S629*S633</f>
        <v>18.5166544477802</v>
      </c>
      <c r="T639" s="19" t="n">
        <f aca="false">T629*T633</f>
        <v>18.6040991234563</v>
      </c>
      <c r="U639" s="19" t="n">
        <f aca="false">U629*U633</f>
        <v>18.6919567555509</v>
      </c>
      <c r="V639" s="19" t="n">
        <f aca="false">V629*V633</f>
        <v>18.7802292942457</v>
      </c>
      <c r="W639" s="19" t="n">
        <f aca="false">W629*W633</f>
        <v>18.7031560334454</v>
      </c>
      <c r="X639" s="19" t="n">
        <f aca="false">X629*X633</f>
        <v>18.7074996521294</v>
      </c>
      <c r="Y639" s="19" t="n">
        <f aca="false">Y629*Y633</f>
        <v>18.7118442795748</v>
      </c>
      <c r="Z639" s="19" t="n">
        <f aca="false">Z629*Z633</f>
        <v>18.7161899160161</v>
      </c>
    </row>
    <row r="640" customFormat="false" ht="17.15" hidden="false" customHeight="false" outlineLevel="0" collapsed="false">
      <c r="A640" s="0" t="s">
        <v>550</v>
      </c>
      <c r="B640" s="0" t="s">
        <v>285</v>
      </c>
      <c r="C640" s="19" t="n">
        <f aca="false">C629*C634</f>
        <v>1.69</v>
      </c>
      <c r="D640" s="19" t="n">
        <f aca="false">D629*D634</f>
        <v>1.9</v>
      </c>
      <c r="E640" s="19" t="n">
        <f aca="false">E629*E634</f>
        <v>2.31</v>
      </c>
      <c r="F640" s="19" t="n">
        <f aca="false">F629*F634</f>
        <v>3.03</v>
      </c>
      <c r="G640" s="19" t="n">
        <f aca="false">G629*G634</f>
        <v>5.95</v>
      </c>
      <c r="H640" s="19" t="n">
        <f aca="false">H629*H634</f>
        <v>8.97</v>
      </c>
      <c r="I640" s="19" t="n">
        <f aca="false">I629*I634</f>
        <v>11.0371522587842</v>
      </c>
      <c r="J640" s="19" t="n">
        <f aca="false">J629*J634</f>
        <v>12.4602118149868</v>
      </c>
      <c r="K640" s="19" t="n">
        <f aca="false">K629*K634</f>
        <v>13.7296281882931</v>
      </c>
      <c r="L640" s="19" t="n">
        <f aca="false">L629*L634</f>
        <v>14.5173143040247</v>
      </c>
      <c r="M640" s="19" t="n">
        <f aca="false">M629*M634</f>
        <v>14.5826814190399</v>
      </c>
      <c r="N640" s="19" t="n">
        <f aca="false">N629*N634</f>
        <v>14.3399566970533</v>
      </c>
      <c r="O640" s="19" t="n">
        <f aca="false">O629*O634</f>
        <v>14.4045252239239</v>
      </c>
      <c r="P640" s="19" t="n">
        <f aca="false">P629*P634</f>
        <v>14.4693844835178</v>
      </c>
      <c r="Q640" s="19" t="n">
        <f aca="false">Q629*Q634</f>
        <v>14.5345357849173</v>
      </c>
      <c r="R640" s="19" t="n">
        <f aca="false">R629*R634</f>
        <v>14.5999804430991</v>
      </c>
      <c r="S640" s="19" t="n">
        <f aca="false">S629*S634</f>
        <v>14.238930698466</v>
      </c>
      <c r="T640" s="19" t="n">
        <f aca="false">T629*T634</f>
        <v>14.3061738757048</v>
      </c>
      <c r="U640" s="19" t="n">
        <f aca="false">U629*U634</f>
        <v>14.3737346080312</v>
      </c>
      <c r="V640" s="19" t="n">
        <f aca="false">V629*V634</f>
        <v>14.4416143950952</v>
      </c>
      <c r="W640" s="19" t="n">
        <f aca="false">W629*W634</f>
        <v>14.3823466249731</v>
      </c>
      <c r="X640" s="19" t="n">
        <f aca="false">X629*X634</f>
        <v>14.3856867794052</v>
      </c>
      <c r="Y640" s="19" t="n">
        <f aca="false">Y629*Y634</f>
        <v>14.3890277095544</v>
      </c>
      <c r="Z640" s="19" t="n">
        <f aca="false">Z629*Z634</f>
        <v>14.3923694156008</v>
      </c>
    </row>
    <row r="641" customFormat="false" ht="17.15" hidden="false" customHeight="false" outlineLevel="0" collapsed="false">
      <c r="A641" s="5" t="s">
        <v>551</v>
      </c>
      <c r="B641" s="0" t="s">
        <v>285</v>
      </c>
      <c r="C641" s="19" t="n">
        <f aca="false">C629*C635</f>
        <v>0.905483870967741</v>
      </c>
      <c r="D641" s="19" t="n">
        <f aca="false">D629*D635</f>
        <v>1.12547112462006</v>
      </c>
      <c r="E641" s="19" t="n">
        <f aca="false">E629*E635</f>
        <v>1.69120879120879</v>
      </c>
      <c r="F641" s="19" t="n">
        <f aca="false">F629*F635</f>
        <v>2.39142857142857</v>
      </c>
      <c r="G641" s="19" t="n">
        <f aca="false">G629*G635</f>
        <v>5.05480225988701</v>
      </c>
      <c r="H641" s="19" t="n">
        <f aca="false">H629*H635</f>
        <v>9.83307167235495</v>
      </c>
      <c r="I641" s="19" t="n">
        <f aca="false">I629*I635</f>
        <v>13.1174313033769</v>
      </c>
      <c r="J641" s="19" t="n">
        <f aca="false">J629*J635</f>
        <v>15.6730215261275</v>
      </c>
      <c r="K641" s="19" t="n">
        <f aca="false">K629*K635</f>
        <v>17.6564516686126</v>
      </c>
      <c r="L641" s="19" t="n">
        <f aca="false">L629*L635</f>
        <v>18.6694246087182</v>
      </c>
      <c r="M641" s="19" t="n">
        <f aca="false">M629*M635</f>
        <v>18.7534874319173</v>
      </c>
      <c r="N641" s="19" t="n">
        <f aca="false">N629*N635</f>
        <v>18.4413407908169</v>
      </c>
      <c r="O641" s="19" t="n">
        <f aca="false">O629*O635</f>
        <v>18.9300858179065</v>
      </c>
      <c r="P641" s="19" t="n">
        <f aca="false">P629*P635</f>
        <v>19.0153223204022</v>
      </c>
      <c r="Q641" s="19" t="n">
        <f aca="false">Q629*Q635</f>
        <v>19.1009426173206</v>
      </c>
      <c r="R641" s="19" t="n">
        <f aca="false">R629*R635</f>
        <v>19.1869484367729</v>
      </c>
      <c r="S641" s="19" t="n">
        <f aca="false">S629*S635</f>
        <v>19.1135105764638</v>
      </c>
      <c r="T641" s="19" t="n">
        <f aca="false">T629*T635</f>
        <v>19.2037738979566</v>
      </c>
      <c r="U641" s="19" t="n">
        <f aca="false">U629*U635</f>
        <v>19.2944634868885</v>
      </c>
      <c r="V641" s="19" t="n">
        <f aca="false">V629*V635</f>
        <v>19.3855813563024</v>
      </c>
      <c r="W641" s="19" t="n">
        <f aca="false">W629*W635</f>
        <v>19.7111082843085</v>
      </c>
      <c r="X641" s="19" t="n">
        <f aca="false">X629*X635</f>
        <v>19.7156859897008</v>
      </c>
      <c r="Y641" s="19" t="n">
        <f aca="false">Y629*Y635</f>
        <v>19.7202647582187</v>
      </c>
      <c r="Z641" s="19" t="n">
        <f aca="false">Z629*Z635</f>
        <v>19.7248445901094</v>
      </c>
    </row>
    <row r="642" customFormat="false" ht="17.15" hidden="false" customHeight="false" outlineLevel="0" collapsed="false">
      <c r="A642" s="0" t="s">
        <v>552</v>
      </c>
      <c r="B642" s="0" t="s">
        <v>25</v>
      </c>
      <c r="C642" s="12" t="n">
        <f aca="false">C633+C634</f>
        <v>0.279077306733167</v>
      </c>
      <c r="D642" s="12" t="n">
        <f aca="false">D633+D634</f>
        <v>0.255607692307692</v>
      </c>
      <c r="E642" s="12" t="n">
        <f aca="false">E633+E634</f>
        <v>0.27406432748538</v>
      </c>
      <c r="F642" s="12" t="n">
        <f aca="false">F633+F634</f>
        <v>0.268969696969697</v>
      </c>
      <c r="G642" s="12" t="n">
        <f aca="false">G633+G634</f>
        <v>0.270960154241645</v>
      </c>
      <c r="H642" s="12" t="n">
        <f aca="false">H633+H634</f>
        <v>0.250180832610581</v>
      </c>
      <c r="I642" s="12" t="n">
        <f aca="false">I633+I634</f>
        <v>0.251873605888391</v>
      </c>
      <c r="J642" s="12" t="n">
        <f aca="false">J633+J634</f>
        <v>0.245026657759283</v>
      </c>
      <c r="K642" s="12" t="n">
        <f aca="false">K633+K634</f>
        <v>0.245026657759283</v>
      </c>
      <c r="L642" s="12" t="n">
        <f aca="false">L633+L634</f>
        <v>0.245026657759283</v>
      </c>
      <c r="M642" s="12" t="n">
        <f aca="false">M633+M634</f>
        <v>0.245026657759283</v>
      </c>
      <c r="N642" s="12" t="n">
        <f aca="false">N633+N634</f>
        <v>0.245026657759283</v>
      </c>
      <c r="O642" s="12" t="n">
        <f aca="false">O633+O634</f>
        <v>0.245026657759283</v>
      </c>
      <c r="P642" s="12" t="n">
        <f aca="false">P633+P634</f>
        <v>0.245026657759283</v>
      </c>
      <c r="Q642" s="12" t="n">
        <f aca="false">Q633+Q634</f>
        <v>0.245026657759283</v>
      </c>
      <c r="R642" s="12" t="n">
        <f aca="false">R633+R634</f>
        <v>0.245026657759283</v>
      </c>
      <c r="S642" s="12" t="n">
        <f aca="false">S633+S634</f>
        <v>0.245026657759283</v>
      </c>
      <c r="T642" s="12" t="n">
        <f aca="false">T633+T634</f>
        <v>0.245026657759283</v>
      </c>
      <c r="U642" s="12" t="n">
        <f aca="false">U633+U634</f>
        <v>0.245026657759283</v>
      </c>
      <c r="V642" s="12" t="n">
        <f aca="false">V633+V634</f>
        <v>0.245026657759283</v>
      </c>
      <c r="W642" s="12" t="n">
        <f aca="false">W633+W634</f>
        <v>0.245026657759283</v>
      </c>
      <c r="X642" s="12" t="n">
        <f aca="false">X633+X634</f>
        <v>0.245026657759283</v>
      </c>
      <c r="Y642" s="12" t="n">
        <f aca="false">Y633+Y634</f>
        <v>0.245026657759283</v>
      </c>
      <c r="Z642" s="12" t="n">
        <f aca="false">Z633+Z634</f>
        <v>0.245026657759283</v>
      </c>
    </row>
    <row r="643" customFormat="false" ht="17.15" hidden="false" customHeight="false" outlineLevel="0" collapsed="false">
      <c r="A643" s="0" t="s">
        <v>553</v>
      </c>
      <c r="B643" s="0" t="s">
        <v>222</v>
      </c>
      <c r="C643" s="19" t="n">
        <f aca="false">C628*C633</f>
        <v>35.5454438457651</v>
      </c>
      <c r="D643" s="19" t="n">
        <f aca="false">D628*D633</f>
        <v>33.3561735612603</v>
      </c>
      <c r="E643" s="19" t="n">
        <f aca="false">E628*E633</f>
        <v>38.3034616573653</v>
      </c>
      <c r="F643" s="19" t="n">
        <f aca="false">F628*F633</f>
        <v>36.6117929947199</v>
      </c>
      <c r="G643" s="19" t="n">
        <f aca="false">G628*G633</f>
        <v>38.1333152375469</v>
      </c>
      <c r="H643" s="19" t="n">
        <f aca="false">H628*H633</f>
        <v>40.1757580440862</v>
      </c>
      <c r="I643" s="19" t="n">
        <f aca="false">I628*I633</f>
        <v>44.8269021796765</v>
      </c>
      <c r="J643" s="19" t="n">
        <f aca="false">J628*J633</f>
        <v>44.9411476117569</v>
      </c>
      <c r="K643" s="19" t="n">
        <f aca="false">K628*K633</f>
        <v>48.0773237904583</v>
      </c>
      <c r="L643" s="19" t="n">
        <f aca="false">L628*L633</f>
        <v>50.835580599158</v>
      </c>
      <c r="M643" s="19" t="n">
        <f aca="false">M628*M633</f>
        <v>53.7520820858664</v>
      </c>
      <c r="N643" s="19" t="n">
        <f aca="false">N628*N633</f>
        <v>56.8359069476934</v>
      </c>
      <c r="O643" s="19" t="n">
        <f aca="false">O628*O633</f>
        <v>60.0966547380729</v>
      </c>
      <c r="P643" s="19" t="n">
        <f aca="false">P628*P633</f>
        <v>63.5444757489475</v>
      </c>
      <c r="Q643" s="19" t="n">
        <f aca="false">Q628*Q633</f>
        <v>67.190102607333</v>
      </c>
      <c r="R643" s="19" t="n">
        <f aca="false">R628*R633</f>
        <v>71.0448836846168</v>
      </c>
      <c r="S643" s="19" t="n">
        <f aca="false">S628*S633</f>
        <v>71.4309087928274</v>
      </c>
      <c r="T643" s="19" t="n">
        <f aca="false">T628*T633</f>
        <v>73.9878766925854</v>
      </c>
      <c r="U643" s="19" t="n">
        <f aca="false">U628*U633</f>
        <v>76.6363747849573</v>
      </c>
      <c r="V643" s="19" t="n">
        <f aca="false">V628*V633</f>
        <v>79.3796795194287</v>
      </c>
      <c r="W643" s="19" t="n">
        <f aca="false">W628*W633</f>
        <v>81.6211444196511</v>
      </c>
      <c r="X643" s="19" t="n">
        <f aca="false">X628*X633</f>
        <v>84.2913210855355</v>
      </c>
      <c r="Y643" s="19" t="n">
        <f aca="false">Y628*Y633</f>
        <v>87.0488506484875</v>
      </c>
      <c r="Z643" s="19" t="n">
        <f aca="false">Z628*Z633</f>
        <v>89.8965907953126</v>
      </c>
      <c r="AB643" s="5" t="s">
        <v>554</v>
      </c>
    </row>
    <row r="644" customFormat="false" ht="17.15" hidden="false" customHeight="false" outlineLevel="0" collapsed="false">
      <c r="A644" s="0" t="s">
        <v>555</v>
      </c>
      <c r="B644" s="0" t="s">
        <v>222</v>
      </c>
      <c r="C644" s="19" t="n">
        <f aca="false">C628*C634</f>
        <v>31.2873958850745</v>
      </c>
      <c r="D644" s="19" t="n">
        <f aca="false">D628*D634</f>
        <v>29.6152942833619</v>
      </c>
      <c r="E644" s="19" t="n">
        <f aca="false">E628*E634</f>
        <v>31.1552804325753</v>
      </c>
      <c r="F644" s="19" t="n">
        <f aca="false">F628*F634</f>
        <v>33.5147228924475</v>
      </c>
      <c r="G644" s="19" t="n">
        <f aca="false">G628*G634</f>
        <v>38.0693331650007</v>
      </c>
      <c r="H644" s="19" t="n">
        <f aca="false">H628*H634</f>
        <v>33.6172154529341</v>
      </c>
      <c r="I644" s="19" t="n">
        <f aca="false">I628*I634</f>
        <v>33.0914894510934</v>
      </c>
      <c r="J644" s="19" t="n">
        <f aca="false">J628*J634</f>
        <v>34.5588285485368</v>
      </c>
      <c r="K644" s="19" t="n">
        <f aca="false">K628*K634</f>
        <v>36.9704842497676</v>
      </c>
      <c r="L644" s="19" t="n">
        <f aca="false">L628*L634</f>
        <v>39.0915276411862</v>
      </c>
      <c r="M644" s="19" t="n">
        <f aca="false">M628*M634</f>
        <v>41.3342579717828</v>
      </c>
      <c r="N644" s="19" t="n">
        <f aca="false">N628*N634</f>
        <v>43.7056565750022</v>
      </c>
      <c r="O644" s="19" t="n">
        <f aca="false">O628*O634</f>
        <v>46.2131053122095</v>
      </c>
      <c r="P644" s="19" t="n">
        <f aca="false">P628*P634</f>
        <v>48.8644095514828</v>
      </c>
      <c r="Q644" s="19" t="n">
        <f aca="false">Q628*Q634</f>
        <v>51.6678224647285</v>
      </c>
      <c r="R644" s="19" t="n">
        <f aca="false">R628*R634</f>
        <v>54.6320707187528</v>
      </c>
      <c r="S644" s="19" t="n">
        <f aca="false">S628*S634</f>
        <v>54.9289161764017</v>
      </c>
      <c r="T644" s="19" t="n">
        <f aca="false">T628*T634</f>
        <v>56.8951724904423</v>
      </c>
      <c r="U644" s="19" t="n">
        <f aca="false">U628*U634</f>
        <v>58.9318136611601</v>
      </c>
      <c r="V644" s="19" t="n">
        <f aca="false">V628*V634</f>
        <v>61.0413592115764</v>
      </c>
      <c r="W644" s="19" t="n">
        <f aca="false">W628*W634</f>
        <v>62.7650001353361</v>
      </c>
      <c r="X644" s="19" t="n">
        <f aca="false">X628*X634</f>
        <v>64.8183116882094</v>
      </c>
      <c r="Y644" s="19" t="n">
        <f aca="false">Y628*Y634</f>
        <v>66.938795842438</v>
      </c>
      <c r="Z644" s="19" t="n">
        <f aca="false">Z628*Z634</f>
        <v>69.1286501010588</v>
      </c>
    </row>
    <row r="645" customFormat="false" ht="17.15" hidden="false" customHeight="false" outlineLevel="0" collapsed="false">
      <c r="A645" s="5" t="s">
        <v>556</v>
      </c>
      <c r="B645" s="0" t="s">
        <v>557</v>
      </c>
      <c r="C645" s="17" t="n">
        <f aca="false">ABS(SUM(C630:C635)-1)+ABS(SUM(I630:I635)-1)+ABS(SUM(Z630:Z635)-1)+ABS(H640-rv_sd_5)</f>
        <v>0</v>
      </c>
    </row>
    <row r="670" customFormat="false" ht="17.15" hidden="false" customHeight="false" outlineLevel="0" collapsed="false">
      <c r="A670" s="3" t="s">
        <v>703</v>
      </c>
    </row>
    <row r="671" customFormat="false" ht="17.15" hidden="false" customHeight="false" outlineLevel="0" collapsed="false">
      <c r="A671" s="9" t="s">
        <v>508</v>
      </c>
      <c r="B671" s="6" t="s">
        <v>15</v>
      </c>
      <c r="C671" s="9" t="s">
        <v>427</v>
      </c>
      <c r="D671" s="9" t="s">
        <v>428</v>
      </c>
      <c r="E671" s="9" t="s">
        <v>429</v>
      </c>
      <c r="F671" s="9" t="s">
        <v>430</v>
      </c>
      <c r="G671" s="9" t="s">
        <v>431</v>
      </c>
      <c r="H671" s="9" t="s">
        <v>432</v>
      </c>
      <c r="I671" s="9" t="s">
        <v>433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6" t="s">
        <v>434</v>
      </c>
    </row>
    <row r="672" customFormat="false" ht="17.15" hidden="false" customHeight="false" outlineLevel="0" collapsed="false">
      <c r="A672" s="5" t="s">
        <v>509</v>
      </c>
      <c r="B672" s="5" t="s">
        <v>168</v>
      </c>
      <c r="E672" s="10" t="n">
        <f aca="false">(u_26)*1</f>
        <v>15.2</v>
      </c>
      <c r="F672" s="10" t="n">
        <f aca="false">(u_27)*1</f>
        <v>23.7</v>
      </c>
      <c r="G672" s="10" t="n">
        <f aca="false">(u_28)*um28_A</f>
        <v>26.5</v>
      </c>
      <c r="H672" s="10" t="n">
        <f aca="false">(u_28*(1+g_u29))*um29_A</f>
        <v>30.15</v>
      </c>
      <c r="I672" s="10" t="n">
        <f aca="false">(u_28*(1+g_u29)*(1+g_u30))*um29_A</f>
        <v>31.6575</v>
      </c>
      <c r="AB672" s="8" t="s">
        <v>510</v>
      </c>
    </row>
    <row r="673" customFormat="false" ht="17.15" hidden="false" customHeight="false" outlineLevel="0" collapsed="false">
      <c r="A673" s="5" t="s">
        <v>511</v>
      </c>
      <c r="B673" s="0" t="s">
        <v>512</v>
      </c>
      <c r="E673" s="18" t="n">
        <f aca="false">tb_26</f>
        <v>30</v>
      </c>
      <c r="F673" s="18" t="n">
        <f aca="false">tb_27</f>
        <v>34</v>
      </c>
      <c r="G673" s="18" t="n">
        <f aca="false">tb_28</f>
        <v>40</v>
      </c>
      <c r="H673" s="18" t="n">
        <f aca="false">tb_29</f>
        <v>46</v>
      </c>
      <c r="I673" s="18" t="n">
        <f aca="false">tb_30</f>
        <v>52</v>
      </c>
    </row>
    <row r="674" customFormat="false" ht="17.15" hidden="false" customHeight="false" outlineLevel="0" collapsed="false">
      <c r="A674" s="5" t="s">
        <v>513</v>
      </c>
      <c r="B674" s="0" t="s">
        <v>222</v>
      </c>
      <c r="D674" s="10" t="n">
        <f aca="false">bits25*sh_essd25*ai25</f>
        <v>165</v>
      </c>
      <c r="E674" s="10" t="n">
        <f aca="false">E672*E673</f>
        <v>456</v>
      </c>
      <c r="F674" s="10" t="n">
        <f aca="false">F672*F673</f>
        <v>805.8</v>
      </c>
      <c r="G674" s="10" t="n">
        <f aca="false">G672*G673</f>
        <v>1060</v>
      </c>
      <c r="H674" s="10" t="n">
        <f aca="false">H672*H673</f>
        <v>1386.9</v>
      </c>
      <c r="I674" s="10" t="n">
        <f aca="false">I672*I673</f>
        <v>1646.19</v>
      </c>
      <c r="AB674" s="5" t="s">
        <v>514</v>
      </c>
    </row>
    <row r="675" customFormat="false" ht="17.15" hidden="false" customHeight="false" outlineLevel="0" collapsed="false">
      <c r="A675" s="5" t="s">
        <v>515</v>
      </c>
      <c r="B675" s="0" t="s">
        <v>222</v>
      </c>
      <c r="D675" s="10" t="n">
        <f aca="false">bits25*sh_essd25*(1-ai25)</f>
        <v>135</v>
      </c>
      <c r="E675" s="10" t="n">
        <f aca="false">D675*(1+g_nai)</f>
        <v>148.5</v>
      </c>
      <c r="F675" s="10" t="n">
        <f aca="false">E675*(1+g_nai)</f>
        <v>163.35</v>
      </c>
      <c r="G675" s="10" t="n">
        <f aca="false">F675*(1+g_nai)</f>
        <v>179.685</v>
      </c>
      <c r="H675" s="10" t="n">
        <f aca="false">G675*(1+g_nai)</f>
        <v>197.6535</v>
      </c>
      <c r="I675" s="10" t="n">
        <f aca="false">H675*(1+g_nai)</f>
        <v>217.41885</v>
      </c>
    </row>
    <row r="676" customFormat="false" ht="15" hidden="false" customHeight="false" outlineLevel="0" collapsed="false">
      <c r="A676" s="5" t="s">
        <v>516</v>
      </c>
      <c r="B676" s="0" t="s">
        <v>222</v>
      </c>
      <c r="D676" s="10" t="n">
        <f aca="false">bits25*sh_mob25</f>
        <v>320</v>
      </c>
      <c r="E676" s="10" t="n">
        <f aca="false">D676*(1+g_mob_26)</f>
        <v>304</v>
      </c>
      <c r="F676" s="10" t="n">
        <f aca="false">E676*(1+g_mob_27)</f>
        <v>313.12</v>
      </c>
      <c r="G676" s="10" t="n">
        <f aca="false">F676*(1+g_mob_28)</f>
        <v>338.1696</v>
      </c>
      <c r="H676" s="10" t="n">
        <f aca="false">G676*(1+g_mob_28)</f>
        <v>365.223168</v>
      </c>
      <c r="I676" s="10" t="n">
        <f aca="false">H676*(1+g_mob_28)</f>
        <v>394.44102144</v>
      </c>
    </row>
    <row r="677" customFormat="false" ht="17.15" hidden="false" customHeight="false" outlineLevel="0" collapsed="false">
      <c r="A677" s="5" t="s">
        <v>517</v>
      </c>
      <c r="B677" s="0" t="s">
        <v>222</v>
      </c>
      <c r="D677" s="10" t="n">
        <f aca="false">bits25*sh_pc25</f>
        <v>230</v>
      </c>
      <c r="E677" s="10" t="n">
        <f aca="false">D677*(1+g_pc_26)</f>
        <v>218.5</v>
      </c>
      <c r="F677" s="10" t="n">
        <f aca="false">E677*(1+g_pc_27)</f>
        <v>218.5</v>
      </c>
      <c r="G677" s="10" t="n">
        <f aca="false">F677*(1+g_pc_28)</f>
        <v>231.61</v>
      </c>
      <c r="H677" s="10" t="n">
        <f aca="false">G677*(1+g_pc_28)</f>
        <v>245.5066</v>
      </c>
      <c r="I677" s="10" t="n">
        <f aca="false">H677*(1+g_pc_28)</f>
        <v>260.236996</v>
      </c>
    </row>
    <row r="678" customFormat="false" ht="15" hidden="false" customHeight="false" outlineLevel="0" collapsed="false">
      <c r="A678" s="5" t="s">
        <v>518</v>
      </c>
      <c r="B678" s="0" t="s">
        <v>222</v>
      </c>
      <c r="D678" s="10" t="n">
        <f aca="false">bits25*(1-sh_essd25-sh_mob25-sh_pc25)</f>
        <v>150</v>
      </c>
      <c r="E678" s="10" t="n">
        <f aca="false">D678*(1+g_con_26)</f>
        <v>135</v>
      </c>
      <c r="F678" s="10" t="n">
        <f aca="false">E678*(1+g_con_27)</f>
        <v>135</v>
      </c>
      <c r="G678" s="10" t="n">
        <f aca="false">F678*(1+g_con_28)</f>
        <v>141.75</v>
      </c>
      <c r="H678" s="10" t="n">
        <f aca="false">G678*(1+g_con_28)</f>
        <v>148.8375</v>
      </c>
      <c r="I678" s="10" t="n">
        <f aca="false">H678*(1+g_con_28)</f>
        <v>156.279375</v>
      </c>
    </row>
    <row r="679" customFormat="false" ht="15" hidden="false" customHeight="false" outlineLevel="0" collapsed="false">
      <c r="A679" s="5" t="s">
        <v>442</v>
      </c>
      <c r="B679" s="0" t="s">
        <v>222</v>
      </c>
      <c r="D679" s="10" t="n">
        <f aca="false">SUM(D674:D678)</f>
        <v>1000</v>
      </c>
      <c r="E679" s="10" t="n">
        <f aca="false">SUM(E674:E678)</f>
        <v>1262</v>
      </c>
      <c r="F679" s="10" t="n">
        <f aca="false">SUM(F674:F678)</f>
        <v>1635.77</v>
      </c>
      <c r="G679" s="10" t="n">
        <f aca="false">SUM(G674:G678)</f>
        <v>1951.2146</v>
      </c>
      <c r="H679" s="10" t="n">
        <f aca="false">SUM(H674:H678)</f>
        <v>2344.120768</v>
      </c>
      <c r="I679" s="10" t="n">
        <f aca="false">SUM(I674:I678)</f>
        <v>2674.56624244</v>
      </c>
    </row>
    <row r="680" customFormat="false" ht="17.15" hidden="false" customHeight="false" outlineLevel="0" collapsed="false">
      <c r="A680" s="5" t="s">
        <v>519</v>
      </c>
      <c r="B680" s="0" t="s">
        <v>25</v>
      </c>
      <c r="D680" s="12" t="n">
        <f aca="false">(D674+D675)/D679</f>
        <v>0.3</v>
      </c>
      <c r="E680" s="12" t="n">
        <f aca="false">(E674+E675)/E679</f>
        <v>0.479001584786054</v>
      </c>
      <c r="F680" s="12" t="n">
        <f aca="false">(F674+F675)/F679</f>
        <v>0.592473269469424</v>
      </c>
      <c r="G680" s="12" t="n">
        <f aca="false">(G674+G675)/G679</f>
        <v>0.635340161968858</v>
      </c>
      <c r="H680" s="12" t="n">
        <f aca="false">(H674+H675)/H679</f>
        <v>0.675969225490007</v>
      </c>
      <c r="I680" s="12" t="n">
        <f aca="false">(I674+I675)/I679</f>
        <v>0.696789191618539</v>
      </c>
    </row>
    <row r="681" customFormat="false" ht="17.15" hidden="false" customHeight="false" outlineLevel="0" collapsed="false">
      <c r="A681" s="5" t="s">
        <v>520</v>
      </c>
      <c r="B681" s="0" t="s">
        <v>222</v>
      </c>
      <c r="D681" s="10" t="n">
        <f aca="false">bits25</f>
        <v>1000</v>
      </c>
      <c r="E681" s="10" t="n">
        <f aca="false">D681*(1+gs_26)</f>
        <v>1210</v>
      </c>
      <c r="F681" s="10" t="n">
        <f aca="false">E681*(1+gs_27)</f>
        <v>1512.5</v>
      </c>
      <c r="G681" s="10" t="n">
        <f aca="false">F681*(1+gs_28)</f>
        <v>1890.625</v>
      </c>
      <c r="H681" s="10" t="n">
        <f aca="false">G681*(1+gs_29)</f>
        <v>2306.5625</v>
      </c>
      <c r="I681" s="10" t="n">
        <f aca="false">H681*(1+gs_30)</f>
        <v>2767.875</v>
      </c>
      <c r="AB681" s="8" t="s">
        <v>521</v>
      </c>
    </row>
    <row r="682" customFormat="false" ht="17.15" hidden="false" customHeight="false" outlineLevel="0" collapsed="false">
      <c r="A682" s="5" t="s">
        <v>522</v>
      </c>
      <c r="B682" s="0" t="s">
        <v>25</v>
      </c>
      <c r="E682" s="12" t="n">
        <f aca="false">E679/E681-1</f>
        <v>0.0429752066115703</v>
      </c>
      <c r="F682" s="12" t="n">
        <f aca="false">F679/F681-1</f>
        <v>0.0815008264462809</v>
      </c>
      <c r="G682" s="12" t="n">
        <f aca="false">G679/G681-1</f>
        <v>0.0320473917355373</v>
      </c>
      <c r="H682" s="12" t="n">
        <f aca="false">H679/H681-1</f>
        <v>0.0162832214605071</v>
      </c>
      <c r="I682" s="12" t="n">
        <f aca="false">I679/I681-1</f>
        <v>-0.0337113336259763</v>
      </c>
    </row>
    <row r="683" customFormat="false" ht="17.15" hidden="false" customHeight="false" outlineLevel="0" collapsed="false">
      <c r="A683" s="5" t="s">
        <v>523</v>
      </c>
      <c r="B683" s="0" t="s">
        <v>222</v>
      </c>
      <c r="C683" s="10" t="n">
        <f aca="false">bits25/(1+g25)</f>
        <v>892.857142857143</v>
      </c>
      <c r="D683" s="10" t="n">
        <f aca="false">bits25</f>
        <v>1000</v>
      </c>
      <c r="E683" s="10" t="n">
        <f aca="false">MIN(E679,E681)</f>
        <v>1210</v>
      </c>
      <c r="F683" s="10" t="n">
        <f aca="false">MIN(F679,F681)</f>
        <v>1512.5</v>
      </c>
      <c r="G683" s="10" t="n">
        <f aca="false">MIN(G679,G681)</f>
        <v>1890.625</v>
      </c>
      <c r="H683" s="10" t="n">
        <f aca="false">MIN(H679,H681)</f>
        <v>2306.5625</v>
      </c>
      <c r="I683" s="10" t="n">
        <f aca="false">MIN(I679,I681)</f>
        <v>2674.56624244</v>
      </c>
    </row>
    <row r="684" customFormat="false" ht="15" hidden="false" customHeight="false" outlineLevel="0" collapsed="false">
      <c r="A684" s="5" t="s">
        <v>447</v>
      </c>
      <c r="B684" s="0" t="s">
        <v>25</v>
      </c>
      <c r="D684" s="12" t="n">
        <f aca="false">D683/C683-1</f>
        <v>0.12</v>
      </c>
      <c r="E684" s="12" t="n">
        <f aca="false">E683/D683-1</f>
        <v>0.21</v>
      </c>
      <c r="F684" s="12" t="n">
        <f aca="false">F683/E683-1</f>
        <v>0.25</v>
      </c>
      <c r="G684" s="12" t="n">
        <f aca="false">G683/F683-1</f>
        <v>0.25</v>
      </c>
      <c r="H684" s="12" t="n">
        <f aca="false">H683/G683-1</f>
        <v>0.22</v>
      </c>
      <c r="I684" s="12" t="n">
        <f aca="false">I683/H683-1</f>
        <v>0.159546399648828</v>
      </c>
    </row>
    <row r="685" customFormat="false" ht="17.15" hidden="false" customHeight="false" outlineLevel="0" collapsed="false">
      <c r="A685" s="0" t="s">
        <v>524</v>
      </c>
      <c r="B685" s="0" t="s">
        <v>285</v>
      </c>
      <c r="C685" s="10" t="n">
        <f aca="false">rev24</f>
        <v>67.4</v>
      </c>
      <c r="D685" s="10" t="n">
        <f aca="false">SUM(C699:F699)</f>
        <v>71.1035923582252</v>
      </c>
      <c r="E685" s="10" t="n">
        <f aca="false">SUM(G699:J699)</f>
        <v>342.820749524408</v>
      </c>
      <c r="F685" s="10" t="n">
        <f aca="false">SUM(K699:N699)</f>
        <v>536.734678363014</v>
      </c>
      <c r="G685" s="10" t="n">
        <f aca="false">SUM(O699:R699)</f>
        <v>544.610149409284</v>
      </c>
      <c r="H685" s="10" t="n">
        <f aca="false">SUM(S699:V699)</f>
        <v>570.465276442823</v>
      </c>
      <c r="I685" s="10" t="n">
        <f aca="false">SUM(W699:Z699)</f>
        <v>550.047502226013</v>
      </c>
      <c r="AB685" s="8" t="s">
        <v>525</v>
      </c>
    </row>
    <row r="686" customFormat="false" ht="15" hidden="false" customHeight="false" outlineLevel="0" collapsed="false">
      <c r="A686" s="5" t="s">
        <v>453</v>
      </c>
      <c r="B686" s="0" t="s">
        <v>25</v>
      </c>
      <c r="D686" s="12" t="n">
        <f aca="false">D685/C685-1</f>
        <v>0.0549494415166936</v>
      </c>
      <c r="E686" s="12" t="n">
        <f aca="false">E685/D685-1</f>
        <v>3.82142657149095</v>
      </c>
      <c r="F686" s="12" t="n">
        <f aca="false">F685/E685-1</f>
        <v>0.565642333807452</v>
      </c>
      <c r="G686" s="12" t="n">
        <f aca="false">G685/F685-1</f>
        <v>0.0146729312707903</v>
      </c>
      <c r="H686" s="12" t="n">
        <f aca="false">H685/G685-1</f>
        <v>0.0474745596672834</v>
      </c>
      <c r="I686" s="12" t="n">
        <f aca="false">I685/H685-1</f>
        <v>-0.0357914408816019</v>
      </c>
    </row>
    <row r="687" customFormat="false" ht="17.15" hidden="false" customHeight="false" outlineLevel="0" collapsed="false">
      <c r="A687" s="5" t="s">
        <v>526</v>
      </c>
      <c r="B687" s="0" t="s">
        <v>449</v>
      </c>
      <c r="C687" s="13" t="n">
        <f aca="false">C685/C683</f>
        <v>0.075488</v>
      </c>
      <c r="D687" s="13" t="n">
        <f aca="false">D685/D683</f>
        <v>0.0711035923582252</v>
      </c>
      <c r="E687" s="13" t="n">
        <f aca="false">E685/E683</f>
        <v>0.283322933491246</v>
      </c>
      <c r="F687" s="13" t="n">
        <f aca="false">F685/F683</f>
        <v>0.354865903049927</v>
      </c>
      <c r="G687" s="13" t="n">
        <f aca="false">G685/G683</f>
        <v>0.28805826084458</v>
      </c>
      <c r="H687" s="13" t="n">
        <f aca="false">H685/H683</f>
        <v>0.247322704866148</v>
      </c>
      <c r="I687" s="13" t="n">
        <f aca="false">I685/I683</f>
        <v>0.205658582501291</v>
      </c>
    </row>
    <row r="688" customFormat="false" ht="17.15" hidden="false" customHeight="false" outlineLevel="0" collapsed="false">
      <c r="A688" s="5" t="s">
        <v>450</v>
      </c>
      <c r="B688" s="0" t="s">
        <v>25</v>
      </c>
      <c r="D688" s="12" t="n">
        <f aca="false">D687/C687-1</f>
        <v>-0.0580808557886665</v>
      </c>
      <c r="E688" s="12" t="n">
        <f aca="false">E687/D687-1</f>
        <v>2.98465005908343</v>
      </c>
      <c r="F688" s="12" t="n">
        <f aca="false">F687/E687-1</f>
        <v>0.252513867045961</v>
      </c>
      <c r="G688" s="12" t="n">
        <f aca="false">G687/F687-1</f>
        <v>-0.188261654983368</v>
      </c>
      <c r="H688" s="12" t="n">
        <f aca="false">H687/G687-1</f>
        <v>-0.141414295354686</v>
      </c>
      <c r="I688" s="12" t="n">
        <f aca="false">I687/H687-1</f>
        <v>-0.168460564052968</v>
      </c>
      <c r="AB688" s="8" t="s">
        <v>527</v>
      </c>
    </row>
    <row r="689" customFormat="false" ht="15" hidden="false" customHeight="false" outlineLevel="0" collapsed="false">
      <c r="A689" s="5" t="s">
        <v>528</v>
      </c>
      <c r="B689" s="0" t="s">
        <v>25</v>
      </c>
      <c r="D689" s="12" t="n">
        <f aca="false">SUM(C706:F706)/D685</f>
        <v>0.309407714439551</v>
      </c>
      <c r="E689" s="12" t="n">
        <f aca="false">SUM(G706:J706)/E685</f>
        <v>0.298146371102126</v>
      </c>
      <c r="F689" s="12" t="n">
        <f aca="false">SUM(K706:N706)/F685</f>
        <v>0.293146371102126</v>
      </c>
      <c r="G689" s="12" t="n">
        <f aca="false">SUM(O706:R706)/G685</f>
        <v>0.288146371102126</v>
      </c>
      <c r="H689" s="12" t="n">
        <f aca="false">SUM(S706:V706)/H685</f>
        <v>0.283146371102126</v>
      </c>
      <c r="I689" s="12" t="n">
        <f aca="false">SUM(W706:Z706)/I685</f>
        <v>0.278146371102126</v>
      </c>
    </row>
    <row r="690" customFormat="false" ht="17.15" hidden="false" customHeight="false" outlineLevel="0" collapsed="false">
      <c r="A690" s="5" t="s">
        <v>529</v>
      </c>
      <c r="B690" s="0" t="s">
        <v>25</v>
      </c>
      <c r="D690" s="12" t="n">
        <f aca="false">SUM(C707:F707)/D685</f>
        <v>0.200693094775109</v>
      </c>
      <c r="E690" s="12" t="n">
        <f aca="false">SUM(G707:J707)/E685</f>
        <v>0.177730130982399</v>
      </c>
      <c r="F690" s="12" t="n">
        <f aca="false">SUM(K707:N707)/F685</f>
        <v>0.177730130982399</v>
      </c>
      <c r="G690" s="12" t="n">
        <f aca="false">SUM(O707:R707)/G685</f>
        <v>0.177730130982399</v>
      </c>
      <c r="H690" s="12" t="n">
        <f aca="false">SUM(S707:V707)/H685</f>
        <v>0.177730130982399</v>
      </c>
      <c r="I690" s="12" t="n">
        <f aca="false">SUM(W707:Z707)/I685</f>
        <v>0.177730130982399</v>
      </c>
    </row>
    <row r="691" customFormat="false" ht="15" hidden="false" customHeight="false" outlineLevel="0" collapsed="false">
      <c r="A691" s="5" t="s">
        <v>530</v>
      </c>
      <c r="B691" s="0" t="s">
        <v>25</v>
      </c>
      <c r="D691" s="12" t="n">
        <f aca="false">SUM(C708:F708)/D685</f>
        <v>0.134732995651405</v>
      </c>
      <c r="E691" s="12" t="n">
        <f aca="false">SUM(G708:J708)/E685</f>
        <v>0.14511909777462</v>
      </c>
      <c r="F691" s="12" t="n">
        <f aca="false">SUM(K708:N708)/F685</f>
        <v>0.14711909777462</v>
      </c>
      <c r="G691" s="12" t="n">
        <f aca="false">SUM(O708:R708)/G685</f>
        <v>0.14911909777462</v>
      </c>
      <c r="H691" s="12" t="n">
        <f aca="false">SUM(S708:V708)/H685</f>
        <v>0.15111909777462</v>
      </c>
      <c r="I691" s="12" t="n">
        <f aca="false">SUM(W708:Z708)/I685</f>
        <v>0.15311909777462</v>
      </c>
    </row>
    <row r="692" customFormat="false" ht="17.15" hidden="false" customHeight="false" outlineLevel="0" collapsed="false">
      <c r="A692" s="5" t="s">
        <v>531</v>
      </c>
      <c r="B692" s="0" t="s">
        <v>25</v>
      </c>
      <c r="D692" s="12" t="n">
        <f aca="false">SUM(C709:F709)/D685</f>
        <v>0.143593307473992</v>
      </c>
      <c r="E692" s="12" t="n">
        <f aca="false">SUM(G709:J709)/E685</f>
        <v>0.139533216003349</v>
      </c>
      <c r="F692" s="12" t="n">
        <f aca="false">SUM(K709:N709)/F685</f>
        <v>0.138512987387224</v>
      </c>
      <c r="G692" s="12" t="n">
        <f aca="false">SUM(O709:R709)/G685</f>
        <v>0.138512987387224</v>
      </c>
      <c r="H692" s="12" t="n">
        <f aca="false">SUM(S709:V709)/H685</f>
        <v>0.138512987387224</v>
      </c>
      <c r="I692" s="12" t="n">
        <f aca="false">SUM(W709:Z709)/I685</f>
        <v>0.138512987387224</v>
      </c>
    </row>
    <row r="693" customFormat="false" ht="17.15" hidden="false" customHeight="false" outlineLevel="0" collapsed="false">
      <c r="A693" s="5" t="s">
        <v>532</v>
      </c>
      <c r="B693" s="0" t="s">
        <v>25</v>
      </c>
      <c r="D693" s="12" t="n">
        <f aca="false">SUM(C710:F710)/D685</f>
        <v>0.125591404088418</v>
      </c>
      <c r="E693" s="12" t="n">
        <f aca="false">SUM(G710:J710)/E685</f>
        <v>0.112062540342342</v>
      </c>
      <c r="F693" s="12" t="n">
        <f aca="false">SUM(K710:N710)/F685</f>
        <v>0.106513670372059</v>
      </c>
      <c r="G693" s="12" t="n">
        <f aca="false">SUM(O710:R710)/G685</f>
        <v>0.106513670372059</v>
      </c>
      <c r="H693" s="12" t="n">
        <f aca="false">SUM(S710:V710)/H685</f>
        <v>0.106513670372059</v>
      </c>
      <c r="I693" s="12" t="n">
        <f aca="false">SUM(W710:Z710)/I685</f>
        <v>0.106513670372059</v>
      </c>
    </row>
    <row r="694" customFormat="false" ht="15" hidden="false" customHeight="false" outlineLevel="0" collapsed="false">
      <c r="A694" s="5" t="s">
        <v>533</v>
      </c>
      <c r="B694" s="0" t="s">
        <v>25</v>
      </c>
      <c r="D694" s="12" t="n">
        <f aca="false">SUM(C711:F711)/D685</f>
        <v>0.0859814835715252</v>
      </c>
      <c r="E694" s="12" t="n">
        <f aca="false">SUM(G711:J711)/E685</f>
        <v>0.127408643795164</v>
      </c>
      <c r="F694" s="12" t="n">
        <f aca="false">SUM(K711:N711)/F685</f>
        <v>0.136977742381572</v>
      </c>
      <c r="G694" s="12" t="n">
        <f aca="false">SUM(O711:R711)/G685</f>
        <v>0.139977742381572</v>
      </c>
      <c r="H694" s="12" t="n">
        <f aca="false">SUM(S711:V711)/H685</f>
        <v>0.142977742381572</v>
      </c>
      <c r="I694" s="12" t="n">
        <f aca="false">SUM(W711:Z711)/I685</f>
        <v>0.145977742381572</v>
      </c>
    </row>
    <row r="696" customFormat="false" ht="17.15" hidden="false" customHeight="false" outlineLevel="0" collapsed="false">
      <c r="A696" s="9" t="s">
        <v>534</v>
      </c>
      <c r="B696" s="6" t="s">
        <v>15</v>
      </c>
      <c r="C696" s="9" t="s">
        <v>468</v>
      </c>
      <c r="D696" s="9" t="s">
        <v>469</v>
      </c>
      <c r="E696" s="9" t="s">
        <v>470</v>
      </c>
      <c r="F696" s="9" t="s">
        <v>471</v>
      </c>
      <c r="G696" s="9" t="s">
        <v>472</v>
      </c>
      <c r="H696" s="9" t="s">
        <v>473</v>
      </c>
      <c r="I696" s="9" t="s">
        <v>474</v>
      </c>
      <c r="J696" s="9" t="s">
        <v>475</v>
      </c>
      <c r="K696" s="9" t="s">
        <v>476</v>
      </c>
      <c r="L696" s="9" t="s">
        <v>477</v>
      </c>
      <c r="M696" s="9" t="s">
        <v>478</v>
      </c>
      <c r="N696" s="9" t="s">
        <v>479</v>
      </c>
      <c r="O696" s="9" t="s">
        <v>480</v>
      </c>
      <c r="P696" s="9" t="s">
        <v>481</v>
      </c>
      <c r="Q696" s="9" t="s">
        <v>482</v>
      </c>
      <c r="R696" s="9" t="s">
        <v>483</v>
      </c>
      <c r="S696" s="9" t="s">
        <v>484</v>
      </c>
      <c r="T696" s="9" t="s">
        <v>485</v>
      </c>
      <c r="U696" s="9" t="s">
        <v>486</v>
      </c>
      <c r="V696" s="9" t="s">
        <v>487</v>
      </c>
      <c r="W696" s="9" t="s">
        <v>488</v>
      </c>
      <c r="X696" s="9" t="s">
        <v>489</v>
      </c>
      <c r="Y696" s="9" t="s">
        <v>490</v>
      </c>
      <c r="Z696" s="9" t="s">
        <v>491</v>
      </c>
      <c r="AA696" s="9"/>
      <c r="AB696" s="6" t="s">
        <v>434</v>
      </c>
    </row>
    <row r="697" customFormat="false" ht="17.15" hidden="false" customHeight="false" outlineLevel="0" collapsed="false">
      <c r="A697" s="5" t="s">
        <v>535</v>
      </c>
      <c r="B697" s="0" t="s">
        <v>536</v>
      </c>
      <c r="C697" s="13" t="n">
        <f aca="false">Path!C4</f>
        <v>1</v>
      </c>
      <c r="D697" s="13" t="n">
        <f aca="false">Path!D4</f>
        <v>1</v>
      </c>
      <c r="E697" s="13" t="n">
        <f aca="false">Path!E4</f>
        <v>1.05</v>
      </c>
      <c r="F697" s="13" t="n">
        <f aca="false">Path!F4</f>
        <v>1.365</v>
      </c>
      <c r="G697" s="13" t="n">
        <f aca="false">Path!G4</f>
        <v>2.559375</v>
      </c>
      <c r="H697" s="13" t="n">
        <f aca="false">Path!H4</f>
        <v>4.414921875</v>
      </c>
      <c r="I697" s="13" t="n">
        <f aca="false">Path!I4</f>
        <v>5.51865234375</v>
      </c>
      <c r="J697" s="13" t="n">
        <f aca="false">Path!J4</f>
        <v>5.96566318359375</v>
      </c>
      <c r="K697" s="13" t="n">
        <f aca="false">Path!K4*1</f>
        <v>6.14463307910156</v>
      </c>
      <c r="L697" s="13" t="n">
        <f aca="false">Path!L4*1</f>
        <v>6.14463307910156</v>
      </c>
      <c r="M697" s="13" t="n">
        <f aca="false">Path!M4*1</f>
        <v>5.83740142514648</v>
      </c>
      <c r="N697" s="13" t="n">
        <f aca="false">Path!N4*1</f>
        <v>5.42878332538623</v>
      </c>
      <c r="O697" s="13" t="n">
        <f aca="false">Path!O4*1</f>
        <v>5.15734415911692</v>
      </c>
      <c r="P697" s="13" t="n">
        <f aca="false">Path!P4*1</f>
        <v>4.89947695116107</v>
      </c>
      <c r="Q697" s="13" t="n">
        <f aca="false">Path!Q4*1</f>
        <v>4.65450310360302</v>
      </c>
      <c r="R697" s="13" t="n">
        <f aca="false">Path!R4*1</f>
        <v>4.42177794842287</v>
      </c>
      <c r="S697" s="13" t="n">
        <f aca="false">Path!S4*1</f>
        <v>4.28912460997018</v>
      </c>
      <c r="T697" s="13" t="n">
        <f aca="false">Path!T4*1</f>
        <v>4.16045087167108</v>
      </c>
      <c r="U697" s="13" t="n">
        <f aca="false">Path!U4*1</f>
        <v>4.03563734552094</v>
      </c>
      <c r="V697" s="13" t="n">
        <f aca="false">Path!V4*1</f>
        <v>3.91456822515532</v>
      </c>
      <c r="W697" s="13" t="n">
        <f aca="false">Path!V4*(1+p10_lo)^(1/4)*1</f>
        <v>3.70217005181109</v>
      </c>
      <c r="X697" s="13" t="n">
        <f aca="false">Path!V4*(1+p10_lo)^(2/4)*1</f>
        <v>3.50129626160319</v>
      </c>
      <c r="Y697" s="13" t="n">
        <f aca="false">Path!V4*(1+p10_lo)^(3/4)*1</f>
        <v>3.31132156004541</v>
      </c>
      <c r="Z697" s="13" t="n">
        <f aca="false">Path!V4*(1+p10_lo)^(4/4)*1</f>
        <v>3.13165458012425</v>
      </c>
      <c r="AB697" s="8" t="s">
        <v>537</v>
      </c>
    </row>
    <row r="698" customFormat="false" ht="17.15" hidden="false" customHeight="false" outlineLevel="0" collapsed="false">
      <c r="A698" s="5" t="s">
        <v>538</v>
      </c>
      <c r="B698" s="0" t="s">
        <v>222</v>
      </c>
      <c r="C698" s="10" t="n">
        <f aca="false">D683/4*(D683/C683)^((1-2.5)/4)/(((D683/C683)^(-0.375)+(D683/C683)^(-0.125)+(D683/C683)^(0.125)+(D683/C683)^(0.375))/4)</f>
        <v>239.477872684002</v>
      </c>
      <c r="D698" s="10" t="n">
        <f aca="false">D683/4*(D683/C683)^((2-2.5)/4)/(((D683/C683)^(-0.375)+(D683/C683)^(-0.125)+(D683/C683)^(0.125)+(D683/C683)^(0.375))/4)</f>
        <v>246.359830864633</v>
      </c>
      <c r="E698" s="10" t="n">
        <f aca="false">D683/4*(D683/C683)^((3-2.5)/4)/(((D683/C683)^(-0.375)+(D683/C683)^(-0.125)+(D683/C683)^(0.125)+(D683/C683)^(0.375))/4)</f>
        <v>253.439558249863</v>
      </c>
      <c r="F698" s="10" t="n">
        <f aca="false">D683/4*(D683/C683)^((4-2.5)/4)/(((D683/C683)^(-0.375)+(D683/C683)^(-0.125)+(D683/C683)^(0.125)+(D683/C683)^(0.375))/4)</f>
        <v>260.722738201501</v>
      </c>
      <c r="G698" s="10" t="n">
        <f aca="false">E683/4*(E683/D683)^((1-2.5)/4)/(((E683/D683)^(-0.375)+(E683/D683)^(-0.125)+(E683/D683)^(0.125)+(E683/D683)^(0.375))/4)</f>
        <v>281.231934694683</v>
      </c>
      <c r="H698" s="10" t="n">
        <f aca="false">E683/4*(E683/D683)^((2-2.5)/4)/(((E683/D683)^(-0.375)+(E683/D683)^(-0.125)+(E683/D683)^(0.125)+(E683/D683)^(0.375))/4)</f>
        <v>294.958541495794</v>
      </c>
      <c r="I698" s="10" t="n">
        <f aca="false">E683/4*(E683/D683)^((3-2.5)/4)/(((E683/D683)^(-0.375)+(E683/D683)^(-0.125)+(E683/D683)^(0.125)+(E683/D683)^(0.375))/4)</f>
        <v>309.355128164151</v>
      </c>
      <c r="J698" s="10" t="n">
        <f aca="false">E683/4*(E683/D683)^((4-2.5)/4)/(((E683/D683)^(-0.375)+(E683/D683)^(-0.125)+(E683/D683)^(0.125)+(E683/D683)^(0.375))/4)</f>
        <v>324.454395645373</v>
      </c>
      <c r="K698" s="10" t="n">
        <f aca="false">F683/4*(F683/E683)^((1-2.5)/4)/(((F683/E683)^(-0.375)+(F683/E683)^(-0.125)+(F683/E683)^(0.125)+(F683/E683)^(0.375))/4)</f>
        <v>347.096143815413</v>
      </c>
      <c r="L698" s="10" t="n">
        <f aca="false">F683/4*(F683/E683)^((2-2.5)/4)/(((F683/E683)^(-0.375)+(F683/E683)^(-0.125)+(F683/E683)^(0.125)+(F683/E683)^(0.375))/4)</f>
        <v>367.009488121451</v>
      </c>
      <c r="M698" s="10" t="n">
        <f aca="false">F683/4*(F683/E683)^((3-2.5)/4)/(((F683/E683)^(-0.375)+(F683/E683)^(-0.125)+(F683/E683)^(0.125)+(F683/E683)^(0.375))/4)</f>
        <v>388.065286149653</v>
      </c>
      <c r="N698" s="10" t="n">
        <f aca="false">F683/4*(F683/E683)^((4-2.5)/4)/(((F683/E683)^(-0.375)+(F683/E683)^(-0.125)+(F683/E683)^(0.125)+(F683/E683)^(0.375))/4)</f>
        <v>410.329081913483</v>
      </c>
      <c r="O698" s="10" t="n">
        <f aca="false">G683/4*(G683/F683)^((1-2.5)/4)/(((G683/F683)^(-0.375)+(G683/F683)^(-0.125)+(G683/F683)^(0.125)+(G683/F683)^(0.375))/4)</f>
        <v>433.870179769266</v>
      </c>
      <c r="P698" s="10" t="n">
        <f aca="false">G683/4*(G683/F683)^((2-2.5)/4)/(((G683/F683)^(-0.375)+(G683/F683)^(-0.125)+(G683/F683)^(0.125)+(G683/F683)^(0.375))/4)</f>
        <v>458.761860151814</v>
      </c>
      <c r="Q698" s="10" t="n">
        <f aca="false">G683/4*(G683/F683)^((3-2.5)/4)/(((G683/F683)^(-0.375)+(G683/F683)^(-0.125)+(G683/F683)^(0.125)+(G683/F683)^(0.375))/4)</f>
        <v>485.081607687067</v>
      </c>
      <c r="R698" s="10" t="n">
        <f aca="false">G683/4*(G683/F683)^((4-2.5)/4)/(((G683/F683)^(-0.375)+(G683/F683)^(-0.125)+(G683/F683)^(0.125)+(G683/F683)^(0.375))/4)</f>
        <v>512.911352391854</v>
      </c>
      <c r="S698" s="10" t="n">
        <f aca="false">H683/4*(H683/G683)^((1-2.5)/4)/(((H683/G683)^(-0.375)+(H683/G683)^(-0.125)+(H683/G683)^(0.125)+(H683/G683)^(0.375))/4)</f>
        <v>534.379419998991</v>
      </c>
      <c r="T698" s="10" t="n">
        <f aca="false">H683/4*(H683/G683)^((2-2.5)/4)/(((H683/G683)^(-0.375)+(H683/G683)^(-0.125)+(H683/G683)^(0.125)+(H683/G683)^(0.375))/4)</f>
        <v>561.616271458278</v>
      </c>
      <c r="U698" s="10" t="n">
        <f aca="false">H683/4*(H683/G683)^((3-2.5)/4)/(((H683/G683)^(-0.375)+(H683/G683)^(-0.125)+(H683/G683)^(0.125)+(H683/G683)^(0.375))/4)</f>
        <v>590.241361404399</v>
      </c>
      <c r="V698" s="10" t="n">
        <f aca="false">H683/4*(H683/G683)^((4-2.5)/4)/(((H683/G683)^(-0.375)+(H683/G683)^(-0.125)+(H683/G683)^(0.125)+(H683/G683)^(0.375))/4)</f>
        <v>620.325447138332</v>
      </c>
      <c r="W698" s="10" t="n">
        <f aca="false">I683/4*(I683/H683)^((1-2.5)/4)/(((I683/H683)^(-0.375)+(I683/H683)^(-0.125)+(I683/H683)^(0.125)+(I683/H683)^(0.375))/4)</f>
        <v>631.995013700511</v>
      </c>
      <c r="X698" s="10" t="n">
        <f aca="false">I683/4*(I683/H683)^((2-2.5)/4)/(((I683/H683)^(-0.375)+(I683/H683)^(-0.125)+(I683/H683)^(0.125)+(I683/H683)^(0.375))/4)</f>
        <v>655.821552208249</v>
      </c>
      <c r="Y698" s="10" t="n">
        <f aca="false">I683/4*(I683/H683)^((3-2.5)/4)/(((I683/H683)^(-0.375)+(I683/H683)^(-0.125)+(I683/H683)^(0.125)+(I683/H683)^(0.375))/4)</f>
        <v>680.546363526616</v>
      </c>
      <c r="Z698" s="10" t="n">
        <f aca="false">I683/4*(I683/H683)^((4-2.5)/4)/(((I683/H683)^(-0.375)+(I683/H683)^(-0.125)+(I683/H683)^(0.125)+(I683/H683)^(0.375))/4)</f>
        <v>706.203313004625</v>
      </c>
      <c r="AB698" s="5" t="s">
        <v>539</v>
      </c>
    </row>
    <row r="699" customFormat="false" ht="17.15" hidden="false" customHeight="false" outlineLevel="0" collapsed="false">
      <c r="A699" s="0" t="s">
        <v>540</v>
      </c>
      <c r="B699" s="0" t="s">
        <v>285</v>
      </c>
      <c r="C699" s="10" t="n">
        <f aca="false">(rv_ss_0+rv_sk_0+rv_mu_0+rv_kx_0+rv_sd_0)/t5_0</f>
        <v>12.9354838709677</v>
      </c>
      <c r="D699" s="10" t="n">
        <f aca="false">(rv_ss_1+rv_sk_1+rv_mu_1+rv_kx_1+rv_sd_1)/t5_1</f>
        <v>15.8054711246201</v>
      </c>
      <c r="E699" s="10" t="n">
        <f aca="false">(rv_ss_2+rv_sk_2+rv_mu_2+rv_kx_2+rv_sd_2)/t5_2</f>
        <v>18.7912087912088</v>
      </c>
      <c r="F699" s="10" t="n">
        <f aca="false">(rv_ss_3+rv_sk_3+rv_mu_3+rv_kx_3+rv_sd_3)/t5_3</f>
        <v>23.5714285714286</v>
      </c>
      <c r="G699" s="10" t="n">
        <f aca="false">(rv_ss_4+rv_sk_4+rv_mu_4+rv_kx_4+rv_sd_4)/t5_4</f>
        <v>43.954802259887</v>
      </c>
      <c r="H699" s="10" t="n">
        <f aca="false">(rv_ss_5+rv_sk_5+rv_mu_5+rv_kx_5+rv_sd_5)/t5_5</f>
        <v>78.703071672355</v>
      </c>
      <c r="I699" s="10" t="n">
        <f aca="false">$H699*I697/$H697*I698/$H698</f>
        <v>103.180597435169</v>
      </c>
      <c r="J699" s="10" t="n">
        <f aca="false">$H699*J697/$H697*J698/$H698</f>
        <v>116.982278156997</v>
      </c>
      <c r="K699" s="10" t="n">
        <f aca="false">$H699*K697/$H697*K698/$H698</f>
        <v>128.900150941515</v>
      </c>
      <c r="L699" s="10" t="n">
        <f aca="false">$H699*L697/$H697*L698/$H698</f>
        <v>136.295315458709</v>
      </c>
      <c r="M699" s="10" t="n">
        <f aca="false">$H699*M697/$H697*M698/$H698</f>
        <v>136.909012412225</v>
      </c>
      <c r="N699" s="10" t="n">
        <f aca="false">$H699*N697/$H697*N698/$H698</f>
        <v>134.630199550565</v>
      </c>
      <c r="O699" s="10" t="n">
        <f aca="false">$H699*O697/$H697*O698/$H698</f>
        <v>135.236398986234</v>
      </c>
      <c r="P699" s="10" t="n">
        <f aca="false">$H699*P697/$H697*P698/$H698</f>
        <v>135.845327956265</v>
      </c>
      <c r="Q699" s="10" t="n">
        <f aca="false">$H699*Q697/$H697*Q698/$H698</f>
        <v>136.456998750933</v>
      </c>
      <c r="R699" s="10" t="n">
        <f aca="false">$H699*R697/$H697*R698/$H698</f>
        <v>137.071423715852</v>
      </c>
      <c r="S699" s="10" t="n">
        <f aca="false">$H699*S697/$H697*S698/$H698</f>
        <v>138.524333952196</v>
      </c>
      <c r="T699" s="10" t="n">
        <f aca="false">$H699*T697/$H697*T698/$H698</f>
        <v>141.217254104587</v>
      </c>
      <c r="U699" s="10" t="n">
        <f aca="false">$H699*U697/$H697*U698/$H698</f>
        <v>143.962524762772</v>
      </c>
      <c r="V699" s="10" t="n">
        <f aca="false">$H699*V697/$H697*V698/$H698</f>
        <v>146.761163623267</v>
      </c>
      <c r="W699" s="10" t="n">
        <f aca="false">$H699*W697/$H697*W698/$H698</f>
        <v>141.409210566648</v>
      </c>
      <c r="X699" s="10" t="n">
        <f aca="false">$H699*X697/$H697*X698/$H698</f>
        <v>138.778512270246</v>
      </c>
      <c r="Y699" s="10" t="n">
        <f aca="false">$H699*Y697/$H697*Y698/$H698</f>
        <v>136.196754021659</v>
      </c>
      <c r="Z699" s="10" t="n">
        <f aca="false">$H699*Z697/$H697*Z698/$H698</f>
        <v>133.66302536746</v>
      </c>
      <c r="AB699" s="5" t="s">
        <v>541</v>
      </c>
    </row>
    <row r="700" customFormat="false" ht="17.15" hidden="false" customHeight="false" outlineLevel="0" collapsed="false">
      <c r="A700" s="5" t="s">
        <v>454</v>
      </c>
      <c r="B700" s="0" t="s">
        <v>25</v>
      </c>
      <c r="C700" s="12" t="n">
        <f aca="false">rv_ss_0/C699</f>
        <v>0.324688279301746</v>
      </c>
      <c r="D700" s="12" t="n">
        <f aca="false">rv_ss_1/D699</f>
        <v>0.329</v>
      </c>
      <c r="E700" s="12" t="n">
        <f aca="false">rv_ss_2/E699</f>
        <v>0.319298245614035</v>
      </c>
      <c r="F700" s="12" t="n">
        <f aca="false">rv_ss_3/F699</f>
        <v>0.28</v>
      </c>
      <c r="G700" s="12" t="n">
        <f aca="false">rv_ss_4/G699</f>
        <v>0.30736118251928</v>
      </c>
      <c r="H700" s="12" t="n">
        <f aca="false">rv_ss_5/H699</f>
        <v>0.293</v>
      </c>
      <c r="I700" s="12" t="n">
        <f aca="false">(rv_ss_4+rv_ss_5)/($G699+$H699)</f>
        <v>0.298146371102126</v>
      </c>
      <c r="J700" s="12" t="n">
        <f aca="false">(rv_ss_4+rv_ss_5)/($G699+$H699)</f>
        <v>0.298146371102126</v>
      </c>
      <c r="K700" s="12" t="n">
        <f aca="false">(rv_ss_4+rv_ss_5)/($G699+$H699)+dr_ss/100*1</f>
        <v>0.293146371102126</v>
      </c>
      <c r="L700" s="12" t="n">
        <f aca="false">(rv_ss_4+rv_ss_5)/($G699+$H699)+dr_ss/100*1</f>
        <v>0.293146371102126</v>
      </c>
      <c r="M700" s="12" t="n">
        <f aca="false">(rv_ss_4+rv_ss_5)/($G699+$H699)+dr_ss/100*1</f>
        <v>0.293146371102126</v>
      </c>
      <c r="N700" s="12" t="n">
        <f aca="false">(rv_ss_4+rv_ss_5)/($G699+$H699)+dr_ss/100*1</f>
        <v>0.293146371102126</v>
      </c>
      <c r="O700" s="12" t="n">
        <f aca="false">(rv_ss_4+rv_ss_5)/($G699+$H699)+dr_ss/100*2</f>
        <v>0.288146371102126</v>
      </c>
      <c r="P700" s="12" t="n">
        <f aca="false">(rv_ss_4+rv_ss_5)/($G699+$H699)+dr_ss/100*2</f>
        <v>0.288146371102126</v>
      </c>
      <c r="Q700" s="12" t="n">
        <f aca="false">(rv_ss_4+rv_ss_5)/($G699+$H699)+dr_ss/100*2</f>
        <v>0.288146371102126</v>
      </c>
      <c r="R700" s="12" t="n">
        <f aca="false">(rv_ss_4+rv_ss_5)/($G699+$H699)+dr_ss/100*2</f>
        <v>0.288146371102126</v>
      </c>
      <c r="S700" s="12" t="n">
        <f aca="false">(rv_ss_4+rv_ss_5)/($G699+$H699)+dr_ss/100*3</f>
        <v>0.283146371102126</v>
      </c>
      <c r="T700" s="12" t="n">
        <f aca="false">(rv_ss_4+rv_ss_5)/($G699+$H699)+dr_ss/100*3</f>
        <v>0.283146371102126</v>
      </c>
      <c r="U700" s="12" t="n">
        <f aca="false">(rv_ss_4+rv_ss_5)/($G699+$H699)+dr_ss/100*3</f>
        <v>0.283146371102126</v>
      </c>
      <c r="V700" s="12" t="n">
        <f aca="false">(rv_ss_4+rv_ss_5)/($G699+$H699)+dr_ss/100*3</f>
        <v>0.283146371102126</v>
      </c>
      <c r="W700" s="12" t="n">
        <f aca="false">(rv_ss_4+rv_ss_5)/($G699+$H699)+dr_ss/100*4</f>
        <v>0.278146371102126</v>
      </c>
      <c r="X700" s="12" t="n">
        <f aca="false">(rv_ss_4+rv_ss_5)/($G699+$H699)+dr_ss/100*4</f>
        <v>0.278146371102126</v>
      </c>
      <c r="Y700" s="12" t="n">
        <f aca="false">(rv_ss_4+rv_ss_5)/($G699+$H699)+dr_ss/100*4</f>
        <v>0.278146371102126</v>
      </c>
      <c r="Z700" s="12" t="n">
        <f aca="false">(rv_ss_4+rv_ss_5)/($G699+$H699)+dr_ss/100*4</f>
        <v>0.278146371102126</v>
      </c>
      <c r="AB700" s="8" t="s">
        <v>542</v>
      </c>
    </row>
    <row r="701" customFormat="false" ht="17.15" hidden="false" customHeight="false" outlineLevel="0" collapsed="false">
      <c r="A701" s="5" t="s">
        <v>455</v>
      </c>
      <c r="B701" s="0" t="s">
        <v>25</v>
      </c>
      <c r="C701" s="12" t="n">
        <f aca="false">rv_sk_0/C699</f>
        <v>0.16930174563591</v>
      </c>
      <c r="D701" s="12" t="n">
        <f aca="false">rv_sk_1/D699</f>
        <v>0.211319230769231</v>
      </c>
      <c r="E701" s="12" t="n">
        <f aca="false">rv_sk_2/E699</f>
        <v>0.187853801169591</v>
      </c>
      <c r="F701" s="12" t="n">
        <f aca="false">rv_sk_3/F699</f>
        <v>0.221030303030303</v>
      </c>
      <c r="G701" s="12" t="n">
        <f aca="false">rv_sk_4/G699</f>
        <v>0.17131233933162</v>
      </c>
      <c r="H701" s="12" t="n">
        <f aca="false">rv_sk_5/H699</f>
        <v>0.181314397224631</v>
      </c>
      <c r="I701" s="12" t="n">
        <f aca="false">(rv_sk_4+rv_sk_5)/($G699+$H699)</f>
        <v>0.177730130982399</v>
      </c>
      <c r="J701" s="12" t="n">
        <f aca="false">(rv_sk_4+rv_sk_5)/($G699+$H699)</f>
        <v>0.177730130982399</v>
      </c>
      <c r="K701" s="12" t="n">
        <f aca="false">(rv_sk_4+rv_sk_5)/($G699+$H699)+dr_sk/100*1</f>
        <v>0.177730130982399</v>
      </c>
      <c r="L701" s="12" t="n">
        <f aca="false">(rv_sk_4+rv_sk_5)/($G699+$H699)+dr_sk/100*1</f>
        <v>0.177730130982399</v>
      </c>
      <c r="M701" s="12" t="n">
        <f aca="false">(rv_sk_4+rv_sk_5)/($G699+$H699)+dr_sk/100*1</f>
        <v>0.177730130982399</v>
      </c>
      <c r="N701" s="12" t="n">
        <f aca="false">(rv_sk_4+rv_sk_5)/($G699+$H699)+dr_sk/100*1</f>
        <v>0.177730130982399</v>
      </c>
      <c r="O701" s="12" t="n">
        <f aca="false">(rv_sk_4+rv_sk_5)/($G699+$H699)+dr_sk/100*2</f>
        <v>0.177730130982399</v>
      </c>
      <c r="P701" s="12" t="n">
        <f aca="false">(rv_sk_4+rv_sk_5)/($G699+$H699)+dr_sk/100*2</f>
        <v>0.177730130982399</v>
      </c>
      <c r="Q701" s="12" t="n">
        <f aca="false">(rv_sk_4+rv_sk_5)/($G699+$H699)+dr_sk/100*2</f>
        <v>0.177730130982399</v>
      </c>
      <c r="R701" s="12" t="n">
        <f aca="false">(rv_sk_4+rv_sk_5)/($G699+$H699)+dr_sk/100*2</f>
        <v>0.177730130982399</v>
      </c>
      <c r="S701" s="12" t="n">
        <f aca="false">(rv_sk_4+rv_sk_5)/($G699+$H699)+dr_sk/100*3</f>
        <v>0.177730130982399</v>
      </c>
      <c r="T701" s="12" t="n">
        <f aca="false">(rv_sk_4+rv_sk_5)/($G699+$H699)+dr_sk/100*3</f>
        <v>0.177730130982399</v>
      </c>
      <c r="U701" s="12" t="n">
        <f aca="false">(rv_sk_4+rv_sk_5)/($G699+$H699)+dr_sk/100*3</f>
        <v>0.177730130982399</v>
      </c>
      <c r="V701" s="12" t="n">
        <f aca="false">(rv_sk_4+rv_sk_5)/($G699+$H699)+dr_sk/100*3</f>
        <v>0.177730130982399</v>
      </c>
      <c r="W701" s="12" t="n">
        <f aca="false">(rv_sk_4+rv_sk_5)/($G699+$H699)+dr_sk/100*4</f>
        <v>0.177730130982399</v>
      </c>
      <c r="X701" s="12" t="n">
        <f aca="false">(rv_sk_4+rv_sk_5)/($G699+$H699)+dr_sk/100*4</f>
        <v>0.177730130982399</v>
      </c>
      <c r="Y701" s="12" t="n">
        <f aca="false">(rv_sk_4+rv_sk_5)/($G699+$H699)+dr_sk/100*4</f>
        <v>0.177730130982399</v>
      </c>
      <c r="Z701" s="12" t="n">
        <f aca="false">(rv_sk_4+rv_sk_5)/($G699+$H699)+dr_sk/100*4</f>
        <v>0.177730130982399</v>
      </c>
      <c r="AB701" s="8" t="s">
        <v>542</v>
      </c>
    </row>
    <row r="702" customFormat="false" ht="17.15" hidden="false" customHeight="false" outlineLevel="0" collapsed="false">
      <c r="A702" s="5" t="s">
        <v>456</v>
      </c>
      <c r="B702" s="0" t="s">
        <v>25</v>
      </c>
      <c r="C702" s="12" t="n">
        <f aca="false">rv_mu_0/C699</f>
        <v>0.156932668329177</v>
      </c>
      <c r="D702" s="12" t="n">
        <f aca="false">rv_mu_1/D699</f>
        <v>0.132865384615385</v>
      </c>
      <c r="E702" s="12" t="n">
        <f aca="false">rv_mu_2/E699</f>
        <v>0.128783625730994</v>
      </c>
      <c r="F702" s="12" t="n">
        <f aca="false">rv_mu_3/F699</f>
        <v>0.128545454545455</v>
      </c>
      <c r="G702" s="12" t="n">
        <f aca="false">rv_mu_4/G699</f>
        <v>0.135366323907455</v>
      </c>
      <c r="H702" s="12" t="n">
        <f aca="false">rv_mu_5/H699</f>
        <v>0.150565915004337</v>
      </c>
      <c r="I702" s="12" t="n">
        <f aca="false">(rv_mu_4+rv_mu_5)/($G699+$H699)</f>
        <v>0.14511909777462</v>
      </c>
      <c r="J702" s="12" t="n">
        <f aca="false">(rv_mu_4+rv_mu_5)/($G699+$H699)</f>
        <v>0.14511909777462</v>
      </c>
      <c r="K702" s="12" t="n">
        <f aca="false">(rv_mu_4+rv_mu_5)/($G699+$H699)+dr_mu/100*1</f>
        <v>0.14711909777462</v>
      </c>
      <c r="L702" s="12" t="n">
        <f aca="false">(rv_mu_4+rv_mu_5)/($G699+$H699)+dr_mu/100*1</f>
        <v>0.14711909777462</v>
      </c>
      <c r="M702" s="12" t="n">
        <f aca="false">(rv_mu_4+rv_mu_5)/($G699+$H699)+dr_mu/100*1</f>
        <v>0.14711909777462</v>
      </c>
      <c r="N702" s="12" t="n">
        <f aca="false">(rv_mu_4+rv_mu_5)/($G699+$H699)+dr_mu/100*1</f>
        <v>0.14711909777462</v>
      </c>
      <c r="O702" s="12" t="n">
        <f aca="false">(rv_mu_4+rv_mu_5)/($G699+$H699)+dr_mu/100*2</f>
        <v>0.14911909777462</v>
      </c>
      <c r="P702" s="12" t="n">
        <f aca="false">(rv_mu_4+rv_mu_5)/($G699+$H699)+dr_mu/100*2</f>
        <v>0.14911909777462</v>
      </c>
      <c r="Q702" s="12" t="n">
        <f aca="false">(rv_mu_4+rv_mu_5)/($G699+$H699)+dr_mu/100*2</f>
        <v>0.14911909777462</v>
      </c>
      <c r="R702" s="12" t="n">
        <f aca="false">(rv_mu_4+rv_mu_5)/($G699+$H699)+dr_mu/100*2</f>
        <v>0.14911909777462</v>
      </c>
      <c r="S702" s="12" t="n">
        <f aca="false">(rv_mu_4+rv_mu_5)/($G699+$H699)+dr_mu/100*3</f>
        <v>0.15111909777462</v>
      </c>
      <c r="T702" s="12" t="n">
        <f aca="false">(rv_mu_4+rv_mu_5)/($G699+$H699)+dr_mu/100*3</f>
        <v>0.15111909777462</v>
      </c>
      <c r="U702" s="12" t="n">
        <f aca="false">(rv_mu_4+rv_mu_5)/($G699+$H699)+dr_mu/100*3</f>
        <v>0.15111909777462</v>
      </c>
      <c r="V702" s="12" t="n">
        <f aca="false">(rv_mu_4+rv_mu_5)/($G699+$H699)+dr_mu/100*3</f>
        <v>0.15111909777462</v>
      </c>
      <c r="W702" s="12" t="n">
        <f aca="false">(rv_mu_4+rv_mu_5)/($G699+$H699)+dr_mu/100*4</f>
        <v>0.15311909777462</v>
      </c>
      <c r="X702" s="12" t="n">
        <f aca="false">(rv_mu_4+rv_mu_5)/($G699+$H699)+dr_mu/100*4</f>
        <v>0.15311909777462</v>
      </c>
      <c r="Y702" s="12" t="n">
        <f aca="false">(rv_mu_4+rv_mu_5)/($G699+$H699)+dr_mu/100*4</f>
        <v>0.15311909777462</v>
      </c>
      <c r="Z702" s="12" t="n">
        <f aca="false">(rv_mu_4+rv_mu_5)/($G699+$H699)+dr_mu/100*4</f>
        <v>0.15311909777462</v>
      </c>
      <c r="AB702" s="8" t="s">
        <v>542</v>
      </c>
    </row>
    <row r="703" customFormat="false" ht="17.15" hidden="false" customHeight="false" outlineLevel="0" collapsed="false">
      <c r="A703" s="5" t="s">
        <v>457</v>
      </c>
      <c r="B703" s="0" t="s">
        <v>25</v>
      </c>
      <c r="C703" s="12" t="n">
        <f aca="false">rv_kx_0/C699</f>
        <v>0.148428927680798</v>
      </c>
      <c r="D703" s="12" t="n">
        <f aca="false">rv_kx_1/D699</f>
        <v>0.135396153846154</v>
      </c>
      <c r="E703" s="12" t="n">
        <f aca="false">rv_kx_2/E699</f>
        <v>0.151134502923977</v>
      </c>
      <c r="F703" s="12" t="n">
        <f aca="false">rv_kx_3/F699</f>
        <v>0.140424242424242</v>
      </c>
      <c r="G703" s="12" t="n">
        <f aca="false">rv_kx_4/G699</f>
        <v>0.13559383033419</v>
      </c>
      <c r="H703" s="12" t="n">
        <f aca="false">rv_kx_5/H699</f>
        <v>0.136208152645273</v>
      </c>
      <c r="I703" s="12" t="n">
        <f aca="false">kx_g/kx_fxg/kx_k/$I699</f>
        <v>0.144904344872829</v>
      </c>
      <c r="J703" s="12" t="n">
        <f aca="false">(kx_g/kx_fxg/kx_k/$I699+kx_g4/kx_fxg4/kx_k/$J699)/2</f>
        <v>0.138512987387224</v>
      </c>
      <c r="K703" s="12" t="n">
        <f aca="false">(kx_g/kx_fxg/kx_k/$I699+kx_g4/kx_fxg4/kx_k/$J699)/2+dr_jv_A/100*1*(kx_g/kx_fxg/kx_k)/(kx_g/kx_fxg/kx_k+sd_g/sd_k)</f>
        <v>0.138512987387224</v>
      </c>
      <c r="L703" s="12" t="n">
        <f aca="false">(kx_g/kx_fxg/kx_k/$I699+kx_g4/kx_fxg4/kx_k/$J699)/2+dr_jv_A/100*1*(kx_g/kx_fxg/kx_k)/(kx_g/kx_fxg/kx_k+sd_g/sd_k)</f>
        <v>0.138512987387224</v>
      </c>
      <c r="M703" s="12" t="n">
        <f aca="false">(kx_g/kx_fxg/kx_k/$I699+kx_g4/kx_fxg4/kx_k/$J699)/2+dr_jv_A/100*1*(kx_g/kx_fxg/kx_k)/(kx_g/kx_fxg/kx_k+sd_g/sd_k)</f>
        <v>0.138512987387224</v>
      </c>
      <c r="N703" s="12" t="n">
        <f aca="false">(kx_g/kx_fxg/kx_k/$I699+kx_g4/kx_fxg4/kx_k/$J699)/2+dr_jv_A/100*1*(kx_g/kx_fxg/kx_k)/(kx_g/kx_fxg/kx_k+sd_g/sd_k)</f>
        <v>0.138512987387224</v>
      </c>
      <c r="O703" s="12" t="n">
        <f aca="false">(kx_g/kx_fxg/kx_k/$I699+kx_g4/kx_fxg4/kx_k/$J699)/2+dr_jv_A/100*2*(kx_g/kx_fxg/kx_k)/(kx_g/kx_fxg/kx_k+sd_g/sd_k)</f>
        <v>0.138512987387224</v>
      </c>
      <c r="P703" s="12" t="n">
        <f aca="false">(kx_g/kx_fxg/kx_k/$I699+kx_g4/kx_fxg4/kx_k/$J699)/2+dr_jv_A/100*2*(kx_g/kx_fxg/kx_k)/(kx_g/kx_fxg/kx_k+sd_g/sd_k)</f>
        <v>0.138512987387224</v>
      </c>
      <c r="Q703" s="12" t="n">
        <f aca="false">(kx_g/kx_fxg/kx_k/$I699+kx_g4/kx_fxg4/kx_k/$J699)/2+dr_jv_A/100*2*(kx_g/kx_fxg/kx_k)/(kx_g/kx_fxg/kx_k+sd_g/sd_k)</f>
        <v>0.138512987387224</v>
      </c>
      <c r="R703" s="12" t="n">
        <f aca="false">(kx_g/kx_fxg/kx_k/$I699+kx_g4/kx_fxg4/kx_k/$J699)/2+dr_jv_A/100*2*(kx_g/kx_fxg/kx_k)/(kx_g/kx_fxg/kx_k+sd_g/sd_k)</f>
        <v>0.138512987387224</v>
      </c>
      <c r="S703" s="12" t="n">
        <f aca="false">(kx_g/kx_fxg/kx_k/$I699+kx_g4/kx_fxg4/kx_k/$J699)/2+dr_jv_A/100*3*(kx_g/kx_fxg/kx_k)/(kx_g/kx_fxg/kx_k+sd_g/sd_k)</f>
        <v>0.138512987387224</v>
      </c>
      <c r="T703" s="12" t="n">
        <f aca="false">(kx_g/kx_fxg/kx_k/$I699+kx_g4/kx_fxg4/kx_k/$J699)/2+dr_jv_A/100*3*(kx_g/kx_fxg/kx_k)/(kx_g/kx_fxg/kx_k+sd_g/sd_k)</f>
        <v>0.138512987387224</v>
      </c>
      <c r="U703" s="12" t="n">
        <f aca="false">(kx_g/kx_fxg/kx_k/$I699+kx_g4/kx_fxg4/kx_k/$J699)/2+dr_jv_A/100*3*(kx_g/kx_fxg/kx_k)/(kx_g/kx_fxg/kx_k+sd_g/sd_k)</f>
        <v>0.138512987387224</v>
      </c>
      <c r="V703" s="12" t="n">
        <f aca="false">(kx_g/kx_fxg/kx_k/$I699+kx_g4/kx_fxg4/kx_k/$J699)/2+dr_jv_A/100*3*(kx_g/kx_fxg/kx_k)/(kx_g/kx_fxg/kx_k+sd_g/sd_k)</f>
        <v>0.138512987387224</v>
      </c>
      <c r="W703" s="12" t="n">
        <f aca="false">(kx_g/kx_fxg/kx_k/$I699+kx_g4/kx_fxg4/kx_k/$J699)/2+dr_jv_A/100*4*(kx_g/kx_fxg/kx_k)/(kx_g/kx_fxg/kx_k+sd_g/sd_k)</f>
        <v>0.138512987387224</v>
      </c>
      <c r="X703" s="12" t="n">
        <f aca="false">(kx_g/kx_fxg/kx_k/$I699+kx_g4/kx_fxg4/kx_k/$J699)/2+dr_jv_A/100*4*(kx_g/kx_fxg/kx_k)/(kx_g/kx_fxg/kx_k+sd_g/sd_k)</f>
        <v>0.138512987387224</v>
      </c>
      <c r="Y703" s="12" t="n">
        <f aca="false">(kx_g/kx_fxg/kx_k/$I699+kx_g4/kx_fxg4/kx_k/$J699)/2+dr_jv_A/100*4*(kx_g/kx_fxg/kx_k)/(kx_g/kx_fxg/kx_k+sd_g/sd_k)</f>
        <v>0.138512987387224</v>
      </c>
      <c r="Z703" s="12" t="n">
        <f aca="false">(kx_g/kx_fxg/kx_k/$I699+kx_g4/kx_fxg4/kx_k/$J699)/2+dr_jv_A/100*4*(kx_g/kx_fxg/kx_k)/(kx_g/kx_fxg/kx_k+sd_g/sd_k)</f>
        <v>0.138512987387224</v>
      </c>
      <c r="AB703" s="8" t="s">
        <v>543</v>
      </c>
    </row>
    <row r="704" customFormat="false" ht="17.15" hidden="false" customHeight="false" outlineLevel="0" collapsed="false">
      <c r="A704" s="5" t="s">
        <v>458</v>
      </c>
      <c r="B704" s="0" t="s">
        <v>25</v>
      </c>
      <c r="C704" s="12" t="n">
        <f aca="false">rv_sd_0/C699</f>
        <v>0.130648379052369</v>
      </c>
      <c r="D704" s="12" t="n">
        <f aca="false">rv_sd_1/D699</f>
        <v>0.120211538461538</v>
      </c>
      <c r="E704" s="12" t="n">
        <f aca="false">rv_sd_2/E699</f>
        <v>0.122929824561404</v>
      </c>
      <c r="F704" s="12" t="n">
        <f aca="false">rv_sd_3/F699</f>
        <v>0.128545454545455</v>
      </c>
      <c r="G704" s="12" t="n">
        <f aca="false">rv_sd_4/G699</f>
        <v>0.135366323907455</v>
      </c>
      <c r="H704" s="12" t="n">
        <f aca="false">rv_sd_5/H699</f>
        <v>0.113972679965308</v>
      </c>
      <c r="I704" s="12" t="n">
        <f aca="false">sd_g/sd_k/$I699</f>
        <v>0.106969261015561</v>
      </c>
      <c r="J704" s="12" t="n">
        <f aca="false">(sd_g/sd_k/$I699+sd_g4/sd_k/$J699)/2</f>
        <v>0.106513670372059</v>
      </c>
      <c r="K704" s="12" t="n">
        <f aca="false">(sd_g/sd_k/$I699+sd_g4/sd_k/$J699)/2+dr_jv_A/100*1*(sd_g/sd_k)/(kx_g/kx_fxg/kx_k+sd_g/sd_k)</f>
        <v>0.106513670372059</v>
      </c>
      <c r="L704" s="12" t="n">
        <f aca="false">(sd_g/sd_k/$I699+sd_g4/sd_k/$J699)/2+dr_jv_A/100*1*(sd_g/sd_k)/(kx_g/kx_fxg/kx_k+sd_g/sd_k)</f>
        <v>0.106513670372059</v>
      </c>
      <c r="M704" s="12" t="n">
        <f aca="false">(sd_g/sd_k/$I699+sd_g4/sd_k/$J699)/2+dr_jv_A/100*1*(sd_g/sd_k)/(kx_g/kx_fxg/kx_k+sd_g/sd_k)</f>
        <v>0.106513670372059</v>
      </c>
      <c r="N704" s="12" t="n">
        <f aca="false">(sd_g/sd_k/$I699+sd_g4/sd_k/$J699)/2+dr_jv_A/100*1*(sd_g/sd_k)/(kx_g/kx_fxg/kx_k+sd_g/sd_k)</f>
        <v>0.106513670372059</v>
      </c>
      <c r="O704" s="12" t="n">
        <f aca="false">(sd_g/sd_k/$I699+sd_g4/sd_k/$J699)/2+dr_jv_A/100*2*(sd_g/sd_k)/(kx_g/kx_fxg/kx_k+sd_g/sd_k)</f>
        <v>0.106513670372059</v>
      </c>
      <c r="P704" s="12" t="n">
        <f aca="false">(sd_g/sd_k/$I699+sd_g4/sd_k/$J699)/2+dr_jv_A/100*2*(sd_g/sd_k)/(kx_g/kx_fxg/kx_k+sd_g/sd_k)</f>
        <v>0.106513670372059</v>
      </c>
      <c r="Q704" s="12" t="n">
        <f aca="false">(sd_g/sd_k/$I699+sd_g4/sd_k/$J699)/2+dr_jv_A/100*2*(sd_g/sd_k)/(kx_g/kx_fxg/kx_k+sd_g/sd_k)</f>
        <v>0.106513670372059</v>
      </c>
      <c r="R704" s="12" t="n">
        <f aca="false">(sd_g/sd_k/$I699+sd_g4/sd_k/$J699)/2+dr_jv_A/100*2*(sd_g/sd_k)/(kx_g/kx_fxg/kx_k+sd_g/sd_k)</f>
        <v>0.106513670372059</v>
      </c>
      <c r="S704" s="12" t="n">
        <f aca="false">(sd_g/sd_k/$I699+sd_g4/sd_k/$J699)/2+dr_jv_A/100*3*(sd_g/sd_k)/(kx_g/kx_fxg/kx_k+sd_g/sd_k)</f>
        <v>0.106513670372059</v>
      </c>
      <c r="T704" s="12" t="n">
        <f aca="false">(sd_g/sd_k/$I699+sd_g4/sd_k/$J699)/2+dr_jv_A/100*3*(sd_g/sd_k)/(kx_g/kx_fxg/kx_k+sd_g/sd_k)</f>
        <v>0.106513670372059</v>
      </c>
      <c r="U704" s="12" t="n">
        <f aca="false">(sd_g/sd_k/$I699+sd_g4/sd_k/$J699)/2+dr_jv_A/100*3*(sd_g/sd_k)/(kx_g/kx_fxg/kx_k+sd_g/sd_k)</f>
        <v>0.106513670372059</v>
      </c>
      <c r="V704" s="12" t="n">
        <f aca="false">(sd_g/sd_k/$I699+sd_g4/sd_k/$J699)/2+dr_jv_A/100*3*(sd_g/sd_k)/(kx_g/kx_fxg/kx_k+sd_g/sd_k)</f>
        <v>0.106513670372059</v>
      </c>
      <c r="W704" s="12" t="n">
        <f aca="false">(sd_g/sd_k/$I699+sd_g4/sd_k/$J699)/2+dr_jv_A/100*4*(sd_g/sd_k)/(kx_g/kx_fxg/kx_k+sd_g/sd_k)</f>
        <v>0.106513670372059</v>
      </c>
      <c r="X704" s="12" t="n">
        <f aca="false">(sd_g/sd_k/$I699+sd_g4/sd_k/$J699)/2+dr_jv_A/100*4*(sd_g/sd_k)/(kx_g/kx_fxg/kx_k+sd_g/sd_k)</f>
        <v>0.106513670372059</v>
      </c>
      <c r="Y704" s="12" t="n">
        <f aca="false">(sd_g/sd_k/$I699+sd_g4/sd_k/$J699)/2+dr_jv_A/100*4*(sd_g/sd_k)/(kx_g/kx_fxg/kx_k+sd_g/sd_k)</f>
        <v>0.106513670372059</v>
      </c>
      <c r="Z704" s="12" t="n">
        <f aca="false">(sd_g/sd_k/$I699+sd_g4/sd_k/$J699)/2+dr_jv_A/100*4*(sd_g/sd_k)/(kx_g/kx_fxg/kx_k+sd_g/sd_k)</f>
        <v>0.106513670372059</v>
      </c>
      <c r="AB704" s="8" t="s">
        <v>544</v>
      </c>
    </row>
    <row r="705" customFormat="false" ht="15" hidden="false" customHeight="false" outlineLevel="0" collapsed="false">
      <c r="A705" s="5" t="s">
        <v>459</v>
      </c>
      <c r="B705" s="0" t="s">
        <v>25</v>
      </c>
      <c r="C705" s="12" t="n">
        <f aca="false">1-t5_0</f>
        <v>0.07</v>
      </c>
      <c r="D705" s="12" t="n">
        <f aca="false">1-t5_1</f>
        <v>0.0712076923076923</v>
      </c>
      <c r="E705" s="12" t="n">
        <f aca="false">1-t5_2</f>
        <v>0.09</v>
      </c>
      <c r="F705" s="12" t="n">
        <f aca="false">1-t5_3</f>
        <v>0.101454545454545</v>
      </c>
      <c r="G705" s="12" t="n">
        <f aca="false">1-t5_4</f>
        <v>0.115</v>
      </c>
      <c r="H705" s="12" t="n">
        <f aca="false">1-t5_5</f>
        <v>0.124938855160451</v>
      </c>
      <c r="I705" s="12" t="n">
        <f aca="false">1-I700-I701-I702-I703-I704</f>
        <v>0.127130794252464</v>
      </c>
      <c r="J705" s="12" t="n">
        <f aca="false">1-J700-J701-J702-J703-J704</f>
        <v>0.133977742381572</v>
      </c>
      <c r="K705" s="12" t="n">
        <f aca="false">1-K700-K701-K702-K703-K704</f>
        <v>0.136977742381572</v>
      </c>
      <c r="L705" s="12" t="n">
        <f aca="false">1-L700-L701-L702-L703-L704</f>
        <v>0.136977742381572</v>
      </c>
      <c r="M705" s="12" t="n">
        <f aca="false">1-M700-M701-M702-M703-M704</f>
        <v>0.136977742381572</v>
      </c>
      <c r="N705" s="12" t="n">
        <f aca="false">1-N700-N701-N702-N703-N704</f>
        <v>0.136977742381572</v>
      </c>
      <c r="O705" s="12" t="n">
        <f aca="false">1-O700-O701-O702-O703-O704</f>
        <v>0.139977742381572</v>
      </c>
      <c r="P705" s="12" t="n">
        <f aca="false">1-P700-P701-P702-P703-P704</f>
        <v>0.139977742381572</v>
      </c>
      <c r="Q705" s="12" t="n">
        <f aca="false">1-Q700-Q701-Q702-Q703-Q704</f>
        <v>0.139977742381572</v>
      </c>
      <c r="R705" s="12" t="n">
        <f aca="false">1-R700-R701-R702-R703-R704</f>
        <v>0.139977742381572</v>
      </c>
      <c r="S705" s="12" t="n">
        <f aca="false">1-S700-S701-S702-S703-S704</f>
        <v>0.142977742381572</v>
      </c>
      <c r="T705" s="12" t="n">
        <f aca="false">1-T700-T701-T702-T703-T704</f>
        <v>0.142977742381572</v>
      </c>
      <c r="U705" s="12" t="n">
        <f aca="false">1-U700-U701-U702-U703-U704</f>
        <v>0.142977742381572</v>
      </c>
      <c r="V705" s="12" t="n">
        <f aca="false">1-V700-V701-V702-V703-V704</f>
        <v>0.142977742381572</v>
      </c>
      <c r="W705" s="12" t="n">
        <f aca="false">1-W700-W701-W702-W703-W704</f>
        <v>0.145977742381572</v>
      </c>
      <c r="X705" s="12" t="n">
        <f aca="false">1-X700-X701-X702-X703-X704</f>
        <v>0.145977742381572</v>
      </c>
      <c r="Y705" s="12" t="n">
        <f aca="false">1-Y700-Y701-Y702-Y703-Y704</f>
        <v>0.145977742381572</v>
      </c>
      <c r="Z705" s="12" t="n">
        <f aca="false">1-Z700-Z701-Z702-Z703-Z704</f>
        <v>0.145977742381572</v>
      </c>
      <c r="AB705" s="5" t="s">
        <v>545</v>
      </c>
    </row>
    <row r="706" customFormat="false" ht="17.15" hidden="false" customHeight="false" outlineLevel="0" collapsed="false">
      <c r="A706" s="5" t="s">
        <v>546</v>
      </c>
      <c r="B706" s="0" t="s">
        <v>285</v>
      </c>
      <c r="C706" s="19" t="n">
        <f aca="false">C699*C700</f>
        <v>4.2</v>
      </c>
      <c r="D706" s="19" t="n">
        <f aca="false">D699*D700</f>
        <v>5.2</v>
      </c>
      <c r="E706" s="19" t="n">
        <f aca="false">E699*E700</f>
        <v>6</v>
      </c>
      <c r="F706" s="19" t="n">
        <f aca="false">F699*F700</f>
        <v>6.6</v>
      </c>
      <c r="G706" s="19" t="n">
        <f aca="false">G699*G700</f>
        <v>13.51</v>
      </c>
      <c r="H706" s="19" t="n">
        <f aca="false">H699*H700</f>
        <v>23.06</v>
      </c>
      <c r="I706" s="19" t="n">
        <f aca="false">I699*I700</f>
        <v>30.7629206934451</v>
      </c>
      <c r="J706" s="19" t="n">
        <f aca="false">J699*J700</f>
        <v>34.877841715768</v>
      </c>
      <c r="K706" s="19" t="n">
        <f aca="false">K699*K700</f>
        <v>37.7866114830214</v>
      </c>
      <c r="L706" s="19" t="n">
        <f aca="false">L699*L700</f>
        <v>39.9544771249401</v>
      </c>
      <c r="M706" s="19" t="n">
        <f aca="false">M699*M700</f>
        <v>40.1343801598198</v>
      </c>
      <c r="N706" s="19" t="n">
        <f aca="false">N699*N700</f>
        <v>39.4663544390031</v>
      </c>
      <c r="O706" s="19" t="n">
        <f aca="false">O699*O700</f>
        <v>38.9678776088025</v>
      </c>
      <c r="P706" s="19" t="n">
        <f aca="false">P699*P700</f>
        <v>39.1433382817759</v>
      </c>
      <c r="Q706" s="19" t="n">
        <f aca="false">Q699*Q700</f>
        <v>39.3195890015687</v>
      </c>
      <c r="R706" s="19" t="n">
        <f aca="false">R699*R700</f>
        <v>39.4966333255248</v>
      </c>
      <c r="S706" s="19" t="n">
        <f aca="false">S699*S700</f>
        <v>39.2226624679034</v>
      </c>
      <c r="T706" s="19" t="n">
        <f aca="false">T699*T700</f>
        <v>39.9851530367208</v>
      </c>
      <c r="U706" s="19" t="n">
        <f aca="false">U699*U700</f>
        <v>40.762466461279</v>
      </c>
      <c r="V706" s="19" t="n">
        <f aca="false">V699*V700</f>
        <v>41.5548908986535</v>
      </c>
      <c r="W706" s="19" t="n">
        <f aca="false">W699*W700</f>
        <v>39.3324587595296</v>
      </c>
      <c r="X706" s="19" t="n">
        <f aca="false">X699*X700</f>
        <v>38.6007395749207</v>
      </c>
      <c r="Y706" s="19" t="n">
        <f aca="false">Y699*Y700</f>
        <v>37.8826328870133</v>
      </c>
      <c r="Z706" s="19" t="n">
        <f aca="false">Z699*Z700</f>
        <v>37.1778854564905</v>
      </c>
    </row>
    <row r="707" customFormat="false" ht="17.15" hidden="false" customHeight="false" outlineLevel="0" collapsed="false">
      <c r="A707" s="0" t="s">
        <v>547</v>
      </c>
      <c r="B707" s="0" t="s">
        <v>285</v>
      </c>
      <c r="C707" s="19" t="n">
        <f aca="false">C699*C701</f>
        <v>2.19</v>
      </c>
      <c r="D707" s="19" t="n">
        <f aca="false">D699*D701</f>
        <v>3.34</v>
      </c>
      <c r="E707" s="19" t="n">
        <f aca="false">E699*E701</f>
        <v>3.53</v>
      </c>
      <c r="F707" s="19" t="n">
        <f aca="false">F699*F701</f>
        <v>5.21</v>
      </c>
      <c r="G707" s="19" t="n">
        <f aca="false">G699*G701</f>
        <v>7.53</v>
      </c>
      <c r="H707" s="19" t="n">
        <f aca="false">H699*H701</f>
        <v>14.27</v>
      </c>
      <c r="I707" s="19" t="n">
        <f aca="false">I699*I701</f>
        <v>18.3383010969949</v>
      </c>
      <c r="J707" s="19" t="n">
        <f aca="false">J699*J701</f>
        <v>20.7912756194625</v>
      </c>
      <c r="K707" s="19" t="n">
        <f aca="false">K699*K701</f>
        <v>22.9094407104865</v>
      </c>
      <c r="L707" s="19" t="n">
        <f aca="false">L699*L701</f>
        <v>24.2237842687638</v>
      </c>
      <c r="M707" s="19" t="n">
        <f aca="false">M699*M701</f>
        <v>24.3328567086957</v>
      </c>
      <c r="N707" s="19" t="n">
        <f aca="false">N699*N701</f>
        <v>23.9278430003084</v>
      </c>
      <c r="O707" s="19" t="n">
        <f aca="false">O699*O701</f>
        <v>24.0355829054114</v>
      </c>
      <c r="P707" s="19" t="n">
        <f aca="false">P699*P701</f>
        <v>24.143807931014</v>
      </c>
      <c r="Q707" s="19" t="n">
        <f aca="false">Q699*Q701</f>
        <v>24.2525202614684</v>
      </c>
      <c r="R707" s="19" t="n">
        <f aca="false">R699*R701</f>
        <v>24.3617220909624</v>
      </c>
      <c r="S707" s="19" t="n">
        <f aca="false">S699*S701</f>
        <v>24.6199480175735</v>
      </c>
      <c r="T707" s="19" t="n">
        <f aca="false">T699*T701</f>
        <v>25.0985610689831</v>
      </c>
      <c r="U707" s="19" t="n">
        <f aca="false">U699*U701</f>
        <v>25.5864783826445</v>
      </c>
      <c r="V707" s="19" t="n">
        <f aca="false">V699*V701</f>
        <v>26.0838808338927</v>
      </c>
      <c r="W707" s="19" t="n">
        <f aca="false">W699*W701</f>
        <v>25.1326775161281</v>
      </c>
      <c r="X707" s="19" t="n">
        <f aca="false">X699*X701</f>
        <v>24.6651231633333</v>
      </c>
      <c r="Y707" s="19" t="n">
        <f aca="false">Y699*Y701</f>
        <v>24.2062669316471</v>
      </c>
      <c r="Z707" s="19" t="n">
        <f aca="false">Z699*Z701</f>
        <v>23.7559470060625</v>
      </c>
    </row>
    <row r="708" customFormat="false" ht="17.15" hidden="false" customHeight="false" outlineLevel="0" collapsed="false">
      <c r="A708" s="5" t="s">
        <v>548</v>
      </c>
      <c r="B708" s="0" t="s">
        <v>285</v>
      </c>
      <c r="C708" s="19" t="n">
        <f aca="false">C699*C702</f>
        <v>2.03</v>
      </c>
      <c r="D708" s="19" t="n">
        <f aca="false">D699*D702</f>
        <v>2.1</v>
      </c>
      <c r="E708" s="19" t="n">
        <f aca="false">E699*E702</f>
        <v>2.42</v>
      </c>
      <c r="F708" s="19" t="n">
        <f aca="false">F699*F702</f>
        <v>3.03</v>
      </c>
      <c r="G708" s="19" t="n">
        <f aca="false">G699*G702</f>
        <v>5.95</v>
      </c>
      <c r="H708" s="19" t="n">
        <f aca="false">H699*H702</f>
        <v>11.85</v>
      </c>
      <c r="I708" s="19" t="n">
        <f aca="false">I699*I702</f>
        <v>14.973475207638</v>
      </c>
      <c r="J708" s="19" t="n">
        <f aca="false">J699*J702</f>
        <v>16.976362661763</v>
      </c>
      <c r="K708" s="19" t="n">
        <f aca="false">K699*K702</f>
        <v>18.963673909528</v>
      </c>
      <c r="L708" s="19" t="n">
        <f aca="false">L699*L702</f>
        <v>20.0516438411925</v>
      </c>
      <c r="M708" s="19" t="n">
        <f aca="false">M699*M702</f>
        <v>20.1419303833008</v>
      </c>
      <c r="N708" s="19" t="n">
        <f aca="false">N699*N702</f>
        <v>19.8066734910961</v>
      </c>
      <c r="O708" s="19" t="n">
        <f aca="false">O699*O702</f>
        <v>20.1663298031157</v>
      </c>
      <c r="P708" s="19" t="n">
        <f aca="false">P699*P702</f>
        <v>20.2571327417356</v>
      </c>
      <c r="Q708" s="19" t="n">
        <f aca="false">Q699*Q702</f>
        <v>20.3483445387715</v>
      </c>
      <c r="R708" s="19" t="n">
        <f aca="false">R699*R702</f>
        <v>20.4399670351905</v>
      </c>
      <c r="S708" s="19" t="n">
        <f aca="false">S699*S702</f>
        <v>20.933672366686</v>
      </c>
      <c r="T708" s="19" t="n">
        <f aca="false">T699*T702</f>
        <v>21.3406240304945</v>
      </c>
      <c r="U708" s="19" t="n">
        <f aca="false">U699*U702</f>
        <v>21.7554868555065</v>
      </c>
      <c r="V708" s="19" t="n">
        <f aca="false">V699*V702</f>
        <v>22.1784146351015</v>
      </c>
      <c r="W708" s="19" t="n">
        <f aca="false">W699*W702</f>
        <v>21.6524507389864</v>
      </c>
      <c r="X708" s="19" t="n">
        <f aca="false">X699*X702</f>
        <v>21.249640589324</v>
      </c>
      <c r="Y708" s="19" t="n">
        <f aca="false">Y699*Y702</f>
        <v>20.8543240956282</v>
      </c>
      <c r="Z708" s="19" t="n">
        <f aca="false">Z699*Z702</f>
        <v>20.4663618500917</v>
      </c>
    </row>
    <row r="709" customFormat="false" ht="17.15" hidden="false" customHeight="false" outlineLevel="0" collapsed="false">
      <c r="A709" s="0" t="s">
        <v>549</v>
      </c>
      <c r="B709" s="0" t="s">
        <v>285</v>
      </c>
      <c r="C709" s="19" t="n">
        <f aca="false">C699*C703</f>
        <v>1.92</v>
      </c>
      <c r="D709" s="19" t="n">
        <f aca="false">D699*D703</f>
        <v>2.14</v>
      </c>
      <c r="E709" s="19" t="n">
        <f aca="false">E699*E703</f>
        <v>2.84</v>
      </c>
      <c r="F709" s="19" t="n">
        <f aca="false">F699*F703</f>
        <v>3.31</v>
      </c>
      <c r="G709" s="19" t="n">
        <f aca="false">G699*G703</f>
        <v>5.96</v>
      </c>
      <c r="H709" s="19" t="n">
        <f aca="false">H699*H703</f>
        <v>10.72</v>
      </c>
      <c r="I709" s="19" t="n">
        <f aca="false">I699*I703</f>
        <v>14.9513168749304</v>
      </c>
      <c r="J709" s="19" t="n">
        <f aca="false">J699*J703</f>
        <v>16.2035648188888</v>
      </c>
      <c r="K709" s="19" t="n">
        <f aca="false">K699*K703</f>
        <v>17.8543449815733</v>
      </c>
      <c r="L709" s="19" t="n">
        <f aca="false">L699*L703</f>
        <v>18.8786713110699</v>
      </c>
      <c r="M709" s="19" t="n">
        <f aca="false">M699*M703</f>
        <v>18.9636763094518</v>
      </c>
      <c r="N709" s="19" t="n">
        <f aca="false">N699*N703</f>
        <v>18.6480311322868</v>
      </c>
      <c r="O709" s="19" t="n">
        <f aca="false">O699*O703</f>
        <v>18.7319976270738</v>
      </c>
      <c r="P709" s="19" t="n">
        <f aca="false">P699*P703</f>
        <v>18.8163421978194</v>
      </c>
      <c r="Q709" s="19" t="n">
        <f aca="false">Q699*Q703</f>
        <v>18.9010665468864</v>
      </c>
      <c r="R709" s="19" t="n">
        <f aca="false">R699*R703</f>
        <v>18.9861723843027</v>
      </c>
      <c r="S709" s="19" t="n">
        <f aca="false">S699*S703</f>
        <v>19.1874193215442</v>
      </c>
      <c r="T709" s="19" t="n">
        <f aca="false">T699*T703</f>
        <v>19.5604237366471</v>
      </c>
      <c r="U709" s="19" t="n">
        <f aca="false">U699*U703</f>
        <v>19.9406793766988</v>
      </c>
      <c r="V709" s="19" t="n">
        <f aca="false">V699*V703</f>
        <v>20.3283272058839</v>
      </c>
      <c r="W709" s="19" t="n">
        <f aca="false">W699*W703</f>
        <v>19.5870121996554</v>
      </c>
      <c r="X709" s="19" t="n">
        <f aca="false">X699*X703</f>
        <v>19.2226263197063</v>
      </c>
      <c r="Y709" s="19" t="n">
        <f aca="false">Y699*Y703</f>
        <v>18.8650192719829</v>
      </c>
      <c r="Z709" s="19" t="n">
        <f aca="false">Z699*Z703</f>
        <v>18.5140649468612</v>
      </c>
    </row>
    <row r="710" customFormat="false" ht="17.15" hidden="false" customHeight="false" outlineLevel="0" collapsed="false">
      <c r="A710" s="0" t="s">
        <v>550</v>
      </c>
      <c r="B710" s="0" t="s">
        <v>285</v>
      </c>
      <c r="C710" s="19" t="n">
        <f aca="false">C699*C704</f>
        <v>1.69</v>
      </c>
      <c r="D710" s="19" t="n">
        <f aca="false">D699*D704</f>
        <v>1.9</v>
      </c>
      <c r="E710" s="19" t="n">
        <f aca="false">E699*E704</f>
        <v>2.31</v>
      </c>
      <c r="F710" s="19" t="n">
        <f aca="false">F699*F704</f>
        <v>3.03</v>
      </c>
      <c r="G710" s="19" t="n">
        <f aca="false">G699*G704</f>
        <v>5.95</v>
      </c>
      <c r="H710" s="19" t="n">
        <f aca="false">H699*H704</f>
        <v>8.97</v>
      </c>
      <c r="I710" s="19" t="n">
        <f aca="false">I699*I704</f>
        <v>11.0371522587842</v>
      </c>
      <c r="J710" s="19" t="n">
        <f aca="false">J699*J704</f>
        <v>12.4602118149868</v>
      </c>
      <c r="K710" s="19" t="n">
        <f aca="false">K699*K704</f>
        <v>13.7296281882931</v>
      </c>
      <c r="L710" s="19" t="n">
        <f aca="false">L699*L704</f>
        <v>14.5173143040247</v>
      </c>
      <c r="M710" s="19" t="n">
        <f aca="false">M699*M704</f>
        <v>14.5826814190399</v>
      </c>
      <c r="N710" s="19" t="n">
        <f aca="false">N699*N704</f>
        <v>14.3399566970533</v>
      </c>
      <c r="O710" s="19" t="n">
        <f aca="false">O699*O704</f>
        <v>14.4045252239239</v>
      </c>
      <c r="P710" s="19" t="n">
        <f aca="false">P699*P704</f>
        <v>14.4693844835178</v>
      </c>
      <c r="Q710" s="19" t="n">
        <f aca="false">Q699*Q704</f>
        <v>14.5345357849173</v>
      </c>
      <c r="R710" s="19" t="n">
        <f aca="false">R699*R704</f>
        <v>14.5999804430991</v>
      </c>
      <c r="S710" s="19" t="n">
        <f aca="false">S699*S704</f>
        <v>14.7547352450932</v>
      </c>
      <c r="T710" s="19" t="n">
        <f aca="false">T699*T704</f>
        <v>15.0415680545433</v>
      </c>
      <c r="U710" s="19" t="n">
        <f aca="false">U699*U704</f>
        <v>15.3339769085113</v>
      </c>
      <c r="V710" s="19" t="n">
        <f aca="false">V699*V704</f>
        <v>15.6320702055885</v>
      </c>
      <c r="W710" s="19" t="n">
        <f aca="false">W699*W704</f>
        <v>15.062014041869</v>
      </c>
      <c r="X710" s="19" t="n">
        <f aca="false">X699*X704</f>
        <v>14.7818087106777</v>
      </c>
      <c r="Y710" s="19" t="n">
        <f aca="false">Y699*Y704</f>
        <v>14.5068161636074</v>
      </c>
      <c r="Z710" s="19" t="n">
        <f aca="false">Z699*Z704</f>
        <v>14.2369394249218</v>
      </c>
    </row>
    <row r="711" customFormat="false" ht="17.15" hidden="false" customHeight="false" outlineLevel="0" collapsed="false">
      <c r="A711" s="5" t="s">
        <v>551</v>
      </c>
      <c r="B711" s="0" t="s">
        <v>285</v>
      </c>
      <c r="C711" s="19" t="n">
        <f aca="false">C699*C705</f>
        <v>0.905483870967741</v>
      </c>
      <c r="D711" s="19" t="n">
        <f aca="false">D699*D705</f>
        <v>1.12547112462006</v>
      </c>
      <c r="E711" s="19" t="n">
        <f aca="false">E699*E705</f>
        <v>1.69120879120879</v>
      </c>
      <c r="F711" s="19" t="n">
        <f aca="false">F699*F705</f>
        <v>2.39142857142857</v>
      </c>
      <c r="G711" s="19" t="n">
        <f aca="false">G699*G705</f>
        <v>5.05480225988701</v>
      </c>
      <c r="H711" s="19" t="n">
        <f aca="false">H699*H705</f>
        <v>9.83307167235495</v>
      </c>
      <c r="I711" s="19" t="n">
        <f aca="false">I699*I705</f>
        <v>13.1174313033769</v>
      </c>
      <c r="J711" s="19" t="n">
        <f aca="false">J699*J705</f>
        <v>15.6730215261275</v>
      </c>
      <c r="K711" s="19" t="n">
        <f aca="false">K699*K705</f>
        <v>17.6564516686126</v>
      </c>
      <c r="L711" s="19" t="n">
        <f aca="false">L699*L705</f>
        <v>18.6694246087182</v>
      </c>
      <c r="M711" s="19" t="n">
        <f aca="false">M699*M705</f>
        <v>18.7534874319173</v>
      </c>
      <c r="N711" s="19" t="n">
        <f aca="false">N699*N705</f>
        <v>18.4413407908169</v>
      </c>
      <c r="O711" s="19" t="n">
        <f aca="false">O699*O705</f>
        <v>18.9300858179065</v>
      </c>
      <c r="P711" s="19" t="n">
        <f aca="false">P699*P705</f>
        <v>19.0153223204022</v>
      </c>
      <c r="Q711" s="19" t="n">
        <f aca="false">Q699*Q705</f>
        <v>19.1009426173206</v>
      </c>
      <c r="R711" s="19" t="n">
        <f aca="false">R699*R705</f>
        <v>19.1869484367729</v>
      </c>
      <c r="S711" s="19" t="n">
        <f aca="false">S699*S705</f>
        <v>19.805896533396</v>
      </c>
      <c r="T711" s="19" t="n">
        <f aca="false">T699*T705</f>
        <v>20.1909241771987</v>
      </c>
      <c r="U711" s="19" t="n">
        <f aca="false">U699*U705</f>
        <v>20.5834367781324</v>
      </c>
      <c r="V711" s="19" t="n">
        <f aca="false">V699*V705</f>
        <v>20.9835798441473</v>
      </c>
      <c r="W711" s="19" t="n">
        <f aca="false">W699*W705</f>
        <v>20.6425973104797</v>
      </c>
      <c r="X711" s="19" t="n">
        <f aca="false">X699*X705</f>
        <v>20.2585739122838</v>
      </c>
      <c r="Y711" s="19" t="n">
        <f aca="false">Y699*Y705</f>
        <v>19.8816946717801</v>
      </c>
      <c r="Z711" s="19" t="n">
        <f aca="false">Z699*Z705</f>
        <v>19.5118266830327</v>
      </c>
    </row>
    <row r="712" customFormat="false" ht="17.15" hidden="false" customHeight="false" outlineLevel="0" collapsed="false">
      <c r="A712" s="0" t="s">
        <v>552</v>
      </c>
      <c r="B712" s="0" t="s">
        <v>25</v>
      </c>
      <c r="C712" s="12" t="n">
        <f aca="false">C703+C704</f>
        <v>0.279077306733167</v>
      </c>
      <c r="D712" s="12" t="n">
        <f aca="false">D703+D704</f>
        <v>0.255607692307692</v>
      </c>
      <c r="E712" s="12" t="n">
        <f aca="false">E703+E704</f>
        <v>0.27406432748538</v>
      </c>
      <c r="F712" s="12" t="n">
        <f aca="false">F703+F704</f>
        <v>0.268969696969697</v>
      </c>
      <c r="G712" s="12" t="n">
        <f aca="false">G703+G704</f>
        <v>0.270960154241645</v>
      </c>
      <c r="H712" s="12" t="n">
        <f aca="false">H703+H704</f>
        <v>0.250180832610581</v>
      </c>
      <c r="I712" s="12" t="n">
        <f aca="false">I703+I704</f>
        <v>0.251873605888391</v>
      </c>
      <c r="J712" s="12" t="n">
        <f aca="false">J703+J704</f>
        <v>0.245026657759283</v>
      </c>
      <c r="K712" s="12" t="n">
        <f aca="false">K703+K704</f>
        <v>0.245026657759283</v>
      </c>
      <c r="L712" s="12" t="n">
        <f aca="false">L703+L704</f>
        <v>0.245026657759283</v>
      </c>
      <c r="M712" s="12" t="n">
        <f aca="false">M703+M704</f>
        <v>0.245026657759283</v>
      </c>
      <c r="N712" s="12" t="n">
        <f aca="false">N703+N704</f>
        <v>0.245026657759283</v>
      </c>
      <c r="O712" s="12" t="n">
        <f aca="false">O703+O704</f>
        <v>0.245026657759283</v>
      </c>
      <c r="P712" s="12" t="n">
        <f aca="false">P703+P704</f>
        <v>0.245026657759283</v>
      </c>
      <c r="Q712" s="12" t="n">
        <f aca="false">Q703+Q704</f>
        <v>0.245026657759283</v>
      </c>
      <c r="R712" s="12" t="n">
        <f aca="false">R703+R704</f>
        <v>0.245026657759283</v>
      </c>
      <c r="S712" s="12" t="n">
        <f aca="false">S703+S704</f>
        <v>0.245026657759283</v>
      </c>
      <c r="T712" s="12" t="n">
        <f aca="false">T703+T704</f>
        <v>0.245026657759283</v>
      </c>
      <c r="U712" s="12" t="n">
        <f aca="false">U703+U704</f>
        <v>0.245026657759283</v>
      </c>
      <c r="V712" s="12" t="n">
        <f aca="false">V703+V704</f>
        <v>0.245026657759283</v>
      </c>
      <c r="W712" s="12" t="n">
        <f aca="false">W703+W704</f>
        <v>0.245026657759283</v>
      </c>
      <c r="X712" s="12" t="n">
        <f aca="false">X703+X704</f>
        <v>0.245026657759283</v>
      </c>
      <c r="Y712" s="12" t="n">
        <f aca="false">Y703+Y704</f>
        <v>0.245026657759283</v>
      </c>
      <c r="Z712" s="12" t="n">
        <f aca="false">Z703+Z704</f>
        <v>0.245026657759283</v>
      </c>
    </row>
    <row r="713" customFormat="false" ht="17.15" hidden="false" customHeight="false" outlineLevel="0" collapsed="false">
      <c r="A713" s="0" t="s">
        <v>553</v>
      </c>
      <c r="B713" s="0" t="s">
        <v>222</v>
      </c>
      <c r="C713" s="19" t="n">
        <f aca="false">C698*C703</f>
        <v>35.5454438457651</v>
      </c>
      <c r="D713" s="19" t="n">
        <f aca="false">D698*D703</f>
        <v>33.3561735612603</v>
      </c>
      <c r="E713" s="19" t="n">
        <f aca="false">E698*E703</f>
        <v>38.3034616573653</v>
      </c>
      <c r="F713" s="19" t="n">
        <f aca="false">F698*F703</f>
        <v>36.6117929947199</v>
      </c>
      <c r="G713" s="19" t="n">
        <f aca="false">G698*G703</f>
        <v>38.1333152375469</v>
      </c>
      <c r="H713" s="19" t="n">
        <f aca="false">H698*H703</f>
        <v>40.1757580440862</v>
      </c>
      <c r="I713" s="19" t="n">
        <f aca="false">I698*I703</f>
        <v>44.8269021796765</v>
      </c>
      <c r="J713" s="19" t="n">
        <f aca="false">J698*J703</f>
        <v>44.9411476117569</v>
      </c>
      <c r="K713" s="19" t="n">
        <f aca="false">K698*K703</f>
        <v>48.0773237904583</v>
      </c>
      <c r="L713" s="19" t="n">
        <f aca="false">L698*L703</f>
        <v>50.835580599158</v>
      </c>
      <c r="M713" s="19" t="n">
        <f aca="false">M698*M703</f>
        <v>53.7520820858664</v>
      </c>
      <c r="N713" s="19" t="n">
        <f aca="false">N698*N703</f>
        <v>56.8359069476934</v>
      </c>
      <c r="O713" s="19" t="n">
        <f aca="false">O698*O703</f>
        <v>60.0966547380729</v>
      </c>
      <c r="P713" s="19" t="n">
        <f aca="false">P698*P703</f>
        <v>63.5444757489475</v>
      </c>
      <c r="Q713" s="19" t="n">
        <f aca="false">Q698*Q703</f>
        <v>67.190102607333</v>
      </c>
      <c r="R713" s="19" t="n">
        <f aca="false">R698*R703</f>
        <v>71.0448836846168</v>
      </c>
      <c r="S713" s="19" t="n">
        <f aca="false">S698*S703</f>
        <v>74.0184898623123</v>
      </c>
      <c r="T713" s="19" t="n">
        <f aca="false">T698*T703</f>
        <v>77.7911475249602</v>
      </c>
      <c r="U713" s="19" t="n">
        <f aca="false">U698*U703</f>
        <v>81.7560942476254</v>
      </c>
      <c r="V713" s="19" t="n">
        <f aca="false">V698*V703</f>
        <v>85.9231308354458</v>
      </c>
      <c r="W713" s="19" t="n">
        <f aca="false">W698*W703</f>
        <v>87.5395173614874</v>
      </c>
      <c r="X713" s="19" t="n">
        <f aca="false">X698*X703</f>
        <v>90.8398023892908</v>
      </c>
      <c r="Y713" s="19" t="n">
        <f aca="false">Y698*Y703</f>
        <v>94.2645098675832</v>
      </c>
      <c r="Z713" s="19" t="n">
        <f aca="false">Z698*Z703</f>
        <v>97.8183305870253</v>
      </c>
      <c r="AB713" s="5" t="s">
        <v>554</v>
      </c>
    </row>
    <row r="714" customFormat="false" ht="17.15" hidden="false" customHeight="false" outlineLevel="0" collapsed="false">
      <c r="A714" s="0" t="s">
        <v>555</v>
      </c>
      <c r="B714" s="0" t="s">
        <v>222</v>
      </c>
      <c r="C714" s="19" t="n">
        <f aca="false">C698*C704</f>
        <v>31.2873958850745</v>
      </c>
      <c r="D714" s="19" t="n">
        <f aca="false">D698*D704</f>
        <v>29.6152942833619</v>
      </c>
      <c r="E714" s="19" t="n">
        <f aca="false">E698*E704</f>
        <v>31.1552804325753</v>
      </c>
      <c r="F714" s="19" t="n">
        <f aca="false">F698*F704</f>
        <v>33.5147228924475</v>
      </c>
      <c r="G714" s="19" t="n">
        <f aca="false">G698*G704</f>
        <v>38.0693331650007</v>
      </c>
      <c r="H714" s="19" t="n">
        <f aca="false">H698*H704</f>
        <v>33.6172154529341</v>
      </c>
      <c r="I714" s="19" t="n">
        <f aca="false">I698*I704</f>
        <v>33.0914894510934</v>
      </c>
      <c r="J714" s="19" t="n">
        <f aca="false">J698*J704</f>
        <v>34.5588285485368</v>
      </c>
      <c r="K714" s="19" t="n">
        <f aca="false">K698*K704</f>
        <v>36.9704842497676</v>
      </c>
      <c r="L714" s="19" t="n">
        <f aca="false">L698*L704</f>
        <v>39.0915276411862</v>
      </c>
      <c r="M714" s="19" t="n">
        <f aca="false">M698*M704</f>
        <v>41.3342579717828</v>
      </c>
      <c r="N714" s="19" t="n">
        <f aca="false">N698*N704</f>
        <v>43.7056565750022</v>
      </c>
      <c r="O714" s="19" t="n">
        <f aca="false">O698*O704</f>
        <v>46.2131053122095</v>
      </c>
      <c r="P714" s="19" t="n">
        <f aca="false">P698*P704</f>
        <v>48.8644095514828</v>
      </c>
      <c r="Q714" s="19" t="n">
        <f aca="false">Q698*Q704</f>
        <v>51.6678224647285</v>
      </c>
      <c r="R714" s="19" t="n">
        <f aca="false">R698*R704</f>
        <v>54.6320707187528</v>
      </c>
      <c r="S714" s="19" t="n">
        <f aca="false">S698*S704</f>
        <v>56.9187133953845</v>
      </c>
      <c r="T714" s="19" t="n">
        <f aca="false">T698*T704</f>
        <v>59.8198104136917</v>
      </c>
      <c r="U714" s="19" t="n">
        <f aca="false">U698*U704</f>
        <v>62.8687738085834</v>
      </c>
      <c r="V714" s="19" t="n">
        <f aca="false">V698*V704</f>
        <v>66.0731401998922</v>
      </c>
      <c r="W714" s="19" t="n">
        <f aca="false">W698*W704</f>
        <v>67.316108566081</v>
      </c>
      <c r="X714" s="19" t="n">
        <f aca="false">X698*X704</f>
        <v>69.8539606348013</v>
      </c>
      <c r="Y714" s="19" t="n">
        <f aca="false">Y698*Y704</f>
        <v>72.4874910375772</v>
      </c>
      <c r="Z714" s="19" t="n">
        <f aca="false">Z698*Z704</f>
        <v>75.2203068970304</v>
      </c>
    </row>
    <row r="715" customFormat="false" ht="17.15" hidden="false" customHeight="false" outlineLevel="0" collapsed="false">
      <c r="A715" s="5" t="s">
        <v>556</v>
      </c>
      <c r="B715" s="0" t="s">
        <v>557</v>
      </c>
      <c r="C715" s="17" t="n">
        <f aca="false">ABS(SUM(C700:C705)-1)+ABS(SUM(I700:I705)-1)+ABS(SUM(Z700:Z705)-1)+ABS(H710-rv_sd_5)</f>
        <v>0</v>
      </c>
    </row>
    <row r="740" customFormat="false" ht="17.15" hidden="false" customHeight="false" outlineLevel="0" collapsed="false">
      <c r="A740" s="3" t="s">
        <v>704</v>
      </c>
    </row>
    <row r="741" customFormat="false" ht="17.15" hidden="false" customHeight="false" outlineLevel="0" collapsed="false">
      <c r="A741" s="9" t="s">
        <v>508</v>
      </c>
      <c r="B741" s="6" t="s">
        <v>15</v>
      </c>
      <c r="C741" s="9" t="s">
        <v>427</v>
      </c>
      <c r="D741" s="9" t="s">
        <v>428</v>
      </c>
      <c r="E741" s="9" t="s">
        <v>429</v>
      </c>
      <c r="F741" s="9" t="s">
        <v>430</v>
      </c>
      <c r="G741" s="9" t="s">
        <v>431</v>
      </c>
      <c r="H741" s="9" t="s">
        <v>432</v>
      </c>
      <c r="I741" s="9" t="s">
        <v>433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6" t="s">
        <v>434</v>
      </c>
    </row>
    <row r="742" customFormat="false" ht="17.15" hidden="false" customHeight="false" outlineLevel="0" collapsed="false">
      <c r="A742" s="5" t="s">
        <v>509</v>
      </c>
      <c r="B742" s="5" t="s">
        <v>168</v>
      </c>
      <c r="E742" s="10" t="n">
        <f aca="false">(u_26)*1</f>
        <v>15.2</v>
      </c>
      <c r="F742" s="10" t="n">
        <f aca="false">(u_27)*1</f>
        <v>23.7</v>
      </c>
      <c r="G742" s="10" t="n">
        <f aca="false">(u_28)*um28_A</f>
        <v>26.5</v>
      </c>
      <c r="H742" s="10" t="n">
        <f aca="false">(u_28*(1+g_u29))*um29_A</f>
        <v>30.15</v>
      </c>
      <c r="I742" s="10" t="n">
        <f aca="false">(u_28*(1+g_u29)*(1+g_u30))*um29_A</f>
        <v>31.6575</v>
      </c>
      <c r="AB742" s="8" t="s">
        <v>510</v>
      </c>
    </row>
    <row r="743" customFormat="false" ht="17.15" hidden="false" customHeight="false" outlineLevel="0" collapsed="false">
      <c r="A743" s="5" t="s">
        <v>511</v>
      </c>
      <c r="B743" s="0" t="s">
        <v>512</v>
      </c>
      <c r="E743" s="18" t="n">
        <f aca="false">tb_26</f>
        <v>30</v>
      </c>
      <c r="F743" s="18" t="n">
        <f aca="false">tb_27</f>
        <v>34</v>
      </c>
      <c r="G743" s="18" t="n">
        <f aca="false">tb_28</f>
        <v>40</v>
      </c>
      <c r="H743" s="18" t="n">
        <f aca="false">tb_29</f>
        <v>46</v>
      </c>
      <c r="I743" s="18" t="n">
        <f aca="false">tb_30</f>
        <v>52</v>
      </c>
    </row>
    <row r="744" customFormat="false" ht="17.15" hidden="false" customHeight="false" outlineLevel="0" collapsed="false">
      <c r="A744" s="5" t="s">
        <v>513</v>
      </c>
      <c r="B744" s="0" t="s">
        <v>222</v>
      </c>
      <c r="D744" s="10" t="n">
        <f aca="false">bits25*sh_essd25*ai25</f>
        <v>165</v>
      </c>
      <c r="E744" s="10" t="n">
        <f aca="false">E742*E743</f>
        <v>456</v>
      </c>
      <c r="F744" s="10" t="n">
        <f aca="false">F742*F743</f>
        <v>805.8</v>
      </c>
      <c r="G744" s="10" t="n">
        <f aca="false">G742*G743</f>
        <v>1060</v>
      </c>
      <c r="H744" s="10" t="n">
        <f aca="false">H742*H743</f>
        <v>1386.9</v>
      </c>
      <c r="I744" s="10" t="n">
        <f aca="false">I742*I743</f>
        <v>1646.19</v>
      </c>
      <c r="AB744" s="5" t="s">
        <v>514</v>
      </c>
    </row>
    <row r="745" customFormat="false" ht="17.15" hidden="false" customHeight="false" outlineLevel="0" collapsed="false">
      <c r="A745" s="5" t="s">
        <v>515</v>
      </c>
      <c r="B745" s="0" t="s">
        <v>222</v>
      </c>
      <c r="D745" s="10" t="n">
        <f aca="false">bits25*sh_essd25*(1-ai25)</f>
        <v>135</v>
      </c>
      <c r="E745" s="10" t="n">
        <f aca="false">D745*(1+g_nai)</f>
        <v>148.5</v>
      </c>
      <c r="F745" s="10" t="n">
        <f aca="false">E745*(1+g_nai)</f>
        <v>163.35</v>
      </c>
      <c r="G745" s="10" t="n">
        <f aca="false">F745*(1+g_nai)</f>
        <v>179.685</v>
      </c>
      <c r="H745" s="10" t="n">
        <f aca="false">G745*(1+g_nai)</f>
        <v>197.6535</v>
      </c>
      <c r="I745" s="10" t="n">
        <f aca="false">H745*(1+g_nai)</f>
        <v>217.41885</v>
      </c>
    </row>
    <row r="746" customFormat="false" ht="15" hidden="false" customHeight="false" outlineLevel="0" collapsed="false">
      <c r="A746" s="5" t="s">
        <v>516</v>
      </c>
      <c r="B746" s="0" t="s">
        <v>222</v>
      </c>
      <c r="D746" s="10" t="n">
        <f aca="false">bits25*sh_mob25</f>
        <v>320</v>
      </c>
      <c r="E746" s="10" t="n">
        <f aca="false">D746*(1+g_mob_26)</f>
        <v>304</v>
      </c>
      <c r="F746" s="10" t="n">
        <f aca="false">E746*(1+g_mob_27)</f>
        <v>313.12</v>
      </c>
      <c r="G746" s="10" t="n">
        <f aca="false">F746*(1+g_mob_28)</f>
        <v>338.1696</v>
      </c>
      <c r="H746" s="10" t="n">
        <f aca="false">G746*(1+g_mob_28)</f>
        <v>365.223168</v>
      </c>
      <c r="I746" s="10" t="n">
        <f aca="false">H746*(1+g_mob_28)</f>
        <v>394.44102144</v>
      </c>
    </row>
    <row r="747" customFormat="false" ht="17.15" hidden="false" customHeight="false" outlineLevel="0" collapsed="false">
      <c r="A747" s="5" t="s">
        <v>517</v>
      </c>
      <c r="B747" s="0" t="s">
        <v>222</v>
      </c>
      <c r="D747" s="10" t="n">
        <f aca="false">bits25*sh_pc25</f>
        <v>230</v>
      </c>
      <c r="E747" s="10" t="n">
        <f aca="false">D747*(1+g_pc_26)</f>
        <v>218.5</v>
      </c>
      <c r="F747" s="10" t="n">
        <f aca="false">E747*(1+g_pc_27)</f>
        <v>218.5</v>
      </c>
      <c r="G747" s="10" t="n">
        <f aca="false">F747*(1+g_pc_28)</f>
        <v>231.61</v>
      </c>
      <c r="H747" s="10" t="n">
        <f aca="false">G747*(1+g_pc_28)</f>
        <v>245.5066</v>
      </c>
      <c r="I747" s="10" t="n">
        <f aca="false">H747*(1+g_pc_28)</f>
        <v>260.236996</v>
      </c>
    </row>
    <row r="748" customFormat="false" ht="15" hidden="false" customHeight="false" outlineLevel="0" collapsed="false">
      <c r="A748" s="5" t="s">
        <v>518</v>
      </c>
      <c r="B748" s="0" t="s">
        <v>222</v>
      </c>
      <c r="D748" s="10" t="n">
        <f aca="false">bits25*(1-sh_essd25-sh_mob25-sh_pc25)</f>
        <v>150</v>
      </c>
      <c r="E748" s="10" t="n">
        <f aca="false">D748*(1+g_con_26)</f>
        <v>135</v>
      </c>
      <c r="F748" s="10" t="n">
        <f aca="false">E748*(1+g_con_27)</f>
        <v>135</v>
      </c>
      <c r="G748" s="10" t="n">
        <f aca="false">F748*(1+g_con_28)</f>
        <v>141.75</v>
      </c>
      <c r="H748" s="10" t="n">
        <f aca="false">G748*(1+g_con_28)</f>
        <v>148.8375</v>
      </c>
      <c r="I748" s="10" t="n">
        <f aca="false">H748*(1+g_con_28)</f>
        <v>156.279375</v>
      </c>
    </row>
    <row r="749" customFormat="false" ht="15" hidden="false" customHeight="false" outlineLevel="0" collapsed="false">
      <c r="A749" s="5" t="s">
        <v>442</v>
      </c>
      <c r="B749" s="0" t="s">
        <v>222</v>
      </c>
      <c r="D749" s="10" t="n">
        <f aca="false">SUM(D744:D748)</f>
        <v>1000</v>
      </c>
      <c r="E749" s="10" t="n">
        <f aca="false">SUM(E744:E748)</f>
        <v>1262</v>
      </c>
      <c r="F749" s="10" t="n">
        <f aca="false">SUM(F744:F748)</f>
        <v>1635.77</v>
      </c>
      <c r="G749" s="10" t="n">
        <f aca="false">SUM(G744:G748)</f>
        <v>1951.2146</v>
      </c>
      <c r="H749" s="10" t="n">
        <f aca="false">SUM(H744:H748)</f>
        <v>2344.120768</v>
      </c>
      <c r="I749" s="10" t="n">
        <f aca="false">SUM(I744:I748)</f>
        <v>2674.56624244</v>
      </c>
    </row>
    <row r="750" customFormat="false" ht="17.15" hidden="false" customHeight="false" outlineLevel="0" collapsed="false">
      <c r="A750" s="5" t="s">
        <v>519</v>
      </c>
      <c r="B750" s="0" t="s">
        <v>25</v>
      </c>
      <c r="D750" s="12" t="n">
        <f aca="false">(D744+D745)/D749</f>
        <v>0.3</v>
      </c>
      <c r="E750" s="12" t="n">
        <f aca="false">(E744+E745)/E749</f>
        <v>0.479001584786054</v>
      </c>
      <c r="F750" s="12" t="n">
        <f aca="false">(F744+F745)/F749</f>
        <v>0.592473269469424</v>
      </c>
      <c r="G750" s="12" t="n">
        <f aca="false">(G744+G745)/G749</f>
        <v>0.635340161968858</v>
      </c>
      <c r="H750" s="12" t="n">
        <f aca="false">(H744+H745)/H749</f>
        <v>0.675969225490007</v>
      </c>
      <c r="I750" s="12" t="n">
        <f aca="false">(I744+I745)/I749</f>
        <v>0.696789191618539</v>
      </c>
    </row>
    <row r="751" customFormat="false" ht="17.15" hidden="false" customHeight="false" outlineLevel="0" collapsed="false">
      <c r="A751" s="5" t="s">
        <v>520</v>
      </c>
      <c r="B751" s="0" t="s">
        <v>222</v>
      </c>
      <c r="D751" s="10" t="n">
        <f aca="false">bits25</f>
        <v>1000</v>
      </c>
      <c r="E751" s="10" t="n">
        <f aca="false">D751*(1+gs_26)</f>
        <v>1210</v>
      </c>
      <c r="F751" s="10" t="n">
        <f aca="false">E751*(1+gs_27)</f>
        <v>1512.5</v>
      </c>
      <c r="G751" s="10" t="n">
        <f aca="false">F751*(1+gs_28)</f>
        <v>1890.625</v>
      </c>
      <c r="H751" s="10" t="n">
        <f aca="false">G751*(1+gs_29)</f>
        <v>2306.5625</v>
      </c>
      <c r="I751" s="10" t="n">
        <f aca="false">H751*(1+gs_30)</f>
        <v>2767.875</v>
      </c>
      <c r="AB751" s="8" t="s">
        <v>521</v>
      </c>
    </row>
    <row r="752" customFormat="false" ht="17.15" hidden="false" customHeight="false" outlineLevel="0" collapsed="false">
      <c r="A752" s="5" t="s">
        <v>522</v>
      </c>
      <c r="B752" s="0" t="s">
        <v>25</v>
      </c>
      <c r="E752" s="12" t="n">
        <f aca="false">E749/E751-1</f>
        <v>0.0429752066115703</v>
      </c>
      <c r="F752" s="12" t="n">
        <f aca="false">F749/F751-1</f>
        <v>0.0815008264462809</v>
      </c>
      <c r="G752" s="12" t="n">
        <f aca="false">G749/G751-1</f>
        <v>0.0320473917355373</v>
      </c>
      <c r="H752" s="12" t="n">
        <f aca="false">H749/H751-1</f>
        <v>0.0162832214605071</v>
      </c>
      <c r="I752" s="12" t="n">
        <f aca="false">I749/I751-1</f>
        <v>-0.0337113336259763</v>
      </c>
    </row>
    <row r="753" customFormat="false" ht="17.15" hidden="false" customHeight="false" outlineLevel="0" collapsed="false">
      <c r="A753" s="5" t="s">
        <v>523</v>
      </c>
      <c r="B753" s="0" t="s">
        <v>222</v>
      </c>
      <c r="C753" s="10" t="n">
        <f aca="false">bits25/(1+g25)</f>
        <v>892.857142857143</v>
      </c>
      <c r="D753" s="10" t="n">
        <f aca="false">bits25</f>
        <v>1000</v>
      </c>
      <c r="E753" s="10" t="n">
        <f aca="false">MIN(E749,E751)</f>
        <v>1210</v>
      </c>
      <c r="F753" s="10" t="n">
        <f aca="false">MIN(F749,F751)</f>
        <v>1512.5</v>
      </c>
      <c r="G753" s="10" t="n">
        <f aca="false">MIN(G749,G751)</f>
        <v>1890.625</v>
      </c>
      <c r="H753" s="10" t="n">
        <f aca="false">MIN(H749,H751)</f>
        <v>2306.5625</v>
      </c>
      <c r="I753" s="10" t="n">
        <f aca="false">MIN(I749,I751)</f>
        <v>2674.56624244</v>
      </c>
    </row>
    <row r="754" customFormat="false" ht="15" hidden="false" customHeight="false" outlineLevel="0" collapsed="false">
      <c r="A754" s="5" t="s">
        <v>447</v>
      </c>
      <c r="B754" s="0" t="s">
        <v>25</v>
      </c>
      <c r="D754" s="12" t="n">
        <f aca="false">D753/C753-1</f>
        <v>0.12</v>
      </c>
      <c r="E754" s="12" t="n">
        <f aca="false">E753/D753-1</f>
        <v>0.21</v>
      </c>
      <c r="F754" s="12" t="n">
        <f aca="false">F753/E753-1</f>
        <v>0.25</v>
      </c>
      <c r="G754" s="12" t="n">
        <f aca="false">G753/F753-1</f>
        <v>0.25</v>
      </c>
      <c r="H754" s="12" t="n">
        <f aca="false">H753/G753-1</f>
        <v>0.22</v>
      </c>
      <c r="I754" s="12" t="n">
        <f aca="false">I753/H753-1</f>
        <v>0.159546399648828</v>
      </c>
    </row>
    <row r="755" customFormat="false" ht="17.15" hidden="false" customHeight="false" outlineLevel="0" collapsed="false">
      <c r="A755" s="0" t="s">
        <v>524</v>
      </c>
      <c r="B755" s="0" t="s">
        <v>285</v>
      </c>
      <c r="C755" s="10" t="n">
        <f aca="false">rev24</f>
        <v>67.4</v>
      </c>
      <c r="D755" s="10" t="n">
        <f aca="false">SUM(C769:F769)</f>
        <v>71.1035923582252</v>
      </c>
      <c r="E755" s="10" t="n">
        <f aca="false">SUM(G769:J769)</f>
        <v>342.820749524408</v>
      </c>
      <c r="F755" s="10" t="n">
        <f aca="false">SUM(K769:N769)</f>
        <v>429.387742690411</v>
      </c>
      <c r="G755" s="10" t="n">
        <f aca="false">SUM(O769:R769)</f>
        <v>435.688119527427</v>
      </c>
      <c r="H755" s="10" t="n">
        <f aca="false">SUM(S769:V769)</f>
        <v>456.372221154259</v>
      </c>
      <c r="I755" s="10" t="n">
        <f aca="false">SUM(W769:Z769)</f>
        <v>466.951546419724</v>
      </c>
      <c r="AB755" s="8" t="s">
        <v>525</v>
      </c>
    </row>
    <row r="756" customFormat="false" ht="15" hidden="false" customHeight="false" outlineLevel="0" collapsed="false">
      <c r="A756" s="5" t="s">
        <v>453</v>
      </c>
      <c r="B756" s="0" t="s">
        <v>25</v>
      </c>
      <c r="D756" s="12" t="n">
        <f aca="false">D755/C755-1</f>
        <v>0.0549494415166936</v>
      </c>
      <c r="E756" s="12" t="n">
        <f aca="false">E755/D755-1</f>
        <v>3.82142657149095</v>
      </c>
      <c r="F756" s="12" t="n">
        <f aca="false">F755/E755-1</f>
        <v>0.252513867045961</v>
      </c>
      <c r="G756" s="12" t="n">
        <f aca="false">G755/F755-1</f>
        <v>0.0146729312707905</v>
      </c>
      <c r="H756" s="12" t="n">
        <f aca="false">H755/G755-1</f>
        <v>0.0474745596672836</v>
      </c>
      <c r="I756" s="12" t="n">
        <f aca="false">I755/H755-1</f>
        <v>0.0231813523590643</v>
      </c>
    </row>
    <row r="757" customFormat="false" ht="17.15" hidden="false" customHeight="false" outlineLevel="0" collapsed="false">
      <c r="A757" s="5" t="s">
        <v>526</v>
      </c>
      <c r="B757" s="0" t="s">
        <v>449</v>
      </c>
      <c r="C757" s="13" t="n">
        <f aca="false">C755/C753</f>
        <v>0.075488</v>
      </c>
      <c r="D757" s="13" t="n">
        <f aca="false">D755/D753</f>
        <v>0.0711035923582252</v>
      </c>
      <c r="E757" s="13" t="n">
        <f aca="false">E755/E753</f>
        <v>0.283322933491246</v>
      </c>
      <c r="F757" s="13" t="n">
        <f aca="false">F755/F753</f>
        <v>0.283892722439941</v>
      </c>
      <c r="G757" s="13" t="n">
        <f aca="false">G755/G753</f>
        <v>0.230446608675664</v>
      </c>
      <c r="H757" s="13" t="n">
        <f aca="false">H755/H753</f>
        <v>0.197858163892918</v>
      </c>
      <c r="I757" s="13" t="n">
        <f aca="false">I755/I753</f>
        <v>0.174589635885678</v>
      </c>
    </row>
    <row r="758" customFormat="false" ht="17.15" hidden="false" customHeight="false" outlineLevel="0" collapsed="false">
      <c r="A758" s="5" t="s">
        <v>450</v>
      </c>
      <c r="B758" s="0" t="s">
        <v>25</v>
      </c>
      <c r="D758" s="12" t="n">
        <f aca="false">D757/C757-1</f>
        <v>-0.0580808557886665</v>
      </c>
      <c r="E758" s="12" t="n">
        <f aca="false">E757/D757-1</f>
        <v>2.98465005908343</v>
      </c>
      <c r="F758" s="12" t="n">
        <f aca="false">F757/E757-1</f>
        <v>0.00201109363676899</v>
      </c>
      <c r="G758" s="12" t="n">
        <f aca="false">G757/F757-1</f>
        <v>-0.188261654983368</v>
      </c>
      <c r="H758" s="12" t="n">
        <f aca="false">H757/G757-1</f>
        <v>-0.141414295354686</v>
      </c>
      <c r="I758" s="12" t="n">
        <f aca="false">I757/H757-1</f>
        <v>-0.117602061746785</v>
      </c>
      <c r="AB758" s="8" t="s">
        <v>527</v>
      </c>
    </row>
    <row r="759" customFormat="false" ht="15" hidden="false" customHeight="false" outlineLevel="0" collapsed="false">
      <c r="A759" s="5" t="s">
        <v>528</v>
      </c>
      <c r="B759" s="0" t="s">
        <v>25</v>
      </c>
      <c r="D759" s="12" t="n">
        <f aca="false">SUM(C776:F776)/D755</f>
        <v>0.309407714439551</v>
      </c>
      <c r="E759" s="12" t="n">
        <f aca="false">SUM(G776:J776)/E755</f>
        <v>0.298146371102126</v>
      </c>
      <c r="F759" s="12" t="n">
        <f aca="false">SUM(K776:N776)/F755</f>
        <v>0.293146371102126</v>
      </c>
      <c r="G759" s="12" t="n">
        <f aca="false">SUM(O776:R776)/G755</f>
        <v>0.288146371102126</v>
      </c>
      <c r="H759" s="12" t="n">
        <f aca="false">SUM(S776:V776)/H755</f>
        <v>0.283146371102126</v>
      </c>
      <c r="I759" s="12" t="n">
        <f aca="false">SUM(W776:Z776)/I755</f>
        <v>0.278146371102126</v>
      </c>
    </row>
    <row r="760" customFormat="false" ht="17.15" hidden="false" customHeight="false" outlineLevel="0" collapsed="false">
      <c r="A760" s="5" t="s">
        <v>529</v>
      </c>
      <c r="B760" s="0" t="s">
        <v>25</v>
      </c>
      <c r="D760" s="12" t="n">
        <f aca="false">SUM(C777:F777)/D755</f>
        <v>0.200693094775109</v>
      </c>
      <c r="E760" s="12" t="n">
        <f aca="false">SUM(G777:J777)/E755</f>
        <v>0.177730130982399</v>
      </c>
      <c r="F760" s="12" t="n">
        <f aca="false">SUM(K777:N777)/F755</f>
        <v>0.177730130982399</v>
      </c>
      <c r="G760" s="12" t="n">
        <f aca="false">SUM(O777:R777)/G755</f>
        <v>0.177730130982399</v>
      </c>
      <c r="H760" s="12" t="n">
        <f aca="false">SUM(S777:V777)/H755</f>
        <v>0.177730130982399</v>
      </c>
      <c r="I760" s="12" t="n">
        <f aca="false">SUM(W777:Z777)/I755</f>
        <v>0.177730130982399</v>
      </c>
    </row>
    <row r="761" customFormat="false" ht="15" hidden="false" customHeight="false" outlineLevel="0" collapsed="false">
      <c r="A761" s="5" t="s">
        <v>530</v>
      </c>
      <c r="B761" s="0" t="s">
        <v>25</v>
      </c>
      <c r="D761" s="12" t="n">
        <f aca="false">SUM(C778:F778)/D755</f>
        <v>0.134732995651405</v>
      </c>
      <c r="E761" s="12" t="n">
        <f aca="false">SUM(G778:J778)/E755</f>
        <v>0.14511909777462</v>
      </c>
      <c r="F761" s="12" t="n">
        <f aca="false">SUM(K778:N778)/F755</f>
        <v>0.14711909777462</v>
      </c>
      <c r="G761" s="12" t="n">
        <f aca="false">SUM(O778:R778)/G755</f>
        <v>0.14911909777462</v>
      </c>
      <c r="H761" s="12" t="n">
        <f aca="false">SUM(S778:V778)/H755</f>
        <v>0.15111909777462</v>
      </c>
      <c r="I761" s="12" t="n">
        <f aca="false">SUM(W778:Z778)/I755</f>
        <v>0.15311909777462</v>
      </c>
    </row>
    <row r="762" customFormat="false" ht="17.15" hidden="false" customHeight="false" outlineLevel="0" collapsed="false">
      <c r="A762" s="5" t="s">
        <v>531</v>
      </c>
      <c r="B762" s="0" t="s">
        <v>25</v>
      </c>
      <c r="D762" s="12" t="n">
        <f aca="false">SUM(C779:F779)/D755</f>
        <v>0.143593307473992</v>
      </c>
      <c r="E762" s="12" t="n">
        <f aca="false">SUM(G779:J779)/E755</f>
        <v>0.139533216003349</v>
      </c>
      <c r="F762" s="12" t="n">
        <f aca="false">SUM(K779:N779)/F755</f>
        <v>0.138512987387224</v>
      </c>
      <c r="G762" s="12" t="n">
        <f aca="false">SUM(O779:R779)/G755</f>
        <v>0.138512987387224</v>
      </c>
      <c r="H762" s="12" t="n">
        <f aca="false">SUM(S779:V779)/H755</f>
        <v>0.138512987387224</v>
      </c>
      <c r="I762" s="12" t="n">
        <f aca="false">SUM(W779:Z779)/I755</f>
        <v>0.138512987387224</v>
      </c>
    </row>
    <row r="763" customFormat="false" ht="17.15" hidden="false" customHeight="false" outlineLevel="0" collapsed="false">
      <c r="A763" s="5" t="s">
        <v>532</v>
      </c>
      <c r="B763" s="0" t="s">
        <v>25</v>
      </c>
      <c r="D763" s="12" t="n">
        <f aca="false">SUM(C780:F780)/D755</f>
        <v>0.125591404088418</v>
      </c>
      <c r="E763" s="12" t="n">
        <f aca="false">SUM(G780:J780)/E755</f>
        <v>0.112062540342342</v>
      </c>
      <c r="F763" s="12" t="n">
        <f aca="false">SUM(K780:N780)/F755</f>
        <v>0.106513670372059</v>
      </c>
      <c r="G763" s="12" t="n">
        <f aca="false">SUM(O780:R780)/G755</f>
        <v>0.106513670372059</v>
      </c>
      <c r="H763" s="12" t="n">
        <f aca="false">SUM(S780:V780)/H755</f>
        <v>0.106513670372059</v>
      </c>
      <c r="I763" s="12" t="n">
        <f aca="false">SUM(W780:Z780)/I755</f>
        <v>0.106513670372059</v>
      </c>
    </row>
    <row r="764" customFormat="false" ht="15" hidden="false" customHeight="false" outlineLevel="0" collapsed="false">
      <c r="A764" s="5" t="s">
        <v>533</v>
      </c>
      <c r="B764" s="0" t="s">
        <v>25</v>
      </c>
      <c r="D764" s="12" t="n">
        <f aca="false">SUM(C781:F781)/D755</f>
        <v>0.0859814835715252</v>
      </c>
      <c r="E764" s="12" t="n">
        <f aca="false">SUM(G781:J781)/E755</f>
        <v>0.127408643795164</v>
      </c>
      <c r="F764" s="12" t="n">
        <f aca="false">SUM(K781:N781)/F755</f>
        <v>0.136977742381572</v>
      </c>
      <c r="G764" s="12" t="n">
        <f aca="false">SUM(O781:R781)/G755</f>
        <v>0.139977742381572</v>
      </c>
      <c r="H764" s="12" t="n">
        <f aca="false">SUM(S781:V781)/H755</f>
        <v>0.142977742381572</v>
      </c>
      <c r="I764" s="12" t="n">
        <f aca="false">SUM(W781:Z781)/I755</f>
        <v>0.145977742381572</v>
      </c>
    </row>
    <row r="766" customFormat="false" ht="17.15" hidden="false" customHeight="false" outlineLevel="0" collapsed="false">
      <c r="A766" s="9" t="s">
        <v>534</v>
      </c>
      <c r="B766" s="6" t="s">
        <v>15</v>
      </c>
      <c r="C766" s="9" t="s">
        <v>468</v>
      </c>
      <c r="D766" s="9" t="s">
        <v>469</v>
      </c>
      <c r="E766" s="9" t="s">
        <v>470</v>
      </c>
      <c r="F766" s="9" t="s">
        <v>471</v>
      </c>
      <c r="G766" s="9" t="s">
        <v>472</v>
      </c>
      <c r="H766" s="9" t="s">
        <v>473</v>
      </c>
      <c r="I766" s="9" t="s">
        <v>474</v>
      </c>
      <c r="J766" s="9" t="s">
        <v>475</v>
      </c>
      <c r="K766" s="9" t="s">
        <v>476</v>
      </c>
      <c r="L766" s="9" t="s">
        <v>477</v>
      </c>
      <c r="M766" s="9" t="s">
        <v>478</v>
      </c>
      <c r="N766" s="9" t="s">
        <v>479</v>
      </c>
      <c r="O766" s="9" t="s">
        <v>480</v>
      </c>
      <c r="P766" s="9" t="s">
        <v>481</v>
      </c>
      <c r="Q766" s="9" t="s">
        <v>482</v>
      </c>
      <c r="R766" s="9" t="s">
        <v>483</v>
      </c>
      <c r="S766" s="9" t="s">
        <v>484</v>
      </c>
      <c r="T766" s="9" t="s">
        <v>485</v>
      </c>
      <c r="U766" s="9" t="s">
        <v>486</v>
      </c>
      <c r="V766" s="9" t="s">
        <v>487</v>
      </c>
      <c r="W766" s="9" t="s">
        <v>488</v>
      </c>
      <c r="X766" s="9" t="s">
        <v>489</v>
      </c>
      <c r="Y766" s="9" t="s">
        <v>490</v>
      </c>
      <c r="Z766" s="9" t="s">
        <v>491</v>
      </c>
      <c r="AA766" s="9"/>
      <c r="AB766" s="6" t="s">
        <v>434</v>
      </c>
    </row>
    <row r="767" customFormat="false" ht="17.15" hidden="false" customHeight="false" outlineLevel="0" collapsed="false">
      <c r="A767" s="5" t="s">
        <v>535</v>
      </c>
      <c r="B767" s="0" t="s">
        <v>536</v>
      </c>
      <c r="C767" s="13" t="n">
        <f aca="false">Path!C4</f>
        <v>1</v>
      </c>
      <c r="D767" s="13" t="n">
        <f aca="false">Path!D4</f>
        <v>1</v>
      </c>
      <c r="E767" s="13" t="n">
        <f aca="false">Path!E4</f>
        <v>1.05</v>
      </c>
      <c r="F767" s="13" t="n">
        <f aca="false">Path!F4</f>
        <v>1.365</v>
      </c>
      <c r="G767" s="13" t="n">
        <f aca="false">Path!G4</f>
        <v>2.559375</v>
      </c>
      <c r="H767" s="13" t="n">
        <f aca="false">Path!H4</f>
        <v>4.414921875</v>
      </c>
      <c r="I767" s="13" t="n">
        <f aca="false">Path!I4</f>
        <v>5.51865234375</v>
      </c>
      <c r="J767" s="13" t="n">
        <f aca="false">Path!J4</f>
        <v>5.96566318359375</v>
      </c>
      <c r="K767" s="13" t="n">
        <f aca="false">Path!K4*0.8</f>
        <v>4.91570646328125</v>
      </c>
      <c r="L767" s="13" t="n">
        <f aca="false">Path!L4*0.8</f>
        <v>4.91570646328125</v>
      </c>
      <c r="M767" s="13" t="n">
        <f aca="false">Path!M4*0.8</f>
        <v>4.66992114011719</v>
      </c>
      <c r="N767" s="13" t="n">
        <f aca="false">Path!N4*0.8</f>
        <v>4.34302666030898</v>
      </c>
      <c r="O767" s="13" t="n">
        <f aca="false">Path!O4*0.8</f>
        <v>4.12587532729353</v>
      </c>
      <c r="P767" s="13" t="n">
        <f aca="false">Path!P4*0.8</f>
        <v>3.91958156092886</v>
      </c>
      <c r="Q767" s="13" t="n">
        <f aca="false">Path!Q4*0.8</f>
        <v>3.72360248288241</v>
      </c>
      <c r="R767" s="13" t="n">
        <f aca="false">Path!R4*0.8</f>
        <v>3.53742235873829</v>
      </c>
      <c r="S767" s="13" t="n">
        <f aca="false">Path!S4*0.8</f>
        <v>3.43129968797615</v>
      </c>
      <c r="T767" s="13" t="n">
        <f aca="false">Path!T4*0.8</f>
        <v>3.32836069733686</v>
      </c>
      <c r="U767" s="13" t="n">
        <f aca="false">Path!U4*0.8</f>
        <v>3.22850987641676</v>
      </c>
      <c r="V767" s="13" t="n">
        <f aca="false">Path!V4*0.8</f>
        <v>3.13165458012425</v>
      </c>
      <c r="W767" s="13" t="n">
        <f aca="false">Path!V4*(1+p10)^(1/4)*0.8</f>
        <v>3.03315442350257</v>
      </c>
      <c r="X767" s="13" t="n">
        <f aca="false">Path!V4*(1+p10)^(2/4)*0.8</f>
        <v>2.9377523993876</v>
      </c>
      <c r="Y767" s="13" t="n">
        <f aca="false">Path!V4*(1+p10)^(3/4)*0.8</f>
        <v>2.84535106199492</v>
      </c>
      <c r="Z767" s="13" t="n">
        <f aca="false">Path!V4*(1+p10)^(4/4)*0.8</f>
        <v>2.75585603050934</v>
      </c>
      <c r="AB767" s="8" t="s">
        <v>537</v>
      </c>
    </row>
    <row r="768" customFormat="false" ht="17.15" hidden="false" customHeight="false" outlineLevel="0" collapsed="false">
      <c r="A768" s="5" t="s">
        <v>538</v>
      </c>
      <c r="B768" s="0" t="s">
        <v>222</v>
      </c>
      <c r="C768" s="10" t="n">
        <f aca="false">D753/4*(D753/C753)^((1-2.5)/4)/(((D753/C753)^(-0.375)+(D753/C753)^(-0.125)+(D753/C753)^(0.125)+(D753/C753)^(0.375))/4)</f>
        <v>239.477872684002</v>
      </c>
      <c r="D768" s="10" t="n">
        <f aca="false">D753/4*(D753/C753)^((2-2.5)/4)/(((D753/C753)^(-0.375)+(D753/C753)^(-0.125)+(D753/C753)^(0.125)+(D753/C753)^(0.375))/4)</f>
        <v>246.359830864633</v>
      </c>
      <c r="E768" s="10" t="n">
        <f aca="false">D753/4*(D753/C753)^((3-2.5)/4)/(((D753/C753)^(-0.375)+(D753/C753)^(-0.125)+(D753/C753)^(0.125)+(D753/C753)^(0.375))/4)</f>
        <v>253.439558249863</v>
      </c>
      <c r="F768" s="10" t="n">
        <f aca="false">D753/4*(D753/C753)^((4-2.5)/4)/(((D753/C753)^(-0.375)+(D753/C753)^(-0.125)+(D753/C753)^(0.125)+(D753/C753)^(0.375))/4)</f>
        <v>260.722738201501</v>
      </c>
      <c r="G768" s="10" t="n">
        <f aca="false">E753/4*(E753/D753)^((1-2.5)/4)/(((E753/D753)^(-0.375)+(E753/D753)^(-0.125)+(E753/D753)^(0.125)+(E753/D753)^(0.375))/4)</f>
        <v>281.231934694683</v>
      </c>
      <c r="H768" s="10" t="n">
        <f aca="false">E753/4*(E753/D753)^((2-2.5)/4)/(((E753/D753)^(-0.375)+(E753/D753)^(-0.125)+(E753/D753)^(0.125)+(E753/D753)^(0.375))/4)</f>
        <v>294.958541495794</v>
      </c>
      <c r="I768" s="10" t="n">
        <f aca="false">E753/4*(E753/D753)^((3-2.5)/4)/(((E753/D753)^(-0.375)+(E753/D753)^(-0.125)+(E753/D753)^(0.125)+(E753/D753)^(0.375))/4)</f>
        <v>309.355128164151</v>
      </c>
      <c r="J768" s="10" t="n">
        <f aca="false">E753/4*(E753/D753)^((4-2.5)/4)/(((E753/D753)^(-0.375)+(E753/D753)^(-0.125)+(E753/D753)^(0.125)+(E753/D753)^(0.375))/4)</f>
        <v>324.454395645373</v>
      </c>
      <c r="K768" s="10" t="n">
        <f aca="false">F753/4*(F753/E753)^((1-2.5)/4)/(((F753/E753)^(-0.375)+(F753/E753)^(-0.125)+(F753/E753)^(0.125)+(F753/E753)^(0.375))/4)</f>
        <v>347.096143815413</v>
      </c>
      <c r="L768" s="10" t="n">
        <f aca="false">F753/4*(F753/E753)^((2-2.5)/4)/(((F753/E753)^(-0.375)+(F753/E753)^(-0.125)+(F753/E753)^(0.125)+(F753/E753)^(0.375))/4)</f>
        <v>367.009488121451</v>
      </c>
      <c r="M768" s="10" t="n">
        <f aca="false">F753/4*(F753/E753)^((3-2.5)/4)/(((F753/E753)^(-0.375)+(F753/E753)^(-0.125)+(F753/E753)^(0.125)+(F753/E753)^(0.375))/4)</f>
        <v>388.065286149653</v>
      </c>
      <c r="N768" s="10" t="n">
        <f aca="false">F753/4*(F753/E753)^((4-2.5)/4)/(((F753/E753)^(-0.375)+(F753/E753)^(-0.125)+(F753/E753)^(0.125)+(F753/E753)^(0.375))/4)</f>
        <v>410.329081913483</v>
      </c>
      <c r="O768" s="10" t="n">
        <f aca="false">G753/4*(G753/F753)^((1-2.5)/4)/(((G753/F753)^(-0.375)+(G753/F753)^(-0.125)+(G753/F753)^(0.125)+(G753/F753)^(0.375))/4)</f>
        <v>433.870179769266</v>
      </c>
      <c r="P768" s="10" t="n">
        <f aca="false">G753/4*(G753/F753)^((2-2.5)/4)/(((G753/F753)^(-0.375)+(G753/F753)^(-0.125)+(G753/F753)^(0.125)+(G753/F753)^(0.375))/4)</f>
        <v>458.761860151814</v>
      </c>
      <c r="Q768" s="10" t="n">
        <f aca="false">G753/4*(G753/F753)^((3-2.5)/4)/(((G753/F753)^(-0.375)+(G753/F753)^(-0.125)+(G753/F753)^(0.125)+(G753/F753)^(0.375))/4)</f>
        <v>485.081607687067</v>
      </c>
      <c r="R768" s="10" t="n">
        <f aca="false">G753/4*(G753/F753)^((4-2.5)/4)/(((G753/F753)^(-0.375)+(G753/F753)^(-0.125)+(G753/F753)^(0.125)+(G753/F753)^(0.375))/4)</f>
        <v>512.911352391854</v>
      </c>
      <c r="S768" s="10" t="n">
        <f aca="false">H753/4*(H753/G753)^((1-2.5)/4)/(((H753/G753)^(-0.375)+(H753/G753)^(-0.125)+(H753/G753)^(0.125)+(H753/G753)^(0.375))/4)</f>
        <v>534.379419998991</v>
      </c>
      <c r="T768" s="10" t="n">
        <f aca="false">H753/4*(H753/G753)^((2-2.5)/4)/(((H753/G753)^(-0.375)+(H753/G753)^(-0.125)+(H753/G753)^(0.125)+(H753/G753)^(0.375))/4)</f>
        <v>561.616271458278</v>
      </c>
      <c r="U768" s="10" t="n">
        <f aca="false">H753/4*(H753/G753)^((3-2.5)/4)/(((H753/G753)^(-0.375)+(H753/G753)^(-0.125)+(H753/G753)^(0.125)+(H753/G753)^(0.375))/4)</f>
        <v>590.241361404399</v>
      </c>
      <c r="V768" s="10" t="n">
        <f aca="false">H753/4*(H753/G753)^((4-2.5)/4)/(((H753/G753)^(-0.375)+(H753/G753)^(-0.125)+(H753/G753)^(0.125)+(H753/G753)^(0.375))/4)</f>
        <v>620.325447138332</v>
      </c>
      <c r="W768" s="10" t="n">
        <f aca="false">I753/4*(I753/H753)^((1-2.5)/4)/(((I753/H753)^(-0.375)+(I753/H753)^(-0.125)+(I753/H753)^(0.125)+(I753/H753)^(0.375))/4)</f>
        <v>631.995013700511</v>
      </c>
      <c r="X768" s="10" t="n">
        <f aca="false">I753/4*(I753/H753)^((2-2.5)/4)/(((I753/H753)^(-0.375)+(I753/H753)^(-0.125)+(I753/H753)^(0.125)+(I753/H753)^(0.375))/4)</f>
        <v>655.821552208249</v>
      </c>
      <c r="Y768" s="10" t="n">
        <f aca="false">I753/4*(I753/H753)^((3-2.5)/4)/(((I753/H753)^(-0.375)+(I753/H753)^(-0.125)+(I753/H753)^(0.125)+(I753/H753)^(0.375))/4)</f>
        <v>680.546363526616</v>
      </c>
      <c r="Z768" s="10" t="n">
        <f aca="false">I753/4*(I753/H753)^((4-2.5)/4)/(((I753/H753)^(-0.375)+(I753/H753)^(-0.125)+(I753/H753)^(0.125)+(I753/H753)^(0.375))/4)</f>
        <v>706.203313004625</v>
      </c>
      <c r="AB768" s="5" t="s">
        <v>539</v>
      </c>
    </row>
    <row r="769" customFormat="false" ht="17.15" hidden="false" customHeight="false" outlineLevel="0" collapsed="false">
      <c r="A769" s="0" t="s">
        <v>540</v>
      </c>
      <c r="B769" s="0" t="s">
        <v>285</v>
      </c>
      <c r="C769" s="10" t="n">
        <f aca="false">(rv_ss_0+rv_sk_0+rv_mu_0+rv_kx_0+rv_sd_0)/t5_0</f>
        <v>12.9354838709677</v>
      </c>
      <c r="D769" s="10" t="n">
        <f aca="false">(rv_ss_1+rv_sk_1+rv_mu_1+rv_kx_1+rv_sd_1)/t5_1</f>
        <v>15.8054711246201</v>
      </c>
      <c r="E769" s="10" t="n">
        <f aca="false">(rv_ss_2+rv_sk_2+rv_mu_2+rv_kx_2+rv_sd_2)/t5_2</f>
        <v>18.7912087912088</v>
      </c>
      <c r="F769" s="10" t="n">
        <f aca="false">(rv_ss_3+rv_sk_3+rv_mu_3+rv_kx_3+rv_sd_3)/t5_3</f>
        <v>23.5714285714286</v>
      </c>
      <c r="G769" s="10" t="n">
        <f aca="false">(rv_ss_4+rv_sk_4+rv_mu_4+rv_kx_4+rv_sd_4)/t5_4</f>
        <v>43.954802259887</v>
      </c>
      <c r="H769" s="10" t="n">
        <f aca="false">(rv_ss_5+rv_sk_5+rv_mu_5+rv_kx_5+rv_sd_5)/t5_5</f>
        <v>78.703071672355</v>
      </c>
      <c r="I769" s="10" t="n">
        <f aca="false">$H769*I767/$H767*I768/$H768</f>
        <v>103.180597435169</v>
      </c>
      <c r="J769" s="10" t="n">
        <f aca="false">$H769*J767/$H767*J768/$H768</f>
        <v>116.982278156997</v>
      </c>
      <c r="K769" s="10" t="n">
        <f aca="false">$H769*K767/$H767*K768/$H768</f>
        <v>103.120120753212</v>
      </c>
      <c r="L769" s="10" t="n">
        <f aca="false">$H769*L767/$H767*L768/$H768</f>
        <v>109.036252366967</v>
      </c>
      <c r="M769" s="10" t="n">
        <f aca="false">$H769*M767/$H767*M768/$H768</f>
        <v>109.52720992978</v>
      </c>
      <c r="N769" s="10" t="n">
        <f aca="false">$H769*N767/$H767*N768/$H768</f>
        <v>107.704159640452</v>
      </c>
      <c r="O769" s="10" t="n">
        <f aca="false">$H769*O767/$H767*O768/$H768</f>
        <v>108.189119188987</v>
      </c>
      <c r="P769" s="10" t="n">
        <f aca="false">$H769*P767/$H767*P768/$H768</f>
        <v>108.676262365012</v>
      </c>
      <c r="Q769" s="10" t="n">
        <f aca="false">$H769*Q767/$H767*Q768/$H768</f>
        <v>109.165599000746</v>
      </c>
      <c r="R769" s="10" t="n">
        <f aca="false">$H769*R767/$H767*R768/$H768</f>
        <v>109.657138972682</v>
      </c>
      <c r="S769" s="10" t="n">
        <f aca="false">$H769*S767/$H767*S768/$H768</f>
        <v>110.819467161757</v>
      </c>
      <c r="T769" s="10" t="n">
        <f aca="false">$H769*T767/$H767*T768/$H768</f>
        <v>112.97380328367</v>
      </c>
      <c r="U769" s="10" t="n">
        <f aca="false">$H769*U767/$H767*U768/$H768</f>
        <v>115.170019810218</v>
      </c>
      <c r="V769" s="10" t="n">
        <f aca="false">$H769*V767/$H767*V768/$H768</f>
        <v>117.408930898614</v>
      </c>
      <c r="W769" s="10" t="n">
        <f aca="false">$H769*W767/$H767*W768/$H768</f>
        <v>115.855286643143</v>
      </c>
      <c r="X769" s="10" t="n">
        <f aca="false">$H769*X767/$H767*X768/$H768</f>
        <v>116.441705283939</v>
      </c>
      <c r="Y769" s="10" t="n">
        <f aca="false">$H769*Y767/$H767*Y768/$H768</f>
        <v>117.031092169277</v>
      </c>
      <c r="Z769" s="10" t="n">
        <f aca="false">$H769*Z767/$H767*Z768/$H768</f>
        <v>117.623462323365</v>
      </c>
      <c r="AB769" s="5" t="s">
        <v>541</v>
      </c>
    </row>
    <row r="770" customFormat="false" ht="17.15" hidden="false" customHeight="false" outlineLevel="0" collapsed="false">
      <c r="A770" s="5" t="s">
        <v>454</v>
      </c>
      <c r="B770" s="0" t="s">
        <v>25</v>
      </c>
      <c r="C770" s="12" t="n">
        <f aca="false">rv_ss_0/C769</f>
        <v>0.324688279301746</v>
      </c>
      <c r="D770" s="12" t="n">
        <f aca="false">rv_ss_1/D769</f>
        <v>0.329</v>
      </c>
      <c r="E770" s="12" t="n">
        <f aca="false">rv_ss_2/E769</f>
        <v>0.319298245614035</v>
      </c>
      <c r="F770" s="12" t="n">
        <f aca="false">rv_ss_3/F769</f>
        <v>0.28</v>
      </c>
      <c r="G770" s="12" t="n">
        <f aca="false">rv_ss_4/G769</f>
        <v>0.30736118251928</v>
      </c>
      <c r="H770" s="12" t="n">
        <f aca="false">rv_ss_5/H769</f>
        <v>0.293</v>
      </c>
      <c r="I770" s="12" t="n">
        <f aca="false">(rv_ss_4+rv_ss_5)/($G769+$H769)</f>
        <v>0.298146371102126</v>
      </c>
      <c r="J770" s="12" t="n">
        <f aca="false">(rv_ss_4+rv_ss_5)/($G769+$H769)</f>
        <v>0.298146371102126</v>
      </c>
      <c r="K770" s="12" t="n">
        <f aca="false">(rv_ss_4+rv_ss_5)/($G769+$H769)+dr_ss/100*1</f>
        <v>0.293146371102126</v>
      </c>
      <c r="L770" s="12" t="n">
        <f aca="false">(rv_ss_4+rv_ss_5)/($G769+$H769)+dr_ss/100*1</f>
        <v>0.293146371102126</v>
      </c>
      <c r="M770" s="12" t="n">
        <f aca="false">(rv_ss_4+rv_ss_5)/($G769+$H769)+dr_ss/100*1</f>
        <v>0.293146371102126</v>
      </c>
      <c r="N770" s="12" t="n">
        <f aca="false">(rv_ss_4+rv_ss_5)/($G769+$H769)+dr_ss/100*1</f>
        <v>0.293146371102126</v>
      </c>
      <c r="O770" s="12" t="n">
        <f aca="false">(rv_ss_4+rv_ss_5)/($G769+$H769)+dr_ss/100*2</f>
        <v>0.288146371102126</v>
      </c>
      <c r="P770" s="12" t="n">
        <f aca="false">(rv_ss_4+rv_ss_5)/($G769+$H769)+dr_ss/100*2</f>
        <v>0.288146371102126</v>
      </c>
      <c r="Q770" s="12" t="n">
        <f aca="false">(rv_ss_4+rv_ss_5)/($G769+$H769)+dr_ss/100*2</f>
        <v>0.288146371102126</v>
      </c>
      <c r="R770" s="12" t="n">
        <f aca="false">(rv_ss_4+rv_ss_5)/($G769+$H769)+dr_ss/100*2</f>
        <v>0.288146371102126</v>
      </c>
      <c r="S770" s="12" t="n">
        <f aca="false">(rv_ss_4+rv_ss_5)/($G769+$H769)+dr_ss/100*3</f>
        <v>0.283146371102126</v>
      </c>
      <c r="T770" s="12" t="n">
        <f aca="false">(rv_ss_4+rv_ss_5)/($G769+$H769)+dr_ss/100*3</f>
        <v>0.283146371102126</v>
      </c>
      <c r="U770" s="12" t="n">
        <f aca="false">(rv_ss_4+rv_ss_5)/($G769+$H769)+dr_ss/100*3</f>
        <v>0.283146371102126</v>
      </c>
      <c r="V770" s="12" t="n">
        <f aca="false">(rv_ss_4+rv_ss_5)/($G769+$H769)+dr_ss/100*3</f>
        <v>0.283146371102126</v>
      </c>
      <c r="W770" s="12" t="n">
        <f aca="false">(rv_ss_4+rv_ss_5)/($G769+$H769)+dr_ss/100*4</f>
        <v>0.278146371102126</v>
      </c>
      <c r="X770" s="12" t="n">
        <f aca="false">(rv_ss_4+rv_ss_5)/($G769+$H769)+dr_ss/100*4</f>
        <v>0.278146371102126</v>
      </c>
      <c r="Y770" s="12" t="n">
        <f aca="false">(rv_ss_4+rv_ss_5)/($G769+$H769)+dr_ss/100*4</f>
        <v>0.278146371102126</v>
      </c>
      <c r="Z770" s="12" t="n">
        <f aca="false">(rv_ss_4+rv_ss_5)/($G769+$H769)+dr_ss/100*4</f>
        <v>0.278146371102126</v>
      </c>
      <c r="AB770" s="8" t="s">
        <v>542</v>
      </c>
    </row>
    <row r="771" customFormat="false" ht="17.15" hidden="false" customHeight="false" outlineLevel="0" collapsed="false">
      <c r="A771" s="5" t="s">
        <v>455</v>
      </c>
      <c r="B771" s="0" t="s">
        <v>25</v>
      </c>
      <c r="C771" s="12" t="n">
        <f aca="false">rv_sk_0/C769</f>
        <v>0.16930174563591</v>
      </c>
      <c r="D771" s="12" t="n">
        <f aca="false">rv_sk_1/D769</f>
        <v>0.211319230769231</v>
      </c>
      <c r="E771" s="12" t="n">
        <f aca="false">rv_sk_2/E769</f>
        <v>0.187853801169591</v>
      </c>
      <c r="F771" s="12" t="n">
        <f aca="false">rv_sk_3/F769</f>
        <v>0.221030303030303</v>
      </c>
      <c r="G771" s="12" t="n">
        <f aca="false">rv_sk_4/G769</f>
        <v>0.17131233933162</v>
      </c>
      <c r="H771" s="12" t="n">
        <f aca="false">rv_sk_5/H769</f>
        <v>0.181314397224631</v>
      </c>
      <c r="I771" s="12" t="n">
        <f aca="false">(rv_sk_4+rv_sk_5)/($G769+$H769)</f>
        <v>0.177730130982399</v>
      </c>
      <c r="J771" s="12" t="n">
        <f aca="false">(rv_sk_4+rv_sk_5)/($G769+$H769)</f>
        <v>0.177730130982399</v>
      </c>
      <c r="K771" s="12" t="n">
        <f aca="false">(rv_sk_4+rv_sk_5)/($G769+$H769)+dr_sk/100*1</f>
        <v>0.177730130982399</v>
      </c>
      <c r="L771" s="12" t="n">
        <f aca="false">(rv_sk_4+rv_sk_5)/($G769+$H769)+dr_sk/100*1</f>
        <v>0.177730130982399</v>
      </c>
      <c r="M771" s="12" t="n">
        <f aca="false">(rv_sk_4+rv_sk_5)/($G769+$H769)+dr_sk/100*1</f>
        <v>0.177730130982399</v>
      </c>
      <c r="N771" s="12" t="n">
        <f aca="false">(rv_sk_4+rv_sk_5)/($G769+$H769)+dr_sk/100*1</f>
        <v>0.177730130982399</v>
      </c>
      <c r="O771" s="12" t="n">
        <f aca="false">(rv_sk_4+rv_sk_5)/($G769+$H769)+dr_sk/100*2</f>
        <v>0.177730130982399</v>
      </c>
      <c r="P771" s="12" t="n">
        <f aca="false">(rv_sk_4+rv_sk_5)/($G769+$H769)+dr_sk/100*2</f>
        <v>0.177730130982399</v>
      </c>
      <c r="Q771" s="12" t="n">
        <f aca="false">(rv_sk_4+rv_sk_5)/($G769+$H769)+dr_sk/100*2</f>
        <v>0.177730130982399</v>
      </c>
      <c r="R771" s="12" t="n">
        <f aca="false">(rv_sk_4+rv_sk_5)/($G769+$H769)+dr_sk/100*2</f>
        <v>0.177730130982399</v>
      </c>
      <c r="S771" s="12" t="n">
        <f aca="false">(rv_sk_4+rv_sk_5)/($G769+$H769)+dr_sk/100*3</f>
        <v>0.177730130982399</v>
      </c>
      <c r="T771" s="12" t="n">
        <f aca="false">(rv_sk_4+rv_sk_5)/($G769+$H769)+dr_sk/100*3</f>
        <v>0.177730130982399</v>
      </c>
      <c r="U771" s="12" t="n">
        <f aca="false">(rv_sk_4+rv_sk_5)/($G769+$H769)+dr_sk/100*3</f>
        <v>0.177730130982399</v>
      </c>
      <c r="V771" s="12" t="n">
        <f aca="false">(rv_sk_4+rv_sk_5)/($G769+$H769)+dr_sk/100*3</f>
        <v>0.177730130982399</v>
      </c>
      <c r="W771" s="12" t="n">
        <f aca="false">(rv_sk_4+rv_sk_5)/($G769+$H769)+dr_sk/100*4</f>
        <v>0.177730130982399</v>
      </c>
      <c r="X771" s="12" t="n">
        <f aca="false">(rv_sk_4+rv_sk_5)/($G769+$H769)+dr_sk/100*4</f>
        <v>0.177730130982399</v>
      </c>
      <c r="Y771" s="12" t="n">
        <f aca="false">(rv_sk_4+rv_sk_5)/($G769+$H769)+dr_sk/100*4</f>
        <v>0.177730130982399</v>
      </c>
      <c r="Z771" s="12" t="n">
        <f aca="false">(rv_sk_4+rv_sk_5)/($G769+$H769)+dr_sk/100*4</f>
        <v>0.177730130982399</v>
      </c>
      <c r="AB771" s="8" t="s">
        <v>542</v>
      </c>
    </row>
    <row r="772" customFormat="false" ht="17.15" hidden="false" customHeight="false" outlineLevel="0" collapsed="false">
      <c r="A772" s="5" t="s">
        <v>456</v>
      </c>
      <c r="B772" s="0" t="s">
        <v>25</v>
      </c>
      <c r="C772" s="12" t="n">
        <f aca="false">rv_mu_0/C769</f>
        <v>0.156932668329177</v>
      </c>
      <c r="D772" s="12" t="n">
        <f aca="false">rv_mu_1/D769</f>
        <v>0.132865384615385</v>
      </c>
      <c r="E772" s="12" t="n">
        <f aca="false">rv_mu_2/E769</f>
        <v>0.128783625730994</v>
      </c>
      <c r="F772" s="12" t="n">
        <f aca="false">rv_mu_3/F769</f>
        <v>0.128545454545455</v>
      </c>
      <c r="G772" s="12" t="n">
        <f aca="false">rv_mu_4/G769</f>
        <v>0.135366323907455</v>
      </c>
      <c r="H772" s="12" t="n">
        <f aca="false">rv_mu_5/H769</f>
        <v>0.150565915004337</v>
      </c>
      <c r="I772" s="12" t="n">
        <f aca="false">(rv_mu_4+rv_mu_5)/($G769+$H769)</f>
        <v>0.14511909777462</v>
      </c>
      <c r="J772" s="12" t="n">
        <f aca="false">(rv_mu_4+rv_mu_5)/($G769+$H769)</f>
        <v>0.14511909777462</v>
      </c>
      <c r="K772" s="12" t="n">
        <f aca="false">(rv_mu_4+rv_mu_5)/($G769+$H769)+dr_mu/100*1</f>
        <v>0.14711909777462</v>
      </c>
      <c r="L772" s="12" t="n">
        <f aca="false">(rv_mu_4+rv_mu_5)/($G769+$H769)+dr_mu/100*1</f>
        <v>0.14711909777462</v>
      </c>
      <c r="M772" s="12" t="n">
        <f aca="false">(rv_mu_4+rv_mu_5)/($G769+$H769)+dr_mu/100*1</f>
        <v>0.14711909777462</v>
      </c>
      <c r="N772" s="12" t="n">
        <f aca="false">(rv_mu_4+rv_mu_5)/($G769+$H769)+dr_mu/100*1</f>
        <v>0.14711909777462</v>
      </c>
      <c r="O772" s="12" t="n">
        <f aca="false">(rv_mu_4+rv_mu_5)/($G769+$H769)+dr_mu/100*2</f>
        <v>0.14911909777462</v>
      </c>
      <c r="P772" s="12" t="n">
        <f aca="false">(rv_mu_4+rv_mu_5)/($G769+$H769)+dr_mu/100*2</f>
        <v>0.14911909777462</v>
      </c>
      <c r="Q772" s="12" t="n">
        <f aca="false">(rv_mu_4+rv_mu_5)/($G769+$H769)+dr_mu/100*2</f>
        <v>0.14911909777462</v>
      </c>
      <c r="R772" s="12" t="n">
        <f aca="false">(rv_mu_4+rv_mu_5)/($G769+$H769)+dr_mu/100*2</f>
        <v>0.14911909777462</v>
      </c>
      <c r="S772" s="12" t="n">
        <f aca="false">(rv_mu_4+rv_mu_5)/($G769+$H769)+dr_mu/100*3</f>
        <v>0.15111909777462</v>
      </c>
      <c r="T772" s="12" t="n">
        <f aca="false">(rv_mu_4+rv_mu_5)/($G769+$H769)+dr_mu/100*3</f>
        <v>0.15111909777462</v>
      </c>
      <c r="U772" s="12" t="n">
        <f aca="false">(rv_mu_4+rv_mu_5)/($G769+$H769)+dr_mu/100*3</f>
        <v>0.15111909777462</v>
      </c>
      <c r="V772" s="12" t="n">
        <f aca="false">(rv_mu_4+rv_mu_5)/($G769+$H769)+dr_mu/100*3</f>
        <v>0.15111909777462</v>
      </c>
      <c r="W772" s="12" t="n">
        <f aca="false">(rv_mu_4+rv_mu_5)/($G769+$H769)+dr_mu/100*4</f>
        <v>0.15311909777462</v>
      </c>
      <c r="X772" s="12" t="n">
        <f aca="false">(rv_mu_4+rv_mu_5)/($G769+$H769)+dr_mu/100*4</f>
        <v>0.15311909777462</v>
      </c>
      <c r="Y772" s="12" t="n">
        <f aca="false">(rv_mu_4+rv_mu_5)/($G769+$H769)+dr_mu/100*4</f>
        <v>0.15311909777462</v>
      </c>
      <c r="Z772" s="12" t="n">
        <f aca="false">(rv_mu_4+rv_mu_5)/($G769+$H769)+dr_mu/100*4</f>
        <v>0.15311909777462</v>
      </c>
      <c r="AB772" s="8" t="s">
        <v>542</v>
      </c>
    </row>
    <row r="773" customFormat="false" ht="17.15" hidden="false" customHeight="false" outlineLevel="0" collapsed="false">
      <c r="A773" s="5" t="s">
        <v>457</v>
      </c>
      <c r="B773" s="0" t="s">
        <v>25</v>
      </c>
      <c r="C773" s="12" t="n">
        <f aca="false">rv_kx_0/C769</f>
        <v>0.148428927680798</v>
      </c>
      <c r="D773" s="12" t="n">
        <f aca="false">rv_kx_1/D769</f>
        <v>0.135396153846154</v>
      </c>
      <c r="E773" s="12" t="n">
        <f aca="false">rv_kx_2/E769</f>
        <v>0.151134502923977</v>
      </c>
      <c r="F773" s="12" t="n">
        <f aca="false">rv_kx_3/F769</f>
        <v>0.140424242424242</v>
      </c>
      <c r="G773" s="12" t="n">
        <f aca="false">rv_kx_4/G769</f>
        <v>0.13559383033419</v>
      </c>
      <c r="H773" s="12" t="n">
        <f aca="false">rv_kx_5/H769</f>
        <v>0.136208152645273</v>
      </c>
      <c r="I773" s="12" t="n">
        <f aca="false">kx_g/kx_fxg/kx_k/$I769</f>
        <v>0.144904344872829</v>
      </c>
      <c r="J773" s="12" t="n">
        <f aca="false">(kx_g/kx_fxg/kx_k/$I769+kx_g4/kx_fxg4/kx_k/$J769)/2</f>
        <v>0.138512987387224</v>
      </c>
      <c r="K773" s="12" t="n">
        <f aca="false">(kx_g/kx_fxg/kx_k/$I769+kx_g4/kx_fxg4/kx_k/$J769)/2+dr_jv_A/100*1*(kx_g/kx_fxg/kx_k)/(kx_g/kx_fxg/kx_k+sd_g/sd_k)</f>
        <v>0.138512987387224</v>
      </c>
      <c r="L773" s="12" t="n">
        <f aca="false">(kx_g/kx_fxg/kx_k/$I769+kx_g4/kx_fxg4/kx_k/$J769)/2+dr_jv_A/100*1*(kx_g/kx_fxg/kx_k)/(kx_g/kx_fxg/kx_k+sd_g/sd_k)</f>
        <v>0.138512987387224</v>
      </c>
      <c r="M773" s="12" t="n">
        <f aca="false">(kx_g/kx_fxg/kx_k/$I769+kx_g4/kx_fxg4/kx_k/$J769)/2+dr_jv_A/100*1*(kx_g/kx_fxg/kx_k)/(kx_g/kx_fxg/kx_k+sd_g/sd_k)</f>
        <v>0.138512987387224</v>
      </c>
      <c r="N773" s="12" t="n">
        <f aca="false">(kx_g/kx_fxg/kx_k/$I769+kx_g4/kx_fxg4/kx_k/$J769)/2+dr_jv_A/100*1*(kx_g/kx_fxg/kx_k)/(kx_g/kx_fxg/kx_k+sd_g/sd_k)</f>
        <v>0.138512987387224</v>
      </c>
      <c r="O773" s="12" t="n">
        <f aca="false">(kx_g/kx_fxg/kx_k/$I769+kx_g4/kx_fxg4/kx_k/$J769)/2+dr_jv_A/100*2*(kx_g/kx_fxg/kx_k)/(kx_g/kx_fxg/kx_k+sd_g/sd_k)</f>
        <v>0.138512987387224</v>
      </c>
      <c r="P773" s="12" t="n">
        <f aca="false">(kx_g/kx_fxg/kx_k/$I769+kx_g4/kx_fxg4/kx_k/$J769)/2+dr_jv_A/100*2*(kx_g/kx_fxg/kx_k)/(kx_g/kx_fxg/kx_k+sd_g/sd_k)</f>
        <v>0.138512987387224</v>
      </c>
      <c r="Q773" s="12" t="n">
        <f aca="false">(kx_g/kx_fxg/kx_k/$I769+kx_g4/kx_fxg4/kx_k/$J769)/2+dr_jv_A/100*2*(kx_g/kx_fxg/kx_k)/(kx_g/kx_fxg/kx_k+sd_g/sd_k)</f>
        <v>0.138512987387224</v>
      </c>
      <c r="R773" s="12" t="n">
        <f aca="false">(kx_g/kx_fxg/kx_k/$I769+kx_g4/kx_fxg4/kx_k/$J769)/2+dr_jv_A/100*2*(kx_g/kx_fxg/kx_k)/(kx_g/kx_fxg/kx_k+sd_g/sd_k)</f>
        <v>0.138512987387224</v>
      </c>
      <c r="S773" s="12" t="n">
        <f aca="false">(kx_g/kx_fxg/kx_k/$I769+kx_g4/kx_fxg4/kx_k/$J769)/2+dr_jv_A/100*3*(kx_g/kx_fxg/kx_k)/(kx_g/kx_fxg/kx_k+sd_g/sd_k)</f>
        <v>0.138512987387224</v>
      </c>
      <c r="T773" s="12" t="n">
        <f aca="false">(kx_g/kx_fxg/kx_k/$I769+kx_g4/kx_fxg4/kx_k/$J769)/2+dr_jv_A/100*3*(kx_g/kx_fxg/kx_k)/(kx_g/kx_fxg/kx_k+sd_g/sd_k)</f>
        <v>0.138512987387224</v>
      </c>
      <c r="U773" s="12" t="n">
        <f aca="false">(kx_g/kx_fxg/kx_k/$I769+kx_g4/kx_fxg4/kx_k/$J769)/2+dr_jv_A/100*3*(kx_g/kx_fxg/kx_k)/(kx_g/kx_fxg/kx_k+sd_g/sd_k)</f>
        <v>0.138512987387224</v>
      </c>
      <c r="V773" s="12" t="n">
        <f aca="false">(kx_g/kx_fxg/kx_k/$I769+kx_g4/kx_fxg4/kx_k/$J769)/2+dr_jv_A/100*3*(kx_g/kx_fxg/kx_k)/(kx_g/kx_fxg/kx_k+sd_g/sd_k)</f>
        <v>0.138512987387224</v>
      </c>
      <c r="W773" s="12" t="n">
        <f aca="false">(kx_g/kx_fxg/kx_k/$I769+kx_g4/kx_fxg4/kx_k/$J769)/2+dr_jv_A/100*4*(kx_g/kx_fxg/kx_k)/(kx_g/kx_fxg/kx_k+sd_g/sd_k)</f>
        <v>0.138512987387224</v>
      </c>
      <c r="X773" s="12" t="n">
        <f aca="false">(kx_g/kx_fxg/kx_k/$I769+kx_g4/kx_fxg4/kx_k/$J769)/2+dr_jv_A/100*4*(kx_g/kx_fxg/kx_k)/(kx_g/kx_fxg/kx_k+sd_g/sd_k)</f>
        <v>0.138512987387224</v>
      </c>
      <c r="Y773" s="12" t="n">
        <f aca="false">(kx_g/kx_fxg/kx_k/$I769+kx_g4/kx_fxg4/kx_k/$J769)/2+dr_jv_A/100*4*(kx_g/kx_fxg/kx_k)/(kx_g/kx_fxg/kx_k+sd_g/sd_k)</f>
        <v>0.138512987387224</v>
      </c>
      <c r="Z773" s="12" t="n">
        <f aca="false">(kx_g/kx_fxg/kx_k/$I769+kx_g4/kx_fxg4/kx_k/$J769)/2+dr_jv_A/100*4*(kx_g/kx_fxg/kx_k)/(kx_g/kx_fxg/kx_k+sd_g/sd_k)</f>
        <v>0.138512987387224</v>
      </c>
      <c r="AB773" s="8" t="s">
        <v>543</v>
      </c>
    </row>
    <row r="774" customFormat="false" ht="17.15" hidden="false" customHeight="false" outlineLevel="0" collapsed="false">
      <c r="A774" s="5" t="s">
        <v>458</v>
      </c>
      <c r="B774" s="0" t="s">
        <v>25</v>
      </c>
      <c r="C774" s="12" t="n">
        <f aca="false">rv_sd_0/C769</f>
        <v>0.130648379052369</v>
      </c>
      <c r="D774" s="12" t="n">
        <f aca="false">rv_sd_1/D769</f>
        <v>0.120211538461538</v>
      </c>
      <c r="E774" s="12" t="n">
        <f aca="false">rv_sd_2/E769</f>
        <v>0.122929824561404</v>
      </c>
      <c r="F774" s="12" t="n">
        <f aca="false">rv_sd_3/F769</f>
        <v>0.128545454545455</v>
      </c>
      <c r="G774" s="12" t="n">
        <f aca="false">rv_sd_4/G769</f>
        <v>0.135366323907455</v>
      </c>
      <c r="H774" s="12" t="n">
        <f aca="false">rv_sd_5/H769</f>
        <v>0.113972679965308</v>
      </c>
      <c r="I774" s="12" t="n">
        <f aca="false">sd_g/sd_k/$I769</f>
        <v>0.106969261015561</v>
      </c>
      <c r="J774" s="12" t="n">
        <f aca="false">(sd_g/sd_k/$I769+sd_g4/sd_k/$J769)/2</f>
        <v>0.106513670372059</v>
      </c>
      <c r="K774" s="12" t="n">
        <f aca="false">(sd_g/sd_k/$I769+sd_g4/sd_k/$J769)/2+dr_jv_A/100*1*(sd_g/sd_k)/(kx_g/kx_fxg/kx_k+sd_g/sd_k)</f>
        <v>0.106513670372059</v>
      </c>
      <c r="L774" s="12" t="n">
        <f aca="false">(sd_g/sd_k/$I769+sd_g4/sd_k/$J769)/2+dr_jv_A/100*1*(sd_g/sd_k)/(kx_g/kx_fxg/kx_k+sd_g/sd_k)</f>
        <v>0.106513670372059</v>
      </c>
      <c r="M774" s="12" t="n">
        <f aca="false">(sd_g/sd_k/$I769+sd_g4/sd_k/$J769)/2+dr_jv_A/100*1*(sd_g/sd_k)/(kx_g/kx_fxg/kx_k+sd_g/sd_k)</f>
        <v>0.106513670372059</v>
      </c>
      <c r="N774" s="12" t="n">
        <f aca="false">(sd_g/sd_k/$I769+sd_g4/sd_k/$J769)/2+dr_jv_A/100*1*(sd_g/sd_k)/(kx_g/kx_fxg/kx_k+sd_g/sd_k)</f>
        <v>0.106513670372059</v>
      </c>
      <c r="O774" s="12" t="n">
        <f aca="false">(sd_g/sd_k/$I769+sd_g4/sd_k/$J769)/2+dr_jv_A/100*2*(sd_g/sd_k)/(kx_g/kx_fxg/kx_k+sd_g/sd_k)</f>
        <v>0.106513670372059</v>
      </c>
      <c r="P774" s="12" t="n">
        <f aca="false">(sd_g/sd_k/$I769+sd_g4/sd_k/$J769)/2+dr_jv_A/100*2*(sd_g/sd_k)/(kx_g/kx_fxg/kx_k+sd_g/sd_k)</f>
        <v>0.106513670372059</v>
      </c>
      <c r="Q774" s="12" t="n">
        <f aca="false">(sd_g/sd_k/$I769+sd_g4/sd_k/$J769)/2+dr_jv_A/100*2*(sd_g/sd_k)/(kx_g/kx_fxg/kx_k+sd_g/sd_k)</f>
        <v>0.106513670372059</v>
      </c>
      <c r="R774" s="12" t="n">
        <f aca="false">(sd_g/sd_k/$I769+sd_g4/sd_k/$J769)/2+dr_jv_A/100*2*(sd_g/sd_k)/(kx_g/kx_fxg/kx_k+sd_g/sd_k)</f>
        <v>0.106513670372059</v>
      </c>
      <c r="S774" s="12" t="n">
        <f aca="false">(sd_g/sd_k/$I769+sd_g4/sd_k/$J769)/2+dr_jv_A/100*3*(sd_g/sd_k)/(kx_g/kx_fxg/kx_k+sd_g/sd_k)</f>
        <v>0.106513670372059</v>
      </c>
      <c r="T774" s="12" t="n">
        <f aca="false">(sd_g/sd_k/$I769+sd_g4/sd_k/$J769)/2+dr_jv_A/100*3*(sd_g/sd_k)/(kx_g/kx_fxg/kx_k+sd_g/sd_k)</f>
        <v>0.106513670372059</v>
      </c>
      <c r="U774" s="12" t="n">
        <f aca="false">(sd_g/sd_k/$I769+sd_g4/sd_k/$J769)/2+dr_jv_A/100*3*(sd_g/sd_k)/(kx_g/kx_fxg/kx_k+sd_g/sd_k)</f>
        <v>0.106513670372059</v>
      </c>
      <c r="V774" s="12" t="n">
        <f aca="false">(sd_g/sd_k/$I769+sd_g4/sd_k/$J769)/2+dr_jv_A/100*3*(sd_g/sd_k)/(kx_g/kx_fxg/kx_k+sd_g/sd_k)</f>
        <v>0.106513670372059</v>
      </c>
      <c r="W774" s="12" t="n">
        <f aca="false">(sd_g/sd_k/$I769+sd_g4/sd_k/$J769)/2+dr_jv_A/100*4*(sd_g/sd_k)/(kx_g/kx_fxg/kx_k+sd_g/sd_k)</f>
        <v>0.106513670372059</v>
      </c>
      <c r="X774" s="12" t="n">
        <f aca="false">(sd_g/sd_k/$I769+sd_g4/sd_k/$J769)/2+dr_jv_A/100*4*(sd_g/sd_k)/(kx_g/kx_fxg/kx_k+sd_g/sd_k)</f>
        <v>0.106513670372059</v>
      </c>
      <c r="Y774" s="12" t="n">
        <f aca="false">(sd_g/sd_k/$I769+sd_g4/sd_k/$J769)/2+dr_jv_A/100*4*(sd_g/sd_k)/(kx_g/kx_fxg/kx_k+sd_g/sd_k)</f>
        <v>0.106513670372059</v>
      </c>
      <c r="Z774" s="12" t="n">
        <f aca="false">(sd_g/sd_k/$I769+sd_g4/sd_k/$J769)/2+dr_jv_A/100*4*(sd_g/sd_k)/(kx_g/kx_fxg/kx_k+sd_g/sd_k)</f>
        <v>0.106513670372059</v>
      </c>
      <c r="AB774" s="8" t="s">
        <v>544</v>
      </c>
    </row>
    <row r="775" customFormat="false" ht="15" hidden="false" customHeight="false" outlineLevel="0" collapsed="false">
      <c r="A775" s="5" t="s">
        <v>459</v>
      </c>
      <c r="B775" s="0" t="s">
        <v>25</v>
      </c>
      <c r="C775" s="12" t="n">
        <f aca="false">1-t5_0</f>
        <v>0.07</v>
      </c>
      <c r="D775" s="12" t="n">
        <f aca="false">1-t5_1</f>
        <v>0.0712076923076923</v>
      </c>
      <c r="E775" s="12" t="n">
        <f aca="false">1-t5_2</f>
        <v>0.09</v>
      </c>
      <c r="F775" s="12" t="n">
        <f aca="false">1-t5_3</f>
        <v>0.101454545454545</v>
      </c>
      <c r="G775" s="12" t="n">
        <f aca="false">1-t5_4</f>
        <v>0.115</v>
      </c>
      <c r="H775" s="12" t="n">
        <f aca="false">1-t5_5</f>
        <v>0.124938855160451</v>
      </c>
      <c r="I775" s="12" t="n">
        <f aca="false">1-I770-I771-I772-I773-I774</f>
        <v>0.127130794252464</v>
      </c>
      <c r="J775" s="12" t="n">
        <f aca="false">1-J770-J771-J772-J773-J774</f>
        <v>0.133977742381572</v>
      </c>
      <c r="K775" s="12" t="n">
        <f aca="false">1-K770-K771-K772-K773-K774</f>
        <v>0.136977742381572</v>
      </c>
      <c r="L775" s="12" t="n">
        <f aca="false">1-L770-L771-L772-L773-L774</f>
        <v>0.136977742381572</v>
      </c>
      <c r="M775" s="12" t="n">
        <f aca="false">1-M770-M771-M772-M773-M774</f>
        <v>0.136977742381572</v>
      </c>
      <c r="N775" s="12" t="n">
        <f aca="false">1-N770-N771-N772-N773-N774</f>
        <v>0.136977742381572</v>
      </c>
      <c r="O775" s="12" t="n">
        <f aca="false">1-O770-O771-O772-O773-O774</f>
        <v>0.139977742381572</v>
      </c>
      <c r="P775" s="12" t="n">
        <f aca="false">1-P770-P771-P772-P773-P774</f>
        <v>0.139977742381572</v>
      </c>
      <c r="Q775" s="12" t="n">
        <f aca="false">1-Q770-Q771-Q772-Q773-Q774</f>
        <v>0.139977742381572</v>
      </c>
      <c r="R775" s="12" t="n">
        <f aca="false">1-R770-R771-R772-R773-R774</f>
        <v>0.139977742381572</v>
      </c>
      <c r="S775" s="12" t="n">
        <f aca="false">1-S770-S771-S772-S773-S774</f>
        <v>0.142977742381572</v>
      </c>
      <c r="T775" s="12" t="n">
        <f aca="false">1-T770-T771-T772-T773-T774</f>
        <v>0.142977742381572</v>
      </c>
      <c r="U775" s="12" t="n">
        <f aca="false">1-U770-U771-U772-U773-U774</f>
        <v>0.142977742381572</v>
      </c>
      <c r="V775" s="12" t="n">
        <f aca="false">1-V770-V771-V772-V773-V774</f>
        <v>0.142977742381572</v>
      </c>
      <c r="W775" s="12" t="n">
        <f aca="false">1-W770-W771-W772-W773-W774</f>
        <v>0.145977742381572</v>
      </c>
      <c r="X775" s="12" t="n">
        <f aca="false">1-X770-X771-X772-X773-X774</f>
        <v>0.145977742381572</v>
      </c>
      <c r="Y775" s="12" t="n">
        <f aca="false">1-Y770-Y771-Y772-Y773-Y774</f>
        <v>0.145977742381572</v>
      </c>
      <c r="Z775" s="12" t="n">
        <f aca="false">1-Z770-Z771-Z772-Z773-Z774</f>
        <v>0.145977742381572</v>
      </c>
      <c r="AB775" s="5" t="s">
        <v>545</v>
      </c>
    </row>
    <row r="776" customFormat="false" ht="17.15" hidden="false" customHeight="false" outlineLevel="0" collapsed="false">
      <c r="A776" s="5" t="s">
        <v>546</v>
      </c>
      <c r="B776" s="0" t="s">
        <v>285</v>
      </c>
      <c r="C776" s="19" t="n">
        <f aca="false">C769*C770</f>
        <v>4.2</v>
      </c>
      <c r="D776" s="19" t="n">
        <f aca="false">D769*D770</f>
        <v>5.2</v>
      </c>
      <c r="E776" s="19" t="n">
        <f aca="false">E769*E770</f>
        <v>6</v>
      </c>
      <c r="F776" s="19" t="n">
        <f aca="false">F769*F770</f>
        <v>6.6</v>
      </c>
      <c r="G776" s="19" t="n">
        <f aca="false">G769*G770</f>
        <v>13.51</v>
      </c>
      <c r="H776" s="19" t="n">
        <f aca="false">H769*H770</f>
        <v>23.06</v>
      </c>
      <c r="I776" s="19" t="n">
        <f aca="false">I769*I770</f>
        <v>30.7629206934451</v>
      </c>
      <c r="J776" s="19" t="n">
        <f aca="false">J769*J770</f>
        <v>34.877841715768</v>
      </c>
      <c r="K776" s="19" t="n">
        <f aca="false">K769*K770</f>
        <v>30.2292891864171</v>
      </c>
      <c r="L776" s="19" t="n">
        <f aca="false">L769*L770</f>
        <v>31.9635816999521</v>
      </c>
      <c r="M776" s="19" t="n">
        <f aca="false">M769*M770</f>
        <v>32.1075041278558</v>
      </c>
      <c r="N776" s="19" t="n">
        <f aca="false">N769*N770</f>
        <v>31.5730835512024</v>
      </c>
      <c r="O776" s="19" t="n">
        <f aca="false">O769*O770</f>
        <v>31.174302087042</v>
      </c>
      <c r="P776" s="19" t="n">
        <f aca="false">P769*P770</f>
        <v>31.3146706254208</v>
      </c>
      <c r="Q776" s="19" t="n">
        <f aca="false">Q769*Q770</f>
        <v>31.4556712012549</v>
      </c>
      <c r="R776" s="19" t="n">
        <f aca="false">R769*R770</f>
        <v>31.5973066604198</v>
      </c>
      <c r="S776" s="19" t="n">
        <f aca="false">S769*S770</f>
        <v>31.3781299743227</v>
      </c>
      <c r="T776" s="19" t="n">
        <f aca="false">T769*T770</f>
        <v>31.9881224293766</v>
      </c>
      <c r="U776" s="19" t="n">
        <f aca="false">U769*U770</f>
        <v>32.6099731690232</v>
      </c>
      <c r="V776" s="19" t="n">
        <f aca="false">V769*V770</f>
        <v>33.2439127189228</v>
      </c>
      <c r="W776" s="19" t="n">
        <f aca="false">W769*W770</f>
        <v>32.2247275527869</v>
      </c>
      <c r="X776" s="19" t="n">
        <f aca="false">X769*X770</f>
        <v>32.3878377696709</v>
      </c>
      <c r="Y776" s="19" t="n">
        <f aca="false">Y769*Y770</f>
        <v>32.5517735930028</v>
      </c>
      <c r="Z776" s="19" t="n">
        <f aca="false">Z769*Z770</f>
        <v>32.7165392017117</v>
      </c>
    </row>
    <row r="777" customFormat="false" ht="17.15" hidden="false" customHeight="false" outlineLevel="0" collapsed="false">
      <c r="A777" s="0" t="s">
        <v>547</v>
      </c>
      <c r="B777" s="0" t="s">
        <v>285</v>
      </c>
      <c r="C777" s="19" t="n">
        <f aca="false">C769*C771</f>
        <v>2.19</v>
      </c>
      <c r="D777" s="19" t="n">
        <f aca="false">D769*D771</f>
        <v>3.34</v>
      </c>
      <c r="E777" s="19" t="n">
        <f aca="false">E769*E771</f>
        <v>3.53</v>
      </c>
      <c r="F777" s="19" t="n">
        <f aca="false">F769*F771</f>
        <v>5.21</v>
      </c>
      <c r="G777" s="19" t="n">
        <f aca="false">G769*G771</f>
        <v>7.53</v>
      </c>
      <c r="H777" s="19" t="n">
        <f aca="false">H769*H771</f>
        <v>14.27</v>
      </c>
      <c r="I777" s="19" t="n">
        <f aca="false">I769*I771</f>
        <v>18.3383010969949</v>
      </c>
      <c r="J777" s="19" t="n">
        <f aca="false">J769*J771</f>
        <v>20.7912756194625</v>
      </c>
      <c r="K777" s="19" t="n">
        <f aca="false">K769*K771</f>
        <v>18.3275525683892</v>
      </c>
      <c r="L777" s="19" t="n">
        <f aca="false">L769*L771</f>
        <v>19.3790274150111</v>
      </c>
      <c r="M777" s="19" t="n">
        <f aca="false">M769*M771</f>
        <v>19.4662853669566</v>
      </c>
      <c r="N777" s="19" t="n">
        <f aca="false">N769*N771</f>
        <v>19.1422744002467</v>
      </c>
      <c r="O777" s="19" t="n">
        <f aca="false">O769*O771</f>
        <v>19.2284663243291</v>
      </c>
      <c r="P777" s="19" t="n">
        <f aca="false">P769*P771</f>
        <v>19.3150463448112</v>
      </c>
      <c r="Q777" s="19" t="n">
        <f aca="false">Q769*Q771</f>
        <v>19.4020162091748</v>
      </c>
      <c r="R777" s="19" t="n">
        <f aca="false">R769*R771</f>
        <v>19.4893776727699</v>
      </c>
      <c r="S777" s="19" t="n">
        <f aca="false">S769*S771</f>
        <v>19.6959584140588</v>
      </c>
      <c r="T777" s="19" t="n">
        <f aca="false">T769*T771</f>
        <v>20.0788488551865</v>
      </c>
      <c r="U777" s="19" t="n">
        <f aca="false">U769*U771</f>
        <v>20.4691827061156</v>
      </c>
      <c r="V777" s="19" t="n">
        <f aca="false">V769*V771</f>
        <v>20.8671046671141</v>
      </c>
      <c r="W777" s="19" t="n">
        <f aca="false">W769*W771</f>
        <v>20.5909752700893</v>
      </c>
      <c r="X777" s="19" t="n">
        <f aca="false">X769*X771</f>
        <v>20.6951995319284</v>
      </c>
      <c r="Y777" s="19" t="n">
        <f aca="false">Y769*Y771</f>
        <v>20.7999513402589</v>
      </c>
      <c r="Z777" s="19" t="n">
        <f aca="false">Z769*Z771</f>
        <v>20.905233365335</v>
      </c>
    </row>
    <row r="778" customFormat="false" ht="17.15" hidden="false" customHeight="false" outlineLevel="0" collapsed="false">
      <c r="A778" s="5" t="s">
        <v>548</v>
      </c>
      <c r="B778" s="0" t="s">
        <v>285</v>
      </c>
      <c r="C778" s="19" t="n">
        <f aca="false">C769*C772</f>
        <v>2.03</v>
      </c>
      <c r="D778" s="19" t="n">
        <f aca="false">D769*D772</f>
        <v>2.1</v>
      </c>
      <c r="E778" s="19" t="n">
        <f aca="false">E769*E772</f>
        <v>2.42</v>
      </c>
      <c r="F778" s="19" t="n">
        <f aca="false">F769*F772</f>
        <v>3.03</v>
      </c>
      <c r="G778" s="19" t="n">
        <f aca="false">G769*G772</f>
        <v>5.95</v>
      </c>
      <c r="H778" s="19" t="n">
        <f aca="false">H769*H772</f>
        <v>11.85</v>
      </c>
      <c r="I778" s="19" t="n">
        <f aca="false">I769*I772</f>
        <v>14.973475207638</v>
      </c>
      <c r="J778" s="19" t="n">
        <f aca="false">J769*J772</f>
        <v>16.976362661763</v>
      </c>
      <c r="K778" s="19" t="n">
        <f aca="false">K769*K772</f>
        <v>15.1709391276224</v>
      </c>
      <c r="L778" s="19" t="n">
        <f aca="false">L769*L772</f>
        <v>16.041315072954</v>
      </c>
      <c r="M778" s="19" t="n">
        <f aca="false">M769*M772</f>
        <v>16.1135443066406</v>
      </c>
      <c r="N778" s="19" t="n">
        <f aca="false">N769*N772</f>
        <v>15.8453387928769</v>
      </c>
      <c r="O778" s="19" t="n">
        <f aca="false">O769*O772</f>
        <v>16.1330638424925</v>
      </c>
      <c r="P778" s="19" t="n">
        <f aca="false">P769*P772</f>
        <v>16.2057061933884</v>
      </c>
      <c r="Q778" s="19" t="n">
        <f aca="false">Q769*Q772</f>
        <v>16.2786756310172</v>
      </c>
      <c r="R778" s="19" t="n">
        <f aca="false">R769*R772</f>
        <v>16.3519736281524</v>
      </c>
      <c r="S778" s="19" t="n">
        <f aca="false">S769*S772</f>
        <v>16.7469378933488</v>
      </c>
      <c r="T778" s="19" t="n">
        <f aca="false">T769*T772</f>
        <v>17.0724992243956</v>
      </c>
      <c r="U778" s="19" t="n">
        <f aca="false">U769*U772</f>
        <v>17.4043894844052</v>
      </c>
      <c r="V778" s="19" t="n">
        <f aca="false">V769*V772</f>
        <v>17.7427317080812</v>
      </c>
      <c r="W778" s="19" t="n">
        <f aca="false">W769*W772</f>
        <v>17.7396569632181</v>
      </c>
      <c r="X778" s="19" t="n">
        <f aca="false">X769*X772</f>
        <v>17.8294488564149</v>
      </c>
      <c r="Y778" s="19" t="n">
        <f aca="false">Y769*Y772</f>
        <v>17.919695244538</v>
      </c>
      <c r="Z778" s="19" t="n">
        <f aca="false">Z769*Z772</f>
        <v>18.0103984280807</v>
      </c>
    </row>
    <row r="779" customFormat="false" ht="17.15" hidden="false" customHeight="false" outlineLevel="0" collapsed="false">
      <c r="A779" s="0" t="s">
        <v>549</v>
      </c>
      <c r="B779" s="0" t="s">
        <v>285</v>
      </c>
      <c r="C779" s="19" t="n">
        <f aca="false">C769*C773</f>
        <v>1.92</v>
      </c>
      <c r="D779" s="19" t="n">
        <f aca="false">D769*D773</f>
        <v>2.14</v>
      </c>
      <c r="E779" s="19" t="n">
        <f aca="false">E769*E773</f>
        <v>2.84</v>
      </c>
      <c r="F779" s="19" t="n">
        <f aca="false">F769*F773</f>
        <v>3.31</v>
      </c>
      <c r="G779" s="19" t="n">
        <f aca="false">G769*G773</f>
        <v>5.96</v>
      </c>
      <c r="H779" s="19" t="n">
        <f aca="false">H769*H773</f>
        <v>10.72</v>
      </c>
      <c r="I779" s="19" t="n">
        <f aca="false">I769*I773</f>
        <v>14.9513168749304</v>
      </c>
      <c r="J779" s="19" t="n">
        <f aca="false">J769*J773</f>
        <v>16.2035648188888</v>
      </c>
      <c r="K779" s="19" t="n">
        <f aca="false">K769*K773</f>
        <v>14.2834759852587</v>
      </c>
      <c r="L779" s="19" t="n">
        <f aca="false">L769*L773</f>
        <v>15.1029370488559</v>
      </c>
      <c r="M779" s="19" t="n">
        <f aca="false">M769*M773</f>
        <v>15.1709410475615</v>
      </c>
      <c r="N779" s="19" t="n">
        <f aca="false">N769*N773</f>
        <v>14.9184249058294</v>
      </c>
      <c r="O779" s="19" t="n">
        <f aca="false">O769*O773</f>
        <v>14.985598101659</v>
      </c>
      <c r="P779" s="19" t="n">
        <f aca="false">P769*P773</f>
        <v>15.0530737582555</v>
      </c>
      <c r="Q779" s="19" t="n">
        <f aca="false">Q769*Q773</f>
        <v>15.1208532375091</v>
      </c>
      <c r="R779" s="19" t="n">
        <f aca="false">R769*R773</f>
        <v>15.1889379074422</v>
      </c>
      <c r="S779" s="19" t="n">
        <f aca="false">S769*S773</f>
        <v>15.3499354572353</v>
      </c>
      <c r="T779" s="19" t="n">
        <f aca="false">T769*T773</f>
        <v>15.6483389893177</v>
      </c>
      <c r="U779" s="19" t="n">
        <f aca="false">U769*U773</f>
        <v>15.952543501359</v>
      </c>
      <c r="V779" s="19" t="n">
        <f aca="false">V769*V773</f>
        <v>16.2626617647071</v>
      </c>
      <c r="W779" s="19" t="n">
        <f aca="false">W769*W773</f>
        <v>16.0474618575449</v>
      </c>
      <c r="X779" s="19" t="n">
        <f aca="false">X769*X773</f>
        <v>16.1286884553411</v>
      </c>
      <c r="Y779" s="19" t="n">
        <f aca="false">Y769*Y773</f>
        <v>16.2103261935561</v>
      </c>
      <c r="Z779" s="19" t="n">
        <f aca="false">Z769*Z773</f>
        <v>16.2923771532379</v>
      </c>
    </row>
    <row r="780" customFormat="false" ht="17.15" hidden="false" customHeight="false" outlineLevel="0" collapsed="false">
      <c r="A780" s="0" t="s">
        <v>550</v>
      </c>
      <c r="B780" s="0" t="s">
        <v>285</v>
      </c>
      <c r="C780" s="19" t="n">
        <f aca="false">C769*C774</f>
        <v>1.69</v>
      </c>
      <c r="D780" s="19" t="n">
        <f aca="false">D769*D774</f>
        <v>1.9</v>
      </c>
      <c r="E780" s="19" t="n">
        <f aca="false">E769*E774</f>
        <v>2.31</v>
      </c>
      <c r="F780" s="19" t="n">
        <f aca="false">F769*F774</f>
        <v>3.03</v>
      </c>
      <c r="G780" s="19" t="n">
        <f aca="false">G769*G774</f>
        <v>5.95</v>
      </c>
      <c r="H780" s="19" t="n">
        <f aca="false">H769*H774</f>
        <v>8.97</v>
      </c>
      <c r="I780" s="19" t="n">
        <f aca="false">I769*I774</f>
        <v>11.0371522587842</v>
      </c>
      <c r="J780" s="19" t="n">
        <f aca="false">J769*J774</f>
        <v>12.4602118149868</v>
      </c>
      <c r="K780" s="19" t="n">
        <f aca="false">K769*K774</f>
        <v>10.9837025506345</v>
      </c>
      <c r="L780" s="19" t="n">
        <f aca="false">L769*L774</f>
        <v>11.6138514432198</v>
      </c>
      <c r="M780" s="19" t="n">
        <f aca="false">M769*M774</f>
        <v>11.6661451352319</v>
      </c>
      <c r="N780" s="19" t="n">
        <f aca="false">N769*N774</f>
        <v>11.4719653576427</v>
      </c>
      <c r="O780" s="19" t="n">
        <f aca="false">O769*O774</f>
        <v>11.5236201791391</v>
      </c>
      <c r="P780" s="19" t="n">
        <f aca="false">P769*P774</f>
        <v>11.5755075868143</v>
      </c>
      <c r="Q780" s="19" t="n">
        <f aca="false">Q769*Q774</f>
        <v>11.6276286279338</v>
      </c>
      <c r="R780" s="19" t="n">
        <f aca="false">R769*R774</f>
        <v>11.6799843544793</v>
      </c>
      <c r="S780" s="19" t="n">
        <f aca="false">S769*S774</f>
        <v>11.8037881960746</v>
      </c>
      <c r="T780" s="19" t="n">
        <f aca="false">T769*T774</f>
        <v>12.0332544436346</v>
      </c>
      <c r="U780" s="19" t="n">
        <f aca="false">U769*U774</f>
        <v>12.267181526809</v>
      </c>
      <c r="V780" s="19" t="n">
        <f aca="false">V769*V774</f>
        <v>12.5056561644708</v>
      </c>
      <c r="W780" s="19" t="n">
        <f aca="false">W769*W774</f>
        <v>12.3401718123681</v>
      </c>
      <c r="X780" s="19" t="n">
        <f aca="false">X769*X774</f>
        <v>12.4026334141739</v>
      </c>
      <c r="Y780" s="19" t="n">
        <f aca="false">Y769*Y774</f>
        <v>12.4654111746004</v>
      </c>
      <c r="Z780" s="19" t="n">
        <f aca="false">Z769*Z774</f>
        <v>12.5285066939312</v>
      </c>
    </row>
    <row r="781" customFormat="false" ht="17.15" hidden="false" customHeight="false" outlineLevel="0" collapsed="false">
      <c r="A781" s="5" t="s">
        <v>551</v>
      </c>
      <c r="B781" s="0" t="s">
        <v>285</v>
      </c>
      <c r="C781" s="19" t="n">
        <f aca="false">C769*C775</f>
        <v>0.905483870967741</v>
      </c>
      <c r="D781" s="19" t="n">
        <f aca="false">D769*D775</f>
        <v>1.12547112462006</v>
      </c>
      <c r="E781" s="19" t="n">
        <f aca="false">E769*E775</f>
        <v>1.69120879120879</v>
      </c>
      <c r="F781" s="19" t="n">
        <f aca="false">F769*F775</f>
        <v>2.39142857142857</v>
      </c>
      <c r="G781" s="19" t="n">
        <f aca="false">G769*G775</f>
        <v>5.05480225988701</v>
      </c>
      <c r="H781" s="19" t="n">
        <f aca="false">H769*H775</f>
        <v>9.83307167235495</v>
      </c>
      <c r="I781" s="19" t="n">
        <f aca="false">I769*I775</f>
        <v>13.1174313033769</v>
      </c>
      <c r="J781" s="19" t="n">
        <f aca="false">J769*J775</f>
        <v>15.6730215261275</v>
      </c>
      <c r="K781" s="19" t="n">
        <f aca="false">K769*K775</f>
        <v>14.1251613348901</v>
      </c>
      <c r="L781" s="19" t="n">
        <f aca="false">L769*L775</f>
        <v>14.9355396869745</v>
      </c>
      <c r="M781" s="19" t="n">
        <f aca="false">M769*M775</f>
        <v>15.0027899455338</v>
      </c>
      <c r="N781" s="19" t="n">
        <f aca="false">N769*N775</f>
        <v>14.7530726326535</v>
      </c>
      <c r="O781" s="19" t="n">
        <f aca="false">O769*O775</f>
        <v>15.1440686543252</v>
      </c>
      <c r="P781" s="19" t="n">
        <f aca="false">P769*P775</f>
        <v>15.2122578563218</v>
      </c>
      <c r="Q781" s="19" t="n">
        <f aca="false">Q769*Q775</f>
        <v>15.2807540938565</v>
      </c>
      <c r="R781" s="19" t="n">
        <f aca="false">R769*R775</f>
        <v>15.3495587494183</v>
      </c>
      <c r="S781" s="19" t="n">
        <f aca="false">S769*S775</f>
        <v>15.8447172267168</v>
      </c>
      <c r="T781" s="19" t="n">
        <f aca="false">T769*T775</f>
        <v>16.152739341759</v>
      </c>
      <c r="U781" s="19" t="n">
        <f aca="false">U769*U775</f>
        <v>16.4667494225059</v>
      </c>
      <c r="V781" s="19" t="n">
        <f aca="false">V769*V775</f>
        <v>16.7868638753178</v>
      </c>
      <c r="W781" s="19" t="n">
        <f aca="false">W769*W775</f>
        <v>16.912293187136</v>
      </c>
      <c r="X781" s="19" t="n">
        <f aca="false">X769*X775</f>
        <v>16.9978972564098</v>
      </c>
      <c r="Y781" s="19" t="n">
        <f aca="false">Y769*Y775</f>
        <v>17.0839346233207</v>
      </c>
      <c r="Z781" s="19" t="n">
        <f aca="false">Z769*Z775</f>
        <v>17.1704074810688</v>
      </c>
    </row>
    <row r="782" customFormat="false" ht="17.15" hidden="false" customHeight="false" outlineLevel="0" collapsed="false">
      <c r="A782" s="0" t="s">
        <v>552</v>
      </c>
      <c r="B782" s="0" t="s">
        <v>25</v>
      </c>
      <c r="C782" s="12" t="n">
        <f aca="false">C773+C774</f>
        <v>0.279077306733167</v>
      </c>
      <c r="D782" s="12" t="n">
        <f aca="false">D773+D774</f>
        <v>0.255607692307692</v>
      </c>
      <c r="E782" s="12" t="n">
        <f aca="false">E773+E774</f>
        <v>0.27406432748538</v>
      </c>
      <c r="F782" s="12" t="n">
        <f aca="false">F773+F774</f>
        <v>0.268969696969697</v>
      </c>
      <c r="G782" s="12" t="n">
        <f aca="false">G773+G774</f>
        <v>0.270960154241645</v>
      </c>
      <c r="H782" s="12" t="n">
        <f aca="false">H773+H774</f>
        <v>0.250180832610581</v>
      </c>
      <c r="I782" s="12" t="n">
        <f aca="false">I773+I774</f>
        <v>0.251873605888391</v>
      </c>
      <c r="J782" s="12" t="n">
        <f aca="false">J773+J774</f>
        <v>0.245026657759283</v>
      </c>
      <c r="K782" s="12" t="n">
        <f aca="false">K773+K774</f>
        <v>0.245026657759283</v>
      </c>
      <c r="L782" s="12" t="n">
        <f aca="false">L773+L774</f>
        <v>0.245026657759283</v>
      </c>
      <c r="M782" s="12" t="n">
        <f aca="false">M773+M774</f>
        <v>0.245026657759283</v>
      </c>
      <c r="N782" s="12" t="n">
        <f aca="false">N773+N774</f>
        <v>0.245026657759283</v>
      </c>
      <c r="O782" s="12" t="n">
        <f aca="false">O773+O774</f>
        <v>0.245026657759283</v>
      </c>
      <c r="P782" s="12" t="n">
        <f aca="false">P773+P774</f>
        <v>0.245026657759283</v>
      </c>
      <c r="Q782" s="12" t="n">
        <f aca="false">Q773+Q774</f>
        <v>0.245026657759283</v>
      </c>
      <c r="R782" s="12" t="n">
        <f aca="false">R773+R774</f>
        <v>0.245026657759283</v>
      </c>
      <c r="S782" s="12" t="n">
        <f aca="false">S773+S774</f>
        <v>0.245026657759283</v>
      </c>
      <c r="T782" s="12" t="n">
        <f aca="false">T773+T774</f>
        <v>0.245026657759283</v>
      </c>
      <c r="U782" s="12" t="n">
        <f aca="false">U773+U774</f>
        <v>0.245026657759283</v>
      </c>
      <c r="V782" s="12" t="n">
        <f aca="false">V773+V774</f>
        <v>0.245026657759283</v>
      </c>
      <c r="W782" s="12" t="n">
        <f aca="false">W773+W774</f>
        <v>0.245026657759283</v>
      </c>
      <c r="X782" s="12" t="n">
        <f aca="false">X773+X774</f>
        <v>0.245026657759283</v>
      </c>
      <c r="Y782" s="12" t="n">
        <f aca="false">Y773+Y774</f>
        <v>0.245026657759283</v>
      </c>
      <c r="Z782" s="12" t="n">
        <f aca="false">Z773+Z774</f>
        <v>0.245026657759283</v>
      </c>
    </row>
    <row r="783" customFormat="false" ht="17.15" hidden="false" customHeight="false" outlineLevel="0" collapsed="false">
      <c r="A783" s="0" t="s">
        <v>553</v>
      </c>
      <c r="B783" s="0" t="s">
        <v>222</v>
      </c>
      <c r="C783" s="19" t="n">
        <f aca="false">C768*C773</f>
        <v>35.5454438457651</v>
      </c>
      <c r="D783" s="19" t="n">
        <f aca="false">D768*D773</f>
        <v>33.3561735612603</v>
      </c>
      <c r="E783" s="19" t="n">
        <f aca="false">E768*E773</f>
        <v>38.3034616573653</v>
      </c>
      <c r="F783" s="19" t="n">
        <f aca="false">F768*F773</f>
        <v>36.6117929947199</v>
      </c>
      <c r="G783" s="19" t="n">
        <f aca="false">G768*G773</f>
        <v>38.1333152375469</v>
      </c>
      <c r="H783" s="19" t="n">
        <f aca="false">H768*H773</f>
        <v>40.1757580440862</v>
      </c>
      <c r="I783" s="19" t="n">
        <f aca="false">I768*I773</f>
        <v>44.8269021796765</v>
      </c>
      <c r="J783" s="19" t="n">
        <f aca="false">J768*J773</f>
        <v>44.9411476117569</v>
      </c>
      <c r="K783" s="19" t="n">
        <f aca="false">K768*K773</f>
        <v>48.0773237904583</v>
      </c>
      <c r="L783" s="19" t="n">
        <f aca="false">L768*L773</f>
        <v>50.835580599158</v>
      </c>
      <c r="M783" s="19" t="n">
        <f aca="false">M768*M773</f>
        <v>53.7520820858664</v>
      </c>
      <c r="N783" s="19" t="n">
        <f aca="false">N768*N773</f>
        <v>56.8359069476934</v>
      </c>
      <c r="O783" s="19" t="n">
        <f aca="false">O768*O773</f>
        <v>60.0966547380729</v>
      </c>
      <c r="P783" s="19" t="n">
        <f aca="false">P768*P773</f>
        <v>63.5444757489475</v>
      </c>
      <c r="Q783" s="19" t="n">
        <f aca="false">Q768*Q773</f>
        <v>67.190102607333</v>
      </c>
      <c r="R783" s="19" t="n">
        <f aca="false">R768*R773</f>
        <v>71.0448836846168</v>
      </c>
      <c r="S783" s="19" t="n">
        <f aca="false">S768*S773</f>
        <v>74.0184898623123</v>
      </c>
      <c r="T783" s="19" t="n">
        <f aca="false">T768*T773</f>
        <v>77.7911475249602</v>
      </c>
      <c r="U783" s="19" t="n">
        <f aca="false">U768*U773</f>
        <v>81.7560942476254</v>
      </c>
      <c r="V783" s="19" t="n">
        <f aca="false">V768*V773</f>
        <v>85.9231308354458</v>
      </c>
      <c r="W783" s="19" t="n">
        <f aca="false">W768*W773</f>
        <v>87.5395173614874</v>
      </c>
      <c r="X783" s="19" t="n">
        <f aca="false">X768*X773</f>
        <v>90.8398023892908</v>
      </c>
      <c r="Y783" s="19" t="n">
        <f aca="false">Y768*Y773</f>
        <v>94.2645098675832</v>
      </c>
      <c r="Z783" s="19" t="n">
        <f aca="false">Z768*Z773</f>
        <v>97.8183305870253</v>
      </c>
      <c r="AB783" s="5" t="s">
        <v>554</v>
      </c>
    </row>
    <row r="784" customFormat="false" ht="17.15" hidden="false" customHeight="false" outlineLevel="0" collapsed="false">
      <c r="A784" s="0" t="s">
        <v>555</v>
      </c>
      <c r="B784" s="0" t="s">
        <v>222</v>
      </c>
      <c r="C784" s="19" t="n">
        <f aca="false">C768*C774</f>
        <v>31.2873958850745</v>
      </c>
      <c r="D784" s="19" t="n">
        <f aca="false">D768*D774</f>
        <v>29.6152942833619</v>
      </c>
      <c r="E784" s="19" t="n">
        <f aca="false">E768*E774</f>
        <v>31.1552804325753</v>
      </c>
      <c r="F784" s="19" t="n">
        <f aca="false">F768*F774</f>
        <v>33.5147228924475</v>
      </c>
      <c r="G784" s="19" t="n">
        <f aca="false">G768*G774</f>
        <v>38.0693331650007</v>
      </c>
      <c r="H784" s="19" t="n">
        <f aca="false">H768*H774</f>
        <v>33.6172154529341</v>
      </c>
      <c r="I784" s="19" t="n">
        <f aca="false">I768*I774</f>
        <v>33.0914894510934</v>
      </c>
      <c r="J784" s="19" t="n">
        <f aca="false">J768*J774</f>
        <v>34.5588285485368</v>
      </c>
      <c r="K784" s="19" t="n">
        <f aca="false">K768*K774</f>
        <v>36.9704842497676</v>
      </c>
      <c r="L784" s="19" t="n">
        <f aca="false">L768*L774</f>
        <v>39.0915276411862</v>
      </c>
      <c r="M784" s="19" t="n">
        <f aca="false">M768*M774</f>
        <v>41.3342579717828</v>
      </c>
      <c r="N784" s="19" t="n">
        <f aca="false">N768*N774</f>
        <v>43.7056565750022</v>
      </c>
      <c r="O784" s="19" t="n">
        <f aca="false">O768*O774</f>
        <v>46.2131053122095</v>
      </c>
      <c r="P784" s="19" t="n">
        <f aca="false">P768*P774</f>
        <v>48.8644095514828</v>
      </c>
      <c r="Q784" s="19" t="n">
        <f aca="false">Q768*Q774</f>
        <v>51.6678224647285</v>
      </c>
      <c r="R784" s="19" t="n">
        <f aca="false">R768*R774</f>
        <v>54.6320707187528</v>
      </c>
      <c r="S784" s="19" t="n">
        <f aca="false">S768*S774</f>
        <v>56.9187133953845</v>
      </c>
      <c r="T784" s="19" t="n">
        <f aca="false">T768*T774</f>
        <v>59.8198104136917</v>
      </c>
      <c r="U784" s="19" t="n">
        <f aca="false">U768*U774</f>
        <v>62.8687738085834</v>
      </c>
      <c r="V784" s="19" t="n">
        <f aca="false">V768*V774</f>
        <v>66.0731401998922</v>
      </c>
      <c r="W784" s="19" t="n">
        <f aca="false">W768*W774</f>
        <v>67.316108566081</v>
      </c>
      <c r="X784" s="19" t="n">
        <f aca="false">X768*X774</f>
        <v>69.8539606348013</v>
      </c>
      <c r="Y784" s="19" t="n">
        <f aca="false">Y768*Y774</f>
        <v>72.4874910375772</v>
      </c>
      <c r="Z784" s="19" t="n">
        <f aca="false">Z768*Z774</f>
        <v>75.2203068970304</v>
      </c>
    </row>
    <row r="785" customFormat="false" ht="17.15" hidden="false" customHeight="false" outlineLevel="0" collapsed="false">
      <c r="A785" s="5" t="s">
        <v>556</v>
      </c>
      <c r="B785" s="0" t="s">
        <v>557</v>
      </c>
      <c r="C785" s="17" t="n">
        <f aca="false">ABS(SUM(C770:C775)-1)+ABS(SUM(I770:I775)-1)+ABS(SUM(Z770:Z775)-1)+ABS(H780-rv_sd_5)</f>
        <v>0</v>
      </c>
    </row>
    <row r="810" customFormat="false" ht="17.15" hidden="false" customHeight="false" outlineLevel="0" collapsed="false">
      <c r="A810" s="3" t="s">
        <v>705</v>
      </c>
    </row>
    <row r="811" customFormat="false" ht="17.15" hidden="false" customHeight="false" outlineLevel="0" collapsed="false">
      <c r="A811" s="9" t="s">
        <v>508</v>
      </c>
      <c r="B811" s="6" t="s">
        <v>15</v>
      </c>
      <c r="C811" s="9" t="s">
        <v>427</v>
      </c>
      <c r="D811" s="9" t="s">
        <v>428</v>
      </c>
      <c r="E811" s="9" t="s">
        <v>429</v>
      </c>
      <c r="F811" s="9" t="s">
        <v>430</v>
      </c>
      <c r="G811" s="9" t="s">
        <v>431</v>
      </c>
      <c r="H811" s="9" t="s">
        <v>432</v>
      </c>
      <c r="I811" s="9" t="s">
        <v>433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6" t="s">
        <v>434</v>
      </c>
    </row>
    <row r="812" customFormat="false" ht="17.15" hidden="false" customHeight="false" outlineLevel="0" collapsed="false">
      <c r="A812" s="5" t="s">
        <v>509</v>
      </c>
      <c r="B812" s="5" t="s">
        <v>168</v>
      </c>
      <c r="E812" s="10" t="n">
        <f aca="false">(u_26)*1</f>
        <v>15.2</v>
      </c>
      <c r="F812" s="10" t="n">
        <f aca="false">(u_27)*1</f>
        <v>23.7</v>
      </c>
      <c r="G812" s="10" t="n">
        <f aca="false">(u_28)*um28_A</f>
        <v>26.5</v>
      </c>
      <c r="H812" s="10" t="n">
        <f aca="false">(u_28*(1+g_u29))*um29_A</f>
        <v>30.15</v>
      </c>
      <c r="I812" s="10" t="n">
        <f aca="false">(u_28*(1+g_u29)*(1+g_u30))*um29_A</f>
        <v>31.6575</v>
      </c>
      <c r="AB812" s="8" t="s">
        <v>510</v>
      </c>
    </row>
    <row r="813" customFormat="false" ht="17.15" hidden="false" customHeight="false" outlineLevel="0" collapsed="false">
      <c r="A813" s="5" t="s">
        <v>511</v>
      </c>
      <c r="B813" s="0" t="s">
        <v>512</v>
      </c>
      <c r="E813" s="18" t="n">
        <f aca="false">tb_26</f>
        <v>30</v>
      </c>
      <c r="F813" s="18" t="n">
        <f aca="false">tb_27</f>
        <v>34</v>
      </c>
      <c r="G813" s="18" t="n">
        <f aca="false">tb_28</f>
        <v>40</v>
      </c>
      <c r="H813" s="18" t="n">
        <f aca="false">tb_29</f>
        <v>46</v>
      </c>
      <c r="I813" s="18" t="n">
        <f aca="false">tb_30</f>
        <v>52</v>
      </c>
    </row>
    <row r="814" customFormat="false" ht="17.15" hidden="false" customHeight="false" outlineLevel="0" collapsed="false">
      <c r="A814" s="5" t="s">
        <v>513</v>
      </c>
      <c r="B814" s="0" t="s">
        <v>222</v>
      </c>
      <c r="D814" s="10" t="n">
        <f aca="false">bits25*sh_essd25*ai25</f>
        <v>165</v>
      </c>
      <c r="E814" s="10" t="n">
        <f aca="false">E812*E813</f>
        <v>456</v>
      </c>
      <c r="F814" s="10" t="n">
        <f aca="false">F812*F813</f>
        <v>805.8</v>
      </c>
      <c r="G814" s="10" t="n">
        <f aca="false">G812*G813</f>
        <v>1060</v>
      </c>
      <c r="H814" s="10" t="n">
        <f aca="false">H812*H813</f>
        <v>1386.9</v>
      </c>
      <c r="I814" s="10" t="n">
        <f aca="false">I812*I813</f>
        <v>1646.19</v>
      </c>
      <c r="AB814" s="5" t="s">
        <v>514</v>
      </c>
    </row>
    <row r="815" customFormat="false" ht="17.15" hidden="false" customHeight="false" outlineLevel="0" collapsed="false">
      <c r="A815" s="5" t="s">
        <v>515</v>
      </c>
      <c r="B815" s="0" t="s">
        <v>222</v>
      </c>
      <c r="D815" s="10" t="n">
        <f aca="false">bits25*sh_essd25*(1-ai25)</f>
        <v>135</v>
      </c>
      <c r="E815" s="10" t="n">
        <f aca="false">D815*(1+g_nai)</f>
        <v>148.5</v>
      </c>
      <c r="F815" s="10" t="n">
        <f aca="false">E815*(1+g_nai)</f>
        <v>163.35</v>
      </c>
      <c r="G815" s="10" t="n">
        <f aca="false">F815*(1+g_nai)</f>
        <v>179.685</v>
      </c>
      <c r="H815" s="10" t="n">
        <f aca="false">G815*(1+g_nai)</f>
        <v>197.6535</v>
      </c>
      <c r="I815" s="10" t="n">
        <f aca="false">H815*(1+g_nai)</f>
        <v>217.41885</v>
      </c>
    </row>
    <row r="816" customFormat="false" ht="15" hidden="false" customHeight="false" outlineLevel="0" collapsed="false">
      <c r="A816" s="5" t="s">
        <v>516</v>
      </c>
      <c r="B816" s="0" t="s">
        <v>222</v>
      </c>
      <c r="D816" s="10" t="n">
        <f aca="false">bits25*sh_mob25</f>
        <v>320</v>
      </c>
      <c r="E816" s="10" t="n">
        <f aca="false">D816*(1+g_mob_26)</f>
        <v>304</v>
      </c>
      <c r="F816" s="10" t="n">
        <f aca="false">E816*(1+g_mob_27)</f>
        <v>313.12</v>
      </c>
      <c r="G816" s="10" t="n">
        <f aca="false">F816*(1+g_mob_28)</f>
        <v>338.1696</v>
      </c>
      <c r="H816" s="10" t="n">
        <f aca="false">G816*(1+g_mob_28)</f>
        <v>365.223168</v>
      </c>
      <c r="I816" s="10" t="n">
        <f aca="false">H816*(1+g_mob_28)</f>
        <v>394.44102144</v>
      </c>
    </row>
    <row r="817" customFormat="false" ht="17.15" hidden="false" customHeight="false" outlineLevel="0" collapsed="false">
      <c r="A817" s="5" t="s">
        <v>517</v>
      </c>
      <c r="B817" s="0" t="s">
        <v>222</v>
      </c>
      <c r="D817" s="10" t="n">
        <f aca="false">bits25*sh_pc25</f>
        <v>230</v>
      </c>
      <c r="E817" s="10" t="n">
        <f aca="false">D817*(1+g_pc_26)</f>
        <v>218.5</v>
      </c>
      <c r="F817" s="10" t="n">
        <f aca="false">E817*(1+g_pc_27)</f>
        <v>218.5</v>
      </c>
      <c r="G817" s="10" t="n">
        <f aca="false">F817*(1+g_pc_28)</f>
        <v>231.61</v>
      </c>
      <c r="H817" s="10" t="n">
        <f aca="false">G817*(1+g_pc_28)</f>
        <v>245.5066</v>
      </c>
      <c r="I817" s="10" t="n">
        <f aca="false">H817*(1+g_pc_28)</f>
        <v>260.236996</v>
      </c>
    </row>
    <row r="818" customFormat="false" ht="15" hidden="false" customHeight="false" outlineLevel="0" collapsed="false">
      <c r="A818" s="5" t="s">
        <v>518</v>
      </c>
      <c r="B818" s="0" t="s">
        <v>222</v>
      </c>
      <c r="D818" s="10" t="n">
        <f aca="false">bits25*(1-sh_essd25-sh_mob25-sh_pc25)</f>
        <v>150</v>
      </c>
      <c r="E818" s="10" t="n">
        <f aca="false">D818*(1+g_con_26)</f>
        <v>135</v>
      </c>
      <c r="F818" s="10" t="n">
        <f aca="false">E818*(1+g_con_27)</f>
        <v>135</v>
      </c>
      <c r="G818" s="10" t="n">
        <f aca="false">F818*(1+g_con_28)</f>
        <v>141.75</v>
      </c>
      <c r="H818" s="10" t="n">
        <f aca="false">G818*(1+g_con_28)</f>
        <v>148.8375</v>
      </c>
      <c r="I818" s="10" t="n">
        <f aca="false">H818*(1+g_con_28)</f>
        <v>156.279375</v>
      </c>
    </row>
    <row r="819" customFormat="false" ht="15" hidden="false" customHeight="false" outlineLevel="0" collapsed="false">
      <c r="A819" s="5" t="s">
        <v>442</v>
      </c>
      <c r="B819" s="0" t="s">
        <v>222</v>
      </c>
      <c r="D819" s="10" t="n">
        <f aca="false">SUM(D814:D818)</f>
        <v>1000</v>
      </c>
      <c r="E819" s="10" t="n">
        <f aca="false">SUM(E814:E818)</f>
        <v>1262</v>
      </c>
      <c r="F819" s="10" t="n">
        <f aca="false">SUM(F814:F818)</f>
        <v>1635.77</v>
      </c>
      <c r="G819" s="10" t="n">
        <f aca="false">SUM(G814:G818)</f>
        <v>1951.2146</v>
      </c>
      <c r="H819" s="10" t="n">
        <f aca="false">SUM(H814:H818)</f>
        <v>2344.120768</v>
      </c>
      <c r="I819" s="10" t="n">
        <f aca="false">SUM(I814:I818)</f>
        <v>2674.56624244</v>
      </c>
    </row>
    <row r="820" customFormat="false" ht="17.15" hidden="false" customHeight="false" outlineLevel="0" collapsed="false">
      <c r="A820" s="5" t="s">
        <v>519</v>
      </c>
      <c r="B820" s="0" t="s">
        <v>25</v>
      </c>
      <c r="D820" s="12" t="n">
        <f aca="false">(D814+D815)/D819</f>
        <v>0.3</v>
      </c>
      <c r="E820" s="12" t="n">
        <f aca="false">(E814+E815)/E819</f>
        <v>0.479001584786054</v>
      </c>
      <c r="F820" s="12" t="n">
        <f aca="false">(F814+F815)/F819</f>
        <v>0.592473269469424</v>
      </c>
      <c r="G820" s="12" t="n">
        <f aca="false">(G814+G815)/G819</f>
        <v>0.635340161968858</v>
      </c>
      <c r="H820" s="12" t="n">
        <f aca="false">(H814+H815)/H819</f>
        <v>0.675969225490007</v>
      </c>
      <c r="I820" s="12" t="n">
        <f aca="false">(I814+I815)/I819</f>
        <v>0.696789191618539</v>
      </c>
    </row>
    <row r="821" customFormat="false" ht="17.15" hidden="false" customHeight="false" outlineLevel="0" collapsed="false">
      <c r="A821" s="5" t="s">
        <v>520</v>
      </c>
      <c r="B821" s="0" t="s">
        <v>222</v>
      </c>
      <c r="D821" s="10" t="n">
        <f aca="false">bits25</f>
        <v>1000</v>
      </c>
      <c r="E821" s="10" t="n">
        <f aca="false">D821*(1+gs_26)</f>
        <v>1210</v>
      </c>
      <c r="F821" s="10" t="n">
        <f aca="false">E821*(1+gs_27)</f>
        <v>1512.5</v>
      </c>
      <c r="G821" s="10" t="n">
        <f aca="false">F821*(1+gs_28)</f>
        <v>1890.625</v>
      </c>
      <c r="H821" s="10" t="n">
        <f aca="false">G821*(1+gs_29)</f>
        <v>2306.5625</v>
      </c>
      <c r="I821" s="10" t="n">
        <f aca="false">H821*(1+gs_30)</f>
        <v>2767.875</v>
      </c>
      <c r="AB821" s="8" t="s">
        <v>521</v>
      </c>
    </row>
    <row r="822" customFormat="false" ht="17.15" hidden="false" customHeight="false" outlineLevel="0" collapsed="false">
      <c r="A822" s="5" t="s">
        <v>522</v>
      </c>
      <c r="B822" s="0" t="s">
        <v>25</v>
      </c>
      <c r="E822" s="12" t="n">
        <f aca="false">E819/E821-1</f>
        <v>0.0429752066115703</v>
      </c>
      <c r="F822" s="12" t="n">
        <f aca="false">F819/F821-1</f>
        <v>0.0815008264462809</v>
      </c>
      <c r="G822" s="12" t="n">
        <f aca="false">G819/G821-1</f>
        <v>0.0320473917355373</v>
      </c>
      <c r="H822" s="12" t="n">
        <f aca="false">H819/H821-1</f>
        <v>0.0162832214605071</v>
      </c>
      <c r="I822" s="12" t="n">
        <f aca="false">I819/I821-1</f>
        <v>-0.0337113336259763</v>
      </c>
    </row>
    <row r="823" customFormat="false" ht="17.15" hidden="false" customHeight="false" outlineLevel="0" collapsed="false">
      <c r="A823" s="5" t="s">
        <v>523</v>
      </c>
      <c r="B823" s="0" t="s">
        <v>222</v>
      </c>
      <c r="C823" s="10" t="n">
        <f aca="false">bits25/(1+g25)</f>
        <v>892.857142857143</v>
      </c>
      <c r="D823" s="10" t="n">
        <f aca="false">bits25</f>
        <v>1000</v>
      </c>
      <c r="E823" s="10" t="n">
        <f aca="false">MIN(E819,E821)</f>
        <v>1210</v>
      </c>
      <c r="F823" s="10" t="n">
        <f aca="false">MIN(F819,F821)</f>
        <v>1512.5</v>
      </c>
      <c r="G823" s="10" t="n">
        <f aca="false">MIN(G819,G821)</f>
        <v>1890.625</v>
      </c>
      <c r="H823" s="10" t="n">
        <f aca="false">MIN(H819,H821)</f>
        <v>2306.5625</v>
      </c>
      <c r="I823" s="10" t="n">
        <f aca="false">MIN(I819,I821)</f>
        <v>2674.56624244</v>
      </c>
    </row>
    <row r="824" customFormat="false" ht="15" hidden="false" customHeight="false" outlineLevel="0" collapsed="false">
      <c r="A824" s="5" t="s">
        <v>447</v>
      </c>
      <c r="B824" s="0" t="s">
        <v>25</v>
      </c>
      <c r="D824" s="12" t="n">
        <f aca="false">D823/C823-1</f>
        <v>0.12</v>
      </c>
      <c r="E824" s="12" t="n">
        <f aca="false">E823/D823-1</f>
        <v>0.21</v>
      </c>
      <c r="F824" s="12" t="n">
        <f aca="false">F823/E823-1</f>
        <v>0.25</v>
      </c>
      <c r="G824" s="12" t="n">
        <f aca="false">G823/F823-1</f>
        <v>0.25</v>
      </c>
      <c r="H824" s="12" t="n">
        <f aca="false">H823/G823-1</f>
        <v>0.22</v>
      </c>
      <c r="I824" s="12" t="n">
        <f aca="false">I823/H823-1</f>
        <v>0.159546399648828</v>
      </c>
    </row>
    <row r="825" customFormat="false" ht="17.15" hidden="false" customHeight="false" outlineLevel="0" collapsed="false">
      <c r="A825" s="0" t="s">
        <v>524</v>
      </c>
      <c r="B825" s="0" t="s">
        <v>285</v>
      </c>
      <c r="C825" s="10" t="n">
        <f aca="false">rev24</f>
        <v>67.4</v>
      </c>
      <c r="D825" s="10" t="n">
        <f aca="false">SUM(C839:F839)</f>
        <v>71.1035923582252</v>
      </c>
      <c r="E825" s="10" t="n">
        <f aca="false">SUM(G839:J839)</f>
        <v>342.820749524408</v>
      </c>
      <c r="F825" s="10" t="n">
        <f aca="false">SUM(K839:N839)</f>
        <v>536.734678363014</v>
      </c>
      <c r="G825" s="10" t="n">
        <f aca="false">SUM(O839:R839)</f>
        <v>544.610149409284</v>
      </c>
      <c r="H825" s="10" t="n">
        <f aca="false">SUM(S839:V839)</f>
        <v>570.465276442823</v>
      </c>
      <c r="I825" s="10" t="n">
        <f aca="false">SUM(W839:Z839)</f>
        <v>583.689433024656</v>
      </c>
      <c r="AB825" s="8" t="s">
        <v>525</v>
      </c>
    </row>
    <row r="826" customFormat="false" ht="15" hidden="false" customHeight="false" outlineLevel="0" collapsed="false">
      <c r="A826" s="5" t="s">
        <v>453</v>
      </c>
      <c r="B826" s="0" t="s">
        <v>25</v>
      </c>
      <c r="D826" s="12" t="n">
        <f aca="false">D825/C825-1</f>
        <v>0.0549494415166936</v>
      </c>
      <c r="E826" s="12" t="n">
        <f aca="false">E825/D825-1</f>
        <v>3.82142657149095</v>
      </c>
      <c r="F826" s="12" t="n">
        <f aca="false">F825/E825-1</f>
        <v>0.565642333807452</v>
      </c>
      <c r="G826" s="12" t="n">
        <f aca="false">G825/F825-1</f>
        <v>0.0146729312707903</v>
      </c>
      <c r="H826" s="12" t="n">
        <f aca="false">H825/G825-1</f>
        <v>0.0474745596672834</v>
      </c>
      <c r="I826" s="12" t="n">
        <f aca="false">I825/H825-1</f>
        <v>0.0231813523590643</v>
      </c>
    </row>
    <row r="827" customFormat="false" ht="17.15" hidden="false" customHeight="false" outlineLevel="0" collapsed="false">
      <c r="A827" s="5" t="s">
        <v>526</v>
      </c>
      <c r="B827" s="0" t="s">
        <v>449</v>
      </c>
      <c r="C827" s="13" t="n">
        <f aca="false">C825/C823</f>
        <v>0.075488</v>
      </c>
      <c r="D827" s="13" t="n">
        <f aca="false">D825/D823</f>
        <v>0.0711035923582252</v>
      </c>
      <c r="E827" s="13" t="n">
        <f aca="false">E825/E823</f>
        <v>0.283322933491246</v>
      </c>
      <c r="F827" s="13" t="n">
        <f aca="false">F825/F823</f>
        <v>0.354865903049927</v>
      </c>
      <c r="G827" s="13" t="n">
        <f aca="false">G825/G823</f>
        <v>0.28805826084458</v>
      </c>
      <c r="H827" s="13" t="n">
        <f aca="false">H825/H823</f>
        <v>0.247322704866148</v>
      </c>
      <c r="I827" s="13" t="n">
        <f aca="false">I825/I823</f>
        <v>0.218237044857097</v>
      </c>
    </row>
    <row r="828" customFormat="false" ht="17.15" hidden="false" customHeight="false" outlineLevel="0" collapsed="false">
      <c r="A828" s="5" t="s">
        <v>450</v>
      </c>
      <c r="B828" s="0" t="s">
        <v>25</v>
      </c>
      <c r="D828" s="12" t="n">
        <f aca="false">D827/C827-1</f>
        <v>-0.0580808557886665</v>
      </c>
      <c r="E828" s="12" t="n">
        <f aca="false">E827/D827-1</f>
        <v>2.98465005908343</v>
      </c>
      <c r="F828" s="12" t="n">
        <f aca="false">F827/E827-1</f>
        <v>0.252513867045961</v>
      </c>
      <c r="G828" s="12" t="n">
        <f aca="false">G827/F827-1</f>
        <v>-0.188261654983368</v>
      </c>
      <c r="H828" s="12" t="n">
        <f aca="false">H827/G827-1</f>
        <v>-0.141414295354686</v>
      </c>
      <c r="I828" s="12" t="n">
        <f aca="false">I827/H827-1</f>
        <v>-0.117602061746785</v>
      </c>
      <c r="AB828" s="8" t="s">
        <v>527</v>
      </c>
    </row>
    <row r="829" customFormat="false" ht="15" hidden="false" customHeight="false" outlineLevel="0" collapsed="false">
      <c r="A829" s="5" t="s">
        <v>528</v>
      </c>
      <c r="B829" s="0" t="s">
        <v>25</v>
      </c>
      <c r="D829" s="12" t="n">
        <f aca="false">SUM(C846:F846)/D825</f>
        <v>0.309407714439551</v>
      </c>
      <c r="E829" s="12" t="n">
        <f aca="false">SUM(G846:J846)/E825</f>
        <v>0.298146371102126</v>
      </c>
      <c r="F829" s="12" t="n">
        <f aca="false">SUM(K846:N846)/F825</f>
        <v>0.293146371102126</v>
      </c>
      <c r="G829" s="12" t="n">
        <f aca="false">SUM(O846:R846)/G825</f>
        <v>0.288146371102126</v>
      </c>
      <c r="H829" s="12" t="n">
        <f aca="false">SUM(S846:V846)/H825</f>
        <v>0.283146371102126</v>
      </c>
      <c r="I829" s="12" t="n">
        <f aca="false">SUM(W846:Z846)/I825</f>
        <v>0.278146371102126</v>
      </c>
    </row>
    <row r="830" customFormat="false" ht="17.15" hidden="false" customHeight="false" outlineLevel="0" collapsed="false">
      <c r="A830" s="5" t="s">
        <v>529</v>
      </c>
      <c r="B830" s="0" t="s">
        <v>25</v>
      </c>
      <c r="D830" s="12" t="n">
        <f aca="false">SUM(C847:F847)/D825</f>
        <v>0.200693094775109</v>
      </c>
      <c r="E830" s="12" t="n">
        <f aca="false">SUM(G847:J847)/E825</f>
        <v>0.177730130982399</v>
      </c>
      <c r="F830" s="12" t="n">
        <f aca="false">SUM(K847:N847)/F825</f>
        <v>0.177730130982399</v>
      </c>
      <c r="G830" s="12" t="n">
        <f aca="false">SUM(O847:R847)/G825</f>
        <v>0.177730130982399</v>
      </c>
      <c r="H830" s="12" t="n">
        <f aca="false">SUM(S847:V847)/H825</f>
        <v>0.177730130982399</v>
      </c>
      <c r="I830" s="12" t="n">
        <f aca="false">SUM(W847:Z847)/I825</f>
        <v>0.177730130982399</v>
      </c>
    </row>
    <row r="831" customFormat="false" ht="15" hidden="false" customHeight="false" outlineLevel="0" collapsed="false">
      <c r="A831" s="5" t="s">
        <v>530</v>
      </c>
      <c r="B831" s="0" t="s">
        <v>25</v>
      </c>
      <c r="D831" s="12" t="n">
        <f aca="false">SUM(C848:F848)/D825</f>
        <v>0.134732995651405</v>
      </c>
      <c r="E831" s="12" t="n">
        <f aca="false">SUM(G848:J848)/E825</f>
        <v>0.14511909777462</v>
      </c>
      <c r="F831" s="12" t="n">
        <f aca="false">SUM(K848:N848)/F825</f>
        <v>0.14711909777462</v>
      </c>
      <c r="G831" s="12" t="n">
        <f aca="false">SUM(O848:R848)/G825</f>
        <v>0.14911909777462</v>
      </c>
      <c r="H831" s="12" t="n">
        <f aca="false">SUM(S848:V848)/H825</f>
        <v>0.15111909777462</v>
      </c>
      <c r="I831" s="12" t="n">
        <f aca="false">SUM(W848:Z848)/I825</f>
        <v>0.15311909777462</v>
      </c>
    </row>
    <row r="832" customFormat="false" ht="17.15" hidden="false" customHeight="false" outlineLevel="0" collapsed="false">
      <c r="A832" s="5" t="s">
        <v>531</v>
      </c>
      <c r="B832" s="0" t="s">
        <v>25</v>
      </c>
      <c r="D832" s="12" t="n">
        <f aca="false">SUM(C849:F849)/D825</f>
        <v>0.143593307473992</v>
      </c>
      <c r="E832" s="12" t="n">
        <f aca="false">SUM(G849:J849)/E825</f>
        <v>0.139533216003349</v>
      </c>
      <c r="F832" s="12" t="n">
        <f aca="false">SUM(K849:N849)/F825</f>
        <v>0.135061152622043</v>
      </c>
      <c r="G832" s="12" t="n">
        <f aca="false">SUM(O849:R849)/G825</f>
        <v>0.131609317856862</v>
      </c>
      <c r="H832" s="12" t="n">
        <f aca="false">SUM(S849:V849)/H825</f>
        <v>0.128157483091682</v>
      </c>
      <c r="I832" s="12" t="n">
        <f aca="false">SUM(W849:Z849)/I825</f>
        <v>0.124705648326501</v>
      </c>
    </row>
    <row r="833" customFormat="false" ht="17.15" hidden="false" customHeight="false" outlineLevel="0" collapsed="false">
      <c r="A833" s="5" t="s">
        <v>532</v>
      </c>
      <c r="B833" s="0" t="s">
        <v>25</v>
      </c>
      <c r="D833" s="12" t="n">
        <f aca="false">SUM(C850:F850)/D825</f>
        <v>0.125591404088418</v>
      </c>
      <c r="E833" s="12" t="n">
        <f aca="false">SUM(G850:J850)/E825</f>
        <v>0.112062540342342</v>
      </c>
      <c r="F833" s="12" t="n">
        <f aca="false">SUM(K850:N850)/F825</f>
        <v>0.103965505137239</v>
      </c>
      <c r="G833" s="12" t="n">
        <f aca="false">SUM(O850:R850)/G825</f>
        <v>0.10141733990242</v>
      </c>
      <c r="H833" s="12" t="n">
        <f aca="false">SUM(S850:V850)/H825</f>
        <v>0.0988691746676009</v>
      </c>
      <c r="I833" s="12" t="n">
        <f aca="false">SUM(W850:Z850)/I825</f>
        <v>0.0963210094327817</v>
      </c>
    </row>
    <row r="834" customFormat="false" ht="15" hidden="false" customHeight="false" outlineLevel="0" collapsed="false">
      <c r="A834" s="5" t="s">
        <v>533</v>
      </c>
      <c r="B834" s="0" t="s">
        <v>25</v>
      </c>
      <c r="D834" s="12" t="n">
        <f aca="false">SUM(C851:F851)/D825</f>
        <v>0.0859814835715252</v>
      </c>
      <c r="E834" s="12" t="n">
        <f aca="false">SUM(G851:J851)/E825</f>
        <v>0.127408643795164</v>
      </c>
      <c r="F834" s="12" t="n">
        <f aca="false">SUM(K851:N851)/F825</f>
        <v>0.142977742381572</v>
      </c>
      <c r="G834" s="12" t="n">
        <f aca="false">SUM(O851:R851)/G825</f>
        <v>0.151977742381572</v>
      </c>
      <c r="H834" s="12" t="n">
        <f aca="false">SUM(S851:V851)/H825</f>
        <v>0.160977742381572</v>
      </c>
      <c r="I834" s="12" t="n">
        <f aca="false">SUM(W851:Z851)/I825</f>
        <v>0.169977742381572</v>
      </c>
    </row>
    <row r="836" customFormat="false" ht="17.15" hidden="false" customHeight="false" outlineLevel="0" collapsed="false">
      <c r="A836" s="9" t="s">
        <v>534</v>
      </c>
      <c r="B836" s="6" t="s">
        <v>15</v>
      </c>
      <c r="C836" s="9" t="s">
        <v>468</v>
      </c>
      <c r="D836" s="9" t="s">
        <v>469</v>
      </c>
      <c r="E836" s="9" t="s">
        <v>470</v>
      </c>
      <c r="F836" s="9" t="s">
        <v>471</v>
      </c>
      <c r="G836" s="9" t="s">
        <v>472</v>
      </c>
      <c r="H836" s="9" t="s">
        <v>473</v>
      </c>
      <c r="I836" s="9" t="s">
        <v>474</v>
      </c>
      <c r="J836" s="9" t="s">
        <v>475</v>
      </c>
      <c r="K836" s="9" t="s">
        <v>476</v>
      </c>
      <c r="L836" s="9" t="s">
        <v>477</v>
      </c>
      <c r="M836" s="9" t="s">
        <v>478</v>
      </c>
      <c r="N836" s="9" t="s">
        <v>479</v>
      </c>
      <c r="O836" s="9" t="s">
        <v>480</v>
      </c>
      <c r="P836" s="9" t="s">
        <v>481</v>
      </c>
      <c r="Q836" s="9" t="s">
        <v>482</v>
      </c>
      <c r="R836" s="9" t="s">
        <v>483</v>
      </c>
      <c r="S836" s="9" t="s">
        <v>484</v>
      </c>
      <c r="T836" s="9" t="s">
        <v>485</v>
      </c>
      <c r="U836" s="9" t="s">
        <v>486</v>
      </c>
      <c r="V836" s="9" t="s">
        <v>487</v>
      </c>
      <c r="W836" s="9" t="s">
        <v>488</v>
      </c>
      <c r="X836" s="9" t="s">
        <v>489</v>
      </c>
      <c r="Y836" s="9" t="s">
        <v>490</v>
      </c>
      <c r="Z836" s="9" t="s">
        <v>491</v>
      </c>
      <c r="AA836" s="9"/>
      <c r="AB836" s="6" t="s">
        <v>434</v>
      </c>
    </row>
    <row r="837" customFormat="false" ht="17.15" hidden="false" customHeight="false" outlineLevel="0" collapsed="false">
      <c r="A837" s="5" t="s">
        <v>535</v>
      </c>
      <c r="B837" s="0" t="s">
        <v>536</v>
      </c>
      <c r="C837" s="13" t="n">
        <f aca="false">Path!C4</f>
        <v>1</v>
      </c>
      <c r="D837" s="13" t="n">
        <f aca="false">Path!D4</f>
        <v>1</v>
      </c>
      <c r="E837" s="13" t="n">
        <f aca="false">Path!E4</f>
        <v>1.05</v>
      </c>
      <c r="F837" s="13" t="n">
        <f aca="false">Path!F4</f>
        <v>1.365</v>
      </c>
      <c r="G837" s="13" t="n">
        <f aca="false">Path!G4</f>
        <v>2.559375</v>
      </c>
      <c r="H837" s="13" t="n">
        <f aca="false">Path!H4</f>
        <v>4.414921875</v>
      </c>
      <c r="I837" s="13" t="n">
        <f aca="false">Path!I4</f>
        <v>5.51865234375</v>
      </c>
      <c r="J837" s="13" t="n">
        <f aca="false">Path!J4</f>
        <v>5.96566318359375</v>
      </c>
      <c r="K837" s="13" t="n">
        <f aca="false">Path!K4*1</f>
        <v>6.14463307910156</v>
      </c>
      <c r="L837" s="13" t="n">
        <f aca="false">Path!L4*1</f>
        <v>6.14463307910156</v>
      </c>
      <c r="M837" s="13" t="n">
        <f aca="false">Path!M4*1</f>
        <v>5.83740142514648</v>
      </c>
      <c r="N837" s="13" t="n">
        <f aca="false">Path!N4*1</f>
        <v>5.42878332538623</v>
      </c>
      <c r="O837" s="13" t="n">
        <f aca="false">Path!O4*1</f>
        <v>5.15734415911692</v>
      </c>
      <c r="P837" s="13" t="n">
        <f aca="false">Path!P4*1</f>
        <v>4.89947695116107</v>
      </c>
      <c r="Q837" s="13" t="n">
        <f aca="false">Path!Q4*1</f>
        <v>4.65450310360302</v>
      </c>
      <c r="R837" s="13" t="n">
        <f aca="false">Path!R4*1</f>
        <v>4.42177794842287</v>
      </c>
      <c r="S837" s="13" t="n">
        <f aca="false">Path!S4*1</f>
        <v>4.28912460997018</v>
      </c>
      <c r="T837" s="13" t="n">
        <f aca="false">Path!T4*1</f>
        <v>4.16045087167108</v>
      </c>
      <c r="U837" s="13" t="n">
        <f aca="false">Path!U4*1</f>
        <v>4.03563734552094</v>
      </c>
      <c r="V837" s="13" t="n">
        <f aca="false">Path!V4*1</f>
        <v>3.91456822515532</v>
      </c>
      <c r="W837" s="13" t="n">
        <f aca="false">Path!V4*(1+p10)^(1/4)*1</f>
        <v>3.79144302937821</v>
      </c>
      <c r="X837" s="13" t="n">
        <f aca="false">Path!V4*(1+p10)^(2/4)*1</f>
        <v>3.6721904992345</v>
      </c>
      <c r="Y837" s="13" t="n">
        <f aca="false">Path!V4*(1+p10)^(3/4)*1</f>
        <v>3.55668882749365</v>
      </c>
      <c r="Z837" s="13" t="n">
        <f aca="false">Path!V4*(1+p10)^(4/4)*1</f>
        <v>3.44482003813668</v>
      </c>
      <c r="AB837" s="8" t="s">
        <v>537</v>
      </c>
    </row>
    <row r="838" customFormat="false" ht="17.15" hidden="false" customHeight="false" outlineLevel="0" collapsed="false">
      <c r="A838" s="5" t="s">
        <v>538</v>
      </c>
      <c r="B838" s="0" t="s">
        <v>222</v>
      </c>
      <c r="C838" s="10" t="n">
        <f aca="false">D823/4*(D823/C823)^((1-2.5)/4)/(((D823/C823)^(-0.375)+(D823/C823)^(-0.125)+(D823/C823)^(0.125)+(D823/C823)^(0.375))/4)</f>
        <v>239.477872684002</v>
      </c>
      <c r="D838" s="10" t="n">
        <f aca="false">D823/4*(D823/C823)^((2-2.5)/4)/(((D823/C823)^(-0.375)+(D823/C823)^(-0.125)+(D823/C823)^(0.125)+(D823/C823)^(0.375))/4)</f>
        <v>246.359830864633</v>
      </c>
      <c r="E838" s="10" t="n">
        <f aca="false">D823/4*(D823/C823)^((3-2.5)/4)/(((D823/C823)^(-0.375)+(D823/C823)^(-0.125)+(D823/C823)^(0.125)+(D823/C823)^(0.375))/4)</f>
        <v>253.439558249863</v>
      </c>
      <c r="F838" s="10" t="n">
        <f aca="false">D823/4*(D823/C823)^((4-2.5)/4)/(((D823/C823)^(-0.375)+(D823/C823)^(-0.125)+(D823/C823)^(0.125)+(D823/C823)^(0.375))/4)</f>
        <v>260.722738201501</v>
      </c>
      <c r="G838" s="10" t="n">
        <f aca="false">E823/4*(E823/D823)^((1-2.5)/4)/(((E823/D823)^(-0.375)+(E823/D823)^(-0.125)+(E823/D823)^(0.125)+(E823/D823)^(0.375))/4)</f>
        <v>281.231934694683</v>
      </c>
      <c r="H838" s="10" t="n">
        <f aca="false">E823/4*(E823/D823)^((2-2.5)/4)/(((E823/D823)^(-0.375)+(E823/D823)^(-0.125)+(E823/D823)^(0.125)+(E823/D823)^(0.375))/4)</f>
        <v>294.958541495794</v>
      </c>
      <c r="I838" s="10" t="n">
        <f aca="false">E823/4*(E823/D823)^((3-2.5)/4)/(((E823/D823)^(-0.375)+(E823/D823)^(-0.125)+(E823/D823)^(0.125)+(E823/D823)^(0.375))/4)</f>
        <v>309.355128164151</v>
      </c>
      <c r="J838" s="10" t="n">
        <f aca="false">E823/4*(E823/D823)^((4-2.5)/4)/(((E823/D823)^(-0.375)+(E823/D823)^(-0.125)+(E823/D823)^(0.125)+(E823/D823)^(0.375))/4)</f>
        <v>324.454395645373</v>
      </c>
      <c r="K838" s="10" t="n">
        <f aca="false">F823/4*(F823/E823)^((1-2.5)/4)/(((F823/E823)^(-0.375)+(F823/E823)^(-0.125)+(F823/E823)^(0.125)+(F823/E823)^(0.375))/4)</f>
        <v>347.096143815413</v>
      </c>
      <c r="L838" s="10" t="n">
        <f aca="false">F823/4*(F823/E823)^((2-2.5)/4)/(((F823/E823)^(-0.375)+(F823/E823)^(-0.125)+(F823/E823)^(0.125)+(F823/E823)^(0.375))/4)</f>
        <v>367.009488121451</v>
      </c>
      <c r="M838" s="10" t="n">
        <f aca="false">F823/4*(F823/E823)^((3-2.5)/4)/(((F823/E823)^(-0.375)+(F823/E823)^(-0.125)+(F823/E823)^(0.125)+(F823/E823)^(0.375))/4)</f>
        <v>388.065286149653</v>
      </c>
      <c r="N838" s="10" t="n">
        <f aca="false">F823/4*(F823/E823)^((4-2.5)/4)/(((F823/E823)^(-0.375)+(F823/E823)^(-0.125)+(F823/E823)^(0.125)+(F823/E823)^(0.375))/4)</f>
        <v>410.329081913483</v>
      </c>
      <c r="O838" s="10" t="n">
        <f aca="false">G823/4*(G823/F823)^((1-2.5)/4)/(((G823/F823)^(-0.375)+(G823/F823)^(-0.125)+(G823/F823)^(0.125)+(G823/F823)^(0.375))/4)</f>
        <v>433.870179769266</v>
      </c>
      <c r="P838" s="10" t="n">
        <f aca="false">G823/4*(G823/F823)^((2-2.5)/4)/(((G823/F823)^(-0.375)+(G823/F823)^(-0.125)+(G823/F823)^(0.125)+(G823/F823)^(0.375))/4)</f>
        <v>458.761860151814</v>
      </c>
      <c r="Q838" s="10" t="n">
        <f aca="false">G823/4*(G823/F823)^((3-2.5)/4)/(((G823/F823)^(-0.375)+(G823/F823)^(-0.125)+(G823/F823)^(0.125)+(G823/F823)^(0.375))/4)</f>
        <v>485.081607687067</v>
      </c>
      <c r="R838" s="10" t="n">
        <f aca="false">G823/4*(G823/F823)^((4-2.5)/4)/(((G823/F823)^(-0.375)+(G823/F823)^(-0.125)+(G823/F823)^(0.125)+(G823/F823)^(0.375))/4)</f>
        <v>512.911352391854</v>
      </c>
      <c r="S838" s="10" t="n">
        <f aca="false">H823/4*(H823/G823)^((1-2.5)/4)/(((H823/G823)^(-0.375)+(H823/G823)^(-0.125)+(H823/G823)^(0.125)+(H823/G823)^(0.375))/4)</f>
        <v>534.379419998991</v>
      </c>
      <c r="T838" s="10" t="n">
        <f aca="false">H823/4*(H823/G823)^((2-2.5)/4)/(((H823/G823)^(-0.375)+(H823/G823)^(-0.125)+(H823/G823)^(0.125)+(H823/G823)^(0.375))/4)</f>
        <v>561.616271458278</v>
      </c>
      <c r="U838" s="10" t="n">
        <f aca="false">H823/4*(H823/G823)^((3-2.5)/4)/(((H823/G823)^(-0.375)+(H823/G823)^(-0.125)+(H823/G823)^(0.125)+(H823/G823)^(0.375))/4)</f>
        <v>590.241361404399</v>
      </c>
      <c r="V838" s="10" t="n">
        <f aca="false">H823/4*(H823/G823)^((4-2.5)/4)/(((H823/G823)^(-0.375)+(H823/G823)^(-0.125)+(H823/G823)^(0.125)+(H823/G823)^(0.375))/4)</f>
        <v>620.325447138332</v>
      </c>
      <c r="W838" s="10" t="n">
        <f aca="false">I823/4*(I823/H823)^((1-2.5)/4)/(((I823/H823)^(-0.375)+(I823/H823)^(-0.125)+(I823/H823)^(0.125)+(I823/H823)^(0.375))/4)</f>
        <v>631.995013700511</v>
      </c>
      <c r="X838" s="10" t="n">
        <f aca="false">I823/4*(I823/H823)^((2-2.5)/4)/(((I823/H823)^(-0.375)+(I823/H823)^(-0.125)+(I823/H823)^(0.125)+(I823/H823)^(0.375))/4)</f>
        <v>655.821552208249</v>
      </c>
      <c r="Y838" s="10" t="n">
        <f aca="false">I823/4*(I823/H823)^((3-2.5)/4)/(((I823/H823)^(-0.375)+(I823/H823)^(-0.125)+(I823/H823)^(0.125)+(I823/H823)^(0.375))/4)</f>
        <v>680.546363526616</v>
      </c>
      <c r="Z838" s="10" t="n">
        <f aca="false">I823/4*(I823/H823)^((4-2.5)/4)/(((I823/H823)^(-0.375)+(I823/H823)^(-0.125)+(I823/H823)^(0.125)+(I823/H823)^(0.375))/4)</f>
        <v>706.203313004625</v>
      </c>
      <c r="AB838" s="5" t="s">
        <v>539</v>
      </c>
    </row>
    <row r="839" customFormat="false" ht="17.15" hidden="false" customHeight="false" outlineLevel="0" collapsed="false">
      <c r="A839" s="0" t="s">
        <v>540</v>
      </c>
      <c r="B839" s="0" t="s">
        <v>285</v>
      </c>
      <c r="C839" s="10" t="n">
        <f aca="false">(rv_ss_0+rv_sk_0+rv_mu_0+rv_kx_0+rv_sd_0)/t5_0</f>
        <v>12.9354838709677</v>
      </c>
      <c r="D839" s="10" t="n">
        <f aca="false">(rv_ss_1+rv_sk_1+rv_mu_1+rv_kx_1+rv_sd_1)/t5_1</f>
        <v>15.8054711246201</v>
      </c>
      <c r="E839" s="10" t="n">
        <f aca="false">(rv_ss_2+rv_sk_2+rv_mu_2+rv_kx_2+rv_sd_2)/t5_2</f>
        <v>18.7912087912088</v>
      </c>
      <c r="F839" s="10" t="n">
        <f aca="false">(rv_ss_3+rv_sk_3+rv_mu_3+rv_kx_3+rv_sd_3)/t5_3</f>
        <v>23.5714285714286</v>
      </c>
      <c r="G839" s="10" t="n">
        <f aca="false">(rv_ss_4+rv_sk_4+rv_mu_4+rv_kx_4+rv_sd_4)/t5_4</f>
        <v>43.954802259887</v>
      </c>
      <c r="H839" s="10" t="n">
        <f aca="false">(rv_ss_5+rv_sk_5+rv_mu_5+rv_kx_5+rv_sd_5)/t5_5</f>
        <v>78.703071672355</v>
      </c>
      <c r="I839" s="10" t="n">
        <f aca="false">$H839*I837/$H837*I838/$H838</f>
        <v>103.180597435169</v>
      </c>
      <c r="J839" s="10" t="n">
        <f aca="false">$H839*J837/$H837*J838/$H838</f>
        <v>116.982278156997</v>
      </c>
      <c r="K839" s="10" t="n">
        <f aca="false">$H839*K837/$H837*K838/$H838</f>
        <v>128.900150941515</v>
      </c>
      <c r="L839" s="10" t="n">
        <f aca="false">$H839*L837/$H837*L838/$H838</f>
        <v>136.295315458709</v>
      </c>
      <c r="M839" s="10" t="n">
        <f aca="false">$H839*M837/$H837*M838/$H838</f>
        <v>136.909012412225</v>
      </c>
      <c r="N839" s="10" t="n">
        <f aca="false">$H839*N837/$H837*N838/$H838</f>
        <v>134.630199550565</v>
      </c>
      <c r="O839" s="10" t="n">
        <f aca="false">$H839*O837/$H837*O838/$H838</f>
        <v>135.236398986234</v>
      </c>
      <c r="P839" s="10" t="n">
        <f aca="false">$H839*P837/$H837*P838/$H838</f>
        <v>135.845327956265</v>
      </c>
      <c r="Q839" s="10" t="n">
        <f aca="false">$H839*Q837/$H837*Q838/$H838</f>
        <v>136.456998750933</v>
      </c>
      <c r="R839" s="10" t="n">
        <f aca="false">$H839*R837/$H837*R838/$H838</f>
        <v>137.071423715852</v>
      </c>
      <c r="S839" s="10" t="n">
        <f aca="false">$H839*S837/$H837*S838/$H838</f>
        <v>138.524333952196</v>
      </c>
      <c r="T839" s="10" t="n">
        <f aca="false">$H839*T837/$H837*T838/$H838</f>
        <v>141.217254104587</v>
      </c>
      <c r="U839" s="10" t="n">
        <f aca="false">$H839*U837/$H837*U838/$H838</f>
        <v>143.962524762772</v>
      </c>
      <c r="V839" s="10" t="n">
        <f aca="false">$H839*V837/$H837*V838/$H838</f>
        <v>146.761163623267</v>
      </c>
      <c r="W839" s="10" t="n">
        <f aca="false">$H839*W837/$H837*W838/$H838</f>
        <v>144.819108303929</v>
      </c>
      <c r="X839" s="10" t="n">
        <f aca="false">$H839*X837/$H837*X838/$H838</f>
        <v>145.552131604924</v>
      </c>
      <c r="Y839" s="10" t="n">
        <f aca="false">$H839*Y837/$H837*Y838/$H838</f>
        <v>146.288865211596</v>
      </c>
      <c r="Z839" s="10" t="n">
        <f aca="false">$H839*Z837/$H837*Z838/$H838</f>
        <v>147.029327904206</v>
      </c>
      <c r="AB839" s="5" t="s">
        <v>541</v>
      </c>
    </row>
    <row r="840" customFormat="false" ht="17.15" hidden="false" customHeight="false" outlineLevel="0" collapsed="false">
      <c r="A840" s="5" t="s">
        <v>454</v>
      </c>
      <c r="B840" s="0" t="s">
        <v>25</v>
      </c>
      <c r="C840" s="12" t="n">
        <f aca="false">rv_ss_0/C839</f>
        <v>0.324688279301746</v>
      </c>
      <c r="D840" s="12" t="n">
        <f aca="false">rv_ss_1/D839</f>
        <v>0.329</v>
      </c>
      <c r="E840" s="12" t="n">
        <f aca="false">rv_ss_2/E839</f>
        <v>0.319298245614035</v>
      </c>
      <c r="F840" s="12" t="n">
        <f aca="false">rv_ss_3/F839</f>
        <v>0.28</v>
      </c>
      <c r="G840" s="12" t="n">
        <f aca="false">rv_ss_4/G839</f>
        <v>0.30736118251928</v>
      </c>
      <c r="H840" s="12" t="n">
        <f aca="false">rv_ss_5/H839</f>
        <v>0.293</v>
      </c>
      <c r="I840" s="12" t="n">
        <f aca="false">(rv_ss_4+rv_ss_5)/($G839+$H839)</f>
        <v>0.298146371102126</v>
      </c>
      <c r="J840" s="12" t="n">
        <f aca="false">(rv_ss_4+rv_ss_5)/($G839+$H839)</f>
        <v>0.298146371102126</v>
      </c>
      <c r="K840" s="12" t="n">
        <f aca="false">(rv_ss_4+rv_ss_5)/($G839+$H839)+dr_ss/100*1</f>
        <v>0.293146371102126</v>
      </c>
      <c r="L840" s="12" t="n">
        <f aca="false">(rv_ss_4+rv_ss_5)/($G839+$H839)+dr_ss/100*1</f>
        <v>0.293146371102126</v>
      </c>
      <c r="M840" s="12" t="n">
        <f aca="false">(rv_ss_4+rv_ss_5)/($G839+$H839)+dr_ss/100*1</f>
        <v>0.293146371102126</v>
      </c>
      <c r="N840" s="12" t="n">
        <f aca="false">(rv_ss_4+rv_ss_5)/($G839+$H839)+dr_ss/100*1</f>
        <v>0.293146371102126</v>
      </c>
      <c r="O840" s="12" t="n">
        <f aca="false">(rv_ss_4+rv_ss_5)/($G839+$H839)+dr_ss/100*2</f>
        <v>0.288146371102126</v>
      </c>
      <c r="P840" s="12" t="n">
        <f aca="false">(rv_ss_4+rv_ss_5)/($G839+$H839)+dr_ss/100*2</f>
        <v>0.288146371102126</v>
      </c>
      <c r="Q840" s="12" t="n">
        <f aca="false">(rv_ss_4+rv_ss_5)/($G839+$H839)+dr_ss/100*2</f>
        <v>0.288146371102126</v>
      </c>
      <c r="R840" s="12" t="n">
        <f aca="false">(rv_ss_4+rv_ss_5)/($G839+$H839)+dr_ss/100*2</f>
        <v>0.288146371102126</v>
      </c>
      <c r="S840" s="12" t="n">
        <f aca="false">(rv_ss_4+rv_ss_5)/($G839+$H839)+dr_ss/100*3</f>
        <v>0.283146371102126</v>
      </c>
      <c r="T840" s="12" t="n">
        <f aca="false">(rv_ss_4+rv_ss_5)/($G839+$H839)+dr_ss/100*3</f>
        <v>0.283146371102126</v>
      </c>
      <c r="U840" s="12" t="n">
        <f aca="false">(rv_ss_4+rv_ss_5)/($G839+$H839)+dr_ss/100*3</f>
        <v>0.283146371102126</v>
      </c>
      <c r="V840" s="12" t="n">
        <f aca="false">(rv_ss_4+rv_ss_5)/($G839+$H839)+dr_ss/100*3</f>
        <v>0.283146371102126</v>
      </c>
      <c r="W840" s="12" t="n">
        <f aca="false">(rv_ss_4+rv_ss_5)/($G839+$H839)+dr_ss/100*4</f>
        <v>0.278146371102126</v>
      </c>
      <c r="X840" s="12" t="n">
        <f aca="false">(rv_ss_4+rv_ss_5)/($G839+$H839)+dr_ss/100*4</f>
        <v>0.278146371102126</v>
      </c>
      <c r="Y840" s="12" t="n">
        <f aca="false">(rv_ss_4+rv_ss_5)/($G839+$H839)+dr_ss/100*4</f>
        <v>0.278146371102126</v>
      </c>
      <c r="Z840" s="12" t="n">
        <f aca="false">(rv_ss_4+rv_ss_5)/($G839+$H839)+dr_ss/100*4</f>
        <v>0.278146371102126</v>
      </c>
      <c r="AB840" s="8" t="s">
        <v>542</v>
      </c>
    </row>
    <row r="841" customFormat="false" ht="17.15" hidden="false" customHeight="false" outlineLevel="0" collapsed="false">
      <c r="A841" s="5" t="s">
        <v>455</v>
      </c>
      <c r="B841" s="0" t="s">
        <v>25</v>
      </c>
      <c r="C841" s="12" t="n">
        <f aca="false">rv_sk_0/C839</f>
        <v>0.16930174563591</v>
      </c>
      <c r="D841" s="12" t="n">
        <f aca="false">rv_sk_1/D839</f>
        <v>0.211319230769231</v>
      </c>
      <c r="E841" s="12" t="n">
        <f aca="false">rv_sk_2/E839</f>
        <v>0.187853801169591</v>
      </c>
      <c r="F841" s="12" t="n">
        <f aca="false">rv_sk_3/F839</f>
        <v>0.221030303030303</v>
      </c>
      <c r="G841" s="12" t="n">
        <f aca="false">rv_sk_4/G839</f>
        <v>0.17131233933162</v>
      </c>
      <c r="H841" s="12" t="n">
        <f aca="false">rv_sk_5/H839</f>
        <v>0.181314397224631</v>
      </c>
      <c r="I841" s="12" t="n">
        <f aca="false">(rv_sk_4+rv_sk_5)/($G839+$H839)</f>
        <v>0.177730130982399</v>
      </c>
      <c r="J841" s="12" t="n">
        <f aca="false">(rv_sk_4+rv_sk_5)/($G839+$H839)</f>
        <v>0.177730130982399</v>
      </c>
      <c r="K841" s="12" t="n">
        <f aca="false">(rv_sk_4+rv_sk_5)/($G839+$H839)+dr_sk/100*1</f>
        <v>0.177730130982399</v>
      </c>
      <c r="L841" s="12" t="n">
        <f aca="false">(rv_sk_4+rv_sk_5)/($G839+$H839)+dr_sk/100*1</f>
        <v>0.177730130982399</v>
      </c>
      <c r="M841" s="12" t="n">
        <f aca="false">(rv_sk_4+rv_sk_5)/($G839+$H839)+dr_sk/100*1</f>
        <v>0.177730130982399</v>
      </c>
      <c r="N841" s="12" t="n">
        <f aca="false">(rv_sk_4+rv_sk_5)/($G839+$H839)+dr_sk/100*1</f>
        <v>0.177730130982399</v>
      </c>
      <c r="O841" s="12" t="n">
        <f aca="false">(rv_sk_4+rv_sk_5)/($G839+$H839)+dr_sk/100*2</f>
        <v>0.177730130982399</v>
      </c>
      <c r="P841" s="12" t="n">
        <f aca="false">(rv_sk_4+rv_sk_5)/($G839+$H839)+dr_sk/100*2</f>
        <v>0.177730130982399</v>
      </c>
      <c r="Q841" s="12" t="n">
        <f aca="false">(rv_sk_4+rv_sk_5)/($G839+$H839)+dr_sk/100*2</f>
        <v>0.177730130982399</v>
      </c>
      <c r="R841" s="12" t="n">
        <f aca="false">(rv_sk_4+rv_sk_5)/($G839+$H839)+dr_sk/100*2</f>
        <v>0.177730130982399</v>
      </c>
      <c r="S841" s="12" t="n">
        <f aca="false">(rv_sk_4+rv_sk_5)/($G839+$H839)+dr_sk/100*3</f>
        <v>0.177730130982399</v>
      </c>
      <c r="T841" s="12" t="n">
        <f aca="false">(rv_sk_4+rv_sk_5)/($G839+$H839)+dr_sk/100*3</f>
        <v>0.177730130982399</v>
      </c>
      <c r="U841" s="12" t="n">
        <f aca="false">(rv_sk_4+rv_sk_5)/($G839+$H839)+dr_sk/100*3</f>
        <v>0.177730130982399</v>
      </c>
      <c r="V841" s="12" t="n">
        <f aca="false">(rv_sk_4+rv_sk_5)/($G839+$H839)+dr_sk/100*3</f>
        <v>0.177730130982399</v>
      </c>
      <c r="W841" s="12" t="n">
        <f aca="false">(rv_sk_4+rv_sk_5)/($G839+$H839)+dr_sk/100*4</f>
        <v>0.177730130982399</v>
      </c>
      <c r="X841" s="12" t="n">
        <f aca="false">(rv_sk_4+rv_sk_5)/($G839+$H839)+dr_sk/100*4</f>
        <v>0.177730130982399</v>
      </c>
      <c r="Y841" s="12" t="n">
        <f aca="false">(rv_sk_4+rv_sk_5)/($G839+$H839)+dr_sk/100*4</f>
        <v>0.177730130982399</v>
      </c>
      <c r="Z841" s="12" t="n">
        <f aca="false">(rv_sk_4+rv_sk_5)/($G839+$H839)+dr_sk/100*4</f>
        <v>0.177730130982399</v>
      </c>
      <c r="AB841" s="8" t="s">
        <v>542</v>
      </c>
    </row>
    <row r="842" customFormat="false" ht="17.15" hidden="false" customHeight="false" outlineLevel="0" collapsed="false">
      <c r="A842" s="5" t="s">
        <v>456</v>
      </c>
      <c r="B842" s="0" t="s">
        <v>25</v>
      </c>
      <c r="C842" s="12" t="n">
        <f aca="false">rv_mu_0/C839</f>
        <v>0.156932668329177</v>
      </c>
      <c r="D842" s="12" t="n">
        <f aca="false">rv_mu_1/D839</f>
        <v>0.132865384615385</v>
      </c>
      <c r="E842" s="12" t="n">
        <f aca="false">rv_mu_2/E839</f>
        <v>0.128783625730994</v>
      </c>
      <c r="F842" s="12" t="n">
        <f aca="false">rv_mu_3/F839</f>
        <v>0.128545454545455</v>
      </c>
      <c r="G842" s="12" t="n">
        <f aca="false">rv_mu_4/G839</f>
        <v>0.135366323907455</v>
      </c>
      <c r="H842" s="12" t="n">
        <f aca="false">rv_mu_5/H839</f>
        <v>0.150565915004337</v>
      </c>
      <c r="I842" s="12" t="n">
        <f aca="false">(rv_mu_4+rv_mu_5)/($G839+$H839)</f>
        <v>0.14511909777462</v>
      </c>
      <c r="J842" s="12" t="n">
        <f aca="false">(rv_mu_4+rv_mu_5)/($G839+$H839)</f>
        <v>0.14511909777462</v>
      </c>
      <c r="K842" s="12" t="n">
        <f aca="false">(rv_mu_4+rv_mu_5)/($G839+$H839)+dr_mu/100*1</f>
        <v>0.14711909777462</v>
      </c>
      <c r="L842" s="12" t="n">
        <f aca="false">(rv_mu_4+rv_mu_5)/($G839+$H839)+dr_mu/100*1</f>
        <v>0.14711909777462</v>
      </c>
      <c r="M842" s="12" t="n">
        <f aca="false">(rv_mu_4+rv_mu_5)/($G839+$H839)+dr_mu/100*1</f>
        <v>0.14711909777462</v>
      </c>
      <c r="N842" s="12" t="n">
        <f aca="false">(rv_mu_4+rv_mu_5)/($G839+$H839)+dr_mu/100*1</f>
        <v>0.14711909777462</v>
      </c>
      <c r="O842" s="12" t="n">
        <f aca="false">(rv_mu_4+rv_mu_5)/($G839+$H839)+dr_mu/100*2</f>
        <v>0.14911909777462</v>
      </c>
      <c r="P842" s="12" t="n">
        <f aca="false">(rv_mu_4+rv_mu_5)/($G839+$H839)+dr_mu/100*2</f>
        <v>0.14911909777462</v>
      </c>
      <c r="Q842" s="12" t="n">
        <f aca="false">(rv_mu_4+rv_mu_5)/($G839+$H839)+dr_mu/100*2</f>
        <v>0.14911909777462</v>
      </c>
      <c r="R842" s="12" t="n">
        <f aca="false">(rv_mu_4+rv_mu_5)/($G839+$H839)+dr_mu/100*2</f>
        <v>0.14911909777462</v>
      </c>
      <c r="S842" s="12" t="n">
        <f aca="false">(rv_mu_4+rv_mu_5)/($G839+$H839)+dr_mu/100*3</f>
        <v>0.15111909777462</v>
      </c>
      <c r="T842" s="12" t="n">
        <f aca="false">(rv_mu_4+rv_mu_5)/($G839+$H839)+dr_mu/100*3</f>
        <v>0.15111909777462</v>
      </c>
      <c r="U842" s="12" t="n">
        <f aca="false">(rv_mu_4+rv_mu_5)/($G839+$H839)+dr_mu/100*3</f>
        <v>0.15111909777462</v>
      </c>
      <c r="V842" s="12" t="n">
        <f aca="false">(rv_mu_4+rv_mu_5)/($G839+$H839)+dr_mu/100*3</f>
        <v>0.15111909777462</v>
      </c>
      <c r="W842" s="12" t="n">
        <f aca="false">(rv_mu_4+rv_mu_5)/($G839+$H839)+dr_mu/100*4</f>
        <v>0.15311909777462</v>
      </c>
      <c r="X842" s="12" t="n">
        <f aca="false">(rv_mu_4+rv_mu_5)/($G839+$H839)+dr_mu/100*4</f>
        <v>0.15311909777462</v>
      </c>
      <c r="Y842" s="12" t="n">
        <f aca="false">(rv_mu_4+rv_mu_5)/($G839+$H839)+dr_mu/100*4</f>
        <v>0.15311909777462</v>
      </c>
      <c r="Z842" s="12" t="n">
        <f aca="false">(rv_mu_4+rv_mu_5)/($G839+$H839)+dr_mu/100*4</f>
        <v>0.15311909777462</v>
      </c>
      <c r="AB842" s="8" t="s">
        <v>542</v>
      </c>
    </row>
    <row r="843" customFormat="false" ht="17.15" hidden="false" customHeight="false" outlineLevel="0" collapsed="false">
      <c r="A843" s="5" t="s">
        <v>457</v>
      </c>
      <c r="B843" s="0" t="s">
        <v>25</v>
      </c>
      <c r="C843" s="12" t="n">
        <f aca="false">rv_kx_0/C839</f>
        <v>0.148428927680798</v>
      </c>
      <c r="D843" s="12" t="n">
        <f aca="false">rv_kx_1/D839</f>
        <v>0.135396153846154</v>
      </c>
      <c r="E843" s="12" t="n">
        <f aca="false">rv_kx_2/E839</f>
        <v>0.151134502923977</v>
      </c>
      <c r="F843" s="12" t="n">
        <f aca="false">rv_kx_3/F839</f>
        <v>0.140424242424242</v>
      </c>
      <c r="G843" s="12" t="n">
        <f aca="false">rv_kx_4/G839</f>
        <v>0.13559383033419</v>
      </c>
      <c r="H843" s="12" t="n">
        <f aca="false">rv_kx_5/H839</f>
        <v>0.136208152645273</v>
      </c>
      <c r="I843" s="12" t="n">
        <f aca="false">kx_g/kx_fxg/kx_k/$I839</f>
        <v>0.144904344872829</v>
      </c>
      <c r="J843" s="12" t="n">
        <f aca="false">(kx_g/kx_fxg/kx_k/$I839+kx_g4/kx_fxg4/kx_k/$J839)/2</f>
        <v>0.138512987387224</v>
      </c>
      <c r="K843" s="12" t="n">
        <f aca="false">(kx_g/kx_fxg/kx_k/$I839+kx_g4/kx_fxg4/kx_k/$J839)/2+dr_jv_C/100*1*(kx_g/kx_fxg/kx_k)/(kx_g/kx_fxg/kx_k+sd_g/sd_k)</f>
        <v>0.135061152622043</v>
      </c>
      <c r="L843" s="12" t="n">
        <f aca="false">(kx_g/kx_fxg/kx_k/$I839+kx_g4/kx_fxg4/kx_k/$J839)/2+dr_jv_C/100*1*(kx_g/kx_fxg/kx_k)/(kx_g/kx_fxg/kx_k+sd_g/sd_k)</f>
        <v>0.135061152622043</v>
      </c>
      <c r="M843" s="12" t="n">
        <f aca="false">(kx_g/kx_fxg/kx_k/$I839+kx_g4/kx_fxg4/kx_k/$J839)/2+dr_jv_C/100*1*(kx_g/kx_fxg/kx_k)/(kx_g/kx_fxg/kx_k+sd_g/sd_k)</f>
        <v>0.135061152622043</v>
      </c>
      <c r="N843" s="12" t="n">
        <f aca="false">(kx_g/kx_fxg/kx_k/$I839+kx_g4/kx_fxg4/kx_k/$J839)/2+dr_jv_C/100*1*(kx_g/kx_fxg/kx_k)/(kx_g/kx_fxg/kx_k+sd_g/sd_k)</f>
        <v>0.135061152622043</v>
      </c>
      <c r="O843" s="12" t="n">
        <f aca="false">(kx_g/kx_fxg/kx_k/$I839+kx_g4/kx_fxg4/kx_k/$J839)/2+dr_jv_C/100*2*(kx_g/kx_fxg/kx_k)/(kx_g/kx_fxg/kx_k+sd_g/sd_k)</f>
        <v>0.131609317856862</v>
      </c>
      <c r="P843" s="12" t="n">
        <f aca="false">(kx_g/kx_fxg/kx_k/$I839+kx_g4/kx_fxg4/kx_k/$J839)/2+dr_jv_C/100*2*(kx_g/kx_fxg/kx_k)/(kx_g/kx_fxg/kx_k+sd_g/sd_k)</f>
        <v>0.131609317856862</v>
      </c>
      <c r="Q843" s="12" t="n">
        <f aca="false">(kx_g/kx_fxg/kx_k/$I839+kx_g4/kx_fxg4/kx_k/$J839)/2+dr_jv_C/100*2*(kx_g/kx_fxg/kx_k)/(kx_g/kx_fxg/kx_k+sd_g/sd_k)</f>
        <v>0.131609317856862</v>
      </c>
      <c r="R843" s="12" t="n">
        <f aca="false">(kx_g/kx_fxg/kx_k/$I839+kx_g4/kx_fxg4/kx_k/$J839)/2+dr_jv_C/100*2*(kx_g/kx_fxg/kx_k)/(kx_g/kx_fxg/kx_k+sd_g/sd_k)</f>
        <v>0.131609317856862</v>
      </c>
      <c r="S843" s="12" t="n">
        <f aca="false">(kx_g/kx_fxg/kx_k/$I839+kx_g4/kx_fxg4/kx_k/$J839)/2+dr_jv_C/100*3*(kx_g/kx_fxg/kx_k)/(kx_g/kx_fxg/kx_k+sd_g/sd_k)</f>
        <v>0.128157483091682</v>
      </c>
      <c r="T843" s="12" t="n">
        <f aca="false">(kx_g/kx_fxg/kx_k/$I839+kx_g4/kx_fxg4/kx_k/$J839)/2+dr_jv_C/100*3*(kx_g/kx_fxg/kx_k)/(kx_g/kx_fxg/kx_k+sd_g/sd_k)</f>
        <v>0.128157483091682</v>
      </c>
      <c r="U843" s="12" t="n">
        <f aca="false">(kx_g/kx_fxg/kx_k/$I839+kx_g4/kx_fxg4/kx_k/$J839)/2+dr_jv_C/100*3*(kx_g/kx_fxg/kx_k)/(kx_g/kx_fxg/kx_k+sd_g/sd_k)</f>
        <v>0.128157483091682</v>
      </c>
      <c r="V843" s="12" t="n">
        <f aca="false">(kx_g/kx_fxg/kx_k/$I839+kx_g4/kx_fxg4/kx_k/$J839)/2+dr_jv_C/100*3*(kx_g/kx_fxg/kx_k)/(kx_g/kx_fxg/kx_k+sd_g/sd_k)</f>
        <v>0.128157483091682</v>
      </c>
      <c r="W843" s="12" t="n">
        <f aca="false">(kx_g/kx_fxg/kx_k/$I839+kx_g4/kx_fxg4/kx_k/$J839)/2+dr_jv_C/100*4*(kx_g/kx_fxg/kx_k)/(kx_g/kx_fxg/kx_k+sd_g/sd_k)</f>
        <v>0.124705648326501</v>
      </c>
      <c r="X843" s="12" t="n">
        <f aca="false">(kx_g/kx_fxg/kx_k/$I839+kx_g4/kx_fxg4/kx_k/$J839)/2+dr_jv_C/100*4*(kx_g/kx_fxg/kx_k)/(kx_g/kx_fxg/kx_k+sd_g/sd_k)</f>
        <v>0.124705648326501</v>
      </c>
      <c r="Y843" s="12" t="n">
        <f aca="false">(kx_g/kx_fxg/kx_k/$I839+kx_g4/kx_fxg4/kx_k/$J839)/2+dr_jv_C/100*4*(kx_g/kx_fxg/kx_k)/(kx_g/kx_fxg/kx_k+sd_g/sd_k)</f>
        <v>0.124705648326501</v>
      </c>
      <c r="Z843" s="12" t="n">
        <f aca="false">(kx_g/kx_fxg/kx_k/$I839+kx_g4/kx_fxg4/kx_k/$J839)/2+dr_jv_C/100*4*(kx_g/kx_fxg/kx_k)/(kx_g/kx_fxg/kx_k+sd_g/sd_k)</f>
        <v>0.124705648326501</v>
      </c>
      <c r="AB843" s="8" t="s">
        <v>543</v>
      </c>
    </row>
    <row r="844" customFormat="false" ht="17.15" hidden="false" customHeight="false" outlineLevel="0" collapsed="false">
      <c r="A844" s="5" t="s">
        <v>458</v>
      </c>
      <c r="B844" s="0" t="s">
        <v>25</v>
      </c>
      <c r="C844" s="12" t="n">
        <f aca="false">rv_sd_0/C839</f>
        <v>0.130648379052369</v>
      </c>
      <c r="D844" s="12" t="n">
        <f aca="false">rv_sd_1/D839</f>
        <v>0.120211538461538</v>
      </c>
      <c r="E844" s="12" t="n">
        <f aca="false">rv_sd_2/E839</f>
        <v>0.122929824561404</v>
      </c>
      <c r="F844" s="12" t="n">
        <f aca="false">rv_sd_3/F839</f>
        <v>0.128545454545455</v>
      </c>
      <c r="G844" s="12" t="n">
        <f aca="false">rv_sd_4/G839</f>
        <v>0.135366323907455</v>
      </c>
      <c r="H844" s="12" t="n">
        <f aca="false">rv_sd_5/H839</f>
        <v>0.113972679965308</v>
      </c>
      <c r="I844" s="12" t="n">
        <f aca="false">sd_g/sd_k/$I839</f>
        <v>0.106969261015561</v>
      </c>
      <c r="J844" s="12" t="n">
        <f aca="false">(sd_g/sd_k/$I839+sd_g4/sd_k/$J839)/2</f>
        <v>0.106513670372059</v>
      </c>
      <c r="K844" s="12" t="n">
        <f aca="false">(sd_g/sd_k/$I839+sd_g4/sd_k/$J839)/2+dr_jv_C/100*1*(sd_g/sd_k)/(kx_g/kx_fxg/kx_k+sd_g/sd_k)</f>
        <v>0.103965505137239</v>
      </c>
      <c r="L844" s="12" t="n">
        <f aca="false">(sd_g/sd_k/$I839+sd_g4/sd_k/$J839)/2+dr_jv_C/100*1*(sd_g/sd_k)/(kx_g/kx_fxg/kx_k+sd_g/sd_k)</f>
        <v>0.103965505137239</v>
      </c>
      <c r="M844" s="12" t="n">
        <f aca="false">(sd_g/sd_k/$I839+sd_g4/sd_k/$J839)/2+dr_jv_C/100*1*(sd_g/sd_k)/(kx_g/kx_fxg/kx_k+sd_g/sd_k)</f>
        <v>0.103965505137239</v>
      </c>
      <c r="N844" s="12" t="n">
        <f aca="false">(sd_g/sd_k/$I839+sd_g4/sd_k/$J839)/2+dr_jv_C/100*1*(sd_g/sd_k)/(kx_g/kx_fxg/kx_k+sd_g/sd_k)</f>
        <v>0.103965505137239</v>
      </c>
      <c r="O844" s="12" t="n">
        <f aca="false">(sd_g/sd_k/$I839+sd_g4/sd_k/$J839)/2+dr_jv_C/100*2*(sd_g/sd_k)/(kx_g/kx_fxg/kx_k+sd_g/sd_k)</f>
        <v>0.10141733990242</v>
      </c>
      <c r="P844" s="12" t="n">
        <f aca="false">(sd_g/sd_k/$I839+sd_g4/sd_k/$J839)/2+dr_jv_C/100*2*(sd_g/sd_k)/(kx_g/kx_fxg/kx_k+sd_g/sd_k)</f>
        <v>0.10141733990242</v>
      </c>
      <c r="Q844" s="12" t="n">
        <f aca="false">(sd_g/sd_k/$I839+sd_g4/sd_k/$J839)/2+dr_jv_C/100*2*(sd_g/sd_k)/(kx_g/kx_fxg/kx_k+sd_g/sd_k)</f>
        <v>0.10141733990242</v>
      </c>
      <c r="R844" s="12" t="n">
        <f aca="false">(sd_g/sd_k/$I839+sd_g4/sd_k/$J839)/2+dr_jv_C/100*2*(sd_g/sd_k)/(kx_g/kx_fxg/kx_k+sd_g/sd_k)</f>
        <v>0.10141733990242</v>
      </c>
      <c r="S844" s="12" t="n">
        <f aca="false">(sd_g/sd_k/$I839+sd_g4/sd_k/$J839)/2+dr_jv_C/100*3*(sd_g/sd_k)/(kx_g/kx_fxg/kx_k+sd_g/sd_k)</f>
        <v>0.0988691746676009</v>
      </c>
      <c r="T844" s="12" t="n">
        <f aca="false">(sd_g/sd_k/$I839+sd_g4/sd_k/$J839)/2+dr_jv_C/100*3*(sd_g/sd_k)/(kx_g/kx_fxg/kx_k+sd_g/sd_k)</f>
        <v>0.0988691746676009</v>
      </c>
      <c r="U844" s="12" t="n">
        <f aca="false">(sd_g/sd_k/$I839+sd_g4/sd_k/$J839)/2+dr_jv_C/100*3*(sd_g/sd_k)/(kx_g/kx_fxg/kx_k+sd_g/sd_k)</f>
        <v>0.0988691746676009</v>
      </c>
      <c r="V844" s="12" t="n">
        <f aca="false">(sd_g/sd_k/$I839+sd_g4/sd_k/$J839)/2+dr_jv_C/100*3*(sd_g/sd_k)/(kx_g/kx_fxg/kx_k+sd_g/sd_k)</f>
        <v>0.0988691746676009</v>
      </c>
      <c r="W844" s="12" t="n">
        <f aca="false">(sd_g/sd_k/$I839+sd_g4/sd_k/$J839)/2+dr_jv_C/100*4*(sd_g/sd_k)/(kx_g/kx_fxg/kx_k+sd_g/sd_k)</f>
        <v>0.0963210094327817</v>
      </c>
      <c r="X844" s="12" t="n">
        <f aca="false">(sd_g/sd_k/$I839+sd_g4/sd_k/$J839)/2+dr_jv_C/100*4*(sd_g/sd_k)/(kx_g/kx_fxg/kx_k+sd_g/sd_k)</f>
        <v>0.0963210094327817</v>
      </c>
      <c r="Y844" s="12" t="n">
        <f aca="false">(sd_g/sd_k/$I839+sd_g4/sd_k/$J839)/2+dr_jv_C/100*4*(sd_g/sd_k)/(kx_g/kx_fxg/kx_k+sd_g/sd_k)</f>
        <v>0.0963210094327817</v>
      </c>
      <c r="Z844" s="12" t="n">
        <f aca="false">(sd_g/sd_k/$I839+sd_g4/sd_k/$J839)/2+dr_jv_C/100*4*(sd_g/sd_k)/(kx_g/kx_fxg/kx_k+sd_g/sd_k)</f>
        <v>0.0963210094327817</v>
      </c>
      <c r="AB844" s="8" t="s">
        <v>544</v>
      </c>
    </row>
    <row r="845" customFormat="false" ht="15" hidden="false" customHeight="false" outlineLevel="0" collapsed="false">
      <c r="A845" s="5" t="s">
        <v>459</v>
      </c>
      <c r="B845" s="0" t="s">
        <v>25</v>
      </c>
      <c r="C845" s="12" t="n">
        <f aca="false">1-t5_0</f>
        <v>0.07</v>
      </c>
      <c r="D845" s="12" t="n">
        <f aca="false">1-t5_1</f>
        <v>0.0712076923076923</v>
      </c>
      <c r="E845" s="12" t="n">
        <f aca="false">1-t5_2</f>
        <v>0.09</v>
      </c>
      <c r="F845" s="12" t="n">
        <f aca="false">1-t5_3</f>
        <v>0.101454545454545</v>
      </c>
      <c r="G845" s="12" t="n">
        <f aca="false">1-t5_4</f>
        <v>0.115</v>
      </c>
      <c r="H845" s="12" t="n">
        <f aca="false">1-t5_5</f>
        <v>0.124938855160451</v>
      </c>
      <c r="I845" s="12" t="n">
        <f aca="false">1-I840-I841-I842-I843-I844</f>
        <v>0.127130794252464</v>
      </c>
      <c r="J845" s="12" t="n">
        <f aca="false">1-J840-J841-J842-J843-J844</f>
        <v>0.133977742381572</v>
      </c>
      <c r="K845" s="12" t="n">
        <f aca="false">1-K840-K841-K842-K843-K844</f>
        <v>0.142977742381572</v>
      </c>
      <c r="L845" s="12" t="n">
        <f aca="false">1-L840-L841-L842-L843-L844</f>
        <v>0.142977742381572</v>
      </c>
      <c r="M845" s="12" t="n">
        <f aca="false">1-M840-M841-M842-M843-M844</f>
        <v>0.142977742381572</v>
      </c>
      <c r="N845" s="12" t="n">
        <f aca="false">1-N840-N841-N842-N843-N844</f>
        <v>0.142977742381572</v>
      </c>
      <c r="O845" s="12" t="n">
        <f aca="false">1-O840-O841-O842-O843-O844</f>
        <v>0.151977742381572</v>
      </c>
      <c r="P845" s="12" t="n">
        <f aca="false">1-P840-P841-P842-P843-P844</f>
        <v>0.151977742381572</v>
      </c>
      <c r="Q845" s="12" t="n">
        <f aca="false">1-Q840-Q841-Q842-Q843-Q844</f>
        <v>0.151977742381572</v>
      </c>
      <c r="R845" s="12" t="n">
        <f aca="false">1-R840-R841-R842-R843-R844</f>
        <v>0.151977742381572</v>
      </c>
      <c r="S845" s="12" t="n">
        <f aca="false">1-S840-S841-S842-S843-S844</f>
        <v>0.160977742381572</v>
      </c>
      <c r="T845" s="12" t="n">
        <f aca="false">1-T840-T841-T842-T843-T844</f>
        <v>0.160977742381572</v>
      </c>
      <c r="U845" s="12" t="n">
        <f aca="false">1-U840-U841-U842-U843-U844</f>
        <v>0.160977742381572</v>
      </c>
      <c r="V845" s="12" t="n">
        <f aca="false">1-V840-V841-V842-V843-V844</f>
        <v>0.160977742381572</v>
      </c>
      <c r="W845" s="12" t="n">
        <f aca="false">1-W840-W841-W842-W843-W844</f>
        <v>0.169977742381572</v>
      </c>
      <c r="X845" s="12" t="n">
        <f aca="false">1-X840-X841-X842-X843-X844</f>
        <v>0.169977742381572</v>
      </c>
      <c r="Y845" s="12" t="n">
        <f aca="false">1-Y840-Y841-Y842-Y843-Y844</f>
        <v>0.169977742381572</v>
      </c>
      <c r="Z845" s="12" t="n">
        <f aca="false">1-Z840-Z841-Z842-Z843-Z844</f>
        <v>0.169977742381572</v>
      </c>
      <c r="AB845" s="5" t="s">
        <v>545</v>
      </c>
    </row>
    <row r="846" customFormat="false" ht="17.15" hidden="false" customHeight="false" outlineLevel="0" collapsed="false">
      <c r="A846" s="5" t="s">
        <v>546</v>
      </c>
      <c r="B846" s="0" t="s">
        <v>285</v>
      </c>
      <c r="C846" s="19" t="n">
        <f aca="false">C839*C840</f>
        <v>4.2</v>
      </c>
      <c r="D846" s="19" t="n">
        <f aca="false">D839*D840</f>
        <v>5.2</v>
      </c>
      <c r="E846" s="19" t="n">
        <f aca="false">E839*E840</f>
        <v>6</v>
      </c>
      <c r="F846" s="19" t="n">
        <f aca="false">F839*F840</f>
        <v>6.6</v>
      </c>
      <c r="G846" s="19" t="n">
        <f aca="false">G839*G840</f>
        <v>13.51</v>
      </c>
      <c r="H846" s="19" t="n">
        <f aca="false">H839*H840</f>
        <v>23.06</v>
      </c>
      <c r="I846" s="19" t="n">
        <f aca="false">I839*I840</f>
        <v>30.7629206934451</v>
      </c>
      <c r="J846" s="19" t="n">
        <f aca="false">J839*J840</f>
        <v>34.877841715768</v>
      </c>
      <c r="K846" s="19" t="n">
        <f aca="false">K839*K840</f>
        <v>37.7866114830214</v>
      </c>
      <c r="L846" s="19" t="n">
        <f aca="false">L839*L840</f>
        <v>39.9544771249401</v>
      </c>
      <c r="M846" s="19" t="n">
        <f aca="false">M839*M840</f>
        <v>40.1343801598198</v>
      </c>
      <c r="N846" s="19" t="n">
        <f aca="false">N839*N840</f>
        <v>39.4663544390031</v>
      </c>
      <c r="O846" s="19" t="n">
        <f aca="false">O839*O840</f>
        <v>38.9678776088025</v>
      </c>
      <c r="P846" s="19" t="n">
        <f aca="false">P839*P840</f>
        <v>39.1433382817759</v>
      </c>
      <c r="Q846" s="19" t="n">
        <f aca="false">Q839*Q840</f>
        <v>39.3195890015687</v>
      </c>
      <c r="R846" s="19" t="n">
        <f aca="false">R839*R840</f>
        <v>39.4966333255248</v>
      </c>
      <c r="S846" s="19" t="n">
        <f aca="false">S839*S840</f>
        <v>39.2226624679034</v>
      </c>
      <c r="T846" s="19" t="n">
        <f aca="false">T839*T840</f>
        <v>39.9851530367208</v>
      </c>
      <c r="U846" s="19" t="n">
        <f aca="false">U839*U840</f>
        <v>40.762466461279</v>
      </c>
      <c r="V846" s="19" t="n">
        <f aca="false">V839*V840</f>
        <v>41.5548908986535</v>
      </c>
      <c r="W846" s="19" t="n">
        <f aca="false">W839*W840</f>
        <v>40.2809094409837</v>
      </c>
      <c r="X846" s="19" t="n">
        <f aca="false">X839*X840</f>
        <v>40.4847972120886</v>
      </c>
      <c r="Y846" s="19" t="n">
        <f aca="false">Y839*Y840</f>
        <v>40.6897169912535</v>
      </c>
      <c r="Z846" s="19" t="n">
        <f aca="false">Z839*Z840</f>
        <v>40.8956740021396</v>
      </c>
    </row>
    <row r="847" customFormat="false" ht="17.15" hidden="false" customHeight="false" outlineLevel="0" collapsed="false">
      <c r="A847" s="0" t="s">
        <v>547</v>
      </c>
      <c r="B847" s="0" t="s">
        <v>285</v>
      </c>
      <c r="C847" s="19" t="n">
        <f aca="false">C839*C841</f>
        <v>2.19</v>
      </c>
      <c r="D847" s="19" t="n">
        <f aca="false">D839*D841</f>
        <v>3.34</v>
      </c>
      <c r="E847" s="19" t="n">
        <f aca="false">E839*E841</f>
        <v>3.53</v>
      </c>
      <c r="F847" s="19" t="n">
        <f aca="false">F839*F841</f>
        <v>5.21</v>
      </c>
      <c r="G847" s="19" t="n">
        <f aca="false">G839*G841</f>
        <v>7.53</v>
      </c>
      <c r="H847" s="19" t="n">
        <f aca="false">H839*H841</f>
        <v>14.27</v>
      </c>
      <c r="I847" s="19" t="n">
        <f aca="false">I839*I841</f>
        <v>18.3383010969949</v>
      </c>
      <c r="J847" s="19" t="n">
        <f aca="false">J839*J841</f>
        <v>20.7912756194625</v>
      </c>
      <c r="K847" s="19" t="n">
        <f aca="false">K839*K841</f>
        <v>22.9094407104865</v>
      </c>
      <c r="L847" s="19" t="n">
        <f aca="false">L839*L841</f>
        <v>24.2237842687638</v>
      </c>
      <c r="M847" s="19" t="n">
        <f aca="false">M839*M841</f>
        <v>24.3328567086957</v>
      </c>
      <c r="N847" s="19" t="n">
        <f aca="false">N839*N841</f>
        <v>23.9278430003084</v>
      </c>
      <c r="O847" s="19" t="n">
        <f aca="false">O839*O841</f>
        <v>24.0355829054114</v>
      </c>
      <c r="P847" s="19" t="n">
        <f aca="false">P839*P841</f>
        <v>24.143807931014</v>
      </c>
      <c r="Q847" s="19" t="n">
        <f aca="false">Q839*Q841</f>
        <v>24.2525202614684</v>
      </c>
      <c r="R847" s="19" t="n">
        <f aca="false">R839*R841</f>
        <v>24.3617220909624</v>
      </c>
      <c r="S847" s="19" t="n">
        <f aca="false">S839*S841</f>
        <v>24.6199480175735</v>
      </c>
      <c r="T847" s="19" t="n">
        <f aca="false">T839*T841</f>
        <v>25.0985610689831</v>
      </c>
      <c r="U847" s="19" t="n">
        <f aca="false">U839*U841</f>
        <v>25.5864783826445</v>
      </c>
      <c r="V847" s="19" t="n">
        <f aca="false">V839*V841</f>
        <v>26.0838808338927</v>
      </c>
      <c r="W847" s="19" t="n">
        <f aca="false">W839*W841</f>
        <v>25.7387190876116</v>
      </c>
      <c r="X847" s="19" t="n">
        <f aca="false">X839*X841</f>
        <v>25.8689994149105</v>
      </c>
      <c r="Y847" s="19" t="n">
        <f aca="false">Y839*Y841</f>
        <v>25.9999391753236</v>
      </c>
      <c r="Z847" s="19" t="n">
        <f aca="false">Z839*Z841</f>
        <v>26.1315417066688</v>
      </c>
    </row>
    <row r="848" customFormat="false" ht="17.15" hidden="false" customHeight="false" outlineLevel="0" collapsed="false">
      <c r="A848" s="5" t="s">
        <v>548</v>
      </c>
      <c r="B848" s="0" t="s">
        <v>285</v>
      </c>
      <c r="C848" s="19" t="n">
        <f aca="false">C839*C842</f>
        <v>2.03</v>
      </c>
      <c r="D848" s="19" t="n">
        <f aca="false">D839*D842</f>
        <v>2.1</v>
      </c>
      <c r="E848" s="19" t="n">
        <f aca="false">E839*E842</f>
        <v>2.42</v>
      </c>
      <c r="F848" s="19" t="n">
        <f aca="false">F839*F842</f>
        <v>3.03</v>
      </c>
      <c r="G848" s="19" t="n">
        <f aca="false">G839*G842</f>
        <v>5.95</v>
      </c>
      <c r="H848" s="19" t="n">
        <f aca="false">H839*H842</f>
        <v>11.85</v>
      </c>
      <c r="I848" s="19" t="n">
        <f aca="false">I839*I842</f>
        <v>14.973475207638</v>
      </c>
      <c r="J848" s="19" t="n">
        <f aca="false">J839*J842</f>
        <v>16.976362661763</v>
      </c>
      <c r="K848" s="19" t="n">
        <f aca="false">K839*K842</f>
        <v>18.963673909528</v>
      </c>
      <c r="L848" s="19" t="n">
        <f aca="false">L839*L842</f>
        <v>20.0516438411925</v>
      </c>
      <c r="M848" s="19" t="n">
        <f aca="false">M839*M842</f>
        <v>20.1419303833008</v>
      </c>
      <c r="N848" s="19" t="n">
        <f aca="false">N839*N842</f>
        <v>19.8066734910961</v>
      </c>
      <c r="O848" s="19" t="n">
        <f aca="false">O839*O842</f>
        <v>20.1663298031157</v>
      </c>
      <c r="P848" s="19" t="n">
        <f aca="false">P839*P842</f>
        <v>20.2571327417356</v>
      </c>
      <c r="Q848" s="19" t="n">
        <f aca="false">Q839*Q842</f>
        <v>20.3483445387715</v>
      </c>
      <c r="R848" s="19" t="n">
        <f aca="false">R839*R842</f>
        <v>20.4399670351905</v>
      </c>
      <c r="S848" s="19" t="n">
        <f aca="false">S839*S842</f>
        <v>20.933672366686</v>
      </c>
      <c r="T848" s="19" t="n">
        <f aca="false">T839*T842</f>
        <v>21.3406240304945</v>
      </c>
      <c r="U848" s="19" t="n">
        <f aca="false">U839*U842</f>
        <v>21.7554868555065</v>
      </c>
      <c r="V848" s="19" t="n">
        <f aca="false">V839*V842</f>
        <v>22.1784146351015</v>
      </c>
      <c r="W848" s="19" t="n">
        <f aca="false">W839*W842</f>
        <v>22.1745712040226</v>
      </c>
      <c r="X848" s="19" t="n">
        <f aca="false">X839*X842</f>
        <v>22.2868110705186</v>
      </c>
      <c r="Y848" s="19" t="n">
        <f aca="false">Y839*Y842</f>
        <v>22.3996190556726</v>
      </c>
      <c r="Z848" s="19" t="n">
        <f aca="false">Z839*Z842</f>
        <v>22.5129980351008</v>
      </c>
    </row>
    <row r="849" customFormat="false" ht="17.15" hidden="false" customHeight="false" outlineLevel="0" collapsed="false">
      <c r="A849" s="0" t="s">
        <v>549</v>
      </c>
      <c r="B849" s="0" t="s">
        <v>285</v>
      </c>
      <c r="C849" s="19" t="n">
        <f aca="false">C839*C843</f>
        <v>1.92</v>
      </c>
      <c r="D849" s="19" t="n">
        <f aca="false">D839*D843</f>
        <v>2.14</v>
      </c>
      <c r="E849" s="19" t="n">
        <f aca="false">E839*E843</f>
        <v>2.84</v>
      </c>
      <c r="F849" s="19" t="n">
        <f aca="false">F839*F843</f>
        <v>3.31</v>
      </c>
      <c r="G849" s="19" t="n">
        <f aca="false">G839*G843</f>
        <v>5.96</v>
      </c>
      <c r="H849" s="19" t="n">
        <f aca="false">H839*H843</f>
        <v>10.72</v>
      </c>
      <c r="I849" s="19" t="n">
        <f aca="false">I839*I843</f>
        <v>14.9513168749304</v>
      </c>
      <c r="J849" s="19" t="n">
        <f aca="false">J839*J843</f>
        <v>16.2035648188888</v>
      </c>
      <c r="K849" s="19" t="n">
        <f aca="false">K839*K843</f>
        <v>17.4094029593164</v>
      </c>
      <c r="L849" s="19" t="n">
        <f aca="false">L839*L843</f>
        <v>18.4082024028382</v>
      </c>
      <c r="M849" s="19" t="n">
        <f aca="false">M839*M843</f>
        <v>18.4910890207408</v>
      </c>
      <c r="N849" s="19" t="n">
        <f aca="false">N839*N843</f>
        <v>18.1833099290349</v>
      </c>
      <c r="O849" s="19" t="n">
        <f aca="false">O839*O843</f>
        <v>17.7983702199967</v>
      </c>
      <c r="P849" s="19" t="n">
        <f aca="false">P839*P843</f>
        <v>17.8785109463658</v>
      </c>
      <c r="Q849" s="19" t="n">
        <f aca="false">Q839*Q843</f>
        <v>17.959012522405</v>
      </c>
      <c r="R849" s="19" t="n">
        <f aca="false">R839*R843</f>
        <v>18.0398765729123</v>
      </c>
      <c r="S849" s="19" t="n">
        <f aca="false">S839*S843</f>
        <v>17.7529299862651</v>
      </c>
      <c r="T849" s="19" t="n">
        <f aca="false">T839*T843</f>
        <v>18.0980478551624</v>
      </c>
      <c r="U849" s="19" t="n">
        <f aca="false">U839*U843</f>
        <v>18.4498748331208</v>
      </c>
      <c r="V849" s="19" t="n">
        <f aca="false">V839*V843</f>
        <v>18.8085413455644</v>
      </c>
      <c r="W849" s="19" t="n">
        <f aca="false">W839*W843</f>
        <v>18.0597607911073</v>
      </c>
      <c r="X849" s="19" t="n">
        <f aca="false">X839*X843</f>
        <v>18.1511729370962</v>
      </c>
      <c r="Y849" s="19" t="n">
        <f aca="false">Y839*Y843</f>
        <v>18.2430477791602</v>
      </c>
      <c r="Z849" s="19" t="n">
        <f aca="false">Z839*Z843</f>
        <v>18.3353876593038</v>
      </c>
    </row>
    <row r="850" customFormat="false" ht="17.15" hidden="false" customHeight="false" outlineLevel="0" collapsed="false">
      <c r="A850" s="0" t="s">
        <v>550</v>
      </c>
      <c r="B850" s="0" t="s">
        <v>285</v>
      </c>
      <c r="C850" s="19" t="n">
        <f aca="false">C839*C844</f>
        <v>1.69</v>
      </c>
      <c r="D850" s="19" t="n">
        <f aca="false">D839*D844</f>
        <v>1.9</v>
      </c>
      <c r="E850" s="19" t="n">
        <f aca="false">E839*E844</f>
        <v>2.31</v>
      </c>
      <c r="F850" s="19" t="n">
        <f aca="false">F839*F844</f>
        <v>3.03</v>
      </c>
      <c r="G850" s="19" t="n">
        <f aca="false">G839*G844</f>
        <v>5.95</v>
      </c>
      <c r="H850" s="19" t="n">
        <f aca="false">H839*H844</f>
        <v>8.97</v>
      </c>
      <c r="I850" s="19" t="n">
        <f aca="false">I839*I844</f>
        <v>11.0371522587842</v>
      </c>
      <c r="J850" s="19" t="n">
        <f aca="false">J839*J844</f>
        <v>12.4602118149868</v>
      </c>
      <c r="K850" s="19" t="n">
        <f aca="false">K839*K844</f>
        <v>13.401169304901</v>
      </c>
      <c r="L850" s="19" t="n">
        <f aca="false">L839*L844</f>
        <v>14.1700113195041</v>
      </c>
      <c r="M850" s="19" t="n">
        <f aca="false">M839*M844</f>
        <v>14.2338146332776</v>
      </c>
      <c r="N850" s="19" t="n">
        <f aca="false">N839*N844</f>
        <v>13.9968967030018</v>
      </c>
      <c r="O850" s="19" t="n">
        <f aca="false">O839*O844</f>
        <v>13.7153158431662</v>
      </c>
      <c r="P850" s="19" t="n">
        <f aca="false">P839*P844</f>
        <v>13.7770717994963</v>
      </c>
      <c r="Q850" s="19" t="n">
        <f aca="false">Q839*Q844</f>
        <v>13.8391058243875</v>
      </c>
      <c r="R850" s="19" t="n">
        <f aca="false">R839*R844</f>
        <v>13.9014191698993</v>
      </c>
      <c r="S850" s="19" t="n">
        <f aca="false">S839*S844</f>
        <v>13.6957865692328</v>
      </c>
      <c r="T850" s="19" t="n">
        <f aca="false">T839*T844</f>
        <v>13.9620333621454</v>
      </c>
      <c r="U850" s="19" t="n">
        <f aca="false">U839*U844</f>
        <v>14.2334560063594</v>
      </c>
      <c r="V850" s="19" t="n">
        <f aca="false">V839*V844</f>
        <v>14.5101551206892</v>
      </c>
      <c r="W850" s="19" t="n">
        <f aca="false">W839*W844</f>
        <v>13.9491226969898</v>
      </c>
      <c r="X850" s="19" t="n">
        <f aca="false">X839*X844</f>
        <v>14.0197282412793</v>
      </c>
      <c r="Y850" s="19" t="n">
        <f aca="false">Y839*Y844</f>
        <v>14.0906911659571</v>
      </c>
      <c r="Z850" s="19" t="n">
        <f aca="false">Z839*Z844</f>
        <v>14.1620132799566</v>
      </c>
    </row>
    <row r="851" customFormat="false" ht="17.15" hidden="false" customHeight="false" outlineLevel="0" collapsed="false">
      <c r="A851" s="5" t="s">
        <v>551</v>
      </c>
      <c r="B851" s="0" t="s">
        <v>285</v>
      </c>
      <c r="C851" s="19" t="n">
        <f aca="false">C839*C845</f>
        <v>0.905483870967741</v>
      </c>
      <c r="D851" s="19" t="n">
        <f aca="false">D839*D845</f>
        <v>1.12547112462006</v>
      </c>
      <c r="E851" s="19" t="n">
        <f aca="false">E839*E845</f>
        <v>1.69120879120879</v>
      </c>
      <c r="F851" s="19" t="n">
        <f aca="false">F839*F845</f>
        <v>2.39142857142857</v>
      </c>
      <c r="G851" s="19" t="n">
        <f aca="false">G839*G845</f>
        <v>5.05480225988701</v>
      </c>
      <c r="H851" s="19" t="n">
        <f aca="false">H839*H845</f>
        <v>9.83307167235495</v>
      </c>
      <c r="I851" s="19" t="n">
        <f aca="false">I839*I845</f>
        <v>13.1174313033769</v>
      </c>
      <c r="J851" s="19" t="n">
        <f aca="false">J839*J845</f>
        <v>15.6730215261275</v>
      </c>
      <c r="K851" s="19" t="n">
        <f aca="false">K839*K845</f>
        <v>18.4298525742617</v>
      </c>
      <c r="L851" s="19" t="n">
        <f aca="false">L839*L845</f>
        <v>19.4871965014704</v>
      </c>
      <c r="M851" s="19" t="n">
        <f aca="false">M839*M845</f>
        <v>19.5749415063906</v>
      </c>
      <c r="N851" s="19" t="n">
        <f aca="false">N839*N845</f>
        <v>19.2491219881203</v>
      </c>
      <c r="O851" s="19" t="n">
        <f aca="false">O839*O845</f>
        <v>20.5529226057413</v>
      </c>
      <c r="P851" s="19" t="n">
        <f aca="false">P839*P845</f>
        <v>20.6454662558774</v>
      </c>
      <c r="Q851" s="19" t="n">
        <f aca="false">Q839*Q845</f>
        <v>20.7384266023318</v>
      </c>
      <c r="R851" s="19" t="n">
        <f aca="false">R839*R845</f>
        <v>20.8318055213631</v>
      </c>
      <c r="S851" s="19" t="n">
        <f aca="false">S839*S845</f>
        <v>22.2993345445355</v>
      </c>
      <c r="T851" s="19" t="n">
        <f aca="false">T839*T845</f>
        <v>22.7328347510813</v>
      </c>
      <c r="U851" s="19" t="n">
        <f aca="false">U839*U845</f>
        <v>23.1747622238623</v>
      </c>
      <c r="V851" s="19" t="n">
        <f aca="false">V839*V845</f>
        <v>23.6252807893661</v>
      </c>
      <c r="W851" s="19" t="n">
        <f aca="false">W839*W845</f>
        <v>24.6160250832143</v>
      </c>
      <c r="X851" s="19" t="n">
        <f aca="false">X839*X845</f>
        <v>24.7406227290304</v>
      </c>
      <c r="Y851" s="19" t="n">
        <f aca="false">Y839*Y845</f>
        <v>24.8658510442292</v>
      </c>
      <c r="Z851" s="19" t="n">
        <f aca="false">Z839*Z845</f>
        <v>24.9917132210369</v>
      </c>
    </row>
    <row r="852" customFormat="false" ht="17.15" hidden="false" customHeight="false" outlineLevel="0" collapsed="false">
      <c r="A852" s="0" t="s">
        <v>552</v>
      </c>
      <c r="B852" s="0" t="s">
        <v>25</v>
      </c>
      <c r="C852" s="12" t="n">
        <f aca="false">C843+C844</f>
        <v>0.279077306733167</v>
      </c>
      <c r="D852" s="12" t="n">
        <f aca="false">D843+D844</f>
        <v>0.255607692307692</v>
      </c>
      <c r="E852" s="12" t="n">
        <f aca="false">E843+E844</f>
        <v>0.27406432748538</v>
      </c>
      <c r="F852" s="12" t="n">
        <f aca="false">F843+F844</f>
        <v>0.268969696969697</v>
      </c>
      <c r="G852" s="12" t="n">
        <f aca="false">G843+G844</f>
        <v>0.270960154241645</v>
      </c>
      <c r="H852" s="12" t="n">
        <f aca="false">H843+H844</f>
        <v>0.250180832610581</v>
      </c>
      <c r="I852" s="12" t="n">
        <f aca="false">I843+I844</f>
        <v>0.251873605888391</v>
      </c>
      <c r="J852" s="12" t="n">
        <f aca="false">J843+J844</f>
        <v>0.245026657759283</v>
      </c>
      <c r="K852" s="12" t="n">
        <f aca="false">K843+K844</f>
        <v>0.239026657759283</v>
      </c>
      <c r="L852" s="12" t="n">
        <f aca="false">L843+L844</f>
        <v>0.239026657759283</v>
      </c>
      <c r="M852" s="12" t="n">
        <f aca="false">M843+M844</f>
        <v>0.239026657759283</v>
      </c>
      <c r="N852" s="12" t="n">
        <f aca="false">N843+N844</f>
        <v>0.239026657759283</v>
      </c>
      <c r="O852" s="12" t="n">
        <f aca="false">O843+O844</f>
        <v>0.233026657759283</v>
      </c>
      <c r="P852" s="12" t="n">
        <f aca="false">P843+P844</f>
        <v>0.233026657759283</v>
      </c>
      <c r="Q852" s="12" t="n">
        <f aca="false">Q843+Q844</f>
        <v>0.233026657759283</v>
      </c>
      <c r="R852" s="12" t="n">
        <f aca="false">R843+R844</f>
        <v>0.233026657759283</v>
      </c>
      <c r="S852" s="12" t="n">
        <f aca="false">S843+S844</f>
        <v>0.227026657759283</v>
      </c>
      <c r="T852" s="12" t="n">
        <f aca="false">T843+T844</f>
        <v>0.227026657759283</v>
      </c>
      <c r="U852" s="12" t="n">
        <f aca="false">U843+U844</f>
        <v>0.227026657759283</v>
      </c>
      <c r="V852" s="12" t="n">
        <f aca="false">V843+V844</f>
        <v>0.227026657759283</v>
      </c>
      <c r="W852" s="12" t="n">
        <f aca="false">W843+W844</f>
        <v>0.221026657759283</v>
      </c>
      <c r="X852" s="12" t="n">
        <f aca="false">X843+X844</f>
        <v>0.221026657759283</v>
      </c>
      <c r="Y852" s="12" t="n">
        <f aca="false">Y843+Y844</f>
        <v>0.221026657759283</v>
      </c>
      <c r="Z852" s="12" t="n">
        <f aca="false">Z843+Z844</f>
        <v>0.221026657759283</v>
      </c>
    </row>
    <row r="853" customFormat="false" ht="17.15" hidden="false" customHeight="false" outlineLevel="0" collapsed="false">
      <c r="A853" s="0" t="s">
        <v>553</v>
      </c>
      <c r="B853" s="0" t="s">
        <v>222</v>
      </c>
      <c r="C853" s="19" t="n">
        <f aca="false">C838*C843</f>
        <v>35.5454438457651</v>
      </c>
      <c r="D853" s="19" t="n">
        <f aca="false">D838*D843</f>
        <v>33.3561735612603</v>
      </c>
      <c r="E853" s="19" t="n">
        <f aca="false">E838*E843</f>
        <v>38.3034616573653</v>
      </c>
      <c r="F853" s="19" t="n">
        <f aca="false">F838*F843</f>
        <v>36.6117929947199</v>
      </c>
      <c r="G853" s="19" t="n">
        <f aca="false">G838*G843</f>
        <v>38.1333152375469</v>
      </c>
      <c r="H853" s="19" t="n">
        <f aca="false">H838*H843</f>
        <v>40.1757580440862</v>
      </c>
      <c r="I853" s="19" t="n">
        <f aca="false">I838*I843</f>
        <v>44.8269021796765</v>
      </c>
      <c r="J853" s="19" t="n">
        <f aca="false">J838*J843</f>
        <v>44.9411476117569</v>
      </c>
      <c r="K853" s="19" t="n">
        <f aca="false">K838*K843</f>
        <v>46.8792052543761</v>
      </c>
      <c r="L853" s="19" t="n">
        <f aca="false">L838*L843</f>
        <v>49.5687244889092</v>
      </c>
      <c r="M853" s="19" t="n">
        <f aca="false">M838*M843</f>
        <v>52.4125448399752</v>
      </c>
      <c r="N853" s="19" t="n">
        <f aca="false">N838*N843</f>
        <v>55.4195187575798</v>
      </c>
      <c r="O853" s="19" t="n">
        <f aca="false">O838*O843</f>
        <v>57.1013583978674</v>
      </c>
      <c r="P853" s="19" t="n">
        <f aca="false">P838*P843</f>
        <v>60.3773354733255</v>
      </c>
      <c r="Q853" s="19" t="n">
        <f aca="false">Q838*Q843</f>
        <v>63.841259492605</v>
      </c>
      <c r="R853" s="19" t="n">
        <f aca="false">R838*R843</f>
        <v>67.5039132093327</v>
      </c>
      <c r="S853" s="19" t="n">
        <f aca="false">S838*S843</f>
        <v>68.4847214830634</v>
      </c>
      <c r="T853" s="19" t="n">
        <f aca="false">T838*T843</f>
        <v>71.9753278134276</v>
      </c>
      <c r="U853" s="19" t="n">
        <f aca="false">U838*U843</f>
        <v>75.6438472941955</v>
      </c>
      <c r="V853" s="19" t="n">
        <f aca="false">V838*V843</f>
        <v>79.4993480029707</v>
      </c>
      <c r="W853" s="19" t="n">
        <f aca="false">W838*W843</f>
        <v>78.8133479226382</v>
      </c>
      <c r="X853" s="19" t="n">
        <f aca="false">X838*X843</f>
        <v>81.7846518546219</v>
      </c>
      <c r="Y853" s="19" t="n">
        <f aca="false">Y838*Y843</f>
        <v>84.8679754798293</v>
      </c>
      <c r="Z853" s="19" t="n">
        <f aca="false">Z838*Z843</f>
        <v>88.0675419985646</v>
      </c>
      <c r="AB853" s="5" t="s">
        <v>554</v>
      </c>
    </row>
    <row r="854" customFormat="false" ht="17.15" hidden="false" customHeight="false" outlineLevel="0" collapsed="false">
      <c r="A854" s="0" t="s">
        <v>555</v>
      </c>
      <c r="B854" s="0" t="s">
        <v>222</v>
      </c>
      <c r="C854" s="19" t="n">
        <f aca="false">C838*C844</f>
        <v>31.2873958850745</v>
      </c>
      <c r="D854" s="19" t="n">
        <f aca="false">D838*D844</f>
        <v>29.6152942833619</v>
      </c>
      <c r="E854" s="19" t="n">
        <f aca="false">E838*E844</f>
        <v>31.1552804325753</v>
      </c>
      <c r="F854" s="19" t="n">
        <f aca="false">F838*F844</f>
        <v>33.5147228924475</v>
      </c>
      <c r="G854" s="19" t="n">
        <f aca="false">G838*G844</f>
        <v>38.0693331650007</v>
      </c>
      <c r="H854" s="19" t="n">
        <f aca="false">H838*H844</f>
        <v>33.6172154529341</v>
      </c>
      <c r="I854" s="19" t="n">
        <f aca="false">I838*I844</f>
        <v>33.0914894510934</v>
      </c>
      <c r="J854" s="19" t="n">
        <f aca="false">J838*J844</f>
        <v>34.5588285485368</v>
      </c>
      <c r="K854" s="19" t="n">
        <f aca="false">K838*K844</f>
        <v>36.0860259229573</v>
      </c>
      <c r="L854" s="19" t="n">
        <f aca="false">L838*L844</f>
        <v>38.1563268227063</v>
      </c>
      <c r="M854" s="19" t="n">
        <f aca="false">M838*M844</f>
        <v>40.3454035007761</v>
      </c>
      <c r="N854" s="19" t="n">
        <f aca="false">N838*N844</f>
        <v>42.660070273635</v>
      </c>
      <c r="O854" s="19" t="n">
        <f aca="false">O838*O844</f>
        <v>44.0019594951838</v>
      </c>
      <c r="P854" s="19" t="n">
        <f aca="false">P838*P844</f>
        <v>46.526407505283</v>
      </c>
      <c r="Q854" s="19" t="n">
        <f aca="false">Q838*Q844</f>
        <v>49.1956862872117</v>
      </c>
      <c r="R854" s="19" t="n">
        <f aca="false">R838*R844</f>
        <v>52.0181049653347</v>
      </c>
      <c r="S854" s="19" t="n">
        <f aca="false">S838*S844</f>
        <v>52.8336522146515</v>
      </c>
      <c r="T854" s="19" t="n">
        <f aca="false">T838*T844</f>
        <v>55.5265372389752</v>
      </c>
      <c r="U854" s="19" t="n">
        <f aca="false">U838*U844</f>
        <v>58.3566762567341</v>
      </c>
      <c r="V854" s="19" t="n">
        <f aca="false">V838*V844</f>
        <v>61.3310649838774</v>
      </c>
      <c r="W854" s="19" t="n">
        <f aca="false">W838*W844</f>
        <v>60.8743976761179</v>
      </c>
      <c r="X854" s="19" t="n">
        <f aca="false">X838*X844</f>
        <v>63.1693939164722</v>
      </c>
      <c r="Y854" s="19" t="n">
        <f aca="false">Y838*Y844</f>
        <v>65.5509127006924</v>
      </c>
      <c r="Z854" s="19" t="n">
        <f aca="false">Z838*Z844</f>
        <v>68.0222159733801</v>
      </c>
    </row>
    <row r="855" customFormat="false" ht="17.15" hidden="false" customHeight="false" outlineLevel="0" collapsed="false">
      <c r="A855" s="5" t="s">
        <v>556</v>
      </c>
      <c r="B855" s="0" t="s">
        <v>557</v>
      </c>
      <c r="C855" s="17" t="n">
        <f aca="false">ABS(SUM(C840:C845)-1)+ABS(SUM(I840:I845)-1)+ABS(SUM(Z840:Z845)-1)+ABS(H850-rv_sd_5)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584</v>
      </c>
    </row>
    <row r="2" customFormat="false" ht="17.15" hidden="false" customHeight="false" outlineLevel="0" collapsed="false">
      <c r="A2" s="0" t="s">
        <v>706</v>
      </c>
      <c r="B2" s="5" t="s">
        <v>707</v>
      </c>
    </row>
    <row r="3" customFormat="false" ht="17.15" hidden="false" customHeight="false" outlineLevel="0" collapsed="false">
      <c r="A3" s="0" t="s">
        <v>708</v>
      </c>
      <c r="B3" s="0" t="s">
        <v>709</v>
      </c>
    </row>
    <row r="4" customFormat="false" ht="17.15" hidden="false" customHeight="false" outlineLevel="0" collapsed="false">
      <c r="A4" s="0" t="s">
        <v>710</v>
      </c>
      <c r="B4" s="0" t="s">
        <v>711</v>
      </c>
    </row>
    <row r="5" customFormat="false" ht="17.15" hidden="false" customHeight="false" outlineLevel="0" collapsed="false">
      <c r="A5" s="0" t="s">
        <v>712</v>
      </c>
      <c r="B5" s="0" t="s">
        <v>713</v>
      </c>
    </row>
    <row r="6" customFormat="false" ht="17.15" hidden="false" customHeight="false" outlineLevel="0" collapsed="false">
      <c r="A6" s="0" t="s">
        <v>714</v>
      </c>
      <c r="B6" s="0" t="s">
        <v>715</v>
      </c>
    </row>
    <row r="7" customFormat="false" ht="17.15" hidden="false" customHeight="false" outlineLevel="0" collapsed="false">
      <c r="A7" s="0" t="s">
        <v>716</v>
      </c>
      <c r="B7" s="0" t="s">
        <v>717</v>
      </c>
    </row>
    <row r="8" customFormat="false" ht="17.15" hidden="false" customHeight="false" outlineLevel="0" collapsed="false">
      <c r="A8" s="0" t="s">
        <v>718</v>
      </c>
      <c r="B8" s="0" t="s">
        <v>719</v>
      </c>
    </row>
    <row r="9" customFormat="false" ht="17.15" hidden="false" customHeight="false" outlineLevel="0" collapsed="false">
      <c r="A9" s="5" t="s">
        <v>720</v>
      </c>
      <c r="B9" s="0" t="s">
        <v>721</v>
      </c>
    </row>
    <row r="10" customFormat="false" ht="17.15" hidden="false" customHeight="false" outlineLevel="0" collapsed="false">
      <c r="A10" s="0" t="s">
        <v>722</v>
      </c>
      <c r="B10" s="0" t="s">
        <v>723</v>
      </c>
    </row>
    <row r="11" customFormat="false" ht="17.15" hidden="false" customHeight="false" outlineLevel="0" collapsed="false">
      <c r="A11" s="0" t="s">
        <v>724</v>
      </c>
      <c r="B11" s="0" t="s">
        <v>725</v>
      </c>
    </row>
    <row r="12" customFormat="false" ht="17.15" hidden="false" customHeight="false" outlineLevel="0" collapsed="false">
      <c r="A12" s="0" t="s">
        <v>726</v>
      </c>
      <c r="B12" s="0" t="s">
        <v>727</v>
      </c>
    </row>
    <row r="13" customFormat="false" ht="17.15" hidden="false" customHeight="false" outlineLevel="0" collapsed="false">
      <c r="A13" s="0" t="s">
        <v>728</v>
      </c>
      <c r="B13" s="0" t="s">
        <v>729</v>
      </c>
    </row>
    <row r="14" customFormat="false" ht="17.15" hidden="false" customHeight="false" outlineLevel="0" collapsed="false">
      <c r="A14" s="0" t="s">
        <v>730</v>
      </c>
      <c r="B14" s="0" t="s">
        <v>731</v>
      </c>
    </row>
    <row r="15" customFormat="false" ht="17.15" hidden="false" customHeight="false" outlineLevel="0" collapsed="false">
      <c r="A15" s="0" t="s">
        <v>732</v>
      </c>
      <c r="B15" s="0" t="s">
        <v>733</v>
      </c>
    </row>
    <row r="16" customFormat="false" ht="15" hidden="false" customHeight="false" outlineLevel="0" collapsed="false">
      <c r="A16" s="0" t="s">
        <v>734</v>
      </c>
      <c r="B16" s="5" t="s">
        <v>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2026-10-31T02:56:00Z</dcterms:created>
  <dc:creator>openpyxl</dc:creator>
  <dc:description/>
  <dc:language>en-US</dc:language>
  <cp:lastModifiedBy/>
  <dcterms:modified xsi:type="dcterms:W3CDTF">2026-10-31T02:56:00Z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