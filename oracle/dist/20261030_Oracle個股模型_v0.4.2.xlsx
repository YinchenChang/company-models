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26_cs" vbProcedure="false">Q!$L$11</definedName>
    <definedName function="false" hidden="false" name="a26_hw" vbProcedure="false">Q!$L$8</definedName>
    <definedName function="false" hidden="false" name="a26_lic" vbProcedure="false">Q!$L$6</definedName>
    <definedName function="false" hidden="false" name="a26_oci" vbProcedure="false">Q!$L$4</definedName>
    <definedName function="false" hidden="false" name="a26_rev" vbProcedure="false">Q!$L$10</definedName>
    <definedName function="false" hidden="false" name="a26_saas" vbProcedure="false">Q!$L$5</definedName>
    <definedName function="false" hidden="false" name="a26_sup" vbProcedure="false">Q!$L$7</definedName>
    <definedName function="false" hidden="false" name="a26_svc" vbProcedure="false">Q!$L$9</definedName>
    <definedName function="false" hidden="false" name="ai_floor" vbProcedure="false">In!$E$151</definedName>
    <definedName function="false" hidden="false" name="amort" vbProcedure="false">In!$E$84</definedName>
    <definedName function="false" hidden="false" name="beta" vbProcedure="false">In!$E$124</definedName>
    <definedName function="false" hidden="false" name="beta_hi" vbProcedure="false">In!$F$124</definedName>
    <definedName function="false" hidden="false" name="beta_lo" vbProcedure="false">In!$D$124</definedName>
    <definedName function="false" hidden="false" name="beta_r1" vbProcedure="false">In!$E$122</definedName>
    <definedName function="false" hidden="false" name="beta_r2" vbProcedure="false">In!$E$123</definedName>
    <definedName function="false" hidden="false" name="capex_g27" vbProcedure="false">In!$E$91</definedName>
    <definedName function="false" hidden="false" name="capex_g27_hi" vbProcedure="false">In!$F$91</definedName>
    <definedName function="false" hidden="false" name="capex_g27_lo" vbProcedure="false">In!$D$91</definedName>
    <definedName function="false" hidden="false" name="capex_q1" vbProcedure="false">In!$E$118</definedName>
    <definedName function="false" hidden="false" name="cap_A" vbProcedure="false">In!$E$13</definedName>
    <definedName function="false" hidden="false" name="cap_B" vbProcedure="false">In!$E$16</definedName>
    <definedName function="false" hidden="false" name="cap_C" vbProcedure="false">In!$E$19</definedName>
    <definedName function="false" hidden="false" name="cashonly_q1" vbProcedure="false">In!$E$103</definedName>
    <definedName function="false" hidden="false" name="cash_q1" vbProcedure="false">In!$E$105</definedName>
    <definedName function="false" hidden="false" name="ce2027" vbProcedure="false">In!$E$156</definedName>
    <definedName function="false" hidden="false" name="ce2028" vbProcedure="false">In!$E$159</definedName>
    <definedName function="false" hidden="false" name="ce2029" vbProcedure="false">In!$E$162</definedName>
    <definedName function="false" hidden="false" name="cf2027" vbProcedure="false">In!$E$165</definedName>
    <definedName function="false" hidden="false" name="cf2028" vbProcedure="false">In!$E$167</definedName>
    <definedName function="false" hidden="false" name="cf2029" vbProcedure="false">In!$E$169</definedName>
    <definedName function="false" hidden="false" name="cfo_q1" vbProcedure="false">In!$E$117</definedName>
    <definedName function="false" hidden="false" name="cip_q1" vbProcedure="false">In!$E$88</definedName>
    <definedName function="false" hidden="false" name="cons_tp" vbProcedure="false">In!$E$154</definedName>
    <definedName function="false" hidden="false" name="cp2027" vbProcedure="false">In!$E$157</definedName>
    <definedName function="false" hidden="false" name="cp2028" vbProcedure="false">In!$E$160</definedName>
    <definedName function="false" hidden="false" name="cp2029" vbProcedure="false">In!$E$163</definedName>
    <definedName function="false" hidden="false" name="cr2027" vbProcedure="false">In!$E$155</definedName>
    <definedName function="false" hidden="false" name="cr2028" vbProcedure="false">In!$E$158</definedName>
    <definedName function="false" hidden="false" name="cr2029" vbProcedure="false">In!$E$161</definedName>
    <definedName function="false" hidden="false" name="cx2027" vbProcedure="false">In!$E$164</definedName>
    <definedName function="false" hidden="false" name="cx2028" vbProcedure="false">In!$E$166</definedName>
    <definedName function="false" hidden="false" name="cx2029" vbProcedure="false">In!$E$168</definedName>
    <definedName function="false" hidden="false" name="cx_gb200" vbProcedure="false">In!$E$38</definedName>
    <definedName function="false" hidden="false" name="cx_gb300" vbProcedure="false">In!$E$39</definedName>
    <definedName function="false" hidden="false" name="cx_h100" vbProcedure="false">In!$E$37</definedName>
    <definedName function="false" hidden="false" name="cx_vr200" vbProcedure="false">In!$E$40</definedName>
    <definedName function="false" hidden="false" name="da_q1" vbProcedure="false">In!$E$83</definedName>
    <definedName function="false" hidden="false" name="debt_q1" vbProcedure="false">In!$E$96</definedName>
    <definedName function="false" hidden="false" name="delay_A" vbProcedure="false">In!$E$14</definedName>
    <definedName function="false" hidden="false" name="delay_B" vbProcedure="false">In!$E$17</definedName>
    <definedName function="false" hidden="false" name="delay_C" vbProcedure="false">In!$E$20</definedName>
    <definedName function="false" hidden="false" name="dep_fy24" vbProcedure="false">In!$E$86</definedName>
    <definedName function="false" hidden="false" name="dep_q1" vbProcedure="false">In!$E$85</definedName>
    <definedName function="false" hidden="false" name="div_q1" vbProcedure="false">In!$E$119</definedName>
    <definedName function="false" hidden="false" name="dps_q" vbProcedure="false">In!$E$111</definedName>
    <definedName function="false" hidden="false" name="eb_crwv" vbProcedure="false">In!$E$138</definedName>
    <definedName function="false" hidden="false" name="eb_nbis" vbProcedure="false">In!$E$140</definedName>
    <definedName function="false" hidden="false" name="eq_cap" vbProcedure="false">In!$E$108</definedName>
    <definedName function="false" hidden="false" name="eq_disc" vbProcedure="false">In!$E$110</definedName>
    <definedName function="false" hidden="false" name="eq_tol" vbProcedure="false">In!$E$109</definedName>
    <definedName function="false" hidden="false" name="erp" vbProcedure="false">In!$E$125</definedName>
    <definedName function="false" hidden="false" name="etr" vbProcedure="false">In!$E$95</definedName>
    <definedName function="false" hidden="false" name="etr_hi" vbProcedure="false">In!$F$95</definedName>
    <definedName function="false" hidden="false" name="etr_lo" vbProcedure="false">In!$D$95</definedName>
    <definedName function="false" hidden="false" name="ev_crwv" vbProcedure="false">In!$E$137</definedName>
    <definedName function="false" hidden="false" name="ev_nbis" vbProcedure="false">In!$E$139</definedName>
    <definedName function="false" hidden="false" name="finlease_q1" vbProcedure="false">In!$E$61</definedName>
    <definedName function="false" hidden="false" name="fy28_end" vbProcedure="false">In!$E$131</definedName>
    <definedName function="false" hidden="false" name="g0_hw" vbProcedure="false">Q!$B$40</definedName>
    <definedName function="false" hidden="false" name="g0_lic" vbProcedure="false">Q!$B$38</definedName>
    <definedName function="false" hidden="false" name="g0_oci" vbProcedure="false">Q!$B$36</definedName>
    <definedName function="false" hidden="false" name="g0_saas" vbProcedure="false">Q!$B$37</definedName>
    <definedName function="false" hidden="false" name="g0_sup" vbProcedure="false">Q!$B$39</definedName>
    <definedName function="false" hidden="false" name="g0_svc" vbProcedure="false">Q!$B$41</definedName>
    <definedName function="false" hidden="false" name="gh_h100" vbProcedure="false">In!$E$48</definedName>
    <definedName function="false" hidden="false" name="gLT_hw" vbProcedure="false">In!$E$73</definedName>
    <definedName function="false" hidden="false" name="gLT_hw_hi" vbProcedure="false">In!$F$73</definedName>
    <definedName function="false" hidden="false" name="gLT_hw_lo" vbProcedure="false">In!$D$73</definedName>
    <definedName function="false" hidden="false" name="gLT_lic" vbProcedure="false">In!$E$71</definedName>
    <definedName function="false" hidden="false" name="gLT_lic_hi" vbProcedure="false">In!$F$71</definedName>
    <definedName function="false" hidden="false" name="gLT_lic_lo" vbProcedure="false">In!$D$71</definedName>
    <definedName function="false" hidden="false" name="gLT_saas" vbProcedure="false">In!$E$70</definedName>
    <definedName function="false" hidden="false" name="gLT_saas_hi" vbProcedure="false">In!$F$70</definedName>
    <definedName function="false" hidden="false" name="gLT_saas_lo" vbProcedure="false">In!$D$70</definedName>
    <definedName function="false" hidden="false" name="gLT_sup" vbProcedure="false">In!$E$72</definedName>
    <definedName function="false" hidden="false" name="gLT_sup_hi" vbProcedure="false">In!$F$72</definedName>
    <definedName function="false" hidden="false" name="gLT_sup_lo" vbProcedure="false">In!$D$72</definedName>
    <definedName function="false" hidden="false" name="gLT_svc" vbProcedure="false">In!$E$74</definedName>
    <definedName function="false" hidden="false" name="gLT_svc_hi" vbProcedure="false">In!$F$74</definedName>
    <definedName function="false" hidden="false" name="gLT_svc_lo" vbProcedure="false">In!$D$74</definedName>
    <definedName function="false" hidden="false" name="gna0" vbProcedure="false">In!$E$67</definedName>
    <definedName function="false" hidden="false" name="gna0_hi" vbProcedure="false">In!$F$67</definedName>
    <definedName function="false" hidden="false" name="gna0_lo" vbProcedure="false">In!$D$67</definedName>
    <definedName function="false" hidden="false" name="gnaLT" vbProcedure="false">In!$E$68</definedName>
    <definedName function="false" hidden="false" name="gnaLT_hi" vbProcedure="false">In!$F$68</definedName>
    <definedName function="false" hidden="false" name="gnaLT_lo" vbProcedure="false">In!$D$68</definedName>
    <definedName function="false" hidden="false" name="go2027" vbProcedure="false">In!$E$170</definedName>
    <definedName function="false" hidden="false" name="go2028" vbProcedure="false">In!$E$171</definedName>
    <definedName function="false" hidden="false" name="go2029" vbProcedure="false">In!$E$172</definedName>
    <definedName function="false" hidden="false" name="go2030" vbProcedure="false">In!$E$173</definedName>
    <definedName function="false" hidden="false" name="g_rev27" vbProcedure="false">In!$E$174</definedName>
    <definedName function="false" hidden="false" name="he_gb200" vbProcedure="false">In!$E$34</definedName>
    <definedName function="false" hidden="false" name="he_gb200_hi" vbProcedure="false">In!$F$34</definedName>
    <definedName function="false" hidden="false" name="he_gb200_lo" vbProcedure="false">In!$D$34</definedName>
    <definedName function="false" hidden="false" name="he_gb300" vbProcedure="false">In!$E$35</definedName>
    <definedName function="false" hidden="false" name="he_gb300_hi" vbProcedure="false">In!$F$35</definedName>
    <definedName function="false" hidden="false" name="he_gb300_lo" vbProcedure="false">In!$D$35</definedName>
    <definedName function="false" hidden="false" name="he_h100" vbProcedure="false">In!$E$33</definedName>
    <definedName function="false" hidden="false" name="he_h100_hi" vbProcedure="false">In!$F$33</definedName>
    <definedName function="false" hidden="false" name="he_h100_lo" vbProcedure="false">In!$D$33</definedName>
    <definedName function="false" hidden="false" name="he_vr200" vbProcedure="false">In!$E$36</definedName>
    <definedName function="false" hidden="false" name="he_vr200_hi" vbProcedure="false">In!$F$36</definedName>
    <definedName function="false" hidden="false" name="he_vr200_lo" vbProcedure="false">In!$D$36</definedName>
    <definedName function="false" hidden="false" name="ii_q1" vbProcedure="false">In!$E$98</definedName>
    <definedName function="false" hidden="false" name="int_q1" vbProcedure="false">In!$E$97</definedName>
    <definedName function="false" hidden="false" name="kd" vbProcedure="false">In!$E$126</definedName>
    <definedName function="false" hidden="false" name="kd_hi" vbProcedure="false">In!$F$126</definedName>
    <definedName function="false" hidden="false" name="kd_lo" vbProcedure="false">In!$D$126</definedName>
    <definedName function="false" hidden="false" name="ke" vbProcedure="false">Val!$C$5</definedName>
    <definedName function="false" hidden="false" name="k_adj" vbProcedure="false">In!$E$53</definedName>
    <definedName function="false" hidden="false" name="k_adj_hi" vbProcedure="false">In!$F$53</definedName>
    <definedName function="false" hidden="false" name="k_adj_lo" vbProcedure="false">In!$D$53</definedName>
    <definedName function="false" hidden="false" name="k_long" vbProcedure="false">In!$E$50</definedName>
    <definedName function="false" hidden="false" name="k_long_hi" vbProcedure="false">In!$F$50</definedName>
    <definedName function="false" hidden="false" name="k_long_lo" vbProcedure="false">In!$D$50</definedName>
    <definedName function="false" hidden="false" name="k_mix" vbProcedure="false">In!$E$52</definedName>
    <definedName function="false" hidden="false" name="k_spot" vbProcedure="false">In!$E$51</definedName>
    <definedName function="false" hidden="false" name="lam" vbProcedure="false">In!$E$54</definedName>
    <definedName function="false" hidden="false" name="lease_on" vbProcedure="false">In!$E$62</definedName>
    <definedName function="false" hidden="false" name="lease_q" vbProcedure="false">In!$E$57</definedName>
    <definedName function="false" hidden="false" name="lease_q0" vbProcedure="false">In!$E$58</definedName>
    <definedName function="false" hidden="false" name="lease_r" vbProcedure="false">In!$E$63</definedName>
    <definedName function="false" hidden="false" name="lease_term" vbProcedure="false">In!$E$59</definedName>
    <definedName function="false" hidden="false" name="lease_term_hi" vbProcedure="false">In!$F$59</definedName>
    <definedName function="false" hidden="false" name="lease_term_lo" vbProcedure="false">In!$D$59</definedName>
    <definedName function="false" hidden="false" name="lease_unc" vbProcedure="false">In!$E$56</definedName>
    <definedName function="false" hidden="false" name="lev_max" vbProcedure="false">In!$E$107</definedName>
    <definedName function="false" hidden="false" name="lev_max_hi" vbProcedure="false">In!$F$107</definedName>
    <definedName function="false" hidden="false" name="lev_max_lo" vbProcedure="false">In!$D$107</definedName>
    <definedName function="false" hidden="false" name="life_ai" vbProcedure="false">In!$E$45</definedName>
    <definedName function="false" hidden="false" name="life_ai_hi" vbProcedure="false">In!$F$45</definedName>
    <definedName function="false" hidden="false" name="life_ai_lo" vbProcedure="false">In!$D$45</definedName>
    <definedName function="false" hidden="false" name="mcps_sh" vbProcedure="false">In!$E$8</definedName>
    <definedName function="false" hidden="false" name="min_cash" vbProcedure="false">In!$E$106</definedName>
    <definedName function="false" hidden="false" name="mktsec_q1" vbProcedure="false">In!$E$104</definedName>
    <definedName function="false" hidden="false" name="mult_adj" vbProcedure="false">In!$E$152</definedName>
    <definedName function="false" hidden="false" name="mult_adj_hi" vbProcedure="false">In!$F$152</definedName>
    <definedName function="false" hidden="false" name="mult_adj_lo" vbProcedure="false">In!$D$152</definedName>
    <definedName function="false" hidden="false" name="mult_leg" vbProcedure="false">In!$E$148</definedName>
    <definedName function="false" hidden="false" name="mult_leg_hi" vbProcedure="false">In!$F$148</definedName>
    <definedName function="false" hidden="false" name="mult_leg_lo" vbProcedure="false">In!$D$148</definedName>
    <definedName function="false" hidden="false" name="mult_oci" vbProcedure="false">In!$E$141</definedName>
    <definedName function="false" hidden="false" name="mult_oci_hi" vbProcedure="false">In!$F$141</definedName>
    <definedName function="false" hidden="false" name="mult_oci_lo" vbProcedure="false">In!$D$141</definedName>
    <definedName function="false" hidden="false" name="mult_sw" vbProcedure="false">In!$E$147</definedName>
    <definedName function="false" hidden="false" name="mult_sw_hi" vbProcedure="false">In!$F$147</definedName>
    <definedName function="false" hidden="false" name="mult_sw_lo" vbProcedure="false">In!$D$147</definedName>
    <definedName function="false" hidden="false" name="mw_fy26" vbProcedure="false">In!$E$10</definedName>
    <definedName function="false" hidden="false" name="mw_q1" vbProcedure="false">In!$E$11</definedName>
    <definedName function="false" hidden="false" name="m_adj" vbProcedure="false">In!$E$79</definedName>
    <definedName function="false" hidden="false" name="m_adj_hi" vbProcedure="false">In!$F$79</definedName>
    <definedName function="false" hidden="false" name="m_adj_lo" vbProcedure="false">In!$D$79</definedName>
    <definedName function="false" hidden="false" name="m_hw" vbProcedure="false">In!$E$76</definedName>
    <definedName function="false" hidden="false" name="m_ls" vbProcedure="false">In!$E$150</definedName>
    <definedName function="false" hidden="false" name="m_svc" vbProcedure="false">In!$E$77</definedName>
    <definedName function="false" hidden="false" name="m_sw" vbProcedure="false">In!$E$78</definedName>
    <definedName function="false" hidden="false" name="netdebt0" vbProcedure="false">Val!$C$10</definedName>
    <definedName function="false" hidden="false" name="nm27_gb300" vbProcedure="false">In!$E$26</definedName>
    <definedName function="false" hidden="false" name="nm28_gb300" vbProcedure="false">In!$E$27</definedName>
    <definedName function="false" hidden="false" name="nm28_gb300_hi" vbProcedure="false">In!$F$27</definedName>
    <definedName function="false" hidden="false" name="nm28_gb300_lo" vbProcedure="false">In!$D$27</definedName>
    <definedName function="false" hidden="false" name="nm29_gb300" vbProcedure="false">In!$E$28</definedName>
    <definedName function="false" hidden="false" name="nm29_gb300_hi" vbProcedure="false">In!$F$28</definedName>
    <definedName function="false" hidden="false" name="nm29_gb300_lo" vbProcedure="false">In!$D$28</definedName>
    <definedName function="false" hidden="false" name="nonai_cx" vbProcedure="false">In!$E$89</definedName>
    <definedName function="false" hidden="false" name="nonai_cx_hi" vbProcedure="false">In!$F$89</definedName>
    <definedName function="false" hidden="false" name="nonai_cx_lo" vbProcedure="false">In!$D$89</definedName>
    <definedName function="false" hidden="false" name="nonai_dep_q" vbProcedure="false">In!$E$87</definedName>
    <definedName function="false" hidden="false" name="oai_annual" vbProcedure="false">In!$E$177</definedName>
    <definedName function="false" hidden="false" name="od_share" vbProcedure="false">In!$E$49</definedName>
    <definedName function="false" hidden="false" name="od_share_hi" vbProcedure="false">In!$F$49</definedName>
    <definedName function="false" hidden="false" name="od_share_lo" vbProcedure="false">In!$D$49</definedName>
    <definedName function="false" hidden="false" name="om_gb200" vbProcedure="false">In!$E$24</definedName>
    <definedName function="false" hidden="false" name="om_gb200_hi" vbProcedure="false">In!$F$24</definedName>
    <definedName function="false" hidden="false" name="om_gb200_lo" vbProcedure="false">In!$D$24</definedName>
    <definedName function="false" hidden="false" name="om_gb300" vbProcedure="false">In!$E$25</definedName>
    <definedName function="false" hidden="false" name="om_gb300_hi" vbProcedure="false">In!$F$25</definedName>
    <definedName function="false" hidden="false" name="om_gb300_lo" vbProcedure="false">In!$D$25</definedName>
    <definedName function="false" hidden="false" name="om_h100" vbProcedure="false">In!$E$23</definedName>
    <definedName function="false" hidden="false" name="om_h100_hi" vbProcedure="false">In!$F$23</definedName>
    <definedName function="false" hidden="false" name="om_h100_lo" vbProcedure="false">In!$D$23</definedName>
    <definedName function="false" hidden="false" name="oplcost_q1" vbProcedure="false">In!$E$64</definedName>
    <definedName function="false" hidden="false" name="oplease_q1" vbProcedure="false">In!$E$60</definedName>
    <definedName function="false" hidden="false" name="opt_dil" vbProcedure="false">In!$E$7</definedName>
    <definedName function="false" hidden="false" name="ox_gb200" vbProcedure="false">In!$E$42</definedName>
    <definedName function="false" hidden="false" name="ox_gb300" vbProcedure="false">In!$E$43</definedName>
    <definedName function="false" hidden="false" name="ox_h100" vbProcedure="false">In!$E$41</definedName>
    <definedName function="false" hidden="false" name="ox_vr200" vbProcedure="false">In!$E$44</definedName>
    <definedName function="false" hidden="false" name="pace_A" vbProcedure="false">In!$E$12</definedName>
    <definedName function="false" hidden="false" name="pace_B" vbProcedure="false">In!$E$15</definedName>
    <definedName function="false" hidden="false" name="pace_C" vbProcedure="false">In!$E$18</definedName>
    <definedName function="false" hidden="false" name="pm_adbe" vbProcedure="false">In!$E$145</definedName>
    <definedName function="false" hidden="false" name="pm_crm" vbProcedure="false">In!$E$144</definedName>
    <definedName function="false" hidden="false" name="pm_msft" vbProcedure="false">In!$E$142</definedName>
    <definedName function="false" hidden="false" name="pm_now" vbProcedure="false">In!$E$146</definedName>
    <definedName function="false" hidden="false" name="pm_sap" vbProcedure="false">In!$E$143</definedName>
    <definedName function="false" hidden="false" name="pref27" vbProcedure="false">In!$E$114</definedName>
    <definedName function="false" hidden="false" name="pref28" vbProcedure="false">In!$E$115</definedName>
    <definedName function="false" hidden="false" name="pref29" vbProcedure="false">In!$E$116</definedName>
    <definedName function="false" hidden="false" name="pref_q1" vbProcedure="false">In!$E$112</definedName>
    <definedName function="false" hidden="false" name="prepay_cov" vbProcedure="false">In!$E$92</definedName>
    <definedName function="false" hidden="false" name="prepay_cov_hi" vbProcedure="false">In!$F$92</definedName>
    <definedName function="false" hidden="false" name="prepay_cov_lo" vbProcedure="false">In!$D$92</definedName>
    <definedName function="false" hidden="false" name="prepay_open" vbProcedure="false">In!$E$93</definedName>
    <definedName function="false" hidden="false" name="prepay_yrs" vbProcedure="false">In!$E$94</definedName>
    <definedName function="false" hidden="false" name="prepay_yrs_hi" vbProcedure="false">In!$F$94</definedName>
    <definedName function="false" hidden="false" name="prepay_yrs_lo" vbProcedure="false">In!$D$94</definedName>
    <definedName function="false" hidden="false" name="px" vbProcedure="false">In!$E$5</definedName>
    <definedName function="false" hidden="false" name="p_long" vbProcedure="false">In!$E$46</definedName>
    <definedName function="false" hidden="false" name="p_long_hi" vbProcedure="false">In!$F$46</definedName>
    <definedName function="false" hidden="false" name="p_long_lo" vbProcedure="false">In!$D$46</definedName>
    <definedName function="false" hidden="false" name="p_spot" vbProcedure="false">In!$E$47</definedName>
    <definedName function="false" hidden="false" name="q0_cs" vbProcedure="false">Q!$E$11</definedName>
    <definedName function="false" hidden="false" name="q0_hw" vbProcedure="false">Q!$E$8</definedName>
    <definedName function="false" hidden="false" name="q0_lic" vbProcedure="false">Q!$E$6</definedName>
    <definedName function="false" hidden="false" name="q0_oci" vbProcedure="false">Q!$E$4</definedName>
    <definedName function="false" hidden="false" name="q0_rev" vbProcedure="false">Q!$E$10</definedName>
    <definedName function="false" hidden="false" name="q0_saas" vbProcedure="false">Q!$E$5</definedName>
    <definedName function="false" hidden="false" name="q0_sup" vbProcedure="false">Q!$E$7</definedName>
    <definedName function="false" hidden="false" name="q0_svc" vbProcedure="false">Q!$E$9</definedName>
    <definedName function="false" hidden="false" name="q1_cs" vbProcedure="false">Q!$I$11</definedName>
    <definedName function="false" hidden="false" name="q1_hw" vbProcedure="false">Q!$I$8</definedName>
    <definedName function="false" hidden="false" name="q1_lic" vbProcedure="false">Q!$I$6</definedName>
    <definedName function="false" hidden="false" name="q1_oci" vbProcedure="false">Q!$I$4</definedName>
    <definedName function="false" hidden="false" name="q1_rev" vbProcedure="false">Q!$I$10</definedName>
    <definedName function="false" hidden="false" name="q1_saas" vbProcedure="false">Q!$I$5</definedName>
    <definedName function="false" hidden="false" name="q1_sup" vbProcedure="false">Q!$I$7</definedName>
    <definedName function="false" hidden="false" name="q1_svc" vbProcedure="false">Q!$I$9</definedName>
    <definedName function="false" hidden="false" name="rent_on" vbProcedure="false">In!$E$65</definedName>
    <definedName function="false" hidden="false" name="rf" vbProcedure="false">In!$E$121</definedName>
    <definedName function="false" hidden="false" name="rf_gb200_32" vbProcedure="false">In!$E$31</definedName>
    <definedName function="false" hidden="false" name="rf_h100_30" vbProcedure="false">In!$E$29</definedName>
    <definedName function="false" hidden="false" name="rf_h100_31" vbProcedure="false">In!$E$30</definedName>
    <definedName function="false" hidden="false" name="ronic" vbProcedure="false">Val!$C$14</definedName>
    <definedName function="false" hidden="false" name="ronic_adj" vbProcedure="false">In!$E$128</definedName>
    <definedName function="false" hidden="false" name="ronic_adj_hi" vbProcedure="false">In!$F$128</definedName>
    <definedName function="false" hidden="false" name="rpo" vbProcedure="false">In!$E$176</definedName>
    <definedName function="false" hidden="false" name="rpo_1336" vbProcedure="false">In!$E$175</definedName>
    <definedName function="false" hidden="false" name="r_cash" vbProcedure="false">In!$E$102</definedName>
    <definedName function="false" hidden="false" name="r_junk" vbProcedure="false">In!$E$101</definedName>
    <definedName function="false" hidden="false" name="r_new" vbProcedure="false">In!$E$100</definedName>
    <definedName function="false" hidden="false" name="r_new_hi" vbProcedure="false">In!$F$100</definedName>
    <definedName function="false" hidden="false" name="r_new_lo" vbProcedure="false">In!$D$100</definedName>
    <definedName function="false" hidden="false" name="r_old" vbProcedure="false">In!$E$99</definedName>
    <definedName function="false" hidden="false" name="sbc_q1" vbProcedure="false">In!$E$82</definedName>
    <definedName function="false" hidden="false" name="shd_q1" vbProcedure="false">In!$E$113</definedName>
    <definedName function="false" hidden="false" name="shfd" vbProcedure="false">Val!$C$11</definedName>
    <definedName function="false" hidden="false" name="sh_out" vbProcedure="false">In!$E$6</definedName>
    <definedName function="false" hidden="false" name="split_mode" vbProcedure="false">In!$E$149</definedName>
    <definedName function="false" hidden="false" name="tp_date" vbProcedure="false">In!$E$130</definedName>
    <definedName function="false" hidden="false" name="tp_g" vbProcedure="false">In!$E$132</definedName>
    <definedName function="false" hidden="false" name="tp_g_hi" vbProcedure="false">In!$F$132</definedName>
    <definedName function="false" hidden="false" name="tp_g_lo" vbProcedure="false">In!$D$132</definedName>
    <definedName function="false" hidden="false" name="tp_v031" vbProcedure="false">In!$E$178</definedName>
    <definedName function="false" hidden="false" name="tp_v031_hi" vbProcedure="false">In!$F$178</definedName>
    <definedName function="false" hidden="false" name="tp_v031_lo" vbProcedure="false">In!$D$178</definedName>
    <definedName function="false" hidden="false" name="t_28" vbProcedure="false">Val!$C$13</definedName>
    <definedName function="false" hidden="false" name="t_tp" vbProcedure="false">Val!$C$12</definedName>
    <definedName function="false" hidden="false" name="un_g" vbProcedure="false">In!$E$81</definedName>
    <definedName function="false" hidden="false" name="un_g_hi" vbProcedure="false">In!$F$81</definedName>
    <definedName function="false" hidden="false" name="un_g_lo" vbProcedure="false">In!$D$81</definedName>
    <definedName function="false" hidden="false" name="un_rr" vbProcedure="false">In!$E$80</definedName>
    <definedName function="false" hidden="false" name="un_rr_hi" vbProcedure="false">In!$F$80</definedName>
    <definedName function="false" hidden="false" name="un_rr_lo" vbProcedure="false">In!$D$80</definedName>
    <definedName function="false" hidden="false" name="u_bill" vbProcedure="false">In!$E$21</definedName>
    <definedName function="false" hidden="false" name="u_bill_hi" vbProcedure="false">In!$F$21</definedName>
    <definedName function="false" hidden="false" name="u_bill_lo" vbProcedure="false">In!$D$21</definedName>
    <definedName function="false" hidden="false" name="val_date" vbProcedure="false">In!$E$129</definedName>
    <definedName function="false" hidden="false" name="wA" vbProcedure="false">In!$E$134</definedName>
    <definedName function="false" hidden="false" name="wacc" vbProcedure="false">Val!$C$9</definedName>
    <definedName function="false" hidden="false" name="wacc_adj" vbProcedure="false">In!$E$127</definedName>
    <definedName function="false" hidden="false" name="wacc_adj_hi" vbProcedure="false">In!$F$127</definedName>
    <definedName function="false" hidden="false" name="wacc_adj_lo" vbProcedure="false">In!$D$127</definedName>
    <definedName function="false" hidden="false" name="wB" vbProcedure="false">In!$E$135</definedName>
    <definedName function="false" hidden="false" name="wC" vbProcedure="false">In!$E$136</definedName>
    <definedName function="false" hidden="false" name="w_dcf" vbProcedure="false">In!$E$133</definedName>
    <definedName function="false" hidden="false" name="w_dcf_hi" vbProcedure="false">In!$F$133</definedName>
    <definedName function="false" hidden="false" name="w_dcf_lo" vbProcedure="false">In!$D$133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<sst xmlns="http://schemas.openxmlformats.org/spreadsheetml/2006/main" count="2732" uniqueCount="1245">
  <si>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v0.4</t>
    </r>
    <r>
      <rPr>
        <b val="true"/>
        <sz val="11"/>
        <rFont val="Noto Sans CJK SC"/>
        <family val="2"/>
      </rPr>
      <t xml:space="preserve">（命題＋營收分部架構）　</t>
    </r>
    <r>
      <rPr>
        <b val="true"/>
        <sz val="11"/>
        <rFont val="Cambria"/>
        <family val="0"/>
        <charset val="1"/>
      </rPr>
      <t xml:space="preserve">2026-10-27</t>
    </r>
  </si>
  <si>
    <r>
      <rPr>
        <sz val="11"/>
        <rFont val="Noto Sans CJK SC"/>
        <family val="2"/>
      </rPr>
      <t xml:space="preserve">命題：</t>
    </r>
    <r>
      <rPr>
        <sz val="11"/>
        <rFont val="Cambria"/>
        <family val="0"/>
        <charset val="1"/>
      </rPr>
      <t xml:space="preserve">OCI </t>
    </r>
    <r>
      <rPr>
        <sz val="11"/>
        <rFont val="Noto Sans CJK SC"/>
        <family val="2"/>
      </rPr>
      <t xml:space="preserve">已簽約的 </t>
    </r>
    <r>
      <rPr>
        <sz val="11"/>
        <rFont val="Cambria"/>
        <family val="0"/>
        <charset val="1"/>
      </rPr>
      <t xml:space="preserve">backlog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RPO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6,640 </t>
    </r>
    <r>
      <rPr>
        <sz val="11"/>
        <rFont val="Noto Sans CJK SC"/>
        <family val="2"/>
      </rPr>
      <t xml:space="preserve">億美元，約一半來自 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Stargate</t>
    </r>
    <r>
      <rPr>
        <sz val="11"/>
        <rFont val="Noto Sans CJK SC"/>
        <family val="2"/>
      </rPr>
      <t xml:space="preserve">）能否以高於資金成本的報酬轉成營收與現金，同時不把資產負債表撐破。命題模組（已連網 </t>
    </r>
    <r>
      <rPr>
        <sz val="11"/>
        <rFont val="Cambria"/>
        <family val="0"/>
        <charset val="1"/>
      </rPr>
      <t xml:space="preserve">MW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年收入〔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持有成本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定價倍數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〕、延誤、租金、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折舊）只驅動 </t>
    </r>
    <r>
      <rPr>
        <sz val="11"/>
        <rFont val="Cambria"/>
        <family val="0"/>
        <charset val="1"/>
      </rPr>
      <t xml:space="preserve">Cloud Infrastructure </t>
    </r>
    <r>
      <rPr>
        <sz val="11"/>
        <rFont val="Noto Sans CJK SC"/>
        <family val="2"/>
      </rPr>
      <t xml:space="preserve">營收線的「</t>
    </r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算力」子列；</t>
    </r>
    <r>
      <rPr>
        <sz val="11"/>
        <rFont val="Cambria"/>
        <family val="0"/>
        <charset val="1"/>
      </rPr>
      <t xml:space="preserve">SaaS</t>
    </r>
    <r>
      <rPr>
        <sz val="11"/>
        <rFont val="Noto Sans CJK SC"/>
        <family val="2"/>
      </rPr>
      <t xml:space="preserve">、授權、支援、硬體、服務各有自己的成長路徑。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</si>
  <si>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OCI </t>
    </r>
    <r>
      <rPr>
        <sz val="11"/>
        <rFont val="Noto Sans CJK SC"/>
        <family val="2"/>
      </rPr>
      <t xml:space="preserve">營收與營業利益率，相對於資本支出與租約的擴張，以及 </t>
    </r>
    <r>
      <rPr>
        <sz val="11"/>
        <rFont val="Cambria"/>
        <family val="0"/>
        <charset val="1"/>
      </rPr>
      <t xml:space="preserve">Oracle </t>
    </r>
    <r>
      <rPr>
        <sz val="11"/>
        <rFont val="Noto Sans CJK SC"/>
        <family val="2"/>
      </rPr>
      <t xml:space="preserve">的資金缺口（自由現金流為負）要如何補。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</si>
  <si>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月。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實績（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08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Q2–Q4 </t>
    </r>
    <r>
      <rPr>
        <sz val="11"/>
        <rFont val="Noto Sans CJK SC"/>
        <family val="2"/>
      </rPr>
      <t xml:space="preserve">模型；延伸到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。金額十億美元，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IT </t>
    </r>
    <r>
      <rPr>
        <sz val="11"/>
        <rFont val="Noto Sans CJK SC"/>
        <family val="2"/>
      </rPr>
      <t xml:space="preserve">口徑。</t>
    </r>
  </si>
  <si>
    <r>
      <rPr>
        <sz val="11"/>
        <rFont val="Noto Sans CJK SC"/>
        <family val="2"/>
      </rPr>
      <t xml:space="preserve">營收分部層：官方報告分部（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附註 </t>
    </r>
    <r>
      <rPr>
        <sz val="11"/>
        <rFont val="Cambria"/>
        <family val="0"/>
        <charset val="1"/>
      </rPr>
      <t xml:space="preserve">13</t>
    </r>
    <r>
      <rPr>
        <sz val="11"/>
        <rFont val="Noto Sans CJK SC"/>
        <family val="2"/>
      </rPr>
      <t xml:space="preserve">）＝</t>
    </r>
    <r>
      <rPr>
        <sz val="11"/>
        <rFont val="Cambria"/>
        <family val="0"/>
        <charset val="1"/>
      </rPr>
      <t xml:space="preserve">Cloud and software</t>
    </r>
    <r>
      <rPr>
        <sz val="11"/>
        <rFont val="Noto Sans CJK SC"/>
        <family val="2"/>
      </rPr>
      <t xml:space="preserve">（雲端與軟體）、</t>
    </r>
    <r>
      <rPr>
        <sz val="11"/>
        <rFont val="Cambria"/>
        <family val="0"/>
        <charset val="1"/>
      </rPr>
      <t xml:space="preserve">Hardware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Services</t>
    </r>
    <r>
      <rPr>
        <sz val="11"/>
        <rFont val="Noto Sans CJK SC"/>
        <family val="2"/>
      </rPr>
      <t xml:space="preserve">；其下營收線（新聞稿）＝</t>
    </r>
    <r>
      <rPr>
        <sz val="11"/>
        <rFont val="Cambria"/>
        <family val="0"/>
        <charset val="1"/>
      </rPr>
      <t xml:space="preserve">Cloud Infrastructure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Cloud Applications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SaaS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Software license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Software support</t>
    </r>
    <r>
      <rPr>
        <sz val="11"/>
        <rFont val="Noto Sans CJK SC"/>
        <family val="2"/>
      </rPr>
      <t xml:space="preserve">（以上屬 </t>
    </r>
    <r>
      <rPr>
        <sz val="11"/>
        <rFont val="Cambria"/>
        <family val="0"/>
        <charset val="1"/>
      </rPr>
      <t xml:space="preserve">Cloud and software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Hardware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Services</t>
    </r>
    <r>
      <rPr>
        <sz val="11"/>
        <rFont val="Noto Sans CJK SC"/>
        <family val="2"/>
      </rPr>
      <t xml:space="preserve">。命題子列：</t>
    </r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算力（命題模組）＋</t>
    </r>
    <r>
      <rPr>
        <sz val="11"/>
        <rFont val="Cambria"/>
        <family val="0"/>
        <charset val="1"/>
      </rPr>
      <t xml:space="preserve">OCI </t>
    </r>
    <r>
      <rPr>
        <sz val="11"/>
        <rFont val="Noto Sans CJK SC"/>
        <family val="2"/>
      </rPr>
      <t xml:space="preserve">其他（非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，成長路徑）；子列合計＝母列（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頁核對列）。</t>
    </r>
  </si>
  <si>
    <t xml:space="preserve">驅動 → 推導對照（每頁輸入、推導量、因果方向）</t>
  </si>
  <si>
    <r>
      <rPr>
        <sz val="11"/>
        <rFont val="Cambria"/>
        <family val="0"/>
        <charset val="1"/>
      </rPr>
      <t xml:space="preserve">Thesis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速度、上限、延誤、計費比例、世代組合、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成本、</t>
    </r>
    <r>
      <rPr>
        <sz val="11"/>
        <rFont val="Cambria"/>
        <family val="0"/>
        <charset val="1"/>
      </rPr>
      <t xml:space="preserve">k → </t>
    </r>
    <r>
      <rPr>
        <sz val="11"/>
        <rFont val="Noto Sans CJK SC"/>
        <family val="2"/>
      </rPr>
      <t xml:space="preserve">已連網／計費 </t>
    </r>
    <r>
      <rPr>
        <sz val="11"/>
        <rFont val="Cambria"/>
        <family val="0"/>
        <charset val="1"/>
      </rPr>
      <t xml:space="preserve">MW → OCI AI </t>
    </r>
    <r>
      <rPr>
        <sz val="11"/>
        <rFont val="Noto Sans CJK SC"/>
        <family val="2"/>
      </rPr>
      <t xml:space="preserve">營收；營運費用＝在役 </t>
    </r>
    <r>
      <rPr>
        <sz val="11"/>
        <rFont val="Cambria"/>
        <family val="0"/>
        <charset val="1"/>
      </rPr>
      <t xml:space="preserve">MW × IF_OpexGW</t>
    </r>
    <r>
      <rPr>
        <sz val="11"/>
        <rFont val="Noto Sans CJK SC"/>
        <family val="2"/>
      </rPr>
      <t xml:space="preserve">；租金＝未起租 </t>
    </r>
    <r>
      <rPr>
        <sz val="11"/>
        <rFont val="Cambria"/>
        <family val="0"/>
        <charset val="1"/>
      </rPr>
      <t xml:space="preserve">288B </t>
    </r>
    <r>
      <rPr>
        <sz val="11"/>
        <rFont val="Noto Sans CJK SC"/>
        <family val="2"/>
      </rPr>
      <t xml:space="preserve">起租；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FY27</t>
    </r>
    <r>
      <rPr>
        <sz val="11"/>
        <rFont val="Noto Sans CJK SC"/>
        <family val="2"/>
      </rPr>
      <t xml:space="preserve">＝指引中點、其後新增 </t>
    </r>
    <r>
      <rPr>
        <sz val="11"/>
        <rFont val="Cambria"/>
        <family val="0"/>
        <charset val="1"/>
      </rPr>
      <t xml:space="preserve">MW × IF_CapexIT</t>
    </r>
    <r>
      <rPr>
        <sz val="11"/>
        <rFont val="Noto Sans CJK SC"/>
        <family val="2"/>
      </rPr>
      <t xml:space="preserve">、汰換依世代年份）→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折舊 → </t>
    </r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分部利潤貢獻 → </t>
    </r>
    <r>
      <rPr>
        <sz val="11"/>
        <rFont val="Cambria"/>
        <family val="0"/>
        <charset val="1"/>
      </rPr>
      <t xml:space="preserve">ROIC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</si>
  <si>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Seg</t>
    </r>
    <r>
      <rPr>
        <sz val="11"/>
        <rFont val="Noto Sans CJK SC"/>
        <family val="2"/>
      </rPr>
      <t xml:space="preserve">：近四季年增率（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頁）→ 線性收斂到長期年增（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G </t>
    </r>
    <r>
      <rPr>
        <sz val="11"/>
        <rFont val="Noto Sans CJK SC"/>
        <family val="2"/>
      </rPr>
      <t xml:space="preserve">節）→ </t>
    </r>
    <r>
      <rPr>
        <sz val="11"/>
        <rFont val="Cambria"/>
        <family val="0"/>
        <charset val="1"/>
      </rPr>
      <t xml:space="preserve">SaaS</t>
    </r>
    <r>
      <rPr>
        <sz val="11"/>
        <rFont val="Noto Sans CJK SC"/>
        <family val="2"/>
      </rPr>
      <t xml:space="preserve">、授權、支援、硬體、服務；</t>
    </r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Thesis </t>
    </r>
    <r>
      <rPr>
        <sz val="11"/>
        <rFont val="Noto Sans CJK SC"/>
        <family val="2"/>
      </rPr>
      <t xml:space="preserve">兩子列 → 三分部 → 合併營收。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</si>
  <si>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：分部利潤＝</t>
    </r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貢獻＋其餘雲端與軟體營收 </t>
    </r>
    <r>
      <rPr>
        <sz val="11"/>
        <rFont val="Cambria"/>
        <family val="0"/>
        <charset val="1"/>
      </rPr>
      <t xml:space="preserve">× m_sw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Q1 FY27 </t>
    </r>
    <r>
      <rPr>
        <sz val="11"/>
        <rFont val="Noto Sans CJK SC"/>
        <family val="2"/>
      </rPr>
      <t xml:space="preserve">校準，對照 </t>
    </r>
    <r>
      <rPr>
        <sz val="11"/>
        <rFont val="Cambria"/>
        <family val="0"/>
        <charset val="1"/>
      </rPr>
      <t xml:space="preserve">FY2024 64.1%</t>
    </r>
    <r>
      <rPr>
        <sz val="11"/>
        <rFont val="Noto Sans CJK SC"/>
        <family val="2"/>
      </rPr>
      <t xml:space="preserve">）；硬體、服務 </t>
    </r>
    <r>
      <rPr>
        <sz val="11"/>
        <rFont val="Cambria"/>
        <family val="0"/>
        <charset val="1"/>
      </rPr>
      <t xml:space="preserve">× FY2026 </t>
    </r>
    <r>
      <rPr>
        <sz val="11"/>
        <rFont val="Noto Sans CJK SC"/>
        <family val="2"/>
      </rPr>
      <t xml:space="preserve">利潤率；− 未分攤費用 →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營業利益 → 利息（</t>
    </r>
    <r>
      <rPr>
        <sz val="11"/>
        <rFont val="Cambria"/>
        <family val="0"/>
        <charset val="1"/>
      </rPr>
      <t xml:space="preserve">CF </t>
    </r>
    <r>
      <rPr>
        <sz val="11"/>
        <rFont val="Noto Sans CJK SC"/>
        <family val="2"/>
      </rPr>
      <t xml:space="preserve">頁）、稅 → 淨利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</si>
  <si>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CF</t>
    </r>
    <r>
      <rPr>
        <sz val="11"/>
        <rFont val="Noto Sans CJK SC"/>
        <family val="2"/>
      </rPr>
      <t xml:space="preserve">：淨利＋</t>
    </r>
    <r>
      <rPr>
        <sz val="11"/>
        <rFont val="Cambria"/>
        <family val="0"/>
        <charset val="1"/>
      </rPr>
      <t xml:space="preserve">D&amp;A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SBC</t>
    </r>
    <r>
      <rPr>
        <sz val="11"/>
        <rFont val="Noto Sans CJK SC"/>
        <family val="2"/>
      </rPr>
      <t xml:space="preserve">＋客戶預付 − 預付認列 → 營運現金；− 資本支出 → 自由現金流；− 股利 → 收支關卡；缺口 → 現金 → 投資級債 → 新股 → 高息債（融資瀑布沿用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）→ 股數、淨借款、槓桿。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</si>
  <si>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UFCF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WACC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3%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＋分部加總（</t>
    </r>
    <r>
      <rPr>
        <sz val="11"/>
        <rFont val="Cambria"/>
        <family val="0"/>
        <charset val="1"/>
      </rPr>
      <t xml:space="preserve">OCI AI × neocloud </t>
    </r>
    <r>
      <rPr>
        <sz val="11"/>
        <rFont val="Noto Sans CJK SC"/>
        <family val="2"/>
      </rPr>
      <t xml:space="preserve">倍數、其餘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軟體倍數，</t>
    </r>
    <r>
      <rPr>
        <sz val="11"/>
        <rFont val="Cambria"/>
        <family val="0"/>
        <charset val="1"/>
      </rPr>
      <t xml:space="preserve">FY2029 EBITDA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；情境 </t>
    </r>
    <r>
      <rPr>
        <sz val="11"/>
        <rFont val="Cambria"/>
        <family val="0"/>
        <charset val="1"/>
      </rPr>
      <t xml:space="preserve">25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25</t>
    </r>
    <r>
      <rPr>
        <sz val="11"/>
        <rFont val="Noto Sans CJK SC"/>
        <family val="2"/>
      </rPr>
      <t xml:space="preserve">；五級投資建議。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：共識與公司路徑對照；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：一次動一個輸入的完整重算。</t>
    </r>
  </si>
  <si>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的差異：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是 </t>
    </r>
    <r>
      <rPr>
        <sz val="11"/>
        <rFont val="Cambria"/>
        <family val="0"/>
        <charset val="1"/>
      </rPr>
      <t xml:space="preserve">CRWV </t>
    </r>
    <r>
      <rPr>
        <sz val="11"/>
        <rFont val="Noto Sans CJK SC"/>
        <family val="2"/>
      </rPr>
      <t xml:space="preserve">樣板（</t>
    </r>
    <r>
      <rPr>
        <sz val="11"/>
        <rFont val="Cambria"/>
        <family val="0"/>
        <charset val="1"/>
      </rPr>
      <t xml:space="preserve">OCI MW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收入＋傳統事業四線壓成成長率），本版改為官方分部與六條營收線；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營運費用由 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正向推導（取代 </t>
    </r>
    <r>
      <rPr>
        <sz val="11"/>
        <rFont val="Cambria"/>
        <family val="0"/>
        <charset val="1"/>
      </rPr>
      <t xml:space="preserve">EBITDAR </t>
    </r>
    <r>
      <rPr>
        <sz val="11"/>
        <rFont val="Noto Sans CJK SC"/>
        <family val="2"/>
      </rPr>
      <t xml:space="preserve">率校準）、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折舊與租金進分部利潤與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；評價改為 </t>
    </r>
    <r>
      <rPr>
        <sz val="11"/>
        <rFont val="Cambria"/>
        <family val="0"/>
        <charset val="1"/>
      </rPr>
      <t xml:space="preserve">DCF 50%</t>
    </r>
    <r>
      <rPr>
        <sz val="11"/>
        <rFont val="Noto Sans CJK SC"/>
        <family val="2"/>
      </rPr>
      <t xml:space="preserve">＋分部加總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。舊引擎保留在 </t>
    </r>
    <r>
      <rPr>
        <sz val="11"/>
        <rFont val="Cambria"/>
        <family val="0"/>
        <charset val="1"/>
      </rPr>
      <t xml:space="preserve">oracle/legacy_v0.3/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</si>
  <si>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  <r>
      <rPr>
        <sz val="11"/>
        <rFont val="Cambria"/>
        <family val="0"/>
        <charset val="1"/>
      </rPr>
      <t xml:space="preserve">SEC </t>
    </r>
    <r>
      <rPr>
        <sz val="11"/>
        <rFont val="Noto Sans CJK SC"/>
        <family val="2"/>
      </rPr>
      <t xml:space="preserve">網站在建置環境被擋，</t>
    </r>
    <r>
      <rPr>
        <sz val="11"/>
        <rFont val="Cambria"/>
        <family val="0"/>
        <charset val="1"/>
      </rPr>
      <t xml:space="preserve">SEC </t>
    </r>
    <r>
      <rPr>
        <sz val="11"/>
        <rFont val="Noto Sans CJK SC"/>
        <family val="2"/>
      </rPr>
      <t xml:space="preserve">數字取自 </t>
    </r>
    <r>
      <rPr>
        <sz val="11"/>
        <rFont val="Cambria"/>
        <family val="0"/>
        <charset val="1"/>
      </rPr>
      <t xml:space="preserve">v0.1a </t>
    </r>
    <r>
      <rPr>
        <sz val="11"/>
        <rFont val="Noto Sans CJK SC"/>
        <family val="2"/>
      </rPr>
      <t xml:space="preserve">事實總帳。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</si>
  <si>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OCI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／非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拆分不存在公開資料，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為殘差；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季度分部利潤只有 </t>
    </r>
    <r>
      <rPr>
        <sz val="11"/>
        <rFont val="Cambria"/>
        <family val="0"/>
        <charset val="1"/>
      </rPr>
      <t xml:space="preserve">Q1 FY27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FY26Q1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OCI </t>
    </r>
    <r>
      <rPr>
        <sz val="11"/>
        <rFont val="Noto Sans CJK SC"/>
        <family val="2"/>
      </rPr>
      <t xml:space="preserve">同業倍數只有兩家；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預付與營運資金外的營運資金變動不建模；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在帳租賃負債持平、到期借款以原利率展延；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續約價格衰退不建模（公司稱續約 </t>
    </r>
    <r>
      <rPr>
        <sz val="11"/>
        <rFont val="Cambria"/>
        <family val="0"/>
        <charset val="1"/>
      </rPr>
      <t xml:space="preserve">+20%</t>
    </r>
    <r>
      <rPr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</si>
  <si>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輸入（藍字＝輸入；黑字＝公式；基準欄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的驅動見本頁最後一節「情境驅動對照」〔</t>
    </r>
    <r>
      <rPr>
        <sz val="11"/>
        <color theme="1"/>
        <rFont val="Calibri"/>
        <family val="2"/>
        <charset val="1"/>
      </rPr>
      <t xml:space="preserve">v0.4.2</t>
    </r>
    <r>
      <rPr>
        <sz val="11"/>
        <color theme="1"/>
        <rFont val="Noto Sans CJK SC"/>
        <family val="2"/>
      </rPr>
      <t xml:space="preserve">〕）。金額：十億美元（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）；每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金額：百萬美元／</t>
    </r>
    <r>
      <rPr>
        <sz val="11"/>
        <color theme="1"/>
        <rFont val="Calibri"/>
        <family val="2"/>
        <charset val="1"/>
      </rPr>
      <t xml:space="preserve">MW·</t>
    </r>
    <r>
      <rPr>
        <sz val="11"/>
        <color theme="1"/>
        <rFont val="Noto Sans CJK SC"/>
        <family val="2"/>
      </rPr>
      <t xml:space="preserve">年（＝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</si>
  <si>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未使用。「沿用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」＝沿用 </t>
    </r>
    <r>
      <rPr>
        <sz val="11"/>
        <color theme="1"/>
        <rFont val="Calibri"/>
        <family val="2"/>
        <charset val="1"/>
      </rPr>
      <t xml:space="preserve">oracle/legacy_v0.3 </t>
    </r>
    <r>
      <rPr>
        <sz val="11"/>
        <color theme="1"/>
        <rFont val="Noto Sans CJK SC"/>
        <family val="2"/>
      </rPr>
      <t xml:space="preserve">舊引擎 </t>
    </r>
    <r>
      <rPr>
        <sz val="11"/>
        <color theme="1"/>
        <rFont val="Calibri"/>
        <family val="2"/>
        <charset val="1"/>
      </rPr>
      <t xml:space="preserve">company.json </t>
    </r>
    <r>
      <rPr>
        <sz val="11"/>
        <color theme="1"/>
        <rFont val="Noto Sans CJK SC"/>
        <family val="2"/>
      </rPr>
      <t xml:space="preserve">已核准的參數（原出處見來源欄）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</si>
  <si>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</si>
  <si>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</si>
  <si>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</si>
  <si>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</si>
  <si>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</si>
  <si>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</si>
  <si>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</si>
  <si>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</si>
  <si>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</si>
  <si>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</si>
  <si>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</si>
  <si>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</si>
  <si>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</si>
  <si>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</si>
  <si>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歷史股價頁（</t>
    </r>
    <r>
      <rPr>
        <sz val="11"/>
        <color theme="1"/>
        <rFont val="Calibri"/>
        <family val="2"/>
        <charset val="1"/>
      </rPr>
      <t xml:space="preserve">https://stockanalysis.com/stocks/orcl/history/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擷取）：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126.06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</si>
  <si>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126.16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stockscan </t>
    </r>
    <r>
      <rPr>
        <sz val="11"/>
        <color theme="1"/>
        <rFont val="Noto Sans CJK SC"/>
        <family val="2"/>
      </rPr>
      <t xml:space="preserve">兩來源），與同頁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值相同；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129.13</t>
    </r>
  </si>
  <si>
    <t xml:space="preserve">sh_out</t>
  </si>
  <si>
    <r>
      <rPr>
        <sz val="11"/>
        <color theme="1"/>
        <rFont val="Noto Sans CJK SC"/>
        <family val="2"/>
      </rPr>
      <t xml:space="preserve">普通股流通在外（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</si>
  <si>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</si>
  <si>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</si>
  <si>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封面（</t>
    </r>
    <r>
      <rPr>
        <sz val="11"/>
        <color theme="1"/>
        <rFont val="Calibri"/>
        <family val="2"/>
        <charset val="1"/>
      </rPr>
      <t xml:space="preserve">oracle/data/oracle_facts_20261007.json sh.out.20260907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</si>
  <si>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已含 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1.41 </t>
    </r>
    <r>
      <rPr>
        <sz val="11"/>
        <color theme="1"/>
        <rFont val="Noto Sans CJK SC"/>
        <family val="2"/>
      </rPr>
      <t xml:space="preserve">億股</t>
    </r>
  </si>
  <si>
    <t xml:space="preserve">opt_dil</t>
  </si>
  <si>
    <t xml:space="preserve">稀釋股數加項（選擇權等）</t>
  </si>
  <si>
    <t xml:space="preserve">Derived</t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</si>
  <si>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稀釋加權 </t>
    </r>
    <r>
      <rPr>
        <sz val="11"/>
        <color theme="1"/>
        <rFont val="Calibri"/>
        <family val="2"/>
        <charset val="1"/>
      </rPr>
      <t xml:space="preserve">3.000 − </t>
    </r>
    <r>
      <rPr>
        <sz val="11"/>
        <color theme="1"/>
        <rFont val="Noto Sans CJK SC"/>
        <family val="2"/>
      </rPr>
      <t xml:space="preserve">基本加權 </t>
    </r>
    <r>
      <rPr>
        <sz val="11"/>
        <color theme="1"/>
        <rFont val="Calibri"/>
        <family val="2"/>
        <charset val="1"/>
      </rPr>
      <t xml:space="preserve">2.966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sh.dilW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sh.basicW.fy27q1</t>
    </r>
    <r>
      <rPr>
        <sz val="11"/>
        <color theme="1"/>
        <rFont val="Noto Sans CJK SC"/>
        <family val="2"/>
      </rPr>
      <t xml:space="preserve">）</t>
    </r>
  </si>
  <si>
    <t xml:space="preserve">各年沿用</t>
  </si>
  <si>
    <t xml:space="preserve">mcps_sh</t>
  </si>
  <si>
    <r>
      <rPr>
        <sz val="11"/>
        <color theme="1"/>
        <rFont val="Noto Sans CJK SC"/>
        <family val="2"/>
      </rPr>
      <t xml:space="preserve">強制轉換特別股轉換股數（</t>
    </r>
    <r>
      <rPr>
        <sz val="11"/>
        <color theme="1"/>
        <rFont val="Calibri"/>
        <family val="2"/>
        <charset val="1"/>
      </rPr>
      <t xml:space="preserve">2029-01-15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計入）</t>
    </r>
  </si>
  <si>
    <r>
      <rPr>
        <sz val="11"/>
        <color theme="1"/>
        <rFont val="Calibri"/>
        <family val="2"/>
        <charset val="1"/>
      </rPr>
      <t xml:space="preserve">Series D 50,000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轉換比率上限 </t>
    </r>
    <r>
      <rPr>
        <sz val="11"/>
        <color theme="1"/>
        <rFont val="Calibri"/>
        <family val="2"/>
        <charset val="1"/>
      </rPr>
      <t xml:space="preserve">624.7657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mcps.convShares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</si>
  <si>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：一律轉股、取稀釋最大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</si>
  <si>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命題：已連網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路徑與延誤（沿用 </t>
    </r>
    <r>
      <rPr>
        <b val="true"/>
        <sz val="11"/>
        <rFont val="Cambria"/>
        <family val="0"/>
        <charset val="1"/>
      </rPr>
      <t xml:space="preserve">v0.3.1 scenarios.mwPath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delayMonths</t>
    </r>
    <r>
      <rPr>
        <b val="true"/>
        <sz val="11"/>
        <rFont val="Noto Sans CJK SC"/>
        <family val="2"/>
      </rPr>
      <t xml:space="preserve">）</t>
    </r>
  </si>
  <si>
    <t xml:space="preserve">mw_fy26</t>
  </si>
  <si>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AI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</si>
  <si>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t xml:space="preserve">MW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</si>
  <si>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1.2 GW ÷ PUE 1.2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oracle/legacy_v0.3/company.json defaults.mwYearEnd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</si>
  <si>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未揭露累計在役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（不存在）；口徑不明者 </t>
    </r>
    <r>
      <rPr>
        <sz val="11"/>
        <color theme="1"/>
        <rFont val="Calibri"/>
        <family val="2"/>
        <charset val="1"/>
      </rPr>
      <t xml:space="preserve">÷1.2</t>
    </r>
  </si>
  <si>
    <t xml:space="preserve">mw_q1</t>
  </si>
  <si>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AI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末，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</si>
  <si>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1,835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MW ÷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fleet.openMw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</si>
  <si>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法說（二手逐字稿，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</si>
  <si>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pace_A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</si>
  <si>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：併網速度</t>
    </r>
  </si>
  <si>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</si>
  <si>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</si>
  <si>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預告每季約 </t>
    </r>
    <r>
      <rPr>
        <sz val="11"/>
        <color theme="1"/>
        <rFont val="Calibri"/>
        <family val="2"/>
        <charset val="1"/>
      </rPr>
      <t xml:space="preserve">1 GW × 4 ÷ 1.2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</si>
  <si>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scenarios.mwPath.pace</t>
    </r>
    <r>
      <rPr>
        <sz val="11"/>
        <color theme="1"/>
        <rFont val="Noto Sans CJK SC"/>
        <family val="2"/>
      </rPr>
      <t xml:space="preserve">）</t>
    </r>
  </si>
  <si>
    <t xml:space="preserve">cap_A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</si>
  <si>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：合約容量上限（已簽站點）</t>
    </r>
  </si>
  <si>
    <t xml:space="preserve">MW-IT</t>
  </si>
  <si>
    <r>
      <rPr>
        <sz val="11"/>
        <color theme="1"/>
        <rFont val="Calibri"/>
        <family val="2"/>
        <charset val="1"/>
      </rPr>
      <t xml:space="preserve">2,543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承租五個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 </t>
    </r>
    <r>
      <rPr>
        <sz val="11"/>
        <color theme="1"/>
        <rFont val="Calibri"/>
        <family val="2"/>
        <charset val="1"/>
      </rPr>
      <t xml:space="preserve">8.1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估計，設施）</t>
    </r>
    <r>
      <rPr>
        <sz val="11"/>
        <color theme="1"/>
        <rFont val="Calibri"/>
        <family val="2"/>
        <charset val="1"/>
      </rPr>
      <t xml:space="preserve">÷1.2 − </t>
    </r>
    <r>
      <rPr>
        <sz val="11"/>
        <color theme="1"/>
        <rFont val="Noto Sans CJK SC"/>
        <family val="2"/>
      </rPr>
      <t xml:space="preserve">已交付 </t>
    </r>
    <r>
      <rPr>
        <sz val="11"/>
        <color theme="1"/>
        <rFont val="Calibri"/>
        <family val="2"/>
        <charset val="1"/>
      </rPr>
      <t xml:space="preserve">Abilene 515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</si>
  <si>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scenarios.mwPath.contracted</t>
    </r>
    <r>
      <rPr>
        <sz val="11"/>
        <color theme="1"/>
        <rFont val="Noto Sans CJK SC"/>
        <family val="2"/>
      </rPr>
      <t xml:space="preserve">）；上限以後不假設新簽站點</t>
    </r>
  </si>
  <si>
    <t xml:space="preserve">delay_A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</si>
  <si>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：建設延誤（計費路徑後移月數）</t>
    </r>
  </si>
  <si>
    <t xml:space="preserve">月</t>
  </si>
  <si>
    <t xml:space="preserve">Assumed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</si>
  <si>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scenarios.delayMonths</t>
    </r>
    <r>
      <rPr>
        <sz val="11"/>
        <color theme="1"/>
        <rFont val="Noto Sans CJK SC"/>
        <family val="2"/>
      </rPr>
      <t xml:space="preserve">）：保守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</t>
    </r>
    <r>
      <rPr>
        <sz val="11"/>
        <color theme="1"/>
        <rFont val="Noto Sans CJK SC"/>
        <family val="2"/>
      </rPr>
      <t xml:space="preserve">天然氣管線延後近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個月）、基準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、積極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</si>
  <si>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敏感度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</si>
  <si>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pace_B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</si>
  <si>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：併網速度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</si>
  <si>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850 MW × 4 ÷ 1.2</t>
    </r>
  </si>
  <si>
    <t xml:space="preserve">cap_B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</si>
  <si>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：合約容量上限（已簽站點）</t>
    </r>
  </si>
  <si>
    <t xml:space="preserve">delay_B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</si>
  <si>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：建設延誤（計費路徑後移月數）</t>
    </r>
  </si>
  <si>
    <t xml:space="preserve">pace_C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</si>
  <si>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：併網速度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</si>
  <si>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歷史 </t>
    </r>
    <r>
      <rPr>
        <sz val="11"/>
        <color theme="1"/>
        <rFont val="Calibri"/>
        <family val="2"/>
        <charset val="1"/>
      </rPr>
      <t xml:space="preserve">1.2 GW ÷ 1.2</t>
    </r>
  </si>
  <si>
    <t xml:space="preserve">cap_C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</si>
  <si>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：合約容量上限（已簽站點）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</si>
  <si>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</si>
  <si>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2,543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承租五個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 </t>
    </r>
    <r>
      <rPr>
        <sz val="11"/>
        <color theme="1"/>
        <rFont val="Calibri"/>
        <family val="2"/>
        <charset val="1"/>
      </rPr>
      <t xml:space="preserve">8.1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估計，設施）</t>
    </r>
    <r>
      <rPr>
        <sz val="11"/>
        <color theme="1"/>
        <rFont val="Calibri"/>
        <family val="2"/>
        <charset val="1"/>
      </rPr>
      <t xml:space="preserve">÷1.2 − </t>
    </r>
    <r>
      <rPr>
        <sz val="11"/>
        <color theme="1"/>
        <rFont val="Noto Sans CJK SC"/>
        <family val="2"/>
      </rPr>
      <t xml:space="preserve">已交付 </t>
    </r>
    <r>
      <rPr>
        <sz val="11"/>
        <color theme="1"/>
        <rFont val="Calibri"/>
        <family val="2"/>
        <charset val="1"/>
      </rPr>
      <t xml:space="preserve">Abilene 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OpenAI </t>
    </r>
    <r>
      <rPr>
        <sz val="11"/>
        <color theme="1"/>
        <rFont val="Noto Sans CJK SC"/>
        <family val="2"/>
      </rPr>
      <t xml:space="preserve">相關實現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 </t>
    </r>
    <r>
      <rPr>
        <sz val="11"/>
        <color theme="1"/>
        <rFont val="Noto Sans CJK SC"/>
        <family val="2"/>
      </rPr>
      <t xml:space="preserve">不可抗力，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50–70%</t>
    </r>
    <r>
      <rPr>
        <sz val="11"/>
        <color theme="1"/>
        <rFont val="Noto Sans CJK SC"/>
        <family val="2"/>
      </rPr>
      <t xml:space="preserve">）</t>
    </r>
  </si>
  <si>
    <t xml:space="preserve">delay_C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</si>
  <si>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：建設延誤（計費路徑後移月數）</t>
    </r>
  </si>
  <si>
    <t xml:space="preserve">u_bill</t>
  </si>
  <si>
    <r>
      <rPr>
        <sz val="11"/>
        <color theme="1"/>
        <rFont val="Noto Sans CJK SC"/>
        <family val="2"/>
      </rPr>
      <t xml:space="preserve">計費比例（計費 </t>
    </r>
    <r>
      <rPr>
        <sz val="11"/>
        <color theme="1"/>
        <rFont val="Calibri"/>
        <family val="2"/>
        <charset val="1"/>
      </rPr>
      <t xml:space="preserve">MW ÷ </t>
    </r>
    <r>
      <rPr>
        <sz val="11"/>
        <color theme="1"/>
        <rFont val="Noto Sans CJK SC"/>
        <family val="2"/>
      </rPr>
      <t xml:space="preserve">延誤後在役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</si>
  <si>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</si>
  <si>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基礎設施利用率 </t>
    </r>
    <r>
      <rPr>
        <sz val="11"/>
        <color theme="1"/>
        <rFont val="Calibri"/>
        <family val="2"/>
        <charset val="1"/>
      </rPr>
      <t xml:space="preserve">97.9%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）；新交付產能約一季後才全額計費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</si>
  <si>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以收斂比例 </t>
    </r>
    <r>
      <rPr>
        <sz val="11"/>
        <color theme="1"/>
        <rFont val="Calibri"/>
        <family val="2"/>
        <charset val="1"/>
      </rPr>
      <t xml:space="preserve">80–90% </t>
    </r>
    <r>
      <rPr>
        <sz val="11"/>
        <color theme="1"/>
        <rFont val="Noto Sans CJK SC"/>
        <family val="2"/>
      </rPr>
      <t xml:space="preserve">處理（不同口徑）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</si>
  <si>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命題：世代組合（沿用 </t>
    </r>
    <r>
      <rPr>
        <b val="true"/>
        <sz val="11"/>
        <rFont val="Cambria"/>
        <family val="0"/>
        <charset val="1"/>
      </rPr>
      <t xml:space="preserve">v0.3.1 fleet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</si>
  <si>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om_h100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</si>
  <si>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末在役世代占比：</t>
    </r>
    <r>
      <rPr>
        <sz val="11"/>
        <color theme="1"/>
        <rFont val="Calibri"/>
        <family val="2"/>
        <charset val="1"/>
      </rPr>
      <t xml:space="preserve">Hopper H100</t>
    </r>
  </si>
  <si>
    <t xml:space="preserve">%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</si>
  <si>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未揭露機隊世代組合（找不到）；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（已連網約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</si>
  <si>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fleet.openMix</t>
    </r>
    <r>
      <rPr>
        <sz val="11"/>
        <color theme="1"/>
        <rFont val="Noto Sans CJK SC"/>
        <family val="2"/>
      </rPr>
      <t xml:space="preserve">）</t>
    </r>
  </si>
  <si>
    <t xml:space="preserve">om_gb200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</si>
  <si>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末在役世代占比：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</si>
  <si>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om_gb300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</si>
  <si>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末在役世代占比：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</si>
  <si>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nm27_gb300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</si>
  <si>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新增產能中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占比（其餘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</si>
  <si>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fleet.newMix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GB300 100%</t>
    </r>
  </si>
  <si>
    <r>
      <rPr>
        <sz val="11"/>
        <color theme="1"/>
        <rFont val="Calibri"/>
        <family val="2"/>
        <charset val="1"/>
      </rPr>
      <t xml:space="preserve">VR200 2027 </t>
    </r>
    <r>
      <rPr>
        <sz val="11"/>
        <color theme="1"/>
        <rFont val="Noto Sans CJK SC"/>
        <family val="2"/>
      </rPr>
      <t xml:space="preserve">下半年起交付</t>
    </r>
  </si>
  <si>
    <t xml:space="preserve">nm28_gb300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</si>
  <si>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新增產能中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占比（其餘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</si>
  <si>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fleet.newMix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FY28 GB300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50%</t>
    </r>
  </si>
  <si>
    <r>
      <rPr>
        <sz val="11"/>
        <color theme="1"/>
        <rFont val="Noto Sans CJK SC"/>
        <family val="2"/>
      </rPr>
      <t xml:space="preserve">區間：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提前或延後一年</t>
    </r>
  </si>
  <si>
    <t xml:space="preserve">nm29_gb300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</si>
  <si>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起新增產能中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占比（其餘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</si>
  <si>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fleet.newMix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FY29–FY31 VR200 100%</t>
    </r>
  </si>
  <si>
    <t xml:space="preserve">—</t>
  </si>
  <si>
    <t xml:space="preserve">rf_h100_30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</si>
  <si>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汰換：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在役量的比例（換成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</si>
  <si>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經濟壽命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Tokenomics IF_DeprLifeIT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伺服器耐用年限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FY24–FY25 </t>
    </r>
    <r>
      <rPr>
        <sz val="11"/>
        <color theme="1"/>
        <rFont val="Noto Sans CJK SC"/>
        <family val="2"/>
      </rPr>
      <t xml:space="preserve">上線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</si>
  <si>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為觸頂後穩態汰換；本版改依世代年份（判斷，見報告第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</si>
  <si>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t xml:space="preserve">rf_h100_31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</si>
  <si>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汰換：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在役量的比例</t>
    </r>
  </si>
  <si>
    <t xml:space="preserve">同上</t>
  </si>
  <si>
    <t xml:space="preserve">rf_gb200_32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</si>
  <si>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汰換：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在役量的比例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</si>
  <si>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上線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</si>
  <si>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以後的汰換落在 </t>
    </r>
    <r>
      <rPr>
        <sz val="11"/>
        <color theme="1"/>
        <rFont val="Calibri"/>
        <family val="2"/>
        <charset val="1"/>
      </rPr>
      <t xml:space="preserve">FY2033 </t>
    </r>
    <r>
      <rPr>
        <sz val="11"/>
        <color theme="1"/>
        <rFont val="Noto Sans CJK SC"/>
        <family val="2"/>
      </rPr>
      <t xml:space="preserve">以後（模型期外；永續價值改用穩態汰換）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</si>
  <si>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命題：每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經濟性（</t>
    </r>
    <r>
      <rPr>
        <b val="true"/>
        <sz val="11"/>
        <rFont val="Cambria"/>
        <family val="0"/>
        <charset val="1"/>
      </rPr>
      <t xml:space="preserve">Tokenomics v21.4 </t>
    </r>
    <r>
      <rPr>
        <b val="true"/>
        <sz val="11"/>
        <rFont val="Noto Sans CJK SC"/>
        <family val="2"/>
      </rPr>
      <t xml:space="preserve">快照，基準成本情境；修正一自 </t>
    </r>
    <r>
      <rPr>
        <b val="true"/>
        <sz val="11"/>
        <rFont val="Cambria"/>
        <family val="0"/>
        <charset val="1"/>
      </rPr>
      <t xml:space="preserve">v19.0 </t>
    </r>
    <r>
      <rPr>
        <b val="true"/>
        <sz val="11"/>
        <rFont val="Noto Sans CJK SC"/>
        <family val="2"/>
      </rPr>
      <t xml:space="preserve">升級，與 </t>
    </r>
    <r>
      <rPr>
        <b val="true"/>
        <sz val="11"/>
        <rFont val="Cambria"/>
        <family val="0"/>
        <charset val="1"/>
      </rPr>
      <t xml:space="preserve">MAG </t>
    </r>
    <r>
      <rPr>
        <b val="true"/>
        <sz val="11"/>
        <rFont val="Noto Sans CJK SC"/>
        <family val="2"/>
      </rPr>
      <t xml:space="preserve">相同）</t>
    </r>
  </si>
  <si>
    <t xml:space="preserve">he_h100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</si>
  <si>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年持有成本（經濟口徑）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</si>
  <si>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</si>
  <si>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oracle/data/tokenomics_snapshot_v21.4.json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3ac70ac</t>
    </r>
    <r>
      <rPr>
        <sz val="11"/>
        <color theme="1"/>
        <rFont val="Noto Sans CJK SC"/>
        <family val="2"/>
      </rPr>
      <t xml:space="preserve">；複製自 </t>
    </r>
    <r>
      <rPr>
        <sz val="11"/>
        <color theme="1"/>
        <rFont val="Calibri"/>
        <family val="2"/>
        <charset val="1"/>
      </rPr>
      <t xml:space="preserve">microsoft/data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Interface!13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</si>
  <si>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Noto Sans CJK SC"/>
        <family val="2"/>
      </rPr>
      <t xml:space="preserve">低／高＝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低成本／高成本情境（只作敏感度）</t>
    </r>
  </si>
  <si>
    <t xml:space="preserve">he_gb200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</si>
  <si>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年持有成本（經濟口徑）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</si>
  <si>
    <t xml:space="preserve">he_gb300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</si>
  <si>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年持有成本（經濟口徑）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</si>
  <si>
    <t xml:space="preserve">he_vr200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</si>
  <si>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年持有成本（經濟口徑）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</si>
  <si>
    <t xml:space="preserve">cx_h100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</si>
  <si>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</si>
  <si>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</si>
  <si>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同上 </t>
    </r>
    <r>
      <rPr>
        <sz val="11"/>
        <color theme="1"/>
        <rFont val="Calibri"/>
        <family val="2"/>
        <charset val="1"/>
      </rPr>
      <t xml:space="preserve">Interface!9 </t>
    </r>
    <r>
      <rPr>
        <sz val="11"/>
        <color theme="1"/>
        <rFont val="Noto Sans CJK SC"/>
        <family val="2"/>
      </rPr>
      <t xml:space="preserve">列（只含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；機房以租賃取得）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</si>
  <si>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methodology.perMw.capexName</t>
    </r>
  </si>
  <si>
    <t xml:space="preserve">cx_gb200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</si>
  <si>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</si>
  <si>
    <t xml:space="preserve">cx_gb300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</si>
  <si>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</si>
  <si>
    <t xml:space="preserve">cx_vr200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</si>
  <si>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</si>
  <si>
    <t xml:space="preserve">ox_h100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</si>
  <si>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年營運費用（不含折舊；含電費）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</si>
  <si>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同上 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（電費、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與廠房維護、人員、稅與保險）</t>
    </r>
  </si>
  <si>
    <r>
      <rPr>
        <sz val="11"/>
        <color theme="1"/>
        <rFont val="Noto Sans CJK SC"/>
        <family val="2"/>
      </rPr>
      <t xml:space="preserve">本版新增：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正向推導（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EBITDAR </t>
    </r>
    <r>
      <rPr>
        <sz val="11"/>
        <color theme="1"/>
        <rFont val="Noto Sans CJK SC"/>
        <family val="2"/>
      </rPr>
      <t xml:space="preserve">率）</t>
    </r>
  </si>
  <si>
    <t xml:space="preserve">ox_gb200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</si>
  <si>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年營運費用（不含折舊；含電費）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</si>
  <si>
    <t xml:space="preserve">ox_gb300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</si>
  <si>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年營運費用（不含折舊；含電費）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</si>
  <si>
    <t xml:space="preserve">ox_vr200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</si>
  <si>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年營運費用（不含折舊；含電費）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</si>
  <si>
    <t xml:space="preserve">life_ai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</si>
  <si>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設備折舊年限</t>
    </r>
  </si>
  <si>
    <t xml:space="preserve">年</t>
  </si>
  <si>
    <r>
      <rPr>
        <sz val="11"/>
        <color theme="1"/>
        <rFont val="Calibri"/>
        <family val="2"/>
        <charset val="1"/>
      </rPr>
      <t xml:space="preserve">Tokenomics IF_DeprLifeIT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（高成本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</si>
  <si>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伺服器與網通設備耐用年限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oracle/data/oracle_facts_20261007.json ppe.serverLife</t>
    </r>
    <r>
      <rPr>
        <sz val="11"/>
        <color theme="1"/>
        <rFont val="Noto Sans CJK SC"/>
        <family val="2"/>
      </rPr>
      <t xml:space="preserve">）</t>
    </r>
  </si>
  <si>
    <t xml:space="preserve">p_long</t>
  </si>
  <si>
    <r>
      <rPr>
        <sz val="11"/>
        <color theme="1"/>
        <rFont val="Noto Sans CJK SC"/>
        <family val="2"/>
      </rPr>
      <t xml:space="preserve">長約價格證據：</t>
    </r>
    <r>
      <rPr>
        <sz val="11"/>
        <color theme="1"/>
        <rFont val="Calibri"/>
        <family val="2"/>
        <charset val="1"/>
      </rPr>
      <t xml:space="preserve">IREN–Microsoft GB300 </t>
    </r>
    <r>
      <rPr>
        <sz val="11"/>
        <color theme="1"/>
        <rFont val="Noto Sans CJK SC"/>
        <family val="2"/>
      </rPr>
      <t xml:space="preserve">五年約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</si>
  <si>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2025-11-03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$9.7bn ÷ 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200 MW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預付）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</si>
  <si>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pricing.anchorMultiple</t>
    </r>
    <r>
      <rPr>
        <sz val="11"/>
        <color theme="1"/>
        <rFont val="Noto Sans CJK SC"/>
        <family val="2"/>
      </rPr>
      <t xml:space="preserve">（低／高為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k 0.70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 × v5.27 </t>
    </r>
    <r>
      <rPr>
        <sz val="11"/>
        <color theme="1"/>
        <rFont val="Noto Sans CJK SC"/>
        <family val="2"/>
      </rPr>
      <t xml:space="preserve">錨換成固定價格）</t>
    </r>
  </si>
  <si>
    <t xml:space="preserve">p_spot</t>
  </si>
  <si>
    <r>
      <rPr>
        <sz val="11"/>
        <color theme="1"/>
        <rFont val="Noto Sans CJK SC"/>
        <family val="2"/>
      </rPr>
      <t xml:space="preserve">現貨價格證據：</t>
    </r>
    <r>
      <rPr>
        <sz val="11"/>
        <color theme="1"/>
        <rFont val="Calibri"/>
        <family val="2"/>
        <charset val="1"/>
      </rPr>
      <t xml:space="preserve">H100 Silicon Data </t>
    </r>
    <r>
      <rPr>
        <sz val="11"/>
        <color theme="1"/>
        <rFont val="Noto Sans CJK SC"/>
        <family val="2"/>
      </rPr>
      <t xml:space="preserve">指數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</si>
  <si>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GPU-hr</t>
    </r>
  </si>
  <si>
    <r>
      <rPr>
        <sz val="11"/>
        <color theme="1"/>
        <rFont val="Calibri"/>
        <family val="2"/>
        <charset val="1"/>
      </rPr>
      <t xml:space="preserve">Silicon Data H100 Index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</si>
  <si>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</si>
  <si>
    <t xml:space="preserve">gh_h100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</si>
  <si>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小時持有成本 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</si>
  <si>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</t>
    </r>
  </si>
  <si>
    <t xml:space="preserve">od_share</t>
  </si>
  <si>
    <t xml:space="preserve">隨需（現貨）占計費產能比例</t>
  </si>
  <si>
    <r>
      <rPr>
        <sz val="11"/>
        <color theme="1"/>
        <rFont val="Noto Sans CJK SC"/>
        <family val="2"/>
      </rPr>
      <t xml:space="preserve">公司未揭露長約／隨需比例（找不到）；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take-or-pay </t>
    </r>
    <r>
      <rPr>
        <sz val="11"/>
        <color theme="1"/>
        <rFont val="Noto Sans CJK SC"/>
        <family val="2"/>
      </rPr>
      <t xml:space="preserve">大型容量合約為主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</si>
  <si>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pricing.anchorMultiple.onDemandShare</t>
    </r>
  </si>
  <si>
    <t xml:space="preserve">k_long</t>
  </si>
  <si>
    <r>
      <rPr>
        <sz val="11"/>
        <color theme="1"/>
        <rFont val="Noto Sans CJK SC"/>
        <family val="2"/>
      </rPr>
      <t xml:space="preserve">長約定價倍數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長約（＝長約價 </t>
    </r>
    <r>
      <rPr>
        <sz val="11"/>
        <color theme="1"/>
        <rFont val="Calibri"/>
        <family val="2"/>
        <charset val="1"/>
      </rPr>
      <t xml:space="preserve">÷ GB300 </t>
    </r>
    <r>
      <rPr>
        <sz val="11"/>
        <color theme="1"/>
        <rFont val="Noto Sans CJK SC"/>
        <family val="2"/>
      </rPr>
      <t xml:space="preserve">持有成本）</t>
    </r>
  </si>
  <si>
    <r>
      <rPr>
        <sz val="11"/>
        <color theme="1"/>
        <rFont val="Noto Sans CJK SC"/>
        <family val="2"/>
      </rPr>
      <t xml:space="preserve">契約第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條預設解讀：長約以略低於打平租金換取預付與五年確定性</t>
    </r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</si>
  <si>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合約隱含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4.5 GW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1.47</t>
    </r>
    <r>
      <rPr>
        <sz val="11"/>
        <color theme="1"/>
        <rFont val="Noto Sans CJK SC"/>
        <family val="2"/>
      </rPr>
      <t xml:space="preserve">（視為設施），金額未經證實，只作敏感度</t>
    </r>
  </si>
  <si>
    <t xml:space="preserve">k_spot</t>
  </si>
  <si>
    <r>
      <rPr>
        <sz val="11"/>
        <color theme="1"/>
        <rFont val="Noto Sans CJK SC"/>
        <family val="2"/>
      </rPr>
      <t xml:space="preserve">現貨定價倍數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</si>
  <si>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現貨指數 </t>
    </r>
    <r>
      <rPr>
        <sz val="11"/>
        <color theme="1"/>
        <rFont val="Calibri"/>
        <family val="2"/>
        <charset val="1"/>
      </rPr>
      <t xml:space="preserve">÷ H100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小時持有成本</t>
    </r>
  </si>
  <si>
    <t xml:space="preserve">k_mix</t>
  </si>
  <si>
    <r>
      <rPr>
        <sz val="11"/>
        <color theme="1"/>
        <rFont val="Noto Sans CJK SC"/>
        <family val="2"/>
      </rPr>
      <t xml:space="preserve">定價倍數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（隨需占比加權）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</si>
  <si>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＝隨需占比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 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隨需占比）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</si>
  <si>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年收入＝在役世代加權 </t>
    </r>
    <r>
      <rPr>
        <sz val="11"/>
        <color theme="1"/>
        <rFont val="Calibri"/>
        <family val="2"/>
        <charset val="1"/>
      </rPr>
      <t xml:space="preserve">IF_HoldEcon × k</t>
    </r>
    <r>
      <rPr>
        <sz val="11"/>
        <color theme="1"/>
        <rFont val="Noto Sans CJK SC"/>
        <family val="2"/>
      </rPr>
      <t xml:space="preserve">；不以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、指引反推</t>
    </r>
  </si>
  <si>
    <t xml:space="preserve">k_adj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</si>
  <si>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調整係數（敏感度用；基準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</si>
  <si>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k ×0.9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約當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自身合約隱含 </t>
    </r>
    <r>
      <rPr>
        <sz val="11"/>
        <color theme="1"/>
        <rFont val="Calibri"/>
        <family val="2"/>
        <charset val="1"/>
      </rPr>
      <t xml:space="preserve">k 1.22</t>
    </r>
    <r>
      <rPr>
        <sz val="11"/>
        <color theme="1"/>
        <rFont val="Noto Sans CJK SC"/>
        <family val="2"/>
      </rPr>
      <t xml:space="preserve">）</t>
    </r>
  </si>
  <si>
    <t xml:space="preserve">lam</t>
  </si>
  <si>
    <r>
      <rPr>
        <sz val="11"/>
        <color theme="1"/>
        <rFont val="Noto Sans CJK SC"/>
        <family val="2"/>
      </rPr>
      <t xml:space="preserve">成長型資本支出提前比例 </t>
    </r>
    <r>
      <rPr>
        <sz val="11"/>
        <color theme="1"/>
        <rFont val="Calibri"/>
        <family val="2"/>
        <charset val="1"/>
      </rPr>
      <t xml:space="preserve">λ</t>
    </r>
    <r>
      <rPr>
        <sz val="11"/>
        <color theme="1"/>
        <rFont val="Noto Sans CJK SC"/>
        <family val="2"/>
      </rPr>
      <t xml:space="preserve">（次期新增產能的設備在本期付款）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</si>
  <si>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defaults.lambda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</si>
  <si>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命題：租賃（未起租 </t>
    </r>
    <r>
      <rPr>
        <b val="true"/>
        <sz val="11"/>
        <rFont val="Cambria"/>
        <family val="0"/>
        <charset val="1"/>
      </rPr>
      <t xml:space="preserve">288B</t>
    </r>
    <r>
      <rPr>
        <b val="true"/>
        <sz val="11"/>
        <rFont val="Noto Sans CJK SC"/>
        <family val="2"/>
      </rPr>
      <t xml:space="preserve">；沿用 </t>
    </r>
    <r>
      <rPr>
        <b val="true"/>
        <sz val="11"/>
        <rFont val="Cambria"/>
        <family val="0"/>
        <charset val="1"/>
      </rPr>
      <t xml:space="preserve">v0.3.1 leases.uncommenced</t>
    </r>
    <r>
      <rPr>
        <b val="true"/>
        <sz val="11"/>
        <rFont val="Noto Sans CJK SC"/>
        <family val="2"/>
      </rPr>
      <t xml:space="preserve">）</t>
    </r>
  </si>
  <si>
    <t xml:space="preserve">lease_unc</t>
  </si>
  <si>
    <t xml:space="preserve">未起租租賃承諾（未折現）</t>
  </si>
  <si>
    <t xml:space="preserve">US$B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</si>
  <si>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lease.uncommenced.fy27q1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</si>
  <si>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起租、期限 </t>
    </r>
    <r>
      <rPr>
        <sz val="11"/>
        <color theme="1"/>
        <rFont val="Calibri"/>
        <family val="2"/>
        <charset val="1"/>
      </rPr>
      <t xml:space="preserve">15–19 </t>
    </r>
    <r>
      <rPr>
        <sz val="11"/>
        <color theme="1"/>
        <rFont val="Noto Sans CJK SC"/>
        <family val="2"/>
      </rPr>
      <t xml:space="preserve">年</t>
    </r>
  </si>
  <si>
    <t xml:space="preserve">lease_q</t>
  </si>
  <si>
    <r>
      <rPr>
        <sz val="11"/>
        <color theme="1"/>
        <rFont val="Noto Sans CJK SC"/>
        <family val="2"/>
      </rPr>
      <t xml:space="preserve">未起租租約起租季數（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起平均）</t>
    </r>
  </si>
  <si>
    <t xml:space="preserve">季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</si>
  <si>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起租</t>
    </r>
  </si>
  <si>
    <t xml:space="preserve">lease_q0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</si>
  <si>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年底已起租季數（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起每季一批）</t>
    </r>
  </si>
  <si>
    <r>
      <rPr>
        <sz val="11"/>
        <color theme="1"/>
        <rFont val="Calibri"/>
        <family val="2"/>
        <charset val="1"/>
      </rPr>
      <t xml:space="preserve">FY27Q2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三季</t>
    </r>
  </si>
  <si>
    <r>
      <rPr>
        <sz val="11"/>
        <color theme="1"/>
        <rFont val="Noto Sans CJK SC"/>
        <family val="2"/>
      </rPr>
      <t xml:space="preserve">之後每年＋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季，至 </t>
    </r>
    <r>
      <rPr>
        <sz val="11"/>
        <color theme="1"/>
        <rFont val="Calibri"/>
        <family val="2"/>
        <charset val="1"/>
      </rPr>
      <t xml:space="preserve">lease_q </t>
    </r>
    <r>
      <rPr>
        <sz val="11"/>
        <color theme="1"/>
        <rFont val="Noto Sans CJK SC"/>
        <family val="2"/>
      </rPr>
      <t xml:space="preserve">為止</t>
    </r>
  </si>
  <si>
    <t xml:space="preserve">lease_term</t>
  </si>
  <si>
    <t xml:space="preserve">未起租租約期限（直線付租）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</si>
  <si>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：區間中點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</si>
  <si>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季平均起租（</t>
    </r>
    <r>
      <rPr>
        <sz val="11"/>
        <color theme="1"/>
        <rFont val="Calibri"/>
        <family val="2"/>
        <charset val="1"/>
      </rPr>
      <t xml:space="preserve">FY27Q2–FY29Q4</t>
    </r>
    <r>
      <rPr>
        <sz val="11"/>
        <color theme="1"/>
        <rFont val="Noto Sans CJK SC"/>
        <family val="2"/>
      </rPr>
      <t xml:space="preserve">）；三情境相同（合約性，不隨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縮放）</t>
    </r>
  </si>
  <si>
    <t xml:space="preserve">oplease_q1</t>
  </si>
  <si>
    <r>
      <rPr>
        <sz val="11"/>
        <color theme="1"/>
        <rFont val="Noto Sans CJK SC"/>
        <family val="2"/>
      </rPr>
      <t xml:space="preserve">營業租賃負債（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</si>
  <si>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bs.opLease.fy27q1</t>
    </r>
    <r>
      <rPr>
        <sz val="11"/>
        <color theme="1"/>
        <rFont val="Noto Sans CJK SC"/>
        <family val="2"/>
      </rPr>
      <t xml:space="preserve">）</t>
    </r>
  </si>
  <si>
    <t xml:space="preserve">finlease_q1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</si>
  <si>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末；列入淨負債與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的負債）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</si>
  <si>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bs.finLease.fy27q1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</si>
  <si>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修正一：列入淨負債（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</si>
  <si>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lease_on</t>
  </si>
  <si>
    <r>
      <rPr>
        <sz val="11"/>
        <color theme="1"/>
        <rFont val="Noto Sans CJK SC"/>
        <family val="2"/>
      </rPr>
      <t xml:space="preserve">在帳租賃負債（營業＋融資，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</si>
  <si>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bs.opLease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bs.finLease.fy27q1</t>
    </r>
    <r>
      <rPr>
        <sz val="11"/>
        <color theme="1"/>
        <rFont val="Noto Sans CJK SC"/>
        <family val="2"/>
      </rPr>
      <t xml:space="preserve">）</t>
    </r>
  </si>
  <si>
    <t xml:space="preserve">不含未起租</t>
  </si>
  <si>
    <t xml:space="preserve">lease_r</t>
  </si>
  <si>
    <t xml:space="preserve">租賃折現率</t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</si>
  <si>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 營業／融資租賃加權平均折現率 </t>
    </r>
    <r>
      <rPr>
        <sz val="11"/>
        <color theme="1"/>
        <rFont val="Calibri"/>
        <family val="2"/>
        <charset val="1"/>
      </rPr>
      <t xml:space="preserve">5.7%</t>
    </r>
  </si>
  <si>
    <t xml:space="preserve">oplcost_q1</t>
  </si>
  <si>
    <r>
      <rPr>
        <sz val="11"/>
        <color theme="1"/>
        <rFont val="Noto Sans CJK SC"/>
        <family val="2"/>
      </rPr>
      <t xml:space="preserve">營業租賃費用（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</si>
  <si>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lease.opCost.fy27q1</t>
    </r>
    <r>
      <rPr>
        <sz val="11"/>
        <color theme="1"/>
        <rFont val="Noto Sans CJK SC"/>
        <family val="2"/>
      </rPr>
      <t xml:space="preserve">）</t>
    </r>
  </si>
  <si>
    <t xml:space="preserve">rent_on</t>
  </si>
  <si>
    <t xml:space="preserve">在帳租約年租金（營業租賃費用年化；算槓桿用）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</si>
  <si>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營業租賃費用 </t>
    </r>
    <r>
      <rPr>
        <sz val="11"/>
        <color theme="1"/>
        <rFont val="Calibri"/>
        <family val="2"/>
        <charset val="1"/>
      </rPr>
      <t xml:space="preserve">1.101 × 4</t>
    </r>
  </si>
  <si>
    <t xml:space="preserve">已含在各分部成本內，只用於調整後槓桿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</si>
  <si>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命題：</t>
    </r>
    <r>
      <rPr>
        <b val="true"/>
        <sz val="11"/>
        <rFont val="Cambria"/>
        <family val="0"/>
        <charset val="1"/>
      </rPr>
      <t xml:space="preserve">OCI </t>
    </r>
    <r>
      <rPr>
        <b val="true"/>
        <sz val="11"/>
        <rFont val="Noto Sans CJK SC"/>
        <family val="2"/>
      </rPr>
      <t xml:space="preserve">其他（非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）營收路徑</t>
    </r>
  </si>
  <si>
    <t xml:space="preserve">gna0</t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</si>
  <si>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）年增：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</si>
  <si>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拆分（不存在）；</t>
    </r>
    <r>
      <rPr>
        <sz val="11"/>
        <color theme="1"/>
        <rFont val="Calibri"/>
        <family val="2"/>
        <charset val="1"/>
      </rPr>
      <t xml:space="preserve">FY24 OCI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</si>
  <si>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部分為殘差（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欄），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占比區間 </t>
    </r>
    <r>
      <rPr>
        <sz val="11"/>
        <color theme="1"/>
        <rFont val="Calibri"/>
        <family val="2"/>
        <charset val="1"/>
      </rPr>
      <t xml:space="preserve">12–30%</t>
    </r>
  </si>
  <si>
    <t xml:space="preserve">gnaLT</t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</si>
  <si>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）年增：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（線性收斂）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</si>
  <si>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IaaS </t>
    </r>
    <r>
      <rPr>
        <sz val="11"/>
        <color theme="1"/>
        <rFont val="Noto Sans CJK SC"/>
        <family val="2"/>
      </rPr>
      <t xml:space="preserve">長期成長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</si>
  <si>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其他營收線：長期年增（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起點＝近四季年增率，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，線性收斂）</t>
    </r>
  </si>
  <si>
    <t xml:space="preserve">gLT_saas</t>
  </si>
  <si>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 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</si>
  <si>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legacyBiz SaaS gLT 8%</t>
    </r>
  </si>
  <si>
    <r>
      <rPr>
        <sz val="11"/>
        <color theme="1"/>
        <rFont val="Calibri"/>
        <family val="2"/>
        <charset val="1"/>
      </rPr>
      <t xml:space="preserve">FY2028–FY2031 </t>
    </r>
    <r>
      <rPr>
        <sz val="11"/>
        <color theme="1"/>
        <rFont val="Noto Sans CJK SC"/>
        <family val="2"/>
      </rPr>
      <t xml:space="preserve">由近四季年增率線性收斂</t>
    </r>
  </si>
  <si>
    <t xml:space="preserve">gLT_lic</t>
  </si>
  <si>
    <r>
      <rPr>
        <sz val="11"/>
        <color theme="1"/>
        <rFont val="Calibri"/>
        <family val="2"/>
        <charset val="1"/>
      </rPr>
      <t xml:space="preserve">Software license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</si>
  <si>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為授權＋支援合併 −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；本版拆開，授權 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（判斷）</t>
    </r>
  </si>
  <si>
    <t xml:space="preserve">gLT_sup</t>
  </si>
  <si>
    <r>
      <rPr>
        <sz val="11"/>
        <color theme="1"/>
        <rFont val="Calibri"/>
        <family val="2"/>
        <charset val="1"/>
      </rPr>
      <t xml:space="preserve">Software support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</si>
  <si>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為授權＋支援合併 −</t>
    </r>
    <r>
      <rPr>
        <sz val="11"/>
        <color theme="1"/>
        <rFont val="Calibri"/>
        <family val="2"/>
        <charset val="1"/>
      </rPr>
      <t xml:space="preserve">1%</t>
    </r>
  </si>
  <si>
    <t xml:space="preserve">gLT_hw</t>
  </si>
  <si>
    <r>
      <rPr>
        <sz val="11"/>
        <color theme="1"/>
        <rFont val="Calibri"/>
        <family val="2"/>
        <charset val="1"/>
      </rPr>
      <t xml:space="preserve">Hardware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</si>
  <si>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legacyBiz </t>
    </r>
    <r>
      <rPr>
        <sz val="11"/>
        <color theme="1"/>
        <rFont val="Noto Sans CJK SC"/>
        <family val="2"/>
      </rPr>
      <t xml:space="preserve">硬體 </t>
    </r>
    <r>
      <rPr>
        <sz val="11"/>
        <color theme="1"/>
        <rFont val="Calibri"/>
        <family val="2"/>
        <charset val="1"/>
      </rPr>
      <t xml:space="preserve">0%</t>
    </r>
  </si>
  <si>
    <t xml:space="preserve">gLT_svc</t>
  </si>
  <si>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</si>
  <si>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legacyBiz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3%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</si>
  <si>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分部利潤率、未分攤費用（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頁實績推得）</t>
    </r>
  </si>
  <si>
    <t xml:space="preserve">m_hw</t>
  </si>
  <si>
    <r>
      <rPr>
        <sz val="11"/>
        <color theme="1"/>
        <rFont val="Calibri"/>
        <family val="2"/>
        <charset val="1"/>
      </rPr>
      <t xml:space="preserve">Hardware </t>
    </r>
    <r>
      <rPr>
        <sz val="11"/>
        <color theme="1"/>
        <rFont val="Noto Sans CJK SC"/>
        <family val="2"/>
      </rPr>
      <t xml:space="preserve">分部利潤率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</si>
  <si>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硬體分部利潤 </t>
    </r>
    <r>
      <rPr>
        <sz val="11"/>
        <color theme="1"/>
        <rFont val="Calibri"/>
        <family val="2"/>
        <charset val="1"/>
      </rPr>
      <t xml:space="preserve">2,017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3,084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</si>
  <si>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58.4%</t>
    </r>
  </si>
  <si>
    <t xml:space="preserve">m_svc</t>
  </si>
  <si>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分部利潤率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</si>
  <si>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服務分部利潤 </t>
    </r>
    <r>
      <rPr>
        <sz val="11"/>
        <color theme="1"/>
        <rFont val="Calibri"/>
        <family val="2"/>
        <charset val="1"/>
      </rPr>
      <t xml:space="preserve">1,533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5,743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</si>
  <si>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31.5%</t>
    </r>
  </si>
  <si>
    <t xml:space="preserve">m_sw</t>
  </si>
  <si>
    <r>
      <rPr>
        <sz val="11"/>
        <color theme="1"/>
        <rFont val="Calibri"/>
        <family val="2"/>
        <charset val="1"/>
      </rPr>
      <t xml:space="preserve">Cloud and software </t>
    </r>
    <r>
      <rPr>
        <sz val="11"/>
        <color theme="1"/>
        <rFont val="Noto Sans CJK SC"/>
        <family val="2"/>
      </rPr>
      <t xml:space="preserve">分部中「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以外」的利潤率（以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</si>
  <si>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分部利潤 </t>
    </r>
    <r>
      <rPr>
        <sz val="11"/>
        <color theme="1"/>
        <rFont val="Calibri"/>
        <family val="2"/>
        <charset val="1"/>
      </rPr>
      <t xml:space="preserve">9.358 − </t>
    </r>
    <r>
      <rPr>
        <sz val="11"/>
        <color theme="1"/>
        <rFont val="Noto Sans CJK SC"/>
        <family val="2"/>
      </rPr>
      <t xml:space="preserve">命題估計的 </t>
    </r>
    <r>
      <rPr>
        <sz val="11"/>
        <color theme="1"/>
        <rFont val="Calibri"/>
        <family val="2"/>
        <charset val="1"/>
      </rPr>
      <t xml:space="preserve">Q1 OCI AI </t>
    </r>
    <r>
      <rPr>
        <sz val="11"/>
        <color theme="1"/>
        <rFont val="Noto Sans CJK SC"/>
        <family val="2"/>
      </rPr>
      <t xml:space="preserve">貢獻）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分部營收 </t>
    </r>
    <r>
      <rPr>
        <sz val="11"/>
        <color theme="1"/>
        <rFont val="Calibri"/>
        <family val="2"/>
        <charset val="1"/>
      </rPr>
      <t xml:space="preserve">17.157 − </t>
    </r>
    <r>
      <rPr>
        <sz val="11"/>
        <color theme="1"/>
        <rFont val="Noto Sans CJK SC"/>
        <family val="2"/>
      </rPr>
      <t xml:space="preserve">命題估計的 </t>
    </r>
    <r>
      <rPr>
        <sz val="11"/>
        <color theme="1"/>
        <rFont val="Calibri"/>
        <family val="2"/>
        <charset val="1"/>
      </rPr>
      <t xml:space="preserve">Q1 OCI AI </t>
    </r>
    <r>
      <rPr>
        <sz val="11"/>
        <color theme="1"/>
        <rFont val="Noto Sans CJK SC"/>
        <family val="2"/>
      </rPr>
      <t xml:space="preserve">營收）；見 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</si>
  <si>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規模化前）雲端與軟體分部利潤率 </t>
    </r>
    <r>
      <rPr>
        <sz val="11"/>
        <color theme="1"/>
        <rFont val="Calibri"/>
        <family val="2"/>
        <charset val="1"/>
      </rPr>
      <t xml:space="preserve">64.1%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</si>
  <si>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m_adj</t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</si>
  <si>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以外」利潤率調整（敏感度用；基準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</si>
  <si>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</si>
  <si>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占比上升、授權與支援下滑的組合效果未分開建模</t>
    </r>
  </si>
  <si>
    <t xml:space="preserve">un_rr</t>
  </si>
  <si>
    <r>
      <rPr>
        <sz val="11"/>
        <color theme="1"/>
        <rFont val="Noto Sans CJK SC"/>
        <family val="2"/>
      </rPr>
      <t xml:space="preserve">未分攤費用 </t>
    </r>
    <r>
      <rPr>
        <sz val="11"/>
        <color theme="1"/>
        <rFont val="Calibri"/>
        <family val="2"/>
        <charset val="1"/>
      </rPr>
      <t xml:space="preserve">FY27 Q2–Q4 </t>
    </r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÷ Q1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</si>
  <si>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Noto Sans CJK SC"/>
        <family val="2"/>
      </rPr>
      <t xml:space="preserve">修正一預設：回到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季均 </t>
    </r>
    <r>
      <rPr>
        <sz val="11"/>
        <color theme="1"/>
        <rFont val="Calibri"/>
        <family val="2"/>
        <charset val="1"/>
      </rPr>
      <t xml:space="preserve">4.353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3.527 </t>
    </r>
    <r>
      <rPr>
        <sz val="11"/>
        <color theme="1"/>
        <rFont val="Noto Sans CJK SC"/>
        <family val="2"/>
      </rPr>
      <t xml:space="preserve">偏低，可能含一次性因素）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</si>
  <si>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實績水準（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原預設）；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頁列示</t>
    </r>
  </si>
  <si>
    <t xml:space="preserve">un_g</t>
  </si>
  <si>
    <r>
      <rPr>
        <sz val="11"/>
        <color theme="1"/>
        <rFont val="Noto Sans CJK SC"/>
        <family val="2"/>
      </rPr>
      <t xml:space="preserve">未分攤費用（研發、管理、攤銷、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等）年增（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</si>
  <si>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無：公司不揭露未分攤費用預算</t>
  </si>
  <si>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同比例</t>
    </r>
  </si>
  <si>
    <t xml:space="preserve">sbc_q1</t>
  </si>
  <si>
    <r>
      <rPr>
        <sz val="11"/>
        <color theme="1"/>
        <rFont val="Noto Sans CJK SC"/>
        <family val="2"/>
      </rPr>
      <t xml:space="preserve">股份基礎給付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</si>
  <si>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is.sbc.fy27q1</t>
    </r>
    <r>
      <rPr>
        <sz val="11"/>
        <color theme="1"/>
        <rFont val="Noto Sans CJK SC"/>
        <family val="2"/>
      </rPr>
      <t xml:space="preserve">）</t>
    </r>
  </si>
  <si>
    <t xml:space="preserve">FY2026 4.811</t>
  </si>
  <si>
    <t xml:space="preserve">da_q1</t>
  </si>
  <si>
    <r>
      <rPr>
        <sz val="11"/>
        <color theme="1"/>
        <rFont val="Noto Sans CJK SC"/>
        <family val="2"/>
      </rPr>
      <t xml:space="preserve">折舊與攤銷（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</si>
  <si>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</si>
  <si>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amort</t>
  </si>
  <si>
    <t xml:space="preserve">無形資產攤銷（年）</t>
  </si>
  <si>
    <r>
      <rPr>
        <sz val="11"/>
        <color theme="1"/>
        <rFont val="Calibri"/>
        <family val="2"/>
        <charset val="1"/>
      </rPr>
      <t xml:space="preserve">Q1 FY27 D&amp;A 3.358 −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3.200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is.da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dep.fy27q1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4</t>
    </r>
  </si>
  <si>
    <r>
      <rPr>
        <sz val="11"/>
        <color theme="1"/>
        <rFont val="Calibri"/>
        <family val="2"/>
        <charset val="1"/>
      </rPr>
      <t xml:space="preserve">FY2026 1.671</t>
    </r>
    <r>
      <rPr>
        <sz val="11"/>
        <color theme="1"/>
        <rFont val="Noto Sans CJK SC"/>
        <family val="2"/>
      </rPr>
      <t xml:space="preserve">，逐年下降；各年沿用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年化（偏高）</t>
    </r>
  </si>
  <si>
    <t xml:space="preserve">dep_q1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</si>
  <si>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</si>
  <si>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dep.fy27q1</t>
    </r>
    <r>
      <rPr>
        <sz val="11"/>
        <color theme="1"/>
        <rFont val="Noto Sans CJK SC"/>
        <family val="2"/>
      </rPr>
      <t xml:space="preserve">）</t>
    </r>
  </si>
  <si>
    <t xml:space="preserve">dep_fy24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</si>
  <si>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</si>
  <si>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分部）（</t>
    </r>
    <r>
      <rPr>
        <sz val="11"/>
        <color theme="1"/>
        <rFont val="Calibri"/>
        <family val="2"/>
        <charset val="1"/>
      </rPr>
      <t xml:space="preserve">oracle/data/oracle_facts_20261007.json is.dep.fy2024</t>
    </r>
    <r>
      <rPr>
        <sz val="11"/>
        <color theme="1"/>
        <rFont val="Noto Sans CJK SC"/>
        <family val="2"/>
      </rPr>
      <t xml:space="preserve">）</t>
    </r>
  </si>
  <si>
    <t xml:space="preserve">nonai_dep_q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</si>
  <si>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折舊（每季）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</si>
  <si>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分部）：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規模化前）折舊 </t>
    </r>
    <r>
      <rPr>
        <sz val="11"/>
        <color theme="1"/>
        <rFont val="Calibri"/>
        <family val="2"/>
        <charset val="1"/>
      </rPr>
      <t xml:space="preserve">3.129 ÷ 4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</si>
  <si>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其餘折舊視為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在役設備；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營收等比例</t>
    </r>
  </si>
  <si>
    <t xml:space="preserve">cip_q1</t>
  </si>
  <si>
    <r>
      <rPr>
        <sz val="11"/>
        <color theme="1"/>
        <rFont val="Noto Sans CJK SC"/>
        <family val="2"/>
      </rPr>
      <t xml:space="preserve">在建工程（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末；視為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設備，</t>
    </r>
    <r>
      <rPr>
        <sz val="11"/>
        <color theme="1"/>
        <rFont val="Calibri"/>
        <family val="2"/>
        <charset val="1"/>
      </rPr>
      <t xml:space="preserve">FY27 Q2–Q4 </t>
    </r>
    <r>
      <rPr>
        <sz val="11"/>
        <color theme="1"/>
        <rFont val="Noto Sans CJK SC"/>
        <family val="2"/>
      </rPr>
      <t xml:space="preserve">起投入使用）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</si>
  <si>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bs.cip.fy27q1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</si>
  <si>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末之前的支出不是已在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折舊內，就是在建工程</t>
    </r>
  </si>
  <si>
    <t xml:space="preserve">nonai_cx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</si>
  <si>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</si>
  <si>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6.866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52.961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（含早期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擴建）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</si>
  <si>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折舊另以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水準隨非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營收等比例（不隨本參數變動）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</si>
  <si>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現金流、融資（沿用 </t>
    </r>
    <r>
      <rPr>
        <b val="true"/>
        <sz val="11"/>
        <rFont val="Cambria"/>
        <family val="0"/>
        <charset val="1"/>
      </rPr>
      <t xml:space="preserve">v0.3.1 defaults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實績＋指引為錨）</t>
    </r>
  </si>
  <si>
    <t xml:space="preserve">capex_g27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</si>
  <si>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資本支出（公司指引中點）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</si>
  <si>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（二手逐字稿；</t>
    </r>
    <r>
      <rPr>
        <sz val="11"/>
        <color theme="1"/>
        <rFont val="Calibri"/>
        <family val="2"/>
        <charset val="1"/>
      </rPr>
      <t xml:space="preserve">oracle/data/oracle_facts_20261007.json guide.fy27.capex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</si>
  <si>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：近期以實績＋公司指引為錨；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起由命題推導</t>
    </r>
  </si>
  <si>
    <t xml:space="preserve">prepay_cov</t>
  </si>
  <si>
    <r>
      <rPr>
        <sz val="11"/>
        <color theme="1"/>
        <rFont val="Noto Sans CJK SC"/>
        <family val="2"/>
      </rPr>
      <t xml:space="preserve">客戶出資覆蓋比（預付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資本支出）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</si>
  <si>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指引：資本支出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、淨現金資本支出 ≤</t>
    </r>
    <r>
      <rPr>
        <sz val="11"/>
        <color theme="1"/>
        <rFont val="Calibri"/>
        <family val="2"/>
        <charset val="1"/>
      </rPr>
      <t xml:space="preserve">70 → 22.2–26.3% </t>
    </r>
    <r>
      <rPr>
        <sz val="11"/>
        <color theme="1"/>
        <rFont val="Noto Sans CJK SC"/>
        <family val="2"/>
      </rPr>
      <t xml:space="preserve">中點（沿用 </t>
    </r>
    <r>
      <rPr>
        <sz val="11"/>
        <color theme="1"/>
        <rFont val="Calibri"/>
        <family val="2"/>
        <charset val="1"/>
      </rPr>
      <t xml:space="preserve">v0.3.1 defaults.prepay.capexCover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</si>
  <si>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37.0%</t>
    </r>
  </si>
  <si>
    <t xml:space="preserve">prepay_open</t>
  </si>
  <si>
    <r>
      <rPr>
        <sz val="11"/>
        <color theme="1"/>
        <rFont val="Noto Sans CJK SC"/>
        <family val="2"/>
      </rPr>
      <t xml:space="preserve">客戶預付（重大財務組成）累計現金（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</si>
  <si>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FY26 4.592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Q1 FY27 11.363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prepay.cash.cum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</si>
  <si>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年認列為非現金營收（自營運現金扣除）</t>
    </r>
  </si>
  <si>
    <t xml:space="preserve">prepay_yrs</t>
  </si>
  <si>
    <t xml:space="preserve">預付認列年數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</si>
  <si>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</si>
  <si>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t xml:space="preserve">etr</t>
  </si>
  <si>
    <t xml:space="preserve">有效稅率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</si>
  <si>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FY27 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15.1%</t>
    </r>
  </si>
  <si>
    <r>
      <rPr>
        <sz val="11"/>
        <color theme="1"/>
        <rFont val="Calibri"/>
        <family val="2"/>
        <charset val="1"/>
      </rPr>
      <t xml:space="preserve">FY2026 12.62%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</si>
  <si>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debt_q1</t>
  </si>
  <si>
    <r>
      <rPr>
        <sz val="11"/>
        <color theme="1"/>
        <rFont val="Noto Sans CJK SC"/>
        <family val="2"/>
      </rPr>
      <t xml:space="preserve">借款本金（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</si>
  <si>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bs.debtPar.fy27q1</t>
    </r>
    <r>
      <rPr>
        <sz val="11"/>
        <color theme="1"/>
        <rFont val="Noto Sans CJK SC"/>
        <family val="2"/>
      </rPr>
      <t xml:space="preserve">）</t>
    </r>
  </si>
  <si>
    <t xml:space="preserve">到期再融資假設以相同利率展延</t>
  </si>
  <si>
    <t xml:space="preserve">int_q1</t>
  </si>
  <si>
    <r>
      <rPr>
        <sz val="11"/>
        <color theme="1"/>
        <rFont val="Noto Sans CJK SC"/>
        <family val="2"/>
      </rPr>
      <t xml:space="preserve">利息費用（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</si>
  <si>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t xml:space="preserve">ii_q1</t>
  </si>
  <si>
    <r>
      <rPr>
        <sz val="11"/>
        <color theme="1"/>
        <rFont val="Noto Sans CJK SC"/>
        <family val="2"/>
      </rPr>
      <t xml:space="preserve">利息收入（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</si>
  <si>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is.interestIncome.fy27q1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</si>
  <si>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頁未列（新聞稿只有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）</t>
    </r>
  </si>
  <si>
    <t xml:space="preserve">r_old</t>
  </si>
  <si>
    <r>
      <rPr>
        <sz val="11"/>
        <color theme="1"/>
        <rFont val="Noto Sans CJK SC"/>
        <family val="2"/>
      </rPr>
      <t xml:space="preserve">既有借款平均利率（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利息費用年化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本金）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</si>
  <si>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1.428</t>
    </r>
  </si>
  <si>
    <t xml:space="preserve">r_new</t>
  </si>
  <si>
    <t xml:space="preserve">新增投資級債利率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</si>
  <si>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新債票面 </t>
    </r>
    <r>
      <rPr>
        <sz val="11"/>
        <color theme="1"/>
        <rFont val="Calibri"/>
        <family val="2"/>
        <charset val="1"/>
      </rPr>
      <t xml:space="preserve">5.8%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</si>
  <si>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6.55% 2046 </t>
    </r>
    <r>
      <rPr>
        <sz val="11"/>
        <color theme="1"/>
        <rFont val="Noto Sans CJK SC"/>
        <family val="2"/>
      </rPr>
      <t xml:space="preserve">票據殖利率 </t>
    </r>
    <r>
      <rPr>
        <sz val="11"/>
        <color theme="1"/>
        <rFont val="Calibri"/>
        <family val="2"/>
        <charset val="1"/>
      </rPr>
      <t xml:space="preserve">8.11%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）</t>
    </r>
  </si>
  <si>
    <t xml:space="preserve">r_junk</t>
  </si>
  <si>
    <t xml:space="preserve">高息債利率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</si>
  <si>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defaults.junkRate</t>
    </r>
  </si>
  <si>
    <t xml:space="preserve">r_cash</t>
  </si>
  <si>
    <t xml:space="preserve">現金利息收益率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</si>
  <si>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0.306 ÷ </t>
    </r>
    <r>
      <rPr>
        <sz val="11"/>
        <color theme="1"/>
        <rFont val="Noto Sans CJK SC"/>
        <family val="2"/>
      </rPr>
      <t xml:space="preserve">期末現金 </t>
    </r>
    <r>
      <rPr>
        <sz val="11"/>
        <color theme="1"/>
        <rFont val="Calibri"/>
        <family val="2"/>
        <charset val="1"/>
      </rPr>
      <t xml:space="preserve">36.369 × 4</t>
    </r>
  </si>
  <si>
    <t xml:space="preserve">cashonly_q1</t>
  </si>
  <si>
    <r>
      <rPr>
        <sz val="11"/>
        <color theme="1"/>
        <rFont val="Noto Sans CJK SC"/>
        <family val="2"/>
      </rPr>
      <t xml:space="preserve">現金與約當現金（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</si>
  <si>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bs.cash.fy27q1</t>
    </r>
    <r>
      <rPr>
        <sz val="11"/>
        <color theme="1"/>
        <rFont val="Noto Sans CJK SC"/>
        <family val="2"/>
      </rPr>
      <t xml:space="preserve">）</t>
    </r>
  </si>
  <si>
    <t xml:space="preserve">mktsec_q1</t>
  </si>
  <si>
    <r>
      <rPr>
        <sz val="11"/>
        <color theme="1"/>
        <rFont val="Noto Sans CJK SC"/>
        <family val="2"/>
      </rPr>
      <t xml:space="preserve">有價證券（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</si>
  <si>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bs.mktSec.fy27q1</t>
    </r>
    <r>
      <rPr>
        <sz val="11"/>
        <color theme="1"/>
        <rFont val="Noto Sans CJK SC"/>
        <family val="2"/>
      </rPr>
      <t xml:space="preserve">）</t>
    </r>
  </si>
  <si>
    <t xml:space="preserve">cash_q1</t>
  </si>
  <si>
    <r>
      <rPr>
        <sz val="11"/>
        <color theme="1"/>
        <rFont val="Noto Sans CJK SC"/>
        <family val="2"/>
      </rPr>
      <t xml:space="preserve">現金與有價證券（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</si>
  <si>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bs.cash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bs.mktSec.fy27q1</t>
    </r>
    <r>
      <rPr>
        <sz val="11"/>
        <color theme="1"/>
        <rFont val="Noto Sans CJK SC"/>
        <family val="2"/>
      </rPr>
      <t xml:space="preserve">）</t>
    </r>
  </si>
  <si>
    <t xml:space="preserve">min_cash</t>
  </si>
  <si>
    <t xml:space="preserve">最低現金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</si>
  <si>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defaults.minCash</t>
    </r>
  </si>
  <si>
    <r>
      <rPr>
        <sz val="11"/>
        <color theme="1"/>
        <rFont val="Noto Sans CJK SC"/>
        <family val="2"/>
      </rPr>
      <t xml:space="preserve">循環額度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不列入</t>
    </r>
  </si>
  <si>
    <t xml:space="preserve">lev_max</t>
  </si>
  <si>
    <r>
      <rPr>
        <sz val="11"/>
        <color theme="1"/>
        <rFont val="Noto Sans CJK SC"/>
        <family val="2"/>
      </rPr>
      <t xml:space="preserve">投資級上限：（借款＋租賃負債）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＋租金）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</si>
  <si>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defaults.debtEbitdaMax</t>
    </r>
    <r>
      <rPr>
        <sz val="11"/>
        <color theme="1"/>
        <rFont val="Noto Sans CJK SC"/>
        <family val="2"/>
      </rPr>
      <t xml:space="preserve">（租賃調整後）</t>
    </r>
  </si>
  <si>
    <t xml:space="preserve">只限制新增投資級債；超過走股權再走高息債</t>
  </si>
  <si>
    <t xml:space="preserve">eq_cap</t>
  </si>
  <si>
    <t xml:space="preserve">每年新股上限（占市值）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</si>
  <si>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defaults.eqCapPct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</si>
  <si>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已用 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19.9</t>
    </r>
    <r>
      <rPr>
        <sz val="11"/>
        <color theme="1"/>
        <rFont val="Noto Sans CJK SC"/>
        <family val="2"/>
      </rPr>
      <t xml:space="preserve">（不計入模型期）</t>
    </r>
  </si>
  <si>
    <t xml:space="preserve">eq_tol</t>
  </si>
  <si>
    <t xml:space="preserve">「需要新股或高息債」判定門檻（技術容忍值）</t>
  </si>
  <si>
    <t xml:space="preserve">低於此額視為不需要</t>
  </si>
  <si>
    <t xml:space="preserve">eq_disc</t>
  </si>
  <si>
    <t xml:space="preserve">新股發行折價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</si>
  <si>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defaults.eqDisc</t>
    </r>
  </si>
  <si>
    <t xml:space="preserve">dps_q</t>
  </si>
  <si>
    <t xml:space="preserve">普通股每季股利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</si>
  <si>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／股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</si>
  <si>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宣告）</t>
    </r>
  </si>
  <si>
    <r>
      <rPr>
        <sz val="11"/>
        <color theme="1"/>
        <rFont val="Noto Sans CJK SC"/>
        <family val="2"/>
      </rPr>
      <t xml:space="preserve">不回購（沿用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；授權餘額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）</t>
    </r>
  </si>
  <si>
    <t xml:space="preserve">pref_q1</t>
  </si>
  <si>
    <r>
      <rPr>
        <sz val="11"/>
        <color theme="1"/>
        <rFont val="Noto Sans CJK SC"/>
        <family val="2"/>
      </rPr>
      <t xml:space="preserve">特別股股利（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</si>
  <si>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is.prefDiv.fy27q1</t>
    </r>
    <r>
      <rPr>
        <sz val="11"/>
        <color theme="1"/>
        <rFont val="Noto Sans CJK SC"/>
        <family val="2"/>
      </rPr>
      <t xml:space="preserve">）</t>
    </r>
  </si>
  <si>
    <t xml:space="preserve">shd_q1</t>
  </si>
  <si>
    <r>
      <rPr>
        <sz val="11"/>
        <color theme="1"/>
        <rFont val="Noto Sans CJK SC"/>
        <family val="2"/>
      </rPr>
      <t xml:space="preserve">稀釋加權股數（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</si>
  <si>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sh.dilW.fy27q1</t>
    </r>
    <r>
      <rPr>
        <sz val="11"/>
        <color theme="1"/>
        <rFont val="Noto Sans CJK SC"/>
        <family val="2"/>
      </rPr>
      <t xml:space="preserve">）</t>
    </r>
  </si>
  <si>
    <t xml:space="preserve">pref27</t>
  </si>
  <si>
    <r>
      <rPr>
        <sz val="11"/>
        <color theme="1"/>
        <rFont val="Noto Sans CJK SC"/>
        <family val="2"/>
      </rPr>
      <t xml:space="preserve">特別股股利：</t>
    </r>
    <r>
      <rPr>
        <sz val="11"/>
        <color theme="1"/>
        <rFont val="Calibri"/>
        <family val="2"/>
        <charset val="1"/>
      </rPr>
      <t xml:space="preserve">FY27 Q2–Q4</t>
    </r>
  </si>
  <si>
    <r>
      <rPr>
        <sz val="11"/>
        <color theme="1"/>
        <rFont val="Calibri"/>
        <family val="2"/>
        <charset val="1"/>
      </rPr>
      <t xml:space="preserve">6.50% Series D $5B × 6.5% × 3 </t>
    </r>
    <r>
      <rPr>
        <sz val="11"/>
        <color theme="1"/>
        <rFont val="Noto Sans CJK SC"/>
        <family val="2"/>
      </rPr>
      <t xml:space="preserve">季（沿用 </t>
    </r>
    <r>
      <rPr>
        <sz val="11"/>
        <color theme="1"/>
        <rFont val="Calibri"/>
        <family val="2"/>
        <charset val="1"/>
      </rPr>
      <t xml:space="preserve">v0.3.1 defaults.dividend.preferred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</si>
  <si>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FY28 0.325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FY29 0.244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2029-01-15 </t>
    </r>
    <r>
      <rPr>
        <sz val="11"/>
        <color theme="1"/>
        <rFont val="Noto Sans CJK SC"/>
        <family val="2"/>
      </rPr>
      <t xml:space="preserve">轉換）</t>
    </r>
  </si>
  <si>
    <t xml:space="preserve">pref28</t>
  </si>
  <si>
    <r>
      <rPr>
        <sz val="11"/>
        <color theme="1"/>
        <rFont val="Noto Sans CJK SC"/>
        <family val="2"/>
      </rPr>
      <t xml:space="preserve">特別股股利：</t>
    </r>
    <r>
      <rPr>
        <sz val="11"/>
        <color theme="1"/>
        <rFont val="Calibri"/>
        <family val="2"/>
        <charset val="1"/>
      </rPr>
      <t xml:space="preserve">FY2028</t>
    </r>
  </si>
  <si>
    <t xml:space="preserve">pref29</t>
  </si>
  <si>
    <r>
      <rPr>
        <sz val="11"/>
        <color theme="1"/>
        <rFont val="Noto Sans CJK SC"/>
        <family val="2"/>
      </rPr>
      <t xml:space="preserve">特別股股利：</t>
    </r>
    <r>
      <rPr>
        <sz val="11"/>
        <color theme="1"/>
        <rFont val="Calibri"/>
        <family val="2"/>
        <charset val="1"/>
      </rPr>
      <t xml:space="preserve">FY2029</t>
    </r>
  </si>
  <si>
    <t xml:space="preserve">cfo_q1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</si>
  <si>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</si>
  <si>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）（含客戶預付 </t>
    </r>
    <r>
      <rPr>
        <sz val="11"/>
        <color theme="1"/>
        <rFont val="Calibri"/>
        <family val="2"/>
        <charset val="1"/>
      </rPr>
      <t xml:space="preserve">11.363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</si>
  <si>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全年＝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</t>
    </r>
  </si>
  <si>
    <t xml:space="preserve">capex_q1</t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</si>
  <si>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</si>
  <si>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</t>
    </r>
  </si>
  <si>
    <t xml:space="preserve">div_q1</t>
  </si>
  <si>
    <r>
      <rPr>
        <sz val="11"/>
        <color theme="1"/>
        <rFont val="Noto Sans CJK SC"/>
        <family val="2"/>
      </rPr>
      <t xml:space="preserve">股利支付（普通股＋特別股，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</si>
  <si>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評價（沿用 </t>
    </r>
    <r>
      <rPr>
        <b val="true"/>
        <sz val="11"/>
        <rFont val="Cambria"/>
        <family val="0"/>
        <charset val="1"/>
      </rPr>
      <t xml:space="preserve">v0.3.1 CAPM </t>
    </r>
    <r>
      <rPr>
        <b val="true"/>
        <sz val="11"/>
        <rFont val="Noto Sans CJK SC"/>
        <family val="2"/>
      </rPr>
      <t xml:space="preserve">輸入；權重為判斷預設）</t>
    </r>
  </si>
  <si>
    <t xml:space="preserve">rf</t>
  </si>
  <si>
    <r>
      <rPr>
        <sz val="11"/>
        <color theme="1"/>
        <rFont val="Noto Sans CJK SC"/>
        <family val="2"/>
      </rPr>
      <t xml:space="preserve">無風險利率（美國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</si>
  <si>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美國財政部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年期公債殖利率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同一輸入，跨模型一致；修正一追加）</t>
    </r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</si>
  <si>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初版為 </t>
    </r>
    <r>
      <rPr>
        <sz val="11"/>
        <color theme="1"/>
        <rFont val="Calibri"/>
        <family val="2"/>
        <charset val="1"/>
      </rPr>
      <t xml:space="preserve">2026-10-20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5.12%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oracle/data/oracle_facts_20261022.json val.ust10.treasury.20261020</t>
    </r>
    <r>
      <rPr>
        <sz val="11"/>
        <color theme="1"/>
        <rFont val="Noto Sans CJK SC"/>
        <family val="2"/>
      </rPr>
      <t xml:space="preserve">）</t>
    </r>
  </si>
  <si>
    <t xml:space="preserve">beta_r1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</si>
  <si>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Seeking Alpha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</si>
  <si>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oracle/data/oracle_facts_20261007.json val.beta.sa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val.beta.yahoo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</si>
  <si>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兩站同值，視為一個來源</t>
  </si>
  <si>
    <t xml:space="preserve">beta_r2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</si>
  <si>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年月資料）</t>
    </r>
  </si>
  <si>
    <r>
      <rPr>
        <sz val="11"/>
        <color theme="1"/>
        <rFont val="Calibri"/>
        <family val="2"/>
        <charset val="1"/>
      </rPr>
      <t xml:space="preserve">oracle/data/oracle_facts_20261022.json val.beta.cand1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初）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</si>
  <si>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</si>
  <si>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，兩來源中位數）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</si>
  <si>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原為原始 </t>
    </r>
    <r>
      <rPr>
        <sz val="11"/>
        <color theme="1"/>
        <rFont val="Calibri"/>
        <family val="2"/>
        <charset val="1"/>
      </rPr>
      <t xml:space="preserve">1.77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</si>
  <si>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2.0</t>
    </r>
  </si>
  <si>
    <t xml:space="preserve">erp</t>
  </si>
  <si>
    <t xml:space="preserve">股權風險溢酬</t>
  </si>
  <si>
    <t xml:space="preserve">kd</t>
  </si>
  <si>
    <r>
      <rPr>
        <sz val="11"/>
        <color theme="1"/>
        <rFont val="Noto Sans CJK SC"/>
        <family val="2"/>
      </rPr>
      <t xml:space="preserve">稅前債務成本（約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</si>
  <si>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）：取約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年期口徑＝新增投資級債利率 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5.70% 2036 </t>
    </r>
    <r>
      <rPr>
        <sz val="11"/>
        <color theme="1"/>
        <rFont val="Noto Sans CJK SC"/>
        <family val="2"/>
      </rPr>
      <t xml:space="preserve">票據票面相近）；</t>
    </r>
    <r>
      <rPr>
        <sz val="11"/>
        <color theme="1"/>
        <rFont val="Calibri"/>
        <family val="2"/>
        <charset val="1"/>
      </rPr>
      <t xml:space="preserve">ORCL 10 </t>
    </r>
    <r>
      <rPr>
        <sz val="11"/>
        <color theme="1"/>
        <rFont val="Noto Sans CJK SC"/>
        <family val="2"/>
      </rPr>
      <t xml:space="preserve">年期票據現行殖利率：未找到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</si>
  <si>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6.55% 2046 </t>
    </r>
    <r>
      <rPr>
        <sz val="11"/>
        <color theme="1"/>
        <rFont val="Noto Sans CJK SC"/>
        <family val="2"/>
      </rPr>
      <t xml:space="preserve">長債殖利率 </t>
    </r>
    <r>
      <rPr>
        <sz val="11"/>
        <color theme="1"/>
        <rFont val="Calibri"/>
        <family val="2"/>
        <charset val="1"/>
      </rPr>
      <t xml:space="preserve">8.11%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原值）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</si>
  <si>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</si>
  <si>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調整（敏感度用；基準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</si>
  <si>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個百分點、</t>
    </r>
    <r>
      <rPr>
        <sz val="11"/>
        <color theme="1"/>
        <rFont val="Calibri"/>
        <family val="2"/>
        <charset val="1"/>
      </rPr>
      <t xml:space="preserve">WACC × g </t>
    </r>
    <r>
      <rPr>
        <sz val="11"/>
        <color theme="1"/>
        <rFont val="Noto Sans CJK SC"/>
        <family val="2"/>
      </rPr>
      <t xml:space="preserve">格</t>
    </r>
  </si>
  <si>
    <t xml:space="preserve">ronic_adj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</si>
  <si>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 − WACC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</si>
  <si>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（永續成長不創造價值）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</si>
  <si>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</si>
  <si>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t xml:space="preserve">val_date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</si>
  <si>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季末）</t>
    </r>
  </si>
  <si>
    <t xml:space="preserve">日期</t>
  </si>
  <si>
    <r>
      <rPr>
        <sz val="11"/>
        <color theme="1"/>
        <rFont val="Calibri"/>
        <family val="2"/>
        <charset val="1"/>
      </rPr>
      <t xml:space="preserve">FY27Q1 10-Q </t>
    </r>
    <r>
      <rPr>
        <sz val="11"/>
        <color theme="1"/>
        <rFont val="Noto Sans CJK SC"/>
        <family val="2"/>
      </rPr>
      <t xml:space="preserve">資產負債表日</t>
    </r>
  </si>
  <si>
    <t xml:space="preserve">tp_date</t>
  </si>
  <si>
    <r>
      <rPr>
        <sz val="11"/>
        <color theme="1"/>
        <rFont val="Noto Sans CJK SC"/>
        <family val="2"/>
      </rPr>
      <t xml:space="preserve">目標價時點（約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</si>
  <si>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今天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＋ 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</si>
  <si>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fy28_end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</si>
  <si>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年底（分部加總錨定日）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</si>
  <si>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</t>
    </r>
  </si>
  <si>
    <t xml:space="preserve">tp_g</t>
  </si>
  <si>
    <t xml:space="preserve">永續成長率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</si>
  <si>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valuation.g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</si>
  <si>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</si>
  <si>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的權重（其餘為分部加總）</t>
    </r>
  </si>
  <si>
    <r>
      <rPr>
        <sz val="11"/>
        <color theme="1"/>
        <rFont val="Noto Sans CJK SC"/>
        <family val="2"/>
      </rPr>
      <t xml:space="preserve">工作單預設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各半」一致；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</si>
  <si>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</si>
  <si>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</si>
  <si>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</si>
  <si>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工作單預設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</si>
  <si>
    <t xml:space="preserve">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</si>
  <si>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</si>
  <si>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</si>
  <si>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</si>
  <si>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ev_crwv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</si>
  <si>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</si>
  <si>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oracle/data/oracle_facts_20261022.json val.peer.crwv</t>
  </si>
  <si>
    <t xml:space="preserve">eb_crwv</t>
  </si>
  <si>
    <r>
      <rPr>
        <sz val="11"/>
        <color theme="1"/>
        <rFont val="Calibri"/>
        <family val="2"/>
        <charset val="1"/>
      </rPr>
      <t xml:space="preserve">CoreWeave 2027 </t>
    </r>
    <r>
      <rPr>
        <sz val="11"/>
        <color theme="1"/>
        <rFont val="Noto Sans CJK SC"/>
        <family val="2"/>
      </rPr>
      <t xml:space="preserve">年共識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</si>
  <si>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coreweave/data/consensus_crwv_20260925.json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</si>
  <si>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ev_nbis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</si>
  <si>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</si>
  <si>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oracle/data/oracle_facts_20261022.json val.peer.nbis</t>
  </si>
  <si>
    <t xml:space="preserve">eb_nbis</t>
  </si>
  <si>
    <r>
      <rPr>
        <sz val="11"/>
        <color theme="1"/>
        <rFont val="Calibri"/>
        <family val="2"/>
        <charset val="1"/>
      </rPr>
      <t xml:space="preserve">Nebius 2027 </t>
    </r>
    <r>
      <rPr>
        <sz val="11"/>
        <color theme="1"/>
        <rFont val="Noto Sans CJK SC"/>
        <family val="2"/>
      </rPr>
      <t xml:space="preserve">年共識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</si>
  <si>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nebius/data/consensus_nbis_20261007.json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</si>
  <si>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mult_oci</t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</si>
  <si>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同業中位數；修正一起只作對照列）</t>
    </r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</si>
  <si>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2027 </t>
    </r>
    <r>
      <rPr>
        <sz val="11"/>
        <color theme="1"/>
        <rFont val="Noto Sans CJK SC"/>
        <family val="2"/>
      </rPr>
      <t xml:space="preserve">年共識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頁同業表）</t>
    </r>
  </si>
  <si>
    <r>
      <rPr>
        <sz val="11"/>
        <color theme="1"/>
        <rFont val="Noto Sans CJK SC"/>
        <family val="2"/>
      </rPr>
      <t xml:space="preserve">第三家同業（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共識：未找到；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6x [Assumed]</t>
    </r>
  </si>
  <si>
    <t xml:space="preserve">pm_msft</t>
  </si>
  <si>
    <t xml:space="preserve">Microsoft NTM EV/EBITDA</t>
  </si>
  <si>
    <r>
      <rPr>
        <sz val="11"/>
        <color theme="1"/>
        <rFont val="Calibri"/>
        <family val="2"/>
        <charset val="1"/>
      </rPr>
      <t xml:space="preserve">oracle/data/oracle_facts_20261007.json val.peer.msft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時間加權）</t>
    </r>
  </si>
  <si>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</t>
    </r>
  </si>
  <si>
    <t xml:space="preserve">pm_sap</t>
  </si>
  <si>
    <t xml:space="preserve">SAP NTM EV/EBITDA</t>
  </si>
  <si>
    <r>
      <rPr>
        <sz val="11"/>
        <color theme="1"/>
        <rFont val="Calibri"/>
        <family val="2"/>
        <charset val="1"/>
      </rPr>
      <t xml:space="preserve">oracle/data/oracle_facts_20261007.json val.peer.sap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</si>
  <si>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pm_crm</t>
  </si>
  <si>
    <t xml:space="preserve">Salesforce NTM EV/EBITDA</t>
  </si>
  <si>
    <r>
      <rPr>
        <sz val="11"/>
        <color theme="1"/>
        <rFont val="Calibri"/>
        <family val="2"/>
        <charset val="1"/>
      </rPr>
      <t xml:space="preserve">oracle/data/oracle_facts_20261007.json val.peer.crm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</si>
  <si>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pm_adbe</t>
  </si>
  <si>
    <t xml:space="preserve">Adobe NTM EV/EBITDA</t>
  </si>
  <si>
    <r>
      <rPr>
        <sz val="11"/>
        <color theme="1"/>
        <rFont val="Calibri"/>
        <family val="2"/>
        <charset val="1"/>
      </rPr>
      <t xml:space="preserve">oracle/data/oracle_facts_20261007.json val.peer.adbe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</si>
  <si>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pm_now</t>
  </si>
  <si>
    <t xml:space="preserve">ServiceNow NTM EV/EBITDA</t>
  </si>
  <si>
    <r>
      <rPr>
        <sz val="11"/>
        <color theme="1"/>
        <rFont val="Calibri"/>
        <family val="2"/>
        <charset val="1"/>
      </rPr>
      <t xml:space="preserve">oracle/data/oracle_facts_20261007.json val.peer.now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</si>
  <si>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mult_sw</t>
  </si>
  <si>
    <r>
      <rPr>
        <sz val="11"/>
        <color theme="1"/>
        <rFont val="Noto Sans CJK SC"/>
        <family val="2"/>
      </rPr>
      <t xml:space="preserve">其餘業務（軟體、硬體、服務）前瞻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（軟體同業中位數）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</si>
  <si>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Salesforce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Adobe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ServiceNow 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頁同業表）</t>
    </r>
  </si>
  <si>
    <r>
      <rPr>
        <sz val="11"/>
        <color theme="1"/>
        <rFont val="Noto Sans CJK SC"/>
        <family val="2"/>
      </rPr>
      <t xml:space="preserve">硬體與服務以軟體倍數計（偏高，影響小，見報告第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</si>
  <si>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t xml:space="preserve">mult_leg</t>
  </si>
  <si>
    <r>
      <rPr>
        <sz val="11"/>
        <color theme="1"/>
        <rFont val="Noto Sans CJK SC"/>
        <family val="2"/>
      </rPr>
      <t xml:space="preserve">傳統業務（授權、支援、硬體、服務）前瞻 </t>
    </r>
    <r>
      <rPr>
        <sz val="11"/>
        <color theme="1"/>
        <rFont val="Calibri"/>
        <family val="2"/>
        <charset val="1"/>
      </rPr>
      <t xml:space="preserve">EV/EBITDA</t>
    </r>
  </si>
  <si>
    <r>
      <rPr>
        <sz val="11"/>
        <color theme="1"/>
        <rFont val="Noto Sans CJK SC"/>
        <family val="2"/>
      </rPr>
      <t xml:space="preserve">軟體同業中成熟、低成長的兩家（</t>
    </r>
    <r>
      <rPr>
        <sz val="11"/>
        <color theme="1"/>
        <rFont val="Calibri"/>
        <family val="2"/>
        <charset val="1"/>
      </rPr>
      <t xml:space="preserve">Salesforce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Adobe 6.6</t>
    </r>
    <r>
      <rPr>
        <sz val="11"/>
        <color theme="1"/>
        <rFont val="Noto Sans CJK SC"/>
        <family val="2"/>
      </rPr>
      <t xml:space="preserve">）中位數；修正一（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／核對意見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</si>
  <si>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高成長的 </t>
    </r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仍用軟體中位數</t>
    </r>
  </si>
  <si>
    <t xml:space="preserve">split_mode</t>
  </si>
  <si>
    <r>
      <rPr>
        <sz val="11"/>
        <color theme="1"/>
        <rFont val="Noto Sans CJK SC"/>
        <family val="2"/>
      </rPr>
      <t xml:space="preserve">其餘業務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拆分法（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＝成長型與傳統同利潤率 </t>
    </r>
    <r>
      <rPr>
        <sz val="11"/>
        <color theme="1"/>
        <rFont val="Calibri"/>
        <family val="2"/>
        <charset val="1"/>
      </rPr>
      <t xml:space="preserve">m_sw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＝授權＋支援 </t>
    </r>
    <r>
      <rPr>
        <sz val="11"/>
        <color theme="1"/>
        <rFont val="Calibri"/>
        <family val="2"/>
        <charset val="1"/>
      </rPr>
      <t xml:space="preserve">m_ls</t>
    </r>
    <r>
      <rPr>
        <sz val="11"/>
        <color theme="1"/>
        <rFont val="Noto Sans CJK SC"/>
        <family val="2"/>
      </rPr>
      <t xml:space="preserve">、成長型以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</si>
  <si>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Noto Sans CJK SC"/>
        <family val="2"/>
      </rPr>
      <t xml:space="preserve">第二次核對意見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：替代拆法列 </t>
    </r>
    <r>
      <rPr>
        <sz val="11"/>
        <color theme="1"/>
        <rFont val="Calibri"/>
        <family val="2"/>
        <charset val="1"/>
      </rPr>
      <t xml:space="preserve">Sens</t>
    </r>
  </si>
  <si>
    <t xml:space="preserve">m_ls</t>
  </si>
  <si>
    <r>
      <rPr>
        <sz val="11"/>
        <color theme="1"/>
        <rFont val="Noto Sans CJK SC"/>
        <family val="2"/>
      </rPr>
      <t xml:space="preserve">授權＋支援利潤率（</t>
    </r>
    <r>
      <rPr>
        <sz val="11"/>
        <color theme="1"/>
        <rFont val="Calibri"/>
        <family val="2"/>
        <charset val="1"/>
      </rPr>
      <t xml:space="preserve">split_mode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時）</t>
    </r>
  </si>
  <si>
    <r>
      <rPr>
        <sz val="11"/>
        <color theme="1"/>
        <rFont val="Noto Sans CJK SC"/>
        <family val="2"/>
      </rPr>
      <t xml:space="preserve">第二次核對意見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（支援為高利潤率維護合約）</t>
    </r>
  </si>
  <si>
    <t xml:space="preserve">ai_floor</t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</si>
  <si>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企業價值取下限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＝是；敏感度用）</t>
    </r>
  </si>
  <si>
    <r>
      <rPr>
        <sz val="11"/>
        <color theme="1"/>
        <rFont val="Noto Sans CJK SC"/>
        <family val="2"/>
      </rPr>
      <t xml:space="preserve">第二次核對意見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的負值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腿是否截為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</si>
  <si>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（保留價值毀損）</t>
    </r>
  </si>
  <si>
    <t xml:space="preserve">mult_adj</t>
  </si>
  <si>
    <r>
      <rPr>
        <sz val="11"/>
        <color theme="1"/>
        <rFont val="Noto Sans CJK SC"/>
        <family val="2"/>
      </rPr>
      <t xml:space="preserve">分部倍數調整係數（敏感度用；基準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</si>
  <si>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 </t>
    </r>
    <r>
      <rPr>
        <sz val="11"/>
        <color theme="1"/>
        <rFont val="Calibri"/>
        <family val="2"/>
        <charset val="1"/>
      </rPr>
      <t xml:space="preserve">±20%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</si>
  <si>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共識與公司指引（只作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</si>
  <si>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</si>
  <si>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</si>
  <si>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Calibri"/>
        <family val="2"/>
        <charset val="1"/>
      </rPr>
      <t xml:space="preserve">S&amp;P Global Market Intelligence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（頁面表列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oracle/data/consensus_orcl_20261022.json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</si>
  <si>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249.52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家）</t>
    </r>
  </si>
  <si>
    <t xml:space="preserve">cr2027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</si>
  <si>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</si>
  <si>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Capital IQ </t>
    </r>
    <r>
      <rPr>
        <sz val="11"/>
        <color theme="1"/>
        <rFont val="Noto Sans CJK SC"/>
        <family val="2"/>
      </rPr>
      <t xml:space="preserve">系，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consensus_orcl_20261022.json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</si>
  <si>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LSEG FY27 90.42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FY28 131.77</t>
    </r>
  </si>
  <si>
    <t xml:space="preserve">ce2027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</si>
  <si>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FY2027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</si>
  <si>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r>
      <rPr>
        <sz val="11"/>
        <color theme="1"/>
        <rFont val="Noto Sans CJK SC"/>
        <family val="2"/>
      </rPr>
      <t xml:space="preserve">口徑：不含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費用</t>
    </r>
  </si>
  <si>
    <t xml:space="preserve">cp2027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</si>
  <si>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EPS FY2027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</si>
  <si>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值沿用）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</si>
  <si>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8.14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FY28 11.00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）</t>
    </r>
  </si>
  <si>
    <t xml:space="preserve">cr2028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</si>
  <si>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</si>
  <si>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ce2028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</si>
  <si>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FY2028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</si>
  <si>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t xml:space="preserve">cp2028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</si>
  <si>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EPS FY2028</t>
    </r>
  </si>
  <si>
    <t xml:space="preserve">cr2029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</si>
  <si>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FY2029</t>
    </r>
  </si>
  <si>
    <t xml:space="preserve">第二來源：未找到</t>
  </si>
  <si>
    <t xml:space="preserve">ce2029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</si>
  <si>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FY2029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</si>
  <si>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t xml:space="preserve">cp2029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</si>
  <si>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EPS FY2029</t>
    </r>
  </si>
  <si>
    <r>
      <rPr>
        <sz val="11"/>
        <color theme="1"/>
        <rFont val="Calibri"/>
        <family val="2"/>
        <charset val="1"/>
      </rPr>
      <t xml:space="preserve">FY29 </t>
    </r>
    <r>
      <rPr>
        <sz val="11"/>
        <color theme="1"/>
        <rFont val="Noto Sans CJK SC"/>
        <family val="2"/>
      </rPr>
      <t xml:space="preserve">第二來源：未找到</t>
    </r>
  </si>
  <si>
    <t xml:space="preserve">cx2027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</si>
  <si>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</si>
  <si>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值沿用；</t>
    </r>
    <r>
      <rPr>
        <sz val="11"/>
        <color theme="1"/>
        <rFont val="Calibri"/>
        <family val="2"/>
        <charset val="1"/>
      </rPr>
      <t xml:space="preserve">consensus_orcl_20261022.json</t>
    </r>
    <r>
      <rPr>
        <sz val="11"/>
        <color theme="1"/>
        <rFont val="Noto Sans CJK SC"/>
        <family val="2"/>
      </rPr>
      <t xml:space="preserve">）</t>
    </r>
  </si>
  <si>
    <t xml:space="preserve">cf2027</t>
  </si>
  <si>
    <r>
      <rPr>
        <sz val="11"/>
        <color theme="1"/>
        <rFont val="Noto Sans CJK SC"/>
        <family val="2"/>
      </rPr>
      <t xml:space="preserve">共識自由現金流 </t>
    </r>
    <r>
      <rPr>
        <sz val="11"/>
        <color theme="1"/>
        <rFont val="Calibri"/>
        <family val="2"/>
        <charset val="1"/>
      </rPr>
      <t xml:space="preserve">FY2027</t>
    </r>
  </si>
  <si>
    <t xml:space="preserve">cx2028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</si>
  <si>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</si>
  <si>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cf2028</t>
  </si>
  <si>
    <r>
      <rPr>
        <sz val="11"/>
        <color theme="1"/>
        <rFont val="Noto Sans CJK SC"/>
        <family val="2"/>
      </rPr>
      <t xml:space="preserve">共識自由現金流 </t>
    </r>
    <r>
      <rPr>
        <sz val="11"/>
        <color theme="1"/>
        <rFont val="Calibri"/>
        <family val="2"/>
        <charset val="1"/>
      </rPr>
      <t xml:space="preserve">FY2028</t>
    </r>
  </si>
  <si>
    <t xml:space="preserve">cx2029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</si>
  <si>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FY2029</t>
    </r>
  </si>
  <si>
    <t xml:space="preserve">cf2029</t>
  </si>
  <si>
    <r>
      <rPr>
        <sz val="11"/>
        <color theme="1"/>
        <rFont val="Noto Sans CJK SC"/>
        <family val="2"/>
      </rPr>
      <t xml:space="preserve">共識自由現金流 </t>
    </r>
    <r>
      <rPr>
        <sz val="11"/>
        <color theme="1"/>
        <rFont val="Calibri"/>
        <family val="2"/>
        <charset val="1"/>
      </rPr>
      <t xml:space="preserve">FY2029</t>
    </r>
  </si>
  <si>
    <t xml:space="preserve">go2027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</si>
  <si>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</si>
  <si>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2026-06-10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oracle/data/oracle_facts_20261007.json guide.ociPath.fy26pr</t>
    </r>
    <r>
      <rPr>
        <sz val="11"/>
        <color theme="1"/>
        <rFont val="Noto Sans CJK SC"/>
        <family val="2"/>
      </rPr>
      <t xml:space="preserve">）</t>
    </r>
  </si>
  <si>
    <t xml:space="preserve">go2028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</si>
  <si>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 </t>
    </r>
    <r>
      <rPr>
        <sz val="11"/>
        <color theme="1"/>
        <rFont val="Calibri"/>
        <family val="2"/>
        <charset val="1"/>
      </rPr>
      <t xml:space="preserve">FY2028</t>
    </r>
  </si>
  <si>
    <t xml:space="preserve">go2029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</si>
  <si>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 </t>
    </r>
    <r>
      <rPr>
        <sz val="11"/>
        <color theme="1"/>
        <rFont val="Calibri"/>
        <family val="2"/>
        <charset val="1"/>
      </rPr>
      <t xml:space="preserve">FY2029</t>
    </r>
  </si>
  <si>
    <t xml:space="preserve">go2030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</si>
  <si>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 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</si>
  <si>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分析師日：</t>
    </r>
    <r>
      <rPr>
        <sz val="11"/>
        <color theme="1"/>
        <rFont val="Calibri"/>
        <family val="2"/>
        <charset val="1"/>
      </rPr>
      <t xml:space="preserve">FY30 OCI 166</t>
    </r>
    <r>
      <rPr>
        <sz val="11"/>
        <color theme="1"/>
        <rFont val="Noto Sans CJK SC"/>
        <family val="2"/>
      </rPr>
      <t xml:space="preserve">、總營收 </t>
    </r>
    <r>
      <rPr>
        <sz val="11"/>
        <color theme="1"/>
        <rFont val="Calibri"/>
        <family val="2"/>
        <charset val="1"/>
      </rPr>
      <t xml:space="preserve">225</t>
    </r>
  </si>
  <si>
    <t xml:space="preserve">g_rev27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</si>
  <si>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營收指引（下限）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</si>
  <si>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</si>
  <si>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rpo_1336</t>
  </si>
  <si>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13–36 </t>
    </r>
    <r>
      <rPr>
        <sz val="11"/>
        <color theme="1"/>
        <rFont val="Noto Sans CJK SC"/>
        <family val="2"/>
      </rPr>
      <t xml:space="preserve">個月認列的比例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</si>
  <si>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rpo.split.fy27q1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</si>
  <si>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個月內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37–60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、其後 </t>
    </r>
    <r>
      <rPr>
        <sz val="11"/>
        <color theme="1"/>
        <rFont val="Calibri"/>
        <family val="2"/>
        <charset val="1"/>
      </rPr>
      <t xml:space="preserve">16%</t>
    </r>
  </si>
  <si>
    <t xml:space="preserve">rpo</t>
  </si>
  <si>
    <r>
      <rPr>
        <sz val="11"/>
        <color theme="1"/>
        <rFont val="Noto Sans CJK SC"/>
        <family val="2"/>
      </rPr>
      <t xml:space="preserve">剩餘履約義務 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</si>
  <si>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個月內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13–36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37–60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、其後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</si>
  <si>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約占一半（二手，</t>
    </r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判斷）</t>
    </r>
  </si>
  <si>
    <t xml:space="preserve">oai_annual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</si>
  <si>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合約年額（約 </t>
    </r>
    <r>
      <rPr>
        <sz val="11"/>
        <color theme="1"/>
        <rFont val="Calibri"/>
        <family val="2"/>
        <charset val="1"/>
      </rPr>
      <t xml:space="preserve">$300bn ÷ 5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</si>
  <si>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</si>
  <si>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轉述（</t>
    </r>
    <r>
      <rPr>
        <sz val="11"/>
        <color theme="1"/>
        <rFont val="Calibri"/>
        <family val="2"/>
        <charset val="1"/>
      </rPr>
      <t xml:space="preserve">The Register 2025-09-11</t>
    </r>
    <r>
      <rPr>
        <sz val="11"/>
        <color theme="1"/>
        <rFont val="Noto Sans CJK SC"/>
        <family val="2"/>
      </rPr>
      <t xml:space="preserve">），未經當事方證實</t>
    </r>
  </si>
  <si>
    <t xml:space="preserve">只作對照</t>
  </si>
  <si>
    <t xml:space="preserve">tp_v031</t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</si>
  <si>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基準目標價（加權）</t>
    </r>
  </si>
  <si>
    <r>
      <rPr>
        <sz val="11"/>
        <color theme="1"/>
        <rFont val="Calibri"/>
        <family val="2"/>
        <charset val="1"/>
      </rPr>
      <t xml:space="preserve">oracle/legacy_v0.3 </t>
    </r>
    <r>
      <rPr>
        <sz val="11"/>
        <color theme="1"/>
        <rFont val="Noto Sans CJK SC"/>
        <family val="2"/>
      </rPr>
      <t xml:space="preserve">交接檔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：保守 </t>
    </r>
    <r>
      <rPr>
        <sz val="11"/>
        <color theme="1"/>
        <rFont val="Calibri"/>
        <family val="2"/>
        <charset val="1"/>
      </rPr>
      <t xml:space="preserve">77.4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84.2</t>
    </r>
    <r>
      <rPr>
        <sz val="11"/>
        <color theme="1"/>
        <rFont val="Noto Sans CJK SC"/>
        <family val="2"/>
      </rPr>
      <t xml:space="preserve">／積極 </t>
    </r>
    <r>
      <rPr>
        <sz val="11"/>
        <color theme="1"/>
        <rFont val="Calibri"/>
        <family val="2"/>
        <charset val="1"/>
      </rPr>
      <t xml:space="preserve">91.9</t>
    </r>
    <r>
      <rPr>
        <sz val="11"/>
        <color theme="1"/>
        <rFont val="Noto Sans CJK SC"/>
        <family val="2"/>
      </rPr>
      <t xml:space="preserve">（賣出）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</si>
  <si>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引用）；</t>
    </r>
    <r>
      <rPr>
        <sz val="11"/>
        <color theme="1"/>
        <rFont val="Calibri"/>
        <family val="2"/>
        <charset val="1"/>
      </rPr>
      <t xml:space="preserve">Recon v0.4 vs v0.3.1</t>
    </r>
  </si>
  <si>
    <r>
      <rPr>
        <b val="true"/>
        <sz val="11"/>
        <rFont val="Cambria"/>
        <family val="0"/>
        <charset val="1"/>
      </rPr>
      <t xml:space="preserve">L. </t>
    </r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</si>
  <si>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</si>
  <si>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</si>
  <si>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</si>
  <si>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</si>
  <si>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scn_pace</t>
  </si>
  <si>
    <t xml:space="preserve">併網速度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</si>
  <si>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pace_A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pace_B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pace_C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的合約容量上限與速度同時下修</t>
    </r>
  </si>
  <si>
    <t xml:space="preserve">scn_cap</t>
  </si>
  <si>
    <t xml:space="preserve">合約容量上限（已簽站點）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</si>
  <si>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cap_B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cap_C</t>
    </r>
    <r>
      <rPr>
        <sz val="11"/>
        <color theme="1"/>
        <rFont val="Noto Sans CJK SC"/>
        <family val="2"/>
      </rPr>
      <t xml:space="preserve">；—</t>
    </r>
  </si>
  <si>
    <t xml:space="preserve">scn_delay</t>
  </si>
  <si>
    <t xml:space="preserve">建設延誤（計費路徑後移月數）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</si>
  <si>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delay_A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delay_B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delay_C</t>
    </r>
    <r>
      <rPr>
        <sz val="11"/>
        <color theme="1"/>
        <rFont val="Noto Sans CJK SC"/>
        <family val="2"/>
      </rPr>
      <t xml:space="preserve">；—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</si>
  <si>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</si>
  <si>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</si>
  <si>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</si>
  <si>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實績（十億美元）。會計年度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月。藍字＝輸入；黑字＝公式。季度＝公司新聞稿「</t>
    </r>
    <r>
      <rPr>
        <sz val="11"/>
        <color theme="1"/>
        <rFont val="Calibri"/>
        <family val="2"/>
        <charset val="1"/>
      </rPr>
      <t xml:space="preserve">Supplemental analysis of GAAP revenues</t>
    </r>
    <r>
      <rPr>
        <sz val="11"/>
        <color theme="1"/>
        <rFont val="Noto Sans CJK SC"/>
        <family val="2"/>
      </rPr>
      <t xml:space="preserve">」；年度＝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（經查核）</t>
    </r>
  </si>
  <si>
    <r>
      <rPr>
        <sz val="11"/>
        <color theme="1"/>
        <rFont val="Noto Sans CJK SC"/>
        <family val="2"/>
      </rPr>
      <t xml:space="preserve">資料取自 </t>
    </r>
    <r>
      <rPr>
        <sz val="11"/>
        <color theme="1"/>
        <rFont val="Calibri"/>
        <family val="2"/>
        <charset val="1"/>
      </rPr>
      <t xml:space="preserve">oracle/data/oracle_facts_20261007.json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一手資料：</t>
    </r>
    <r>
      <rPr>
        <sz val="11"/>
        <color theme="1"/>
        <rFont val="Calibri"/>
        <family val="2"/>
        <charset val="1"/>
      </rPr>
      <t xml:space="preserve">10-K [Verified]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與新聞稿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）。官方報告分部（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）：雲端與軟體（</t>
    </r>
    <r>
      <rPr>
        <sz val="11"/>
        <color theme="1"/>
        <rFont val="Calibri"/>
        <family val="2"/>
        <charset val="1"/>
      </rPr>
      <t xml:space="preserve">Cloud and software</t>
    </r>
    <r>
      <rPr>
        <sz val="11"/>
        <color theme="1"/>
        <rFont val="Noto Sans CJK SC"/>
        <family val="2"/>
      </rPr>
      <t xml:space="preserve">）、硬體、服務；營收線（新聞稿）：</t>
    </r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Software license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Software support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Hardware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Services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</si>
  <si>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2024-09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</si>
  <si>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2025-02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</si>
  <si>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</si>
  <si>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</si>
  <si>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</si>
  <si>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</si>
  <si>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</si>
  <si>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2026-06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08</t>
    </r>
    <r>
      <rPr>
        <b val="true"/>
        <sz val="11"/>
        <rFont val="Noto Sans CJK SC"/>
        <family val="2"/>
      </rPr>
      <t xml:space="preserve">）</t>
    </r>
  </si>
  <si>
    <t xml:space="preserve">FY2024</t>
  </si>
  <si>
    <t xml:space="preserve">FY2025</t>
  </si>
  <si>
    <t xml:space="preserve">FY2026</t>
  </si>
  <si>
    <t xml:space="preserve">來源</t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</si>
  <si>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</si>
  <si>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（年度）／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（季度）</t>
    </r>
  </si>
  <si>
    <r>
      <rPr>
        <sz val="11"/>
        <color theme="1"/>
        <rFont val="Noto Sans CJK SC"/>
        <family val="2"/>
      </rPr>
      <t xml:space="preserve">公司財報新聞稿（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，各季）；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</t>
    </r>
  </si>
  <si>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</t>
    </r>
  </si>
  <si>
    <t xml:space="preserve">Software license</t>
  </si>
  <si>
    <t xml:space="preserve">Software support</t>
  </si>
  <si>
    <t xml:space="preserve">Hardware</t>
  </si>
  <si>
    <t xml:space="preserve">Services</t>
  </si>
  <si>
    <t xml:space="preserve">合併營收（公司揭露）</t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</si>
  <si>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Cloud and software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＋授權＋支援）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</si>
  <si>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分部）：雲端與軟體分部營收＝雲端（</t>
    </r>
    <r>
      <rPr>
        <sz val="11"/>
        <color theme="1"/>
        <rFont val="Calibri"/>
        <family val="2"/>
        <charset val="1"/>
      </rPr>
      <t xml:space="preserve">IaaS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）＋軟體（授權＋支援）</t>
    </r>
  </si>
  <si>
    <r>
      <rPr>
        <sz val="11"/>
        <color theme="1"/>
        <rFont val="Calibri"/>
        <family val="2"/>
        <charset val="1"/>
      </rPr>
      <t xml:space="preserve">FY2026 58.530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17.157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分部表）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</si>
  <si>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Hardware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</si>
  <si>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</si>
  <si>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Services</t>
    </r>
  </si>
  <si>
    <r>
      <rPr>
        <sz val="11"/>
        <color theme="1"/>
        <rFont val="Noto Sans CJK SC"/>
        <family val="2"/>
      </rPr>
      <t xml:space="preserve">檢查：營收線合計 − 合併營收（應為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</si>
  <si>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檢查：分部合計 − 合併營收（應為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</si>
  <si>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分部利潤：</t>
    </r>
    <r>
      <rPr>
        <sz val="11"/>
        <color theme="1"/>
        <rFont val="Calibri"/>
        <family val="2"/>
        <charset val="1"/>
      </rPr>
      <t xml:space="preserve">Cloud and software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</si>
  <si>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（年度）；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與去年同季）</t>
    </r>
  </si>
  <si>
    <r>
      <rPr>
        <sz val="11"/>
        <color theme="1"/>
        <rFont val="Noto Sans CJK SC"/>
        <family val="2"/>
      </rPr>
      <t xml:space="preserve">分部利潤只含直接成本，不含研發、管理、無形資產攤銷、重組、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、利息。</t>
    </r>
    <r>
      <rPr>
        <sz val="11"/>
        <color theme="1"/>
        <rFont val="Calibri"/>
        <family val="2"/>
        <charset val="1"/>
      </rPr>
      <t xml:space="preserve">FY25 Q2–Q4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Q2–Q4 </t>
    </r>
    <r>
      <rPr>
        <sz val="11"/>
        <color theme="1"/>
        <rFont val="Noto Sans CJK SC"/>
        <family val="2"/>
      </rPr>
      <t xml:space="preserve">季度分部利潤：未找到（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在本環境無法開啟）</t>
    </r>
  </si>
  <si>
    <r>
      <rPr>
        <sz val="11"/>
        <color theme="1"/>
        <rFont val="Noto Sans CJK SC"/>
        <family val="2"/>
      </rPr>
      <t xml:space="preserve">分部利潤：</t>
    </r>
    <r>
      <rPr>
        <sz val="11"/>
        <color theme="1"/>
        <rFont val="Calibri"/>
        <family val="2"/>
        <charset val="1"/>
      </rPr>
      <t xml:space="preserve">Hardware</t>
    </r>
  </si>
  <si>
    <r>
      <rPr>
        <sz val="11"/>
        <color theme="1"/>
        <rFont val="Noto Sans CJK SC"/>
        <family val="2"/>
      </rPr>
      <t xml:space="preserve">季度（除 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）：未找到</t>
    </r>
  </si>
  <si>
    <r>
      <rPr>
        <sz val="11"/>
        <color theme="1"/>
        <rFont val="Noto Sans CJK SC"/>
        <family val="2"/>
      </rPr>
      <t xml:space="preserve">分部利潤：</t>
    </r>
    <r>
      <rPr>
        <sz val="11"/>
        <color theme="1"/>
        <rFont val="Calibri"/>
        <family val="2"/>
        <charset val="1"/>
      </rPr>
      <t xml:space="preserve">Services</t>
    </r>
  </si>
  <si>
    <t xml:space="preserve">分部利潤合計</t>
  </si>
  <si>
    <t xml:space="preserve">未分攤費用（＝分部利潤合計 − 營業利益）</t>
  </si>
  <si>
    <r>
      <rPr>
        <sz val="11"/>
        <color theme="1"/>
        <rFont val="Noto Sans CJK SC"/>
        <family val="2"/>
      </rPr>
      <t xml:space="preserve">研發、管理、無形資產攤銷、重組、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、收購相關等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</si>
  <si>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</si>
  <si>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檢查：分部利潤三項合計 − 公司揭露分部利潤合計（</t>
    </r>
    <r>
      <rPr>
        <sz val="11"/>
        <color theme="1"/>
        <rFont val="Calibri"/>
        <family val="2"/>
        <charset val="1"/>
      </rPr>
      <t xml:space="preserve">FY2026 38.018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</si>
  <si>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</si>
  <si>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折舊與攤銷（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</si>
  <si>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股份基礎給付（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</si>
  <si>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利息費用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</si>
  <si>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</si>
  <si>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營運現金流</t>
  </si>
  <si>
    <t xml:space="preserve">資本支出（現金）</t>
  </si>
  <si>
    <t xml:space="preserve">自由現金流（營運現金流 − 資本支出）</t>
  </si>
  <si>
    <t xml:space="preserve">股利支付（普通股＋特別股）</t>
  </si>
  <si>
    <r>
      <rPr>
        <sz val="11"/>
        <color theme="1"/>
        <rFont val="Noto Sans CJK SC"/>
        <family val="2"/>
      </rPr>
      <t xml:space="preserve">季度（除 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）：未找到（只取得年度與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）</t>
    </r>
  </si>
  <si>
    <t xml:space="preserve">買回普通股</t>
  </si>
  <si>
    <r>
      <rPr>
        <sz val="11"/>
        <color theme="1"/>
        <rFont val="Noto Sans CJK SC"/>
        <family val="2"/>
      </rPr>
      <t xml:space="preserve">檢查：自由現金流 − 公司揭露值（應為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</si>
  <si>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近四季年增率（</t>
    </r>
    <r>
      <rPr>
        <b val="true"/>
        <sz val="11"/>
        <rFont val="Cambria"/>
        <family val="0"/>
        <charset val="1"/>
      </rPr>
      <t xml:space="preserve">FY26Q2–FY27Q1 </t>
    </r>
    <r>
      <rPr>
        <b val="true"/>
        <sz val="11"/>
        <rFont val="Noto Sans CJK SC"/>
        <family val="2"/>
      </rPr>
      <t xml:space="preserve">合計 </t>
    </r>
    <r>
      <rPr>
        <b val="true"/>
        <sz val="11"/>
        <rFont val="Cambria"/>
        <family val="0"/>
        <charset val="1"/>
      </rPr>
      <t xml:space="preserve">÷ FY25Q2–FY26Q1 </t>
    </r>
    <r>
      <rPr>
        <b val="true"/>
        <sz val="11"/>
        <rFont val="Noto Sans CJK SC"/>
        <family val="2"/>
      </rPr>
      <t xml:space="preserve">合計 −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Seg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起點；沿用 </t>
    </r>
    <r>
      <rPr>
        <b val="true"/>
        <sz val="11"/>
        <rFont val="Cambria"/>
        <family val="0"/>
        <charset val="1"/>
      </rPr>
      <t xml:space="preserve">v0.3.1 g0 </t>
    </r>
    <r>
      <rPr>
        <b val="true"/>
        <sz val="11"/>
        <rFont val="Noto Sans CJK SC"/>
        <family val="2"/>
      </rPr>
      <t xml:space="preserve">方法）</t>
    </r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</si>
  <si>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）：近四季年增</t>
    </r>
  </si>
  <si>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）：近四季年增</t>
    </r>
  </si>
  <si>
    <r>
      <rPr>
        <sz val="11"/>
        <color theme="1"/>
        <rFont val="Calibri"/>
        <family val="2"/>
        <charset val="1"/>
      </rPr>
      <t xml:space="preserve">Software license</t>
    </r>
    <r>
      <rPr>
        <sz val="11"/>
        <color theme="1"/>
        <rFont val="Noto Sans CJK SC"/>
        <family val="2"/>
      </rPr>
      <t xml:space="preserve">：近四季年增</t>
    </r>
  </si>
  <si>
    <r>
      <rPr>
        <sz val="11"/>
        <color theme="1"/>
        <rFont val="Calibri"/>
        <family val="2"/>
        <charset val="1"/>
      </rPr>
      <t xml:space="preserve">Software support</t>
    </r>
    <r>
      <rPr>
        <sz val="11"/>
        <color theme="1"/>
        <rFont val="Noto Sans CJK SC"/>
        <family val="2"/>
      </rPr>
      <t xml:space="preserve">：近四季年增</t>
    </r>
  </si>
  <si>
    <r>
      <rPr>
        <sz val="11"/>
        <color theme="1"/>
        <rFont val="Calibri"/>
        <family val="2"/>
        <charset val="1"/>
      </rPr>
      <t xml:space="preserve">Hardware</t>
    </r>
    <r>
      <rPr>
        <sz val="11"/>
        <color theme="1"/>
        <rFont val="Noto Sans CJK SC"/>
        <family val="2"/>
      </rPr>
      <t xml:space="preserve">：近四季年增</t>
    </r>
  </si>
  <si>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：近四季年增</t>
    </r>
  </si>
  <si>
    <t xml:space="preserve">利潤率對照</t>
  </si>
  <si>
    <r>
      <rPr>
        <sz val="11"/>
        <color theme="1"/>
        <rFont val="Calibri"/>
        <family val="2"/>
        <charset val="1"/>
      </rPr>
      <t xml:space="preserve">Cloud and software </t>
    </r>
    <r>
      <rPr>
        <sz val="11"/>
        <color theme="1"/>
        <rFont val="Noto Sans CJK SC"/>
        <family val="2"/>
      </rPr>
      <t xml:space="preserve">分部利潤率</t>
    </r>
  </si>
  <si>
    <r>
      <rPr>
        <sz val="11"/>
        <color theme="1"/>
        <rFont val="Calibri"/>
        <family val="2"/>
        <charset val="1"/>
      </rPr>
      <t xml:space="preserve">FY2024 Cloud and software </t>
    </r>
    <r>
      <rPr>
        <sz val="11"/>
        <color theme="1"/>
        <rFont val="Noto Sans CJK SC"/>
        <family val="2"/>
      </rPr>
      <t xml:space="preserve">分部利潤率（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m_sw </t>
    </r>
    <r>
      <rPr>
        <sz val="11"/>
        <color theme="1"/>
        <rFont val="Noto Sans CJK SC"/>
        <family val="2"/>
      </rPr>
      <t xml:space="preserve">的對照）</t>
    </r>
  </si>
  <si>
    <r>
      <rPr>
        <b val="true"/>
        <sz val="11"/>
        <rFont val="Noto Sans CJK SC"/>
        <family val="2"/>
      </rPr>
      <t xml:space="preserve">其他實績（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頁引用）</t>
    </r>
  </si>
  <si>
    <t xml:space="preserve">特別股股利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</si>
  <si>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特別股股利 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（損益表）；</t>
    </r>
    <r>
      <rPr>
        <sz val="11"/>
        <color theme="1"/>
        <rFont val="Calibri"/>
        <family val="2"/>
        <charset val="1"/>
      </rPr>
      <t xml:space="preserve">Q1 FY27 81</t>
    </r>
  </si>
  <si>
    <t xml:space="preserve">稀釋加權股數（十億股）</t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</si>
  <si>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，美元）</t>
    </r>
  </si>
  <si>
    <t xml:space="preserve">公司揭露分部利潤合計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</si>
  <si>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seg.total.margin.fy2026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</si>
  <si>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的已簽約 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RPO 664B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集中）能否以高於資金成本的報酬轉成營收與現金。只驅動 </t>
    </r>
    <r>
      <rPr>
        <sz val="11"/>
        <color theme="1"/>
        <rFont val="Calibri"/>
        <family val="2"/>
        <charset val="1"/>
      </rPr>
      <t xml:space="preserve">Cloud Infrastructure </t>
    </r>
    <r>
      <rPr>
        <sz val="11"/>
        <color theme="1"/>
        <rFont val="Noto Sans CJK SC"/>
        <family val="2"/>
      </rPr>
      <t xml:space="preserve">營收線的「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算力」子列；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資本支出接到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折舊與分部利潤</t>
    </r>
  </si>
  <si>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（期末）＝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合約上限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前期＋併網速度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期間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；計費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＝（平均在役 − 延誤月數 </t>
    </r>
    <r>
      <rPr>
        <sz val="11"/>
        <color theme="1"/>
        <rFont val="Calibri"/>
        <family val="2"/>
        <charset val="1"/>
      </rPr>
      <t xml:space="preserve">÷ 12 × </t>
    </r>
    <r>
      <rPr>
        <sz val="11"/>
        <color theme="1"/>
        <rFont val="Noto Sans CJK SC"/>
        <family val="2"/>
      </rPr>
      <t xml:space="preserve">期間新增速度）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計費比例；每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年收入＝在役世代加權 </t>
    </r>
    <r>
      <rPr>
        <sz val="11"/>
        <color theme="1"/>
        <rFont val="Calibri"/>
        <family val="2"/>
        <charset val="1"/>
      </rPr>
      <t xml:space="preserve">IF_HoldEcon × k</t>
    </r>
    <r>
      <rPr>
        <sz val="11"/>
        <color theme="1"/>
        <rFont val="Noto Sans CJK SC"/>
        <family val="2"/>
      </rPr>
      <t xml:space="preserve">；營運費用＝在役 </t>
    </r>
    <r>
      <rPr>
        <sz val="11"/>
        <color theme="1"/>
        <rFont val="Calibri"/>
        <family val="2"/>
        <charset val="1"/>
      </rPr>
      <t xml:space="preserve">MW × IF_OpexGW</t>
    </r>
    <r>
      <rPr>
        <sz val="11"/>
        <color theme="1"/>
        <rFont val="Noto Sans CJK SC"/>
        <family val="2"/>
      </rPr>
      <t xml:space="preserve">；租金＝未起租 </t>
    </r>
    <r>
      <rPr>
        <sz val="11"/>
        <color theme="1"/>
        <rFont val="Calibri"/>
        <family val="2"/>
        <charset val="1"/>
      </rPr>
      <t xml:space="preserve">288B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季起租、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年直線；折舊＝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在役基數＋在建工程＋新資本支出 </t>
    </r>
    <r>
      <rPr>
        <sz val="11"/>
        <color theme="1"/>
        <rFont val="Calibri"/>
        <family val="2"/>
        <charset val="1"/>
      </rPr>
      <t xml:space="preserve">÷ 6 </t>
    </r>
    <r>
      <rPr>
        <sz val="11"/>
        <color theme="1"/>
        <rFont val="Noto Sans CJK SC"/>
        <family val="2"/>
      </rPr>
      <t xml:space="preserve">年（當年半年）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</si>
  <si>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（估計）</t>
    </r>
  </si>
  <si>
    <r>
      <rPr>
        <b val="true"/>
        <sz val="11"/>
        <rFont val="Cambria"/>
        <family val="0"/>
        <charset val="1"/>
      </rPr>
      <t xml:space="preserve">FY27 Q2–Q4</t>
    </r>
    <r>
      <rPr>
        <b val="true"/>
        <sz val="11"/>
        <rFont val="Noto Sans CJK SC"/>
        <family val="2"/>
      </rPr>
      <t xml:space="preserve">（模型）</t>
    </r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</si>
  <si>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</si>
  <si>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</si>
  <si>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</si>
  <si>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</si>
  <si>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</si>
  <si>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</si>
  <si>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（樂觀：依公司時程交付、不延誤）</t>
    </r>
  </si>
  <si>
    <t xml:space="preserve">期間長度</t>
  </si>
  <si>
    <r>
      <rPr>
        <sz val="11"/>
        <rFont val="Noto Sans CJK SC"/>
        <family val="2"/>
      </rPr>
      <t xml:space="preserve">已連網 </t>
    </r>
    <r>
      <rPr>
        <sz val="11"/>
        <rFont val="Cambria"/>
        <family val="0"/>
        <charset val="1"/>
      </rPr>
      <t xml:space="preserve">AI MW-IT</t>
    </r>
    <r>
      <rPr>
        <sz val="11"/>
        <rFont val="Noto Sans CJK SC"/>
        <family val="2"/>
      </rPr>
      <t xml:space="preserve">（期末）</t>
    </r>
  </si>
  <si>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cap_A, </t>
    </r>
    <r>
      <rPr>
        <sz val="11"/>
        <color theme="1"/>
        <rFont val="Noto Sans CJK SC"/>
        <family val="2"/>
      </rPr>
      <t xml:space="preserve">前期＋速度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FY2030–32</t>
    </r>
    <r>
      <rPr>
        <sz val="11"/>
        <color theme="1"/>
        <rFont val="Noto Sans CJK SC"/>
        <family val="2"/>
      </rPr>
      <t xml:space="preserve">：新增量線性收斂到「前期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」（修正一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；超過已簽上限的部分視為新簽約）</t>
    </r>
  </si>
  <si>
    <r>
      <rPr>
        <sz val="11"/>
        <rFont val="Noto Sans CJK SC"/>
        <family val="2"/>
      </rPr>
      <t xml:space="preserve">期間新增已連網 </t>
    </r>
    <r>
      <rPr>
        <sz val="11"/>
        <rFont val="Cambria"/>
        <family val="0"/>
        <charset val="1"/>
      </rPr>
      <t xml:space="preserve">MW</t>
    </r>
  </si>
  <si>
    <r>
      <rPr>
        <sz val="11"/>
        <rFont val="Noto Sans CJK SC"/>
        <family val="2"/>
      </rPr>
      <t xml:space="preserve">平均已連網 </t>
    </r>
    <r>
      <rPr>
        <sz val="11"/>
        <rFont val="Cambria"/>
        <family val="0"/>
        <charset val="1"/>
      </rPr>
      <t xml:space="preserve">MW</t>
    </r>
  </si>
  <si>
    <r>
      <rPr>
        <sz val="11"/>
        <rFont val="Noto Sans CJK SC"/>
        <family val="2"/>
      </rPr>
      <t xml:space="preserve">延誤後平均在役 </t>
    </r>
    <r>
      <rPr>
        <sz val="11"/>
        <rFont val="Cambria"/>
        <family val="0"/>
        <charset val="1"/>
      </rPr>
      <t xml:space="preserve">MW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為實績期，不延誤）</t>
    </r>
  </si>
  <si>
    <r>
      <rPr>
        <sz val="11"/>
        <color theme="1"/>
        <rFont val="Noto Sans CJK SC"/>
        <family val="2"/>
      </rPr>
      <t xml:space="preserve">延誤月數：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delay_A</t>
    </r>
  </si>
  <si>
    <r>
      <rPr>
        <sz val="11"/>
        <rFont val="Noto Sans CJK SC"/>
        <family val="2"/>
      </rPr>
      <t xml:space="preserve">計費 </t>
    </r>
    <r>
      <rPr>
        <sz val="11"/>
        <rFont val="Cambria"/>
        <family val="0"/>
        <charset val="1"/>
      </rPr>
      <t xml:space="preserve">MW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計費比例）</t>
    </r>
  </si>
  <si>
    <r>
      <rPr>
        <sz val="11"/>
        <color rgb="FF808080"/>
        <rFont val="Noto Sans CJK SC"/>
        <family val="2"/>
      </rPr>
      <t xml:space="preserve">世代存量（期末，</t>
    </r>
    <r>
      <rPr>
        <sz val="11"/>
        <color rgb="FF808080"/>
        <rFont val="Cambria"/>
        <family val="0"/>
        <charset val="1"/>
      </rPr>
      <t xml:space="preserve">MW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Q1 </t>
    </r>
    <r>
      <rPr>
        <sz val="11"/>
        <color rgb="FF808080"/>
        <rFont val="Noto Sans CJK SC"/>
        <family val="2"/>
      </rPr>
      <t xml:space="preserve">末依 </t>
    </r>
    <r>
      <rPr>
        <sz val="11"/>
        <color rgb="FF808080"/>
        <rFont val="Cambria"/>
        <family val="0"/>
        <charset val="1"/>
      </rPr>
      <t xml:space="preserve">In </t>
    </r>
    <r>
      <rPr>
        <sz val="11"/>
        <color rgb="FF808080"/>
        <rFont val="Noto Sans CJK SC"/>
        <family val="2"/>
      </rPr>
      <t xml:space="preserve">頁占比；新增依 </t>
    </r>
    <r>
      <rPr>
        <sz val="11"/>
        <color rgb="FF808080"/>
        <rFont val="Cambria"/>
        <family val="0"/>
        <charset val="1"/>
      </rPr>
      <t xml:space="preserve">In </t>
    </r>
    <r>
      <rPr>
        <sz val="11"/>
        <color rgb="FF808080"/>
        <rFont val="Noto Sans CJK SC"/>
        <family val="2"/>
      </rPr>
      <t xml:space="preserve">頁新增組合；汰換換成 </t>
    </r>
    <r>
      <rPr>
        <sz val="11"/>
        <color rgb="FF808080"/>
        <rFont val="Cambria"/>
        <family val="0"/>
        <charset val="1"/>
      </rPr>
      <t xml:space="preserve">VR200</t>
    </r>
  </si>
  <si>
    <t xml:space="preserve">  Hopper H100</t>
  </si>
  <si>
    <t xml:space="preserve">  GB200 NVL72</t>
  </si>
  <si>
    <t xml:space="preserve">  GB300 NVL72</t>
  </si>
  <si>
    <t xml:space="preserve">  VR200 NVL72</t>
  </si>
  <si>
    <r>
      <rPr>
        <sz val="11"/>
        <rFont val="Noto Sans CJK SC"/>
        <family val="2"/>
      </rPr>
      <t xml:space="preserve">檢查：世代存量合計 − 已連網 </t>
    </r>
    <r>
      <rPr>
        <sz val="11"/>
        <rFont val="Cambria"/>
        <family val="0"/>
        <charset val="1"/>
      </rPr>
      <t xml:space="preserve">MW</t>
    </r>
    <r>
      <rPr>
        <sz val="11"/>
        <rFont val="Noto Sans CJK SC"/>
        <family val="2"/>
      </rPr>
      <t xml:space="preserve">（應為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</si>
  <si>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錨：在役世代加權 </t>
    </r>
    <r>
      <rPr>
        <sz val="11"/>
        <rFont val="Cambria"/>
        <family val="0"/>
        <charset val="1"/>
      </rPr>
      <t xml:space="preserve">IF_HoldEcon</t>
    </r>
  </si>
  <si>
    <r>
      <rPr>
        <sz val="11"/>
        <color theme="1"/>
        <rFont val="Noto Sans CJK SC"/>
        <family val="2"/>
      </rPr>
      <t xml:space="preserve">期初＋期末存量平均加權（</t>
    </r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基準成本）</t>
    </r>
  </si>
  <si>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年收入（錨 </t>
    </r>
    <r>
      <rPr>
        <sz val="11"/>
        <rFont val="Cambria"/>
        <family val="0"/>
        <charset val="1"/>
      </rPr>
      <t xml:space="preserve">× k × k </t>
    </r>
    <r>
      <rPr>
        <sz val="11"/>
        <rFont val="Noto Sans CJK SC"/>
        <family val="2"/>
      </rPr>
      <t xml:space="preserve">調整）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</si>
  <si>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k_mix</t>
    </r>
  </si>
  <si>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算力營收（命題子列）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</si>
  <si>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為估計（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OCI 7.388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部分；其餘為非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</si>
  <si>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年營運費用：在役世代加權 </t>
    </r>
    <r>
      <rPr>
        <sz val="11"/>
        <rFont val="Cambria"/>
        <family val="0"/>
        <charset val="1"/>
      </rPr>
      <t xml:space="preserve">IF_OpexGW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</si>
  <si>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營運費用（電費、維護、人員、稅與保險；不含折舊、租金）</t>
    </r>
  </si>
  <si>
    <r>
      <rPr>
        <sz val="11"/>
        <color theme="1"/>
        <rFont val="Noto Sans CJK SC"/>
        <family val="2"/>
      </rPr>
      <t xml:space="preserve">延誤後在役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營運費用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</si>
  <si>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機房租金（未起租 </t>
    </r>
    <r>
      <rPr>
        <sz val="11"/>
        <rFont val="Cambria"/>
        <family val="0"/>
        <charset val="1"/>
      </rPr>
      <t xml:space="preserve">288B </t>
    </r>
    <r>
      <rPr>
        <sz val="11"/>
        <rFont val="Noto Sans CJK SC"/>
        <family val="2"/>
      </rPr>
      <t xml:space="preserve">依序起租＋超過已簽範圍的新租約）</t>
    </r>
  </si>
  <si>
    <r>
      <rPr>
        <sz val="11"/>
        <color theme="1"/>
        <rFont val="Calibri"/>
        <family val="2"/>
        <charset val="1"/>
      </rPr>
      <t xml:space="preserve">lease_q </t>
    </r>
    <r>
      <rPr>
        <sz val="11"/>
        <color theme="1"/>
        <rFont val="Noto Sans CJK SC"/>
        <family val="2"/>
      </rPr>
      <t xml:space="preserve">季平均起租（第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季已起租 </t>
    </r>
    <r>
      <rPr>
        <sz val="11"/>
        <color theme="1"/>
        <rFont val="Calibri"/>
        <family val="2"/>
        <charset val="1"/>
      </rPr>
      <t xml:space="preserve">MIN(j, lease_q)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lease_q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lease_term </t>
    </r>
    <r>
      <rPr>
        <sz val="11"/>
        <color theme="1"/>
        <rFont val="Noto Sans CJK SC"/>
        <family val="2"/>
      </rPr>
      <t xml:space="preserve">年直線；平均在役超過 </t>
    </r>
    <r>
      <rPr>
        <sz val="11"/>
        <color theme="1"/>
        <rFont val="Calibri"/>
        <family val="2"/>
        <charset val="1"/>
      </rPr>
      <t xml:space="preserve">cap_B </t>
    </r>
    <r>
      <rPr>
        <sz val="11"/>
        <color theme="1"/>
        <rFont val="Noto Sans CJK SC"/>
        <family val="2"/>
      </rPr>
      <t xml:space="preserve">的部分以同一每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租金加計（修正一）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</si>
  <si>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成長型資本支出（</t>
    </r>
    <r>
      <rPr>
        <sz val="11"/>
        <rFont val="Cambria"/>
        <family val="0"/>
        <charset val="1"/>
      </rPr>
      <t xml:space="preserve">FY27</t>
    </r>
    <r>
      <rPr>
        <sz val="11"/>
        <rFont val="Noto Sans CJK SC"/>
        <family val="2"/>
      </rPr>
      <t xml:space="preserve">＝指引中點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；其後＝新增 </t>
    </r>
    <r>
      <rPr>
        <sz val="11"/>
        <rFont val="Cambria"/>
        <family val="0"/>
        <charset val="1"/>
      </rPr>
      <t xml:space="preserve">MW × IF_CapexIT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λ </t>
    </r>
    <r>
      <rPr>
        <sz val="11"/>
        <rFont val="Noto Sans CJK SC"/>
        <family val="2"/>
      </rPr>
      <t xml:space="preserve">提前付款）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</si>
  <si>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capex_g27</t>
    </r>
    <r>
      <rPr>
        <sz val="11"/>
        <color theme="1"/>
        <rFont val="Noto Sans CJK SC"/>
        <family val="2"/>
      </rPr>
      <t xml:space="preserve">（三情境相同）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</si>
  <si>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汰換資本支出（依世代年份，換成 </t>
    </r>
    <r>
      <rPr>
        <sz val="11"/>
        <rFont val="Cambria"/>
        <family val="0"/>
        <charset val="1"/>
      </rPr>
      <t xml:space="preserve">VR200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</si>
  <si>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資本支出合計</t>
    </r>
  </si>
  <si>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在役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設備折舊（年率；扣汰換世代）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</si>
  <si>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3.2 −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水準）；汰換世代的舊折舊扣除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</si>
  <si>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折舊（進分部利潤與營業利益）</t>
    </r>
  </si>
  <si>
    <r>
      <rPr>
        <sz val="11"/>
        <color theme="1"/>
        <rFont val="Noto Sans CJK SC"/>
        <family val="2"/>
      </rPr>
      <t xml:space="preserve">在建工程 </t>
    </r>
    <r>
      <rPr>
        <sz val="11"/>
        <color theme="1"/>
        <rFont val="Calibri"/>
        <family val="2"/>
        <charset val="1"/>
      </rPr>
      <t xml:space="preserve">48.5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FY27 Q2–Q4 </t>
    </r>
    <r>
      <rPr>
        <sz val="11"/>
        <color theme="1"/>
        <rFont val="Noto Sans CJK SC"/>
        <family val="2"/>
      </rPr>
      <t xml:space="preserve">起的資本支出 </t>
    </r>
    <r>
      <rPr>
        <sz val="11"/>
        <color theme="1"/>
        <rFont val="Calibri"/>
        <family val="2"/>
        <charset val="1"/>
      </rPr>
      <t xml:space="preserve">÷ 6 </t>
    </r>
    <r>
      <rPr>
        <sz val="11"/>
        <color theme="1"/>
        <rFont val="Noto Sans CJK SC"/>
        <family val="2"/>
      </rPr>
      <t xml:space="preserve">年，當年半年</t>
    </r>
  </si>
  <si>
    <r>
      <rPr>
        <sz val="11"/>
        <rFont val="Cambria"/>
        <family val="0"/>
        <charset val="1"/>
      </rPr>
      <t xml:space="preserve">OCI AI EBITDA</t>
    </r>
    <r>
      <rPr>
        <sz val="11"/>
        <rFont val="Noto Sans CJK SC"/>
        <family val="2"/>
      </rPr>
      <t xml:space="preserve">（租金後）</t>
    </r>
  </si>
  <si>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分部利潤貢獻（營業利益口徑）</t>
    </r>
  </si>
  <si>
    <r>
      <rPr>
        <sz val="11"/>
        <color theme="1"/>
        <rFont val="Noto Sans CJK SC"/>
        <family val="2"/>
      </rPr>
      <t xml:space="preserve">進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Cloud and software </t>
    </r>
    <r>
      <rPr>
        <sz val="11"/>
        <color theme="1"/>
        <rFont val="Noto Sans CJK SC"/>
        <family val="2"/>
      </rPr>
      <t xml:space="preserve">分部利潤</t>
    </r>
  </si>
  <si>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營業利益率</t>
    </r>
  </si>
  <si>
    <r>
      <rPr>
        <sz val="11"/>
        <rFont val="Cambria"/>
        <family val="0"/>
        <charset val="1"/>
      </rPr>
      <t xml:space="preserve">OCI </t>
    </r>
    <r>
      <rPr>
        <sz val="11"/>
        <rFont val="Noto Sans CJK SC"/>
        <family val="2"/>
      </rPr>
      <t xml:space="preserve">其他（非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）營收（子列）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</si>
  <si>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＝實際 </t>
    </r>
    <r>
      <rPr>
        <sz val="11"/>
        <color theme="1"/>
        <rFont val="Calibri"/>
        <family val="2"/>
        <charset val="1"/>
      </rPr>
      <t xml:space="preserve">OCI − </t>
    </r>
    <r>
      <rPr>
        <sz val="11"/>
        <color theme="1"/>
        <rFont val="Noto Sans CJK SC"/>
        <family val="2"/>
      </rPr>
      <t xml:space="preserve">命題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估計（殘差）；之後依成長路徑</t>
    </r>
  </si>
  <si>
    <r>
      <rPr>
        <sz val="11"/>
        <rFont val="Cambria"/>
        <family val="0"/>
        <charset val="1"/>
      </rPr>
      <t xml:space="preserve">  OCI </t>
    </r>
    <r>
      <rPr>
        <sz val="11"/>
        <rFont val="Noto Sans CJK SC"/>
        <family val="2"/>
      </rPr>
      <t xml:space="preserve">其他年增</t>
    </r>
  </si>
  <si>
    <r>
      <rPr>
        <sz val="11"/>
        <rFont val="Cambria"/>
        <family val="0"/>
        <charset val="1"/>
      </rPr>
      <t xml:space="preserve">Cloud Infrastructure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）營收</t>
    </r>
  </si>
  <si>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（含非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）營業利益率（非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m_sw </t>
    </r>
    <r>
      <rPr>
        <sz val="11"/>
        <rFont val="Noto Sans CJK SC"/>
        <family val="2"/>
      </rPr>
      <t xml:space="preserve">計）</t>
    </r>
  </si>
  <si>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稅後營業利益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</si>
  <si>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累計投入資本（毛額，期末）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</si>
  <si>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在役基數（年折舊 </t>
    </r>
    <r>
      <rPr>
        <sz val="11"/>
        <color theme="1"/>
        <rFont val="Calibri"/>
        <family val="2"/>
        <charset val="1"/>
      </rPr>
      <t xml:space="preserve">× 6</t>
    </r>
    <r>
      <rPr>
        <sz val="11"/>
        <color theme="1"/>
        <rFont val="Noto Sans CJK SC"/>
        <family val="2"/>
      </rPr>
      <t xml:space="preserve">）＋在建工程＋其後資本支出；機房以租賃取得不計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</si>
  <si>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增量 </t>
    </r>
    <r>
      <rPr>
        <sz val="11"/>
        <rFont val="Cambria"/>
        <family val="0"/>
        <charset val="1"/>
      </rPr>
      <t xml:space="preserve">ROIC</t>
    </r>
    <r>
      <rPr>
        <sz val="11"/>
        <rFont val="Noto Sans CJK SC"/>
        <family val="2"/>
      </rPr>
      <t xml:space="preserve">（稅後營業利益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期初投入資本毛額）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</si>
  <si>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WACC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</si>
  <si>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（基準：依 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交付速度、延誤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</si>
  <si>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cap_B, </t>
    </r>
    <r>
      <rPr>
        <sz val="11"/>
        <color theme="1"/>
        <rFont val="Noto Sans CJK SC"/>
        <family val="2"/>
      </rPr>
      <t xml:space="preserve">前期＋速度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FY2030–32</t>
    </r>
    <r>
      <rPr>
        <sz val="11"/>
        <color theme="1"/>
        <rFont val="Noto Sans CJK SC"/>
        <family val="2"/>
      </rPr>
      <t xml:space="preserve">：新增量線性收斂到「前期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」（修正一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；超過已簽上限的部分視為新簽約）</t>
    </r>
  </si>
  <si>
    <r>
      <rPr>
        <sz val="11"/>
        <color theme="1"/>
        <rFont val="Noto Sans CJK SC"/>
        <family val="2"/>
      </rPr>
      <t xml:space="preserve">延誤月數：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delay_B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</si>
  <si>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（保守：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相關容量實現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、延誤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</si>
  <si>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cap_C, </t>
    </r>
    <r>
      <rPr>
        <sz val="11"/>
        <color theme="1"/>
        <rFont val="Noto Sans CJK SC"/>
        <family val="2"/>
      </rPr>
      <t xml:space="preserve">前期＋速度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FY2030–32</t>
    </r>
    <r>
      <rPr>
        <sz val="11"/>
        <color theme="1"/>
        <rFont val="Noto Sans CJK SC"/>
        <family val="2"/>
      </rPr>
      <t xml:space="preserve">：新增量線性收斂到「前期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」（修正一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；超過已簽上限的部分視為新簽約）</t>
    </r>
  </si>
  <si>
    <r>
      <rPr>
        <sz val="11"/>
        <color theme="1"/>
        <rFont val="Noto Sans CJK SC"/>
        <family val="2"/>
      </rPr>
      <t xml:space="preserve">延誤月數：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delay_C</t>
    </r>
  </si>
  <si>
    <r>
      <rPr>
        <b val="true"/>
        <sz val="11"/>
        <rFont val="Cambria"/>
        <family val="0"/>
        <charset val="1"/>
      </rPr>
      <t xml:space="preserve">Q1 FY27 </t>
    </r>
    <r>
      <rPr>
        <b val="true"/>
        <sz val="11"/>
        <rFont val="Noto Sans CJK SC"/>
        <family val="2"/>
      </rPr>
      <t xml:space="preserve">校準（三情境 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相同）：</t>
    </r>
    <r>
      <rPr>
        <b val="true"/>
        <sz val="11"/>
        <rFont val="Cambria"/>
        <family val="0"/>
        <charset val="1"/>
      </rPr>
      <t xml:space="preserve">Cloud and software </t>
    </r>
    <r>
      <rPr>
        <b val="true"/>
        <sz val="11"/>
        <rFont val="Noto Sans CJK SC"/>
        <family val="2"/>
      </rPr>
      <t xml:space="preserve">分部中「</t>
    </r>
    <r>
      <rPr>
        <b val="true"/>
        <sz val="11"/>
        <rFont val="Cambria"/>
        <family val="0"/>
        <charset val="1"/>
      </rPr>
      <t xml:space="preserve">OCI AI </t>
    </r>
    <r>
      <rPr>
        <b val="true"/>
        <sz val="11"/>
        <rFont val="Noto Sans CJK SC"/>
        <family val="2"/>
      </rPr>
      <t xml:space="preserve">以外」的利潤率 </t>
    </r>
    <r>
      <rPr>
        <b val="true"/>
        <sz val="11"/>
        <rFont val="Cambria"/>
        <family val="0"/>
        <charset val="1"/>
      </rPr>
      <t xml:space="preserve">m_sw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</si>
  <si>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分部利潤 − 命題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貢獻（估計）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</si>
  <si>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分部營收 − 命題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營收（估計）</t>
    </r>
  </si>
  <si>
    <r>
      <rPr>
        <sz val="11"/>
        <color theme="1"/>
        <rFont val="Calibri"/>
        <family val="2"/>
        <charset val="1"/>
      </rPr>
      <t xml:space="preserve">m_sw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頁引用）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</si>
  <si>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雲端與軟體分部利潤率（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</si>
  <si>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Q1 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殘差占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12–30%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</si>
  <si>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RPO </t>
    </r>
    <r>
      <rPr>
        <b val="true"/>
        <sz val="11"/>
        <rFont val="Noto Sans CJK SC"/>
        <family val="2"/>
      </rPr>
      <t xml:space="preserve">轉換檢查（命題的對照列；不作校準）</t>
    </r>
  </si>
  <si>
    <t xml:space="preserve">A</t>
  </si>
  <si>
    <t xml:space="preserve">B</t>
  </si>
  <si>
    <t xml:space="preserve">C</t>
  </si>
  <si>
    <r>
      <rPr>
        <sz val="11"/>
        <color theme="1"/>
        <rFont val="Calibri"/>
        <family val="2"/>
        <charset val="1"/>
      </rPr>
      <t xml:space="preserve">RPO 13–36 </t>
    </r>
    <r>
      <rPr>
        <sz val="11"/>
        <color theme="1"/>
        <rFont val="Noto Sans CJK SC"/>
        <family val="2"/>
      </rPr>
      <t xml:space="preserve">個月部分的年化認列（約 </t>
    </r>
    <r>
      <rPr>
        <sz val="11"/>
        <color theme="1"/>
        <rFont val="Calibri"/>
        <family val="2"/>
        <charset val="1"/>
      </rPr>
      <t xml:space="preserve">FY2028Q2–FY2030Q1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</si>
  <si>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含所有合約（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、支援）；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約一半（二手）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</si>
  <si>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OCI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RPO </t>
    </r>
    <r>
      <rPr>
        <sz val="11"/>
        <color theme="1"/>
        <rFont val="Noto Sans CJK SC"/>
        <family val="2"/>
      </rPr>
      <t xml:space="preserve">年化認列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</si>
  <si>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OCI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OpenAI </t>
    </r>
    <r>
      <rPr>
        <sz val="11"/>
        <color theme="1"/>
        <rFont val="Noto Sans CJK SC"/>
        <family val="2"/>
      </rPr>
      <t xml:space="preserve">合約年額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</si>
  <si>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OCI</t>
    </r>
    <r>
      <rPr>
        <sz val="11"/>
        <color theme="1"/>
        <rFont val="Noto Sans CJK SC"/>
        <family val="2"/>
      </rPr>
      <t xml:space="preserve">（含非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</si>
  <si>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命題答案摘要（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；核心問題）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</si>
  <si>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</si>
  <si>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</si>
  <si>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</si>
  <si>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</si>
  <si>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公司路徑 </t>
    </r>
    <r>
      <rPr>
        <sz val="11"/>
        <color theme="1"/>
        <rFont val="Calibri"/>
        <family val="2"/>
        <charset val="1"/>
      </rPr>
      <t xml:space="preserve">114</t>
    </r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</si>
  <si>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算力營收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</si>
  <si>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折舊、租金）</t>
    </r>
  </si>
  <si>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（含非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）營業利益率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</si>
  <si>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資本支出累計 </t>
    </r>
    <r>
      <rPr>
        <sz val="11"/>
        <color theme="1"/>
        <rFont val="Calibri"/>
        <family val="2"/>
        <charset val="1"/>
      </rPr>
      <t xml:space="preserve">FY2027–FY2029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</si>
  <si>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機房租金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</si>
  <si>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未起租 </t>
    </r>
    <r>
      <rPr>
        <sz val="11"/>
        <color theme="1"/>
        <rFont val="Calibri"/>
        <family val="2"/>
        <charset val="1"/>
      </rPr>
      <t xml:space="preserve">288B </t>
    </r>
    <r>
      <rPr>
        <sz val="11"/>
        <color theme="1"/>
        <rFont val="Noto Sans CJK SC"/>
        <family val="2"/>
      </rPr>
      <t xml:space="preserve">起租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</si>
  <si>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FY2029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</si>
  <si>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</si>
  <si>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收支關卡：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自由現金流扣股利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</si>
  <si>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</si>
  <si>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營收分部層：營收線（公司新聞稿）→ 官方報告分部（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Cloud and software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Hardware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）→ 合併營收。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模型；延伸到 </t>
    </r>
    <r>
      <rPr>
        <sz val="11"/>
        <color theme="1"/>
        <rFont val="Calibri"/>
        <family val="2"/>
        <charset val="1"/>
      </rPr>
      <t xml:space="preserve">FY2032</t>
    </r>
  </si>
  <si>
    <r>
      <rPr>
        <sz val="11"/>
        <color theme="1"/>
        <rFont val="Noto Sans CJK SC"/>
        <family val="2"/>
      </rPr>
      <t xml:space="preserve">驅動：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算力＝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頁命題模組；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其他＝成長路徑；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、授權、支援、硬體、服務＝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實績＋去年 </t>
    </r>
    <r>
      <rPr>
        <sz val="11"/>
        <color theme="1"/>
        <rFont val="Calibri"/>
        <family val="2"/>
        <charset val="1"/>
      </rPr>
      <t xml:space="preserve">Q2–Q4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＋近四季年增率），其後線性收斂到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頁長期年增（三情境相同）。核對列：子列合計＝母列、分部合計＝合併營收</t>
    </r>
  </si>
  <si>
    <t xml:space="preserve">FY2026A</t>
  </si>
  <si>
    <r>
      <rPr>
        <b val="true"/>
        <sz val="11"/>
        <rFont val="Noto Sans CJK SC"/>
        <family val="2"/>
      </rPr>
      <t xml:space="preserve">共同（三情境相同）：</t>
    </r>
    <r>
      <rPr>
        <b val="true"/>
        <sz val="11"/>
        <rFont val="Cambria"/>
        <family val="0"/>
        <charset val="1"/>
      </rPr>
      <t xml:space="preserve">OCI </t>
    </r>
    <r>
      <rPr>
        <b val="true"/>
        <sz val="11"/>
        <rFont val="Noto Sans CJK SC"/>
        <family val="2"/>
      </rPr>
      <t xml:space="preserve">以外的營收線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</si>
  <si>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gLT_saas</t>
    </r>
  </si>
  <si>
    <r>
      <rPr>
        <sz val="11"/>
        <color theme="1"/>
        <rFont val="Calibri"/>
        <family val="2"/>
        <charset val="1"/>
      </rPr>
      <t xml:space="preserve">  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 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</si>
  <si>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gLT_lic</t>
    </r>
  </si>
  <si>
    <r>
      <rPr>
        <sz val="11"/>
        <color theme="1"/>
        <rFont val="Calibri"/>
        <family val="2"/>
        <charset val="1"/>
      </rPr>
      <t xml:space="preserve">  Software license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</si>
  <si>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gLT_sup</t>
    </r>
  </si>
  <si>
    <r>
      <rPr>
        <sz val="11"/>
        <color theme="1"/>
        <rFont val="Calibri"/>
        <family val="2"/>
        <charset val="1"/>
      </rPr>
      <t xml:space="preserve">  Software support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</si>
  <si>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gLT_hw</t>
    </r>
  </si>
  <si>
    <r>
      <rPr>
        <sz val="11"/>
        <color theme="1"/>
        <rFont val="Calibri"/>
        <family val="2"/>
        <charset val="1"/>
      </rPr>
      <t xml:space="preserve">  Hardware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</si>
  <si>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gLT_svc</t>
    </r>
  </si>
  <si>
    <r>
      <rPr>
        <sz val="11"/>
        <color theme="1"/>
        <rFont val="Calibri"/>
        <family val="2"/>
        <charset val="1"/>
      </rPr>
      <t xml:space="preserve">  Services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</si>
  <si>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實績（不拆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：公司未揭露）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</si>
  <si>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算力（命題子列）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</si>
  <si>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頁命題模組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</si>
  <si>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）（子列）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</si>
  <si>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Cloud and software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</si>
  <si>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官方分部（雲端與軟體）</t>
    </r>
  </si>
  <si>
    <t xml:space="preserve">合併營收</t>
  </si>
  <si>
    <t xml:space="preserve">  合併營收年增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</si>
  <si>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</si>
  <si>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合併營收 − 公司揭露（應為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</si>
  <si>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三情境損益（十億美元；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美元）。分部營收（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頁）→ 分部利潤（</t>
    </r>
    <r>
      <rPr>
        <sz val="11"/>
        <color theme="1"/>
        <rFont val="Calibri"/>
        <family val="2"/>
        <charset val="1"/>
      </rPr>
      <t xml:space="preserve">Cloud and software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貢獻〔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折舊與租金〕＋其餘營收 </t>
    </r>
    <r>
      <rPr>
        <sz val="11"/>
        <color theme="1"/>
        <rFont val="Calibri"/>
        <family val="2"/>
        <charset val="1"/>
      </rPr>
      <t xml:space="preserve">× m_sw</t>
    </r>
    <r>
      <rPr>
        <sz val="11"/>
        <color theme="1"/>
        <rFont val="Noto Sans CJK SC"/>
        <family val="2"/>
      </rPr>
      <t xml:space="preserve">；硬體、服務＝營收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利潤率）→ 減未分攤費用＝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 → 利息、稅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</si>
  <si>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模型。持股評價損益：預測期設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稀釋口徑（共識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對照見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</si>
  <si>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分部核對（三情境合計絕對差；每年度應為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</si>
  <si>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</si>
  <si>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檢查：子列合計 − 母列（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兩子列；</t>
    </r>
    <r>
      <rPr>
        <sz val="11"/>
        <color theme="1"/>
        <rFont val="Calibri"/>
        <family val="2"/>
        <charset val="1"/>
      </rPr>
      <t xml:space="preserve">Cloud and software </t>
    </r>
    <r>
      <rPr>
        <sz val="11"/>
        <color theme="1"/>
        <rFont val="Noto Sans CJK SC"/>
        <family val="2"/>
      </rPr>
      <t xml:space="preserve">四營收線）</t>
    </r>
  </si>
  <si>
    <t xml:space="preserve">檢查：營收線合計 − 合併營收</t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</si>
  <si>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折舊與租金）＋（分部營收 −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× m_sw</t>
    </r>
  </si>
  <si>
    <r>
      <rPr>
        <sz val="11"/>
        <color theme="1"/>
        <rFont val="Noto Sans CJK SC"/>
        <family val="2"/>
      </rPr>
      <t xml:space="preserve">  其中：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貢獻（命題）</t>
    </r>
  </si>
  <si>
    <r>
      <rPr>
        <sz val="11"/>
        <color theme="1"/>
        <rFont val="Calibri"/>
        <family val="2"/>
        <charset val="1"/>
      </rPr>
      <t xml:space="preserve">  Cloud and software </t>
    </r>
    <r>
      <rPr>
        <sz val="11"/>
        <color theme="1"/>
        <rFont val="Noto Sans CJK SC"/>
        <family val="2"/>
      </rPr>
      <t xml:space="preserve">分部利潤率</t>
    </r>
  </si>
  <si>
    <r>
      <rPr>
        <sz val="11"/>
        <color theme="1"/>
        <rFont val="Noto Sans CJK SC"/>
        <family val="2"/>
      </rPr>
      <t xml:space="preserve">未分攤費用（研發、管理、攤銷、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</si>
  <si>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 × un_rr</t>
    </r>
    <r>
      <rPr>
        <sz val="11"/>
        <color theme="1"/>
        <rFont val="Noto Sans CJK SC"/>
        <family val="2"/>
      </rPr>
      <t xml:space="preserve">）；其後年增 </t>
    </r>
    <r>
      <rPr>
        <sz val="11"/>
        <color theme="1"/>
        <rFont val="Calibri"/>
        <family val="2"/>
        <charset val="1"/>
      </rPr>
      <t xml:space="preserve">un_g</t>
    </r>
  </si>
  <si>
    <t xml:space="preserve">  營業利益率</t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</si>
  <si>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營業利益率（命題）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</si>
  <si>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頁：既有借款 </t>
    </r>
    <r>
      <rPr>
        <sz val="11"/>
        <color theme="1"/>
        <rFont val="Calibri"/>
        <family val="2"/>
        <charset val="1"/>
      </rPr>
      <t xml:space="preserve">× r_old</t>
    </r>
    <r>
      <rPr>
        <sz val="11"/>
        <color theme="1"/>
        <rFont val="Noto Sans CJK SC"/>
        <family val="2"/>
      </rPr>
      <t xml:space="preserve">＋期初新債 </t>
    </r>
    <r>
      <rPr>
        <sz val="11"/>
        <color theme="1"/>
        <rFont val="Calibri"/>
        <family val="2"/>
        <charset val="1"/>
      </rPr>
      <t xml:space="preserve">× r_new</t>
    </r>
    <r>
      <rPr>
        <sz val="11"/>
        <color theme="1"/>
        <rFont val="Noto Sans CJK SC"/>
        <family val="2"/>
      </rPr>
      <t xml:space="preserve">＋高息債 </t>
    </r>
    <r>
      <rPr>
        <sz val="11"/>
        <color theme="1"/>
        <rFont val="Calibri"/>
        <family val="2"/>
        <charset val="1"/>
      </rPr>
      <t xml:space="preserve">× 12%</t>
    </r>
  </si>
  <si>
    <t xml:space="preserve">利息收入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</si>
  <si>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含在其他收益（未拆）</t>
    </r>
  </si>
  <si>
    <t xml:space="preserve">稅前利益</t>
  </si>
  <si>
    <r>
      <rPr>
        <sz val="11"/>
        <color theme="1"/>
        <rFont val="Noto Sans CJK SC"/>
        <family val="2"/>
      </rPr>
      <t xml:space="preserve">其他收益與持股評價損益：預測期設 </t>
    </r>
    <r>
      <rPr>
        <sz val="11"/>
        <color theme="1"/>
        <rFont val="Calibri"/>
        <family val="2"/>
        <charset val="1"/>
      </rPr>
      <t xml:space="preserve">0</t>
    </r>
  </si>
  <si>
    <t xml:space="preserve">所得稅</t>
  </si>
  <si>
    <t xml:space="preserve">淨利</t>
  </si>
  <si>
    <r>
      <rPr>
        <sz val="11"/>
        <color theme="1"/>
        <rFont val="Calibri"/>
        <family val="2"/>
        <charset val="1"/>
      </rPr>
      <t xml:space="preserve">FY27 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0.081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2029-01-15 </t>
    </r>
    <r>
      <rPr>
        <sz val="11"/>
        <color theme="1"/>
        <rFont val="Noto Sans CJK SC"/>
        <family val="2"/>
      </rPr>
      <t xml:space="preserve">強制轉換</t>
    </r>
  </si>
  <si>
    <t xml:space="preserve">歸屬普通股淨利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</si>
  <si>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</si>
  <si>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</si>
  <si>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</si>
  <si>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水準每季 </t>
    </r>
    <r>
      <rPr>
        <sz val="11"/>
        <color theme="1"/>
        <rFont val="Calibri"/>
        <family val="2"/>
        <charset val="1"/>
      </rPr>
      <t xml:space="preserve">0.782</t>
    </r>
    <r>
      <rPr>
        <sz val="11"/>
        <color theme="1"/>
        <rFont val="Noto Sans CJK SC"/>
        <family val="2"/>
      </rPr>
      <t xml:space="preserve">，隨非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營收相對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等比例）＋無形資產攤銷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</si>
  <si>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（營業利益＋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</si>
  <si>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；共識與同業口徑）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</si>
  <si>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− 公司揭露 </t>
    </r>
    <r>
      <rPr>
        <sz val="11"/>
        <color theme="1"/>
        <rFont val="Calibri"/>
        <family val="2"/>
        <charset val="1"/>
      </rPr>
      <t xml:space="preserve">20.606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</si>
  <si>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現金流與融資瀑布（收支模組）。營運現金＝淨利＋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＋客戶預付流入 − 預付認列（非現金營收）；資本支出＝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；自由現金流扣股利後的缺口依序由現金（保留最低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）→ 投資級債（租賃調整後槓桿 ≤ </t>
    </r>
    <r>
      <rPr>
        <sz val="11"/>
        <color theme="1"/>
        <rFont val="Calibri"/>
        <family val="2"/>
        <charset val="1"/>
      </rPr>
      <t xml:space="preserve">4.5×</t>
    </r>
    <r>
      <rPr>
        <sz val="11"/>
        <color theme="1"/>
        <rFont val="Noto Sans CJK SC"/>
        <family val="2"/>
      </rPr>
      <t xml:space="preserve">）→ 新股（每年 ≤ 市值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）→ 高息債 補足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</si>
  <si>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模型（瀑布只計 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，起點為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末現金）。利息以期初餘額計（不循環）。租賃負債＝在帳 </t>
    </r>
    <r>
      <rPr>
        <sz val="11"/>
        <color theme="1"/>
        <rFont val="Calibri"/>
        <family val="2"/>
        <charset val="1"/>
      </rPr>
      <t xml:space="preserve">43.8</t>
    </r>
    <r>
      <rPr>
        <sz val="11"/>
        <color theme="1"/>
        <rFont val="Noto Sans CJK SC"/>
        <family val="2"/>
      </rPr>
      <t xml:space="preserve">＋已起租的未起租租約現值（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）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</si>
  <si>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</si>
  <si>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自由現金流 − 普通股與特別股股利 的合計（負值＝需外部融資；地圖收支關卡讀這一列）</t>
    </r>
  </si>
  <si>
    <t xml:space="preserve">融資需求（五年合計）：新增投資級債</t>
  </si>
  <si>
    <t xml:space="preserve">融資需求（五年合計）：新股</t>
  </si>
  <si>
    <t xml:space="preserve">融資需求（五年合計）：高息債</t>
  </si>
  <si>
    <r>
      <rPr>
        <sz val="11"/>
        <color theme="1"/>
        <rFont val="Noto Sans CJK SC"/>
        <family val="2"/>
      </rPr>
      <t xml:space="preserve">調整後槓桿峰值（</t>
    </r>
    <r>
      <rPr>
        <sz val="11"/>
        <color theme="1"/>
        <rFont val="Calibri"/>
        <family val="2"/>
        <charset val="1"/>
      </rPr>
      <t xml:space="preserve">FY2027–FY2031</t>
    </r>
    <r>
      <rPr>
        <sz val="11"/>
        <color theme="1"/>
        <rFont val="Noto Sans CJK SC"/>
        <family val="2"/>
      </rPr>
      <t xml:space="preserve">）</t>
    </r>
  </si>
  <si>
    <t xml:space="preserve">是否需要發新股或高息債（五年）</t>
  </si>
  <si>
    <t xml:space="preserve">累計自由現金流（五年合計）</t>
  </si>
  <si>
    <r>
      <rPr>
        <sz val="11"/>
        <color theme="1"/>
        <rFont val="Noto Sans CJK SC"/>
        <family val="2"/>
      </rPr>
      <t xml:space="preserve">檢查：收支關卡＝首年起五年自由現金流扣股利（逐欄加總，應為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</si>
  <si>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折舊與攤銷</t>
  </si>
  <si>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（非現金）</t>
    </r>
  </si>
  <si>
    <r>
      <rPr>
        <sz val="11"/>
        <color theme="1"/>
        <rFont val="Noto Sans CJK SC"/>
        <family val="2"/>
      </rPr>
      <t xml:space="preserve">客戶預付流入（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覆蓋比）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</si>
  <si>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11.363 </t>
    </r>
    <r>
      <rPr>
        <sz val="11"/>
        <color theme="1"/>
        <rFont val="Noto Sans CJK SC"/>
        <family val="2"/>
      </rPr>
      <t xml:space="preserve">已在營運現金流）</t>
    </r>
  </si>
  <si>
    <t xml:space="preserve">預付認列（非現金營收，自營運現金扣除）</t>
  </si>
  <si>
    <r>
      <rPr>
        <sz val="11"/>
        <color theme="1"/>
        <rFont val="Noto Sans CJK SC"/>
        <family val="2"/>
      </rPr>
      <t xml:space="preserve">期初餘額自 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起、各年新流入自次年起，皆依 </t>
    </r>
    <r>
      <rPr>
        <sz val="11"/>
        <color theme="1"/>
        <rFont val="Calibri"/>
        <family val="2"/>
        <charset val="1"/>
      </rPr>
      <t xml:space="preserve">prepay_yrs </t>
    </r>
    <r>
      <rPr>
        <sz val="11"/>
        <color theme="1"/>
        <rFont val="Noto Sans CJK SC"/>
        <family val="2"/>
      </rPr>
      <t xml:space="preserve">年直線（一般化）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</si>
  <si>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23.103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；營運資金變動除預付外不建模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</si>
  <si>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</si>
  <si>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資本支出：非 </t>
    </r>
    <r>
      <rPr>
        <sz val="11"/>
        <color theme="1"/>
        <rFont val="Calibri"/>
        <family val="2"/>
        <charset val="1"/>
      </rPr>
      <t xml:space="preserve">AI</t>
    </r>
  </si>
  <si>
    <t xml:space="preserve">資本支出合計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</si>
  <si>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＝公司指引中點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28.499</t>
    </r>
    <r>
      <rPr>
        <sz val="11"/>
        <color theme="1"/>
        <rFont val="Noto Sans CJK SC"/>
        <family val="2"/>
      </rPr>
      <t xml:space="preserve">）</t>
    </r>
  </si>
  <si>
    <t xml:space="preserve">自由現金流</t>
  </si>
  <si>
    <t xml:space="preserve">股利（普通股＋特別股）</t>
  </si>
  <si>
    <t xml:space="preserve">自由現金流扣股利</t>
  </si>
  <si>
    <r>
      <rPr>
        <sz val="11"/>
        <color theme="1"/>
        <rFont val="Noto Sans CJK SC"/>
        <family val="2"/>
      </rPr>
      <t xml:space="preserve">瀑布期間長度（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</si>
  <si>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</si>
  <si>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Noto Sans CJK SC"/>
        <family val="2"/>
      </rPr>
      <t xml:space="preserve">融資前現金流（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）</t>
    </r>
  </si>
  <si>
    <t xml:space="preserve">外部融資需求（扣除可動用現金後）</t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</si>
  <si>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＋租金（槓桿分母）</t>
    </r>
  </si>
  <si>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已扣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租金；加回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租金與在帳租金</t>
    </r>
  </si>
  <si>
    <t xml:space="preserve">租賃負債（在帳＋已起租的未起租租約現值，期末）</t>
  </si>
  <si>
    <r>
      <rPr>
        <sz val="11"/>
        <color theme="1"/>
        <rFont val="Noto Sans CJK SC"/>
        <family val="2"/>
      </rPr>
      <t xml:space="preserve">期末已起租比例＝</t>
    </r>
    <r>
      <rPr>
        <sz val="11"/>
        <color theme="1"/>
        <rFont val="Calibri"/>
        <family val="2"/>
        <charset val="1"/>
      </rPr>
      <t xml:space="preserve">MIN(1,(lease_q0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 × </t>
    </r>
    <r>
      <rPr>
        <sz val="11"/>
        <color theme="1"/>
        <rFont val="Noto Sans CJK SC"/>
        <family val="2"/>
      </rPr>
      <t xml:space="preserve">年數</t>
    </r>
    <r>
      <rPr>
        <sz val="11"/>
        <color theme="1"/>
        <rFont val="Calibri"/>
        <family val="2"/>
        <charset val="1"/>
      </rPr>
      <t xml:space="preserve">)÷ lease_q)</t>
    </r>
    <r>
      <rPr>
        <sz val="11"/>
        <color theme="1"/>
        <rFont val="Noto Sans CJK SC"/>
        <family val="2"/>
      </rPr>
      <t xml:space="preserve">；在帳部分持平（判斷）</t>
    </r>
  </si>
  <si>
    <t xml:space="preserve">投資級債可新增額度</t>
  </si>
  <si>
    <r>
      <rPr>
        <sz val="11"/>
        <color theme="1"/>
        <rFont val="Calibri"/>
        <family val="2"/>
        <charset val="1"/>
      </rPr>
      <t xml:space="preserve">lev_max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＋租金，年化）− 租賃負債 − 既有借款</t>
    </r>
  </si>
  <si>
    <t xml:space="preserve">新增投資級債</t>
  </si>
  <si>
    <t xml:space="preserve">新股</t>
  </si>
  <si>
    <t xml:space="preserve">高息債</t>
  </si>
  <si>
    <t xml:space="preserve">期末現金</t>
  </si>
  <si>
    <t xml:space="preserve">累計新增投資級債（期末）</t>
  </si>
  <si>
    <t xml:space="preserve">累計高息債（期末）</t>
  </si>
  <si>
    <t xml:space="preserve">借款合計（期末）</t>
  </si>
  <si>
    <r>
      <rPr>
        <sz val="11"/>
        <color theme="1"/>
        <rFont val="Noto Sans CJK SC"/>
        <family val="2"/>
      </rPr>
      <t xml:space="preserve">調整後槓桿（借款＋租賃負債）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＋租金）</t>
    </r>
  </si>
  <si>
    <t xml:space="preserve">期初普通股（十億股）</t>
  </si>
  <si>
    <t xml:space="preserve">新發行股數</t>
  </si>
  <si>
    <t xml:space="preserve">期末普通股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</si>
  <si>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加強制轉換特別股 </t>
    </r>
    <r>
      <rPr>
        <sz val="11"/>
        <color theme="1"/>
        <rFont val="Calibri"/>
        <family val="2"/>
        <charset val="1"/>
      </rPr>
      <t xml:space="preserve">0.031</t>
    </r>
  </si>
  <si>
    <t xml:space="preserve">稀釋股數（平均＋選擇權）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</si>
  <si>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實績稀釋加權 </t>
    </r>
    <r>
      <rPr>
        <sz val="11"/>
        <color theme="1"/>
        <rFont val="Calibri"/>
        <family val="2"/>
        <charset val="1"/>
      </rPr>
      <t xml:space="preserve">3.000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</si>
  <si>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1.428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；新債以期初餘額計息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</si>
  <si>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模組自身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計，同業倍數版列對照；</t>
    </r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× </t>
    </r>
    <r>
      <rPr>
        <sz val="11"/>
        <color theme="1"/>
        <rFont val="Noto Sans CJK SC"/>
        <family val="2"/>
      </rPr>
      <t xml:space="preserve">軟體同業倍數；授權、支援、硬體、服務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成熟軟體倍數）；情境權重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（判斷預設，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</si>
  <si>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資產負債表）。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營業利益計（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視為現金成本、股數不另計稀釋）；分部加總的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加回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（與同業倍數同口徑）。淨借款含融資租賃 </t>
    </r>
    <r>
      <rPr>
        <sz val="11"/>
        <color theme="1"/>
        <rFont val="Calibri"/>
        <family val="2"/>
        <charset val="1"/>
      </rPr>
      <t xml:space="preserve">9.185</t>
    </r>
    <r>
      <rPr>
        <sz val="11"/>
        <color theme="1"/>
        <rFont val="Noto Sans CJK SC"/>
        <family val="2"/>
      </rPr>
      <t xml:space="preserve">；營業租賃不列（</t>
    </r>
    <r>
      <rPr>
        <sz val="11"/>
        <color theme="1"/>
        <rFont val="Calibri"/>
        <family val="2"/>
        <charset val="1"/>
      </rPr>
      <t xml:space="preserve">UFCF </t>
    </r>
    <r>
      <rPr>
        <sz val="11"/>
        <color theme="1"/>
        <rFont val="Noto Sans CJK SC"/>
        <family val="2"/>
      </rPr>
      <t xml:space="preserve">已扣租金）。永續期：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折舊＝穩態汰換</t>
    </r>
  </si>
  <si>
    <t xml:space="preserve">數值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</si>
  <si>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</si>
  <si>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調整）</t>
    </r>
  </si>
  <si>
    <r>
      <rPr>
        <sz val="11"/>
        <color theme="1"/>
        <rFont val="Noto Sans CJK SC"/>
        <family val="2"/>
      </rPr>
      <t xml:space="preserve">稅後債務成本（約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</t>
    </r>
  </si>
  <si>
    <r>
      <rPr>
        <sz val="11"/>
        <color theme="1"/>
        <rFont val="Noto Sans CJK SC"/>
        <family val="2"/>
      </rPr>
      <t xml:space="preserve">股權市值（現價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流通股）</t>
    </r>
  </si>
  <si>
    <r>
      <rPr>
        <sz val="11"/>
        <color theme="1"/>
        <rFont val="Noto Sans CJK SC"/>
        <family val="2"/>
      </rPr>
      <t xml:space="preserve">負債（借款本金＋融資租賃，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</si>
  <si>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wacc_adj</t>
    </r>
    <r>
      <rPr>
        <sz val="11"/>
        <color theme="1"/>
        <rFont val="Noto Sans CJK SC"/>
        <family val="2"/>
      </rPr>
      <t xml:space="preserve">，敏感度用，基準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</si>
  <si>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、負債含融資租賃（強制轉換特別股視為股權）</t>
    </r>
  </si>
  <si>
    <r>
      <rPr>
        <sz val="11"/>
        <color theme="1"/>
        <rFont val="Noto Sans CJK SC"/>
        <family val="2"/>
      </rPr>
      <t xml:space="preserve">淨借款（借款＋融資租賃 − 現金，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</si>
  <si>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Noto Sans CJK SC"/>
        <family val="2"/>
      </rPr>
      <t xml:space="preserve">修正一：含融資租賃（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</si>
  <si>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完全稀釋股數（流通＋選擇權＋強制轉換特別股）</t>
  </si>
  <si>
    <t xml:space="preserve">目標價時點距評價日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</si>
  <si>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val_date → tp_date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</si>
  <si>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年底距目標價時點</t>
    </r>
  </si>
  <si>
    <t xml:space="preserve">分部加總錨定日 → 目標價時點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</si>
  <si>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</si>
  <si>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：永續成長不創造價值（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</si>
  <si>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（無槓桿自由現金流，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為現金成本）</t>
    </r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</si>
  <si>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</si>
  <si>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r>
      <rPr>
        <sz val="11"/>
        <color theme="1"/>
        <rFont val="Calibri"/>
        <family val="2"/>
        <charset val="1"/>
      </rPr>
      <t xml:space="preserve">  UFCF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）</t>
    </r>
  </si>
  <si>
    <t xml:space="preserve">  UFCF FY2028</t>
  </si>
  <si>
    <t xml:space="preserve">  UFCF FY2029</t>
  </si>
  <si>
    <t xml:space="preserve">  UFCF FY2030</t>
  </si>
  <si>
    <t xml:space="preserve">  UFCF FY2031</t>
  </si>
  <si>
    <t xml:space="preserve">  UFCF FY2032</t>
  </si>
  <si>
    <r>
      <rPr>
        <sz val="11"/>
        <color theme="1"/>
        <rFont val="Noto Sans CJK SC"/>
        <family val="2"/>
      </rPr>
      <t xml:space="preserve">  永續期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營業利益，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折舊改為穩態汰換；稅後）</t>
    </r>
  </si>
  <si>
    <r>
      <rPr>
        <sz val="11"/>
        <color theme="1"/>
        <rFont val="Noto Sans CJK SC"/>
        <family val="2"/>
      </rPr>
      <t xml:space="preserve">穩態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折舊＝穩態汰換資本支出＝已連網 </t>
    </r>
    <r>
      <rPr>
        <sz val="11"/>
        <color theme="1"/>
        <rFont val="Calibri"/>
        <family val="2"/>
        <charset val="1"/>
      </rPr>
      <t xml:space="preserve">MW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年限（修正一：取代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帳面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折舊）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</si>
  <si>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NOPAT 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g)×(1 − g ÷ RONIC) ÷ (WACC − 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</si>
  <si>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g ÷ RONIC</t>
    </r>
    <r>
      <rPr>
        <sz val="11"/>
        <color theme="1"/>
        <rFont val="Noto Sans CJK SC"/>
        <family val="2"/>
      </rPr>
      <t xml:space="preserve">（成長所需資本支出與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一致，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</si>
  <si>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t xml:space="preserve">企業價值（評價日）</t>
  </si>
  <si>
    <t xml:space="preserve">  其中：永續價值現值占比</t>
  </si>
  <si>
    <t xml:space="preserve">股權價值（企業價值 − 淨借款〔含融資租賃〕）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</si>
  <si>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每股價值（評價日；小於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</si>
  <si>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 − </t>
    </r>
    <r>
      <rPr>
        <sz val="11"/>
        <color theme="1"/>
        <rFont val="Noto Sans CJK SC"/>
        <family val="2"/>
      </rPr>
      <t xml:space="preserve">期間股利）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</si>
  <si>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FY2029 EBITDA × </t>
    </r>
    <r>
      <rPr>
        <b val="true"/>
        <sz val="11"/>
        <rFont val="Noto Sans CJK SC"/>
        <family val="2"/>
      </rPr>
      <t xml:space="preserve">前瞻倍數；</t>
    </r>
    <r>
      <rPr>
        <b val="true"/>
        <sz val="11"/>
        <rFont val="Cambria"/>
        <family val="0"/>
        <charset val="1"/>
      </rPr>
      <t xml:space="preserve">OCI AI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模組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）</t>
    </r>
  </si>
  <si>
    <t xml:space="preserve">同業</t>
  </si>
  <si>
    <t xml:space="preserve">代號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</si>
  <si>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</si>
  <si>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EV/EBITDA</t>
    </r>
  </si>
  <si>
    <t xml:space="preserve">來源與標記</t>
  </si>
  <si>
    <r>
      <rPr>
        <sz val="11"/>
        <color rgb="FF808080"/>
        <rFont val="Cambria"/>
        <family val="0"/>
        <charset val="1"/>
      </rPr>
      <t xml:space="preserve">OCI AI </t>
    </r>
    <r>
      <rPr>
        <sz val="11"/>
        <color rgb="FF808080"/>
        <rFont val="Noto Sans CJK SC"/>
        <family val="2"/>
      </rPr>
      <t xml:space="preserve">同業（</t>
    </r>
    <r>
      <rPr>
        <sz val="11"/>
        <color rgb="FF808080"/>
        <rFont val="Cambria"/>
        <family val="0"/>
        <charset val="1"/>
      </rPr>
      <t xml:space="preserve">neocloud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EV ÷ 2027 </t>
    </r>
    <r>
      <rPr>
        <sz val="11"/>
        <color rgb="FF808080"/>
        <rFont val="Noto Sans CJK SC"/>
        <family val="2"/>
      </rPr>
      <t xml:space="preserve">年共識 </t>
    </r>
    <r>
      <rPr>
        <sz val="11"/>
        <color rgb="FF808080"/>
        <rFont val="Cambria"/>
        <family val="0"/>
        <charset val="1"/>
      </rPr>
      <t xml:space="preserve">EBITDA</t>
    </r>
    <r>
      <rPr>
        <sz val="11"/>
        <color rgb="FF808080"/>
        <rFont val="Noto Sans CJK SC"/>
        <family val="2"/>
      </rPr>
      <t xml:space="preserve">（修正一起只作對照列）</t>
    </r>
  </si>
  <si>
    <t xml:space="preserve">CoreWeave</t>
  </si>
  <si>
    <t xml:space="preserve">CRWV</t>
  </si>
  <si>
    <t xml:space="preserve">2026-10-21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</si>
  <si>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ev_crwv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eb_crwv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</si>
  <si>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Nebius</t>
  </si>
  <si>
    <t xml:space="preserve">NBIS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</si>
  <si>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ev_nbis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eb_nbis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</si>
  <si>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rgb="FF808080"/>
        <rFont val="Noto Sans CJK SC"/>
        <family val="2"/>
      </rPr>
      <t xml:space="preserve">  第三家（</t>
    </r>
    <r>
      <rPr>
        <sz val="11"/>
        <color rgb="FF808080"/>
        <rFont val="Cambria"/>
        <family val="0"/>
        <charset val="1"/>
      </rPr>
      <t xml:space="preserve">IREN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WhiteFiber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EBITDA </t>
    </r>
    <r>
      <rPr>
        <sz val="11"/>
        <color rgb="FF808080"/>
        <rFont val="Noto Sans CJK SC"/>
        <family val="2"/>
      </rPr>
      <t xml:space="preserve">共識未找到——不符合「至少 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CJK SC"/>
        <family val="2"/>
      </rPr>
      <t xml:space="preserve">家」規格；本版 </t>
    </r>
    <r>
      <rPr>
        <sz val="11"/>
        <color rgb="FF808080"/>
        <rFont val="Cambria"/>
        <family val="0"/>
        <charset val="1"/>
      </rPr>
      <t xml:space="preserve">OCI AI </t>
    </r>
    <r>
      <rPr>
        <sz val="11"/>
        <color rgb="FF808080"/>
        <rFont val="Noto Sans CJK SC"/>
        <family val="2"/>
      </rPr>
      <t xml:space="preserve">主值改用 </t>
    </r>
    <r>
      <rPr>
        <sz val="11"/>
        <color rgb="FF808080"/>
        <rFont val="Cambria"/>
        <family val="0"/>
        <charset val="1"/>
      </rPr>
      <t xml:space="preserve">DCF</t>
    </r>
    <r>
      <rPr>
        <sz val="11"/>
        <color rgb="FF808080"/>
        <rFont val="Noto Sans CJK SC"/>
        <family val="2"/>
      </rPr>
      <t xml:space="preserve">，倍數只作對照</t>
    </r>
  </si>
  <si>
    <r>
      <rPr>
        <sz val="11"/>
        <color rgb="FF808080"/>
        <rFont val="Noto Sans CJK SC"/>
        <family val="2"/>
      </rPr>
      <t xml:space="preserve">其餘業務同業（軟體）：</t>
    </r>
    <r>
      <rPr>
        <sz val="11"/>
        <color rgb="FF808080"/>
        <rFont val="Cambria"/>
        <family val="0"/>
        <charset val="1"/>
      </rPr>
      <t xml:space="preserve">NTM EV/EBITDA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SBC </t>
    </r>
    <r>
      <rPr>
        <sz val="11"/>
        <color rgb="FF808080"/>
        <rFont val="Noto Sans CJK SC"/>
        <family val="2"/>
      </rPr>
      <t xml:space="preserve">加回口徑）</t>
    </r>
  </si>
  <si>
    <t xml:space="preserve">Microsoft</t>
  </si>
  <si>
    <t xml:space="preserve">MSFT</t>
  </si>
  <si>
    <t xml:space="preserve">2026-10-07</t>
  </si>
  <si>
    <r>
      <rPr>
        <sz val="11"/>
        <color theme="1"/>
        <rFont val="Calibri"/>
        <family val="2"/>
        <charset val="1"/>
      </rPr>
      <t xml:space="preserve">oracle/data/oracle_facts_20261007.json val.peer.msft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</si>
  <si>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t xml:space="preserve">SAP</t>
  </si>
  <si>
    <r>
      <rPr>
        <sz val="11"/>
        <color theme="1"/>
        <rFont val="Calibri"/>
        <family val="2"/>
        <charset val="1"/>
      </rPr>
      <t xml:space="preserve">oracle/data/oracle_facts_20261007.json val.peer.sap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</si>
  <si>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t xml:space="preserve">Salesforce</t>
  </si>
  <si>
    <t xml:space="preserve">CRM</t>
  </si>
  <si>
    <r>
      <rPr>
        <sz val="11"/>
        <color theme="1"/>
        <rFont val="Calibri"/>
        <family val="2"/>
        <charset val="1"/>
      </rPr>
      <t xml:space="preserve">oracle/data/oracle_facts_20261007.json val.peer.crm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</si>
  <si>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t xml:space="preserve">Adobe</t>
  </si>
  <si>
    <t xml:space="preserve">ADBE</t>
  </si>
  <si>
    <r>
      <rPr>
        <sz val="11"/>
        <color theme="1"/>
        <rFont val="Calibri"/>
        <family val="2"/>
        <charset val="1"/>
      </rPr>
      <t xml:space="preserve">oracle/data/oracle_facts_20261007.json val.peer.adbe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</si>
  <si>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t xml:space="preserve">ServiceNow</t>
  </si>
  <si>
    <t xml:space="preserve">NOW</t>
  </si>
  <si>
    <r>
      <rPr>
        <sz val="11"/>
        <color theme="1"/>
        <rFont val="Calibri"/>
        <family val="2"/>
        <charset val="1"/>
      </rPr>
      <t xml:space="preserve">oracle/data/oracle_facts_20261007.json val.peer.now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</si>
  <si>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r>
      <rPr>
        <sz val="11"/>
        <color theme="1"/>
        <rFont val="Calibri"/>
        <family val="2"/>
        <charset val="1"/>
      </rPr>
      <t xml:space="preserve">FY2029 OCI AI EBITDA</t>
    </r>
    <r>
      <rPr>
        <sz val="11"/>
        <color theme="1"/>
        <rFont val="Noto Sans CJK SC"/>
        <family val="2"/>
      </rPr>
      <t xml:space="preserve">（租金後）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</si>
  <si>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</si>
  <si>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資本支出＋預付淨額）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</si>
  <si>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資本支出＋預付淨額）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</si>
  <si>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資本支出＋預付淨額）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</si>
  <si>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資本支出＋預付淨額）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</si>
  <si>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年底；穩態汰換、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</si>
  <si>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年底；主值）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</si>
  <si>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）：同一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FY2029–FY2032 </t>
    </r>
    <r>
      <rPr>
        <sz val="11"/>
        <color theme="1"/>
        <rFont val="Noto Sans CJK SC"/>
        <family val="2"/>
      </rPr>
      <t xml:space="preserve">期中折現到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</si>
  <si>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× neocloud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mult_oci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</si>
  <si>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原主值；只作對照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</si>
  <si>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其餘業務調整後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（合併調整後 </t>
    </r>
    <r>
      <rPr>
        <sz val="11"/>
        <color theme="1"/>
        <rFont val="Calibri"/>
        <family val="2"/>
        <charset val="1"/>
      </rPr>
      <t xml:space="preserve">EBITDA − OCI 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</si>
  <si>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加回（與同業倍數同口徑，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</si>
  <si>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成長型利潤率（</t>
    </r>
    <r>
      <rPr>
        <sz val="11"/>
        <color theme="1"/>
        <rFont val="Calibri"/>
        <family val="2"/>
        <charset val="1"/>
      </rPr>
      <t xml:space="preserve">split_mode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m_sw</t>
    </r>
    <r>
      <rPr>
        <sz val="11"/>
        <color theme="1"/>
        <rFont val="Noto Sans CJK SC"/>
        <family val="2"/>
      </rPr>
      <t xml:space="preserve">；＝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：由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分部利潤扣授權＋支援 </t>
    </r>
    <r>
      <rPr>
        <sz val="11"/>
        <color theme="1"/>
        <rFont val="Calibri"/>
        <family val="2"/>
        <charset val="1"/>
      </rPr>
      <t xml:space="preserve">m_ls </t>
    </r>
    <r>
      <rPr>
        <sz val="11"/>
        <color theme="1"/>
        <rFont val="Noto Sans CJK SC"/>
        <family val="2"/>
      </rPr>
      <t xml:space="preserve">後推得）</t>
    </r>
  </si>
  <si>
    <r>
      <rPr>
        <sz val="11"/>
        <color theme="1"/>
        <rFont val="Noto Sans CJK SC"/>
        <family val="2"/>
      </rPr>
      <t xml:space="preserve">  授權＋支援利潤率（</t>
    </r>
    <r>
      <rPr>
        <sz val="11"/>
        <color theme="1"/>
        <rFont val="Calibri"/>
        <family val="2"/>
        <charset val="1"/>
      </rPr>
      <t xml:space="preserve">split_mode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m_sw</t>
    </r>
    <r>
      <rPr>
        <sz val="11"/>
        <color theme="1"/>
        <rFont val="Noto Sans CJK SC"/>
        <family val="2"/>
      </rPr>
      <t xml:space="preserve">；＝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m_ls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</si>
  <si>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其中成長型（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）占比（依分部利潤貢獻分攤）</t>
    </r>
  </si>
  <si>
    <r>
      <rPr>
        <sz val="11"/>
        <color theme="1"/>
        <rFont val="Noto Sans CJK SC"/>
        <family val="2"/>
      </rPr>
      <t xml:space="preserve">成長型企業價值（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軟體同業中位數 </t>
    </r>
    <r>
      <rPr>
        <sz val="11"/>
        <color theme="1"/>
        <rFont val="Calibri"/>
        <family val="2"/>
        <charset val="1"/>
      </rPr>
      <t xml:space="preserve">mult_sw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</si>
  <si>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傳統業務企業價值（授權、支援、硬體、服務 </t>
    </r>
    <r>
      <rPr>
        <sz val="11"/>
        <color theme="1"/>
        <rFont val="Calibri"/>
        <family val="2"/>
        <charset val="1"/>
      </rPr>
      <t xml:space="preserve">× mult_leg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</si>
  <si>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修正一：成熟軟體倍數（</t>
    </r>
    <r>
      <rPr>
        <sz val="11"/>
        <color theme="1"/>
        <rFont val="Calibri"/>
        <family val="2"/>
        <charset val="1"/>
      </rPr>
      <t xml:space="preserve">Salesforce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Adobe </t>
    </r>
    <r>
      <rPr>
        <sz val="11"/>
        <color theme="1"/>
        <rFont val="Noto Sans CJK SC"/>
        <family val="2"/>
      </rPr>
      <t xml:space="preserve">中位數）</t>
    </r>
  </si>
  <si>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</si>
  <si>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淨借款（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年底：借款＋融資租賃 − 現金）</t>
    </r>
  </si>
  <si>
    <r>
      <rPr>
        <sz val="11"/>
        <color theme="1"/>
        <rFont val="Noto Sans CJK SC"/>
        <family val="2"/>
      </rPr>
      <t xml:space="preserve">完全稀釋股數（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</si>
  <si>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分部加總每股價值（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年底）</t>
    </r>
  </si>
  <si>
    <t xml:space="preserve">分部加總每股價值（折回目標價時點，加回期間股利）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</si>
  <si>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 → 目標價時點（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t_28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</si>
  <si>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對照：分部加總每股（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以同業倍數）</t>
    </r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</si>
  <si>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占分部加總企業價值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</si>
  <si>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</si>
  <si>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× w_dcf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w_dcf</t>
    </r>
    <r>
      <rPr>
        <sz val="11"/>
        <color theme="1"/>
        <rFont val="Noto Sans CJK SC"/>
        <family val="2"/>
      </rPr>
      <t xml:space="preserve">））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</si>
  <si>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</si>
  <si>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</si>
  <si>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</si>
  <si>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分部加總（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× </t>
    </r>
    <r>
      <rPr>
        <sz val="11"/>
        <color theme="1"/>
        <rFont val="Noto Sans CJK SC"/>
        <family val="2"/>
      </rPr>
      <t xml:space="preserve">軟體倍數；傳統業務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成熟軟體倍數）情境加權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</si>
  <si>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</si>
  <si>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</si>
  <si>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</si>
  <si>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家平均，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</si>
  <si>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</si>
  <si>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</si>
  <si>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</si>
  <si>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</si>
  <si>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</si>
  <si>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</si>
  <si>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價值（悲觀情境價）、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</si>
  <si>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悲觀情境價（情境 </t>
    </r>
    <r>
      <rPr>
        <sz val="11"/>
        <color theme="1"/>
        <rFont val="Calibri"/>
        <family val="2"/>
        <charset val="1"/>
      </rPr>
      <t xml:space="preserve">C 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</si>
  <si>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</si>
  <si>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</si>
  <si>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永續價值占比（情境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</si>
  <si>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對照：加權目標價（分部加總的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改用同業倍數）</t>
    </r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</si>
  <si>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原口徑；差額＝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資本密集度（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</si>
  <si>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</si>
  <si>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</si>
  <si>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、永續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）與分部加總（</t>
    </r>
    <r>
      <rPr>
        <sz val="11"/>
        <color theme="1"/>
        <rFont val="Calibri"/>
        <family val="2"/>
        <charset val="1"/>
      </rPr>
      <t xml:space="preserve">FY2029 EBITDA × </t>
    </r>
    <r>
      <rPr>
        <sz val="11"/>
        <color theme="1"/>
        <rFont val="Noto Sans CJK SC"/>
        <family val="2"/>
      </rPr>
      <t xml:space="preserve">同業前瞻倍數；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）各半；情境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同業只有兩家（不符合至少三家，只作對照）；傳統業務倍數取成熟軟體兩家；永續價值占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比例高，對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</si>
  <si>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逐分部、逐營收線對照市場共識與公司指引（校準時未使用）；另列 </t>
    </r>
    <r>
      <rPr>
        <sz val="11"/>
        <color theme="1"/>
        <rFont val="Calibri"/>
        <family val="2"/>
        <charset val="1"/>
      </rPr>
      <t xml:space="preserve">v0.4 vs v0.3.1</t>
    </r>
    <r>
      <rPr>
        <sz val="11"/>
        <color theme="1"/>
        <rFont val="Noto Sans CJK SC"/>
        <family val="2"/>
      </rPr>
      <t xml:space="preserve">。共識不分部（只有合併營收、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）：分部層的共識「未找到」，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以公司營收路徑對照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</si>
  <si>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</si>
  <si>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</si>
  <si>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</si>
  <si>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</si>
  <si>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</si>
  <si>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</si>
  <si>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</si>
  <si>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</si>
  <si>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合併（共識）</t>
    </r>
  </si>
  <si>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</si>
  <si>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系）</t>
    </r>
  </si>
  <si>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</si>
  <si>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FY2029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</si>
  <si>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FY2027 vs </t>
    </r>
    <r>
      <rPr>
        <sz val="11"/>
        <color theme="1"/>
        <rFont val="Noto Sans CJK SC"/>
        <family val="2"/>
      </rPr>
      <t xml:space="preserve">共識（非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</si>
  <si>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r>
      <rPr>
        <sz val="11"/>
        <color theme="1"/>
        <rFont val="Noto Sans CJK SC"/>
        <family val="2"/>
      </rPr>
      <t xml:space="preserve">模型＝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；共識口徑不含攤銷，略有差異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</si>
  <si>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FY2028 vs </t>
    </r>
    <r>
      <rPr>
        <sz val="11"/>
        <color theme="1"/>
        <rFont val="Noto Sans CJK SC"/>
        <family val="2"/>
      </rPr>
      <t xml:space="preserve">共識（非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</si>
  <si>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FY2029 vs </t>
    </r>
    <r>
      <rPr>
        <sz val="11"/>
        <color theme="1"/>
        <rFont val="Noto Sans CJK SC"/>
        <family val="2"/>
      </rPr>
      <t xml:space="preserve">共識（非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</si>
  <si>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r>
      <rPr>
        <sz val="11"/>
        <color theme="1"/>
        <rFont val="Calibri"/>
        <family val="2"/>
        <charset val="1"/>
      </rPr>
      <t xml:space="preserve">GAAP EPS FY2027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</si>
  <si>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</si>
  <si>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GAAP EPS FY2028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</si>
  <si>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GAAP EPS FY2029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</si>
  <si>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</si>
  <si>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模型只建已簽站點（上限 </t>
    </r>
    <r>
      <rPr>
        <sz val="11"/>
        <color theme="1"/>
        <rFont val="Calibri"/>
        <family val="2"/>
        <charset val="1"/>
      </rPr>
      <t xml:space="preserve">8,778 MW-IT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起資本支出低於共識：觀點（見報告第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</si>
  <si>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</si>
  <si>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</si>
  <si>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共識（差距以金額計）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</si>
  <si>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共識（差距以金額計）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</si>
  <si>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 vs </t>
    </r>
    <r>
      <rPr>
        <sz val="11"/>
        <color theme="1"/>
        <rFont val="Noto Sans CJK SC"/>
        <family val="2"/>
      </rPr>
      <t xml:space="preserve">共識（差距以金額計）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</si>
  <si>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公司指引下限 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</si>
  <si>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</t>
    </r>
  </si>
  <si>
    <t xml:space="preserve">指引為下限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</si>
  <si>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90–95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</si>
  <si>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法說（二手）</t>
    </r>
  </si>
  <si>
    <t xml:space="preserve">本版以指引中點為錨（恆等）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</si>
  <si>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逐分部與營收線（共識未分部：未找到；</t>
    </r>
    <r>
      <rPr>
        <b val="true"/>
        <sz val="11"/>
        <rFont val="Cambria"/>
        <family val="0"/>
        <charset val="1"/>
      </rPr>
      <t xml:space="preserve">OCI </t>
    </r>
    <r>
      <rPr>
        <b val="true"/>
        <sz val="11"/>
        <rFont val="Noto Sans CJK SC"/>
        <family val="2"/>
      </rPr>
      <t xml:space="preserve">對照公司路徑）</t>
    </r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</si>
  <si>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</t>
    </r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</si>
  <si>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</si>
  <si>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公司路徑不作校準</t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</si>
  <si>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</t>
    </r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</si>
  <si>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FY2029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</t>
    </r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</si>
  <si>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FY2030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</t>
    </r>
  </si>
  <si>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：共識未找到（列模型值）</t>
    </r>
  </si>
  <si>
    <t xml:space="preserve">未找到</t>
  </si>
  <si>
    <t xml:space="preserve">共識不分營收線</t>
  </si>
  <si>
    <r>
      <rPr>
        <sz val="11"/>
        <color theme="1"/>
        <rFont val="Calibri"/>
        <family val="2"/>
        <charset val="1"/>
      </rPr>
      <t xml:space="preserve">Software license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</si>
  <si>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Calibri"/>
        <family val="2"/>
        <charset val="1"/>
      </rPr>
      <t xml:space="preserve">Software support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</si>
  <si>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Calibri"/>
        <family val="2"/>
        <charset val="1"/>
      </rPr>
      <t xml:space="preserve">Hardware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</si>
  <si>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Calibri"/>
        <family val="2"/>
        <charset val="1"/>
      </rPr>
      <t xml:space="preserve">Services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</si>
  <si>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Cloud and software FY2027</t>
    </r>
    <r>
      <rPr>
        <sz val="11"/>
        <color theme="1"/>
        <rFont val="Noto Sans CJK SC"/>
        <family val="2"/>
      </rPr>
      <t xml:space="preserve">：共識未找到（列模型值）</t>
    </r>
  </si>
  <si>
    <t xml:space="preserve">共識不分部</t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</si>
  <si>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Hardware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</si>
  <si>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Services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</si>
  <si>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命題檢查（不為對上而調參數）</t>
    </r>
  </si>
  <si>
    <r>
      <rPr>
        <sz val="11"/>
        <color theme="1"/>
        <rFont val="Calibri"/>
        <family val="2"/>
        <charset val="1"/>
      </rPr>
      <t xml:space="preserve">Q1 FY27 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殘差占比 </t>
    </r>
    <r>
      <rPr>
        <sz val="11"/>
        <color theme="1"/>
        <rFont val="Calibri"/>
        <family val="2"/>
        <charset val="1"/>
      </rPr>
      <t xml:space="preserve">vs v0.3.1 </t>
    </r>
    <r>
      <rPr>
        <sz val="11"/>
        <color theme="1"/>
        <rFont val="Noto Sans CJK SC"/>
        <family val="2"/>
      </rPr>
      <t xml:space="preserve">區間上緣 </t>
    </r>
    <r>
      <rPr>
        <sz val="11"/>
        <color theme="1"/>
        <rFont val="Calibri"/>
        <family val="2"/>
        <charset val="1"/>
      </rPr>
      <t xml:space="preserve">30%</t>
    </r>
  </si>
  <si>
    <t xml:space="preserve">v0.3.1 E2</t>
  </si>
  <si>
    <r>
      <rPr>
        <sz val="11"/>
        <color theme="1"/>
        <rFont val="Noto Sans CJK SC"/>
        <family val="2"/>
      </rPr>
      <t xml:space="preserve">殘差包含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合約價高於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的部分</t>
    </r>
  </si>
  <si>
    <r>
      <rPr>
        <sz val="11"/>
        <color theme="1"/>
        <rFont val="Calibri"/>
        <family val="2"/>
        <charset val="1"/>
      </rPr>
      <t xml:space="preserve">m_sw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校準）</t>
    </r>
    <r>
      <rPr>
        <sz val="11"/>
        <color theme="1"/>
        <rFont val="Calibri"/>
        <family val="2"/>
        <charset val="1"/>
      </rPr>
      <t xml:space="preserve">vs FY2024 </t>
    </r>
    <r>
      <rPr>
        <sz val="11"/>
        <color theme="1"/>
        <rFont val="Noto Sans CJK SC"/>
        <family val="2"/>
      </rPr>
      <t xml:space="preserve">雲端與軟體分部利潤率</t>
    </r>
  </si>
  <si>
    <r>
      <rPr>
        <sz val="11"/>
        <color theme="1"/>
        <rFont val="Noto Sans CJK SC"/>
        <family val="2"/>
      </rPr>
      <t xml:space="preserve">兩者接近＝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貢獻估計合理</t>
    </r>
  </si>
  <si>
    <r>
      <rPr>
        <sz val="11"/>
        <color theme="1"/>
        <rFont val="Calibri"/>
        <family val="2"/>
        <charset val="1"/>
      </rPr>
      <t xml:space="preserve">FY2029 OCI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OpenAI </t>
    </r>
    <r>
      <rPr>
        <sz val="11"/>
        <color theme="1"/>
        <rFont val="Noto Sans CJK SC"/>
        <family val="2"/>
      </rPr>
      <t xml:space="preserve">合約年額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</si>
  <si>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轉述（未證實）</t>
    </r>
  </si>
  <si>
    <r>
      <rPr>
        <sz val="11"/>
        <color theme="1"/>
        <rFont val="Calibri"/>
        <family val="2"/>
        <charset val="1"/>
      </rPr>
      <t xml:space="preserve">FY2029 OCI AI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合約毛利率 </t>
    </r>
    <r>
      <rPr>
        <sz val="11"/>
        <color theme="1"/>
        <rFont val="Calibri"/>
        <family val="2"/>
        <charset val="1"/>
      </rPr>
      <t xml:space="preserve">30–40%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</si>
  <si>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分析師日（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</si>
  <si>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口徑不同：模型為營業利益率（含折舊、租金）；外部報導毛利率 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</si>
  <si>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vs WACC</t>
    </r>
  </si>
  <si>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</si>
  <si>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擴張摧毀價值</t>
    </r>
  </si>
  <si>
    <r>
      <rPr>
        <b val="true"/>
        <sz val="11"/>
        <rFont val="Cambria"/>
        <family val="0"/>
        <charset val="1"/>
      </rPr>
      <t xml:space="preserve">D. v0.4 vs v0.3.1</t>
    </r>
    <r>
      <rPr>
        <b val="true"/>
        <sz val="11"/>
        <rFont val="Noto Sans CJK SC"/>
        <family val="2"/>
      </rPr>
      <t xml:space="preserve">（目標價與主要差異來源）</t>
    </r>
  </si>
  <si>
    <r>
      <rPr>
        <sz val="11"/>
        <color theme="1"/>
        <rFont val="Noto Sans CJK SC"/>
        <family val="2"/>
      </rPr>
      <t xml:space="preserve">情境目標價 </t>
    </r>
    <r>
      <rPr>
        <sz val="11"/>
        <color theme="1"/>
        <rFont val="Calibri"/>
        <family val="2"/>
        <charset val="1"/>
      </rPr>
      <t xml:space="preserve">vs 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對積極、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對基準、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對保守）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</si>
  <si>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交接檔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</si>
  <si>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情境目標價（積極／基準／保守）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</si>
  <si>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＋分部 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 6x</t>
    </r>
    <r>
      <rPr>
        <sz val="11"/>
        <color theme="1"/>
        <rFont val="Noto Sans CJK SC"/>
        <family val="2"/>
      </rPr>
      <t xml:space="preserve">、傳統事業 </t>
    </r>
    <r>
      <rPr>
        <sz val="11"/>
        <color theme="1"/>
        <rFont val="Calibri"/>
        <family val="2"/>
        <charset val="1"/>
      </rPr>
      <t xml:space="preserve">15.02x</t>
    </r>
    <r>
      <rPr>
        <sz val="11"/>
        <color theme="1"/>
        <rFont val="Noto Sans CJK SC"/>
        <family val="2"/>
      </rPr>
      <t xml:space="preserve">，錨定 </t>
    </r>
    <r>
      <rPr>
        <sz val="11"/>
        <color theme="1"/>
        <rFont val="Calibri"/>
        <family val="2"/>
        <charset val="1"/>
      </rPr>
      <t xml:space="preserve">FY29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</si>
  <si>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差異來源（定性；數字拆解見報告第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</si>
  <si>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營收結構：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、授權、支援、硬體、服務各自路徑，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拆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AI </t>
    </r>
    <r>
      <rPr>
        <sz val="11"/>
        <color theme="1"/>
        <rFont val="Noto Sans CJK SC"/>
        <family val="2"/>
      </rPr>
      <t xml:space="preserve">折舊與租金進分部利潤與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評價法：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倍數改為同業中位數、情境權重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市場資料：現價 </t>
    </r>
    <r>
      <rPr>
        <sz val="11"/>
        <color theme="1"/>
        <rFont val="Calibri"/>
        <family val="2"/>
        <charset val="1"/>
      </rPr>
      <t xml:space="preserve">129.13 → 126.06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</si>
  <si>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一次動一個輸入（低／高），以完整模型重算加權目標價與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指標（</t>
    </r>
    <r>
      <rPr>
        <sz val="11"/>
        <color theme="1"/>
        <rFont val="Calibri"/>
        <family val="2"/>
        <charset val="1"/>
      </rPr>
      <t xml:space="preserve">scripts/sens_v04.py </t>
    </r>
    <r>
      <rPr>
        <sz val="11"/>
        <color theme="1"/>
        <rFont val="Noto Sans CJK SC"/>
        <family val="2"/>
      </rPr>
      <t xml:space="preserve">建置時以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重算整本活頁簿；數值寫入此頁）</t>
    </r>
  </si>
  <si>
    <r>
      <rPr>
        <sz val="11"/>
        <color theme="1"/>
        <rFont val="Noto Sans CJK SC"/>
        <family val="2"/>
      </rPr>
      <t xml:space="preserve">重算日期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；基準加權目標價 </t>
    </r>
    <r>
      <rPr>
        <sz val="11"/>
        <color theme="1"/>
        <rFont val="Calibri"/>
        <family val="2"/>
        <charset val="1"/>
      </rPr>
      <t xml:space="preserve">73.2244</t>
    </r>
    <r>
      <rPr>
        <sz val="11"/>
        <color theme="1"/>
        <rFont val="Noto Sans CJK SC"/>
        <family val="2"/>
      </rPr>
      <t xml:space="preserve">（應等於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頁加權目標價，見下方檢查列）</t>
    </r>
  </si>
  <si>
    <t xml:space="preserve">輸入</t>
  </si>
  <si>
    <t xml:space="preserve">低／高設定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</si>
  <si>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</si>
  <si>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</si>
  <si>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</si>
  <si>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</si>
  <si>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最大絕對變動</t>
  </si>
  <si>
    <r>
      <rPr>
        <b val="true"/>
        <sz val="11"/>
        <rFont val="Noto Sans CJK SC"/>
        <family val="2"/>
      </rPr>
      <t xml:space="preserve">低：</t>
    </r>
    <r>
      <rPr>
        <b val="true"/>
        <sz val="11"/>
        <rFont val="Cambria"/>
        <family val="0"/>
        <charset val="1"/>
      </rPr>
      <t xml:space="preserve">FY2029 OCI AI </t>
    </r>
    <r>
      <rPr>
        <b val="true"/>
        <sz val="11"/>
        <rFont val="Noto Sans CJK SC"/>
        <family val="2"/>
      </rPr>
      <t xml:space="preserve">營業利益率（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</si>
  <si>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高：</t>
    </r>
    <r>
      <rPr>
        <b val="true"/>
        <sz val="11"/>
        <rFont val="Cambria"/>
        <family val="0"/>
        <charset val="1"/>
      </rPr>
      <t xml:space="preserve">FY2029 OCI AI </t>
    </r>
    <r>
      <rPr>
        <b val="true"/>
        <sz val="11"/>
        <rFont val="Noto Sans CJK SC"/>
        <family val="2"/>
      </rPr>
      <t xml:space="preserve">營業利益率（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</si>
  <si>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低：收支關卡（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</si>
  <si>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高：收支關卡（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</si>
  <si>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定價倍數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</si>
  <si>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Calibri"/>
        <family val="2"/>
        <charset val="1"/>
      </rPr>
      <t xml:space="preserve">k ×0.9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約當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自身合約）</t>
    </r>
  </si>
  <si>
    <t xml:space="preserve">計費比例</t>
  </si>
  <si>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</si>
  <si>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t xml:space="preserve">併網速度（三情境）</t>
  </si>
  <si>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×1.2</t>
    </r>
  </si>
  <si>
    <t xml:space="preserve">pace_A pace_B pace_C</t>
  </si>
  <si>
    <t xml:space="preserve">合約容量上限（三情境）</t>
  </si>
  <si>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×1.1</t>
    </r>
  </si>
  <si>
    <t xml:space="preserve">cap_A cap_B cap_C</t>
  </si>
  <si>
    <t xml:space="preserve">建設延誤（三情境）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</si>
  <si>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月／各加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</si>
  <si>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t xml:space="preserve">delay_A delay_B delay_C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</si>
  <si>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折舊年限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</si>
  <si>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</si>
  <si>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營運費用</t>
    </r>
  </si>
  <si>
    <t xml:space="preserve">ox_h100 ox_gb200 ox_gb300 ox_vr200</t>
  </si>
  <si>
    <t xml:space="preserve">未起租租約期限</t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</si>
  <si>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</si>
  <si>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</si>
  <si>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</si>
  <si>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長期年增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</si>
  <si>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</si>
  <si>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Software support </t>
    </r>
    <r>
      <rPr>
        <sz val="11"/>
        <color theme="1"/>
        <rFont val="Noto Sans CJK SC"/>
        <family val="2"/>
      </rPr>
      <t xml:space="preserve">長期年增</t>
    </r>
  </si>
  <si>
    <r>
      <rPr>
        <sz val="11"/>
        <color theme="1"/>
        <rFont val="Calibri"/>
        <family val="2"/>
        <charset val="1"/>
      </rPr>
      <t xml:space="preserve">−3%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+1%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</si>
  <si>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以外」利潤率 </t>
    </r>
    <r>
      <rPr>
        <sz val="11"/>
        <color theme="1"/>
        <rFont val="Calibri"/>
        <family val="2"/>
        <charset val="1"/>
      </rPr>
      <t xml:space="preserve">m_sw</t>
    </r>
  </si>
  <si>
    <r>
      <rPr>
        <sz val="11"/>
        <color theme="1"/>
        <rFont val="Calibri"/>
        <family val="2"/>
        <charset val="1"/>
      </rPr>
      <t xml:space="preserve">−3pt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+3pt</t>
    </r>
  </si>
  <si>
    <t xml:space="preserve">未分攤費用年增</t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</si>
  <si>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</si>
  <si>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客戶出資覆蓋比</t>
  </si>
  <si>
    <r>
      <rPr>
        <sz val="11"/>
        <color theme="1"/>
        <rFont val="Calibri"/>
        <family val="2"/>
        <charset val="1"/>
      </rPr>
      <t xml:space="preserve">22.2%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</si>
  <si>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調整後）</t>
    </r>
  </si>
  <si>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2.0</t>
    </r>
  </si>
  <si>
    <t xml:space="preserve">WACC</t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</si>
  <si>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</si>
  <si>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Noto Sans CJK SC"/>
        <family val="2"/>
      </rPr>
      <t xml:space="preserve">股權風險溢酬 </t>
    </r>
    <r>
      <rPr>
        <sz val="11"/>
        <color theme="1"/>
        <rFont val="Calibri"/>
        <family val="2"/>
        <charset val="1"/>
      </rPr>
      <t xml:space="preserve">ERP</t>
    </r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</si>
  <si>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</si>
  <si>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稅前債務成本 </t>
    </r>
    <r>
      <rPr>
        <sz val="11"/>
        <color theme="1"/>
        <rFont val="Calibri"/>
        <family val="2"/>
        <charset val="1"/>
      </rPr>
      <t xml:space="preserve">kd</t>
    </r>
  </si>
  <si>
    <r>
      <rPr>
        <sz val="11"/>
        <color theme="1"/>
        <rFont val="Calibri"/>
        <family val="2"/>
        <charset val="1"/>
      </rPr>
      <t xml:space="preserve">5.0%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2046 </t>
    </r>
    <r>
      <rPr>
        <sz val="11"/>
        <color theme="1"/>
        <rFont val="Noto Sans CJK SC"/>
        <family val="2"/>
      </rPr>
      <t xml:space="preserve">長債）</t>
    </r>
  </si>
  <si>
    <r>
      <rPr>
        <sz val="11"/>
        <color theme="1"/>
        <rFont val="Noto Sans CJK SC"/>
        <family val="2"/>
      </rPr>
      <t xml:space="preserve">永續期 </t>
    </r>
    <r>
      <rPr>
        <sz val="11"/>
        <color theme="1"/>
        <rFont val="Calibri"/>
        <family val="2"/>
        <charset val="1"/>
      </rPr>
      <t xml:space="preserve">RONIC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</si>
  <si>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</si>
  <si>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未分攤費用 </t>
    </r>
    <r>
      <rPr>
        <sz val="11"/>
        <color theme="1"/>
        <rFont val="Calibri"/>
        <family val="2"/>
        <charset val="1"/>
      </rPr>
      <t xml:space="preserve">FY27 Q2–Q4 </t>
    </r>
    <r>
      <rPr>
        <sz val="11"/>
        <color theme="1"/>
        <rFont val="Noto Sans CJK SC"/>
        <family val="2"/>
      </rPr>
      <t xml:space="preserve">水準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</si>
  <si>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×1.00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原預設）／</t>
    </r>
    <r>
      <rPr>
        <sz val="11"/>
        <color theme="1"/>
        <rFont val="Calibri"/>
        <family val="2"/>
        <charset val="1"/>
      </rPr>
      <t xml:space="preserve">×1.35</t>
    </r>
  </si>
  <si>
    <t xml:space="preserve">傳統業務倍數</t>
  </si>
  <si>
    <r>
      <rPr>
        <sz val="11"/>
        <color theme="1"/>
        <rFont val="Calibri"/>
        <family val="2"/>
        <charset val="1"/>
      </rPr>
      <t xml:space="preserve">7.5x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10.5x</t>
    </r>
  </si>
  <si>
    <r>
      <rPr>
        <sz val="11"/>
        <color theme="1"/>
        <rFont val="Noto Sans CJK SC"/>
        <family val="2"/>
      </rPr>
      <t xml:space="preserve">其餘業務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拆法</t>
    </r>
  </si>
  <si>
    <r>
      <rPr>
        <sz val="11"/>
        <color theme="1"/>
        <rFont val="Noto Sans CJK SC"/>
        <family val="2"/>
      </rPr>
      <t xml:space="preserve">基準（同利潤率）／授權＋支援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、成長型由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推得</t>
    </r>
  </si>
  <si>
    <r>
      <rPr>
        <sz val="11"/>
        <color theme="1"/>
        <rFont val="Noto Sans CJK SC"/>
        <family val="2"/>
      </rPr>
      <t xml:space="preserve">未分攤費用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× 1.04</t>
    </r>
  </si>
  <si>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季均）／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17.412 × 1.04</t>
    </r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</si>
  <si>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企業價值下限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</si>
  <si>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基準（保留負值）／截為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</si>
  <si>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永續成長率 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</si>
  <si>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</si>
  <si>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分部倍數（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與其餘業務）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</si>
  <si>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</t>
    </r>
  </si>
  <si>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</si>
  <si>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</si>
  <si>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</si>
  <si>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資本支出（指引）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</si>
  <si>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</si>
  <si>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四世代同時（每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年持有成本）</t>
    </r>
  </si>
  <si>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低成本／高成本欄（四世代同時；</t>
    </r>
    <r>
      <rPr>
        <sz val="11"/>
        <color theme="1"/>
        <rFont val="Calibri"/>
        <family val="2"/>
        <charset val="1"/>
      </rPr>
      <t xml:space="preserve">GB300 → 8.4289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18.5346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長約分母同步變動）</t>
    </r>
  </si>
  <si>
    <t xml:space="preserve">he_all</t>
  </si>
  <si>
    <r>
      <rPr>
        <sz val="11"/>
        <color theme="1"/>
        <rFont val="Noto Sans CJK SC"/>
        <family val="2"/>
      </rPr>
      <t xml:space="preserve">長約價格證據 </t>
    </r>
    <r>
      <rPr>
        <sz val="11"/>
        <color theme="1"/>
        <rFont val="Calibri"/>
        <family val="2"/>
        <charset val="1"/>
      </rPr>
      <t xml:space="preserve">p_long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長約隨之）</t>
    </r>
  </si>
  <si>
    <r>
      <rPr>
        <sz val="11"/>
        <color theme="1"/>
        <rFont val="Calibri"/>
        <family val="2"/>
        <charset val="1"/>
      </rPr>
      <t xml:space="preserve">8.9073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12.7247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9.70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k_long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p_long ÷ he_gb300</t>
    </r>
    <r>
      <rPr>
        <sz val="11"/>
        <color theme="1"/>
        <rFont val="Noto Sans CJK SC"/>
        <family val="2"/>
      </rPr>
      <t xml:space="preserve">）</t>
    </r>
  </si>
  <si>
    <t xml:space="preserve">p_long k_long</t>
  </si>
  <si>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</si>
  <si>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末世代占比：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（差額由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吸收，合計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</si>
  <si>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H100 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</si>
  <si>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t xml:space="preserve">om_h100 om_gb300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</si>
  <si>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末世代占比：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（差額由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吸收，合計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</si>
  <si>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GB200 45%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</si>
  <si>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om_gb200 om_gb300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</si>
  <si>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末世代占比：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（差額由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吸收，合計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</si>
  <si>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 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</si>
  <si>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om_gb300 om_gb200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</si>
  <si>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新增產能中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</si>
  <si>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</si>
  <si>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起新增產能中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</si>
  <si>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</si>
  <si>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</si>
  <si>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Software license </t>
    </r>
    <r>
      <rPr>
        <sz val="11"/>
        <color theme="1"/>
        <rFont val="Noto Sans CJK SC"/>
        <family val="2"/>
      </rPr>
      <t xml:space="preserve">長期年增</t>
    </r>
  </si>
  <si>
    <r>
      <rPr>
        <sz val="11"/>
        <color theme="1"/>
        <rFont val="Calibri"/>
        <family val="2"/>
        <charset val="1"/>
      </rPr>
      <t xml:space="preserve">−5%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</si>
  <si>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Hardware </t>
    </r>
    <r>
      <rPr>
        <sz val="11"/>
        <color theme="1"/>
        <rFont val="Noto Sans CJK SC"/>
        <family val="2"/>
      </rPr>
      <t xml:space="preserve">長期年增</t>
    </r>
  </si>
  <si>
    <r>
      <rPr>
        <sz val="11"/>
        <color theme="1"/>
        <rFont val="Calibri"/>
        <family val="2"/>
        <charset val="1"/>
      </rPr>
      <t xml:space="preserve">−3%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+3%</t>
    </r>
  </si>
  <si>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長期年增</t>
    </r>
  </si>
  <si>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</si>
  <si>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年／基準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</si>
  <si>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12.6%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</si>
  <si>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新增投資級債利率（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r_new </t>
    </r>
    <r>
      <rPr>
        <sz val="11"/>
        <color theme="1"/>
        <rFont val="Noto Sans CJK SC"/>
        <family val="2"/>
      </rPr>
      <t xml:space="preserve">隨之）</t>
    </r>
  </si>
  <si>
    <r>
      <rPr>
        <sz val="11"/>
        <color theme="1"/>
        <rFont val="Calibri"/>
        <family val="2"/>
        <charset val="1"/>
      </rPr>
      <t xml:space="preserve">5.0%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8.11%</t>
    </r>
  </si>
  <si>
    <t xml:space="preserve">投資級槓桿上限</t>
  </si>
  <si>
    <r>
      <rPr>
        <sz val="11"/>
        <color theme="1"/>
        <rFont val="Calibri"/>
        <family val="2"/>
        <charset val="1"/>
      </rPr>
      <t xml:space="preserve">4.0x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5.0x</t>
    </r>
  </si>
  <si>
    <r>
      <rPr>
        <sz val="11"/>
        <color theme="1"/>
        <rFont val="Noto Sans CJK SC"/>
        <family val="2"/>
      </rPr>
      <t xml:space="preserve">其餘業務（軟體等）前瞻 </t>
    </r>
    <r>
      <rPr>
        <sz val="11"/>
        <color theme="1"/>
        <rFont val="Calibri"/>
        <family val="2"/>
        <charset val="1"/>
      </rPr>
      <t xml:space="preserve">EV/EBITDA</t>
    </r>
  </si>
  <si>
    <r>
      <rPr>
        <sz val="11"/>
        <color theme="1"/>
        <rFont val="Calibri"/>
        <family val="2"/>
        <charset val="1"/>
      </rPr>
      <t xml:space="preserve">10.8x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15.59x</t>
    </r>
  </si>
  <si>
    <r>
      <rPr>
        <sz val="11"/>
        <color theme="1"/>
        <rFont val="Noto Sans CJK SC"/>
        <family val="2"/>
      </rPr>
      <t xml:space="preserve">快照檢查：</t>
    </r>
    <r>
      <rPr>
        <sz val="11"/>
        <color theme="1"/>
        <rFont val="Calibri"/>
        <family val="2"/>
        <charset val="1"/>
      </rPr>
      <t xml:space="preserve">data/sens_v04.json </t>
    </r>
    <r>
      <rPr>
        <sz val="11"/>
        <color theme="1"/>
        <rFont val="Noto Sans CJK SC"/>
        <family val="2"/>
      </rPr>
      <t xml:space="preserve">的基準加權目標價（建置時重算的快照值）−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頁現值（應為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已過期，重跑 </t>
    </r>
    <r>
      <rPr>
        <sz val="11"/>
        <color theme="1"/>
        <rFont val="Calibri"/>
        <family val="2"/>
        <charset val="1"/>
      </rPr>
      <t xml:space="preserve">scripts/sens_v04.py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</si>
  <si>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tornado </t>
    </r>
    <r>
      <rPr>
        <sz val="11"/>
        <color theme="1"/>
        <rFont val="Noto Sans CJK SC"/>
        <family val="2"/>
      </rPr>
      <t xml:space="preserve">以「低：相對基準」「高：相對基準」兩欄；情境結構（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）不變，只動一個輸入。容量情境本身的差異見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頁情境目標價。</t>
    </r>
    <r>
      <rPr>
        <sz val="11"/>
        <color theme="1"/>
        <rFont val="Calibri"/>
        <family val="2"/>
        <charset val="1"/>
      </rPr>
      <t xml:space="preserve">v0.4.2 </t>
    </r>
    <r>
      <rPr>
        <sz val="11"/>
        <color theme="1"/>
        <rFont val="Noto Sans CJK SC"/>
        <family val="2"/>
      </rPr>
      <t xml:space="preserve">起依個股模型原則第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頁每個有低／高的鍵都有案例（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欄「鍵」），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四世代同時一案（</t>
    </r>
    <r>
      <rPr>
        <sz val="11"/>
        <color theme="1"/>
        <rFont val="Calibri"/>
        <family val="2"/>
        <charset val="1"/>
      </rPr>
      <t xml:space="preserve">he_all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tp_v031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目標價）只作對照，不進模型。</t>
    </r>
    <r>
      <rPr>
        <sz val="11"/>
        <color theme="1"/>
        <rFont val="Calibri"/>
        <family val="2"/>
        <charset val="1"/>
      </rPr>
      <t xml:space="preserve">mult_oci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同業倍數）不列：修正一起分部加總的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模組自身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計，本倍數只進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對照列，重算變動為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4.81x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7.88x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73.2244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73.2244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</si>
  <si>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WACC × </t>
    </r>
    <r>
      <rPr>
        <b val="true"/>
        <sz val="11"/>
        <rFont val="Noto Sans CJK SC"/>
        <family val="2"/>
      </rPr>
      <t xml:space="preserve">永續成長率 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：加權目標價（完整重算；列＝</t>
    </r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Noto Sans CJK SC"/>
        <family val="2"/>
      </rPr>
      <t xml:space="preserve">調整、欄＝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</si>
  <si>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Noto Sans CJK SC"/>
        <family val="2"/>
      </rPr>
      <t xml:space="preserve">調整</t>
    </r>
  </si>
  <si>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</si>
  <si>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</si>
  <si>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4%</t>
    </r>
  </si>
  <si>
    <t xml:space="preserve">WACC −1pt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</si>
  <si>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基準</t>
    </r>
  </si>
  <si>
    <t xml:space="preserve">WACC +1pt</t>
  </si>
  <si>
    <r>
      <rPr>
        <b val="true"/>
        <sz val="11"/>
        <rFont val="Noto Sans CJK SC"/>
        <family val="2"/>
      </rPr>
      <t xml:space="preserve">來源（每列：編號、文件、日期、網址、標記）。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網站在建置環境被擋（</t>
    </r>
    <r>
      <rPr>
        <b val="true"/>
        <sz val="11"/>
        <rFont val="Cambria"/>
        <family val="0"/>
        <charset val="1"/>
      </rPr>
      <t xml:space="preserve">403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文件數字取自 </t>
    </r>
    <r>
      <rPr>
        <b val="true"/>
        <sz val="11"/>
        <rFont val="Cambria"/>
        <family val="0"/>
        <charset val="1"/>
      </rPr>
      <t xml:space="preserve">v0.1a </t>
    </r>
    <r>
      <rPr>
        <b val="true"/>
        <sz val="11"/>
        <rFont val="Noto Sans CJK SC"/>
        <family val="2"/>
      </rPr>
      <t xml:space="preserve">事實總帳（</t>
    </r>
    <r>
      <rPr>
        <b val="true"/>
        <sz val="11"/>
        <rFont val="Cambria"/>
        <family val="0"/>
        <charset val="1"/>
      </rPr>
      <t xml:space="preserve">oracle/data/oracle_facts_20261007.json</t>
    </r>
    <r>
      <rPr>
        <b val="true"/>
        <sz val="11"/>
        <rFont val="Noto Sans CJK SC"/>
        <family val="2"/>
      </rPr>
      <t xml:space="preserve">，當時直接自 </t>
    </r>
    <r>
      <rPr>
        <b val="true"/>
        <sz val="11"/>
        <rFont val="Cambria"/>
        <family val="0"/>
        <charset val="1"/>
      </rPr>
      <t xml:space="preserve">EDGAR </t>
    </r>
    <r>
      <rPr>
        <b val="true"/>
        <sz val="11"/>
        <rFont val="Noto Sans CJK SC"/>
        <family val="2"/>
      </rPr>
      <t xml:space="preserve">取得）</t>
    </r>
  </si>
  <si>
    <t xml:space="preserve">編號</t>
  </si>
  <si>
    <t xml:space="preserve">文件</t>
  </si>
  <si>
    <t xml:space="preserve">網址</t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</si>
  <si>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分部、經查核財報）</t>
    </r>
  </si>
  <si>
    <t xml:space="preserve">2026-06-22</t>
  </si>
  <si>
    <t xml:space="preserve">https://www.sec.gov/Archives/edgar/data/1341439/000119312526277521/orcl-20260531.htm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</si>
  <si>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租賃、附註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分部）</t>
    </r>
  </si>
  <si>
    <t xml:space="preserve">2026-09-11</t>
  </si>
  <si>
    <t xml:space="preserve">https://www.sec.gov/Archives/edgar/data/1341439/000119312526389274/orcl-20260831.htm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</si>
  <si>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</si>
  <si>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2026-09-10</t>
  </si>
  <si>
    <t xml:space="preserve">https://www.sec.gov/Archives/edgar/data/1341439/000119312526387905/orcl-ex99_1.htm</t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</si>
  <si>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營收路徑）</t>
    </r>
  </si>
  <si>
    <t xml:space="preserve">2026-06-10</t>
  </si>
  <si>
    <t xml:space="preserve">https://s23.q4cdn.com/440135859/files/doc_earnings/2026/q4/earnings-result/4q26-pressrelease-final.pdf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</si>
  <si>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v0.1a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434 </t>
    </r>
    <r>
      <rPr>
        <sz val="11"/>
        <color theme="1"/>
        <rFont val="Noto Sans CJK SC"/>
        <family val="2"/>
      </rPr>
      <t xml:space="preserve">筆，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一手）</t>
    </r>
  </si>
  <si>
    <t xml:space="preserve">oracle/data/oracle_facts_20261007.json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</si>
  <si>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</si>
  <si>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增補（現價、共識、美債、同業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）</t>
    </r>
  </si>
  <si>
    <t xml:space="preserve">2026-10-22</t>
  </si>
  <si>
    <t xml:space="preserve">oracle/data/oracle_facts_20261022.json</t>
  </si>
  <si>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）</t>
    </r>
  </si>
  <si>
    <t xml:space="preserve">oracle/data/consensus_orcl_20261022.json</t>
  </si>
  <si>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126.06</t>
    </r>
    <r>
      <rPr>
        <sz val="11"/>
        <color theme="1"/>
        <rFont val="Noto Sans CJK SC"/>
        <family val="2"/>
      </rPr>
      <t xml:space="preserve">）</t>
    </r>
  </si>
  <si>
    <t xml:space="preserve">2026-10-27</t>
  </si>
  <si>
    <t xml:space="preserve">https://stockanalysis.com/stocks/orcl/history/</t>
  </si>
  <si>
    <r>
      <rPr>
        <sz val="11"/>
        <color theme="1"/>
        <rFont val="Noto Sans CJK SC"/>
        <family val="2"/>
      </rPr>
      <t xml:space="preserve">現價對照：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126.16</t>
    </r>
    <r>
      <rPr>
        <sz val="11"/>
        <color theme="1"/>
        <rFont val="Noto Sans CJK SC"/>
        <family val="2"/>
      </rPr>
      <t xml:space="preserve">）</t>
    </r>
  </si>
  <si>
    <t xml:space="preserve">2026-10-23</t>
  </si>
  <si>
    <t xml:space="preserve">markets/invest_map/data/prices.csv</t>
  </si>
  <si>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IF_DeprLifeIT</t>
    </r>
    <r>
      <rPr>
        <sz val="11"/>
        <color theme="1"/>
        <rFont val="Noto Sans CJK SC"/>
        <family val="2"/>
      </rPr>
      <t xml:space="preserve">）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</si>
  <si>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</si>
  <si>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oracle/data/tokenomics_snapshot_v21.4.json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YinchenChang/Tokenomics 3ac70ac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microsoft/data </t>
    </r>
    <r>
      <rPr>
        <sz val="11"/>
        <color theme="1"/>
        <rFont val="Noto Sans CJK SC"/>
        <family val="2"/>
      </rPr>
      <t xml:space="preserve">同檔）</t>
    </r>
  </si>
  <si>
    <r>
      <rPr>
        <sz val="11"/>
        <color theme="1"/>
        <rFont val="Calibri"/>
        <family val="2"/>
        <charset val="1"/>
      </rPr>
      <t xml:space="preserve">IREN–Microsoft GB300 </t>
    </r>
    <r>
      <rPr>
        <sz val="11"/>
        <color theme="1"/>
        <rFont val="Noto Sans CJK SC"/>
        <family val="2"/>
      </rPr>
      <t xml:space="preserve">五年約 </t>
    </r>
    <r>
      <rPr>
        <sz val="11"/>
        <color theme="1"/>
        <rFont val="Calibri"/>
        <family val="2"/>
        <charset val="1"/>
      </rPr>
      <t xml:space="preserve">$9.7bn</t>
    </r>
  </si>
  <si>
    <t xml:space="preserve">2025-11-03</t>
  </si>
  <si>
    <t xml:space="preserve">https://iren.gcs-web.com/news-releases/news-release-details/iren-secures-97bn-ai-cloud-contract-microsoft</t>
  </si>
  <si>
    <t xml:space="preserve">Silicon Data H100 Index</t>
  </si>
  <si>
    <t xml:space="preserve">2026-10-06</t>
  </si>
  <si>
    <t xml:space="preserve">https://www.silicondata.com/products/silicon-index/h100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</si>
  <si>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$300bn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轉述）</t>
    </r>
  </si>
  <si>
    <t xml:space="preserve">2025-09-11</t>
  </si>
  <si>
    <t xml:space="preserve">https://www.theregister.com/2025/09/11/openai_reportedly_on_the_hook/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</si>
  <si>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</si>
  <si>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2026-09-25</t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</si>
  <si>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</si>
  <si>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</si>
  <si>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</si>
  <si>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舊引擎參數（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）與交接檔</t>
    </r>
  </si>
  <si>
    <r>
      <rPr>
        <sz val="11"/>
        <color theme="1"/>
        <rFont val="Calibri"/>
        <family val="2"/>
        <charset val="1"/>
      </rPr>
      <t xml:space="preserve">oracle/legacy_v0.3/company.json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oracle/docs/handoff/20261022_Oracle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_v0_3_1.md</t>
    </r>
  </si>
  <si>
    <r>
      <rPr>
        <sz val="11"/>
        <color theme="1"/>
        <rFont val="Noto Sans CJK SC"/>
        <family val="2"/>
      </rPr>
      <t xml:space="preserve">研究筆記：官方營收線、主要客戶（新聞稿、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風險因子）</t>
    </r>
  </si>
  <si>
    <t xml:space="preserve">研究檔（本專案研究代理）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</si>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</sst>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0"/>
    <numFmt numFmtId="166" formatCode="0.0%"/>
    <numFmt numFmtId="167" formatCode="#,##0.000"/>
    <numFmt numFmtId="168" formatCode="mm/dd/yy"/>
    <numFmt numFmtId="169" formatCode="#,##0"/>
    <numFmt numFmtId="170" formatCode="0"/>
    <numFmt numFmtId="171" formatCode="0%"/>
    <numFmt numFmtId="172" formatCode="0.00"/>
    <numFmt numFmtId="173" formatCode="#,##0.00"/>
    <numFmt numFmtId="174" formatCode="#,##0.0"/>
    <numFmt numFmtId="175" formatCode="0.00%"/>
    <numFmt numFmtId="176" formatCode="@"/>
    <numFmt numFmtId="177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8080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1" t="str">
        <f aca="false">"投資建議："&amp;Val!C80&amp;"（加權目標價 US$"&amp;TEXT(Val!C74,"0.0")&amp;"，現價 US$"&amp;TEXT(px,"0.00")&amp;"〔2026-10-26〕，上檔空間 "&amp;TEXT(Val!C77,"+0.0%;-0.0%")&amp;"）"</f>
        <v>投資建議：放空（加權目標價 US$73.2，現價 US$126.06〔2026-10-26〕，上檔空間 -41.9%）</v>
      </c>
    </row>
    <row r="5" customFormat="false" ht="17.15" hidden="false" customHeight="false" outlineLevel="0" collapsed="false">
      <c r="A5" s="2" t="str">
        <f aca="false">"重點觀察 1：情境 B 的 FY2029 OCI 營收 "&amp;TEXT(PL!F50,"0.0")&amp;" 十億美元（其中 AI 算力 "&amp;TEXT(PL!F51,"0.0")&amp;"），只有公司路徑 114 的 "&amp;TEXT(Thesis!D121,"0%")&amp;"；OCI AI 營業利益率 "&amp;TEXT(Thesis!G65,"0.0%")&amp;"，AI 增量 ROIC "&amp;TEXT(Thesis!G72,"0.0%")&amp;"，對照 WACC "&amp;TEXT(wacc,"0.0%")&amp;"。"</f>
        <v>重點觀察 1：情境 B 的 FY2029 OCI 營收 93.6 十億美元（其中 AI 算力 79.0），只有公司路徑 114 的 82%；OCI AI 營業利益率 6.2%，AI 增量 ROIC 1.7%，對照 WACC 10.5%。</v>
      </c>
    </row>
    <row r="6" customFormat="false" ht="17.15" hidden="false" customHeight="false" outlineLevel="0" collapsed="false">
      <c r="A6" s="2" t="str">
        <f aca="false">"重點觀察 2：收支關卡（FY2027–FY2031 自由現金流扣股利合計）情境 A／B／C 為 "&amp;TEXT(CF!C4,"0")&amp;"／"&amp;TEXT(CF!D4,"0")&amp;"／"&amp;TEXT(CF!E4,"0")&amp;" 十億美元；情境 B 需新增投資級債 "&amp;TEXT(CF!D5,"0")&amp;"、新股 "&amp;TEXT(CF!D6,"0")&amp;"、高息債 "&amp;TEXT(CF!D7,"0")&amp;"，調整後槓桿峰值 "&amp;TEXT(CF!D8,"0.00")&amp;" 倍。"</f>
        <v>重點觀察 2：收支關卡（FY2027–FY2031 自由現金流扣股利合計）情境 A／B／C 為 111／73／8 十億美元；情境 B 需新增投資級債 19、新股 0、高息債 0，調整後槓桿峰值 4.43 倍。</v>
      </c>
    </row>
    <row r="7" customFormat="false" ht="17.15" hidden="false" customHeight="false" outlineLevel="0" collapsed="false">
      <c r="A7" s="2" t="str">
        <f aca="false">"重點觀察 3：DCF 情境加權 "&amp;TEXT(Val!C72,"0.0")&amp;"、分部加總 "&amp;TEXT(Val!C73,"0.0")&amp;"（OCI AI 以 AI 模組 DCF 計，只占情境 B 分部企業價值的 "&amp;TEXT(Val!D66,"0%")&amp;"）。若 OCI AI 改用 neocloud 同業倍數，加權目標價為 "&amp;TEXT(Val!C86,"0.0")&amp;"：差額就是 AI 的資本密集度（汰換資本支出幾乎吃掉 EBITDA）；市場共識目標價 "&amp;TEXT(cons_tp,"0")&amp;"，高出本模型 "&amp;TEXT(cons_tp/Val!C74-1,"0%")&amp;"。"</f>
        <v>重點觀察 3：DCF 情境加權 41.7、分部加總 104.7（OCI AI 以 AI 模組 DCF 計，只占情境 B 分部企業價值的 15%）。若 OCI AI 改用 neocloud 同業倍數，加權目標價為 106.4：差額就是 AI 的資本密集度（汰換資本支出幾乎吃掉 EBITDA）；市場共識目標價 237，高出本模型 224%。</v>
      </c>
    </row>
    <row r="8" customFormat="false" ht="15" hidden="false" customHeight="false" outlineLevel="0" collapsed="false">
      <c r="A8" s="2"/>
    </row>
    <row r="9" customFormat="false" ht="17.15" hidden="false" customHeight="false" outlineLevel="0" collapsed="false">
      <c r="A9" s="2" t="s">
        <v>3</v>
      </c>
    </row>
    <row r="10" customFormat="false" ht="17.15" hidden="false" customHeight="false" outlineLevel="0" collapsed="false">
      <c r="A10" s="2" t="s">
        <v>4</v>
      </c>
    </row>
    <row r="11" customFormat="false" ht="15" hidden="false" customHeight="false" outlineLevel="0" collapsed="false">
      <c r="A11" s="3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7.15" hidden="false" customHeight="false" outlineLevel="0" collapsed="false">
      <c r="A14" s="4" t="s">
        <v>8</v>
      </c>
    </row>
    <row r="15" customFormat="false" ht="17.15" hidden="false" customHeight="false" outlineLevel="0" collapsed="false">
      <c r="A15" s="4" t="s">
        <v>9</v>
      </c>
    </row>
    <row r="16" customFormat="false" ht="17.15" hidden="false" customHeight="false" outlineLevel="0" collapsed="false">
      <c r="A16" s="4" t="s">
        <v>10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11</v>
      </c>
    </row>
    <row r="19" customFormat="false" ht="17.15" hidden="false" customHeight="false" outlineLevel="0" collapsed="false">
      <c r="A19" s="2" t="s">
        <v>12</v>
      </c>
    </row>
    <row r="20" customFormat="false" ht="17.15" hidden="false" customHeight="false" outlineLevel="0" collapsed="false">
      <c r="A20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5" t="s">
        <v>15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</row>
    <row r="4" customFormat="false" ht="17.15" hidden="false" customHeight="false" outlineLevel="0" collapsed="false">
      <c r="A4" s="1" t="s">
        <v>25</v>
      </c>
    </row>
    <row r="5" customFormat="false" ht="17.15" hidden="false" customHeight="false" outlineLevel="0" collapsed="false">
      <c r="A5" s="0" t="s">
        <v>26</v>
      </c>
      <c r="B5" s="5" t="s">
        <v>27</v>
      </c>
      <c r="C5" s="0" t="s">
        <v>28</v>
      </c>
      <c r="E5" s="7" t="n">
        <v>126.06</v>
      </c>
      <c r="G5" s="8" t="s">
        <v>29</v>
      </c>
      <c r="H5" s="8" t="s">
        <v>30</v>
      </c>
      <c r="I5" s="8" t="s">
        <v>31</v>
      </c>
    </row>
    <row r="6" customFormat="false" ht="17.15" hidden="false" customHeight="false" outlineLevel="0" collapsed="false">
      <c r="A6" s="0" t="s">
        <v>32</v>
      </c>
      <c r="B6" s="5" t="s">
        <v>33</v>
      </c>
      <c r="C6" s="5" t="s">
        <v>34</v>
      </c>
      <c r="E6" s="7" t="n">
        <v>3.023736</v>
      </c>
      <c r="G6" s="8" t="s">
        <v>35</v>
      </c>
      <c r="H6" s="8" t="s">
        <v>36</v>
      </c>
      <c r="I6" s="8" t="s">
        <v>37</v>
      </c>
    </row>
    <row r="7" customFormat="false" ht="17.15" hidden="false" customHeight="false" outlineLevel="0" collapsed="false">
      <c r="A7" s="0" t="s">
        <v>38</v>
      </c>
      <c r="B7" s="5" t="s">
        <v>39</v>
      </c>
      <c r="C7" s="5" t="s">
        <v>34</v>
      </c>
      <c r="E7" s="7" t="n">
        <v>0.034</v>
      </c>
      <c r="G7" s="8" t="s">
        <v>40</v>
      </c>
      <c r="H7" s="8" t="s">
        <v>41</v>
      </c>
      <c r="I7" s="5" t="s">
        <v>42</v>
      </c>
    </row>
    <row r="8" customFormat="false" ht="17.15" hidden="false" customHeight="false" outlineLevel="0" collapsed="false">
      <c r="A8" s="0" t="s">
        <v>43</v>
      </c>
      <c r="B8" s="5" t="s">
        <v>44</v>
      </c>
      <c r="C8" s="5" t="s">
        <v>34</v>
      </c>
      <c r="E8" s="7" t="n">
        <v>0.031238</v>
      </c>
      <c r="G8" s="8" t="s">
        <v>40</v>
      </c>
      <c r="H8" s="8" t="s">
        <v>45</v>
      </c>
      <c r="I8" s="5" t="s">
        <v>46</v>
      </c>
    </row>
    <row r="9" customFormat="false" ht="17.15" hidden="false" customHeight="false" outlineLevel="0" collapsed="false">
      <c r="A9" s="1" t="s">
        <v>47</v>
      </c>
    </row>
    <row r="10" customFormat="false" ht="17.15" hidden="false" customHeight="false" outlineLevel="0" collapsed="false">
      <c r="A10" s="0" t="s">
        <v>48</v>
      </c>
      <c r="B10" s="5" t="s">
        <v>49</v>
      </c>
      <c r="C10" s="0" t="s">
        <v>50</v>
      </c>
      <c r="E10" s="7" t="n">
        <v>1835</v>
      </c>
      <c r="G10" s="8" t="s">
        <v>40</v>
      </c>
      <c r="H10" s="8" t="s">
        <v>51</v>
      </c>
      <c r="I10" s="8" t="s">
        <v>52</v>
      </c>
    </row>
    <row r="11" customFormat="false" ht="17.15" hidden="false" customHeight="false" outlineLevel="0" collapsed="false">
      <c r="A11" s="0" t="s">
        <v>53</v>
      </c>
      <c r="B11" s="5" t="s">
        <v>54</v>
      </c>
      <c r="C11" s="0" t="s">
        <v>50</v>
      </c>
      <c r="E11" s="7" t="n">
        <v>2543</v>
      </c>
      <c r="G11" s="8" t="s">
        <v>40</v>
      </c>
      <c r="H11" s="8" t="s">
        <v>55</v>
      </c>
      <c r="I11" s="8" t="s">
        <v>56</v>
      </c>
    </row>
    <row r="12" customFormat="false" ht="17.15" hidden="false" customHeight="false" outlineLevel="0" collapsed="false">
      <c r="A12" s="0" t="s">
        <v>57</v>
      </c>
      <c r="B12" s="5" t="s">
        <v>58</v>
      </c>
      <c r="C12" s="0" t="s">
        <v>59</v>
      </c>
      <c r="E12" s="7" t="n">
        <v>3333</v>
      </c>
      <c r="G12" s="8" t="s">
        <v>60</v>
      </c>
      <c r="H12" s="5" t="s">
        <v>61</v>
      </c>
      <c r="I12" s="5" t="s">
        <v>62</v>
      </c>
    </row>
    <row r="13" customFormat="false" ht="17.15" hidden="false" customHeight="false" outlineLevel="0" collapsed="false">
      <c r="A13" s="0" t="s">
        <v>63</v>
      </c>
      <c r="B13" s="5" t="s">
        <v>64</v>
      </c>
      <c r="C13" s="0" t="s">
        <v>65</v>
      </c>
      <c r="E13" s="7" t="n">
        <v>8778</v>
      </c>
      <c r="G13" s="8" t="s">
        <v>40</v>
      </c>
      <c r="H13" s="8" t="s">
        <v>66</v>
      </c>
      <c r="I13" s="5" t="s">
        <v>67</v>
      </c>
    </row>
    <row r="14" customFormat="false" ht="17.15" hidden="false" customHeight="false" outlineLevel="0" collapsed="false">
      <c r="A14" s="0" t="s">
        <v>68</v>
      </c>
      <c r="B14" s="5" t="s">
        <v>69</v>
      </c>
      <c r="C14" s="5" t="s">
        <v>70</v>
      </c>
      <c r="E14" s="7" t="n">
        <v>0</v>
      </c>
      <c r="G14" s="8" t="s">
        <v>71</v>
      </c>
      <c r="H14" s="5" t="s">
        <v>72</v>
      </c>
      <c r="I14" s="5" t="s">
        <v>73</v>
      </c>
    </row>
    <row r="15" customFormat="false" ht="17.15" hidden="false" customHeight="false" outlineLevel="0" collapsed="false">
      <c r="A15" s="0" t="s">
        <v>74</v>
      </c>
      <c r="B15" s="5" t="s">
        <v>75</v>
      </c>
      <c r="C15" s="0" t="s">
        <v>59</v>
      </c>
      <c r="E15" s="7" t="n">
        <v>2833</v>
      </c>
      <c r="G15" s="8" t="s">
        <v>60</v>
      </c>
      <c r="H15" s="8" t="s">
        <v>76</v>
      </c>
      <c r="I15" s="5" t="s">
        <v>62</v>
      </c>
    </row>
    <row r="16" customFormat="false" ht="17.15" hidden="false" customHeight="false" outlineLevel="0" collapsed="false">
      <c r="A16" s="0" t="s">
        <v>77</v>
      </c>
      <c r="B16" s="5" t="s">
        <v>78</v>
      </c>
      <c r="C16" s="0" t="s">
        <v>65</v>
      </c>
      <c r="E16" s="7" t="n">
        <v>8778</v>
      </c>
      <c r="G16" s="8" t="s">
        <v>40</v>
      </c>
      <c r="H16" s="8" t="s">
        <v>66</v>
      </c>
      <c r="I16" s="5" t="s">
        <v>67</v>
      </c>
    </row>
    <row r="17" customFormat="false" ht="17.15" hidden="false" customHeight="false" outlineLevel="0" collapsed="false">
      <c r="A17" s="0" t="s">
        <v>79</v>
      </c>
      <c r="B17" s="5" t="s">
        <v>80</v>
      </c>
      <c r="C17" s="5" t="s">
        <v>70</v>
      </c>
      <c r="E17" s="7" t="n">
        <v>3</v>
      </c>
      <c r="G17" s="8" t="s">
        <v>71</v>
      </c>
      <c r="H17" s="5" t="s">
        <v>72</v>
      </c>
      <c r="I17" s="5" t="s">
        <v>73</v>
      </c>
    </row>
    <row r="18" customFormat="false" ht="17.15" hidden="false" customHeight="false" outlineLevel="0" collapsed="false">
      <c r="A18" s="0" t="s">
        <v>81</v>
      </c>
      <c r="B18" s="5" t="s">
        <v>82</v>
      </c>
      <c r="C18" s="0" t="s">
        <v>59</v>
      </c>
      <c r="E18" s="7" t="n">
        <v>1000</v>
      </c>
      <c r="G18" s="8" t="s">
        <v>40</v>
      </c>
      <c r="H18" s="8" t="s">
        <v>83</v>
      </c>
      <c r="I18" s="5" t="s">
        <v>62</v>
      </c>
    </row>
    <row r="19" customFormat="false" ht="17.15" hidden="false" customHeight="false" outlineLevel="0" collapsed="false">
      <c r="A19" s="0" t="s">
        <v>84</v>
      </c>
      <c r="B19" s="5" t="s">
        <v>85</v>
      </c>
      <c r="C19" s="0" t="s">
        <v>65</v>
      </c>
      <c r="E19" s="7" t="n">
        <v>6284</v>
      </c>
      <c r="G19" s="8" t="s">
        <v>86</v>
      </c>
      <c r="H19" s="8" t="s">
        <v>87</v>
      </c>
      <c r="I19" s="5" t="s">
        <v>67</v>
      </c>
    </row>
    <row r="20" customFormat="false" ht="17.15" hidden="false" customHeight="false" outlineLevel="0" collapsed="false">
      <c r="A20" s="0" t="s">
        <v>88</v>
      </c>
      <c r="B20" s="5" t="s">
        <v>89</v>
      </c>
      <c r="C20" s="5" t="s">
        <v>70</v>
      </c>
      <c r="E20" s="7" t="n">
        <v>6</v>
      </c>
      <c r="G20" s="8" t="s">
        <v>71</v>
      </c>
      <c r="H20" s="5" t="s">
        <v>72</v>
      </c>
      <c r="I20" s="5" t="s">
        <v>73</v>
      </c>
    </row>
    <row r="21" customFormat="false" ht="17.15" hidden="false" customHeight="false" outlineLevel="0" collapsed="false">
      <c r="A21" s="0" t="s">
        <v>90</v>
      </c>
      <c r="B21" s="5" t="s">
        <v>91</v>
      </c>
      <c r="C21" s="0" t="s">
        <v>92</v>
      </c>
      <c r="D21" s="9" t="n">
        <v>0.9</v>
      </c>
      <c r="E21" s="9" t="n">
        <v>0.95</v>
      </c>
      <c r="F21" s="9" t="n">
        <v>1</v>
      </c>
      <c r="G21" s="8" t="s">
        <v>71</v>
      </c>
      <c r="H21" s="5" t="s">
        <v>93</v>
      </c>
      <c r="I21" s="8" t="s">
        <v>94</v>
      </c>
    </row>
    <row r="22" customFormat="false" ht="17.15" hidden="false" customHeight="false" outlineLevel="0" collapsed="false">
      <c r="A22" s="1" t="s">
        <v>95</v>
      </c>
    </row>
    <row r="23" customFormat="false" ht="17.15" hidden="false" customHeight="false" outlineLevel="0" collapsed="false">
      <c r="A23" s="0" t="s">
        <v>96</v>
      </c>
      <c r="B23" s="0" t="s">
        <v>97</v>
      </c>
      <c r="C23" s="0" t="s">
        <v>98</v>
      </c>
      <c r="D23" s="10" t="n">
        <v>0.1</v>
      </c>
      <c r="E23" s="10" t="n">
        <v>0.2</v>
      </c>
      <c r="F23" s="10" t="n">
        <v>0.3</v>
      </c>
      <c r="G23" s="8" t="s">
        <v>71</v>
      </c>
      <c r="H23" s="8" t="s">
        <v>99</v>
      </c>
      <c r="I23" s="5" t="s">
        <v>100</v>
      </c>
    </row>
    <row r="24" customFormat="false" ht="17.15" hidden="false" customHeight="false" outlineLevel="0" collapsed="false">
      <c r="A24" s="0" t="s">
        <v>101</v>
      </c>
      <c r="B24" s="0" t="s">
        <v>102</v>
      </c>
      <c r="C24" s="0" t="s">
        <v>98</v>
      </c>
      <c r="D24" s="10" t="n">
        <v>0.45</v>
      </c>
      <c r="E24" s="10" t="n">
        <v>0.55</v>
      </c>
      <c r="F24" s="10" t="n">
        <v>0.7</v>
      </c>
      <c r="G24" s="8" t="s">
        <v>71</v>
      </c>
      <c r="H24" s="8" t="s">
        <v>99</v>
      </c>
      <c r="I24" s="5" t="s">
        <v>100</v>
      </c>
    </row>
    <row r="25" customFormat="false" ht="17.15" hidden="false" customHeight="false" outlineLevel="0" collapsed="false">
      <c r="A25" s="0" t="s">
        <v>103</v>
      </c>
      <c r="B25" s="0" t="s">
        <v>104</v>
      </c>
      <c r="C25" s="0" t="s">
        <v>98</v>
      </c>
      <c r="D25" s="10" t="n">
        <v>0.1</v>
      </c>
      <c r="E25" s="10" t="n">
        <v>0.25</v>
      </c>
      <c r="F25" s="10" t="n">
        <v>0.35</v>
      </c>
      <c r="G25" s="8" t="s">
        <v>71</v>
      </c>
      <c r="H25" s="8" t="s">
        <v>99</v>
      </c>
      <c r="I25" s="5" t="s">
        <v>100</v>
      </c>
    </row>
    <row r="26" customFormat="false" ht="17.15" hidden="false" customHeight="false" outlineLevel="0" collapsed="false">
      <c r="A26" s="0" t="s">
        <v>105</v>
      </c>
      <c r="B26" s="0" t="s">
        <v>106</v>
      </c>
      <c r="C26" s="0" t="s">
        <v>98</v>
      </c>
      <c r="E26" s="10" t="n">
        <v>1</v>
      </c>
      <c r="G26" s="8" t="s">
        <v>71</v>
      </c>
      <c r="H26" s="5" t="s">
        <v>107</v>
      </c>
      <c r="I26" s="8" t="s">
        <v>108</v>
      </c>
    </row>
    <row r="27" customFormat="false" ht="17.15" hidden="false" customHeight="false" outlineLevel="0" collapsed="false">
      <c r="A27" s="0" t="s">
        <v>109</v>
      </c>
      <c r="B27" s="0" t="s">
        <v>110</v>
      </c>
      <c r="C27" s="0" t="s">
        <v>98</v>
      </c>
      <c r="D27" s="10" t="n">
        <v>0</v>
      </c>
      <c r="E27" s="10" t="n">
        <v>0.5</v>
      </c>
      <c r="F27" s="10" t="n">
        <v>1</v>
      </c>
      <c r="G27" s="8" t="s">
        <v>71</v>
      </c>
      <c r="H27" s="5" t="s">
        <v>111</v>
      </c>
      <c r="I27" s="5" t="s">
        <v>112</v>
      </c>
    </row>
    <row r="28" customFormat="false" ht="17.15" hidden="false" customHeight="false" outlineLevel="0" collapsed="false">
      <c r="A28" s="0" t="s">
        <v>113</v>
      </c>
      <c r="B28" s="0" t="s">
        <v>114</v>
      </c>
      <c r="C28" s="0" t="s">
        <v>98</v>
      </c>
      <c r="D28" s="10" t="n">
        <v>0</v>
      </c>
      <c r="E28" s="10" t="n">
        <v>0</v>
      </c>
      <c r="F28" s="10" t="n">
        <v>0.5</v>
      </c>
      <c r="G28" s="8" t="s">
        <v>71</v>
      </c>
      <c r="H28" s="5" t="s">
        <v>115</v>
      </c>
      <c r="I28" s="8" t="s">
        <v>116</v>
      </c>
    </row>
    <row r="29" customFormat="false" ht="17.15" hidden="false" customHeight="false" outlineLevel="0" collapsed="false">
      <c r="A29" s="0" t="s">
        <v>117</v>
      </c>
      <c r="B29" s="0" t="s">
        <v>118</v>
      </c>
      <c r="C29" s="0" t="s">
        <v>98</v>
      </c>
      <c r="E29" s="10" t="n">
        <v>0.5</v>
      </c>
      <c r="G29" s="8" t="s">
        <v>71</v>
      </c>
      <c r="H29" s="8" t="s">
        <v>119</v>
      </c>
      <c r="I29" s="8" t="s">
        <v>120</v>
      </c>
    </row>
    <row r="30" customFormat="false" ht="17.15" hidden="false" customHeight="false" outlineLevel="0" collapsed="false">
      <c r="A30" s="0" t="s">
        <v>121</v>
      </c>
      <c r="B30" s="0" t="s">
        <v>122</v>
      </c>
      <c r="C30" s="0" t="s">
        <v>98</v>
      </c>
      <c r="E30" s="10" t="n">
        <v>0.5</v>
      </c>
      <c r="G30" s="8" t="s">
        <v>71</v>
      </c>
      <c r="H30" s="5" t="s">
        <v>123</v>
      </c>
      <c r="I30" s="8" t="s">
        <v>116</v>
      </c>
    </row>
    <row r="31" customFormat="false" ht="17.15" hidden="false" customHeight="false" outlineLevel="0" collapsed="false">
      <c r="A31" s="0" t="s">
        <v>124</v>
      </c>
      <c r="B31" s="0" t="s">
        <v>125</v>
      </c>
      <c r="C31" s="0" t="s">
        <v>98</v>
      </c>
      <c r="E31" s="10" t="n">
        <v>1</v>
      </c>
      <c r="G31" s="8" t="s">
        <v>71</v>
      </c>
      <c r="H31" s="8" t="s">
        <v>126</v>
      </c>
      <c r="I31" s="8" t="s">
        <v>127</v>
      </c>
    </row>
    <row r="32" customFormat="false" ht="17.15" hidden="false" customHeight="false" outlineLevel="0" collapsed="false">
      <c r="A32" s="1" t="s">
        <v>128</v>
      </c>
    </row>
    <row r="33" customFormat="false" ht="17.15" hidden="false" customHeight="false" outlineLevel="0" collapsed="false">
      <c r="A33" s="0" t="s">
        <v>129</v>
      </c>
      <c r="B33" s="5" t="s">
        <v>130</v>
      </c>
      <c r="C33" s="0" t="s">
        <v>131</v>
      </c>
      <c r="D33" s="7" t="n">
        <v>6.7911</v>
      </c>
      <c r="E33" s="7" t="n">
        <v>9.7031</v>
      </c>
      <c r="F33" s="7" t="n">
        <v>16.6638</v>
      </c>
      <c r="G33" s="8" t="s">
        <v>40</v>
      </c>
      <c r="H33" s="8" t="s">
        <v>132</v>
      </c>
      <c r="I33" s="5" t="s">
        <v>133</v>
      </c>
    </row>
    <row r="34" customFormat="false" ht="17.15" hidden="false" customHeight="false" outlineLevel="0" collapsed="false">
      <c r="A34" s="0" t="s">
        <v>134</v>
      </c>
      <c r="B34" s="5" t="s">
        <v>135</v>
      </c>
      <c r="C34" s="0" t="s">
        <v>131</v>
      </c>
      <c r="D34" s="7" t="n">
        <v>6.6118</v>
      </c>
      <c r="E34" s="7" t="n">
        <v>8.8282</v>
      </c>
      <c r="F34" s="7" t="n">
        <v>14.3186</v>
      </c>
      <c r="G34" s="8" t="s">
        <v>40</v>
      </c>
      <c r="H34" s="8" t="s">
        <v>132</v>
      </c>
      <c r="I34" s="5" t="s">
        <v>133</v>
      </c>
    </row>
    <row r="35" customFormat="false" ht="17.15" hidden="false" customHeight="false" outlineLevel="0" collapsed="false">
      <c r="A35" s="0" t="s">
        <v>136</v>
      </c>
      <c r="B35" s="5" t="s">
        <v>137</v>
      </c>
      <c r="C35" s="0" t="s">
        <v>131</v>
      </c>
      <c r="D35" s="7" t="n">
        <v>8.4289</v>
      </c>
      <c r="E35" s="7" t="n">
        <v>10.8864</v>
      </c>
      <c r="F35" s="7" t="n">
        <v>18.5346</v>
      </c>
      <c r="G35" s="8" t="s">
        <v>40</v>
      </c>
      <c r="H35" s="8" t="s">
        <v>132</v>
      </c>
      <c r="I35" s="5" t="s">
        <v>133</v>
      </c>
    </row>
    <row r="36" customFormat="false" ht="17.15" hidden="false" customHeight="false" outlineLevel="0" collapsed="false">
      <c r="A36" s="0" t="s">
        <v>138</v>
      </c>
      <c r="B36" s="5" t="s">
        <v>139</v>
      </c>
      <c r="C36" s="0" t="s">
        <v>131</v>
      </c>
      <c r="D36" s="7" t="n">
        <v>9.2191</v>
      </c>
      <c r="E36" s="7" t="n">
        <v>12.2255</v>
      </c>
      <c r="F36" s="7" t="n">
        <v>19.7506</v>
      </c>
      <c r="G36" s="8" t="s">
        <v>40</v>
      </c>
      <c r="H36" s="8" t="s">
        <v>132</v>
      </c>
      <c r="I36" s="5" t="s">
        <v>133</v>
      </c>
    </row>
    <row r="37" customFormat="false" ht="17.15" hidden="false" customHeight="false" outlineLevel="0" collapsed="false">
      <c r="A37" s="0" t="s">
        <v>140</v>
      </c>
      <c r="B37" s="5" t="s">
        <v>141</v>
      </c>
      <c r="C37" s="0" t="s">
        <v>142</v>
      </c>
      <c r="E37" s="7" t="n">
        <v>27.5102</v>
      </c>
      <c r="G37" s="8" t="s">
        <v>40</v>
      </c>
      <c r="H37" s="5" t="s">
        <v>143</v>
      </c>
      <c r="I37" s="5" t="s">
        <v>144</v>
      </c>
    </row>
    <row r="38" customFormat="false" ht="17.15" hidden="false" customHeight="false" outlineLevel="0" collapsed="false">
      <c r="A38" s="0" t="s">
        <v>145</v>
      </c>
      <c r="B38" s="5" t="s">
        <v>146</v>
      </c>
      <c r="C38" s="0" t="s">
        <v>142</v>
      </c>
      <c r="E38" s="7" t="n">
        <v>24.0152</v>
      </c>
      <c r="G38" s="8" t="s">
        <v>40</v>
      </c>
      <c r="H38" s="5" t="s">
        <v>143</v>
      </c>
      <c r="I38" s="5" t="s">
        <v>144</v>
      </c>
    </row>
    <row r="39" customFormat="false" ht="17.15" hidden="false" customHeight="false" outlineLevel="0" collapsed="false">
      <c r="A39" s="0" t="s">
        <v>147</v>
      </c>
      <c r="B39" s="5" t="s">
        <v>148</v>
      </c>
      <c r="C39" s="0" t="s">
        <v>142</v>
      </c>
      <c r="E39" s="7" t="n">
        <v>32.2372</v>
      </c>
      <c r="G39" s="8" t="s">
        <v>40</v>
      </c>
      <c r="H39" s="5" t="s">
        <v>143</v>
      </c>
      <c r="I39" s="5" t="s">
        <v>144</v>
      </c>
    </row>
    <row r="40" customFormat="false" ht="17.15" hidden="false" customHeight="false" outlineLevel="0" collapsed="false">
      <c r="A40" s="0" t="s">
        <v>149</v>
      </c>
      <c r="B40" s="5" t="s">
        <v>150</v>
      </c>
      <c r="C40" s="0" t="s">
        <v>142</v>
      </c>
      <c r="E40" s="7" t="n">
        <v>37.5864</v>
      </c>
      <c r="G40" s="8" t="s">
        <v>40</v>
      </c>
      <c r="H40" s="5" t="s">
        <v>143</v>
      </c>
      <c r="I40" s="5" t="s">
        <v>144</v>
      </c>
    </row>
    <row r="41" customFormat="false" ht="17.15" hidden="false" customHeight="false" outlineLevel="0" collapsed="false">
      <c r="A41" s="0" t="s">
        <v>151</v>
      </c>
      <c r="B41" s="5" t="s">
        <v>152</v>
      </c>
      <c r="C41" s="0" t="s">
        <v>131</v>
      </c>
      <c r="E41" s="7" t="n">
        <v>1.8847</v>
      </c>
      <c r="G41" s="8" t="s">
        <v>40</v>
      </c>
      <c r="H41" s="5" t="s">
        <v>153</v>
      </c>
      <c r="I41" s="5" t="s">
        <v>154</v>
      </c>
    </row>
    <row r="42" customFormat="false" ht="17.15" hidden="false" customHeight="false" outlineLevel="0" collapsed="false">
      <c r="A42" s="0" t="s">
        <v>155</v>
      </c>
      <c r="B42" s="5" t="s">
        <v>156</v>
      </c>
      <c r="C42" s="0" t="s">
        <v>131</v>
      </c>
      <c r="E42" s="7" t="n">
        <v>1.8122</v>
      </c>
      <c r="G42" s="8" t="s">
        <v>40</v>
      </c>
      <c r="H42" s="5" t="s">
        <v>153</v>
      </c>
      <c r="I42" s="5" t="s">
        <v>154</v>
      </c>
    </row>
    <row r="43" customFormat="false" ht="17.15" hidden="false" customHeight="false" outlineLevel="0" collapsed="false">
      <c r="A43" s="0" t="s">
        <v>157</v>
      </c>
      <c r="B43" s="5" t="s">
        <v>158</v>
      </c>
      <c r="C43" s="0" t="s">
        <v>131</v>
      </c>
      <c r="E43" s="7" t="n">
        <v>1.9826</v>
      </c>
      <c r="G43" s="8" t="s">
        <v>40</v>
      </c>
      <c r="H43" s="5" t="s">
        <v>153</v>
      </c>
      <c r="I43" s="5" t="s">
        <v>154</v>
      </c>
    </row>
    <row r="44" customFormat="false" ht="17.15" hidden="false" customHeight="false" outlineLevel="0" collapsed="false">
      <c r="A44" s="0" t="s">
        <v>159</v>
      </c>
      <c r="B44" s="5" t="s">
        <v>160</v>
      </c>
      <c r="C44" s="0" t="s">
        <v>131</v>
      </c>
      <c r="E44" s="7" t="n">
        <v>2.0935</v>
      </c>
      <c r="G44" s="8" t="s">
        <v>40</v>
      </c>
      <c r="H44" s="5" t="s">
        <v>153</v>
      </c>
      <c r="I44" s="5" t="s">
        <v>154</v>
      </c>
    </row>
    <row r="45" customFormat="false" ht="17.15" hidden="false" customHeight="false" outlineLevel="0" collapsed="false">
      <c r="A45" s="0" t="s">
        <v>161</v>
      </c>
      <c r="B45" s="0" t="s">
        <v>162</v>
      </c>
      <c r="C45" s="5" t="s">
        <v>163</v>
      </c>
      <c r="D45" s="7" t="n">
        <v>5</v>
      </c>
      <c r="E45" s="7" t="n">
        <v>6</v>
      </c>
      <c r="F45" s="7" t="n">
        <v>6</v>
      </c>
      <c r="G45" s="8" t="s">
        <v>40</v>
      </c>
      <c r="H45" s="8" t="s">
        <v>164</v>
      </c>
      <c r="I45" s="8" t="s">
        <v>165</v>
      </c>
    </row>
    <row r="46" customFormat="false" ht="17.15" hidden="false" customHeight="false" outlineLevel="0" collapsed="false">
      <c r="A46" s="0" t="s">
        <v>166</v>
      </c>
      <c r="B46" s="5" t="s">
        <v>167</v>
      </c>
      <c r="C46" s="0" t="s">
        <v>131</v>
      </c>
      <c r="D46" s="7" t="n">
        <v>8.9073</v>
      </c>
      <c r="E46" s="7" t="n">
        <v>9.7</v>
      </c>
      <c r="F46" s="7" t="n">
        <v>12.7247</v>
      </c>
      <c r="G46" s="8" t="s">
        <v>40</v>
      </c>
      <c r="H46" s="8" t="s">
        <v>168</v>
      </c>
      <c r="I46" s="5" t="s">
        <v>169</v>
      </c>
    </row>
    <row r="47" customFormat="false" ht="17.15" hidden="false" customHeight="false" outlineLevel="0" collapsed="false">
      <c r="A47" s="0" t="s">
        <v>170</v>
      </c>
      <c r="B47" s="5" t="s">
        <v>171</v>
      </c>
      <c r="C47" s="0" t="s">
        <v>172</v>
      </c>
      <c r="E47" s="7" t="n">
        <v>2.82</v>
      </c>
      <c r="G47" s="8" t="s">
        <v>29</v>
      </c>
      <c r="H47" s="8" t="s">
        <v>173</v>
      </c>
      <c r="I47" s="5" t="s">
        <v>174</v>
      </c>
    </row>
    <row r="48" customFormat="false" ht="17.15" hidden="false" customHeight="false" outlineLevel="0" collapsed="false">
      <c r="A48" s="0" t="s">
        <v>175</v>
      </c>
      <c r="B48" s="5" t="s">
        <v>176</v>
      </c>
      <c r="C48" s="0" t="s">
        <v>172</v>
      </c>
      <c r="E48" s="7" t="n">
        <v>1.5426</v>
      </c>
      <c r="G48" s="8" t="s">
        <v>40</v>
      </c>
      <c r="H48" s="8" t="s">
        <v>177</v>
      </c>
      <c r="I48" s="8" t="s">
        <v>116</v>
      </c>
    </row>
    <row r="49" customFormat="false" ht="17.15" hidden="false" customHeight="false" outlineLevel="0" collapsed="false">
      <c r="A49" s="0" t="s">
        <v>178</v>
      </c>
      <c r="B49" s="5" t="s">
        <v>179</v>
      </c>
      <c r="C49" s="0" t="s">
        <v>98</v>
      </c>
      <c r="D49" s="10" t="n">
        <v>0</v>
      </c>
      <c r="E49" s="10" t="n">
        <v>0.1</v>
      </c>
      <c r="F49" s="10" t="n">
        <v>0.2</v>
      </c>
      <c r="G49" s="8" t="s">
        <v>71</v>
      </c>
      <c r="H49" s="5" t="s">
        <v>180</v>
      </c>
      <c r="I49" s="5" t="s">
        <v>181</v>
      </c>
    </row>
    <row r="50" customFormat="false" ht="17.15" hidden="false" customHeight="false" outlineLevel="0" collapsed="false">
      <c r="A50" s="0" t="s">
        <v>182</v>
      </c>
      <c r="B50" s="5" t="s">
        <v>183</v>
      </c>
      <c r="C50" s="0" t="s">
        <v>92</v>
      </c>
      <c r="D50" s="11" t="n">
        <f aca="false">p_long_lo/he_gb300</f>
        <v>0.818204365079365</v>
      </c>
      <c r="E50" s="11" t="n">
        <f aca="false">p_long/he_gb300</f>
        <v>0.89101998824221</v>
      </c>
      <c r="F50" s="11" t="n">
        <f aca="false">p_long_hi/he_gb300</f>
        <v>1.16886206643151</v>
      </c>
      <c r="G50" s="8" t="s">
        <v>40</v>
      </c>
      <c r="H50" s="5" t="s">
        <v>184</v>
      </c>
      <c r="I50" s="8" t="s">
        <v>185</v>
      </c>
    </row>
    <row r="51" customFormat="false" ht="17.15" hidden="false" customHeight="false" outlineLevel="0" collapsed="false">
      <c r="A51" s="0" t="s">
        <v>186</v>
      </c>
      <c r="B51" s="5" t="s">
        <v>187</v>
      </c>
      <c r="C51" s="0" t="s">
        <v>92</v>
      </c>
      <c r="E51" s="11" t="n">
        <f aca="false">p_spot/gh_h100</f>
        <v>1.82808245818748</v>
      </c>
      <c r="G51" s="8" t="s">
        <v>40</v>
      </c>
      <c r="H51" s="8" t="s">
        <v>188</v>
      </c>
      <c r="I51" s="8" t="s">
        <v>116</v>
      </c>
    </row>
    <row r="52" customFormat="false" ht="17.15" hidden="false" customHeight="false" outlineLevel="0" collapsed="false">
      <c r="A52" s="0" t="s">
        <v>189</v>
      </c>
      <c r="B52" s="5" t="s">
        <v>190</v>
      </c>
      <c r="C52" s="0" t="s">
        <v>92</v>
      </c>
      <c r="E52" s="11" t="n">
        <f aca="false">od_share*k_spot+(1-od_share)*k_long</f>
        <v>0.984726235236737</v>
      </c>
      <c r="G52" s="8" t="s">
        <v>40</v>
      </c>
      <c r="H52" s="8" t="s">
        <v>191</v>
      </c>
      <c r="I52" s="5" t="s">
        <v>192</v>
      </c>
    </row>
    <row r="53" customFormat="false" ht="17.15" hidden="false" customHeight="false" outlineLevel="0" collapsed="false">
      <c r="A53" s="0" t="s">
        <v>193</v>
      </c>
      <c r="B53" s="0" t="s">
        <v>194</v>
      </c>
      <c r="C53" s="0" t="s">
        <v>92</v>
      </c>
      <c r="D53" s="9" t="n">
        <v>0.9</v>
      </c>
      <c r="E53" s="9" t="n">
        <v>1</v>
      </c>
      <c r="F53" s="9" t="n">
        <v>1.2</v>
      </c>
      <c r="G53" s="8" t="s">
        <v>71</v>
      </c>
      <c r="H53" s="5" t="s">
        <v>195</v>
      </c>
      <c r="I53" s="8" t="s">
        <v>116</v>
      </c>
    </row>
    <row r="54" customFormat="false" ht="17.15" hidden="false" customHeight="false" outlineLevel="0" collapsed="false">
      <c r="A54" s="0" t="s">
        <v>196</v>
      </c>
      <c r="B54" s="5" t="s">
        <v>197</v>
      </c>
      <c r="C54" s="0" t="s">
        <v>98</v>
      </c>
      <c r="E54" s="10" t="n">
        <v>0.35</v>
      </c>
      <c r="G54" s="8" t="s">
        <v>71</v>
      </c>
      <c r="H54" s="5" t="s">
        <v>198</v>
      </c>
      <c r="I54" s="8" t="s">
        <v>116</v>
      </c>
    </row>
    <row r="55" customFormat="false" ht="17.15" hidden="false" customHeight="false" outlineLevel="0" collapsed="false">
      <c r="A55" s="1" t="s">
        <v>199</v>
      </c>
    </row>
    <row r="56" customFormat="false" ht="17.15" hidden="false" customHeight="false" outlineLevel="0" collapsed="false">
      <c r="A56" s="0" t="s">
        <v>200</v>
      </c>
      <c r="B56" s="5" t="s">
        <v>201</v>
      </c>
      <c r="C56" s="0" t="s">
        <v>202</v>
      </c>
      <c r="E56" s="7" t="n">
        <v>288</v>
      </c>
      <c r="G56" s="8" t="s">
        <v>35</v>
      </c>
      <c r="H56" s="8" t="s">
        <v>203</v>
      </c>
      <c r="I56" s="8" t="s">
        <v>204</v>
      </c>
    </row>
    <row r="57" customFormat="false" ht="17.15" hidden="false" customHeight="false" outlineLevel="0" collapsed="false">
      <c r="A57" s="0" t="s">
        <v>205</v>
      </c>
      <c r="B57" s="5" t="s">
        <v>206</v>
      </c>
      <c r="C57" s="5" t="s">
        <v>207</v>
      </c>
      <c r="E57" s="7" t="n">
        <v>11</v>
      </c>
      <c r="G57" s="8" t="s">
        <v>35</v>
      </c>
      <c r="H57" s="8" t="s">
        <v>208</v>
      </c>
      <c r="I57" s="5" t="s">
        <v>174</v>
      </c>
    </row>
    <row r="58" customFormat="false" ht="17.15" hidden="false" customHeight="false" outlineLevel="0" collapsed="false">
      <c r="A58" s="0" t="s">
        <v>209</v>
      </c>
      <c r="B58" s="0" t="s">
        <v>210</v>
      </c>
      <c r="C58" s="5" t="s">
        <v>207</v>
      </c>
      <c r="E58" s="7" t="n">
        <v>3</v>
      </c>
      <c r="G58" s="8" t="s">
        <v>40</v>
      </c>
      <c r="H58" s="8" t="s">
        <v>211</v>
      </c>
      <c r="I58" s="5" t="s">
        <v>212</v>
      </c>
    </row>
    <row r="59" customFormat="false" ht="17.15" hidden="false" customHeight="false" outlineLevel="0" collapsed="false">
      <c r="A59" s="0" t="s">
        <v>213</v>
      </c>
      <c r="B59" s="5" t="s">
        <v>214</v>
      </c>
      <c r="C59" s="5" t="s">
        <v>163</v>
      </c>
      <c r="D59" s="7" t="n">
        <v>15</v>
      </c>
      <c r="E59" s="7" t="n">
        <v>17</v>
      </c>
      <c r="F59" s="7" t="n">
        <v>19</v>
      </c>
      <c r="G59" s="8" t="s">
        <v>71</v>
      </c>
      <c r="H59" s="5" t="s">
        <v>215</v>
      </c>
      <c r="I59" s="8" t="s">
        <v>216</v>
      </c>
    </row>
    <row r="60" customFormat="false" ht="17.15" hidden="false" customHeight="false" outlineLevel="0" collapsed="false">
      <c r="A60" s="0" t="s">
        <v>217</v>
      </c>
      <c r="B60" s="5" t="s">
        <v>218</v>
      </c>
      <c r="C60" s="0" t="s">
        <v>202</v>
      </c>
      <c r="E60" s="7" t="n">
        <v>34.621</v>
      </c>
      <c r="G60" s="8" t="s">
        <v>35</v>
      </c>
      <c r="H60" s="8" t="s">
        <v>219</v>
      </c>
      <c r="I60" s="8" t="s">
        <v>116</v>
      </c>
    </row>
    <row r="61" customFormat="false" ht="17.15" hidden="false" customHeight="false" outlineLevel="0" collapsed="false">
      <c r="A61" s="0" t="s">
        <v>220</v>
      </c>
      <c r="B61" s="5" t="s">
        <v>221</v>
      </c>
      <c r="C61" s="0" t="s">
        <v>202</v>
      </c>
      <c r="E61" s="7" t="n">
        <v>9.185</v>
      </c>
      <c r="G61" s="8" t="s">
        <v>35</v>
      </c>
      <c r="H61" s="8" t="s">
        <v>222</v>
      </c>
      <c r="I61" s="5" t="s">
        <v>223</v>
      </c>
    </row>
    <row r="62" customFormat="false" ht="17.15" hidden="false" customHeight="false" outlineLevel="0" collapsed="false">
      <c r="A62" s="0" t="s">
        <v>224</v>
      </c>
      <c r="B62" s="5" t="s">
        <v>225</v>
      </c>
      <c r="C62" s="0" t="s">
        <v>202</v>
      </c>
      <c r="E62" s="0" t="n">
        <f aca="false">oplease_q1+finlease_q1</f>
        <v>43.806</v>
      </c>
      <c r="G62" s="0" t="s">
        <v>35</v>
      </c>
      <c r="H62" s="0" t="s">
        <v>226</v>
      </c>
      <c r="I62" s="5" t="s">
        <v>227</v>
      </c>
    </row>
    <row r="63" customFormat="false" ht="17.15" hidden="false" customHeight="false" outlineLevel="0" collapsed="false">
      <c r="A63" s="0" t="s">
        <v>228</v>
      </c>
      <c r="B63" s="5" t="s">
        <v>229</v>
      </c>
      <c r="C63" s="0" t="s">
        <v>98</v>
      </c>
      <c r="E63" s="10" t="n">
        <v>0.057</v>
      </c>
      <c r="G63" s="8" t="s">
        <v>29</v>
      </c>
      <c r="H63" s="8" t="s">
        <v>230</v>
      </c>
      <c r="I63" s="5" t="s">
        <v>174</v>
      </c>
    </row>
    <row r="64" customFormat="false" ht="17.15" hidden="false" customHeight="false" outlineLevel="0" collapsed="false">
      <c r="A64" s="0" t="s">
        <v>231</v>
      </c>
      <c r="B64" s="5" t="s">
        <v>232</v>
      </c>
      <c r="C64" s="0" t="s">
        <v>202</v>
      </c>
      <c r="E64" s="7" t="n">
        <v>1.101</v>
      </c>
      <c r="G64" s="8" t="s">
        <v>35</v>
      </c>
      <c r="H64" s="8" t="s">
        <v>233</v>
      </c>
      <c r="I64" s="8" t="s">
        <v>116</v>
      </c>
    </row>
    <row r="65" customFormat="false" ht="17.15" hidden="false" customHeight="false" outlineLevel="0" collapsed="false">
      <c r="A65" s="0" t="s">
        <v>234</v>
      </c>
      <c r="B65" s="5" t="s">
        <v>235</v>
      </c>
      <c r="C65" s="0" t="s">
        <v>202</v>
      </c>
      <c r="E65" s="0" t="n">
        <f aca="false">oplcost_q1*4</f>
        <v>4.404</v>
      </c>
      <c r="G65" s="0" t="s">
        <v>40</v>
      </c>
      <c r="H65" s="0" t="s">
        <v>236</v>
      </c>
      <c r="I65" s="5" t="s">
        <v>237</v>
      </c>
    </row>
    <row r="66" customFormat="false" ht="17.15" hidden="false" customHeight="false" outlineLevel="0" collapsed="false">
      <c r="A66" s="1" t="s">
        <v>238</v>
      </c>
    </row>
    <row r="67" customFormat="false" ht="17.15" hidden="false" customHeight="false" outlineLevel="0" collapsed="false">
      <c r="A67" s="0" t="s">
        <v>239</v>
      </c>
      <c r="B67" s="0" t="s">
        <v>240</v>
      </c>
      <c r="C67" s="0" t="s">
        <v>98</v>
      </c>
      <c r="D67" s="10" t="n">
        <v>0.1</v>
      </c>
      <c r="E67" s="10" t="n">
        <v>0.2</v>
      </c>
      <c r="F67" s="10" t="n">
        <v>0.3</v>
      </c>
      <c r="G67" s="8" t="s">
        <v>71</v>
      </c>
      <c r="H67" s="5" t="s">
        <v>241</v>
      </c>
      <c r="I67" s="8" t="s">
        <v>242</v>
      </c>
    </row>
    <row r="68" customFormat="false" ht="17.15" hidden="false" customHeight="false" outlineLevel="0" collapsed="false">
      <c r="A68" s="0" t="s">
        <v>243</v>
      </c>
      <c r="B68" s="0" t="s">
        <v>244</v>
      </c>
      <c r="C68" s="0" t="s">
        <v>98</v>
      </c>
      <c r="D68" s="10" t="n">
        <v>0.05</v>
      </c>
      <c r="E68" s="10" t="n">
        <v>0.08</v>
      </c>
      <c r="F68" s="10" t="n">
        <v>0.12</v>
      </c>
      <c r="G68" s="8" t="s">
        <v>71</v>
      </c>
      <c r="H68" s="5" t="s">
        <v>245</v>
      </c>
      <c r="I68" s="8" t="s">
        <v>116</v>
      </c>
    </row>
    <row r="69" customFormat="false" ht="17.15" hidden="false" customHeight="false" outlineLevel="0" collapsed="false">
      <c r="A69" s="1" t="s">
        <v>246</v>
      </c>
    </row>
    <row r="70" customFormat="false" ht="17.15" hidden="false" customHeight="false" outlineLevel="0" collapsed="false">
      <c r="A70" s="0" t="s">
        <v>247</v>
      </c>
      <c r="B70" s="0" t="s">
        <v>248</v>
      </c>
      <c r="C70" s="0" t="s">
        <v>98</v>
      </c>
      <c r="D70" s="10" t="n">
        <v>0.05</v>
      </c>
      <c r="E70" s="10" t="n">
        <v>0.08</v>
      </c>
      <c r="F70" s="10" t="n">
        <v>0.1</v>
      </c>
      <c r="G70" s="8" t="s">
        <v>71</v>
      </c>
      <c r="H70" s="5" t="s">
        <v>249</v>
      </c>
      <c r="I70" s="8" t="s">
        <v>250</v>
      </c>
    </row>
    <row r="71" customFormat="false" ht="17.15" hidden="false" customHeight="false" outlineLevel="0" collapsed="false">
      <c r="A71" s="0" t="s">
        <v>251</v>
      </c>
      <c r="B71" s="0" t="s">
        <v>252</v>
      </c>
      <c r="C71" s="0" t="s">
        <v>98</v>
      </c>
      <c r="D71" s="10" t="n">
        <v>-0.05</v>
      </c>
      <c r="E71" s="10" t="n">
        <v>-0.02</v>
      </c>
      <c r="F71" s="10" t="n">
        <v>0</v>
      </c>
      <c r="G71" s="8" t="s">
        <v>71</v>
      </c>
      <c r="H71" s="8" t="s">
        <v>253</v>
      </c>
      <c r="I71" s="8" t="s">
        <v>250</v>
      </c>
    </row>
    <row r="72" customFormat="false" ht="17.15" hidden="false" customHeight="false" outlineLevel="0" collapsed="false">
      <c r="A72" s="0" t="s">
        <v>254</v>
      </c>
      <c r="B72" s="0" t="s">
        <v>255</v>
      </c>
      <c r="C72" s="0" t="s">
        <v>98</v>
      </c>
      <c r="D72" s="10" t="n">
        <v>-0.03</v>
      </c>
      <c r="E72" s="10" t="n">
        <v>-0.01</v>
      </c>
      <c r="F72" s="10" t="n">
        <v>0.01</v>
      </c>
      <c r="G72" s="8" t="s">
        <v>71</v>
      </c>
      <c r="H72" s="8" t="s">
        <v>256</v>
      </c>
      <c r="I72" s="8" t="s">
        <v>250</v>
      </c>
    </row>
    <row r="73" customFormat="false" ht="17.15" hidden="false" customHeight="false" outlineLevel="0" collapsed="false">
      <c r="A73" s="0" t="s">
        <v>257</v>
      </c>
      <c r="B73" s="0" t="s">
        <v>258</v>
      </c>
      <c r="C73" s="0" t="s">
        <v>98</v>
      </c>
      <c r="D73" s="10" t="n">
        <v>-0.03</v>
      </c>
      <c r="E73" s="10" t="n">
        <v>0</v>
      </c>
      <c r="F73" s="10" t="n">
        <v>0.03</v>
      </c>
      <c r="G73" s="8" t="s">
        <v>71</v>
      </c>
      <c r="H73" s="5" t="s">
        <v>259</v>
      </c>
      <c r="I73" s="8" t="s">
        <v>250</v>
      </c>
    </row>
    <row r="74" customFormat="false" ht="17.15" hidden="false" customHeight="false" outlineLevel="0" collapsed="false">
      <c r="A74" s="0" t="s">
        <v>260</v>
      </c>
      <c r="B74" s="0" t="s">
        <v>261</v>
      </c>
      <c r="C74" s="0" t="s">
        <v>98</v>
      </c>
      <c r="D74" s="10" t="n">
        <v>0</v>
      </c>
      <c r="E74" s="10" t="n">
        <v>0.03</v>
      </c>
      <c r="F74" s="10" t="n">
        <v>0.05</v>
      </c>
      <c r="G74" s="8" t="s">
        <v>71</v>
      </c>
      <c r="H74" s="5" t="s">
        <v>262</v>
      </c>
      <c r="I74" s="8" t="s">
        <v>250</v>
      </c>
    </row>
    <row r="75" customFormat="false" ht="17.15" hidden="false" customHeight="false" outlineLevel="0" collapsed="false">
      <c r="A75" s="1" t="s">
        <v>263</v>
      </c>
    </row>
    <row r="76" customFormat="false" ht="17.15" hidden="false" customHeight="false" outlineLevel="0" collapsed="false">
      <c r="A76" s="0" t="s">
        <v>264</v>
      </c>
      <c r="B76" s="0" t="s">
        <v>265</v>
      </c>
      <c r="C76" s="0" t="s">
        <v>98</v>
      </c>
      <c r="E76" s="12" t="n">
        <f aca="false">Q!L17/Q!L8</f>
        <v>0.65402075226978</v>
      </c>
      <c r="G76" s="8" t="s">
        <v>40</v>
      </c>
      <c r="H76" s="8" t="s">
        <v>266</v>
      </c>
      <c r="I76" s="8" t="s">
        <v>267</v>
      </c>
    </row>
    <row r="77" customFormat="false" ht="17.15" hidden="false" customHeight="false" outlineLevel="0" collapsed="false">
      <c r="A77" s="0" t="s">
        <v>268</v>
      </c>
      <c r="B77" s="0" t="s">
        <v>269</v>
      </c>
      <c r="C77" s="0" t="s">
        <v>98</v>
      </c>
      <c r="E77" s="12" t="n">
        <f aca="false">Q!L18/Q!L9</f>
        <v>0.266933658366707</v>
      </c>
      <c r="G77" s="8" t="s">
        <v>40</v>
      </c>
      <c r="H77" s="8" t="s">
        <v>270</v>
      </c>
      <c r="I77" s="8" t="s">
        <v>271</v>
      </c>
    </row>
    <row r="78" customFormat="false" ht="17.15" hidden="false" customHeight="false" outlineLevel="0" collapsed="false">
      <c r="A78" s="0" t="s">
        <v>272</v>
      </c>
      <c r="B78" s="0" t="s">
        <v>273</v>
      </c>
      <c r="C78" s="0" t="s">
        <v>98</v>
      </c>
      <c r="E78" s="12" t="n">
        <f aca="false">Thesis!C112</f>
        <v>0.645219494731002</v>
      </c>
      <c r="G78" s="8" t="s">
        <v>40</v>
      </c>
      <c r="H78" s="5" t="s">
        <v>274</v>
      </c>
      <c r="I78" s="5" t="s">
        <v>275</v>
      </c>
    </row>
    <row r="79" customFormat="false" ht="17.15" hidden="false" customHeight="false" outlineLevel="0" collapsed="false">
      <c r="A79" s="0" t="s">
        <v>276</v>
      </c>
      <c r="B79" s="5" t="s">
        <v>277</v>
      </c>
      <c r="C79" s="0" t="s">
        <v>278</v>
      </c>
      <c r="D79" s="10" t="n">
        <v>-0.03</v>
      </c>
      <c r="E79" s="10" t="n">
        <v>0</v>
      </c>
      <c r="F79" s="10" t="n">
        <v>0.03</v>
      </c>
      <c r="G79" s="8" t="s">
        <v>71</v>
      </c>
      <c r="H79" s="8" t="s">
        <v>279</v>
      </c>
      <c r="I79" s="8" t="s">
        <v>116</v>
      </c>
    </row>
    <row r="80" customFormat="false" ht="17.15" hidden="false" customHeight="false" outlineLevel="0" collapsed="false">
      <c r="A80" s="0" t="s">
        <v>280</v>
      </c>
      <c r="B80" s="5" t="s">
        <v>281</v>
      </c>
      <c r="C80" s="0" t="s">
        <v>92</v>
      </c>
      <c r="D80" s="9" t="n">
        <v>1</v>
      </c>
      <c r="E80" s="11" t="n">
        <f aca="false">Q!L20/4/Q!I20</f>
        <v>1.2341933654664</v>
      </c>
      <c r="F80" s="9" t="n">
        <v>1.35</v>
      </c>
      <c r="G80" s="8" t="s">
        <v>71</v>
      </c>
      <c r="H80" s="5" t="s">
        <v>282</v>
      </c>
      <c r="I80" s="5" t="s">
        <v>283</v>
      </c>
    </row>
    <row r="81" customFormat="false" ht="17.15" hidden="false" customHeight="false" outlineLevel="0" collapsed="false">
      <c r="A81" s="0" t="s">
        <v>284</v>
      </c>
      <c r="B81" s="5" t="s">
        <v>285</v>
      </c>
      <c r="C81" s="0" t="s">
        <v>98</v>
      </c>
      <c r="D81" s="10" t="n">
        <v>0.02</v>
      </c>
      <c r="E81" s="10" t="n">
        <v>0.04</v>
      </c>
      <c r="F81" s="10" t="n">
        <v>0.06</v>
      </c>
      <c r="G81" s="8" t="s">
        <v>71</v>
      </c>
      <c r="H81" s="5" t="s">
        <v>286</v>
      </c>
      <c r="I81" s="8" t="s">
        <v>287</v>
      </c>
    </row>
    <row r="82" customFormat="false" ht="17.15" hidden="false" customHeight="false" outlineLevel="0" collapsed="false">
      <c r="A82" s="0" t="s">
        <v>288</v>
      </c>
      <c r="B82" s="5" t="s">
        <v>289</v>
      </c>
      <c r="C82" s="0" t="s">
        <v>202</v>
      </c>
      <c r="E82" s="7" t="n">
        <v>1.127</v>
      </c>
      <c r="G82" s="8" t="s">
        <v>35</v>
      </c>
      <c r="H82" s="8" t="s">
        <v>290</v>
      </c>
      <c r="I82" s="8" t="s">
        <v>291</v>
      </c>
    </row>
    <row r="83" customFormat="false" ht="17.15" hidden="false" customHeight="false" outlineLevel="0" collapsed="false">
      <c r="A83" s="0" t="s">
        <v>292</v>
      </c>
      <c r="B83" s="5" t="s">
        <v>293</v>
      </c>
      <c r="C83" s="0" t="s">
        <v>202</v>
      </c>
      <c r="E83" s="13" t="n">
        <f aca="false">Q!I24</f>
        <v>3.358</v>
      </c>
      <c r="G83" s="8" t="s">
        <v>35</v>
      </c>
      <c r="H83" s="8" t="s">
        <v>294</v>
      </c>
      <c r="I83" s="8" t="s">
        <v>116</v>
      </c>
    </row>
    <row r="84" customFormat="false" ht="17.15" hidden="false" customHeight="false" outlineLevel="0" collapsed="false">
      <c r="A84" s="0" t="s">
        <v>295</v>
      </c>
      <c r="B84" s="5" t="s">
        <v>296</v>
      </c>
      <c r="C84" s="0" t="s">
        <v>202</v>
      </c>
      <c r="E84" s="0" t="n">
        <f aca="false">(da_q1-dep_q1)*4</f>
        <v>0.632</v>
      </c>
      <c r="G84" s="0" t="s">
        <v>40</v>
      </c>
      <c r="H84" s="0" t="s">
        <v>297</v>
      </c>
      <c r="I84" s="0" t="s">
        <v>298</v>
      </c>
    </row>
    <row r="85" customFormat="false" ht="17.15" hidden="false" customHeight="false" outlineLevel="0" collapsed="false">
      <c r="A85" s="0" t="s">
        <v>299</v>
      </c>
      <c r="B85" s="0" t="s">
        <v>300</v>
      </c>
      <c r="C85" s="0" t="s">
        <v>202</v>
      </c>
      <c r="E85" s="7" t="n">
        <v>3.2</v>
      </c>
      <c r="G85" s="8" t="s">
        <v>35</v>
      </c>
      <c r="H85" s="8" t="s">
        <v>301</v>
      </c>
      <c r="I85" s="8" t="s">
        <v>116</v>
      </c>
    </row>
    <row r="86" customFormat="false" ht="17.15" hidden="false" customHeight="false" outlineLevel="0" collapsed="false">
      <c r="A86" s="0" t="s">
        <v>302</v>
      </c>
      <c r="B86" s="0" t="s">
        <v>303</v>
      </c>
      <c r="C86" s="0" t="s">
        <v>202</v>
      </c>
      <c r="E86" s="7" t="n">
        <v>3.129</v>
      </c>
      <c r="G86" s="8" t="s">
        <v>29</v>
      </c>
      <c r="H86" s="8" t="s">
        <v>304</v>
      </c>
      <c r="I86" s="8" t="s">
        <v>116</v>
      </c>
    </row>
    <row r="87" customFormat="false" ht="17.15" hidden="false" customHeight="false" outlineLevel="0" collapsed="false">
      <c r="A87" s="0" t="s">
        <v>305</v>
      </c>
      <c r="B87" s="5" t="s">
        <v>306</v>
      </c>
      <c r="C87" s="0" t="s">
        <v>202</v>
      </c>
      <c r="E87" s="0" t="n">
        <f aca="false">dep_fy24/4</f>
        <v>0.78225</v>
      </c>
      <c r="G87" s="0" t="s">
        <v>40</v>
      </c>
      <c r="H87" s="0" t="s">
        <v>307</v>
      </c>
      <c r="I87" s="0" t="s">
        <v>308</v>
      </c>
    </row>
    <row r="88" customFormat="false" ht="17.15" hidden="false" customHeight="false" outlineLevel="0" collapsed="false">
      <c r="A88" s="0" t="s">
        <v>309</v>
      </c>
      <c r="B88" s="5" t="s">
        <v>310</v>
      </c>
      <c r="C88" s="0" t="s">
        <v>202</v>
      </c>
      <c r="E88" s="7" t="n">
        <v>48.546</v>
      </c>
      <c r="G88" s="8" t="s">
        <v>35</v>
      </c>
      <c r="H88" s="8" t="s">
        <v>311</v>
      </c>
      <c r="I88" s="5" t="s">
        <v>312</v>
      </c>
    </row>
    <row r="89" customFormat="false" ht="17.15" hidden="false" customHeight="false" outlineLevel="0" collapsed="false">
      <c r="A89" s="0" t="s">
        <v>313</v>
      </c>
      <c r="B89" s="5" t="s">
        <v>314</v>
      </c>
      <c r="C89" s="0" t="s">
        <v>98</v>
      </c>
      <c r="D89" s="10" t="n">
        <v>0.05</v>
      </c>
      <c r="E89" s="10" t="n">
        <v>0.08</v>
      </c>
      <c r="F89" s="10" t="n">
        <v>0.12</v>
      </c>
      <c r="G89" s="8" t="s">
        <v>71</v>
      </c>
      <c r="H89" s="8" t="s">
        <v>315</v>
      </c>
      <c r="I89" s="5" t="s">
        <v>316</v>
      </c>
    </row>
    <row r="90" customFormat="false" ht="17.15" hidden="false" customHeight="false" outlineLevel="0" collapsed="false">
      <c r="A90" s="1" t="s">
        <v>317</v>
      </c>
    </row>
    <row r="91" customFormat="false" ht="17.15" hidden="false" customHeight="false" outlineLevel="0" collapsed="false">
      <c r="A91" s="0" t="s">
        <v>318</v>
      </c>
      <c r="B91" s="0" t="s">
        <v>319</v>
      </c>
      <c r="C91" s="0" t="s">
        <v>202</v>
      </c>
      <c r="D91" s="7" t="n">
        <v>90</v>
      </c>
      <c r="E91" s="7" t="n">
        <v>92.5</v>
      </c>
      <c r="F91" s="7" t="n">
        <v>95</v>
      </c>
      <c r="G91" s="8" t="s">
        <v>35</v>
      </c>
      <c r="H91" s="8" t="s">
        <v>320</v>
      </c>
      <c r="I91" s="8" t="s">
        <v>321</v>
      </c>
    </row>
    <row r="92" customFormat="false" ht="17.15" hidden="false" customHeight="false" outlineLevel="0" collapsed="false">
      <c r="A92" s="0" t="s">
        <v>322</v>
      </c>
      <c r="B92" s="5" t="s">
        <v>323</v>
      </c>
      <c r="C92" s="0" t="s">
        <v>98</v>
      </c>
      <c r="D92" s="10" t="n">
        <v>0.222</v>
      </c>
      <c r="E92" s="10" t="n">
        <v>0.243</v>
      </c>
      <c r="F92" s="10" t="n">
        <v>0.37</v>
      </c>
      <c r="G92" s="8" t="s">
        <v>40</v>
      </c>
      <c r="H92" s="8" t="s">
        <v>324</v>
      </c>
      <c r="I92" s="5" t="s">
        <v>325</v>
      </c>
    </row>
    <row r="93" customFormat="false" ht="17.15" hidden="false" customHeight="false" outlineLevel="0" collapsed="false">
      <c r="A93" s="0" t="s">
        <v>326</v>
      </c>
      <c r="B93" s="5" t="s">
        <v>327</v>
      </c>
      <c r="C93" s="0" t="s">
        <v>202</v>
      </c>
      <c r="E93" s="7" t="n">
        <v>15.955</v>
      </c>
      <c r="G93" s="8" t="s">
        <v>40</v>
      </c>
      <c r="H93" s="8" t="s">
        <v>328</v>
      </c>
      <c r="I93" s="8" t="s">
        <v>329</v>
      </c>
    </row>
    <row r="94" customFormat="false" ht="17.15" hidden="false" customHeight="false" outlineLevel="0" collapsed="false">
      <c r="A94" s="0" t="s">
        <v>330</v>
      </c>
      <c r="B94" s="5" t="s">
        <v>331</v>
      </c>
      <c r="C94" s="5" t="s">
        <v>163</v>
      </c>
      <c r="D94" s="7" t="n">
        <v>3</v>
      </c>
      <c r="E94" s="7" t="n">
        <v>5</v>
      </c>
      <c r="F94" s="7" t="n">
        <v>5</v>
      </c>
      <c r="G94" s="8" t="s">
        <v>71</v>
      </c>
      <c r="H94" s="5" t="s">
        <v>332</v>
      </c>
      <c r="I94" s="8" t="s">
        <v>116</v>
      </c>
    </row>
    <row r="95" customFormat="false" ht="17.15" hidden="false" customHeight="false" outlineLevel="0" collapsed="false">
      <c r="A95" s="0" t="s">
        <v>333</v>
      </c>
      <c r="B95" s="5" t="s">
        <v>334</v>
      </c>
      <c r="C95" s="0" t="s">
        <v>98</v>
      </c>
      <c r="D95" s="10" t="n">
        <v>0.126</v>
      </c>
      <c r="E95" s="10" t="n">
        <v>0.151</v>
      </c>
      <c r="F95" s="10" t="n">
        <v>0.17</v>
      </c>
      <c r="G95" s="8" t="s">
        <v>35</v>
      </c>
      <c r="H95" s="8" t="s">
        <v>335</v>
      </c>
      <c r="I95" s="8" t="s">
        <v>336</v>
      </c>
    </row>
    <row r="96" customFormat="false" ht="17.15" hidden="false" customHeight="false" outlineLevel="0" collapsed="false">
      <c r="A96" s="0" t="s">
        <v>337</v>
      </c>
      <c r="B96" s="5" t="s">
        <v>338</v>
      </c>
      <c r="C96" s="0" t="s">
        <v>202</v>
      </c>
      <c r="E96" s="7" t="n">
        <v>125</v>
      </c>
      <c r="G96" s="8" t="s">
        <v>35</v>
      </c>
      <c r="H96" s="8" t="s">
        <v>339</v>
      </c>
      <c r="I96" s="5" t="s">
        <v>340</v>
      </c>
    </row>
    <row r="97" customFormat="false" ht="17.15" hidden="false" customHeight="false" outlineLevel="0" collapsed="false">
      <c r="A97" s="0" t="s">
        <v>341</v>
      </c>
      <c r="B97" s="5" t="s">
        <v>342</v>
      </c>
      <c r="C97" s="0" t="s">
        <v>202</v>
      </c>
      <c r="E97" s="13" t="n">
        <f aca="false">Q!I26</f>
        <v>1.428</v>
      </c>
      <c r="G97" s="8" t="s">
        <v>35</v>
      </c>
      <c r="H97" s="8" t="s">
        <v>294</v>
      </c>
      <c r="I97" s="8" t="s">
        <v>116</v>
      </c>
    </row>
    <row r="98" customFormat="false" ht="17.15" hidden="false" customHeight="false" outlineLevel="0" collapsed="false">
      <c r="A98" s="0" t="s">
        <v>343</v>
      </c>
      <c r="B98" s="5" t="s">
        <v>344</v>
      </c>
      <c r="C98" s="0" t="s">
        <v>202</v>
      </c>
      <c r="E98" s="7" t="n">
        <v>0.306</v>
      </c>
      <c r="G98" s="8" t="s">
        <v>35</v>
      </c>
      <c r="H98" s="8" t="s">
        <v>345</v>
      </c>
      <c r="I98" s="8" t="s">
        <v>346</v>
      </c>
    </row>
    <row r="99" customFormat="false" ht="17.15" hidden="false" customHeight="false" outlineLevel="0" collapsed="false">
      <c r="A99" s="0" t="s">
        <v>347</v>
      </c>
      <c r="B99" s="5" t="s">
        <v>348</v>
      </c>
      <c r="C99" s="0" t="s">
        <v>98</v>
      </c>
      <c r="E99" s="12" t="n">
        <f aca="false">int_q1*4/debt_q1</f>
        <v>0.045696</v>
      </c>
      <c r="G99" s="8" t="s">
        <v>40</v>
      </c>
      <c r="H99" s="8" t="s">
        <v>349</v>
      </c>
      <c r="I99" s="8" t="s">
        <v>116</v>
      </c>
    </row>
    <row r="100" customFormat="false" ht="17.15" hidden="false" customHeight="false" outlineLevel="0" collapsed="false">
      <c r="A100" s="0" t="s">
        <v>350</v>
      </c>
      <c r="B100" s="5" t="s">
        <v>351</v>
      </c>
      <c r="C100" s="0" t="s">
        <v>98</v>
      </c>
      <c r="D100" s="10" t="n">
        <v>0.05</v>
      </c>
      <c r="E100" s="10" t="n">
        <v>0.058</v>
      </c>
      <c r="F100" s="10" t="n">
        <v>0.0811</v>
      </c>
      <c r="G100" s="8" t="s">
        <v>71</v>
      </c>
      <c r="H100" s="5" t="s">
        <v>352</v>
      </c>
      <c r="I100" s="5" t="s">
        <v>353</v>
      </c>
    </row>
    <row r="101" customFormat="false" ht="17.15" hidden="false" customHeight="false" outlineLevel="0" collapsed="false">
      <c r="A101" s="0" t="s">
        <v>354</v>
      </c>
      <c r="B101" s="5" t="s">
        <v>355</v>
      </c>
      <c r="C101" s="0" t="s">
        <v>98</v>
      </c>
      <c r="E101" s="10" t="n">
        <v>0.12</v>
      </c>
      <c r="G101" s="8" t="s">
        <v>71</v>
      </c>
      <c r="H101" s="5" t="s">
        <v>356</v>
      </c>
      <c r="I101" s="8" t="s">
        <v>116</v>
      </c>
    </row>
    <row r="102" customFormat="false" ht="17.15" hidden="false" customHeight="false" outlineLevel="0" collapsed="false">
      <c r="A102" s="0" t="s">
        <v>357</v>
      </c>
      <c r="B102" s="5" t="s">
        <v>358</v>
      </c>
      <c r="C102" s="0" t="s">
        <v>98</v>
      </c>
      <c r="E102" s="12" t="n">
        <f aca="false">ii_q1*4/cashonly_q1</f>
        <v>0.0336550358822074</v>
      </c>
      <c r="G102" s="8" t="s">
        <v>40</v>
      </c>
      <c r="H102" s="8" t="s">
        <v>359</v>
      </c>
      <c r="I102" s="8" t="s">
        <v>116</v>
      </c>
    </row>
    <row r="103" customFormat="false" ht="17.15" hidden="false" customHeight="false" outlineLevel="0" collapsed="false">
      <c r="A103" s="0" t="s">
        <v>360</v>
      </c>
      <c r="B103" s="5" t="s">
        <v>361</v>
      </c>
      <c r="C103" s="0" t="s">
        <v>202</v>
      </c>
      <c r="E103" s="7" t="n">
        <v>36.369</v>
      </c>
      <c r="G103" s="8" t="s">
        <v>35</v>
      </c>
      <c r="H103" s="8" t="s">
        <v>362</v>
      </c>
      <c r="I103" s="8" t="s">
        <v>116</v>
      </c>
    </row>
    <row r="104" customFormat="false" ht="17.15" hidden="false" customHeight="false" outlineLevel="0" collapsed="false">
      <c r="A104" s="0" t="s">
        <v>363</v>
      </c>
      <c r="B104" s="5" t="s">
        <v>364</v>
      </c>
      <c r="C104" s="0" t="s">
        <v>202</v>
      </c>
      <c r="E104" s="7" t="n">
        <v>0.708</v>
      </c>
      <c r="G104" s="8" t="s">
        <v>35</v>
      </c>
      <c r="H104" s="8" t="s">
        <v>365</v>
      </c>
      <c r="I104" s="8" t="s">
        <v>116</v>
      </c>
    </row>
    <row r="105" customFormat="false" ht="17.15" hidden="false" customHeight="false" outlineLevel="0" collapsed="false">
      <c r="A105" s="0" t="s">
        <v>366</v>
      </c>
      <c r="B105" s="5" t="s">
        <v>367</v>
      </c>
      <c r="C105" s="0" t="s">
        <v>202</v>
      </c>
      <c r="E105" s="0" t="n">
        <f aca="false">cashonly_q1+mktsec_q1</f>
        <v>37.077</v>
      </c>
      <c r="G105" s="0" t="s">
        <v>35</v>
      </c>
      <c r="H105" s="0" t="s">
        <v>368</v>
      </c>
      <c r="I105" s="0" t="s">
        <v>116</v>
      </c>
    </row>
    <row r="106" customFormat="false" ht="17.15" hidden="false" customHeight="false" outlineLevel="0" collapsed="false">
      <c r="A106" s="0" t="s">
        <v>369</v>
      </c>
      <c r="B106" s="5" t="s">
        <v>370</v>
      </c>
      <c r="C106" s="0" t="s">
        <v>202</v>
      </c>
      <c r="E106" s="7" t="n">
        <v>10</v>
      </c>
      <c r="G106" s="8" t="s">
        <v>71</v>
      </c>
      <c r="H106" s="5" t="s">
        <v>371</v>
      </c>
      <c r="I106" s="5" t="s">
        <v>372</v>
      </c>
    </row>
    <row r="107" customFormat="false" ht="17.15" hidden="false" customHeight="false" outlineLevel="0" collapsed="false">
      <c r="A107" s="0" t="s">
        <v>373</v>
      </c>
      <c r="B107" s="5" t="s">
        <v>374</v>
      </c>
      <c r="C107" s="0" t="s">
        <v>92</v>
      </c>
      <c r="D107" s="9" t="n">
        <v>4</v>
      </c>
      <c r="E107" s="9" t="n">
        <v>4.5</v>
      </c>
      <c r="F107" s="9" t="n">
        <v>5</v>
      </c>
      <c r="G107" s="8" t="s">
        <v>71</v>
      </c>
      <c r="H107" s="5" t="s">
        <v>375</v>
      </c>
      <c r="I107" s="5" t="s">
        <v>376</v>
      </c>
    </row>
    <row r="108" customFormat="false" ht="17.15" hidden="false" customHeight="false" outlineLevel="0" collapsed="false">
      <c r="A108" s="0" t="s">
        <v>377</v>
      </c>
      <c r="B108" s="5" t="s">
        <v>378</v>
      </c>
      <c r="C108" s="0" t="s">
        <v>98</v>
      </c>
      <c r="E108" s="10" t="n">
        <v>0.05</v>
      </c>
      <c r="G108" s="8" t="s">
        <v>71</v>
      </c>
      <c r="H108" s="5" t="s">
        <v>379</v>
      </c>
      <c r="I108" s="8" t="s">
        <v>380</v>
      </c>
    </row>
    <row r="109" customFormat="false" ht="15" hidden="false" customHeight="false" outlineLevel="0" collapsed="false">
      <c r="A109" s="0" t="s">
        <v>381</v>
      </c>
      <c r="B109" s="5" t="s">
        <v>382</v>
      </c>
      <c r="C109" s="0" t="s">
        <v>202</v>
      </c>
      <c r="E109" s="7" t="n">
        <v>0.05</v>
      </c>
      <c r="G109" s="8" t="s">
        <v>71</v>
      </c>
      <c r="H109" s="5" t="s">
        <v>383</v>
      </c>
      <c r="I109" s="8" t="s">
        <v>116</v>
      </c>
    </row>
    <row r="110" customFormat="false" ht="17.15" hidden="false" customHeight="false" outlineLevel="0" collapsed="false">
      <c r="A110" s="0" t="s">
        <v>384</v>
      </c>
      <c r="B110" s="5" t="s">
        <v>385</v>
      </c>
      <c r="C110" s="0" t="s">
        <v>98</v>
      </c>
      <c r="E110" s="10" t="n">
        <v>0.1</v>
      </c>
      <c r="G110" s="8" t="s">
        <v>71</v>
      </c>
      <c r="H110" s="5" t="s">
        <v>386</v>
      </c>
      <c r="I110" s="8" t="s">
        <v>116</v>
      </c>
    </row>
    <row r="111" customFormat="false" ht="17.15" hidden="false" customHeight="false" outlineLevel="0" collapsed="false">
      <c r="A111" s="0" t="s">
        <v>387</v>
      </c>
      <c r="B111" s="5" t="s">
        <v>388</v>
      </c>
      <c r="C111" s="0" t="s">
        <v>389</v>
      </c>
      <c r="E111" s="7" t="n">
        <v>0.5</v>
      </c>
      <c r="G111" s="8" t="s">
        <v>35</v>
      </c>
      <c r="H111" s="8" t="s">
        <v>390</v>
      </c>
      <c r="I111" s="5" t="s">
        <v>391</v>
      </c>
    </row>
    <row r="112" customFormat="false" ht="17.15" hidden="false" customHeight="false" outlineLevel="0" collapsed="false">
      <c r="A112" s="0" t="s">
        <v>392</v>
      </c>
      <c r="B112" s="5" t="s">
        <v>393</v>
      </c>
      <c r="C112" s="0" t="s">
        <v>202</v>
      </c>
      <c r="E112" s="7" t="n">
        <v>0.081</v>
      </c>
      <c r="G112" s="8" t="s">
        <v>35</v>
      </c>
      <c r="H112" s="8" t="s">
        <v>394</v>
      </c>
      <c r="I112" s="8" t="s">
        <v>116</v>
      </c>
    </row>
    <row r="113" customFormat="false" ht="17.15" hidden="false" customHeight="false" outlineLevel="0" collapsed="false">
      <c r="A113" s="0" t="s">
        <v>395</v>
      </c>
      <c r="B113" s="5" t="s">
        <v>396</v>
      </c>
      <c r="C113" s="5" t="s">
        <v>34</v>
      </c>
      <c r="E113" s="7" t="n">
        <v>3</v>
      </c>
      <c r="G113" s="8" t="s">
        <v>35</v>
      </c>
      <c r="H113" s="8" t="s">
        <v>397</v>
      </c>
      <c r="I113" s="8" t="s">
        <v>116</v>
      </c>
    </row>
    <row r="114" customFormat="false" ht="17.15" hidden="false" customHeight="false" outlineLevel="0" collapsed="false">
      <c r="A114" s="0" t="s">
        <v>398</v>
      </c>
      <c r="B114" s="5" t="s">
        <v>399</v>
      </c>
      <c r="C114" s="0" t="s">
        <v>202</v>
      </c>
      <c r="E114" s="7" t="n">
        <v>0.244</v>
      </c>
      <c r="G114" s="8" t="s">
        <v>40</v>
      </c>
      <c r="H114" s="8" t="s">
        <v>400</v>
      </c>
      <c r="I114" s="8" t="s">
        <v>401</v>
      </c>
    </row>
    <row r="115" customFormat="false" ht="17.15" hidden="false" customHeight="false" outlineLevel="0" collapsed="false">
      <c r="A115" s="0" t="s">
        <v>402</v>
      </c>
      <c r="B115" s="5" t="s">
        <v>403</v>
      </c>
      <c r="C115" s="0" t="s">
        <v>202</v>
      </c>
      <c r="E115" s="7" t="n">
        <v>0.325</v>
      </c>
      <c r="G115" s="8" t="s">
        <v>40</v>
      </c>
      <c r="H115" s="5" t="s">
        <v>123</v>
      </c>
      <c r="I115" s="8" t="s">
        <v>116</v>
      </c>
    </row>
    <row r="116" customFormat="false" ht="17.15" hidden="false" customHeight="false" outlineLevel="0" collapsed="false">
      <c r="A116" s="0" t="s">
        <v>404</v>
      </c>
      <c r="B116" s="5" t="s">
        <v>405</v>
      </c>
      <c r="C116" s="0" t="s">
        <v>202</v>
      </c>
      <c r="E116" s="7" t="n">
        <v>0.244</v>
      </c>
      <c r="G116" s="8" t="s">
        <v>40</v>
      </c>
      <c r="H116" s="5" t="s">
        <v>123</v>
      </c>
      <c r="I116" s="8" t="s">
        <v>116</v>
      </c>
    </row>
    <row r="117" customFormat="false" ht="17.15" hidden="false" customHeight="false" outlineLevel="0" collapsed="false">
      <c r="A117" s="0" t="s">
        <v>406</v>
      </c>
      <c r="B117" s="5" t="s">
        <v>407</v>
      </c>
      <c r="C117" s="0" t="s">
        <v>202</v>
      </c>
      <c r="E117" s="7" t="n">
        <v>23.103</v>
      </c>
      <c r="G117" s="8" t="s">
        <v>35</v>
      </c>
      <c r="H117" s="8" t="s">
        <v>408</v>
      </c>
      <c r="I117" s="8" t="s">
        <v>409</v>
      </c>
    </row>
    <row r="118" customFormat="false" ht="17.15" hidden="false" customHeight="false" outlineLevel="0" collapsed="false">
      <c r="A118" s="0" t="s">
        <v>410</v>
      </c>
      <c r="B118" s="5" t="s">
        <v>411</v>
      </c>
      <c r="C118" s="0" t="s">
        <v>202</v>
      </c>
      <c r="E118" s="7" t="n">
        <v>28.499</v>
      </c>
      <c r="G118" s="8" t="s">
        <v>35</v>
      </c>
      <c r="H118" s="8" t="s">
        <v>412</v>
      </c>
      <c r="I118" s="8" t="s">
        <v>116</v>
      </c>
    </row>
    <row r="119" customFormat="false" ht="17.15" hidden="false" customHeight="false" outlineLevel="0" collapsed="false">
      <c r="A119" s="0" t="s">
        <v>413</v>
      </c>
      <c r="B119" s="5" t="s">
        <v>414</v>
      </c>
      <c r="C119" s="0" t="s">
        <v>202</v>
      </c>
      <c r="E119" s="7" t="n">
        <v>1.565</v>
      </c>
      <c r="G119" s="8" t="s">
        <v>35</v>
      </c>
      <c r="H119" s="8" t="s">
        <v>412</v>
      </c>
      <c r="I119" s="8" t="s">
        <v>116</v>
      </c>
    </row>
    <row r="120" customFormat="false" ht="17.15" hidden="false" customHeight="false" outlineLevel="0" collapsed="false">
      <c r="A120" s="1" t="s">
        <v>415</v>
      </c>
    </row>
    <row r="121" customFormat="false" ht="17.15" hidden="false" customHeight="false" outlineLevel="0" collapsed="false">
      <c r="A121" s="0" t="s">
        <v>416</v>
      </c>
      <c r="B121" s="5" t="s">
        <v>417</v>
      </c>
      <c r="C121" s="0" t="s">
        <v>98</v>
      </c>
      <c r="E121" s="10" t="n">
        <v>0.05</v>
      </c>
      <c r="G121" s="8" t="s">
        <v>29</v>
      </c>
      <c r="H121" s="5" t="s">
        <v>418</v>
      </c>
      <c r="I121" s="8" t="s">
        <v>419</v>
      </c>
    </row>
    <row r="122" customFormat="false" ht="17.15" hidden="false" customHeight="false" outlineLevel="0" collapsed="false">
      <c r="A122" s="0" t="s">
        <v>420</v>
      </c>
      <c r="B122" s="5" t="s">
        <v>421</v>
      </c>
      <c r="C122" s="0" t="s">
        <v>92</v>
      </c>
      <c r="E122" s="9" t="n">
        <v>1.77</v>
      </c>
      <c r="G122" s="8" t="s">
        <v>35</v>
      </c>
      <c r="H122" s="8" t="s">
        <v>422</v>
      </c>
      <c r="I122" s="5" t="s">
        <v>423</v>
      </c>
    </row>
    <row r="123" customFormat="false" ht="17.15" hidden="false" customHeight="false" outlineLevel="0" collapsed="false">
      <c r="A123" s="0" t="s">
        <v>424</v>
      </c>
      <c r="B123" s="5" t="s">
        <v>425</v>
      </c>
      <c r="C123" s="0" t="s">
        <v>92</v>
      </c>
      <c r="E123" s="9" t="n">
        <v>1.712</v>
      </c>
      <c r="G123" s="8" t="s">
        <v>35</v>
      </c>
      <c r="H123" s="8" t="s">
        <v>426</v>
      </c>
      <c r="I123" s="8" t="s">
        <v>116</v>
      </c>
    </row>
    <row r="124" customFormat="false" ht="17.15" hidden="false" customHeight="false" outlineLevel="0" collapsed="false">
      <c r="A124" s="0" t="s">
        <v>427</v>
      </c>
      <c r="B124" s="0" t="s">
        <v>428</v>
      </c>
      <c r="C124" s="0" t="s">
        <v>92</v>
      </c>
      <c r="D124" s="9" t="n">
        <v>1.2</v>
      </c>
      <c r="E124" s="11" t="n">
        <f aca="false">MEDIAN(0.67*beta_r1+0.33,0.67*beta_r2+0.33)</f>
        <v>1.49647</v>
      </c>
      <c r="F124" s="9" t="n">
        <v>2</v>
      </c>
      <c r="G124" s="8" t="s">
        <v>40</v>
      </c>
      <c r="H124" s="5" t="s">
        <v>429</v>
      </c>
      <c r="I124" s="8" t="s">
        <v>430</v>
      </c>
    </row>
    <row r="125" customFormat="false" ht="17.15" hidden="false" customHeight="false" outlineLevel="0" collapsed="false">
      <c r="A125" s="0" t="s">
        <v>431</v>
      </c>
      <c r="B125" s="5" t="s">
        <v>432</v>
      </c>
      <c r="C125" s="0" t="s">
        <v>98</v>
      </c>
      <c r="E125" s="10" t="n">
        <v>0.05</v>
      </c>
      <c r="G125" s="8" t="s">
        <v>71</v>
      </c>
      <c r="H125" s="5" t="s">
        <v>174</v>
      </c>
      <c r="I125" s="8" t="s">
        <v>116</v>
      </c>
    </row>
    <row r="126" customFormat="false" ht="17.15" hidden="false" customHeight="false" outlineLevel="0" collapsed="false">
      <c r="A126" s="0" t="s">
        <v>433</v>
      </c>
      <c r="B126" s="5" t="s">
        <v>434</v>
      </c>
      <c r="C126" s="0" t="s">
        <v>98</v>
      </c>
      <c r="D126" s="10" t="n">
        <v>0.05</v>
      </c>
      <c r="E126" s="12" t="n">
        <f aca="false">r_new</f>
        <v>0.058</v>
      </c>
      <c r="F126" s="10" t="n">
        <v>0.0811</v>
      </c>
      <c r="G126" s="8" t="s">
        <v>71</v>
      </c>
      <c r="H126" s="5" t="s">
        <v>435</v>
      </c>
      <c r="I126" s="5" t="s">
        <v>436</v>
      </c>
    </row>
    <row r="127" customFormat="false" ht="17.15" hidden="false" customHeight="false" outlineLevel="0" collapsed="false">
      <c r="A127" s="0" t="s">
        <v>437</v>
      </c>
      <c r="B127" s="0" t="s">
        <v>438</v>
      </c>
      <c r="C127" s="0" t="s">
        <v>278</v>
      </c>
      <c r="D127" s="10" t="n">
        <v>-0.01</v>
      </c>
      <c r="E127" s="10" t="n">
        <v>0</v>
      </c>
      <c r="F127" s="10" t="n">
        <v>0.01</v>
      </c>
      <c r="G127" s="8" t="s">
        <v>71</v>
      </c>
      <c r="H127" s="8" t="s">
        <v>439</v>
      </c>
      <c r="I127" s="8" t="s">
        <v>116</v>
      </c>
    </row>
    <row r="128" customFormat="false" ht="17.15" hidden="false" customHeight="false" outlineLevel="0" collapsed="false">
      <c r="A128" s="0" t="s">
        <v>440</v>
      </c>
      <c r="B128" s="5" t="s">
        <v>441</v>
      </c>
      <c r="C128" s="0" t="s">
        <v>278</v>
      </c>
      <c r="E128" s="10" t="n">
        <v>0</v>
      </c>
      <c r="F128" s="10" t="n">
        <v>0.05</v>
      </c>
      <c r="G128" s="8" t="s">
        <v>71</v>
      </c>
      <c r="H128" s="5" t="s">
        <v>442</v>
      </c>
      <c r="I128" s="8" t="s">
        <v>443</v>
      </c>
    </row>
    <row r="129" customFormat="false" ht="17.15" hidden="false" customHeight="false" outlineLevel="0" collapsed="false">
      <c r="A129" s="0" t="s">
        <v>444</v>
      </c>
      <c r="B129" s="5" t="s">
        <v>445</v>
      </c>
      <c r="C129" s="5" t="s">
        <v>446</v>
      </c>
      <c r="E129" s="14" t="n">
        <f aca="false">DATE(2026,8,31)</f>
        <v>46265</v>
      </c>
      <c r="G129" s="8" t="s">
        <v>29</v>
      </c>
      <c r="H129" s="8" t="s">
        <v>447</v>
      </c>
      <c r="I129" s="8" t="s">
        <v>116</v>
      </c>
    </row>
    <row r="130" customFormat="false" ht="17.15" hidden="false" customHeight="false" outlineLevel="0" collapsed="false">
      <c r="A130" s="0" t="s">
        <v>448</v>
      </c>
      <c r="B130" s="5" t="s">
        <v>449</v>
      </c>
      <c r="C130" s="5" t="s">
        <v>446</v>
      </c>
      <c r="E130" s="14" t="n">
        <f aca="false">DATE(2027,10,31)</f>
        <v>46691</v>
      </c>
      <c r="G130" s="8" t="s">
        <v>71</v>
      </c>
      <c r="H130" s="5" t="s">
        <v>450</v>
      </c>
      <c r="I130" s="8" t="s">
        <v>116</v>
      </c>
    </row>
    <row r="131" customFormat="false" ht="17.15" hidden="false" customHeight="false" outlineLevel="0" collapsed="false">
      <c r="A131" s="0" t="s">
        <v>451</v>
      </c>
      <c r="B131" s="0" t="s">
        <v>452</v>
      </c>
      <c r="C131" s="5" t="s">
        <v>446</v>
      </c>
      <c r="E131" s="14" t="n">
        <f aca="false">DATE(2028,5,31)</f>
        <v>46904</v>
      </c>
      <c r="G131" s="8" t="s">
        <v>29</v>
      </c>
      <c r="H131" s="5" t="s">
        <v>453</v>
      </c>
      <c r="I131" s="8" t="s">
        <v>116</v>
      </c>
    </row>
    <row r="132" customFormat="false" ht="17.15" hidden="false" customHeight="false" outlineLevel="0" collapsed="false">
      <c r="A132" s="0" t="s">
        <v>454</v>
      </c>
      <c r="B132" s="5" t="s">
        <v>455</v>
      </c>
      <c r="C132" s="0" t="s">
        <v>98</v>
      </c>
      <c r="D132" s="10" t="n">
        <v>0.02</v>
      </c>
      <c r="E132" s="10" t="n">
        <v>0.03</v>
      </c>
      <c r="F132" s="10" t="n">
        <v>0.04</v>
      </c>
      <c r="G132" s="8" t="s">
        <v>71</v>
      </c>
      <c r="H132" s="5" t="s">
        <v>456</v>
      </c>
      <c r="I132" s="8" t="s">
        <v>116</v>
      </c>
    </row>
    <row r="133" customFormat="false" ht="17.15" hidden="false" customHeight="false" outlineLevel="0" collapsed="false">
      <c r="A133" s="15" t="s">
        <v>457</v>
      </c>
      <c r="B133" s="16" t="s">
        <v>458</v>
      </c>
      <c r="C133" s="15" t="s">
        <v>98</v>
      </c>
      <c r="D133" s="17" t="n">
        <v>0.3</v>
      </c>
      <c r="E133" s="17" t="n">
        <v>0.5</v>
      </c>
      <c r="F133" s="17" t="n">
        <v>0.7</v>
      </c>
      <c r="G133" s="15" t="s">
        <v>71</v>
      </c>
      <c r="H133" s="16" t="s">
        <v>459</v>
      </c>
      <c r="I133" s="15" t="s">
        <v>460</v>
      </c>
    </row>
    <row r="134" customFormat="false" ht="17.15" hidden="false" customHeight="false" outlineLevel="0" collapsed="false">
      <c r="A134" s="15" t="s">
        <v>461</v>
      </c>
      <c r="B134" s="16" t="s">
        <v>462</v>
      </c>
      <c r="C134" s="15" t="s">
        <v>98</v>
      </c>
      <c r="D134" s="15"/>
      <c r="E134" s="17" t="n">
        <v>0.25</v>
      </c>
      <c r="F134" s="15"/>
      <c r="G134" s="15" t="s">
        <v>71</v>
      </c>
      <c r="H134" s="16" t="s">
        <v>463</v>
      </c>
      <c r="I134" s="15" t="s">
        <v>460</v>
      </c>
    </row>
    <row r="135" customFormat="false" ht="17.15" hidden="false" customHeight="false" outlineLevel="0" collapsed="false">
      <c r="A135" s="15" t="s">
        <v>464</v>
      </c>
      <c r="B135" s="16" t="s">
        <v>465</v>
      </c>
      <c r="C135" s="15" t="s">
        <v>98</v>
      </c>
      <c r="D135" s="15"/>
      <c r="E135" s="17" t="n">
        <v>0.5</v>
      </c>
      <c r="F135" s="15"/>
      <c r="G135" s="15" t="s">
        <v>71</v>
      </c>
      <c r="H135" s="16" t="s">
        <v>463</v>
      </c>
      <c r="I135" s="15" t="s">
        <v>460</v>
      </c>
    </row>
    <row r="136" customFormat="false" ht="17.15" hidden="false" customHeight="false" outlineLevel="0" collapsed="false">
      <c r="A136" s="15" t="s">
        <v>466</v>
      </c>
      <c r="B136" s="16" t="s">
        <v>467</v>
      </c>
      <c r="C136" s="15" t="s">
        <v>98</v>
      </c>
      <c r="D136" s="15"/>
      <c r="E136" s="17" t="n">
        <v>0.25</v>
      </c>
      <c r="F136" s="15"/>
      <c r="G136" s="15" t="s">
        <v>71</v>
      </c>
      <c r="H136" s="16" t="s">
        <v>463</v>
      </c>
      <c r="I136" s="15" t="s">
        <v>460</v>
      </c>
    </row>
    <row r="137" customFormat="false" ht="17.15" hidden="false" customHeight="false" outlineLevel="0" collapsed="false">
      <c r="A137" s="0" t="s">
        <v>468</v>
      </c>
      <c r="B137" s="0" t="s">
        <v>469</v>
      </c>
      <c r="C137" s="0" t="s">
        <v>202</v>
      </c>
      <c r="E137" s="7" t="n">
        <v>80.12</v>
      </c>
      <c r="G137" s="8" t="s">
        <v>35</v>
      </c>
      <c r="H137" s="8" t="s">
        <v>470</v>
      </c>
      <c r="I137" s="8" t="s">
        <v>116</v>
      </c>
    </row>
    <row r="138" customFormat="false" ht="17.15" hidden="false" customHeight="false" outlineLevel="0" collapsed="false">
      <c r="A138" s="0" t="s">
        <v>471</v>
      </c>
      <c r="B138" s="0" t="s">
        <v>472</v>
      </c>
      <c r="C138" s="0" t="s">
        <v>202</v>
      </c>
      <c r="E138" s="7" t="n">
        <v>16.656</v>
      </c>
      <c r="G138" s="8" t="s">
        <v>35</v>
      </c>
      <c r="H138" s="8" t="s">
        <v>473</v>
      </c>
      <c r="I138" s="8" t="s">
        <v>116</v>
      </c>
    </row>
    <row r="139" customFormat="false" ht="17.15" hidden="false" customHeight="false" outlineLevel="0" collapsed="false">
      <c r="A139" s="0" t="s">
        <v>474</v>
      </c>
      <c r="B139" s="0" t="s">
        <v>475</v>
      </c>
      <c r="C139" s="0" t="s">
        <v>202</v>
      </c>
      <c r="E139" s="7" t="n">
        <v>48.79</v>
      </c>
      <c r="G139" s="8" t="s">
        <v>35</v>
      </c>
      <c r="H139" s="8" t="s">
        <v>476</v>
      </c>
      <c r="I139" s="8" t="s">
        <v>116</v>
      </c>
    </row>
    <row r="140" customFormat="false" ht="17.15" hidden="false" customHeight="false" outlineLevel="0" collapsed="false">
      <c r="A140" s="0" t="s">
        <v>477</v>
      </c>
      <c r="B140" s="0" t="s">
        <v>478</v>
      </c>
      <c r="C140" s="0" t="s">
        <v>202</v>
      </c>
      <c r="E140" s="7" t="n">
        <v>6.194</v>
      </c>
      <c r="G140" s="8" t="s">
        <v>35</v>
      </c>
      <c r="H140" s="8" t="s">
        <v>479</v>
      </c>
      <c r="I140" s="8" t="s">
        <v>116</v>
      </c>
    </row>
    <row r="141" customFormat="false" ht="17.15" hidden="false" customHeight="false" outlineLevel="0" collapsed="false">
      <c r="A141" s="0" t="s">
        <v>480</v>
      </c>
      <c r="B141" s="0" t="s">
        <v>481</v>
      </c>
      <c r="C141" s="0" t="s">
        <v>92</v>
      </c>
      <c r="D141" s="9" t="n">
        <v>4.81</v>
      </c>
      <c r="E141" s="11" t="n">
        <f aca="false">MEDIAN(Val!D35:D36)</f>
        <v>6.34362814933233</v>
      </c>
      <c r="F141" s="9" t="n">
        <v>7.88</v>
      </c>
      <c r="G141" s="8" t="s">
        <v>40</v>
      </c>
      <c r="H141" s="8" t="s">
        <v>482</v>
      </c>
      <c r="I141" s="5" t="s">
        <v>483</v>
      </c>
    </row>
    <row r="142" customFormat="false" ht="17.15" hidden="false" customHeight="false" outlineLevel="0" collapsed="false">
      <c r="A142" s="0" t="s">
        <v>484</v>
      </c>
      <c r="B142" s="0" t="s">
        <v>485</v>
      </c>
      <c r="C142" s="0" t="s">
        <v>92</v>
      </c>
      <c r="E142" s="9" t="n">
        <v>15.59</v>
      </c>
      <c r="G142" s="8" t="s">
        <v>40</v>
      </c>
      <c r="H142" s="8" t="s">
        <v>486</v>
      </c>
      <c r="I142" s="8" t="s">
        <v>487</v>
      </c>
    </row>
    <row r="143" customFormat="false" ht="17.15" hidden="false" customHeight="false" outlineLevel="0" collapsed="false">
      <c r="A143" s="0" t="s">
        <v>488</v>
      </c>
      <c r="B143" s="0" t="s">
        <v>489</v>
      </c>
      <c r="C143" s="0" t="s">
        <v>92</v>
      </c>
      <c r="E143" s="9" t="n">
        <v>15.02</v>
      </c>
      <c r="G143" s="8" t="s">
        <v>40</v>
      </c>
      <c r="H143" s="8" t="s">
        <v>490</v>
      </c>
      <c r="I143" s="5" t="s">
        <v>123</v>
      </c>
    </row>
    <row r="144" customFormat="false" ht="17.15" hidden="false" customHeight="false" outlineLevel="0" collapsed="false">
      <c r="A144" s="0" t="s">
        <v>491</v>
      </c>
      <c r="B144" s="0" t="s">
        <v>492</v>
      </c>
      <c r="C144" s="0" t="s">
        <v>92</v>
      </c>
      <c r="E144" s="9" t="n">
        <v>10.8</v>
      </c>
      <c r="G144" s="8" t="s">
        <v>40</v>
      </c>
      <c r="H144" s="8" t="s">
        <v>493</v>
      </c>
      <c r="I144" s="5" t="s">
        <v>123</v>
      </c>
    </row>
    <row r="145" customFormat="false" ht="17.15" hidden="false" customHeight="false" outlineLevel="0" collapsed="false">
      <c r="A145" s="0" t="s">
        <v>494</v>
      </c>
      <c r="B145" s="0" t="s">
        <v>495</v>
      </c>
      <c r="C145" s="0" t="s">
        <v>92</v>
      </c>
      <c r="E145" s="9" t="n">
        <v>6.6</v>
      </c>
      <c r="G145" s="8" t="s">
        <v>40</v>
      </c>
      <c r="H145" s="8" t="s">
        <v>496</v>
      </c>
      <c r="I145" s="5" t="s">
        <v>123</v>
      </c>
    </row>
    <row r="146" customFormat="false" ht="17.15" hidden="false" customHeight="false" outlineLevel="0" collapsed="false">
      <c r="A146" s="0" t="s">
        <v>497</v>
      </c>
      <c r="B146" s="0" t="s">
        <v>498</v>
      </c>
      <c r="C146" s="0" t="s">
        <v>92</v>
      </c>
      <c r="E146" s="9" t="n">
        <v>20.65</v>
      </c>
      <c r="G146" s="8" t="s">
        <v>40</v>
      </c>
      <c r="H146" s="8" t="s">
        <v>499</v>
      </c>
      <c r="I146" s="5" t="s">
        <v>123</v>
      </c>
    </row>
    <row r="147" customFormat="false" ht="17.15" hidden="false" customHeight="false" outlineLevel="0" collapsed="false">
      <c r="A147" s="0" t="s">
        <v>500</v>
      </c>
      <c r="B147" s="5" t="s">
        <v>501</v>
      </c>
      <c r="C147" s="0" t="s">
        <v>92</v>
      </c>
      <c r="D147" s="9" t="n">
        <v>10.8</v>
      </c>
      <c r="E147" s="11" t="n">
        <f aca="false">MEDIAN(pm_msft,pm_sap,pm_crm,pm_adbe,pm_now)</f>
        <v>15.02</v>
      </c>
      <c r="F147" s="9" t="n">
        <v>15.59</v>
      </c>
      <c r="G147" s="8" t="s">
        <v>40</v>
      </c>
      <c r="H147" s="8" t="s">
        <v>502</v>
      </c>
      <c r="I147" s="5" t="s">
        <v>503</v>
      </c>
    </row>
    <row r="148" customFormat="false" ht="17.15" hidden="false" customHeight="false" outlineLevel="0" collapsed="false">
      <c r="A148" s="0" t="s">
        <v>504</v>
      </c>
      <c r="B148" s="5" t="s">
        <v>505</v>
      </c>
      <c r="C148" s="0" t="s">
        <v>92</v>
      </c>
      <c r="D148" s="9" t="n">
        <v>7.5</v>
      </c>
      <c r="E148" s="11" t="n">
        <f aca="false">MEDIAN(pm_crm,pm_adbe)</f>
        <v>8.7</v>
      </c>
      <c r="F148" s="9" t="n">
        <v>10.5</v>
      </c>
      <c r="G148" s="8" t="s">
        <v>40</v>
      </c>
      <c r="H148" s="5" t="s">
        <v>506</v>
      </c>
      <c r="I148" s="5" t="s">
        <v>507</v>
      </c>
    </row>
    <row r="149" customFormat="false" ht="17.15" hidden="false" customHeight="false" outlineLevel="0" collapsed="false">
      <c r="A149" s="0" t="s">
        <v>508</v>
      </c>
      <c r="B149" s="5" t="s">
        <v>509</v>
      </c>
      <c r="C149" s="0" t="s">
        <v>116</v>
      </c>
      <c r="E149" s="7" t="n">
        <v>0</v>
      </c>
      <c r="G149" s="8" t="s">
        <v>71</v>
      </c>
      <c r="H149" s="5" t="s">
        <v>510</v>
      </c>
      <c r="I149" s="8" t="s">
        <v>116</v>
      </c>
    </row>
    <row r="150" customFormat="false" ht="17.15" hidden="false" customHeight="false" outlineLevel="0" collapsed="false">
      <c r="A150" s="0" t="s">
        <v>511</v>
      </c>
      <c r="B150" s="5" t="s">
        <v>512</v>
      </c>
      <c r="C150" s="0" t="s">
        <v>98</v>
      </c>
      <c r="E150" s="10" t="n">
        <v>0.85</v>
      </c>
      <c r="G150" s="8" t="s">
        <v>71</v>
      </c>
      <c r="H150" s="5" t="s">
        <v>513</v>
      </c>
      <c r="I150" s="8" t="s">
        <v>116</v>
      </c>
    </row>
    <row r="151" customFormat="false" ht="17.15" hidden="false" customHeight="false" outlineLevel="0" collapsed="false">
      <c r="A151" s="0" t="s">
        <v>514</v>
      </c>
      <c r="B151" s="0" t="s">
        <v>515</v>
      </c>
      <c r="C151" s="0" t="s">
        <v>116</v>
      </c>
      <c r="E151" s="7" t="n">
        <v>0</v>
      </c>
      <c r="G151" s="8" t="s">
        <v>71</v>
      </c>
      <c r="H151" s="5" t="s">
        <v>516</v>
      </c>
      <c r="I151" s="5" t="s">
        <v>517</v>
      </c>
    </row>
    <row r="152" customFormat="false" ht="17.15" hidden="false" customHeight="false" outlineLevel="0" collapsed="false">
      <c r="A152" s="0" t="s">
        <v>518</v>
      </c>
      <c r="B152" s="5" t="s">
        <v>519</v>
      </c>
      <c r="C152" s="0" t="s">
        <v>92</v>
      </c>
      <c r="D152" s="9" t="n">
        <v>0.8</v>
      </c>
      <c r="E152" s="9" t="n">
        <v>1</v>
      </c>
      <c r="F152" s="9" t="n">
        <v>1.2</v>
      </c>
      <c r="G152" s="8" t="s">
        <v>71</v>
      </c>
      <c r="H152" s="5" t="s">
        <v>520</v>
      </c>
      <c r="I152" s="8" t="s">
        <v>116</v>
      </c>
    </row>
    <row r="153" customFormat="false" ht="17.15" hidden="false" customHeight="false" outlineLevel="0" collapsed="false">
      <c r="A153" s="1" t="s">
        <v>521</v>
      </c>
    </row>
    <row r="154" customFormat="false" ht="17.15" hidden="false" customHeight="false" outlineLevel="0" collapsed="false">
      <c r="A154" s="0" t="s">
        <v>522</v>
      </c>
      <c r="B154" s="5" t="s">
        <v>523</v>
      </c>
      <c r="C154" s="0" t="s">
        <v>28</v>
      </c>
      <c r="E154" s="7" t="n">
        <v>237.36</v>
      </c>
      <c r="G154" s="8" t="s">
        <v>35</v>
      </c>
      <c r="H154" s="8" t="s">
        <v>524</v>
      </c>
      <c r="I154" s="8" t="s">
        <v>525</v>
      </c>
    </row>
    <row r="155" customFormat="false" ht="17.15" hidden="false" customHeight="false" outlineLevel="0" collapsed="false">
      <c r="A155" s="0" t="s">
        <v>526</v>
      </c>
      <c r="B155" s="5" t="s">
        <v>527</v>
      </c>
      <c r="C155" s="0" t="s">
        <v>202</v>
      </c>
      <c r="E155" s="7" t="n">
        <v>90.423</v>
      </c>
      <c r="G155" s="8" t="s">
        <v>35</v>
      </c>
      <c r="H155" s="8" t="s">
        <v>528</v>
      </c>
      <c r="I155" s="8" t="s">
        <v>529</v>
      </c>
    </row>
    <row r="156" customFormat="false" ht="17.15" hidden="false" customHeight="false" outlineLevel="0" collapsed="false">
      <c r="A156" s="0" t="s">
        <v>530</v>
      </c>
      <c r="B156" s="5" t="s">
        <v>531</v>
      </c>
      <c r="C156" s="0" t="s">
        <v>202</v>
      </c>
      <c r="E156" s="7" t="n">
        <v>51.942</v>
      </c>
      <c r="G156" s="8" t="s">
        <v>35</v>
      </c>
      <c r="H156" s="5" t="s">
        <v>123</v>
      </c>
      <c r="I156" s="5" t="s">
        <v>532</v>
      </c>
    </row>
    <row r="157" customFormat="false" ht="17.15" hidden="false" customHeight="false" outlineLevel="0" collapsed="false">
      <c r="A157" s="0" t="s">
        <v>533</v>
      </c>
      <c r="B157" s="5" t="s">
        <v>534</v>
      </c>
      <c r="C157" s="0" t="s">
        <v>28</v>
      </c>
      <c r="E157" s="7" t="n">
        <v>6.643</v>
      </c>
      <c r="G157" s="8" t="s">
        <v>35</v>
      </c>
      <c r="H157" s="8" t="s">
        <v>535</v>
      </c>
      <c r="I157" s="5" t="s">
        <v>536</v>
      </c>
    </row>
    <row r="158" customFormat="false" ht="17.15" hidden="false" customHeight="false" outlineLevel="0" collapsed="false">
      <c r="A158" s="0" t="s">
        <v>537</v>
      </c>
      <c r="B158" s="5" t="s">
        <v>538</v>
      </c>
      <c r="C158" s="0" t="s">
        <v>202</v>
      </c>
      <c r="E158" s="7" t="n">
        <v>131.711</v>
      </c>
      <c r="G158" s="8" t="s">
        <v>35</v>
      </c>
      <c r="H158" s="8" t="s">
        <v>528</v>
      </c>
      <c r="I158" s="8" t="s">
        <v>529</v>
      </c>
    </row>
    <row r="159" customFormat="false" ht="17.15" hidden="false" customHeight="false" outlineLevel="0" collapsed="false">
      <c r="A159" s="0" t="s">
        <v>539</v>
      </c>
      <c r="B159" s="5" t="s">
        <v>540</v>
      </c>
      <c r="C159" s="0" t="s">
        <v>202</v>
      </c>
      <c r="E159" s="7" t="n">
        <v>74.642</v>
      </c>
      <c r="G159" s="8" t="s">
        <v>35</v>
      </c>
      <c r="H159" s="5" t="s">
        <v>123</v>
      </c>
      <c r="I159" s="5" t="s">
        <v>532</v>
      </c>
    </row>
    <row r="160" customFormat="false" ht="17.15" hidden="false" customHeight="false" outlineLevel="0" collapsed="false">
      <c r="A160" s="0" t="s">
        <v>541</v>
      </c>
      <c r="B160" s="5" t="s">
        <v>542</v>
      </c>
      <c r="C160" s="0" t="s">
        <v>28</v>
      </c>
      <c r="E160" s="7" t="n">
        <v>9.144</v>
      </c>
      <c r="G160" s="8" t="s">
        <v>35</v>
      </c>
      <c r="H160" s="8" t="s">
        <v>535</v>
      </c>
      <c r="I160" s="5" t="s">
        <v>536</v>
      </c>
    </row>
    <row r="161" customFormat="false" ht="17.15" hidden="false" customHeight="false" outlineLevel="0" collapsed="false">
      <c r="A161" s="0" t="s">
        <v>543</v>
      </c>
      <c r="B161" s="5" t="s">
        <v>544</v>
      </c>
      <c r="C161" s="0" t="s">
        <v>202</v>
      </c>
      <c r="E161" s="7" t="n">
        <v>183.655</v>
      </c>
      <c r="G161" s="8" t="s">
        <v>35</v>
      </c>
      <c r="H161" s="8" t="s">
        <v>528</v>
      </c>
      <c r="I161" s="5" t="s">
        <v>545</v>
      </c>
    </row>
    <row r="162" customFormat="false" ht="17.15" hidden="false" customHeight="false" outlineLevel="0" collapsed="false">
      <c r="A162" s="0" t="s">
        <v>546</v>
      </c>
      <c r="B162" s="5" t="s">
        <v>547</v>
      </c>
      <c r="C162" s="0" t="s">
        <v>202</v>
      </c>
      <c r="E162" s="7" t="n">
        <v>107.543</v>
      </c>
      <c r="G162" s="8" t="s">
        <v>35</v>
      </c>
      <c r="H162" s="5" t="s">
        <v>123</v>
      </c>
      <c r="I162" s="5" t="s">
        <v>532</v>
      </c>
    </row>
    <row r="163" customFormat="false" ht="17.15" hidden="false" customHeight="false" outlineLevel="0" collapsed="false">
      <c r="A163" s="0" t="s">
        <v>548</v>
      </c>
      <c r="B163" s="5" t="s">
        <v>549</v>
      </c>
      <c r="C163" s="0" t="s">
        <v>28</v>
      </c>
      <c r="E163" s="7" t="n">
        <v>13.43</v>
      </c>
      <c r="G163" s="8" t="s">
        <v>35</v>
      </c>
      <c r="H163" s="8" t="s">
        <v>535</v>
      </c>
      <c r="I163" s="8" t="s">
        <v>550</v>
      </c>
    </row>
    <row r="164" customFormat="false" ht="17.15" hidden="false" customHeight="false" outlineLevel="0" collapsed="false">
      <c r="A164" s="0" t="s">
        <v>551</v>
      </c>
      <c r="B164" s="5" t="s">
        <v>552</v>
      </c>
      <c r="C164" s="0" t="s">
        <v>202</v>
      </c>
      <c r="E164" s="7" t="n">
        <v>93.961</v>
      </c>
      <c r="G164" s="8" t="s">
        <v>35</v>
      </c>
      <c r="H164" s="8" t="s">
        <v>553</v>
      </c>
      <c r="I164" s="5" t="s">
        <v>545</v>
      </c>
    </row>
    <row r="165" customFormat="false" ht="17.15" hidden="false" customHeight="false" outlineLevel="0" collapsed="false">
      <c r="A165" s="0" t="s">
        <v>554</v>
      </c>
      <c r="B165" s="5" t="s">
        <v>555</v>
      </c>
      <c r="C165" s="0" t="s">
        <v>202</v>
      </c>
      <c r="E165" s="7" t="n">
        <v>-37.32</v>
      </c>
      <c r="G165" s="8" t="s">
        <v>35</v>
      </c>
      <c r="H165" s="5" t="s">
        <v>123</v>
      </c>
      <c r="I165" s="5" t="s">
        <v>545</v>
      </c>
    </row>
    <row r="166" customFormat="false" ht="17.15" hidden="false" customHeight="false" outlineLevel="0" collapsed="false">
      <c r="A166" s="0" t="s">
        <v>556</v>
      </c>
      <c r="B166" s="5" t="s">
        <v>557</v>
      </c>
      <c r="C166" s="0" t="s">
        <v>202</v>
      </c>
      <c r="E166" s="7" t="n">
        <v>100.962</v>
      </c>
      <c r="G166" s="8" t="s">
        <v>35</v>
      </c>
      <c r="H166" s="8" t="s">
        <v>553</v>
      </c>
      <c r="I166" s="5" t="s">
        <v>545</v>
      </c>
    </row>
    <row r="167" customFormat="false" ht="17.15" hidden="false" customHeight="false" outlineLevel="0" collapsed="false">
      <c r="A167" s="0" t="s">
        <v>558</v>
      </c>
      <c r="B167" s="5" t="s">
        <v>559</v>
      </c>
      <c r="C167" s="0" t="s">
        <v>202</v>
      </c>
      <c r="E167" s="7" t="n">
        <v>-32.56</v>
      </c>
      <c r="G167" s="8" t="s">
        <v>35</v>
      </c>
      <c r="H167" s="5" t="s">
        <v>123</v>
      </c>
      <c r="I167" s="5" t="s">
        <v>545</v>
      </c>
    </row>
    <row r="168" customFormat="false" ht="17.15" hidden="false" customHeight="false" outlineLevel="0" collapsed="false">
      <c r="A168" s="0" t="s">
        <v>560</v>
      </c>
      <c r="B168" s="5" t="s">
        <v>561</v>
      </c>
      <c r="C168" s="0" t="s">
        <v>202</v>
      </c>
      <c r="E168" s="7" t="n">
        <v>84.848</v>
      </c>
      <c r="G168" s="8" t="s">
        <v>35</v>
      </c>
      <c r="H168" s="8" t="s">
        <v>553</v>
      </c>
      <c r="I168" s="5" t="s">
        <v>545</v>
      </c>
    </row>
    <row r="169" customFormat="false" ht="17.15" hidden="false" customHeight="false" outlineLevel="0" collapsed="false">
      <c r="A169" s="0" t="s">
        <v>562</v>
      </c>
      <c r="B169" s="5" t="s">
        <v>563</v>
      </c>
      <c r="C169" s="0" t="s">
        <v>202</v>
      </c>
      <c r="E169" s="7" t="n">
        <v>6.154</v>
      </c>
      <c r="G169" s="8" t="s">
        <v>35</v>
      </c>
      <c r="H169" s="5" t="s">
        <v>123</v>
      </c>
      <c r="I169" s="5" t="s">
        <v>545</v>
      </c>
    </row>
    <row r="170" customFormat="false" ht="17.15" hidden="false" customHeight="false" outlineLevel="0" collapsed="false">
      <c r="A170" s="0" t="s">
        <v>564</v>
      </c>
      <c r="B170" s="5" t="s">
        <v>565</v>
      </c>
      <c r="C170" s="0" t="s">
        <v>202</v>
      </c>
      <c r="E170" s="7" t="n">
        <v>32</v>
      </c>
      <c r="G170" s="8" t="s">
        <v>35</v>
      </c>
      <c r="H170" s="8" t="s">
        <v>566</v>
      </c>
      <c r="I170" s="8" t="s">
        <v>116</v>
      </c>
    </row>
    <row r="171" customFormat="false" ht="17.15" hidden="false" customHeight="false" outlineLevel="0" collapsed="false">
      <c r="A171" s="0" t="s">
        <v>567</v>
      </c>
      <c r="B171" s="5" t="s">
        <v>568</v>
      </c>
      <c r="C171" s="0" t="s">
        <v>202</v>
      </c>
      <c r="E171" s="7" t="n">
        <v>73</v>
      </c>
      <c r="G171" s="8" t="s">
        <v>35</v>
      </c>
      <c r="H171" s="8" t="s">
        <v>566</v>
      </c>
      <c r="I171" s="8" t="s">
        <v>116</v>
      </c>
    </row>
    <row r="172" customFormat="false" ht="17.15" hidden="false" customHeight="false" outlineLevel="0" collapsed="false">
      <c r="A172" s="0" t="s">
        <v>569</v>
      </c>
      <c r="B172" s="5" t="s">
        <v>570</v>
      </c>
      <c r="C172" s="0" t="s">
        <v>202</v>
      </c>
      <c r="E172" s="7" t="n">
        <v>114</v>
      </c>
      <c r="G172" s="8" t="s">
        <v>35</v>
      </c>
      <c r="H172" s="8" t="s">
        <v>566</v>
      </c>
      <c r="I172" s="8" t="s">
        <v>116</v>
      </c>
    </row>
    <row r="173" customFormat="false" ht="17.15" hidden="false" customHeight="false" outlineLevel="0" collapsed="false">
      <c r="A173" s="0" t="s">
        <v>571</v>
      </c>
      <c r="B173" s="5" t="s">
        <v>572</v>
      </c>
      <c r="C173" s="0" t="s">
        <v>202</v>
      </c>
      <c r="E173" s="7" t="n">
        <v>144</v>
      </c>
      <c r="G173" s="8" t="s">
        <v>35</v>
      </c>
      <c r="H173" s="8" t="s">
        <v>566</v>
      </c>
      <c r="I173" s="8" t="s">
        <v>573</v>
      </c>
    </row>
    <row r="174" customFormat="false" ht="17.15" hidden="false" customHeight="false" outlineLevel="0" collapsed="false">
      <c r="A174" s="0" t="s">
        <v>574</v>
      </c>
      <c r="B174" s="5" t="s">
        <v>575</v>
      </c>
      <c r="C174" s="0" t="s">
        <v>202</v>
      </c>
      <c r="E174" s="7" t="n">
        <v>90</v>
      </c>
      <c r="G174" s="8" t="s">
        <v>35</v>
      </c>
      <c r="H174" s="8" t="s">
        <v>576</v>
      </c>
      <c r="I174" s="8" t="s">
        <v>116</v>
      </c>
    </row>
    <row r="175" customFormat="false" ht="17.15" hidden="false" customHeight="false" outlineLevel="0" collapsed="false">
      <c r="A175" s="0" t="s">
        <v>577</v>
      </c>
      <c r="B175" s="0" t="s">
        <v>578</v>
      </c>
      <c r="C175" s="0" t="s">
        <v>98</v>
      </c>
      <c r="E175" s="10" t="n">
        <v>0.37</v>
      </c>
      <c r="G175" s="8" t="s">
        <v>35</v>
      </c>
      <c r="H175" s="8" t="s">
        <v>579</v>
      </c>
      <c r="I175" s="8" t="s">
        <v>580</v>
      </c>
    </row>
    <row r="176" customFormat="false" ht="17.15" hidden="false" customHeight="false" outlineLevel="0" collapsed="false">
      <c r="A176" s="0" t="s">
        <v>581</v>
      </c>
      <c r="B176" s="5" t="s">
        <v>582</v>
      </c>
      <c r="C176" s="0" t="s">
        <v>202</v>
      </c>
      <c r="E176" s="7" t="n">
        <v>664</v>
      </c>
      <c r="G176" s="8" t="s">
        <v>35</v>
      </c>
      <c r="H176" s="8" t="s">
        <v>583</v>
      </c>
      <c r="I176" s="8" t="s">
        <v>584</v>
      </c>
    </row>
    <row r="177" customFormat="false" ht="17.15" hidden="false" customHeight="false" outlineLevel="0" collapsed="false">
      <c r="A177" s="0" t="s">
        <v>585</v>
      </c>
      <c r="B177" s="0" t="s">
        <v>586</v>
      </c>
      <c r="C177" s="0" t="s">
        <v>587</v>
      </c>
      <c r="E177" s="7" t="n">
        <v>60</v>
      </c>
      <c r="G177" s="8" t="s">
        <v>35</v>
      </c>
      <c r="H177" s="8" t="s">
        <v>588</v>
      </c>
      <c r="I177" s="5" t="s">
        <v>589</v>
      </c>
    </row>
    <row r="178" customFormat="false" ht="17.15" hidden="false" customHeight="false" outlineLevel="0" collapsed="false">
      <c r="A178" s="0" t="s">
        <v>590</v>
      </c>
      <c r="B178" s="0" t="s">
        <v>591</v>
      </c>
      <c r="C178" s="0" t="s">
        <v>28</v>
      </c>
      <c r="D178" s="7" t="n">
        <v>77.4</v>
      </c>
      <c r="E178" s="7" t="n">
        <v>84.2</v>
      </c>
      <c r="F178" s="7" t="n">
        <v>91.9</v>
      </c>
      <c r="G178" s="8" t="s">
        <v>40</v>
      </c>
      <c r="H178" s="8" t="s">
        <v>592</v>
      </c>
      <c r="I178" s="5" t="s">
        <v>593</v>
      </c>
    </row>
    <row r="180" customFormat="false" ht="17.15" hidden="false" customHeight="false" outlineLevel="0" collapsed="false">
      <c r="A180" s="1" t="s">
        <v>594</v>
      </c>
    </row>
    <row r="181" customFormat="false" ht="17.15" hidden="false" customHeight="false" outlineLevel="0" collapsed="false">
      <c r="A181" s="6" t="s">
        <v>16</v>
      </c>
      <c r="B181" s="6" t="s">
        <v>17</v>
      </c>
      <c r="C181" s="6" t="s">
        <v>18</v>
      </c>
      <c r="D181" s="6" t="s">
        <v>595</v>
      </c>
      <c r="E181" s="6" t="s">
        <v>596</v>
      </c>
      <c r="F181" s="6" t="s">
        <v>597</v>
      </c>
      <c r="G181" s="6" t="s">
        <v>22</v>
      </c>
      <c r="H181" s="6" t="s">
        <v>598</v>
      </c>
    </row>
    <row r="182" customFormat="false" ht="17.15" hidden="false" customHeight="false" outlineLevel="0" collapsed="false">
      <c r="A182" s="0" t="s">
        <v>599</v>
      </c>
      <c r="B182" s="5" t="s">
        <v>600</v>
      </c>
      <c r="C182" s="0" t="s">
        <v>59</v>
      </c>
      <c r="D182" s="18" t="n">
        <f aca="false">E12</f>
        <v>3333</v>
      </c>
      <c r="E182" s="18" t="n">
        <f aca="false">E15</f>
        <v>2833</v>
      </c>
      <c r="F182" s="18" t="n">
        <f aca="false">E18</f>
        <v>1000</v>
      </c>
      <c r="G182" s="8" t="s">
        <v>40</v>
      </c>
      <c r="H182" s="5" t="s">
        <v>601</v>
      </c>
    </row>
    <row r="183" customFormat="false" ht="17.15" hidden="false" customHeight="false" outlineLevel="0" collapsed="false">
      <c r="A183" s="0" t="s">
        <v>602</v>
      </c>
      <c r="B183" s="5" t="s">
        <v>603</v>
      </c>
      <c r="C183" s="0" t="s">
        <v>65</v>
      </c>
      <c r="D183" s="18" t="n">
        <f aca="false">E13</f>
        <v>8778</v>
      </c>
      <c r="E183" s="18" t="n">
        <f aca="false">E16</f>
        <v>8778</v>
      </c>
      <c r="F183" s="18" t="n">
        <f aca="false">E19</f>
        <v>6284</v>
      </c>
      <c r="G183" s="8" t="s">
        <v>40</v>
      </c>
      <c r="H183" s="5" t="s">
        <v>604</v>
      </c>
    </row>
    <row r="184" customFormat="false" ht="17.15" hidden="false" customHeight="false" outlineLevel="0" collapsed="false">
      <c r="A184" s="0" t="s">
        <v>605</v>
      </c>
      <c r="B184" s="5" t="s">
        <v>606</v>
      </c>
      <c r="C184" s="5" t="s">
        <v>70</v>
      </c>
      <c r="D184" s="19" t="n">
        <f aca="false">E14</f>
        <v>0</v>
      </c>
      <c r="E184" s="19" t="n">
        <f aca="false">E17</f>
        <v>3</v>
      </c>
      <c r="F184" s="19" t="n">
        <f aca="false">E20</f>
        <v>6</v>
      </c>
      <c r="G184" s="8" t="s">
        <v>40</v>
      </c>
      <c r="H184" s="5" t="s">
        <v>607</v>
      </c>
    </row>
    <row r="185" customFormat="false" ht="17.15" hidden="false" customHeight="false" outlineLevel="0" collapsed="false">
      <c r="A185" s="0" t="s">
        <v>608</v>
      </c>
      <c r="B185" s="5" t="s">
        <v>609</v>
      </c>
      <c r="C185" s="0" t="s">
        <v>98</v>
      </c>
      <c r="D185" s="20" t="n">
        <f aca="false">E134</f>
        <v>0.25</v>
      </c>
      <c r="E185" s="20" t="n">
        <f aca="false">E135</f>
        <v>0.5</v>
      </c>
      <c r="F185" s="20" t="n">
        <f aca="false">E136</f>
        <v>0.25</v>
      </c>
      <c r="G185" s="8" t="s">
        <v>40</v>
      </c>
      <c r="H185" s="5" t="s">
        <v>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2" min="2" style="0" width="12"/>
    <col collapsed="false" customWidth="true" hidden="false" outlineLevel="0" max="13" min="13" style="0" width="22"/>
    <col collapsed="false" customWidth="true" hidden="false" outlineLevel="0" max="15" min="14" style="0" width="60"/>
  </cols>
  <sheetData>
    <row r="1" customFormat="false" ht="17.15" hidden="false" customHeight="false" outlineLevel="0" collapsed="false">
      <c r="A1" s="0" t="s">
        <v>611</v>
      </c>
    </row>
    <row r="2" customFormat="false" ht="17.15" hidden="false" customHeight="false" outlineLevel="0" collapsed="false">
      <c r="A2" s="5" t="s">
        <v>612</v>
      </c>
    </row>
    <row r="3" customFormat="false" ht="17.15" hidden="false" customHeight="false" outlineLevel="0" collapsed="false">
      <c r="A3" s="6" t="s">
        <v>17</v>
      </c>
      <c r="B3" s="21" t="s">
        <v>613</v>
      </c>
      <c r="C3" s="21" t="s">
        <v>614</v>
      </c>
      <c r="D3" s="21" t="s">
        <v>615</v>
      </c>
      <c r="E3" s="21" t="s">
        <v>616</v>
      </c>
      <c r="F3" s="21" t="s">
        <v>617</v>
      </c>
      <c r="G3" s="21" t="s">
        <v>618</v>
      </c>
      <c r="H3" s="21" t="s">
        <v>619</v>
      </c>
      <c r="I3" s="21" t="s">
        <v>620</v>
      </c>
      <c r="J3" s="21" t="s">
        <v>621</v>
      </c>
      <c r="K3" s="21" t="s">
        <v>622</v>
      </c>
      <c r="L3" s="21" t="s">
        <v>623</v>
      </c>
      <c r="M3" s="6" t="s">
        <v>22</v>
      </c>
      <c r="N3" s="6" t="s">
        <v>624</v>
      </c>
      <c r="O3" s="6" t="s">
        <v>598</v>
      </c>
    </row>
    <row r="4" customFormat="false" ht="17.15" hidden="false" customHeight="false" outlineLevel="0" collapsed="false">
      <c r="A4" s="0" t="s">
        <v>625</v>
      </c>
      <c r="B4" s="22" t="n">
        <v>2.434</v>
      </c>
      <c r="C4" s="22" t="n">
        <v>2.652</v>
      </c>
      <c r="D4" s="22" t="n">
        <v>2.995</v>
      </c>
      <c r="E4" s="22" t="n">
        <v>3.347</v>
      </c>
      <c r="F4" s="22" t="n">
        <v>4.079</v>
      </c>
      <c r="G4" s="22" t="n">
        <v>4.888</v>
      </c>
      <c r="H4" s="22" t="n">
        <v>5.787</v>
      </c>
      <c r="I4" s="22" t="n">
        <v>7.388</v>
      </c>
      <c r="J4" s="22" t="n">
        <v>6.84</v>
      </c>
      <c r="K4" s="22" t="n">
        <v>10.234</v>
      </c>
      <c r="L4" s="22" t="n">
        <v>18.101</v>
      </c>
      <c r="M4" s="8" t="s">
        <v>626</v>
      </c>
      <c r="N4" s="5" t="s">
        <v>627</v>
      </c>
    </row>
    <row r="5" customFormat="false" ht="17.15" hidden="false" customHeight="false" outlineLevel="0" collapsed="false">
      <c r="A5" s="0" t="s">
        <v>628</v>
      </c>
      <c r="B5" s="22" t="n">
        <v>3.503</v>
      </c>
      <c r="C5" s="22" t="n">
        <v>3.558</v>
      </c>
      <c r="D5" s="22" t="n">
        <v>3.742</v>
      </c>
      <c r="E5" s="22" t="n">
        <v>3.839</v>
      </c>
      <c r="F5" s="22" t="n">
        <v>3.898</v>
      </c>
      <c r="G5" s="22" t="n">
        <v>4.026</v>
      </c>
      <c r="H5" s="22" t="n">
        <v>4.126</v>
      </c>
      <c r="I5" s="22" t="n">
        <v>4.219</v>
      </c>
      <c r="J5" s="22" t="n">
        <v>12.934</v>
      </c>
      <c r="K5" s="22" t="n">
        <v>14.272</v>
      </c>
      <c r="L5" s="22" t="n">
        <v>15.888</v>
      </c>
      <c r="M5" s="8" t="s">
        <v>626</v>
      </c>
      <c r="N5" s="5" t="s">
        <v>627</v>
      </c>
    </row>
    <row r="6" customFormat="false" ht="17.15" hidden="false" customHeight="false" outlineLevel="0" collapsed="false">
      <c r="A6" s="0" t="s">
        <v>629</v>
      </c>
      <c r="B6" s="22" t="n">
        <v>1.195</v>
      </c>
      <c r="C6" s="22" t="n">
        <v>1.129</v>
      </c>
      <c r="D6" s="22" t="n">
        <v>2.007</v>
      </c>
      <c r="E6" s="22" t="n">
        <v>0.766</v>
      </c>
      <c r="F6" s="22" t="n">
        <v>0.939</v>
      </c>
      <c r="G6" s="22" t="n">
        <v>1.15</v>
      </c>
      <c r="H6" s="22" t="n">
        <v>1.881</v>
      </c>
      <c r="I6" s="22" t="n">
        <v>0.655</v>
      </c>
      <c r="J6" s="22" t="n">
        <v>5.081</v>
      </c>
      <c r="K6" s="22" t="n">
        <v>5.201</v>
      </c>
      <c r="L6" s="22" t="n">
        <v>4.737</v>
      </c>
      <c r="M6" s="8" t="s">
        <v>626</v>
      </c>
      <c r="N6" s="5" t="s">
        <v>627</v>
      </c>
    </row>
    <row r="7" customFormat="false" ht="17.15" hidden="false" customHeight="false" outlineLevel="0" collapsed="false">
      <c r="A7" s="0" t="s">
        <v>630</v>
      </c>
      <c r="B7" s="22" t="n">
        <v>4.869</v>
      </c>
      <c r="C7" s="22" t="n">
        <v>4.797</v>
      </c>
      <c r="D7" s="22" t="n">
        <v>4.961</v>
      </c>
      <c r="E7" s="22" t="n">
        <v>4.955</v>
      </c>
      <c r="F7" s="22" t="n">
        <v>4.938</v>
      </c>
      <c r="G7" s="22" t="n">
        <v>4.969</v>
      </c>
      <c r="H7" s="22" t="n">
        <v>4.943</v>
      </c>
      <c r="I7" s="22" t="n">
        <v>4.895</v>
      </c>
      <c r="J7" s="22" t="n">
        <v>19.609</v>
      </c>
      <c r="K7" s="22" t="n">
        <v>19.523</v>
      </c>
      <c r="L7" s="22" t="n">
        <v>19.804</v>
      </c>
      <c r="M7" s="8" t="s">
        <v>626</v>
      </c>
      <c r="N7" s="5" t="s">
        <v>627</v>
      </c>
    </row>
    <row r="8" customFormat="false" ht="17.15" hidden="false" customHeight="false" outlineLevel="0" collapsed="false">
      <c r="A8" s="0" t="s">
        <v>631</v>
      </c>
      <c r="B8" s="22" t="n">
        <v>0.728</v>
      </c>
      <c r="C8" s="22" t="n">
        <v>0.703</v>
      </c>
      <c r="D8" s="22" t="n">
        <v>0.85</v>
      </c>
      <c r="E8" s="22" t="n">
        <v>0.67</v>
      </c>
      <c r="F8" s="22" t="n">
        <v>0.776</v>
      </c>
      <c r="G8" s="22" t="n">
        <v>0.714</v>
      </c>
      <c r="H8" s="22" t="n">
        <v>0.924</v>
      </c>
      <c r="I8" s="22" t="n">
        <v>0.774</v>
      </c>
      <c r="J8" s="22" t="n">
        <v>3.066</v>
      </c>
      <c r="K8" s="22" t="n">
        <v>2.936</v>
      </c>
      <c r="L8" s="22" t="n">
        <v>3.084</v>
      </c>
      <c r="M8" s="8" t="s">
        <v>626</v>
      </c>
      <c r="N8" s="5" t="s">
        <v>627</v>
      </c>
    </row>
    <row r="9" customFormat="false" ht="17.15" hidden="false" customHeight="false" outlineLevel="0" collapsed="false">
      <c r="A9" s="0" t="s">
        <v>632</v>
      </c>
      <c r="B9" s="22" t="n">
        <v>1.33</v>
      </c>
      <c r="C9" s="22" t="n">
        <v>1.291</v>
      </c>
      <c r="D9" s="22" t="n">
        <v>1.348</v>
      </c>
      <c r="E9" s="22" t="n">
        <v>1.349</v>
      </c>
      <c r="F9" s="22" t="n">
        <v>1.428</v>
      </c>
      <c r="G9" s="22" t="n">
        <v>1.443</v>
      </c>
      <c r="H9" s="22" t="n">
        <v>1.523</v>
      </c>
      <c r="I9" s="22" t="n">
        <v>1.414</v>
      </c>
      <c r="J9" s="22" t="n">
        <v>5.431</v>
      </c>
      <c r="K9" s="22" t="n">
        <v>5.233</v>
      </c>
      <c r="L9" s="22" t="n">
        <v>5.743</v>
      </c>
      <c r="M9" s="8" t="s">
        <v>626</v>
      </c>
      <c r="N9" s="5" t="s">
        <v>627</v>
      </c>
    </row>
    <row r="10" customFormat="false" ht="17.15" hidden="false" customHeight="false" outlineLevel="0" collapsed="false">
      <c r="A10" s="5" t="s">
        <v>633</v>
      </c>
      <c r="B10" s="22" t="n">
        <v>14.059</v>
      </c>
      <c r="C10" s="22" t="n">
        <v>14.13</v>
      </c>
      <c r="D10" s="22" t="n">
        <v>15.903</v>
      </c>
      <c r="E10" s="22" t="n">
        <v>14.926</v>
      </c>
      <c r="F10" s="22" t="n">
        <v>16.058</v>
      </c>
      <c r="G10" s="22" t="n">
        <v>17.19</v>
      </c>
      <c r="H10" s="22" t="n">
        <v>19.184</v>
      </c>
      <c r="I10" s="22" t="n">
        <v>19.345</v>
      </c>
      <c r="J10" s="22" t="n">
        <v>52.961</v>
      </c>
      <c r="K10" s="22" t="n">
        <v>57.399</v>
      </c>
      <c r="L10" s="22" t="n">
        <v>67.357</v>
      </c>
      <c r="M10" s="8" t="s">
        <v>626</v>
      </c>
      <c r="N10" s="5" t="s">
        <v>627</v>
      </c>
    </row>
    <row r="11" customFormat="false" ht="17.15" hidden="false" customHeight="false" outlineLevel="0" collapsed="false">
      <c r="A11" s="5" t="s">
        <v>634</v>
      </c>
      <c r="B11" s="13" t="n">
        <f aca="false">SUM(B4:B7)</f>
        <v>12.001</v>
      </c>
      <c r="C11" s="13" t="n">
        <f aca="false">SUM(C4:C7)</f>
        <v>12.136</v>
      </c>
      <c r="D11" s="13" t="n">
        <f aca="false">SUM(D4:D7)</f>
        <v>13.705</v>
      </c>
      <c r="E11" s="13" t="n">
        <f aca="false">SUM(E4:E7)</f>
        <v>12.907</v>
      </c>
      <c r="F11" s="13" t="n">
        <f aca="false">SUM(F4:F7)</f>
        <v>13.854</v>
      </c>
      <c r="G11" s="13" t="n">
        <f aca="false">SUM(G4:G7)</f>
        <v>15.033</v>
      </c>
      <c r="H11" s="13" t="n">
        <f aca="false">SUM(H4:H7)</f>
        <v>16.737</v>
      </c>
      <c r="I11" s="13" t="n">
        <f aca="false">SUM(I4:I7)</f>
        <v>17.157</v>
      </c>
      <c r="J11" s="13" t="n">
        <f aca="false">SUM(J4:J7)</f>
        <v>44.464</v>
      </c>
      <c r="K11" s="13" t="n">
        <f aca="false">SUM(K4:K7)</f>
        <v>49.23</v>
      </c>
      <c r="L11" s="13" t="n">
        <f aca="false">SUM(L4:L7)</f>
        <v>58.53</v>
      </c>
      <c r="M11" s="8" t="s">
        <v>40</v>
      </c>
      <c r="N11" s="8" t="s">
        <v>635</v>
      </c>
      <c r="O11" s="8" t="s">
        <v>636</v>
      </c>
    </row>
    <row r="12" customFormat="false" ht="17.15" hidden="false" customHeight="false" outlineLevel="0" collapsed="false">
      <c r="A12" s="5" t="s">
        <v>637</v>
      </c>
      <c r="B12" s="13" t="n">
        <f aca="false">B8</f>
        <v>0.728</v>
      </c>
      <c r="C12" s="13" t="n">
        <f aca="false">C8</f>
        <v>0.703</v>
      </c>
      <c r="D12" s="13" t="n">
        <f aca="false">D8</f>
        <v>0.85</v>
      </c>
      <c r="E12" s="13" t="n">
        <f aca="false">E8</f>
        <v>0.67</v>
      </c>
      <c r="F12" s="13" t="n">
        <f aca="false">F8</f>
        <v>0.776</v>
      </c>
      <c r="G12" s="13" t="n">
        <f aca="false">G8</f>
        <v>0.714</v>
      </c>
      <c r="H12" s="13" t="n">
        <f aca="false">H8</f>
        <v>0.924</v>
      </c>
      <c r="I12" s="13" t="n">
        <f aca="false">I8</f>
        <v>0.774</v>
      </c>
      <c r="J12" s="13" t="n">
        <f aca="false">J8</f>
        <v>3.066</v>
      </c>
      <c r="K12" s="13" t="n">
        <f aca="false">K8</f>
        <v>2.936</v>
      </c>
      <c r="L12" s="13" t="n">
        <f aca="false">L8</f>
        <v>3.084</v>
      </c>
      <c r="M12" s="8" t="s">
        <v>40</v>
      </c>
      <c r="N12" s="8" t="s">
        <v>638</v>
      </c>
    </row>
    <row r="13" customFormat="false" ht="17.15" hidden="false" customHeight="false" outlineLevel="0" collapsed="false">
      <c r="A13" s="5" t="s">
        <v>639</v>
      </c>
      <c r="B13" s="13" t="n">
        <f aca="false">B9</f>
        <v>1.33</v>
      </c>
      <c r="C13" s="13" t="n">
        <f aca="false">C9</f>
        <v>1.291</v>
      </c>
      <c r="D13" s="13" t="n">
        <f aca="false">D9</f>
        <v>1.348</v>
      </c>
      <c r="E13" s="13" t="n">
        <f aca="false">E9</f>
        <v>1.349</v>
      </c>
      <c r="F13" s="13" t="n">
        <f aca="false">F9</f>
        <v>1.428</v>
      </c>
      <c r="G13" s="13" t="n">
        <f aca="false">G9</f>
        <v>1.443</v>
      </c>
      <c r="H13" s="13" t="n">
        <f aca="false">H9</f>
        <v>1.523</v>
      </c>
      <c r="I13" s="13" t="n">
        <f aca="false">I9</f>
        <v>1.414</v>
      </c>
      <c r="J13" s="13" t="n">
        <f aca="false">J9</f>
        <v>5.431</v>
      </c>
      <c r="K13" s="13" t="n">
        <f aca="false">K9</f>
        <v>5.233</v>
      </c>
      <c r="L13" s="13" t="n">
        <f aca="false">L9</f>
        <v>5.743</v>
      </c>
      <c r="M13" s="8" t="s">
        <v>40</v>
      </c>
      <c r="N13" s="8" t="s">
        <v>638</v>
      </c>
    </row>
    <row r="14" customFormat="false" ht="17.15" hidden="false" customHeight="false" outlineLevel="0" collapsed="false">
      <c r="A14" s="5" t="s">
        <v>640</v>
      </c>
      <c r="B14" s="13" t="n">
        <f aca="false">SUM(B4:B9)-B10</f>
        <v>0</v>
      </c>
      <c r="C14" s="13" t="n">
        <f aca="false">SUM(C4:C9)-C10</f>
        <v>0</v>
      </c>
      <c r="D14" s="13" t="n">
        <f aca="false">SUM(D4:D9)-D10</f>
        <v>0</v>
      </c>
      <c r="E14" s="13" t="n">
        <f aca="false">SUM(E4:E9)-E10</f>
        <v>0</v>
      </c>
      <c r="F14" s="13" t="n">
        <f aca="false">SUM(F4:F9)-F10</f>
        <v>0</v>
      </c>
      <c r="G14" s="13" t="n">
        <f aca="false">SUM(G4:G9)-G10</f>
        <v>0</v>
      </c>
      <c r="H14" s="13" t="n">
        <f aca="false">SUM(H4:H9)-H10</f>
        <v>0</v>
      </c>
      <c r="I14" s="13" t="n">
        <f aca="false">SUM(I4:I9)-I10</f>
        <v>0</v>
      </c>
      <c r="J14" s="13" t="n">
        <f aca="false">SUM(J4:J9)-J10</f>
        <v>0</v>
      </c>
      <c r="K14" s="13" t="n">
        <f aca="false">SUM(K4:K9)-K10</f>
        <v>0</v>
      </c>
      <c r="L14" s="13" t="n">
        <f aca="false">SUM(L4:L9)-L10</f>
        <v>0</v>
      </c>
      <c r="M14" s="8" t="s">
        <v>116</v>
      </c>
      <c r="N14" s="8" t="s">
        <v>116</v>
      </c>
    </row>
    <row r="15" customFormat="false" ht="17.15" hidden="false" customHeight="false" outlineLevel="0" collapsed="false">
      <c r="A15" s="5" t="s">
        <v>641</v>
      </c>
      <c r="B15" s="13" t="n">
        <f aca="false">SUM(B11:B13)-B10</f>
        <v>0</v>
      </c>
      <c r="C15" s="13" t="n">
        <f aca="false">SUM(C11:C13)-C10</f>
        <v>0</v>
      </c>
      <c r="D15" s="13" t="n">
        <f aca="false">SUM(D11:D13)-D10</f>
        <v>0</v>
      </c>
      <c r="E15" s="13" t="n">
        <f aca="false">SUM(E11:E13)-E10</f>
        <v>0</v>
      </c>
      <c r="F15" s="13" t="n">
        <f aca="false">SUM(F11:F13)-F10</f>
        <v>0</v>
      </c>
      <c r="G15" s="13" t="n">
        <f aca="false">SUM(G11:G13)-G10</f>
        <v>0</v>
      </c>
      <c r="H15" s="13" t="n">
        <f aca="false">SUM(H11:H13)-H10</f>
        <v>0</v>
      </c>
      <c r="I15" s="13" t="n">
        <f aca="false">SUM(I11:I13)-I10</f>
        <v>0</v>
      </c>
      <c r="J15" s="13" t="n">
        <f aca="false">SUM(J11:J13)-J10</f>
        <v>0</v>
      </c>
      <c r="K15" s="13" t="n">
        <f aca="false">SUM(K11:K13)-K10</f>
        <v>0</v>
      </c>
      <c r="L15" s="13" t="n">
        <f aca="false">SUM(L11:L13)-L10</f>
        <v>0</v>
      </c>
      <c r="M15" s="8" t="s">
        <v>116</v>
      </c>
      <c r="N15" s="8" t="s">
        <v>116</v>
      </c>
    </row>
    <row r="16" customFormat="false" ht="17.15" hidden="false" customHeight="false" outlineLevel="0" collapsed="false">
      <c r="A16" s="5" t="s">
        <v>642</v>
      </c>
      <c r="E16" s="22" t="n">
        <v>7.691</v>
      </c>
      <c r="I16" s="22" t="n">
        <v>9.358</v>
      </c>
      <c r="J16" s="22" t="n">
        <v>28.514</v>
      </c>
      <c r="K16" s="22" t="n">
        <v>30.93</v>
      </c>
      <c r="L16" s="22" t="n">
        <v>34.468</v>
      </c>
      <c r="M16" s="8" t="s">
        <v>626</v>
      </c>
      <c r="N16" s="8" t="s">
        <v>643</v>
      </c>
      <c r="O16" s="5" t="s">
        <v>644</v>
      </c>
    </row>
    <row r="17" customFormat="false" ht="17.15" hidden="false" customHeight="false" outlineLevel="0" collapsed="false">
      <c r="A17" s="5" t="s">
        <v>645</v>
      </c>
      <c r="I17" s="22" t="n">
        <v>0.452</v>
      </c>
      <c r="J17" s="22" t="n">
        <v>1.915</v>
      </c>
      <c r="K17" s="22" t="n">
        <v>1.918</v>
      </c>
      <c r="L17" s="22" t="n">
        <v>2.017</v>
      </c>
      <c r="M17" s="8" t="s">
        <v>626</v>
      </c>
      <c r="N17" s="8" t="s">
        <v>643</v>
      </c>
      <c r="O17" s="5" t="s">
        <v>646</v>
      </c>
    </row>
    <row r="18" customFormat="false" ht="17.15" hidden="false" customHeight="false" outlineLevel="0" collapsed="false">
      <c r="A18" s="5" t="s">
        <v>647</v>
      </c>
      <c r="I18" s="22" t="n">
        <v>0.445</v>
      </c>
      <c r="J18" s="22" t="n">
        <v>0.916</v>
      </c>
      <c r="K18" s="22" t="n">
        <v>0.993</v>
      </c>
      <c r="L18" s="22" t="n">
        <v>1.533</v>
      </c>
      <c r="M18" s="8" t="s">
        <v>626</v>
      </c>
      <c r="N18" s="8" t="s">
        <v>643</v>
      </c>
      <c r="O18" s="5" t="s">
        <v>646</v>
      </c>
    </row>
    <row r="19" customFormat="false" ht="15" hidden="false" customHeight="false" outlineLevel="0" collapsed="false">
      <c r="A19" s="5" t="s">
        <v>648</v>
      </c>
      <c r="I19" s="13" t="n">
        <f aca="false">SUM(I16:I18)</f>
        <v>10.255</v>
      </c>
      <c r="J19" s="13" t="n">
        <f aca="false">SUM(J16:J18)</f>
        <v>31.345</v>
      </c>
      <c r="K19" s="13" t="n">
        <f aca="false">SUM(K16:K18)</f>
        <v>33.841</v>
      </c>
      <c r="L19" s="13" t="n">
        <f aca="false">SUM(L16:L18)</f>
        <v>38.018</v>
      </c>
      <c r="M19" s="8" t="s">
        <v>40</v>
      </c>
      <c r="N19" s="8" t="s">
        <v>116</v>
      </c>
    </row>
    <row r="20" customFormat="false" ht="17.15" hidden="false" customHeight="false" outlineLevel="0" collapsed="false">
      <c r="A20" s="5" t="s">
        <v>649</v>
      </c>
      <c r="I20" s="13" t="n">
        <f aca="false">I19-I21</f>
        <v>3.527</v>
      </c>
      <c r="J20" s="13" t="n">
        <f aca="false">J19-J21</f>
        <v>15.992</v>
      </c>
      <c r="K20" s="13" t="n">
        <f aca="false">K19-K21</f>
        <v>16.163</v>
      </c>
      <c r="L20" s="13" t="n">
        <f aca="false">L19-L21</f>
        <v>17.412</v>
      </c>
      <c r="M20" s="8" t="s">
        <v>40</v>
      </c>
      <c r="N20" s="8" t="s">
        <v>116</v>
      </c>
      <c r="O20" s="5" t="s">
        <v>650</v>
      </c>
    </row>
    <row r="21" customFormat="false" ht="17.15" hidden="false" customHeight="false" outlineLevel="0" collapsed="false">
      <c r="A21" s="5" t="s">
        <v>651</v>
      </c>
      <c r="B21" s="22" t="n">
        <v>4.22</v>
      </c>
      <c r="C21" s="22" t="n">
        <v>4.358</v>
      </c>
      <c r="D21" s="22" t="n">
        <v>5.109</v>
      </c>
      <c r="E21" s="22" t="n">
        <v>4.277</v>
      </c>
      <c r="F21" s="22" t="n">
        <v>4.731</v>
      </c>
      <c r="G21" s="22" t="n">
        <v>5.464</v>
      </c>
      <c r="H21" s="22" t="n">
        <v>6.133</v>
      </c>
      <c r="I21" s="22" t="n">
        <v>6.728</v>
      </c>
      <c r="J21" s="22" t="n">
        <v>15.353</v>
      </c>
      <c r="K21" s="22" t="n">
        <v>17.678</v>
      </c>
      <c r="L21" s="22" t="n">
        <v>20.606</v>
      </c>
      <c r="M21" s="8" t="s">
        <v>626</v>
      </c>
      <c r="N21" s="5" t="s">
        <v>627</v>
      </c>
    </row>
    <row r="22" customFormat="false" ht="17.15" hidden="false" customHeight="false" outlineLevel="0" collapsed="false">
      <c r="A22" s="5" t="s">
        <v>652</v>
      </c>
      <c r="L22" s="13" t="n">
        <f aca="false">L19-L51</f>
        <v>0</v>
      </c>
      <c r="M22" s="8" t="s">
        <v>116</v>
      </c>
      <c r="N22" s="8" t="s">
        <v>638</v>
      </c>
    </row>
    <row r="23" customFormat="false" ht="17.15" hidden="false" customHeight="false" outlineLevel="0" collapsed="false">
      <c r="A23" s="5" t="s">
        <v>653</v>
      </c>
      <c r="B23" s="22" t="n">
        <v>6.096</v>
      </c>
      <c r="C23" s="22" t="n">
        <v>6.195</v>
      </c>
      <c r="D23" s="22" t="n">
        <v>7.035</v>
      </c>
      <c r="E23" s="22" t="n">
        <v>6.236</v>
      </c>
      <c r="F23" s="22" t="n">
        <v>6.721</v>
      </c>
      <c r="G23" s="22" t="n">
        <v>7.378</v>
      </c>
      <c r="H23" s="22" t="n">
        <v>8.59</v>
      </c>
      <c r="I23" s="22" t="n">
        <v>8.151</v>
      </c>
      <c r="K23" s="22" t="n">
        <v>25.033</v>
      </c>
      <c r="L23" s="22" t="n">
        <v>28.926</v>
      </c>
      <c r="M23" s="8" t="s">
        <v>35</v>
      </c>
      <c r="N23" s="5" t="s">
        <v>627</v>
      </c>
    </row>
    <row r="24" customFormat="false" ht="17.15" hidden="false" customHeight="false" outlineLevel="0" collapsed="false">
      <c r="A24" s="5" t="s">
        <v>654</v>
      </c>
      <c r="B24" s="22" t="n">
        <v>1.499</v>
      </c>
      <c r="C24" s="22" t="n">
        <v>1.551</v>
      </c>
      <c r="D24" s="22" t="n">
        <v>1.696</v>
      </c>
      <c r="E24" s="22" t="n">
        <v>1.771</v>
      </c>
      <c r="F24" s="22" t="n">
        <v>2.11</v>
      </c>
      <c r="G24" s="22" t="n">
        <v>2.566</v>
      </c>
      <c r="H24" s="22" t="n">
        <v>2.847</v>
      </c>
      <c r="I24" s="22" t="n">
        <v>3.358</v>
      </c>
      <c r="J24" s="22" t="n">
        <v>6.139</v>
      </c>
      <c r="K24" s="22" t="n">
        <v>6.174</v>
      </c>
      <c r="L24" s="22" t="n">
        <v>9.294</v>
      </c>
      <c r="M24" s="8" t="s">
        <v>626</v>
      </c>
      <c r="N24" s="5" t="s">
        <v>627</v>
      </c>
    </row>
    <row r="25" customFormat="false" ht="17.15" hidden="false" customHeight="false" outlineLevel="0" collapsed="false">
      <c r="A25" s="5" t="s">
        <v>655</v>
      </c>
      <c r="B25" s="22" t="n">
        <v>1.17</v>
      </c>
      <c r="C25" s="22" t="n">
        <v>1.198</v>
      </c>
      <c r="D25" s="22" t="n">
        <v>1.3</v>
      </c>
      <c r="E25" s="22" t="n">
        <v>1.124</v>
      </c>
      <c r="F25" s="22" t="n">
        <v>1.156</v>
      </c>
      <c r="G25" s="22" t="n">
        <v>1.328</v>
      </c>
      <c r="H25" s="22" t="n">
        <v>1.203</v>
      </c>
      <c r="I25" s="22" t="n">
        <v>1.127</v>
      </c>
      <c r="J25" s="22" t="n">
        <v>3.974</v>
      </c>
      <c r="K25" s="22" t="n">
        <v>4.674</v>
      </c>
      <c r="L25" s="22" t="n">
        <v>4.811</v>
      </c>
      <c r="M25" s="8" t="s">
        <v>626</v>
      </c>
      <c r="N25" s="5" t="s">
        <v>627</v>
      </c>
    </row>
    <row r="26" customFormat="false" ht="17.15" hidden="false" customHeight="false" outlineLevel="0" collapsed="false">
      <c r="A26" s="5" t="s">
        <v>656</v>
      </c>
      <c r="B26" s="22" t="n">
        <v>0.866</v>
      </c>
      <c r="C26" s="22" t="n">
        <v>0.892</v>
      </c>
      <c r="D26" s="22" t="n">
        <v>0.978</v>
      </c>
      <c r="E26" s="22" t="n">
        <v>0.923</v>
      </c>
      <c r="F26" s="22" t="n">
        <v>1.057</v>
      </c>
      <c r="G26" s="22" t="n">
        <v>1.18</v>
      </c>
      <c r="H26" s="22" t="n">
        <v>1.438</v>
      </c>
      <c r="I26" s="22" t="n">
        <v>1.428</v>
      </c>
      <c r="J26" s="22" t="n">
        <v>3.514</v>
      </c>
      <c r="K26" s="22" t="n">
        <v>3.578</v>
      </c>
      <c r="L26" s="22" t="n">
        <v>4.599</v>
      </c>
      <c r="M26" s="8" t="s">
        <v>626</v>
      </c>
      <c r="N26" s="5" t="s">
        <v>627</v>
      </c>
    </row>
    <row r="27" customFormat="false" ht="17.15" hidden="false" customHeight="false" outlineLevel="0" collapsed="false">
      <c r="A27" s="5" t="s">
        <v>657</v>
      </c>
      <c r="B27" s="22" t="n">
        <v>3.151</v>
      </c>
      <c r="C27" s="22" t="n">
        <v>2.936</v>
      </c>
      <c r="D27" s="22" t="n">
        <v>3.427</v>
      </c>
      <c r="E27" s="22" t="n">
        <v>2.927</v>
      </c>
      <c r="F27" s="22" t="n">
        <v>6.135</v>
      </c>
      <c r="G27" s="22" t="n">
        <v>3.721</v>
      </c>
      <c r="H27" s="22" t="n">
        <v>4.304</v>
      </c>
      <c r="I27" s="22" t="n">
        <v>4.76</v>
      </c>
      <c r="J27" s="22" t="n">
        <v>10.467</v>
      </c>
      <c r="K27" s="22" t="n">
        <v>12.443</v>
      </c>
      <c r="L27" s="22" t="n">
        <v>17.087</v>
      </c>
      <c r="M27" s="8" t="s">
        <v>626</v>
      </c>
      <c r="N27" s="5" t="s">
        <v>627</v>
      </c>
    </row>
    <row r="28" customFormat="false" ht="17.15" hidden="false" customHeight="false" outlineLevel="0" collapsed="false">
      <c r="A28" s="5" t="s">
        <v>658</v>
      </c>
      <c r="B28" s="22" t="n">
        <v>1.304</v>
      </c>
      <c r="C28" s="22" t="n">
        <v>5.933</v>
      </c>
      <c r="D28" s="22" t="n">
        <v>6.157</v>
      </c>
      <c r="E28" s="22" t="n">
        <v>8.14</v>
      </c>
      <c r="F28" s="22" t="n">
        <v>2.066</v>
      </c>
      <c r="G28" s="22" t="n">
        <v>7.151</v>
      </c>
      <c r="H28" s="22" t="n">
        <v>14.62</v>
      </c>
      <c r="I28" s="22" t="n">
        <v>23.103</v>
      </c>
      <c r="J28" s="22" t="n">
        <v>18.673</v>
      </c>
      <c r="K28" s="22" t="n">
        <v>20.821</v>
      </c>
      <c r="L28" s="22" t="n">
        <v>31.977</v>
      </c>
      <c r="M28" s="8" t="s">
        <v>626</v>
      </c>
      <c r="N28" s="5" t="s">
        <v>627</v>
      </c>
    </row>
    <row r="29" customFormat="false" ht="17.15" hidden="false" customHeight="false" outlineLevel="0" collapsed="false">
      <c r="A29" s="5" t="s">
        <v>659</v>
      </c>
      <c r="B29" s="22" t="n">
        <v>3.97</v>
      </c>
      <c r="C29" s="22" t="n">
        <v>5.862</v>
      </c>
      <c r="D29" s="22" t="n">
        <v>9.08</v>
      </c>
      <c r="E29" s="22" t="n">
        <v>8.502</v>
      </c>
      <c r="F29" s="22" t="n">
        <v>12.033</v>
      </c>
      <c r="G29" s="22" t="n">
        <v>18.635</v>
      </c>
      <c r="H29" s="22" t="n">
        <v>16.493</v>
      </c>
      <c r="I29" s="22" t="n">
        <v>28.499</v>
      </c>
      <c r="J29" s="22" t="n">
        <v>6.866</v>
      </c>
      <c r="K29" s="22" t="n">
        <v>21.215</v>
      </c>
      <c r="L29" s="22" t="n">
        <v>55.663</v>
      </c>
      <c r="M29" s="8" t="s">
        <v>626</v>
      </c>
      <c r="N29" s="5" t="s">
        <v>627</v>
      </c>
    </row>
    <row r="30" customFormat="false" ht="15" hidden="false" customHeight="false" outlineLevel="0" collapsed="false">
      <c r="A30" s="5" t="s">
        <v>660</v>
      </c>
      <c r="B30" s="13" t="n">
        <f aca="false">B28-B29</f>
        <v>-2.666</v>
      </c>
      <c r="C30" s="13" t="n">
        <f aca="false">C28-C29</f>
        <v>0.0709999999999997</v>
      </c>
      <c r="D30" s="13" t="n">
        <f aca="false">D28-D29</f>
        <v>-2.923</v>
      </c>
      <c r="E30" s="13" t="n">
        <f aca="false">E28-E29</f>
        <v>-0.362</v>
      </c>
      <c r="F30" s="13" t="n">
        <f aca="false">F28-F29</f>
        <v>-9.967</v>
      </c>
      <c r="G30" s="13" t="n">
        <f aca="false">G28-G29</f>
        <v>-11.484</v>
      </c>
      <c r="H30" s="13" t="n">
        <f aca="false">H28-H29</f>
        <v>-1.873</v>
      </c>
      <c r="I30" s="13" t="n">
        <f aca="false">I28-I29</f>
        <v>-5.396</v>
      </c>
      <c r="J30" s="13" t="n">
        <f aca="false">J28-J29</f>
        <v>11.807</v>
      </c>
      <c r="K30" s="13" t="n">
        <f aca="false">K28-K29</f>
        <v>-0.393999999999998</v>
      </c>
      <c r="L30" s="13" t="n">
        <f aca="false">L28-L29</f>
        <v>-23.686</v>
      </c>
      <c r="M30" s="8" t="s">
        <v>40</v>
      </c>
      <c r="N30" s="8" t="s">
        <v>116</v>
      </c>
    </row>
    <row r="31" customFormat="false" ht="17.15" hidden="false" customHeight="false" outlineLevel="0" collapsed="false">
      <c r="A31" s="5" t="s">
        <v>661</v>
      </c>
      <c r="I31" s="22" t="n">
        <v>1.565</v>
      </c>
      <c r="J31" s="22" t="n">
        <v>4.391</v>
      </c>
      <c r="K31" s="22" t="n">
        <v>4.743</v>
      </c>
      <c r="L31" s="22" t="n">
        <v>5.787</v>
      </c>
      <c r="M31" s="8" t="s">
        <v>626</v>
      </c>
      <c r="N31" s="5" t="s">
        <v>627</v>
      </c>
      <c r="O31" s="5" t="s">
        <v>662</v>
      </c>
    </row>
    <row r="32" customFormat="false" ht="17.15" hidden="false" customHeight="false" outlineLevel="0" collapsed="false">
      <c r="A32" s="5" t="s">
        <v>663</v>
      </c>
      <c r="I32" s="22" t="n">
        <v>0</v>
      </c>
      <c r="J32" s="22" t="n">
        <v>1.202</v>
      </c>
      <c r="K32" s="22" t="n">
        <v>0.6</v>
      </c>
      <c r="L32" s="22" t="n">
        <v>0.095</v>
      </c>
      <c r="M32" s="8" t="s">
        <v>626</v>
      </c>
      <c r="N32" s="5" t="s">
        <v>627</v>
      </c>
      <c r="O32" s="5" t="s">
        <v>646</v>
      </c>
    </row>
    <row r="33" customFormat="false" ht="17.15" hidden="false" customHeight="false" outlineLevel="0" collapsed="false">
      <c r="A33" s="5" t="s">
        <v>664</v>
      </c>
      <c r="B33" s="13" t="n">
        <f aca="false">B30--2.666</f>
        <v>0</v>
      </c>
      <c r="C33" s="13" t="n">
        <f aca="false">C30-0.071</f>
        <v>-2.63677968348475E-016</v>
      </c>
      <c r="D33" s="13" t="n">
        <f aca="false">D30--2.923</f>
        <v>0</v>
      </c>
      <c r="E33" s="13" t="n">
        <f aca="false">E30--0.362</f>
        <v>0</v>
      </c>
      <c r="F33" s="13" t="n">
        <f aca="false">F30--9.967</f>
        <v>0</v>
      </c>
      <c r="G33" s="13" t="n">
        <f aca="false">G30--11.484</f>
        <v>0</v>
      </c>
      <c r="H33" s="13" t="n">
        <f aca="false">H30--1.873</f>
        <v>0</v>
      </c>
      <c r="I33" s="13" t="n">
        <f aca="false">I30--5.396</f>
        <v>0</v>
      </c>
      <c r="J33" s="13" t="n">
        <f aca="false">J30-11.807</f>
        <v>0</v>
      </c>
      <c r="K33" s="13" t="n">
        <f aca="false">K30--0.394</f>
        <v>1.66533453693773E-015</v>
      </c>
      <c r="L33" s="13" t="n">
        <f aca="false">L30--23.686</f>
        <v>0</v>
      </c>
      <c r="M33" s="8" t="s">
        <v>116</v>
      </c>
      <c r="N33" s="8" t="s">
        <v>116</v>
      </c>
    </row>
    <row r="35" customFormat="false" ht="17.15" hidden="false" customHeight="false" outlineLevel="0" collapsed="false">
      <c r="A35" s="3" t="s">
        <v>665</v>
      </c>
    </row>
    <row r="36" customFormat="false" ht="17.15" hidden="false" customHeight="false" outlineLevel="0" collapsed="false">
      <c r="A36" s="0" t="s">
        <v>666</v>
      </c>
      <c r="B36" s="12" t="n">
        <f aca="false">SUM(F4:I4)/SUM(B4:E4)-1</f>
        <v>0.937521876093805</v>
      </c>
      <c r="M36" s="8" t="s">
        <v>40</v>
      </c>
    </row>
    <row r="37" customFormat="false" ht="17.15" hidden="false" customHeight="false" outlineLevel="0" collapsed="false">
      <c r="A37" s="0" t="s">
        <v>667</v>
      </c>
      <c r="B37" s="12" t="n">
        <f aca="false">SUM(F5:I5)/SUM(B5:E5)-1</f>
        <v>0.111118699631198</v>
      </c>
      <c r="M37" s="8" t="s">
        <v>40</v>
      </c>
    </row>
    <row r="38" customFormat="false" ht="17.15" hidden="false" customHeight="false" outlineLevel="0" collapsed="false">
      <c r="A38" s="0" t="s">
        <v>668</v>
      </c>
      <c r="B38" s="12" t="n">
        <f aca="false">SUM(F6:I6)/SUM(B6:E6)-1</f>
        <v>-0.0926034922503434</v>
      </c>
      <c r="M38" s="8" t="s">
        <v>40</v>
      </c>
    </row>
    <row r="39" customFormat="false" ht="17.15" hidden="false" customHeight="false" outlineLevel="0" collapsed="false">
      <c r="A39" s="0" t="s">
        <v>669</v>
      </c>
      <c r="B39" s="12" t="n">
        <f aca="false">SUM(F7:I7)/SUM(B7:E7)-1</f>
        <v>0.00832397099376969</v>
      </c>
      <c r="M39" s="8" t="s">
        <v>40</v>
      </c>
    </row>
    <row r="40" customFormat="false" ht="17.15" hidden="false" customHeight="false" outlineLevel="0" collapsed="false">
      <c r="A40" s="0" t="s">
        <v>670</v>
      </c>
      <c r="B40" s="12" t="n">
        <f aca="false">SUM(F8:I8)/SUM(B8:E8)-1</f>
        <v>0.0803117587258559</v>
      </c>
      <c r="M40" s="8" t="s">
        <v>40</v>
      </c>
    </row>
    <row r="41" customFormat="false" ht="17.15" hidden="false" customHeight="false" outlineLevel="0" collapsed="false">
      <c r="A41" s="0" t="s">
        <v>671</v>
      </c>
      <c r="B41" s="12" t="n">
        <f aca="false">SUM(F9:I9)/SUM(B9:E9)-1</f>
        <v>0.0921399022188791</v>
      </c>
      <c r="M41" s="8" t="s">
        <v>40</v>
      </c>
    </row>
    <row r="43" customFormat="false" ht="15" hidden="false" customHeight="false" outlineLevel="0" collapsed="false">
      <c r="A43" s="3" t="s">
        <v>672</v>
      </c>
    </row>
    <row r="44" customFormat="false" ht="17.15" hidden="false" customHeight="false" outlineLevel="0" collapsed="false">
      <c r="A44" s="0" t="s">
        <v>673</v>
      </c>
      <c r="B44" s="12"/>
      <c r="C44" s="12"/>
      <c r="D44" s="12"/>
      <c r="E44" s="12" t="n">
        <f aca="false">E16/E11</f>
        <v>0.595878205624855</v>
      </c>
      <c r="F44" s="12"/>
      <c r="G44" s="12"/>
      <c r="H44" s="12"/>
      <c r="I44" s="12" t="n">
        <f aca="false">I16/I11</f>
        <v>0.545433350818908</v>
      </c>
      <c r="J44" s="12" t="n">
        <f aca="false">J16/J11</f>
        <v>0.641282835552357</v>
      </c>
      <c r="K44" s="12" t="n">
        <f aca="false">K16/K11</f>
        <v>0.628275441803778</v>
      </c>
      <c r="L44" s="12" t="n">
        <f aca="false">L16/L11</f>
        <v>0.588894583974031</v>
      </c>
    </row>
    <row r="45" customFormat="false" ht="17.15" hidden="false" customHeight="false" outlineLevel="0" collapsed="false">
      <c r="A45" s="0" t="s">
        <v>674</v>
      </c>
      <c r="B45" s="12" t="n">
        <f aca="false">J16/J11</f>
        <v>0.641282835552357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7" customFormat="false" ht="17.15" hidden="false" customHeight="false" outlineLevel="0" collapsed="false">
      <c r="A47" s="3" t="s">
        <v>675</v>
      </c>
    </row>
    <row r="48" customFormat="false" ht="17.15" hidden="false" customHeight="false" outlineLevel="0" collapsed="false">
      <c r="A48" s="5" t="s">
        <v>676</v>
      </c>
      <c r="I48" s="22" t="n">
        <v>0.081</v>
      </c>
      <c r="L48" s="22" t="n">
        <v>0.103</v>
      </c>
      <c r="M48" s="8" t="s">
        <v>626</v>
      </c>
      <c r="N48" s="5" t="s">
        <v>627</v>
      </c>
      <c r="O48" s="8" t="s">
        <v>677</v>
      </c>
    </row>
    <row r="49" customFormat="false" ht="17.15" hidden="false" customHeight="false" outlineLevel="0" collapsed="false">
      <c r="A49" s="5" t="s">
        <v>678</v>
      </c>
      <c r="I49" s="22" t="n">
        <v>3</v>
      </c>
      <c r="J49" s="22" t="n">
        <v>2.823</v>
      </c>
      <c r="K49" s="22" t="n">
        <v>2.866</v>
      </c>
      <c r="L49" s="22" t="n">
        <v>2.914</v>
      </c>
      <c r="M49" s="8" t="s">
        <v>626</v>
      </c>
      <c r="N49" s="5" t="s">
        <v>627</v>
      </c>
    </row>
    <row r="50" customFormat="false" ht="17.15" hidden="false" customHeight="false" outlineLevel="0" collapsed="false">
      <c r="A50" s="5" t="s">
        <v>679</v>
      </c>
      <c r="I50" s="23" t="n">
        <v>1.56</v>
      </c>
      <c r="J50" s="23" t="n">
        <v>3.71</v>
      </c>
      <c r="K50" s="23" t="n">
        <v>4.34</v>
      </c>
      <c r="L50" s="23" t="n">
        <v>5.83</v>
      </c>
      <c r="M50" s="8" t="s">
        <v>626</v>
      </c>
      <c r="N50" s="5" t="s">
        <v>627</v>
      </c>
    </row>
    <row r="51" customFormat="false" ht="17.15" hidden="false" customHeight="false" outlineLevel="0" collapsed="false">
      <c r="A51" s="5" t="s">
        <v>680</v>
      </c>
      <c r="L51" s="22" t="n">
        <v>38.018</v>
      </c>
      <c r="M51" s="8" t="s">
        <v>626</v>
      </c>
      <c r="N51" s="5" t="s">
        <v>627</v>
      </c>
      <c r="O51" s="8" t="s">
        <v>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10" min="3" style="0" width="12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682</v>
      </c>
    </row>
    <row r="2" customFormat="false" ht="17.15" hidden="false" customHeight="false" outlineLevel="0" collapsed="false">
      <c r="A2" s="5" t="s">
        <v>683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21" t="s">
        <v>684</v>
      </c>
      <c r="D3" s="21" t="s">
        <v>685</v>
      </c>
      <c r="E3" s="21" t="s">
        <v>686</v>
      </c>
      <c r="F3" s="21" t="s">
        <v>687</v>
      </c>
      <c r="G3" s="21" t="s">
        <v>688</v>
      </c>
      <c r="H3" s="21" t="s">
        <v>689</v>
      </c>
      <c r="I3" s="21" t="s">
        <v>690</v>
      </c>
      <c r="J3" s="21" t="s">
        <v>691</v>
      </c>
      <c r="K3" s="6" t="s">
        <v>598</v>
      </c>
    </row>
    <row r="4" customFormat="false" ht="17.15" hidden="false" customHeight="false" outlineLevel="0" collapsed="false">
      <c r="A4" s="3" t="s">
        <v>692</v>
      </c>
    </row>
    <row r="5" customFormat="false" ht="15" hidden="false" customHeight="false" outlineLevel="0" collapsed="false">
      <c r="A5" s="2" t="s">
        <v>693</v>
      </c>
      <c r="B5" s="5" t="s">
        <v>163</v>
      </c>
      <c r="C5" s="24" t="n">
        <v>0.25</v>
      </c>
      <c r="D5" s="24" t="n">
        <v>0.75</v>
      </c>
      <c r="E5" s="24" t="n">
        <v>1</v>
      </c>
      <c r="F5" s="24" t="n">
        <v>1</v>
      </c>
      <c r="G5" s="24" t="n">
        <v>1</v>
      </c>
      <c r="H5" s="24" t="n">
        <v>1</v>
      </c>
      <c r="I5" s="24" t="n">
        <v>1</v>
      </c>
      <c r="J5" s="24" t="n">
        <v>1</v>
      </c>
    </row>
    <row r="6" customFormat="false" ht="17.15" hidden="false" customHeight="false" outlineLevel="0" collapsed="false">
      <c r="A6" s="2" t="s">
        <v>694</v>
      </c>
      <c r="B6" s="8" t="s">
        <v>50</v>
      </c>
      <c r="C6" s="18" t="n">
        <f aca="false">mw_q1</f>
        <v>2543</v>
      </c>
      <c r="D6" s="18" t="n">
        <f aca="false">MIN(cap_A,mw_q1+pace_A*D5)</f>
        <v>5042.75</v>
      </c>
      <c r="E6" s="18" t="n">
        <f aca="false">D6</f>
        <v>5042.75</v>
      </c>
      <c r="F6" s="18" t="n">
        <f aca="false">MIN(cap_A,E6+pace_A*F5)</f>
        <v>8375.75</v>
      </c>
      <c r="G6" s="18" t="n">
        <f aca="false">MIN(cap_A,F6+pace_A*G5)</f>
        <v>8778</v>
      </c>
      <c r="H6" s="18" t="n">
        <f aca="false">G6+MAX(0,MIN(cap_A,G6+pace_A)-G6)+(tp_g*G6-MAX(0,MIN(cap_A,G6+pace_A)-G6))*1/3</f>
        <v>8865.78</v>
      </c>
      <c r="I6" s="18" t="n">
        <f aca="false">H6+MAX(0,MIN(cap_A,H6+pace_A)-H6)+(tp_g*H6-MAX(0,MIN(cap_A,H6+pace_A)-H6))*2/3</f>
        <v>9043.0956</v>
      </c>
      <c r="J6" s="18" t="n">
        <f aca="false">I6+MAX(0,MIN(cap_A,I6+pace_A)-I6)+(tp_g*I6-MAX(0,MIN(cap_A,I6+pace_A)-I6))*3/3</f>
        <v>9314.388468</v>
      </c>
      <c r="K6" s="8" t="s">
        <v>695</v>
      </c>
    </row>
    <row r="7" customFormat="false" ht="17.15" hidden="false" customHeight="false" outlineLevel="0" collapsed="false">
      <c r="A7" s="2" t="s">
        <v>696</v>
      </c>
      <c r="B7" s="8" t="s">
        <v>50</v>
      </c>
      <c r="C7" s="18" t="n">
        <f aca="false">C6-mw_fy26</f>
        <v>708</v>
      </c>
      <c r="D7" s="18" t="n">
        <f aca="false">D6-C6</f>
        <v>2499.75</v>
      </c>
      <c r="E7" s="18" t="n">
        <f aca="false">E6-mw_fy26</f>
        <v>3207.75</v>
      </c>
      <c r="F7" s="18" t="n">
        <f aca="false">F6-E6</f>
        <v>3333</v>
      </c>
      <c r="G7" s="18" t="n">
        <f aca="false">G6-F6</f>
        <v>402.25</v>
      </c>
      <c r="H7" s="18" t="n">
        <f aca="false">H6-G6</f>
        <v>87.7800000000007</v>
      </c>
      <c r="I7" s="18" t="n">
        <f aca="false">I6-H6</f>
        <v>177.3156</v>
      </c>
      <c r="J7" s="18" t="n">
        <f aca="false">J6-I6</f>
        <v>271.292868</v>
      </c>
    </row>
    <row r="8" customFormat="false" ht="17.15" hidden="false" customHeight="false" outlineLevel="0" collapsed="false">
      <c r="A8" s="2" t="s">
        <v>697</v>
      </c>
      <c r="B8" s="8" t="s">
        <v>50</v>
      </c>
      <c r="C8" s="18" t="n">
        <f aca="false">(mw_fy26+C6)/2</f>
        <v>2189</v>
      </c>
      <c r="D8" s="18" t="n">
        <f aca="false">(C6+D6)/2</f>
        <v>3792.875</v>
      </c>
      <c r="E8" s="18" t="n">
        <f aca="false">(C8*C5+D8*D5)/E5</f>
        <v>3391.90625</v>
      </c>
      <c r="F8" s="18" t="n">
        <f aca="false">(E6+F6)/2</f>
        <v>6709.25</v>
      </c>
      <c r="G8" s="18" t="n">
        <f aca="false">(F6+G6)/2</f>
        <v>8576.875</v>
      </c>
      <c r="H8" s="18" t="n">
        <f aca="false">(G6+H6)/2</f>
        <v>8821.89</v>
      </c>
      <c r="I8" s="18" t="n">
        <f aca="false">(H6+I6)/2</f>
        <v>8954.4378</v>
      </c>
      <c r="J8" s="18" t="n">
        <f aca="false">(I6+J6)/2</f>
        <v>9178.742034</v>
      </c>
    </row>
    <row r="9" customFormat="false" ht="17.15" hidden="false" customHeight="false" outlineLevel="0" collapsed="false">
      <c r="A9" s="2" t="s">
        <v>698</v>
      </c>
      <c r="B9" s="8" t="s">
        <v>50</v>
      </c>
      <c r="C9" s="18" t="n">
        <f aca="false">C8</f>
        <v>2189</v>
      </c>
      <c r="D9" s="18" t="n">
        <f aca="false">MAX(0,D8-delay_A/12*D7/D5)</f>
        <v>3792.875</v>
      </c>
      <c r="E9" s="18" t="n">
        <f aca="false">(C9*C5+D9*D5)/E5</f>
        <v>3391.90625</v>
      </c>
      <c r="F9" s="18" t="n">
        <f aca="false">MAX(0,F8-delay_A/12*F7/F5)</f>
        <v>6709.25</v>
      </c>
      <c r="G9" s="18" t="n">
        <f aca="false">MAX(0,G8-delay_A/12*G7/G5)</f>
        <v>8576.875</v>
      </c>
      <c r="H9" s="18" t="n">
        <f aca="false">MAX(0,H8-delay_A/12*H7/H5)</f>
        <v>8821.89</v>
      </c>
      <c r="I9" s="18" t="n">
        <f aca="false">MAX(0,I8-delay_A/12*I7/I5)</f>
        <v>8954.4378</v>
      </c>
      <c r="J9" s="18" t="n">
        <f aca="false">MAX(0,J8-delay_A/12*J7/J5)</f>
        <v>9178.742034</v>
      </c>
      <c r="K9" s="5" t="s">
        <v>699</v>
      </c>
    </row>
    <row r="10" customFormat="false" ht="17.15" hidden="false" customHeight="false" outlineLevel="0" collapsed="false">
      <c r="A10" s="2" t="s">
        <v>700</v>
      </c>
      <c r="B10" s="8" t="s">
        <v>50</v>
      </c>
      <c r="C10" s="18" t="n">
        <f aca="false">C9*u_bill</f>
        <v>2079.55</v>
      </c>
      <c r="D10" s="18" t="n">
        <f aca="false">D9*u_bill</f>
        <v>3603.23125</v>
      </c>
      <c r="E10" s="18" t="n">
        <f aca="false">E9*u_bill</f>
        <v>3222.3109375</v>
      </c>
      <c r="F10" s="18" t="n">
        <f aca="false">F9*u_bill</f>
        <v>6373.7875</v>
      </c>
      <c r="G10" s="18" t="n">
        <f aca="false">G9*u_bill</f>
        <v>8148.03125</v>
      </c>
      <c r="H10" s="18" t="n">
        <f aca="false">H9*u_bill</f>
        <v>8380.7955</v>
      </c>
      <c r="I10" s="18" t="n">
        <f aca="false">I9*u_bill</f>
        <v>8506.71591</v>
      </c>
      <c r="J10" s="18" t="n">
        <f aca="false">J9*u_bill</f>
        <v>8719.8049323</v>
      </c>
    </row>
    <row r="11" customFormat="false" ht="17.15" hidden="false" customHeight="false" outlineLevel="0" collapsed="false">
      <c r="A11" s="25" t="s">
        <v>701</v>
      </c>
    </row>
    <row r="12" customFormat="false" ht="15" hidden="false" customHeight="false" outlineLevel="0" collapsed="false">
      <c r="A12" s="4" t="s">
        <v>702</v>
      </c>
      <c r="B12" s="8" t="s">
        <v>50</v>
      </c>
      <c r="C12" s="18" t="n">
        <f aca="false">C6*om_h100</f>
        <v>508.6</v>
      </c>
      <c r="D12" s="18" t="n">
        <f aca="false">C12</f>
        <v>508.6</v>
      </c>
      <c r="E12" s="18" t="n">
        <f aca="false">D12</f>
        <v>508.6</v>
      </c>
      <c r="F12" s="18" t="n">
        <f aca="false">E12</f>
        <v>508.6</v>
      </c>
      <c r="G12" s="18" t="n">
        <f aca="false">F12</f>
        <v>508.6</v>
      </c>
      <c r="H12" s="18" t="n">
        <f aca="false">G12-C12*rf_h100_30</f>
        <v>254.3</v>
      </c>
      <c r="I12" s="18" t="n">
        <f aca="false">H12-C12*rf_h100_31</f>
        <v>0</v>
      </c>
      <c r="J12" s="18" t="n">
        <f aca="false">I12</f>
        <v>0</v>
      </c>
    </row>
    <row r="13" customFormat="false" ht="15" hidden="false" customHeight="false" outlineLevel="0" collapsed="false">
      <c r="A13" s="4" t="s">
        <v>703</v>
      </c>
      <c r="B13" s="8" t="s">
        <v>50</v>
      </c>
      <c r="C13" s="18" t="n">
        <f aca="false">C6*om_gb200</f>
        <v>1398.65</v>
      </c>
      <c r="D13" s="18" t="n">
        <f aca="false">C13</f>
        <v>1398.65</v>
      </c>
      <c r="E13" s="18" t="n">
        <f aca="false">D13</f>
        <v>1398.65</v>
      </c>
      <c r="F13" s="18" t="n">
        <f aca="false">E13</f>
        <v>1398.65</v>
      </c>
      <c r="G13" s="18" t="n">
        <f aca="false">F13</f>
        <v>1398.65</v>
      </c>
      <c r="H13" s="18" t="n">
        <f aca="false">G13</f>
        <v>1398.65</v>
      </c>
      <c r="I13" s="18" t="n">
        <f aca="false">H13</f>
        <v>1398.65</v>
      </c>
      <c r="J13" s="18" t="n">
        <f aca="false">I13-C13*rf_gb200_32</f>
        <v>0</v>
      </c>
    </row>
    <row r="14" customFormat="false" ht="15" hidden="false" customHeight="false" outlineLevel="0" collapsed="false">
      <c r="A14" s="4" t="s">
        <v>704</v>
      </c>
      <c r="B14" s="8" t="s">
        <v>50</v>
      </c>
      <c r="C14" s="18" t="n">
        <f aca="false">C6*om_gb300</f>
        <v>635.75</v>
      </c>
      <c r="D14" s="18" t="n">
        <f aca="false">C14+D7*nm27_gb300</f>
        <v>3135.5</v>
      </c>
      <c r="E14" s="18" t="n">
        <f aca="false">D14</f>
        <v>3135.5</v>
      </c>
      <c r="F14" s="18" t="n">
        <f aca="false">E14+F7*nm28_gb300</f>
        <v>4802</v>
      </c>
      <c r="G14" s="18" t="n">
        <f aca="false">F14+G7*nm29_gb300</f>
        <v>4802</v>
      </c>
      <c r="H14" s="18" t="n">
        <f aca="false">G14+H7*nm29_gb300</f>
        <v>4802</v>
      </c>
      <c r="I14" s="18" t="n">
        <f aca="false">H14+I7*nm29_gb300</f>
        <v>4802</v>
      </c>
      <c r="J14" s="18" t="n">
        <f aca="false">I14+J7*nm29_gb300</f>
        <v>4802</v>
      </c>
    </row>
    <row r="15" customFormat="false" ht="15" hidden="false" customHeight="false" outlineLevel="0" collapsed="false">
      <c r="A15" s="4" t="s">
        <v>705</v>
      </c>
      <c r="B15" s="8" t="s">
        <v>50</v>
      </c>
      <c r="C15" s="18" t="n">
        <f aca="false">0</f>
        <v>0</v>
      </c>
      <c r="D15" s="18" t="n">
        <f aca="false">C15+D7*(1-nm27_gb300)</f>
        <v>0</v>
      </c>
      <c r="E15" s="18" t="n">
        <f aca="false">D15</f>
        <v>0</v>
      </c>
      <c r="F15" s="18" t="n">
        <f aca="false">E15+F7*(1-nm28_gb300)</f>
        <v>1666.5</v>
      </c>
      <c r="G15" s="18" t="n">
        <f aca="false">F15+G7*(1-nm29_gb300)</f>
        <v>2068.75</v>
      </c>
      <c r="H15" s="18" t="n">
        <f aca="false">G15+H7*(1-nm29_gb300)+C12*rf_h100_30</f>
        <v>2410.83</v>
      </c>
      <c r="I15" s="18" t="n">
        <f aca="false">H15+I7*(1-nm29_gb300)+C12*rf_h100_31</f>
        <v>2842.4456</v>
      </c>
      <c r="J15" s="18" t="n">
        <f aca="false">I15+J7*(1-nm29_gb300)+C13*rf_gb200_32</f>
        <v>4512.388468</v>
      </c>
    </row>
    <row r="16" customFormat="false" ht="17.15" hidden="false" customHeight="false" outlineLevel="0" collapsed="false">
      <c r="A16" s="2" t="s">
        <v>706</v>
      </c>
      <c r="B16" s="8" t="s">
        <v>50</v>
      </c>
      <c r="C16" s="11" t="n">
        <f aca="false">SUM(C12:C15)-C6</f>
        <v>0</v>
      </c>
      <c r="D16" s="11" t="n">
        <f aca="false">SUM(D12:D15)-D6</f>
        <v>0</v>
      </c>
      <c r="E16" s="11" t="n">
        <f aca="false">SUM(E12:E15)-E6</f>
        <v>0</v>
      </c>
      <c r="F16" s="11" t="n">
        <f aca="false">SUM(F12:F15)-F6</f>
        <v>0</v>
      </c>
      <c r="G16" s="11" t="n">
        <f aca="false">SUM(G12:G15)-G6</f>
        <v>0</v>
      </c>
      <c r="H16" s="11" t="n">
        <f aca="false">SUM(H12:H15)-H6</f>
        <v>0</v>
      </c>
      <c r="I16" s="11" t="n">
        <f aca="false">SUM(I12:I15)-I6</f>
        <v>0</v>
      </c>
      <c r="J16" s="11" t="n">
        <f aca="false">SUM(J12:J15)-J6</f>
        <v>0</v>
      </c>
    </row>
    <row r="17" customFormat="false" ht="17.15" hidden="false" customHeight="false" outlineLevel="0" collapsed="false">
      <c r="A17" s="2" t="s">
        <v>707</v>
      </c>
      <c r="B17" s="8" t="s">
        <v>131</v>
      </c>
      <c r="C17" s="24" t="n">
        <f aca="false">om_h100*he_h100+om_gb200*he_gb200+om_gb300*he_gb300</f>
        <v>9.51773</v>
      </c>
      <c r="D17" s="24" t="n">
        <f aca="false">((C12+D12)*he_h100+(C13+D13)*he_gb200+(C14+D14)*he_gb300+(C15+D15)*he_vr200)/(C6+D6)</f>
        <v>9.96875103714201</v>
      </c>
      <c r="E17" s="24" t="n">
        <f aca="false">(C17*C10*C5+D17*D10*D5)/(C10*C5+D10*D5)</f>
        <v>9.89598332353673</v>
      </c>
      <c r="F17" s="24" t="n">
        <f aca="false">((E12+F12)*he_h100+(E13+F13)*he_gb200+(E14+F14)*he_gb300+(E15+F15)*he_vr200)/(E6+F6)</f>
        <v>10.5339429094161</v>
      </c>
      <c r="G17" s="24" t="n">
        <f aca="false">((F12+G12)*he_h100+(F13+G13)*he_gb200+(F14+G14)*he_gb300+(F15+G15)*he_vr200)/(F6+G6)</f>
        <v>10.7721869360927</v>
      </c>
      <c r="H17" s="24" t="n">
        <f aca="false">((G12+H12)*he_h100+(G13+H13)*he_gb200+(G14+H14)*he_gb300+(G15+H15)*he_vr200)/(G6+H6)</f>
        <v>10.8489059453246</v>
      </c>
      <c r="I17" s="24" t="n">
        <f aca="false">((H12+I12)*he_h100+(H13+I13)*he_gb200+(H14+I14)*he_gb300+(H15+I15)*he_vr200)/(H6+I6)</f>
        <v>10.9409173983988</v>
      </c>
      <c r="J17" s="24" t="n">
        <f aca="false">((I12+J12)*he_h100+(I13+J13)*he_gb200+(I14+J14)*he_gb300+(I15+J15)*he_vr200)/(I6+J6)</f>
        <v>11.2660902039866</v>
      </c>
      <c r="K17" s="5" t="s">
        <v>708</v>
      </c>
    </row>
    <row r="18" customFormat="false" ht="17.15" hidden="false" customHeight="false" outlineLevel="0" collapsed="false">
      <c r="A18" s="2" t="s">
        <v>709</v>
      </c>
      <c r="B18" s="8" t="s">
        <v>131</v>
      </c>
      <c r="C18" s="24" t="n">
        <f aca="false">C17*k_mix*k_adj</f>
        <v>9.37235843089975</v>
      </c>
      <c r="D18" s="24" t="n">
        <f aca="false">D17*k_mix*k_adj</f>
        <v>9.81649067881717</v>
      </c>
      <c r="E18" s="24" t="n">
        <f aca="false">E17*k_mix*k_adj</f>
        <v>9.74483440215186</v>
      </c>
      <c r="F18" s="24" t="n">
        <f aca="false">F17*k_mix*k_adj</f>
        <v>10.373049943388</v>
      </c>
      <c r="G18" s="24" t="n">
        <f aca="false">G17*k_mix*k_adj</f>
        <v>10.6076550868449</v>
      </c>
      <c r="H18" s="24" t="n">
        <f aca="false">H17*k_mix*k_adj</f>
        <v>10.683202307977</v>
      </c>
      <c r="I18" s="24" t="n">
        <f aca="false">I17*k_mix*k_adj</f>
        <v>10.7738083997614</v>
      </c>
      <c r="J18" s="24" t="n">
        <f aca="false">J17*k_mix*k_adj</f>
        <v>11.0940145924092</v>
      </c>
      <c r="K18" s="8" t="s">
        <v>710</v>
      </c>
    </row>
    <row r="19" customFormat="false" ht="17.15" hidden="false" customHeight="false" outlineLevel="0" collapsed="false">
      <c r="A19" s="4" t="s">
        <v>711</v>
      </c>
      <c r="B19" s="8" t="s">
        <v>202</v>
      </c>
      <c r="C19" s="26" t="n">
        <f aca="false">C10*C18*C5/1000</f>
        <v>4.87257199374439</v>
      </c>
      <c r="D19" s="26" t="n">
        <f aca="false">D10*D18*D5/1000</f>
        <v>26.5283144844358</v>
      </c>
      <c r="E19" s="26" t="n">
        <f aca="false">C19+D19</f>
        <v>31.4008864781802</v>
      </c>
      <c r="F19" s="26" t="n">
        <f aca="false">F10*F18*F5/1000</f>
        <v>66.1156160660424</v>
      </c>
      <c r="G19" s="26" t="n">
        <f aca="false">G10*G18*G5/1000</f>
        <v>86.4315051368339</v>
      </c>
      <c r="H19" s="26" t="n">
        <f aca="false">H10*H18*H5/1000</f>
        <v>89.5337338282832</v>
      </c>
      <c r="I19" s="26" t="n">
        <f aca="false">I10*I18*I5/1000</f>
        <v>91.6497273255418</v>
      </c>
      <c r="J19" s="26" t="n">
        <f aca="false">J10*J18*J5/1000</f>
        <v>96.7376431618976</v>
      </c>
      <c r="K19" s="8" t="s">
        <v>712</v>
      </c>
    </row>
    <row r="20" customFormat="false" ht="17.15" hidden="false" customHeight="false" outlineLevel="0" collapsed="false">
      <c r="A20" s="2" t="s">
        <v>713</v>
      </c>
      <c r="B20" s="8" t="s">
        <v>131</v>
      </c>
      <c r="C20" s="11" t="n">
        <f aca="false">om_h100*ox_h100+om_gb200*ox_gb200+om_gb300*ox_gb300</f>
        <v>1.8693</v>
      </c>
      <c r="D20" s="11" t="n">
        <f aca="false">((C12+D12)*ox_h100+(C13+D13)*ox_gb200+(C14+D14)*ox_gb300+(C15+D15)*ox_vr200)/(C6+D6)</f>
        <v>1.90663601489635</v>
      </c>
      <c r="E20" s="11" t="n">
        <f aca="false">(C20*C9*C5+D20*D9*D5)/(C9*C5+D9*D5)</f>
        <v>1.90061222395224</v>
      </c>
      <c r="F20" s="11" t="n">
        <f aca="false">((E12+F12)*ox_h100+(E13+F13)*ox_gb200+(E14+F14)*ox_gb300+(E15+F15)*ox_vr200)/(E6+F6)</f>
        <v>1.95342915750643</v>
      </c>
      <c r="G20" s="11" t="n">
        <f aca="false">((F12+G12)*ox_h100+(F13+G13)*ox_gb200+(F14+G14)*ox_gb300+(F15+G15)*ox_vr200)/(F6+G6)</f>
        <v>1.97315573416891</v>
      </c>
      <c r="H20" s="11" t="n">
        <f aca="false">((G12+H12)*ox_h100+(G13+H13)*ox_gb200+(G14+H14)*ox_gb300+(G15+H15)*ox_vr200)/(G6+H6)</f>
        <v>1.97950755563717</v>
      </c>
      <c r="I20" s="11" t="n">
        <f aca="false">((H12+I12)*ox_h100+(H13+I13)*ox_gb200+(H14+I14)*ox_gb300+(H15+I15)*ox_vr200)/(H6+I6)</f>
        <v>1.98712470472462</v>
      </c>
      <c r="J20" s="11" t="n">
        <f aca="false">((I12+J12)*ox_h100+(I13+J13)*ox_gb200+(I14+J14)*ox_gb300+(I15+J15)*ox_vr200)/(I6+J6)</f>
        <v>2.01404881597079</v>
      </c>
    </row>
    <row r="21" customFormat="false" ht="17.15" hidden="false" customHeight="false" outlineLevel="0" collapsed="false">
      <c r="A21" s="4" t="s">
        <v>714</v>
      </c>
      <c r="B21" s="8" t="s">
        <v>202</v>
      </c>
      <c r="C21" s="26" t="n">
        <f aca="false">C9*C20*C5/1000</f>
        <v>1.022974425</v>
      </c>
      <c r="D21" s="26" t="n">
        <f aca="false">D9*D20*D5/1000</f>
        <v>5.42372405625</v>
      </c>
      <c r="E21" s="26" t="n">
        <f aca="false">C21+D21</f>
        <v>6.44669848125</v>
      </c>
      <c r="F21" s="26" t="n">
        <f aca="false">F9*F20*F5/1000</f>
        <v>13.106044575</v>
      </c>
      <c r="G21" s="26" t="n">
        <f aca="false">G9*G20*G5/1000</f>
        <v>16.9235100875</v>
      </c>
      <c r="H21" s="26" t="n">
        <f aca="false">H9*H20*H5/1000</f>
        <v>17.46299791</v>
      </c>
      <c r="I21" s="26" t="n">
        <f aca="false">I9*I20*I5/1000</f>
        <v>17.7935845693</v>
      </c>
      <c r="J21" s="26" t="n">
        <f aca="false">J9*J20*J5/1000</f>
        <v>18.486434525679</v>
      </c>
      <c r="K21" s="5" t="s">
        <v>715</v>
      </c>
    </row>
    <row r="22" customFormat="false" ht="17.15" hidden="false" customHeight="false" outlineLevel="0" collapsed="false">
      <c r="A22" s="4" t="s">
        <v>716</v>
      </c>
      <c r="B22" s="8" t="s">
        <v>202</v>
      </c>
      <c r="C22" s="26" t="n">
        <f aca="false">0</f>
        <v>0</v>
      </c>
      <c r="D22" s="26" t="n">
        <f aca="false">lease_unc/lease_term*IF(lease_q0&lt;=lease_q,(lease_q0)*((lease_q0)+1)/2,lease_q*(lease_q+1)/2+((lease_q0)-lease_q)*lease_q)/(lease_q*4)</f>
        <v>2.31016042780749</v>
      </c>
      <c r="E22" s="26" t="n">
        <f aca="false">D22</f>
        <v>2.31016042780749</v>
      </c>
      <c r="F22" s="26" t="n">
        <f aca="false">lease_unc/lease_term*(IF(lease_q0+4*1&lt;=lease_q,(lease_q0+4*1)*((lease_q0+4*1)+1)/2,lease_q*(lease_q+1)/2+((lease_q0+4*1)-lease_q)*lease_q)-IF(lease_q0+4*0&lt;=lease_q,(lease_q0+4*0)*((lease_q0+4*0)+1)/2,lease_q*(lease_q+1)/2+((lease_q0+4*0)-lease_q)*lease_q))/(lease_q*4)+MAX(0,F8-cap_B)*lease_unc/lease_term/(cap_B-mw_q1)</f>
        <v>8.47058823529412</v>
      </c>
      <c r="G22" s="26" t="n">
        <f aca="false">lease_unc/lease_term*(IF(lease_q0+4*2&lt;=lease_q,(lease_q0+4*2)*((lease_q0+4*2)+1)/2,lease_q*(lease_q+1)/2+((lease_q0+4*2)-lease_q)*lease_q)-IF(lease_q0+4*1&lt;=lease_q,(lease_q0+4*1)*((lease_q0+4*1)+1)/2,lease_q*(lease_q+1)/2+((lease_q0+4*1)-lease_q)*lease_q))/(lease_q*4)+MAX(0,G8-cap_B)*lease_unc/lease_term/(cap_B-mw_q1)</f>
        <v>14.6310160427807</v>
      </c>
      <c r="H22" s="26" t="n">
        <f aca="false">lease_unc/lease_term*(IF(lease_q0+4*3&lt;=lease_q,(lease_q0+4*3)*((lease_q0+4*3)+1)/2,lease_q*(lease_q+1)/2+((lease_q0+4*3)-lease_q)*lease_q)-IF(lease_q0+4*2&lt;=lease_q,(lease_q0+4*2)*((lease_q0+4*2)+1)/2,lease_q*(lease_q+1)/2+((lease_q0+4*2)-lease_q)*lease_q))/(lease_q*4)+MAX(0,H8-cap_B)*lease_unc/lease_term/(cap_B-mw_q1)</f>
        <v>17.0604303976603</v>
      </c>
      <c r="I22" s="26" t="n">
        <f aca="false">lease_unc/lease_term*(IF(lease_q0+4*4&lt;=lease_q,(lease_q0+4*4)*((lease_q0+4*4)+1)/2,lease_q*(lease_q+1)/2+((lease_q0+4*4)-lease_q)*lease_q)-IF(lease_q0+4*3&lt;=lease_q,(lease_q0+4*3)*((lease_q0+4*3)+1)/2,lease_q*(lease_q+1)/2+((lease_q0+4*3)-lease_q)*lease_q))/(lease_q*4)+MAX(0,I8-cap_B)*lease_unc/lease_term/(cap_B-mw_q1)</f>
        <v>17.4205772574178</v>
      </c>
      <c r="J22" s="26" t="n">
        <f aca="false">lease_unc/lease_term*(IF(lease_q0+4*5&lt;=lease_q,(lease_q0+4*5)*((lease_q0+4*5)+1)/2,lease_q*(lease_q+1)/2+((lease_q0+4*5)-lease_q)*lease_q)-IF(lease_q0+4*4&lt;=lease_q,(lease_q0+4*4)*((lease_q0+4*4)+1)/2,lease_q*(lease_q+1)/2+((lease_q0+4*4)-lease_q)*lease_q))/(lease_q*4)+MAX(0,J8-cap_B)*lease_unc/lease_term/(cap_B-mw_q1)</f>
        <v>18.0300363771121</v>
      </c>
      <c r="K22" s="8" t="s">
        <v>717</v>
      </c>
    </row>
    <row r="23" customFormat="false" ht="17.15" hidden="false" customHeight="false" outlineLevel="0" collapsed="false">
      <c r="A23" s="4" t="s">
        <v>718</v>
      </c>
      <c r="B23" s="8" t="s">
        <v>202</v>
      </c>
      <c r="C23" s="26" t="n">
        <f aca="false">capex_q1-nonai_cx*(q1_rev-C19)</f>
        <v>27.3412057594996</v>
      </c>
      <c r="D23" s="26" t="n">
        <f aca="false">E23-C23</f>
        <v>60.1895804449308</v>
      </c>
      <c r="E23" s="26" t="n">
        <f aca="false">capex_g27-nonai_cx*(Seg!D28-E19)</f>
        <v>87.5307862044304</v>
      </c>
      <c r="F23" s="26" t="n">
        <f aca="false">(F7*(1-lam)*(nm28_gb300*cx_gb300+(1-nm28_gb300)*cx_vr200)+G7*lam*(nm29_gb300*cx_gb300+(1-nm29_gb300)*cx_vr200))/1000</f>
        <v>80.9263644</v>
      </c>
      <c r="G23" s="26" t="n">
        <f aca="false">(G7*(1-lam)*(nm29_gb300*cx_gb300+(1-nm29_gb300)*cx_vr200)+H7*lam*(nm29_gb300*cx_gb300+(1-nm29_gb300)*cx_vr200))/1000</f>
        <v>10.9822010772</v>
      </c>
      <c r="H23" s="26" t="n">
        <f aca="false">(H7*(1-lam)*(nm29_gb300*cx_gb300+(1-nm29_gb300)*cx_vr200)+I7*lam*(nm29_gb300*cx_gb300+(1-nm29_gb300)*cx_vr200))/1000</f>
        <v>4.47719649854401</v>
      </c>
      <c r="I23" s="26" t="n">
        <f aca="false">(I7*(1-lam)*(nm29_gb300*cx_gb300+(1-nm29_gb300)*cx_vr200)+J7*lam*(nm29_gb300*cx_gb300+(1-nm29_gb300)*cx_vr200))/1000</f>
        <v>7.90094858292432</v>
      </c>
      <c r="J23" s="26" t="n">
        <f aca="false">(J7*(1-lam)*(nm29_gb300*cx_gb300+(1-nm29_gb300)*cx_vr200)+J7*(1+tp_g)*lam*(nm29_gb300*cx_gb300+(1-nm29_gb300)*cx_vr200))/1000</f>
        <v>10.3039899374601</v>
      </c>
      <c r="K23" s="8" t="s">
        <v>719</v>
      </c>
    </row>
    <row r="24" customFormat="false" ht="17.15" hidden="false" customHeight="false" outlineLevel="0" collapsed="false">
      <c r="A24" s="4" t="s">
        <v>720</v>
      </c>
      <c r="B24" s="8" t="s">
        <v>202</v>
      </c>
      <c r="C24" s="26" t="n">
        <f aca="false">0</f>
        <v>0</v>
      </c>
      <c r="D24" s="26" t="n">
        <f aca="false">0</f>
        <v>0</v>
      </c>
      <c r="E24" s="26" t="n">
        <f aca="false">0</f>
        <v>0</v>
      </c>
      <c r="F24" s="26" t="n">
        <f aca="false">0</f>
        <v>0</v>
      </c>
      <c r="G24" s="26" t="n">
        <f aca="false">0</f>
        <v>0</v>
      </c>
      <c r="H24" s="26" t="n">
        <f aca="false">C12*rf_h100_30*cx_vr200/1000</f>
        <v>9.55822152</v>
      </c>
      <c r="I24" s="26" t="n">
        <f aca="false">C12*rf_h100_31*cx_vr200/1000</f>
        <v>9.55822152</v>
      </c>
      <c r="J24" s="26" t="n">
        <f aca="false">C13*rf_gb200_32*cx_vr200/1000</f>
        <v>52.57021836</v>
      </c>
    </row>
    <row r="25" customFormat="false" ht="17.15" hidden="false" customHeight="false" outlineLevel="0" collapsed="false">
      <c r="A25" s="4" t="s">
        <v>721</v>
      </c>
      <c r="B25" s="8" t="s">
        <v>202</v>
      </c>
      <c r="C25" s="26" t="n">
        <f aca="false">C23+C24</f>
        <v>27.3412057594996</v>
      </c>
      <c r="D25" s="26" t="n">
        <f aca="false">D23+D24</f>
        <v>60.1895804449308</v>
      </c>
      <c r="E25" s="26" t="n">
        <f aca="false">E23+E24</f>
        <v>87.5307862044304</v>
      </c>
      <c r="F25" s="26" t="n">
        <f aca="false">F23+F24</f>
        <v>80.9263644</v>
      </c>
      <c r="G25" s="26" t="n">
        <f aca="false">G23+G24</f>
        <v>10.9822010772</v>
      </c>
      <c r="H25" s="26" t="n">
        <f aca="false">H23+H24</f>
        <v>14.035418018544</v>
      </c>
      <c r="I25" s="26" t="n">
        <f aca="false">I23+I24</f>
        <v>17.4591701029243</v>
      </c>
      <c r="J25" s="26" t="n">
        <f aca="false">J23+J24</f>
        <v>62.8742082974601</v>
      </c>
    </row>
    <row r="26" customFormat="false" ht="17.15" hidden="false" customHeight="false" outlineLevel="0" collapsed="false">
      <c r="A26" s="4" t="s">
        <v>722</v>
      </c>
      <c r="B26" s="8" t="s">
        <v>587</v>
      </c>
      <c r="C26" s="26" t="n">
        <f aca="false">(dep_q1-nonai_dep_q)*4</f>
        <v>9.671</v>
      </c>
      <c r="D26" s="26" t="n">
        <f aca="false">(dep_q1-nonai_dep_q)*4</f>
        <v>9.671</v>
      </c>
      <c r="E26" s="26" t="n">
        <f aca="false">(dep_q1-nonai_dep_q)*4</f>
        <v>9.671</v>
      </c>
      <c r="F26" s="26" t="n">
        <f aca="false">(dep_q1-nonai_dep_q)*4</f>
        <v>9.671</v>
      </c>
      <c r="G26" s="26" t="n">
        <f aca="false">(dep_q1-nonai_dep_q)*4</f>
        <v>9.671</v>
      </c>
      <c r="H26" s="26" t="n">
        <f aca="false">MAX(0,(dep_q1-nonai_dep_q)*4-rf_h100_30*C12*cx_h100/life_ai/1000)</f>
        <v>8.50502602333333</v>
      </c>
      <c r="I26" s="26" t="n">
        <f aca="false">MAX(0,(dep_q1-nonai_dep_q)*4-(rf_h100_30+rf_h100_31)*C12*cx_h100/life_ai/1000)</f>
        <v>7.33905204666667</v>
      </c>
      <c r="J26" s="26" t="n">
        <f aca="false">MAX(0,(dep_q1-nonai_dep_q)*4-(rf_h100_30+rf_h100_31)*C12*cx_h100/life_ai/1000-rf_gb200_32*C13*cx_gb200/life_ai/1000)</f>
        <v>1.7409088</v>
      </c>
      <c r="K26" s="8" t="s">
        <v>723</v>
      </c>
    </row>
    <row r="27" customFormat="false" ht="17.15" hidden="false" customHeight="false" outlineLevel="0" collapsed="false">
      <c r="A27" s="4" t="s">
        <v>724</v>
      </c>
      <c r="B27" s="8" t="s">
        <v>202</v>
      </c>
      <c r="C27" s="26" t="n">
        <f aca="false">C26*C5</f>
        <v>2.41775</v>
      </c>
      <c r="D27" s="26" t="n">
        <f aca="false">D26*D5+(cip_q1+D25)/life_ai*D5/2</f>
        <v>14.0492237778082</v>
      </c>
      <c r="E27" s="26" t="n">
        <f aca="false">C27+D27</f>
        <v>16.4669737778082</v>
      </c>
      <c r="F27" s="26" t="n">
        <f aca="false">F26+(cip_q1+D25)/life_ai+F25/life_ai/2</f>
        <v>34.5374604408218</v>
      </c>
      <c r="G27" s="26" t="n">
        <f aca="false">G26+(cip_q1+D25+F25)/life_ai+G25/life_ai/2</f>
        <v>42.1965075639218</v>
      </c>
      <c r="H27" s="26" t="n">
        <f aca="false">H26+(cip_q1+D25+F25+G25)/life_ai+H25/life_ai/2</f>
        <v>43.1153351785671</v>
      </c>
      <c r="I27" s="26" t="n">
        <f aca="false">I26+(cip_q1+D25+F25+G25+H25)/life_ai+I25/life_ai/2</f>
        <v>44.5739102120228</v>
      </c>
      <c r="J27" s="26" t="n">
        <f aca="false">J26+(cip_q1+D25+F25+G25+H25+I25)/life_ai+J25/life_ai/2</f>
        <v>45.6702151653882</v>
      </c>
      <c r="K27" s="5" t="s">
        <v>725</v>
      </c>
    </row>
    <row r="28" customFormat="false" ht="17.15" hidden="false" customHeight="false" outlineLevel="0" collapsed="false">
      <c r="A28" s="4" t="s">
        <v>726</v>
      </c>
      <c r="B28" s="8" t="s">
        <v>202</v>
      </c>
      <c r="C28" s="26" t="n">
        <f aca="false">C19-C21-C22</f>
        <v>3.84959756874439</v>
      </c>
      <c r="D28" s="26" t="n">
        <f aca="false">D19-D21-D22</f>
        <v>18.7944300003783</v>
      </c>
      <c r="E28" s="26" t="n">
        <f aca="false">E19-E21-E22</f>
        <v>22.6440275691227</v>
      </c>
      <c r="F28" s="26" t="n">
        <f aca="false">F19-F21-F22</f>
        <v>44.5389832557483</v>
      </c>
      <c r="G28" s="26" t="n">
        <f aca="false">G19-G21-G22</f>
        <v>54.8769790065531</v>
      </c>
      <c r="H28" s="26" t="n">
        <f aca="false">H19-H21-H22</f>
        <v>55.0103055206229</v>
      </c>
      <c r="I28" s="26" t="n">
        <f aca="false">I19-I21-I22</f>
        <v>56.435565498824</v>
      </c>
      <c r="J28" s="26" t="n">
        <f aca="false">J19-J21-J22</f>
        <v>60.2211722591064</v>
      </c>
    </row>
    <row r="29" customFormat="false" ht="17.15" hidden="false" customHeight="false" outlineLevel="0" collapsed="false">
      <c r="A29" s="4" t="s">
        <v>727</v>
      </c>
      <c r="B29" s="8" t="s">
        <v>202</v>
      </c>
      <c r="C29" s="26" t="n">
        <f aca="false">C28-C27</f>
        <v>1.43184756874439</v>
      </c>
      <c r="D29" s="26" t="n">
        <f aca="false">D28-D27</f>
        <v>4.74520622257014</v>
      </c>
      <c r="E29" s="26" t="n">
        <f aca="false">E28-E27</f>
        <v>6.17705379131454</v>
      </c>
      <c r="F29" s="26" t="n">
        <f aca="false">F28-F27</f>
        <v>10.0015228149265</v>
      </c>
      <c r="G29" s="26" t="n">
        <f aca="false">G28-G27</f>
        <v>12.6804714426313</v>
      </c>
      <c r="H29" s="26" t="n">
        <f aca="false">H28-H27</f>
        <v>11.8949703420557</v>
      </c>
      <c r="I29" s="26" t="n">
        <f aca="false">I28-I27</f>
        <v>11.8616552868011</v>
      </c>
      <c r="J29" s="26" t="n">
        <f aca="false">J28-J27</f>
        <v>14.5509570937182</v>
      </c>
      <c r="K29" s="5" t="s">
        <v>728</v>
      </c>
    </row>
    <row r="30" customFormat="false" ht="17.15" hidden="false" customHeight="false" outlineLevel="0" collapsed="false">
      <c r="A30" s="4" t="s">
        <v>729</v>
      </c>
      <c r="B30" s="8" t="s">
        <v>98</v>
      </c>
      <c r="C30" s="12" t="n">
        <f aca="false">IF(C19=0,0,C29/C19)</f>
        <v>0.293858678862551</v>
      </c>
      <c r="D30" s="12" t="n">
        <f aca="false">IF(D19=0,0,D29/D19)</f>
        <v>0.178873264841389</v>
      </c>
      <c r="E30" s="12" t="n">
        <f aca="false">IF(E19=0,0,E29/E19)</f>
        <v>0.19671590468017</v>
      </c>
      <c r="F30" s="12" t="n">
        <f aca="false">IF(F19=0,0,F29/F19)</f>
        <v>0.151273230290043</v>
      </c>
      <c r="G30" s="12" t="n">
        <f aca="false">IF(G19=0,0,G29/G19)</f>
        <v>0.146711218583504</v>
      </c>
      <c r="H30" s="12" t="n">
        <f aca="false">IF(H19=0,0,H29/H19)</f>
        <v>0.132854621754847</v>
      </c>
      <c r="I30" s="12" t="n">
        <f aca="false">IF(I19=0,0,I29/I19)</f>
        <v>0.129423792442592</v>
      </c>
      <c r="J30" s="12" t="n">
        <f aca="false">IF(J19=0,0,J29/J19)</f>
        <v>0.15041670044996</v>
      </c>
    </row>
    <row r="31" customFormat="false" ht="17.15" hidden="false" customHeight="false" outlineLevel="0" collapsed="false">
      <c r="A31" s="4" t="s">
        <v>730</v>
      </c>
      <c r="B31" s="8" t="s">
        <v>202</v>
      </c>
      <c r="C31" s="26" t="n">
        <f aca="false">q1_oci-C19</f>
        <v>2.51542800625561</v>
      </c>
      <c r="D31" s="26" t="n">
        <f aca="false">C31*((1+gna0)^0.25+(1+gna0)^0.5+(1+gna0)^0.75)</f>
        <v>8.27226573303413</v>
      </c>
      <c r="E31" s="26" t="n">
        <f aca="false">C31+D31</f>
        <v>10.7876937392897</v>
      </c>
      <c r="F31" s="26" t="n">
        <f aca="false">E31*(1+F32)</f>
        <v>12.6863278374047</v>
      </c>
      <c r="G31" s="26" t="n">
        <f aca="false">F31*(1+G32)</f>
        <v>14.6146496686903</v>
      </c>
      <c r="H31" s="26" t="n">
        <f aca="false">G31*(1+H32)</f>
        <v>16.4853248262826</v>
      </c>
      <c r="I31" s="26" t="n">
        <f aca="false">H31*(1+I32)</f>
        <v>18.199798608216</v>
      </c>
      <c r="J31" s="26" t="n">
        <f aca="false">I31*(1+J32)</f>
        <v>19.6557824968733</v>
      </c>
      <c r="K31" s="8" t="s">
        <v>731</v>
      </c>
    </row>
    <row r="32" customFormat="false" ht="17.15" hidden="false" customHeight="false" outlineLevel="0" collapsed="false">
      <c r="A32" s="4" t="s">
        <v>732</v>
      </c>
      <c r="B32" s="8" t="s">
        <v>98</v>
      </c>
      <c r="F32" s="12" t="n">
        <f aca="false">gna0+(gnaLT-gna0)*1/5</f>
        <v>0.176</v>
      </c>
      <c r="G32" s="12" t="n">
        <f aca="false">gna0+(gnaLT-gna0)*2/5</f>
        <v>0.152</v>
      </c>
      <c r="H32" s="12" t="n">
        <f aca="false">gna0+(gnaLT-gna0)*3/5</f>
        <v>0.128</v>
      </c>
      <c r="I32" s="12" t="n">
        <f aca="false">gna0+(gnaLT-gna0)*4/5</f>
        <v>0.104</v>
      </c>
      <c r="J32" s="12" t="n">
        <f aca="false">gna0+(gnaLT-gna0)*5/5</f>
        <v>0.08</v>
      </c>
    </row>
    <row r="33" customFormat="false" ht="17.15" hidden="false" customHeight="false" outlineLevel="0" collapsed="false">
      <c r="A33" s="4" t="s">
        <v>733</v>
      </c>
      <c r="B33" s="8" t="s">
        <v>202</v>
      </c>
      <c r="C33" s="26" t="n">
        <f aca="false">C19+C31</f>
        <v>7.388</v>
      </c>
      <c r="D33" s="26" t="n">
        <f aca="false">D19+D31</f>
        <v>34.8005802174699</v>
      </c>
      <c r="E33" s="26" t="n">
        <f aca="false">E19+E31</f>
        <v>42.1885802174699</v>
      </c>
      <c r="F33" s="26" t="n">
        <f aca="false">F19+F31</f>
        <v>78.8019439034471</v>
      </c>
      <c r="G33" s="26" t="n">
        <f aca="false">G19+G31</f>
        <v>101.046154805524</v>
      </c>
      <c r="H33" s="26" t="n">
        <f aca="false">H19+H31</f>
        <v>106.019058654566</v>
      </c>
      <c r="I33" s="26" t="n">
        <f aca="false">I19+I31</f>
        <v>109.849525933758</v>
      </c>
      <c r="J33" s="26" t="n">
        <f aca="false">J19+J31</f>
        <v>116.393425658771</v>
      </c>
    </row>
    <row r="34" customFormat="false" ht="17.15" hidden="false" customHeight="false" outlineLevel="0" collapsed="false">
      <c r="A34" s="4" t="s">
        <v>734</v>
      </c>
      <c r="B34" s="8" t="s">
        <v>98</v>
      </c>
      <c r="C34" s="12" t="n">
        <f aca="false">(C29+(m_sw+m_adj)*C31)/C33</f>
        <v>0.413488191117061</v>
      </c>
      <c r="D34" s="12" t="n">
        <f aca="false">(D29+(m_sw+m_adj)*D31)/D33</f>
        <v>0.28972601250072</v>
      </c>
      <c r="E34" s="12" t="n">
        <f aca="false">(E29+(m_sw+m_adj)*E31)/E33</f>
        <v>0.311399056981105</v>
      </c>
      <c r="F34" s="12" t="n">
        <f aca="false">(F29+(m_sw+m_adj)*F31)/F33</f>
        <v>0.230793657507388</v>
      </c>
      <c r="G34" s="12" t="n">
        <f aca="false">(G29+(m_sw+m_adj)*G31)/G33</f>
        <v>0.21881216915268</v>
      </c>
      <c r="H34" s="12" t="n">
        <f aca="false">(H29+(m_sw+m_adj)*H31)/H33</f>
        <v>0.212524272360872</v>
      </c>
      <c r="I34" s="12" t="n">
        <f aca="false">(I29+(m_sw+m_adj)*I31)/I33</f>
        <v>0.214880491730428</v>
      </c>
      <c r="J34" s="12" t="n">
        <f aca="false">(J29+(m_sw+m_adj)*J31)/J33</f>
        <v>0.233975853797212</v>
      </c>
    </row>
    <row r="35" customFormat="false" ht="17.15" hidden="false" customHeight="false" outlineLevel="0" collapsed="false">
      <c r="A35" s="4" t="s">
        <v>735</v>
      </c>
      <c r="B35" s="8" t="s">
        <v>202</v>
      </c>
      <c r="C35" s="26" t="n">
        <f aca="false">C29*(1-etr)</f>
        <v>1.21563858586399</v>
      </c>
      <c r="D35" s="26" t="n">
        <f aca="false">D29*(1-etr)</f>
        <v>4.02868008296205</v>
      </c>
      <c r="E35" s="26" t="n">
        <f aca="false">E29*(1-etr)</f>
        <v>5.24431866882604</v>
      </c>
      <c r="F35" s="26" t="n">
        <f aca="false">F29*(1-etr)</f>
        <v>8.49129286987259</v>
      </c>
      <c r="G35" s="26" t="n">
        <f aca="false">G29*(1-etr)</f>
        <v>10.765720254794</v>
      </c>
      <c r="H35" s="26" t="n">
        <f aca="false">H29*(1-etr)</f>
        <v>10.0988298204053</v>
      </c>
      <c r="I35" s="26" t="n">
        <f aca="false">I29*(1-etr)</f>
        <v>10.0705453384941</v>
      </c>
      <c r="J35" s="26" t="n">
        <f aca="false">J29*(1-etr)</f>
        <v>12.3537625725668</v>
      </c>
    </row>
    <row r="36" customFormat="false" ht="17.15" hidden="false" customHeight="false" outlineLevel="0" collapsed="false">
      <c r="A36" s="4" t="s">
        <v>736</v>
      </c>
      <c r="B36" s="8" t="s">
        <v>202</v>
      </c>
      <c r="C36" s="27" t="n">
        <f aca="false">(dep_q1-nonai_dep_q)*4*life_ai</f>
        <v>58.026</v>
      </c>
      <c r="D36" s="27" t="n">
        <f aca="false">C36+cip_q1</f>
        <v>106.572</v>
      </c>
      <c r="E36" s="27" t="n">
        <f aca="false">D36+D25</f>
        <v>166.761580444931</v>
      </c>
      <c r="F36" s="27" t="n">
        <f aca="false">E36+F25</f>
        <v>247.687944844931</v>
      </c>
      <c r="G36" s="27" t="n">
        <f aca="false">F36+G25</f>
        <v>258.670145922131</v>
      </c>
      <c r="H36" s="27" t="n">
        <f aca="false">G36+H25</f>
        <v>272.705563940675</v>
      </c>
      <c r="I36" s="27" t="n">
        <f aca="false">H36+I25</f>
        <v>290.164734043599</v>
      </c>
      <c r="J36" s="27" t="n">
        <f aca="false">I36+J25</f>
        <v>353.038942341059</v>
      </c>
      <c r="K36" s="8" t="s">
        <v>737</v>
      </c>
    </row>
    <row r="37" customFormat="false" ht="17.15" hidden="false" customHeight="false" outlineLevel="0" collapsed="false">
      <c r="A37" s="4" t="s">
        <v>738</v>
      </c>
      <c r="B37" s="8" t="s">
        <v>98</v>
      </c>
      <c r="F37" s="12" t="n">
        <f aca="false">F35/E36</f>
        <v>0.050918759867934</v>
      </c>
      <c r="G37" s="12" t="n">
        <f aca="false">G35/F36</f>
        <v>0.0434648535742587</v>
      </c>
      <c r="H37" s="12" t="n">
        <f aca="false">H35/G36</f>
        <v>0.0390413427278362</v>
      </c>
      <c r="I37" s="12" t="n">
        <f aca="false">I35/H36</f>
        <v>0.0369282723570866</v>
      </c>
      <c r="J37" s="12" t="n">
        <f aca="false">J35/I36</f>
        <v>0.0425749966248846</v>
      </c>
      <c r="K37" s="5" t="s">
        <v>739</v>
      </c>
    </row>
    <row r="39" customFormat="false" ht="17.15" hidden="false" customHeight="false" outlineLevel="0" collapsed="false">
      <c r="A39" s="3" t="s">
        <v>740</v>
      </c>
    </row>
    <row r="40" customFormat="false" ht="15" hidden="false" customHeight="false" outlineLevel="0" collapsed="false">
      <c r="A40" s="2" t="s">
        <v>693</v>
      </c>
      <c r="B40" s="5" t="s">
        <v>163</v>
      </c>
      <c r="C40" s="24" t="n">
        <v>0.25</v>
      </c>
      <c r="D40" s="24" t="n">
        <v>0.75</v>
      </c>
      <c r="E40" s="24" t="n">
        <v>1</v>
      </c>
      <c r="F40" s="24" t="n">
        <v>1</v>
      </c>
      <c r="G40" s="24" t="n">
        <v>1</v>
      </c>
      <c r="H40" s="24" t="n">
        <v>1</v>
      </c>
      <c r="I40" s="24" t="n">
        <v>1</v>
      </c>
      <c r="J40" s="24" t="n">
        <v>1</v>
      </c>
    </row>
    <row r="41" customFormat="false" ht="17.15" hidden="false" customHeight="false" outlineLevel="0" collapsed="false">
      <c r="A41" s="2" t="s">
        <v>694</v>
      </c>
      <c r="B41" s="8" t="s">
        <v>50</v>
      </c>
      <c r="C41" s="18" t="n">
        <f aca="false">mw_q1</f>
        <v>2543</v>
      </c>
      <c r="D41" s="18" t="n">
        <f aca="false">MIN(cap_B,mw_q1+pace_B*D40)</f>
        <v>4667.75</v>
      </c>
      <c r="E41" s="18" t="n">
        <f aca="false">D41</f>
        <v>4667.75</v>
      </c>
      <c r="F41" s="18" t="n">
        <f aca="false">MIN(cap_B,E41+pace_B*F40)</f>
        <v>7500.75</v>
      </c>
      <c r="G41" s="18" t="n">
        <f aca="false">MIN(cap_B,F41+pace_B*G40)</f>
        <v>8778</v>
      </c>
      <c r="H41" s="18" t="n">
        <f aca="false">G41+MAX(0,MIN(cap_B,G41+pace_B)-G41)+(tp_g*G41-MAX(0,MIN(cap_B,G41+pace_B)-G41))*1/3</f>
        <v>8865.78</v>
      </c>
      <c r="I41" s="18" t="n">
        <f aca="false">H41+MAX(0,MIN(cap_B,H41+pace_B)-H41)+(tp_g*H41-MAX(0,MIN(cap_B,H41+pace_B)-H41))*2/3</f>
        <v>9043.0956</v>
      </c>
      <c r="J41" s="18" t="n">
        <f aca="false">I41+MAX(0,MIN(cap_B,I41+pace_B)-I41)+(tp_g*I41-MAX(0,MIN(cap_B,I41+pace_B)-I41))*3/3</f>
        <v>9314.388468</v>
      </c>
      <c r="K41" s="8" t="s">
        <v>741</v>
      </c>
    </row>
    <row r="42" customFormat="false" ht="17.15" hidden="false" customHeight="false" outlineLevel="0" collapsed="false">
      <c r="A42" s="2" t="s">
        <v>696</v>
      </c>
      <c r="B42" s="8" t="s">
        <v>50</v>
      </c>
      <c r="C42" s="18" t="n">
        <f aca="false">C41-mw_fy26</f>
        <v>708</v>
      </c>
      <c r="D42" s="18" t="n">
        <f aca="false">D41-C41</f>
        <v>2124.75</v>
      </c>
      <c r="E42" s="18" t="n">
        <f aca="false">E41-mw_fy26</f>
        <v>2832.75</v>
      </c>
      <c r="F42" s="18" t="n">
        <f aca="false">F41-E41</f>
        <v>2833</v>
      </c>
      <c r="G42" s="18" t="n">
        <f aca="false">G41-F41</f>
        <v>1277.25</v>
      </c>
      <c r="H42" s="18" t="n">
        <f aca="false">H41-G41</f>
        <v>87.7800000000007</v>
      </c>
      <c r="I42" s="18" t="n">
        <f aca="false">I41-H41</f>
        <v>177.3156</v>
      </c>
      <c r="J42" s="18" t="n">
        <f aca="false">J41-I41</f>
        <v>271.292868</v>
      </c>
    </row>
    <row r="43" customFormat="false" ht="17.15" hidden="false" customHeight="false" outlineLevel="0" collapsed="false">
      <c r="A43" s="2" t="s">
        <v>697</v>
      </c>
      <c r="B43" s="8" t="s">
        <v>50</v>
      </c>
      <c r="C43" s="18" t="n">
        <f aca="false">(mw_fy26+C41)/2</f>
        <v>2189</v>
      </c>
      <c r="D43" s="18" t="n">
        <f aca="false">(C41+D41)/2</f>
        <v>3605.375</v>
      </c>
      <c r="E43" s="18" t="n">
        <f aca="false">(C43*C40+D43*D40)/E40</f>
        <v>3251.28125</v>
      </c>
      <c r="F43" s="18" t="n">
        <f aca="false">(E41+F41)/2</f>
        <v>6084.25</v>
      </c>
      <c r="G43" s="18" t="n">
        <f aca="false">(F41+G41)/2</f>
        <v>8139.375</v>
      </c>
      <c r="H43" s="18" t="n">
        <f aca="false">(G41+H41)/2</f>
        <v>8821.89</v>
      </c>
      <c r="I43" s="18" t="n">
        <f aca="false">(H41+I41)/2</f>
        <v>8954.4378</v>
      </c>
      <c r="J43" s="18" t="n">
        <f aca="false">(I41+J41)/2</f>
        <v>9178.742034</v>
      </c>
    </row>
    <row r="44" customFormat="false" ht="17.15" hidden="false" customHeight="false" outlineLevel="0" collapsed="false">
      <c r="A44" s="2" t="s">
        <v>698</v>
      </c>
      <c r="B44" s="8" t="s">
        <v>50</v>
      </c>
      <c r="C44" s="18" t="n">
        <f aca="false">C43</f>
        <v>2189</v>
      </c>
      <c r="D44" s="18" t="n">
        <f aca="false">MAX(0,D43-delay_B/12*D42/D40)</f>
        <v>2897.125</v>
      </c>
      <c r="E44" s="18" t="n">
        <f aca="false">(C44*C40+D44*D40)/E40</f>
        <v>2720.09375</v>
      </c>
      <c r="F44" s="18" t="n">
        <f aca="false">MAX(0,F43-delay_B/12*F42/F40)</f>
        <v>5376</v>
      </c>
      <c r="G44" s="18" t="n">
        <f aca="false">MAX(0,G43-delay_B/12*G42/G40)</f>
        <v>7820.0625</v>
      </c>
      <c r="H44" s="18" t="n">
        <f aca="false">MAX(0,H43-delay_B/12*H42/H40)</f>
        <v>8799.945</v>
      </c>
      <c r="I44" s="18" t="n">
        <f aca="false">MAX(0,I43-delay_B/12*I42/I40)</f>
        <v>8910.1089</v>
      </c>
      <c r="J44" s="18" t="n">
        <f aca="false">MAX(0,J43-delay_B/12*J42/J40)</f>
        <v>9110.918817</v>
      </c>
      <c r="K44" s="5" t="s">
        <v>742</v>
      </c>
    </row>
    <row r="45" customFormat="false" ht="17.15" hidden="false" customHeight="false" outlineLevel="0" collapsed="false">
      <c r="A45" s="2" t="s">
        <v>700</v>
      </c>
      <c r="B45" s="8" t="s">
        <v>50</v>
      </c>
      <c r="C45" s="18" t="n">
        <f aca="false">C44*u_bill</f>
        <v>2079.55</v>
      </c>
      <c r="D45" s="18" t="n">
        <f aca="false">D44*u_bill</f>
        <v>2752.26875</v>
      </c>
      <c r="E45" s="18" t="n">
        <f aca="false">E44*u_bill</f>
        <v>2584.0890625</v>
      </c>
      <c r="F45" s="18" t="n">
        <f aca="false">F44*u_bill</f>
        <v>5107.2</v>
      </c>
      <c r="G45" s="18" t="n">
        <f aca="false">G44*u_bill</f>
        <v>7429.059375</v>
      </c>
      <c r="H45" s="18" t="n">
        <f aca="false">H44*u_bill</f>
        <v>8359.94775</v>
      </c>
      <c r="I45" s="18" t="n">
        <f aca="false">I44*u_bill</f>
        <v>8464.603455</v>
      </c>
      <c r="J45" s="18" t="n">
        <f aca="false">J44*u_bill</f>
        <v>8655.37287615</v>
      </c>
    </row>
    <row r="46" customFormat="false" ht="17.15" hidden="false" customHeight="false" outlineLevel="0" collapsed="false">
      <c r="A46" s="25" t="s">
        <v>701</v>
      </c>
    </row>
    <row r="47" customFormat="false" ht="15" hidden="false" customHeight="false" outlineLevel="0" collapsed="false">
      <c r="A47" s="4" t="s">
        <v>702</v>
      </c>
      <c r="B47" s="8" t="s">
        <v>50</v>
      </c>
      <c r="C47" s="18" t="n">
        <f aca="false">C41*om_h100</f>
        <v>508.6</v>
      </c>
      <c r="D47" s="18" t="n">
        <f aca="false">C47</f>
        <v>508.6</v>
      </c>
      <c r="E47" s="18" t="n">
        <f aca="false">D47</f>
        <v>508.6</v>
      </c>
      <c r="F47" s="18" t="n">
        <f aca="false">E47</f>
        <v>508.6</v>
      </c>
      <c r="G47" s="18" t="n">
        <f aca="false">F47</f>
        <v>508.6</v>
      </c>
      <c r="H47" s="18" t="n">
        <f aca="false">G47-C47*rf_h100_30</f>
        <v>254.3</v>
      </c>
      <c r="I47" s="18" t="n">
        <f aca="false">H47-C47*rf_h100_31</f>
        <v>0</v>
      </c>
      <c r="J47" s="18" t="n">
        <f aca="false">I47</f>
        <v>0</v>
      </c>
    </row>
    <row r="48" customFormat="false" ht="15" hidden="false" customHeight="false" outlineLevel="0" collapsed="false">
      <c r="A48" s="4" t="s">
        <v>703</v>
      </c>
      <c r="B48" s="8" t="s">
        <v>50</v>
      </c>
      <c r="C48" s="18" t="n">
        <f aca="false">C41*om_gb200</f>
        <v>1398.65</v>
      </c>
      <c r="D48" s="18" t="n">
        <f aca="false">C48</f>
        <v>1398.65</v>
      </c>
      <c r="E48" s="18" t="n">
        <f aca="false">D48</f>
        <v>1398.65</v>
      </c>
      <c r="F48" s="18" t="n">
        <f aca="false">E48</f>
        <v>1398.65</v>
      </c>
      <c r="G48" s="18" t="n">
        <f aca="false">F48</f>
        <v>1398.65</v>
      </c>
      <c r="H48" s="18" t="n">
        <f aca="false">G48</f>
        <v>1398.65</v>
      </c>
      <c r="I48" s="18" t="n">
        <f aca="false">H48</f>
        <v>1398.65</v>
      </c>
      <c r="J48" s="18" t="n">
        <f aca="false">I48-C48*rf_gb200_32</f>
        <v>0</v>
      </c>
    </row>
    <row r="49" customFormat="false" ht="15" hidden="false" customHeight="false" outlineLevel="0" collapsed="false">
      <c r="A49" s="4" t="s">
        <v>704</v>
      </c>
      <c r="B49" s="8" t="s">
        <v>50</v>
      </c>
      <c r="C49" s="18" t="n">
        <f aca="false">C41*om_gb300</f>
        <v>635.75</v>
      </c>
      <c r="D49" s="18" t="n">
        <f aca="false">C49+D42*nm27_gb300</f>
        <v>2760.5</v>
      </c>
      <c r="E49" s="18" t="n">
        <f aca="false">D49</f>
        <v>2760.5</v>
      </c>
      <c r="F49" s="18" t="n">
        <f aca="false">E49+F42*nm28_gb300</f>
        <v>4177</v>
      </c>
      <c r="G49" s="18" t="n">
        <f aca="false">F49+G42*nm29_gb300</f>
        <v>4177</v>
      </c>
      <c r="H49" s="18" t="n">
        <f aca="false">G49+H42*nm29_gb300</f>
        <v>4177</v>
      </c>
      <c r="I49" s="18" t="n">
        <f aca="false">H49+I42*nm29_gb300</f>
        <v>4177</v>
      </c>
      <c r="J49" s="18" t="n">
        <f aca="false">I49+J42*nm29_gb300</f>
        <v>4177</v>
      </c>
    </row>
    <row r="50" customFormat="false" ht="15" hidden="false" customHeight="false" outlineLevel="0" collapsed="false">
      <c r="A50" s="4" t="s">
        <v>705</v>
      </c>
      <c r="B50" s="8" t="s">
        <v>50</v>
      </c>
      <c r="C50" s="18" t="n">
        <f aca="false">0</f>
        <v>0</v>
      </c>
      <c r="D50" s="18" t="n">
        <f aca="false">C50+D42*(1-nm27_gb300)</f>
        <v>0</v>
      </c>
      <c r="E50" s="18" t="n">
        <f aca="false">D50</f>
        <v>0</v>
      </c>
      <c r="F50" s="18" t="n">
        <f aca="false">E50+F42*(1-nm28_gb300)</f>
        <v>1416.5</v>
      </c>
      <c r="G50" s="18" t="n">
        <f aca="false">F50+G42*(1-nm29_gb300)</f>
        <v>2693.75</v>
      </c>
      <c r="H50" s="18" t="n">
        <f aca="false">G50+H42*(1-nm29_gb300)+C47*rf_h100_30</f>
        <v>3035.83</v>
      </c>
      <c r="I50" s="18" t="n">
        <f aca="false">H50+I42*(1-nm29_gb300)+C47*rf_h100_31</f>
        <v>3467.4456</v>
      </c>
      <c r="J50" s="18" t="n">
        <f aca="false">I50+J42*(1-nm29_gb300)+C48*rf_gb200_32</f>
        <v>5137.388468</v>
      </c>
    </row>
    <row r="51" customFormat="false" ht="17.15" hidden="false" customHeight="false" outlineLevel="0" collapsed="false">
      <c r="A51" s="2" t="s">
        <v>706</v>
      </c>
      <c r="B51" s="8" t="s">
        <v>50</v>
      </c>
      <c r="C51" s="11" t="n">
        <f aca="false">SUM(C47:C50)-C41</f>
        <v>0</v>
      </c>
      <c r="D51" s="11" t="n">
        <f aca="false">SUM(D47:D50)-D41</f>
        <v>0</v>
      </c>
      <c r="E51" s="11" t="n">
        <f aca="false">SUM(E47:E50)-E41</f>
        <v>0</v>
      </c>
      <c r="F51" s="11" t="n">
        <f aca="false">SUM(F47:F50)-F41</f>
        <v>0</v>
      </c>
      <c r="G51" s="11" t="n">
        <f aca="false">SUM(G47:G50)-G41</f>
        <v>0</v>
      </c>
      <c r="H51" s="11" t="n">
        <f aca="false">SUM(H47:H50)-H41</f>
        <v>0</v>
      </c>
      <c r="I51" s="11" t="n">
        <f aca="false">SUM(I47:I50)-I41</f>
        <v>0</v>
      </c>
      <c r="J51" s="11" t="n">
        <f aca="false">SUM(J47:J50)-J41</f>
        <v>0</v>
      </c>
    </row>
    <row r="52" customFormat="false" ht="17.15" hidden="false" customHeight="false" outlineLevel="0" collapsed="false">
      <c r="A52" s="2" t="s">
        <v>707</v>
      </c>
      <c r="B52" s="8" t="s">
        <v>131</v>
      </c>
      <c r="C52" s="24" t="n">
        <f aca="false">om_h100*he_h100+om_gb200*he_gb200+om_gb300*he_gb300</f>
        <v>9.51773</v>
      </c>
      <c r="D52" s="24" t="n">
        <f aca="false">((C47+D47)*he_h100+(C48+D48)*he_gb200+(C49+D49)*he_gb300+(C50+D50)*he_vr200)/(C41+D41)</f>
        <v>9.92102807336269</v>
      </c>
      <c r="E52" s="24" t="n">
        <f aca="false">(C52*C45*C40+D52*D45*D40)/(C45*C40+D45*D40)</f>
        <v>9.83988937340143</v>
      </c>
      <c r="F52" s="24" t="n">
        <f aca="false">((E47+F47)*he_h100+(E48+F48)*he_gb200+(E49+F49)*he_gb300+(E50+F50)*he_vr200)/(E41+F41)</f>
        <v>10.4702254123351</v>
      </c>
      <c r="G52" s="24" t="n">
        <f aca="false">((F47+G47)*he_h100+(F48+G48)*he_gb200+(F49+G49)*he_gb300+(F50+G50)*he_vr200)/(F41+G41)</f>
        <v>10.7968955942563</v>
      </c>
      <c r="H52" s="24" t="n">
        <f aca="false">((G47+H47)*he_h100+(G48+H48)*he_gb200+(G49+H49)*he_gb300+(G50+H50)*he_vr200)/(G41+H41)</f>
        <v>10.9437764889383</v>
      </c>
      <c r="I52" s="24" t="n">
        <f aca="false">((H47+I47)*he_h100+(H48+I48)*he_gb200+(H49+I49)*he_gb300+(H50+I50)*he_vr200)/(H41+I41)</f>
        <v>11.0343836236039</v>
      </c>
      <c r="J52" s="24" t="n">
        <f aca="false">((I47+J47)*he_h100+(I48+J48)*he_gb200+(I49+J49)*he_gb300+(I50+J50)*he_vr200)/(I41+J41)</f>
        <v>11.3572723612909</v>
      </c>
      <c r="K52" s="5" t="s">
        <v>708</v>
      </c>
    </row>
    <row r="53" customFormat="false" ht="17.15" hidden="false" customHeight="false" outlineLevel="0" collapsed="false">
      <c r="A53" s="2" t="s">
        <v>709</v>
      </c>
      <c r="B53" s="8" t="s">
        <v>131</v>
      </c>
      <c r="C53" s="24" t="n">
        <f aca="false">C52*k_mix*k_adj</f>
        <v>9.37235843089975</v>
      </c>
      <c r="D53" s="24" t="n">
        <f aca="false">D52*k_mix*k_adj</f>
        <v>9.76949662436042</v>
      </c>
      <c r="E53" s="24" t="n">
        <f aca="false">E52*k_mix*k_adj</f>
        <v>9.68959721781557</v>
      </c>
      <c r="F53" s="24" t="n">
        <f aca="false">F52*k_mix*k_adj</f>
        <v>10.3103056523688</v>
      </c>
      <c r="G53" s="24" t="n">
        <f aca="false">G52*k_mix*k_adj</f>
        <v>10.6319863507761</v>
      </c>
      <c r="H53" s="24" t="n">
        <f aca="false">H52*k_mix*k_adj</f>
        <v>10.7766238212245</v>
      </c>
      <c r="I53" s="24" t="n">
        <f aca="false">I52*k_mix*k_adj</f>
        <v>10.8658470438294</v>
      </c>
      <c r="J53" s="24" t="n">
        <f aca="false">J52*k_mix*k_adj</f>
        <v>11.1838040548922</v>
      </c>
      <c r="K53" s="8" t="s">
        <v>710</v>
      </c>
    </row>
    <row r="54" customFormat="false" ht="17.15" hidden="false" customHeight="false" outlineLevel="0" collapsed="false">
      <c r="A54" s="4" t="s">
        <v>711</v>
      </c>
      <c r="B54" s="8" t="s">
        <v>202</v>
      </c>
      <c r="C54" s="26" t="n">
        <f aca="false">C45*C53*C40/1000</f>
        <v>4.87257199374439</v>
      </c>
      <c r="D54" s="26" t="n">
        <f aca="false">D45*D53*D40/1000</f>
        <v>20.1662101968433</v>
      </c>
      <c r="E54" s="26" t="n">
        <f aca="false">C54+D54</f>
        <v>25.0387821905876</v>
      </c>
      <c r="F54" s="26" t="n">
        <f aca="false">F45*F53*F40/1000</f>
        <v>52.6567930277778</v>
      </c>
      <c r="G54" s="26" t="n">
        <f aca="false">G45*G53*G40/1000</f>
        <v>78.9856578741055</v>
      </c>
      <c r="H54" s="26" t="n">
        <f aca="false">H45*H53*H40/1000</f>
        <v>90.0920120668425</v>
      </c>
      <c r="I54" s="26" t="n">
        <f aca="false">I45*I53*I40/1000</f>
        <v>91.9750864286999</v>
      </c>
      <c r="J54" s="26" t="n">
        <f aca="false">J45*J53*J40/1000</f>
        <v>96.7999942688904</v>
      </c>
      <c r="K54" s="8" t="s">
        <v>712</v>
      </c>
    </row>
    <row r="55" customFormat="false" ht="17.15" hidden="false" customHeight="false" outlineLevel="0" collapsed="false">
      <c r="A55" s="2" t="s">
        <v>713</v>
      </c>
      <c r="B55" s="8" t="s">
        <v>131</v>
      </c>
      <c r="C55" s="11" t="n">
        <f aca="false">om_h100*ox_h100+om_gb200*ox_gb200+om_gb300*ox_gb300</f>
        <v>1.8693</v>
      </c>
      <c r="D55" s="11" t="n">
        <f aca="false">((C47+D47)*ox_h100+(C48+D48)*ox_gb200+(C49+D49)*ox_gb300+(C50+D50)*ox_vr200)/(C41+D41)</f>
        <v>1.90268545574316</v>
      </c>
      <c r="E55" s="11" t="n">
        <f aca="false">(C55*C44*C40+D55*D44*D40)/(C44*C40+D44*D40)</f>
        <v>1.89596870539018</v>
      </c>
      <c r="F55" s="11" t="n">
        <f aca="false">((E47+F47)*ox_h100+(E48+F48)*ox_gb200+(E49+F49)*ox_gb300+(E50+F50)*ox_vr200)/(E41+F41)</f>
        <v>1.94815418087685</v>
      </c>
      <c r="G55" s="11" t="n">
        <f aca="false">((F47+G47)*ox_h100+(F48+G48)*ox_gb200+(F49+G49)*ox_gb300+(F50+G50)*ox_vr200)/(F41+G41)</f>
        <v>1.97520280580511</v>
      </c>
      <c r="H55" s="11" t="n">
        <f aca="false">((G47+H47)*ox_h100+(G48+H48)*ox_gb200+(G49+H49)*ox_gb300+(G50+H50)*ox_vr200)/(G41+H41)</f>
        <v>1.98736443211149</v>
      </c>
      <c r="I55" s="11" t="n">
        <f aca="false">((H47+I47)*ox_h100+(H48+I48)*ox_gb200+(H49+I49)*ox_gb300+(H50+I50)*ox_vr200)/(H41+I41)</f>
        <v>1.99486528001792</v>
      </c>
      <c r="J55" s="11" t="n">
        <f aca="false">((I47+J47)*ox_h100+(I48+J48)*ox_gb200+(I49+J49)*ox_gb300+(I50+J50)*ox_vr200)/(I41+J41)</f>
        <v>2.02160023203012</v>
      </c>
    </row>
    <row r="56" customFormat="false" ht="17.15" hidden="false" customHeight="false" outlineLevel="0" collapsed="false">
      <c r="A56" s="4" t="s">
        <v>714</v>
      </c>
      <c r="B56" s="8" t="s">
        <v>202</v>
      </c>
      <c r="C56" s="26" t="n">
        <f aca="false">C44*C55*C40/1000</f>
        <v>1.022974425</v>
      </c>
      <c r="D56" s="26" t="n">
        <f aca="false">D44*D55*D40/1000</f>
        <v>4.13423820072743</v>
      </c>
      <c r="E56" s="26" t="n">
        <f aca="false">C56+D56</f>
        <v>5.15721262572743</v>
      </c>
      <c r="F56" s="26" t="n">
        <f aca="false">F44*F55*F40/1000</f>
        <v>10.473276876394</v>
      </c>
      <c r="G56" s="26" t="n">
        <f aca="false">G44*G55*G40/1000</f>
        <v>15.4462093915714</v>
      </c>
      <c r="H56" s="26" t="n">
        <f aca="false">H44*H55*H40/1000</f>
        <v>17.4886976975373</v>
      </c>
      <c r="I56" s="26" t="n">
        <f aca="false">I44*I55*I40/1000</f>
        <v>17.7744668857886</v>
      </c>
      <c r="J56" s="26" t="n">
        <f aca="false">J44*J55*J40/1000</f>
        <v>18.4186355944548</v>
      </c>
      <c r="K56" s="5" t="s">
        <v>715</v>
      </c>
    </row>
    <row r="57" customFormat="false" ht="17.15" hidden="false" customHeight="false" outlineLevel="0" collapsed="false">
      <c r="A57" s="4" t="s">
        <v>716</v>
      </c>
      <c r="B57" s="8" t="s">
        <v>202</v>
      </c>
      <c r="C57" s="26" t="n">
        <f aca="false">0</f>
        <v>0</v>
      </c>
      <c r="D57" s="26" t="n">
        <f aca="false">lease_unc/lease_term*IF(lease_q0&lt;=lease_q,(lease_q0)*((lease_q0)+1)/2,lease_q*(lease_q+1)/2+((lease_q0)-lease_q)*lease_q)/(lease_q*4)</f>
        <v>2.31016042780749</v>
      </c>
      <c r="E57" s="26" t="n">
        <f aca="false">D57</f>
        <v>2.31016042780749</v>
      </c>
      <c r="F57" s="26" t="n">
        <f aca="false">lease_unc/lease_term*(IF(lease_q0+4*1&lt;=lease_q,(lease_q0+4*1)*((lease_q0+4*1)+1)/2,lease_q*(lease_q+1)/2+((lease_q0+4*1)-lease_q)*lease_q)-IF(lease_q0+4*0&lt;=lease_q,(lease_q0+4*0)*((lease_q0+4*0)+1)/2,lease_q*(lease_q+1)/2+((lease_q0+4*0)-lease_q)*lease_q))/(lease_q*4)+MAX(0,F43-cap_B)*lease_unc/lease_term/(cap_B-mw_q1)</f>
        <v>8.47058823529412</v>
      </c>
      <c r="G57" s="26" t="n">
        <f aca="false">lease_unc/lease_term*(IF(lease_q0+4*2&lt;=lease_q,(lease_q0+4*2)*((lease_q0+4*2)+1)/2,lease_q*(lease_q+1)/2+((lease_q0+4*2)-lease_q)*lease_q)-IF(lease_q0+4*1&lt;=lease_q,(lease_q0+4*1)*((lease_q0+4*1)+1)/2,lease_q*(lease_q+1)/2+((lease_q0+4*1)-lease_q)*lease_q))/(lease_q*4)+MAX(0,G43-cap_B)*lease_unc/lease_term/(cap_B-mw_q1)</f>
        <v>14.6310160427807</v>
      </c>
      <c r="H57" s="26" t="n">
        <f aca="false">lease_unc/lease_term*(IF(lease_q0+4*3&lt;=lease_q,(lease_q0+4*3)*((lease_q0+4*3)+1)/2,lease_q*(lease_q+1)/2+((lease_q0+4*3)-lease_q)*lease_q)-IF(lease_q0+4*2&lt;=lease_q,(lease_q0+4*2)*((lease_q0+4*2)+1)/2,lease_q*(lease_q+1)/2+((lease_q0+4*2)-lease_q)*lease_q))/(lease_q*4)+MAX(0,H43-cap_B)*lease_unc/lease_term/(cap_B-mw_q1)</f>
        <v>17.0604303976603</v>
      </c>
      <c r="I57" s="26" t="n">
        <f aca="false">lease_unc/lease_term*(IF(lease_q0+4*4&lt;=lease_q,(lease_q0+4*4)*((lease_q0+4*4)+1)/2,lease_q*(lease_q+1)/2+((lease_q0+4*4)-lease_q)*lease_q)-IF(lease_q0+4*3&lt;=lease_q,(lease_q0+4*3)*((lease_q0+4*3)+1)/2,lease_q*(lease_q+1)/2+((lease_q0+4*3)-lease_q)*lease_q))/(lease_q*4)+MAX(0,I43-cap_B)*lease_unc/lease_term/(cap_B-mw_q1)</f>
        <v>17.4205772574178</v>
      </c>
      <c r="J57" s="26" t="n">
        <f aca="false">lease_unc/lease_term*(IF(lease_q0+4*5&lt;=lease_q,(lease_q0+4*5)*((lease_q0+4*5)+1)/2,lease_q*(lease_q+1)/2+((lease_q0+4*5)-lease_q)*lease_q)-IF(lease_q0+4*4&lt;=lease_q,(lease_q0+4*4)*((lease_q0+4*4)+1)/2,lease_q*(lease_q+1)/2+((lease_q0+4*4)-lease_q)*lease_q))/(lease_q*4)+MAX(0,J43-cap_B)*lease_unc/lease_term/(cap_B-mw_q1)</f>
        <v>18.0300363771121</v>
      </c>
      <c r="K57" s="8" t="s">
        <v>717</v>
      </c>
    </row>
    <row r="58" customFormat="false" ht="17.15" hidden="false" customHeight="false" outlineLevel="0" collapsed="false">
      <c r="A58" s="4" t="s">
        <v>718</v>
      </c>
      <c r="B58" s="8" t="s">
        <v>202</v>
      </c>
      <c r="C58" s="26" t="n">
        <f aca="false">capex_q1-nonai_cx*(q1_rev-C54)</f>
        <v>27.3412057594996</v>
      </c>
      <c r="D58" s="26" t="n">
        <f aca="false">E58-C58</f>
        <v>60.1895804449308</v>
      </c>
      <c r="E58" s="26" t="n">
        <f aca="false">capex_g27-nonai_cx*(Seg!D46-E54)</f>
        <v>87.5307862044304</v>
      </c>
      <c r="F58" s="26" t="n">
        <f aca="false">(F42*(1-lam)*(nm28_gb300*cx_gb300+(1-nm28_gb300)*cx_vr200)+G42*lam*(nm29_gb300*cx_gb300+(1-nm29_gb300)*cx_vr200))/1000</f>
        <v>81.0908644</v>
      </c>
      <c r="G58" s="26" t="n">
        <f aca="false">(G42*(1-lam)*(nm29_gb300*cx_gb300+(1-nm29_gb300)*cx_vr200)+H42*lam*(nm29_gb300*cx_gb300+(1-nm29_gb300)*cx_vr200))/1000</f>
        <v>32.3594660772</v>
      </c>
      <c r="H58" s="26" t="n">
        <f aca="false">(H42*(1-lam)*(nm29_gb300*cx_gb300+(1-nm29_gb300)*cx_vr200)+I42*lam*(nm29_gb300*cx_gb300+(1-nm29_gb300)*cx_vr200))/1000</f>
        <v>4.47719649854401</v>
      </c>
      <c r="I58" s="26" t="n">
        <f aca="false">(I42*(1-lam)*(nm29_gb300*cx_gb300+(1-nm29_gb300)*cx_vr200)+J42*lam*(nm29_gb300*cx_gb300+(1-nm29_gb300)*cx_vr200))/1000</f>
        <v>7.90094858292432</v>
      </c>
      <c r="J58" s="26" t="n">
        <f aca="false">(J42*(1-lam)*(nm29_gb300*cx_gb300+(1-nm29_gb300)*cx_vr200)+J42*(1+tp_g)*lam*(nm29_gb300*cx_gb300+(1-nm29_gb300)*cx_vr200))/1000</f>
        <v>10.3039899374601</v>
      </c>
      <c r="K58" s="8" t="s">
        <v>719</v>
      </c>
    </row>
    <row r="59" customFormat="false" ht="17.15" hidden="false" customHeight="false" outlineLevel="0" collapsed="false">
      <c r="A59" s="4" t="s">
        <v>720</v>
      </c>
      <c r="B59" s="8" t="s">
        <v>202</v>
      </c>
      <c r="C59" s="26" t="n">
        <f aca="false">0</f>
        <v>0</v>
      </c>
      <c r="D59" s="26" t="n">
        <f aca="false">0</f>
        <v>0</v>
      </c>
      <c r="E59" s="26" t="n">
        <f aca="false">0</f>
        <v>0</v>
      </c>
      <c r="F59" s="26" t="n">
        <f aca="false">0</f>
        <v>0</v>
      </c>
      <c r="G59" s="26" t="n">
        <f aca="false">0</f>
        <v>0</v>
      </c>
      <c r="H59" s="26" t="n">
        <f aca="false">C47*rf_h100_30*cx_vr200/1000</f>
        <v>9.55822152</v>
      </c>
      <c r="I59" s="26" t="n">
        <f aca="false">C47*rf_h100_31*cx_vr200/1000</f>
        <v>9.55822152</v>
      </c>
      <c r="J59" s="26" t="n">
        <f aca="false">C48*rf_gb200_32*cx_vr200/1000</f>
        <v>52.57021836</v>
      </c>
    </row>
    <row r="60" customFormat="false" ht="17.15" hidden="false" customHeight="false" outlineLevel="0" collapsed="false">
      <c r="A60" s="4" t="s">
        <v>721</v>
      </c>
      <c r="B60" s="8" t="s">
        <v>202</v>
      </c>
      <c r="C60" s="26" t="n">
        <f aca="false">C58+C59</f>
        <v>27.3412057594996</v>
      </c>
      <c r="D60" s="26" t="n">
        <f aca="false">D58+D59</f>
        <v>60.1895804449308</v>
      </c>
      <c r="E60" s="26" t="n">
        <f aca="false">E58+E59</f>
        <v>87.5307862044304</v>
      </c>
      <c r="F60" s="26" t="n">
        <f aca="false">F58+F59</f>
        <v>81.0908644</v>
      </c>
      <c r="G60" s="26" t="n">
        <f aca="false">G58+G59</f>
        <v>32.3594660772</v>
      </c>
      <c r="H60" s="26" t="n">
        <f aca="false">H58+H59</f>
        <v>14.035418018544</v>
      </c>
      <c r="I60" s="26" t="n">
        <f aca="false">I58+I59</f>
        <v>17.4591701029243</v>
      </c>
      <c r="J60" s="26" t="n">
        <f aca="false">J58+J59</f>
        <v>62.8742082974601</v>
      </c>
    </row>
    <row r="61" customFormat="false" ht="17.15" hidden="false" customHeight="false" outlineLevel="0" collapsed="false">
      <c r="A61" s="4" t="s">
        <v>722</v>
      </c>
      <c r="B61" s="8" t="s">
        <v>587</v>
      </c>
      <c r="C61" s="26" t="n">
        <f aca="false">(dep_q1-nonai_dep_q)*4</f>
        <v>9.671</v>
      </c>
      <c r="D61" s="26" t="n">
        <f aca="false">(dep_q1-nonai_dep_q)*4</f>
        <v>9.671</v>
      </c>
      <c r="E61" s="26" t="n">
        <f aca="false">(dep_q1-nonai_dep_q)*4</f>
        <v>9.671</v>
      </c>
      <c r="F61" s="26" t="n">
        <f aca="false">(dep_q1-nonai_dep_q)*4</f>
        <v>9.671</v>
      </c>
      <c r="G61" s="26" t="n">
        <f aca="false">(dep_q1-nonai_dep_q)*4</f>
        <v>9.671</v>
      </c>
      <c r="H61" s="26" t="n">
        <f aca="false">MAX(0,(dep_q1-nonai_dep_q)*4-rf_h100_30*C47*cx_h100/life_ai/1000)</f>
        <v>8.50502602333333</v>
      </c>
      <c r="I61" s="26" t="n">
        <f aca="false">MAX(0,(dep_q1-nonai_dep_q)*4-(rf_h100_30+rf_h100_31)*C47*cx_h100/life_ai/1000)</f>
        <v>7.33905204666667</v>
      </c>
      <c r="J61" s="26" t="n">
        <f aca="false">MAX(0,(dep_q1-nonai_dep_q)*4-(rf_h100_30+rf_h100_31)*C47*cx_h100/life_ai/1000-rf_gb200_32*C48*cx_gb200/life_ai/1000)</f>
        <v>1.7409088</v>
      </c>
      <c r="K61" s="8" t="s">
        <v>723</v>
      </c>
    </row>
    <row r="62" customFormat="false" ht="17.15" hidden="false" customHeight="false" outlineLevel="0" collapsed="false">
      <c r="A62" s="4" t="s">
        <v>724</v>
      </c>
      <c r="B62" s="8" t="s">
        <v>202</v>
      </c>
      <c r="C62" s="26" t="n">
        <f aca="false">C61*C40</f>
        <v>2.41775</v>
      </c>
      <c r="D62" s="26" t="n">
        <f aca="false">D61*D40+(cip_q1+D60)/life_ai*D40/2</f>
        <v>14.0492237778082</v>
      </c>
      <c r="E62" s="26" t="n">
        <f aca="false">C62+D62</f>
        <v>16.4669737778082</v>
      </c>
      <c r="F62" s="26" t="n">
        <f aca="false">F61+(cip_q1+D60)/life_ai+F60/life_ai/2</f>
        <v>34.5511687741551</v>
      </c>
      <c r="G62" s="26" t="n">
        <f aca="false">G61+(cip_q1+D60+F60)/life_ai+G60/life_ai/2</f>
        <v>44.0053629805885</v>
      </c>
      <c r="H62" s="26" t="n">
        <f aca="false">H61+(cip_q1+D60+F60+G60)/life_ai+H60/life_ai/2</f>
        <v>46.7056293452338</v>
      </c>
      <c r="I62" s="26" t="n">
        <f aca="false">I61+(cip_q1+D60+F60+G60+H60)/life_ai+I60/life_ai/2</f>
        <v>48.1642043786895</v>
      </c>
      <c r="J62" s="26" t="n">
        <f aca="false">J61+(cip_q1+D60+F60+G60+H60+I60)/life_ai+J60/life_ai/2</f>
        <v>49.2605093320549</v>
      </c>
      <c r="K62" s="5" t="s">
        <v>725</v>
      </c>
    </row>
    <row r="63" customFormat="false" ht="17.15" hidden="false" customHeight="false" outlineLevel="0" collapsed="false">
      <c r="A63" s="4" t="s">
        <v>726</v>
      </c>
      <c r="B63" s="8" t="s">
        <v>202</v>
      </c>
      <c r="C63" s="26" t="n">
        <f aca="false">C54-C56-C57</f>
        <v>3.84959756874439</v>
      </c>
      <c r="D63" s="26" t="n">
        <f aca="false">D54-D56-D57</f>
        <v>13.7218115683083</v>
      </c>
      <c r="E63" s="26" t="n">
        <f aca="false">E54-E56-E57</f>
        <v>17.5714091370527</v>
      </c>
      <c r="F63" s="26" t="n">
        <f aca="false">F54-F56-F57</f>
        <v>33.7129279160898</v>
      </c>
      <c r="G63" s="26" t="n">
        <f aca="false">G54-G56-G57</f>
        <v>48.9084324397534</v>
      </c>
      <c r="H63" s="26" t="n">
        <f aca="false">H54-H56-H57</f>
        <v>55.5428839716449</v>
      </c>
      <c r="I63" s="26" t="n">
        <f aca="false">I54-I56-I57</f>
        <v>56.7800422854935</v>
      </c>
      <c r="J63" s="26" t="n">
        <f aca="false">J54-J56-J57</f>
        <v>60.3513222973235</v>
      </c>
    </row>
    <row r="64" customFormat="false" ht="17.15" hidden="false" customHeight="false" outlineLevel="0" collapsed="false">
      <c r="A64" s="4" t="s">
        <v>727</v>
      </c>
      <c r="B64" s="8" t="s">
        <v>202</v>
      </c>
      <c r="C64" s="26" t="n">
        <f aca="false">C63-C62</f>
        <v>1.43184756874439</v>
      </c>
      <c r="D64" s="26" t="n">
        <f aca="false">D63-D62</f>
        <v>-0.327412209499846</v>
      </c>
      <c r="E64" s="26" t="n">
        <f aca="false">E63-E62</f>
        <v>1.10443535924454</v>
      </c>
      <c r="F64" s="26" t="n">
        <f aca="false">F63-F62</f>
        <v>-0.838240858065383</v>
      </c>
      <c r="G64" s="26" t="n">
        <f aca="false">G63-G62</f>
        <v>4.90306945916489</v>
      </c>
      <c r="H64" s="26" t="n">
        <f aca="false">H63-H62</f>
        <v>8.83725462641112</v>
      </c>
      <c r="I64" s="26" t="n">
        <f aca="false">I63-I62</f>
        <v>8.61583790680396</v>
      </c>
      <c r="J64" s="26" t="n">
        <f aca="false">J63-J62</f>
        <v>11.0908129652687</v>
      </c>
      <c r="K64" s="5" t="s">
        <v>728</v>
      </c>
    </row>
    <row r="65" customFormat="false" ht="17.15" hidden="false" customHeight="false" outlineLevel="0" collapsed="false">
      <c r="A65" s="4" t="s">
        <v>729</v>
      </c>
      <c r="B65" s="8" t="s">
        <v>98</v>
      </c>
      <c r="C65" s="12" t="n">
        <f aca="false">IF(C54=0,0,C64/C54)</f>
        <v>0.293858678862551</v>
      </c>
      <c r="D65" s="12" t="n">
        <f aca="false">IF(D54=0,0,D64/D54)</f>
        <v>-0.016235683666091</v>
      </c>
      <c r="E65" s="12" t="n">
        <f aca="false">IF(E54=0,0,E64/E54)</f>
        <v>0.0441089886416165</v>
      </c>
      <c r="F65" s="12" t="n">
        <f aca="false">IF(F54=0,0,F64/F54)</f>
        <v>-0.0159189500511964</v>
      </c>
      <c r="G65" s="12" t="n">
        <f aca="false">IF(G54=0,0,G64/G54)</f>
        <v>0.0620754399106208</v>
      </c>
      <c r="H65" s="12" t="n">
        <f aca="false">IF(H54=0,0,H64/H54)</f>
        <v>0.0980914336762114</v>
      </c>
      <c r="I65" s="12" t="n">
        <f aca="false">IF(I54=0,0,I64/I54)</f>
        <v>0.0936757794023173</v>
      </c>
      <c r="J65" s="12" t="n">
        <f aca="false">IF(J54=0,0,J64/J54)</f>
        <v>0.114574520887477</v>
      </c>
    </row>
    <row r="66" customFormat="false" ht="17.15" hidden="false" customHeight="false" outlineLevel="0" collapsed="false">
      <c r="A66" s="4" t="s">
        <v>730</v>
      </c>
      <c r="B66" s="8" t="s">
        <v>202</v>
      </c>
      <c r="C66" s="26" t="n">
        <f aca="false">q1_oci-C54</f>
        <v>2.51542800625561</v>
      </c>
      <c r="D66" s="26" t="n">
        <f aca="false">C66*((1+gna0)^0.25+(1+gna0)^0.5+(1+gna0)^0.75)</f>
        <v>8.27226573303413</v>
      </c>
      <c r="E66" s="26" t="n">
        <f aca="false">C66+D66</f>
        <v>10.7876937392897</v>
      </c>
      <c r="F66" s="26" t="n">
        <f aca="false">E66*(1+F67)</f>
        <v>12.6863278374047</v>
      </c>
      <c r="G66" s="26" t="n">
        <f aca="false">F66*(1+G67)</f>
        <v>14.6146496686903</v>
      </c>
      <c r="H66" s="26" t="n">
        <f aca="false">G66*(1+H67)</f>
        <v>16.4853248262826</v>
      </c>
      <c r="I66" s="26" t="n">
        <f aca="false">H66*(1+I67)</f>
        <v>18.199798608216</v>
      </c>
      <c r="J66" s="26" t="n">
        <f aca="false">I66*(1+J67)</f>
        <v>19.6557824968733</v>
      </c>
      <c r="K66" s="8" t="s">
        <v>731</v>
      </c>
    </row>
    <row r="67" customFormat="false" ht="17.15" hidden="false" customHeight="false" outlineLevel="0" collapsed="false">
      <c r="A67" s="4" t="s">
        <v>732</v>
      </c>
      <c r="B67" s="8" t="s">
        <v>98</v>
      </c>
      <c r="F67" s="12" t="n">
        <f aca="false">gna0+(gnaLT-gna0)*1/5</f>
        <v>0.176</v>
      </c>
      <c r="G67" s="12" t="n">
        <f aca="false">gna0+(gnaLT-gna0)*2/5</f>
        <v>0.152</v>
      </c>
      <c r="H67" s="12" t="n">
        <f aca="false">gna0+(gnaLT-gna0)*3/5</f>
        <v>0.128</v>
      </c>
      <c r="I67" s="12" t="n">
        <f aca="false">gna0+(gnaLT-gna0)*4/5</f>
        <v>0.104</v>
      </c>
      <c r="J67" s="12" t="n">
        <f aca="false">gna0+(gnaLT-gna0)*5/5</f>
        <v>0.08</v>
      </c>
    </row>
    <row r="68" customFormat="false" ht="17.15" hidden="false" customHeight="false" outlineLevel="0" collapsed="false">
      <c r="A68" s="4" t="s">
        <v>733</v>
      </c>
      <c r="B68" s="8" t="s">
        <v>202</v>
      </c>
      <c r="C68" s="26" t="n">
        <f aca="false">C54+C66</f>
        <v>7.388</v>
      </c>
      <c r="D68" s="26" t="n">
        <f aca="false">D54+D66</f>
        <v>28.4384759298774</v>
      </c>
      <c r="E68" s="26" t="n">
        <f aca="false">E54+E66</f>
        <v>35.8264759298774</v>
      </c>
      <c r="F68" s="26" t="n">
        <f aca="false">F54+F66</f>
        <v>65.3431208651826</v>
      </c>
      <c r="G68" s="26" t="n">
        <f aca="false">G54+G66</f>
        <v>93.6003075427957</v>
      </c>
      <c r="H68" s="26" t="n">
        <f aca="false">H54+H66</f>
        <v>106.577336893125</v>
      </c>
      <c r="I68" s="26" t="n">
        <f aca="false">I54+I66</f>
        <v>110.174885036916</v>
      </c>
      <c r="J68" s="26" t="n">
        <f aca="false">J54+J66</f>
        <v>116.455776765764</v>
      </c>
    </row>
    <row r="69" customFormat="false" ht="17.15" hidden="false" customHeight="false" outlineLevel="0" collapsed="false">
      <c r="A69" s="4" t="s">
        <v>734</v>
      </c>
      <c r="B69" s="8" t="s">
        <v>98</v>
      </c>
      <c r="C69" s="12" t="n">
        <f aca="false">(C64+(m_sw+m_adj)*C66)/C68</f>
        <v>0.413488191117061</v>
      </c>
      <c r="D69" s="12" t="n">
        <f aca="false">(D64+(m_sw+m_adj)*D66)/D68</f>
        <v>0.176170302494499</v>
      </c>
      <c r="E69" s="12" t="n">
        <f aca="false">(E64+(m_sw+m_adj)*E66)/E68</f>
        <v>0.225109097495581</v>
      </c>
      <c r="F69" s="12" t="n">
        <f aca="false">(F64+(m_sw+m_adj)*F66)/F68</f>
        <v>0.112440683608236</v>
      </c>
      <c r="G69" s="12" t="n">
        <f aca="false">(G64+(m_sw+m_adj)*G66)/G68</f>
        <v>0.153126914967824</v>
      </c>
      <c r="H69" s="12" t="n">
        <f aca="false">(H64+(m_sw+m_adj)*H66)/H68</f>
        <v>0.182720906235722</v>
      </c>
      <c r="I69" s="12" t="n">
        <f aca="false">(I64+(m_sw+m_adj)*I66)/I68</f>
        <v>0.184785332539095</v>
      </c>
      <c r="J69" s="12" t="n">
        <f aca="false">(J64+(m_sw+m_adj)*J66)/J68</f>
        <v>0.204138495115278</v>
      </c>
    </row>
    <row r="70" customFormat="false" ht="17.15" hidden="false" customHeight="false" outlineLevel="0" collapsed="false">
      <c r="A70" s="4" t="s">
        <v>735</v>
      </c>
      <c r="B70" s="8" t="s">
        <v>202</v>
      </c>
      <c r="C70" s="26" t="n">
        <f aca="false">C64*(1-etr)</f>
        <v>1.21563858586399</v>
      </c>
      <c r="D70" s="26" t="n">
        <f aca="false">D64*(1-etr)</f>
        <v>-0.277972965865369</v>
      </c>
      <c r="E70" s="26" t="n">
        <f aca="false">E64*(1-etr)</f>
        <v>0.937665619998615</v>
      </c>
      <c r="F70" s="26" t="n">
        <f aca="false">F64*(1-etr)</f>
        <v>-0.71166648849751</v>
      </c>
      <c r="G70" s="26" t="n">
        <f aca="false">G64*(1-etr)</f>
        <v>4.16270597083099</v>
      </c>
      <c r="H70" s="26" t="n">
        <f aca="false">H64*(1-etr)</f>
        <v>7.50282917782304</v>
      </c>
      <c r="I70" s="26" t="n">
        <f aca="false">I64*(1-etr)</f>
        <v>7.31484638287656</v>
      </c>
      <c r="J70" s="26" t="n">
        <f aca="false">J64*(1-etr)</f>
        <v>9.41610020751309</v>
      </c>
    </row>
    <row r="71" customFormat="false" ht="17.15" hidden="false" customHeight="false" outlineLevel="0" collapsed="false">
      <c r="A71" s="4" t="s">
        <v>736</v>
      </c>
      <c r="B71" s="8" t="s">
        <v>202</v>
      </c>
      <c r="C71" s="27" t="n">
        <f aca="false">(dep_q1-nonai_dep_q)*4*life_ai</f>
        <v>58.026</v>
      </c>
      <c r="D71" s="27" t="n">
        <f aca="false">C71+cip_q1</f>
        <v>106.572</v>
      </c>
      <c r="E71" s="27" t="n">
        <f aca="false">D71+D60</f>
        <v>166.761580444931</v>
      </c>
      <c r="F71" s="27" t="n">
        <f aca="false">E71+F60</f>
        <v>247.852444844931</v>
      </c>
      <c r="G71" s="27" t="n">
        <f aca="false">F71+G60</f>
        <v>280.211910922131</v>
      </c>
      <c r="H71" s="27" t="n">
        <f aca="false">G71+H60</f>
        <v>294.247328940675</v>
      </c>
      <c r="I71" s="27" t="n">
        <f aca="false">H71+I60</f>
        <v>311.706499043599</v>
      </c>
      <c r="J71" s="27" t="n">
        <f aca="false">I71+J60</f>
        <v>374.580707341059</v>
      </c>
      <c r="K71" s="8" t="s">
        <v>737</v>
      </c>
    </row>
    <row r="72" customFormat="false" ht="17.15" hidden="false" customHeight="false" outlineLevel="0" collapsed="false">
      <c r="A72" s="4" t="s">
        <v>738</v>
      </c>
      <c r="B72" s="8" t="s">
        <v>98</v>
      </c>
      <c r="F72" s="12" t="n">
        <f aca="false">F70/E71</f>
        <v>-0.00426756862461208</v>
      </c>
      <c r="G72" s="12" t="n">
        <f aca="false">G70/F71</f>
        <v>0.0167950974759817</v>
      </c>
      <c r="H72" s="12" t="n">
        <f aca="false">H70/G71</f>
        <v>0.0267755540909467</v>
      </c>
      <c r="I72" s="12" t="n">
        <f aca="false">I70/H71</f>
        <v>0.0248595166835019</v>
      </c>
      <c r="J72" s="12" t="n">
        <f aca="false">J70/I71</f>
        <v>0.0302082254826392</v>
      </c>
      <c r="K72" s="5" t="s">
        <v>739</v>
      </c>
    </row>
    <row r="74" customFormat="false" ht="17.15" hidden="false" customHeight="false" outlineLevel="0" collapsed="false">
      <c r="A74" s="3" t="s">
        <v>743</v>
      </c>
    </row>
    <row r="75" customFormat="false" ht="15" hidden="false" customHeight="false" outlineLevel="0" collapsed="false">
      <c r="A75" s="2" t="s">
        <v>693</v>
      </c>
      <c r="B75" s="5" t="s">
        <v>163</v>
      </c>
      <c r="C75" s="24" t="n">
        <v>0.25</v>
      </c>
      <c r="D75" s="24" t="n">
        <v>0.75</v>
      </c>
      <c r="E75" s="24" t="n">
        <v>1</v>
      </c>
      <c r="F75" s="24" t="n">
        <v>1</v>
      </c>
      <c r="G75" s="24" t="n">
        <v>1</v>
      </c>
      <c r="H75" s="24" t="n">
        <v>1</v>
      </c>
      <c r="I75" s="24" t="n">
        <v>1</v>
      </c>
      <c r="J75" s="24" t="n">
        <v>1</v>
      </c>
    </row>
    <row r="76" customFormat="false" ht="17.15" hidden="false" customHeight="false" outlineLevel="0" collapsed="false">
      <c r="A76" s="2" t="s">
        <v>694</v>
      </c>
      <c r="B76" s="8" t="s">
        <v>50</v>
      </c>
      <c r="C76" s="18" t="n">
        <f aca="false">mw_q1</f>
        <v>2543</v>
      </c>
      <c r="D76" s="18" t="n">
        <f aca="false">MIN(cap_C,mw_q1+pace_C*D75)</f>
        <v>3293</v>
      </c>
      <c r="E76" s="18" t="n">
        <f aca="false">D76</f>
        <v>3293</v>
      </c>
      <c r="F76" s="18" t="n">
        <f aca="false">MIN(cap_C,E76+pace_C*F75)</f>
        <v>4293</v>
      </c>
      <c r="G76" s="18" t="n">
        <f aca="false">MIN(cap_C,F76+pace_C*G75)</f>
        <v>5293</v>
      </c>
      <c r="H76" s="18" t="n">
        <f aca="false">G76+MAX(0,MIN(cap_C,G76+pace_C)-G76)+(tp_g*G76-MAX(0,MIN(cap_C,G76+pace_C)-G76))*1/3</f>
        <v>6006.59666666667</v>
      </c>
      <c r="I76" s="18" t="n">
        <f aca="false">H76+MAX(0,MIN(cap_C,H76+pace_C)-H76)+(tp_g*H76-MAX(0,MIN(cap_C,H76+pace_C)-H76))*2/3</f>
        <v>6219.19637777778</v>
      </c>
      <c r="J76" s="18" t="n">
        <f aca="false">I76+MAX(0,MIN(cap_C,I76+pace_C)-I76)+(tp_g*I76-MAX(0,MIN(cap_C,I76+pace_C)-I76))*3/3</f>
        <v>6405.77226911111</v>
      </c>
      <c r="K76" s="8" t="s">
        <v>744</v>
      </c>
    </row>
    <row r="77" customFormat="false" ht="17.15" hidden="false" customHeight="false" outlineLevel="0" collapsed="false">
      <c r="A77" s="2" t="s">
        <v>696</v>
      </c>
      <c r="B77" s="8" t="s">
        <v>50</v>
      </c>
      <c r="C77" s="18" t="n">
        <f aca="false">C76-mw_fy26</f>
        <v>708</v>
      </c>
      <c r="D77" s="18" t="n">
        <f aca="false">D76-C76</f>
        <v>750</v>
      </c>
      <c r="E77" s="18" t="n">
        <f aca="false">E76-mw_fy26</f>
        <v>1458</v>
      </c>
      <c r="F77" s="18" t="n">
        <f aca="false">F76-E76</f>
        <v>1000</v>
      </c>
      <c r="G77" s="18" t="n">
        <f aca="false">G76-F76</f>
        <v>1000</v>
      </c>
      <c r="H77" s="18" t="n">
        <f aca="false">H76-G76</f>
        <v>713.596666666666</v>
      </c>
      <c r="I77" s="18" t="n">
        <f aca="false">I76-H76</f>
        <v>212.599711111111</v>
      </c>
      <c r="J77" s="18" t="n">
        <f aca="false">J76-I76</f>
        <v>186.575891333333</v>
      </c>
    </row>
    <row r="78" customFormat="false" ht="17.15" hidden="false" customHeight="false" outlineLevel="0" collapsed="false">
      <c r="A78" s="2" t="s">
        <v>697</v>
      </c>
      <c r="B78" s="8" t="s">
        <v>50</v>
      </c>
      <c r="C78" s="18" t="n">
        <f aca="false">(mw_fy26+C76)/2</f>
        <v>2189</v>
      </c>
      <c r="D78" s="18" t="n">
        <f aca="false">(C76+D76)/2</f>
        <v>2918</v>
      </c>
      <c r="E78" s="18" t="n">
        <f aca="false">(C78*C75+D78*D75)/E75</f>
        <v>2735.75</v>
      </c>
      <c r="F78" s="18" t="n">
        <f aca="false">(E76+F76)/2</f>
        <v>3793</v>
      </c>
      <c r="G78" s="18" t="n">
        <f aca="false">(F76+G76)/2</f>
        <v>4793</v>
      </c>
      <c r="H78" s="18" t="n">
        <f aca="false">(G76+H76)/2</f>
        <v>5649.79833333333</v>
      </c>
      <c r="I78" s="18" t="n">
        <f aca="false">(H76+I76)/2</f>
        <v>6112.89652222222</v>
      </c>
      <c r="J78" s="18" t="n">
        <f aca="false">(I76+J76)/2</f>
        <v>6312.48432344444</v>
      </c>
    </row>
    <row r="79" customFormat="false" ht="17.15" hidden="false" customHeight="false" outlineLevel="0" collapsed="false">
      <c r="A79" s="2" t="s">
        <v>698</v>
      </c>
      <c r="B79" s="8" t="s">
        <v>50</v>
      </c>
      <c r="C79" s="18" t="n">
        <f aca="false">C78</f>
        <v>2189</v>
      </c>
      <c r="D79" s="18" t="n">
        <f aca="false">MAX(0,D78-delay_C/12*D77/D75)</f>
        <v>2418</v>
      </c>
      <c r="E79" s="18" t="n">
        <f aca="false">(C79*C75+D79*D75)/E75</f>
        <v>2360.75</v>
      </c>
      <c r="F79" s="18" t="n">
        <f aca="false">MAX(0,F78-delay_C/12*F77/F75)</f>
        <v>3293</v>
      </c>
      <c r="G79" s="18" t="n">
        <f aca="false">MAX(0,G78-delay_C/12*G77/G75)</f>
        <v>4293</v>
      </c>
      <c r="H79" s="18" t="n">
        <f aca="false">MAX(0,H78-delay_C/12*H77/H75)</f>
        <v>5293</v>
      </c>
      <c r="I79" s="18" t="n">
        <f aca="false">MAX(0,I78-delay_C/12*I77/I75)</f>
        <v>6006.59666666667</v>
      </c>
      <c r="J79" s="18" t="n">
        <f aca="false">MAX(0,J78-delay_C/12*J77/J75)</f>
        <v>6219.19637777778</v>
      </c>
      <c r="K79" s="5" t="s">
        <v>745</v>
      </c>
    </row>
    <row r="80" customFormat="false" ht="17.15" hidden="false" customHeight="false" outlineLevel="0" collapsed="false">
      <c r="A80" s="2" t="s">
        <v>700</v>
      </c>
      <c r="B80" s="8" t="s">
        <v>50</v>
      </c>
      <c r="C80" s="18" t="n">
        <f aca="false">C79*u_bill</f>
        <v>2079.55</v>
      </c>
      <c r="D80" s="18" t="n">
        <f aca="false">D79*u_bill</f>
        <v>2297.1</v>
      </c>
      <c r="E80" s="18" t="n">
        <f aca="false">E79*u_bill</f>
        <v>2242.7125</v>
      </c>
      <c r="F80" s="18" t="n">
        <f aca="false">F79*u_bill</f>
        <v>3128.35</v>
      </c>
      <c r="G80" s="18" t="n">
        <f aca="false">G79*u_bill</f>
        <v>4078.35</v>
      </c>
      <c r="H80" s="18" t="n">
        <f aca="false">H79*u_bill</f>
        <v>5028.35</v>
      </c>
      <c r="I80" s="18" t="n">
        <f aca="false">I79*u_bill</f>
        <v>5706.26683333333</v>
      </c>
      <c r="J80" s="18" t="n">
        <f aca="false">J79*u_bill</f>
        <v>5908.23655888889</v>
      </c>
    </row>
    <row r="81" customFormat="false" ht="17.15" hidden="false" customHeight="false" outlineLevel="0" collapsed="false">
      <c r="A81" s="25" t="s">
        <v>701</v>
      </c>
    </row>
    <row r="82" customFormat="false" ht="15" hidden="false" customHeight="false" outlineLevel="0" collapsed="false">
      <c r="A82" s="4" t="s">
        <v>702</v>
      </c>
      <c r="B82" s="8" t="s">
        <v>50</v>
      </c>
      <c r="C82" s="18" t="n">
        <f aca="false">C76*om_h100</f>
        <v>508.6</v>
      </c>
      <c r="D82" s="18" t="n">
        <f aca="false">C82</f>
        <v>508.6</v>
      </c>
      <c r="E82" s="18" t="n">
        <f aca="false">D82</f>
        <v>508.6</v>
      </c>
      <c r="F82" s="18" t="n">
        <f aca="false">E82</f>
        <v>508.6</v>
      </c>
      <c r="G82" s="18" t="n">
        <f aca="false">F82</f>
        <v>508.6</v>
      </c>
      <c r="H82" s="18" t="n">
        <f aca="false">G82-C82*rf_h100_30</f>
        <v>254.3</v>
      </c>
      <c r="I82" s="18" t="n">
        <f aca="false">H82-C82*rf_h100_31</f>
        <v>0</v>
      </c>
      <c r="J82" s="18" t="n">
        <f aca="false">I82</f>
        <v>0</v>
      </c>
    </row>
    <row r="83" customFormat="false" ht="15" hidden="false" customHeight="false" outlineLevel="0" collapsed="false">
      <c r="A83" s="4" t="s">
        <v>703</v>
      </c>
      <c r="B83" s="8" t="s">
        <v>50</v>
      </c>
      <c r="C83" s="18" t="n">
        <f aca="false">C76*om_gb200</f>
        <v>1398.65</v>
      </c>
      <c r="D83" s="18" t="n">
        <f aca="false">C83</f>
        <v>1398.65</v>
      </c>
      <c r="E83" s="18" t="n">
        <f aca="false">D83</f>
        <v>1398.65</v>
      </c>
      <c r="F83" s="18" t="n">
        <f aca="false">E83</f>
        <v>1398.65</v>
      </c>
      <c r="G83" s="18" t="n">
        <f aca="false">F83</f>
        <v>1398.65</v>
      </c>
      <c r="H83" s="18" t="n">
        <f aca="false">G83</f>
        <v>1398.65</v>
      </c>
      <c r="I83" s="18" t="n">
        <f aca="false">H83</f>
        <v>1398.65</v>
      </c>
      <c r="J83" s="18" t="n">
        <f aca="false">I83-C83*rf_gb200_32</f>
        <v>0</v>
      </c>
    </row>
    <row r="84" customFormat="false" ht="15" hidden="false" customHeight="false" outlineLevel="0" collapsed="false">
      <c r="A84" s="4" t="s">
        <v>704</v>
      </c>
      <c r="B84" s="8" t="s">
        <v>50</v>
      </c>
      <c r="C84" s="18" t="n">
        <f aca="false">C76*om_gb300</f>
        <v>635.75</v>
      </c>
      <c r="D84" s="18" t="n">
        <f aca="false">C84+D77*nm27_gb300</f>
        <v>1385.75</v>
      </c>
      <c r="E84" s="18" t="n">
        <f aca="false">D84</f>
        <v>1385.75</v>
      </c>
      <c r="F84" s="18" t="n">
        <f aca="false">E84+F77*nm28_gb300</f>
        <v>1885.75</v>
      </c>
      <c r="G84" s="18" t="n">
        <f aca="false">F84+G77*nm29_gb300</f>
        <v>1885.75</v>
      </c>
      <c r="H84" s="18" t="n">
        <f aca="false">G84+H77*nm29_gb300</f>
        <v>1885.75</v>
      </c>
      <c r="I84" s="18" t="n">
        <f aca="false">H84+I77*nm29_gb300</f>
        <v>1885.75</v>
      </c>
      <c r="J84" s="18" t="n">
        <f aca="false">I84+J77*nm29_gb300</f>
        <v>1885.75</v>
      </c>
    </row>
    <row r="85" customFormat="false" ht="15" hidden="false" customHeight="false" outlineLevel="0" collapsed="false">
      <c r="A85" s="4" t="s">
        <v>705</v>
      </c>
      <c r="B85" s="8" t="s">
        <v>50</v>
      </c>
      <c r="C85" s="18" t="n">
        <f aca="false">0</f>
        <v>0</v>
      </c>
      <c r="D85" s="18" t="n">
        <f aca="false">C85+D77*(1-nm27_gb300)</f>
        <v>0</v>
      </c>
      <c r="E85" s="18" t="n">
        <f aca="false">D85</f>
        <v>0</v>
      </c>
      <c r="F85" s="18" t="n">
        <f aca="false">E85+F77*(1-nm28_gb300)</f>
        <v>500</v>
      </c>
      <c r="G85" s="18" t="n">
        <f aca="false">F85+G77*(1-nm29_gb300)</f>
        <v>1500</v>
      </c>
      <c r="H85" s="18" t="n">
        <f aca="false">G85+H77*(1-nm29_gb300)+C82*rf_h100_30</f>
        <v>2467.89666666667</v>
      </c>
      <c r="I85" s="18" t="n">
        <f aca="false">H85+I77*(1-nm29_gb300)+C82*rf_h100_31</f>
        <v>2934.79637777778</v>
      </c>
      <c r="J85" s="18" t="n">
        <f aca="false">I85+J77*(1-nm29_gb300)+C83*rf_gb200_32</f>
        <v>4520.02226911111</v>
      </c>
    </row>
    <row r="86" customFormat="false" ht="17.15" hidden="false" customHeight="false" outlineLevel="0" collapsed="false">
      <c r="A86" s="2" t="s">
        <v>706</v>
      </c>
      <c r="B86" s="8" t="s">
        <v>50</v>
      </c>
      <c r="C86" s="11" t="n">
        <f aca="false">SUM(C82:C85)-C76</f>
        <v>0</v>
      </c>
      <c r="D86" s="11" t="n">
        <f aca="false">SUM(D82:D85)-D76</f>
        <v>0</v>
      </c>
      <c r="E86" s="11" t="n">
        <f aca="false">SUM(E82:E85)-E76</f>
        <v>0</v>
      </c>
      <c r="F86" s="11" t="n">
        <f aca="false">SUM(F82:F85)-F76</f>
        <v>0</v>
      </c>
      <c r="G86" s="11" t="n">
        <f aca="false">SUM(G82:G85)-G76</f>
        <v>0</v>
      </c>
      <c r="H86" s="11" t="n">
        <f aca="false">SUM(H82:H85)-H76</f>
        <v>0</v>
      </c>
      <c r="I86" s="11" t="n">
        <f aca="false">SUM(I82:I85)-I76</f>
        <v>0</v>
      </c>
      <c r="J86" s="11" t="n">
        <f aca="false">SUM(J82:J85)-J76</f>
        <v>0</v>
      </c>
    </row>
    <row r="87" customFormat="false" ht="17.15" hidden="false" customHeight="false" outlineLevel="0" collapsed="false">
      <c r="A87" s="2" t="s">
        <v>707</v>
      </c>
      <c r="B87" s="8" t="s">
        <v>131</v>
      </c>
      <c r="C87" s="24" t="n">
        <f aca="false">om_h100*he_h100+om_gb200*he_gb200+om_gb300*he_gb300</f>
        <v>9.51773</v>
      </c>
      <c r="D87" s="24" t="n">
        <f aca="false">((C82+D82)*he_h100+(C83+D83)*he_gb200+(C84+D84)*he_gb300+(C85+D85)*he_vr200)/(C76+D76)</f>
        <v>9.69362144962303</v>
      </c>
      <c r="E87" s="24" t="n">
        <f aca="false">(C87*C80*C75+D87*D80*D75)/(C80*C75+D80*D75)</f>
        <v>9.6528477142397</v>
      </c>
      <c r="F87" s="24" t="n">
        <f aca="false">((E82+F82)*he_h100+(E83+F83)*he_gb200+(E84+F84)*he_gb300+(E85+F85)*he_vr200)/(E76+F76)</f>
        <v>10.0570425494332</v>
      </c>
      <c r="G87" s="24" t="n">
        <f aca="false">((F82+G82)*he_h100+(F83+G83)*he_gb200+(F84+G84)*he_gb300+(F85+G85)*he_vr200)/(F76+G76)</f>
        <v>10.4396176486543</v>
      </c>
      <c r="H87" s="24" t="n">
        <f aca="false">((G82+H82)*he_h100+(G83+H83)*he_gb200+(G84+H84)*he_gb300+(G85+H85)*he_vr200)/(G76+H76)</f>
        <v>10.7672159226037</v>
      </c>
      <c r="I87" s="24" t="n">
        <f aca="false">((H82+I82)*he_h100+(H83+I83)*he_gb200+(H84+I84)*he_gb300+(H85+I85)*he_vr200)/(H76+I76)</f>
        <v>10.9826252674766</v>
      </c>
      <c r="J87" s="24" t="n">
        <f aca="false">((I82+J82)*he_h100+(I83+J83)*he_gb200+(I84+J84)*he_gb300+(I85+J85)*he_vr200)/(I76+J76)</f>
        <v>11.4490981277137</v>
      </c>
      <c r="K87" s="5" t="s">
        <v>708</v>
      </c>
    </row>
    <row r="88" customFormat="false" ht="17.15" hidden="false" customHeight="false" outlineLevel="0" collapsed="false">
      <c r="A88" s="2" t="s">
        <v>709</v>
      </c>
      <c r="B88" s="8" t="s">
        <v>131</v>
      </c>
      <c r="C88" s="24" t="n">
        <f aca="false">C87*k_mix*k_adj</f>
        <v>9.37235843089975</v>
      </c>
      <c r="D88" s="24" t="n">
        <f aca="false">D87*k_mix*k_adj</f>
        <v>9.54556335589737</v>
      </c>
      <c r="E88" s="24" t="n">
        <f aca="false">E87*k_mix*k_adj</f>
        <v>9.5054123889568</v>
      </c>
      <c r="F88" s="24" t="n">
        <f aca="false">F87*k_mix*k_adj</f>
        <v>9.903433647319</v>
      </c>
      <c r="G88" s="24" t="n">
        <f aca="false">G87*k_mix*k_adj</f>
        <v>10.2801653844703</v>
      </c>
      <c r="H88" s="24" t="n">
        <f aca="false">H87*k_mix*k_adj</f>
        <v>10.6027599994466</v>
      </c>
      <c r="I88" s="24" t="n">
        <f aca="false">I87*k_mix*k_adj</f>
        <v>10.8148792326581</v>
      </c>
      <c r="J88" s="24" t="n">
        <f aca="false">J87*k_mix*k_adj</f>
        <v>11.2742272961595</v>
      </c>
      <c r="K88" s="8" t="s">
        <v>710</v>
      </c>
    </row>
    <row r="89" customFormat="false" ht="17.15" hidden="false" customHeight="false" outlineLevel="0" collapsed="false">
      <c r="A89" s="4" t="s">
        <v>711</v>
      </c>
      <c r="B89" s="8" t="s">
        <v>202</v>
      </c>
      <c r="C89" s="26" t="n">
        <f aca="false">C80*C88*C75/1000</f>
        <v>4.87257199374439</v>
      </c>
      <c r="D89" s="26" t="n">
        <f aca="false">D80*D88*D75/1000</f>
        <v>16.4453351886239</v>
      </c>
      <c r="E89" s="26" t="n">
        <f aca="false">C89+D89</f>
        <v>21.3179071823683</v>
      </c>
      <c r="F89" s="26" t="n">
        <f aca="false">F80*F88*F75/1000</f>
        <v>30.9814066505904</v>
      </c>
      <c r="G89" s="26" t="n">
        <f aca="false">G80*G88*G75/1000</f>
        <v>41.9261124957546</v>
      </c>
      <c r="H89" s="26" t="n">
        <f aca="false">H80*H88*H75/1000</f>
        <v>53.3143882432174</v>
      </c>
      <c r="I89" s="26" t="n">
        <f aca="false">I80*I88*I75/1000</f>
        <v>61.7125866718225</v>
      </c>
      <c r="J89" s="26" t="n">
        <f aca="false">J80*J88*J75/1000</f>
        <v>66.6108018843927</v>
      </c>
      <c r="K89" s="8" t="s">
        <v>712</v>
      </c>
    </row>
    <row r="90" customFormat="false" ht="17.15" hidden="false" customHeight="false" outlineLevel="0" collapsed="false">
      <c r="A90" s="2" t="s">
        <v>713</v>
      </c>
      <c r="B90" s="8" t="s">
        <v>131</v>
      </c>
      <c r="C90" s="11" t="n">
        <f aca="false">om_h100*ox_h100+om_gb200*ox_gb200+om_gb300*ox_gb300</f>
        <v>1.8693</v>
      </c>
      <c r="D90" s="11" t="n">
        <f aca="false">((C82+D82)*ox_h100+(C83+D83)*ox_gb200+(C84+D84)*ox_gb300+(C85+D85)*ox_vr200)/(C76+D76)</f>
        <v>1.88386048663468</v>
      </c>
      <c r="E90" s="11" t="n">
        <f aca="false">(C90*C79*C75+D90*D79*D75)/(C79*C75+D79*D75)</f>
        <v>1.88048519221095</v>
      </c>
      <c r="F90" s="11" t="n">
        <f aca="false">((E82+F82)*ox_h100+(E83+F83)*ox_gb200+(E84+F84)*ox_gb300+(E85+F85)*ox_vr200)/(E76+F76)</f>
        <v>1.91394803585552</v>
      </c>
      <c r="G90" s="11" t="n">
        <f aca="false">((F82+G82)*ox_h100+(F83+G83)*ox_gb200+(F84+G84)*ox_gb300+(F85+G85)*ox_vr200)/(F76+G76)</f>
        <v>1.94562484873774</v>
      </c>
      <c r="H90" s="11" t="n">
        <f aca="false">((G82+H82)*ox_h100+(G83+H83)*ox_gb200+(G84+H84)*ox_gb300+(G85+H85)*ox_vr200)/(G76+H76)</f>
        <v>1.97274937497769</v>
      </c>
      <c r="I90" s="11" t="n">
        <f aca="false">((H82+I82)*ox_h100+(H83+I83)*ox_gb200+(H84+I84)*ox_gb300+(H85+I85)*ox_vr200)/(H76+I76)</f>
        <v>1.990583348669</v>
      </c>
      <c r="J90" s="11" t="n">
        <f aca="false">((I82+J82)*ox_h100+(I83+J83)*ox_gb200+(I84+J84)*ox_gb300+(I85+J85)*ox_vr200)/(I76+J76)</f>
        <v>2.0292068031056</v>
      </c>
    </row>
    <row r="91" customFormat="false" ht="17.15" hidden="false" customHeight="false" outlineLevel="0" collapsed="false">
      <c r="A91" s="4" t="s">
        <v>714</v>
      </c>
      <c r="B91" s="8" t="s">
        <v>202</v>
      </c>
      <c r="C91" s="26" t="n">
        <f aca="false">C79*C90*C75/1000</f>
        <v>1.022974425</v>
      </c>
      <c r="D91" s="26" t="n">
        <f aca="false">D79*D90*D75/1000</f>
        <v>3.416380992512</v>
      </c>
      <c r="E91" s="26" t="n">
        <f aca="false">C91+D91</f>
        <v>4.439355417512</v>
      </c>
      <c r="F91" s="26" t="n">
        <f aca="false">F79*F90*F75/1000</f>
        <v>6.30263088207224</v>
      </c>
      <c r="G91" s="26" t="n">
        <f aca="false">G79*G90*G75/1000</f>
        <v>8.35256747563113</v>
      </c>
      <c r="H91" s="26" t="n">
        <f aca="false">H79*H90*H75/1000</f>
        <v>10.4417624417569</v>
      </c>
      <c r="I91" s="26" t="n">
        <f aca="false">I79*I90*I75/1000</f>
        <v>11.9566313068374</v>
      </c>
      <c r="J91" s="26" t="n">
        <f aca="false">J79*J90*J75/1000</f>
        <v>12.6200355996364</v>
      </c>
      <c r="K91" s="5" t="s">
        <v>715</v>
      </c>
    </row>
    <row r="92" customFormat="false" ht="17.15" hidden="false" customHeight="false" outlineLevel="0" collapsed="false">
      <c r="A92" s="4" t="s">
        <v>716</v>
      </c>
      <c r="B92" s="8" t="s">
        <v>202</v>
      </c>
      <c r="C92" s="26" t="n">
        <f aca="false">0</f>
        <v>0</v>
      </c>
      <c r="D92" s="26" t="n">
        <f aca="false">lease_unc/lease_term*IF(lease_q0&lt;=lease_q,(lease_q0)*((lease_q0)+1)/2,lease_q*(lease_q+1)/2+((lease_q0)-lease_q)*lease_q)/(lease_q*4)</f>
        <v>2.31016042780749</v>
      </c>
      <c r="E92" s="26" t="n">
        <f aca="false">D92</f>
        <v>2.31016042780749</v>
      </c>
      <c r="F92" s="26" t="n">
        <f aca="false">lease_unc/lease_term*(IF(lease_q0+4*1&lt;=lease_q,(lease_q0+4*1)*((lease_q0+4*1)+1)/2,lease_q*(lease_q+1)/2+((lease_q0+4*1)-lease_q)*lease_q)-IF(lease_q0+4*0&lt;=lease_q,(lease_q0+4*0)*((lease_q0+4*0)+1)/2,lease_q*(lease_q+1)/2+((lease_q0+4*0)-lease_q)*lease_q))/(lease_q*4)+MAX(0,F78-cap_B)*lease_unc/lease_term/(cap_B-mw_q1)</f>
        <v>8.47058823529412</v>
      </c>
      <c r="G92" s="26" t="n">
        <f aca="false">lease_unc/lease_term*(IF(lease_q0+4*2&lt;=lease_q,(lease_q0+4*2)*((lease_q0+4*2)+1)/2,lease_q*(lease_q+1)/2+((lease_q0+4*2)-lease_q)*lease_q)-IF(lease_q0+4*1&lt;=lease_q,(lease_q0+4*1)*((lease_q0+4*1)+1)/2,lease_q*(lease_q+1)/2+((lease_q0+4*1)-lease_q)*lease_q))/(lease_q*4)+MAX(0,G78-cap_B)*lease_unc/lease_term/(cap_B-mw_q1)</f>
        <v>14.6310160427807</v>
      </c>
      <c r="H92" s="26" t="n">
        <f aca="false">lease_unc/lease_term*(IF(lease_q0+4*3&lt;=lease_q,(lease_q0+4*3)*((lease_q0+4*3)+1)/2,lease_q*(lease_q+1)/2+((lease_q0+4*3)-lease_q)*lease_q)-IF(lease_q0+4*2&lt;=lease_q,(lease_q0+4*2)*((lease_q0+4*2)+1)/2,lease_q*(lease_q+1)/2+((lease_q0+4*2)-lease_q)*lease_q))/(lease_q*4)+MAX(0,H78-cap_B)*lease_unc/lease_term/(cap_B-mw_q1)</f>
        <v>16.9411764705882</v>
      </c>
      <c r="I92" s="26" t="n">
        <f aca="false">lease_unc/lease_term*(IF(lease_q0+4*4&lt;=lease_q,(lease_q0+4*4)*((lease_q0+4*4)+1)/2,lease_q*(lease_q+1)/2+((lease_q0+4*4)-lease_q)*lease_q)-IF(lease_q0+4*3&lt;=lease_q,(lease_q0+4*3)*((lease_q0+4*3)+1)/2,lease_q*(lease_q+1)/2+((lease_q0+4*3)-lease_q)*lease_q))/(lease_q*4)+MAX(0,I78-cap_B)*lease_unc/lease_term/(cap_B-mw_q1)</f>
        <v>16.9411764705882</v>
      </c>
      <c r="J92" s="26" t="n">
        <f aca="false">lease_unc/lease_term*(IF(lease_q0+4*5&lt;=lease_q,(lease_q0+4*5)*((lease_q0+4*5)+1)/2,lease_q*(lease_q+1)/2+((lease_q0+4*5)-lease_q)*lease_q)-IF(lease_q0+4*4&lt;=lease_q,(lease_q0+4*4)*((lease_q0+4*4)+1)/2,lease_q*(lease_q+1)/2+((lease_q0+4*4)-lease_q)*lease_q))/(lease_q*4)+MAX(0,J78-cap_B)*lease_unc/lease_term/(cap_B-mw_q1)</f>
        <v>16.9411764705882</v>
      </c>
      <c r="K92" s="8" t="s">
        <v>717</v>
      </c>
    </row>
    <row r="93" customFormat="false" ht="17.15" hidden="false" customHeight="false" outlineLevel="0" collapsed="false">
      <c r="A93" s="4" t="s">
        <v>718</v>
      </c>
      <c r="B93" s="8" t="s">
        <v>202</v>
      </c>
      <c r="C93" s="26" t="n">
        <f aca="false">capex_q1-nonai_cx*(q1_rev-C89)</f>
        <v>27.3412057594996</v>
      </c>
      <c r="D93" s="26" t="n">
        <f aca="false">E93-C93</f>
        <v>60.1895804449308</v>
      </c>
      <c r="E93" s="26" t="n">
        <f aca="false">capex_g27-nonai_cx*(Seg!D64-E89)</f>
        <v>87.5307862044304</v>
      </c>
      <c r="F93" s="26" t="n">
        <f aca="false">(F77*(1-lam)*(nm28_gb300*cx_gb300+(1-nm28_gb300)*cx_vr200)+G77*lam*(nm29_gb300*cx_gb300+(1-nm29_gb300)*cx_vr200))/1000</f>
        <v>35.84791</v>
      </c>
      <c r="G93" s="26" t="n">
        <f aca="false">(G77*(1-lam)*(nm29_gb300*cx_gb300+(1-nm29_gb300)*cx_vr200)+H77*lam*(nm29_gb300*cx_gb300+(1-nm29_gb300)*cx_vr200))/1000</f>
        <v>33.8186954132</v>
      </c>
      <c r="H93" s="26" t="n">
        <f aca="false">(H77*(1-lam)*(nm29_gb300*cx_gb300+(1-nm29_gb300)*cx_vr200)+I77*lam*(nm29_gb300*cx_gb300+(1-nm29_gb300)*cx_vr200))/1000</f>
        <v>20.2307945623973</v>
      </c>
      <c r="I93" s="26" t="n">
        <f aca="false">(I77*(1-lam)*(nm29_gb300*cx_gb300+(1-nm29_gb300)*cx_vr200)+J77*lam*(nm29_gb300*cx_gb300+(1-nm29_gb300)*cx_vr200))/1000</f>
        <v>7.64850818681324</v>
      </c>
      <c r="J93" s="26" t="n">
        <f aca="false">(J77*(1-lam)*(nm29_gb300*cx_gb300+(1-nm29_gb300)*cx_vr200)+J77*(1+tp_g)*lam*(nm29_gb300*cx_gb300+(1-nm29_gb300)*cx_vr200))/1000</f>
        <v>7.0863496008723</v>
      </c>
      <c r="K93" s="8" t="s">
        <v>719</v>
      </c>
    </row>
    <row r="94" customFormat="false" ht="17.15" hidden="false" customHeight="false" outlineLevel="0" collapsed="false">
      <c r="A94" s="4" t="s">
        <v>720</v>
      </c>
      <c r="B94" s="8" t="s">
        <v>202</v>
      </c>
      <c r="C94" s="26" t="n">
        <f aca="false">0</f>
        <v>0</v>
      </c>
      <c r="D94" s="26" t="n">
        <f aca="false">0</f>
        <v>0</v>
      </c>
      <c r="E94" s="26" t="n">
        <f aca="false">0</f>
        <v>0</v>
      </c>
      <c r="F94" s="26" t="n">
        <f aca="false">0</f>
        <v>0</v>
      </c>
      <c r="G94" s="26" t="n">
        <f aca="false">0</f>
        <v>0</v>
      </c>
      <c r="H94" s="26" t="n">
        <f aca="false">C82*rf_h100_30*cx_vr200/1000</f>
        <v>9.55822152</v>
      </c>
      <c r="I94" s="26" t="n">
        <f aca="false">C82*rf_h100_31*cx_vr200/1000</f>
        <v>9.55822152</v>
      </c>
      <c r="J94" s="26" t="n">
        <f aca="false">C83*rf_gb200_32*cx_vr200/1000</f>
        <v>52.57021836</v>
      </c>
    </row>
    <row r="95" customFormat="false" ht="17.15" hidden="false" customHeight="false" outlineLevel="0" collapsed="false">
      <c r="A95" s="4" t="s">
        <v>721</v>
      </c>
      <c r="B95" s="8" t="s">
        <v>202</v>
      </c>
      <c r="C95" s="26" t="n">
        <f aca="false">C93+C94</f>
        <v>27.3412057594996</v>
      </c>
      <c r="D95" s="26" t="n">
        <f aca="false">D93+D94</f>
        <v>60.1895804449308</v>
      </c>
      <c r="E95" s="26" t="n">
        <f aca="false">E93+E94</f>
        <v>87.5307862044304</v>
      </c>
      <c r="F95" s="26" t="n">
        <f aca="false">F93+F94</f>
        <v>35.84791</v>
      </c>
      <c r="G95" s="26" t="n">
        <f aca="false">G93+G94</f>
        <v>33.8186954132</v>
      </c>
      <c r="H95" s="26" t="n">
        <f aca="false">H93+H94</f>
        <v>29.7890160823973</v>
      </c>
      <c r="I95" s="26" t="n">
        <f aca="false">I93+I94</f>
        <v>17.2067297068132</v>
      </c>
      <c r="J95" s="26" t="n">
        <f aca="false">J93+J94</f>
        <v>59.6565679608723</v>
      </c>
    </row>
    <row r="96" customFormat="false" ht="17.15" hidden="false" customHeight="false" outlineLevel="0" collapsed="false">
      <c r="A96" s="4" t="s">
        <v>722</v>
      </c>
      <c r="B96" s="8" t="s">
        <v>587</v>
      </c>
      <c r="C96" s="26" t="n">
        <f aca="false">(dep_q1-nonai_dep_q)*4</f>
        <v>9.671</v>
      </c>
      <c r="D96" s="26" t="n">
        <f aca="false">(dep_q1-nonai_dep_q)*4</f>
        <v>9.671</v>
      </c>
      <c r="E96" s="26" t="n">
        <f aca="false">(dep_q1-nonai_dep_q)*4</f>
        <v>9.671</v>
      </c>
      <c r="F96" s="26" t="n">
        <f aca="false">(dep_q1-nonai_dep_q)*4</f>
        <v>9.671</v>
      </c>
      <c r="G96" s="26" t="n">
        <f aca="false">(dep_q1-nonai_dep_q)*4</f>
        <v>9.671</v>
      </c>
      <c r="H96" s="26" t="n">
        <f aca="false">MAX(0,(dep_q1-nonai_dep_q)*4-rf_h100_30*C82*cx_h100/life_ai/1000)</f>
        <v>8.50502602333333</v>
      </c>
      <c r="I96" s="26" t="n">
        <f aca="false">MAX(0,(dep_q1-nonai_dep_q)*4-(rf_h100_30+rf_h100_31)*C82*cx_h100/life_ai/1000)</f>
        <v>7.33905204666667</v>
      </c>
      <c r="J96" s="26" t="n">
        <f aca="false">MAX(0,(dep_q1-nonai_dep_q)*4-(rf_h100_30+rf_h100_31)*C82*cx_h100/life_ai/1000-rf_gb200_32*C83*cx_gb200/life_ai/1000)</f>
        <v>1.7409088</v>
      </c>
      <c r="K96" s="8" t="s">
        <v>723</v>
      </c>
    </row>
    <row r="97" customFormat="false" ht="17.15" hidden="false" customHeight="false" outlineLevel="0" collapsed="false">
      <c r="A97" s="4" t="s">
        <v>724</v>
      </c>
      <c r="B97" s="8" t="s">
        <v>202</v>
      </c>
      <c r="C97" s="26" t="n">
        <f aca="false">C96*C75</f>
        <v>2.41775</v>
      </c>
      <c r="D97" s="26" t="n">
        <f aca="false">D96*D75+(cip_q1+D95)/life_ai*D75/2</f>
        <v>14.0492237778082</v>
      </c>
      <c r="E97" s="26" t="n">
        <f aca="false">C97+D97</f>
        <v>16.4669737778082</v>
      </c>
      <c r="F97" s="26" t="n">
        <f aca="false">F96+(cip_q1+D95)/life_ai+F95/life_ai/2</f>
        <v>30.7809225741551</v>
      </c>
      <c r="G97" s="26" t="n">
        <f aca="false">G96+(cip_q1+D95+F95)/life_ai+G95/life_ai/2</f>
        <v>36.5864730252551</v>
      </c>
      <c r="H97" s="26" t="n">
        <f aca="false">H96+(cip_q1+D95+F95+G95)/life_ai+H95/life_ai/2</f>
        <v>40.7211416732216</v>
      </c>
      <c r="I97" s="26" t="n">
        <f aca="false">I96+(cip_q1+D95+F95+G95+H95)/life_ai+I95/life_ai/2</f>
        <v>43.4714798456558</v>
      </c>
      <c r="J97" s="26" t="n">
        <f aca="false">J96+(cip_q1+D95+F95+G95+H95+I95)/life_ai+J95/life_ai/2</f>
        <v>44.2786114046296</v>
      </c>
      <c r="K97" s="5" t="s">
        <v>725</v>
      </c>
    </row>
    <row r="98" customFormat="false" ht="17.15" hidden="false" customHeight="false" outlineLevel="0" collapsed="false">
      <c r="A98" s="4" t="s">
        <v>726</v>
      </c>
      <c r="B98" s="8" t="s">
        <v>202</v>
      </c>
      <c r="C98" s="26" t="n">
        <f aca="false">C89-C91-C92</f>
        <v>3.84959756874439</v>
      </c>
      <c r="D98" s="26" t="n">
        <f aca="false">D89-D91-D92</f>
        <v>10.7187937683044</v>
      </c>
      <c r="E98" s="26" t="n">
        <f aca="false">E89-E91-E92</f>
        <v>14.5683913370488</v>
      </c>
      <c r="F98" s="26" t="n">
        <f aca="false">F89-F91-F92</f>
        <v>16.208187533224</v>
      </c>
      <c r="G98" s="26" t="n">
        <f aca="false">G89-G91-G92</f>
        <v>18.9425289773427</v>
      </c>
      <c r="H98" s="26" t="n">
        <f aca="false">H89-H91-H92</f>
        <v>25.9314493308722</v>
      </c>
      <c r="I98" s="26" t="n">
        <f aca="false">I89-I91-I92</f>
        <v>32.8147788943968</v>
      </c>
      <c r="J98" s="26" t="n">
        <f aca="false">J89-J91-J92</f>
        <v>37.049589814168</v>
      </c>
    </row>
    <row r="99" customFormat="false" ht="17.15" hidden="false" customHeight="false" outlineLevel="0" collapsed="false">
      <c r="A99" s="4" t="s">
        <v>727</v>
      </c>
      <c r="B99" s="8" t="s">
        <v>202</v>
      </c>
      <c r="C99" s="26" t="n">
        <f aca="false">C98-C97</f>
        <v>1.43184756874439</v>
      </c>
      <c r="D99" s="26" t="n">
        <f aca="false">D98-D97</f>
        <v>-3.33043000950378</v>
      </c>
      <c r="E99" s="26" t="n">
        <f aca="false">E98-E97</f>
        <v>-1.89858244075939</v>
      </c>
      <c r="F99" s="26" t="n">
        <f aca="false">F98-F97</f>
        <v>-14.5727350409311</v>
      </c>
      <c r="G99" s="26" t="n">
        <f aca="false">G98-G97</f>
        <v>-17.6439440479124</v>
      </c>
      <c r="H99" s="26" t="n">
        <f aca="false">H98-H97</f>
        <v>-14.7896923423493</v>
      </c>
      <c r="I99" s="26" t="n">
        <f aca="false">I98-I97</f>
        <v>-10.656700951259</v>
      </c>
      <c r="J99" s="26" t="n">
        <f aca="false">J98-J97</f>
        <v>-7.22902159046154</v>
      </c>
      <c r="K99" s="5" t="s">
        <v>728</v>
      </c>
    </row>
    <row r="100" customFormat="false" ht="17.15" hidden="false" customHeight="false" outlineLevel="0" collapsed="false">
      <c r="A100" s="4" t="s">
        <v>729</v>
      </c>
      <c r="B100" s="8" t="s">
        <v>98</v>
      </c>
      <c r="C100" s="12" t="n">
        <f aca="false">IF(C89=0,0,C99/C89)</f>
        <v>0.293858678862551</v>
      </c>
      <c r="D100" s="12" t="n">
        <f aca="false">IF(D89=0,0,D99/D89)</f>
        <v>-0.202515179612004</v>
      </c>
      <c r="E100" s="12" t="n">
        <f aca="false">IF(E89=0,0,E99/E89)</f>
        <v>-0.0890604515967531</v>
      </c>
      <c r="F100" s="12" t="n">
        <f aca="false">IF(F89=0,0,F99/F89)</f>
        <v>-0.470370348424881</v>
      </c>
      <c r="G100" s="12" t="n">
        <f aca="false">IF(G89=0,0,G99/G89)</f>
        <v>-0.420834248577162</v>
      </c>
      <c r="H100" s="12" t="n">
        <f aca="false">IF(H89=0,0,H99/H89)</f>
        <v>-0.277405271441539</v>
      </c>
      <c r="I100" s="12" t="n">
        <f aca="false">IF(I89=0,0,I99/I89)</f>
        <v>-0.172682778764882</v>
      </c>
      <c r="J100" s="12" t="n">
        <f aca="false">IF(J89=0,0,J99/J89)</f>
        <v>-0.108526265800072</v>
      </c>
    </row>
    <row r="101" customFormat="false" ht="17.15" hidden="false" customHeight="false" outlineLevel="0" collapsed="false">
      <c r="A101" s="4" t="s">
        <v>730</v>
      </c>
      <c r="B101" s="8" t="s">
        <v>202</v>
      </c>
      <c r="C101" s="26" t="n">
        <f aca="false">q1_oci-C89</f>
        <v>2.51542800625561</v>
      </c>
      <c r="D101" s="26" t="n">
        <f aca="false">C101*((1+gna0)^0.25+(1+gna0)^0.5+(1+gna0)^0.75)</f>
        <v>8.27226573303413</v>
      </c>
      <c r="E101" s="26" t="n">
        <f aca="false">C101+D101</f>
        <v>10.7876937392897</v>
      </c>
      <c r="F101" s="26" t="n">
        <f aca="false">E101*(1+F102)</f>
        <v>12.6863278374047</v>
      </c>
      <c r="G101" s="26" t="n">
        <f aca="false">F101*(1+G102)</f>
        <v>14.6146496686903</v>
      </c>
      <c r="H101" s="26" t="n">
        <f aca="false">G101*(1+H102)</f>
        <v>16.4853248262826</v>
      </c>
      <c r="I101" s="26" t="n">
        <f aca="false">H101*(1+I102)</f>
        <v>18.199798608216</v>
      </c>
      <c r="J101" s="26" t="n">
        <f aca="false">I101*(1+J102)</f>
        <v>19.6557824968733</v>
      </c>
      <c r="K101" s="8" t="s">
        <v>731</v>
      </c>
    </row>
    <row r="102" customFormat="false" ht="17.15" hidden="false" customHeight="false" outlineLevel="0" collapsed="false">
      <c r="A102" s="4" t="s">
        <v>732</v>
      </c>
      <c r="B102" s="8" t="s">
        <v>98</v>
      </c>
      <c r="F102" s="12" t="n">
        <f aca="false">gna0+(gnaLT-gna0)*1/5</f>
        <v>0.176</v>
      </c>
      <c r="G102" s="12" t="n">
        <f aca="false">gna0+(gnaLT-gna0)*2/5</f>
        <v>0.152</v>
      </c>
      <c r="H102" s="12" t="n">
        <f aca="false">gna0+(gnaLT-gna0)*3/5</f>
        <v>0.128</v>
      </c>
      <c r="I102" s="12" t="n">
        <f aca="false">gna0+(gnaLT-gna0)*4/5</f>
        <v>0.104</v>
      </c>
      <c r="J102" s="12" t="n">
        <f aca="false">gna0+(gnaLT-gna0)*5/5</f>
        <v>0.08</v>
      </c>
    </row>
    <row r="103" customFormat="false" ht="17.15" hidden="false" customHeight="false" outlineLevel="0" collapsed="false">
      <c r="A103" s="4" t="s">
        <v>733</v>
      </c>
      <c r="B103" s="8" t="s">
        <v>202</v>
      </c>
      <c r="C103" s="26" t="n">
        <f aca="false">C89+C101</f>
        <v>7.388</v>
      </c>
      <c r="D103" s="26" t="n">
        <f aca="false">D89+D101</f>
        <v>24.717600921658</v>
      </c>
      <c r="E103" s="26" t="n">
        <f aca="false">E89+E101</f>
        <v>32.105600921658</v>
      </c>
      <c r="F103" s="26" t="n">
        <f aca="false">F89+F101</f>
        <v>43.6677344879951</v>
      </c>
      <c r="G103" s="26" t="n">
        <f aca="false">G89+G101</f>
        <v>56.5407621644448</v>
      </c>
      <c r="H103" s="26" t="n">
        <f aca="false">H89+H101</f>
        <v>69.7997130695</v>
      </c>
      <c r="I103" s="26" t="n">
        <f aca="false">I89+I101</f>
        <v>79.9123852800385</v>
      </c>
      <c r="J103" s="26" t="n">
        <f aca="false">J89+J101</f>
        <v>86.266584381266</v>
      </c>
    </row>
    <row r="104" customFormat="false" ht="17.15" hidden="false" customHeight="false" outlineLevel="0" collapsed="false">
      <c r="A104" s="4" t="s">
        <v>734</v>
      </c>
      <c r="B104" s="8" t="s">
        <v>98</v>
      </c>
      <c r="C104" s="12" t="n">
        <f aca="false">(C99+(m_sw+m_adj)*C101)/C103</f>
        <v>0.413488191117061</v>
      </c>
      <c r="D104" s="12" t="n">
        <f aca="false">(D99+(m_sw+m_adj)*D101)/D103</f>
        <v>0.0811970835440797</v>
      </c>
      <c r="E104" s="12" t="n">
        <f aca="false">(E99+(m_sw+m_adj)*E101)/E103</f>
        <v>0.157662455076593</v>
      </c>
      <c r="F104" s="12" t="n">
        <f aca="false">(F99+(m_sw+m_adj)*F101)/F103</f>
        <v>-0.146269759092836</v>
      </c>
      <c r="G104" s="12" t="n">
        <f aca="false">(G99+(m_sw+m_adj)*G101)/G103</f>
        <v>-0.145280800232562</v>
      </c>
      <c r="H104" s="12" t="n">
        <f aca="false">(H99+(m_sw+m_adj)*H101)/H103</f>
        <v>-0.0594993762126734</v>
      </c>
      <c r="I104" s="12" t="n">
        <f aca="false">(I99+(m_sw+m_adj)*I101)/I103</f>
        <v>0.0135919345560003</v>
      </c>
      <c r="J104" s="12" t="n">
        <f aca="false">(J99+(m_sw+m_adj)*J101)/J103</f>
        <v>0.0632141923761822</v>
      </c>
    </row>
    <row r="105" customFormat="false" ht="17.15" hidden="false" customHeight="false" outlineLevel="0" collapsed="false">
      <c r="A105" s="4" t="s">
        <v>735</v>
      </c>
      <c r="B105" s="8" t="s">
        <v>202</v>
      </c>
      <c r="C105" s="26" t="n">
        <f aca="false">C99*(1-etr)</f>
        <v>1.21563858586399</v>
      </c>
      <c r="D105" s="26" t="n">
        <f aca="false">D99*(1-etr)</f>
        <v>-2.82753507806871</v>
      </c>
      <c r="E105" s="26" t="n">
        <f aca="false">E99*(1-etr)</f>
        <v>-1.61189649220472</v>
      </c>
      <c r="F105" s="26" t="n">
        <f aca="false">F99*(1-etr)</f>
        <v>-12.3722520497505</v>
      </c>
      <c r="G105" s="26" t="n">
        <f aca="false">G99*(1-etr)</f>
        <v>-14.9797084966777</v>
      </c>
      <c r="H105" s="26" t="n">
        <f aca="false">H99*(1-etr)</f>
        <v>-12.5564487986546</v>
      </c>
      <c r="I105" s="26" t="n">
        <f aca="false">I99*(1-etr)</f>
        <v>-9.04753910761885</v>
      </c>
      <c r="J105" s="26" t="n">
        <f aca="false">J99*(1-etr)</f>
        <v>-6.13743933030185</v>
      </c>
    </row>
    <row r="106" customFormat="false" ht="17.15" hidden="false" customHeight="false" outlineLevel="0" collapsed="false">
      <c r="A106" s="4" t="s">
        <v>736</v>
      </c>
      <c r="B106" s="8" t="s">
        <v>202</v>
      </c>
      <c r="C106" s="27" t="n">
        <f aca="false">(dep_q1-nonai_dep_q)*4*life_ai</f>
        <v>58.026</v>
      </c>
      <c r="D106" s="27" t="n">
        <f aca="false">C106+cip_q1</f>
        <v>106.572</v>
      </c>
      <c r="E106" s="27" t="n">
        <f aca="false">D106+D95</f>
        <v>166.761580444931</v>
      </c>
      <c r="F106" s="27" t="n">
        <f aca="false">E106+F95</f>
        <v>202.609490444931</v>
      </c>
      <c r="G106" s="27" t="n">
        <f aca="false">F106+G95</f>
        <v>236.428185858131</v>
      </c>
      <c r="H106" s="27" t="n">
        <f aca="false">G106+H95</f>
        <v>266.217201940528</v>
      </c>
      <c r="I106" s="27" t="n">
        <f aca="false">H106+I95</f>
        <v>283.423931647341</v>
      </c>
      <c r="J106" s="27" t="n">
        <f aca="false">I106+J95</f>
        <v>343.080499608214</v>
      </c>
      <c r="K106" s="8" t="s">
        <v>737</v>
      </c>
    </row>
    <row r="107" customFormat="false" ht="17.15" hidden="false" customHeight="false" outlineLevel="0" collapsed="false">
      <c r="A107" s="4" t="s">
        <v>738</v>
      </c>
      <c r="B107" s="8" t="s">
        <v>98</v>
      </c>
      <c r="F107" s="12" t="n">
        <f aca="false">F105/E106</f>
        <v>-0.0741912616607526</v>
      </c>
      <c r="G107" s="12" t="n">
        <f aca="false">G105/F106</f>
        <v>-0.0739338935396471</v>
      </c>
      <c r="H107" s="12" t="n">
        <f aca="false">H105/G106</f>
        <v>-0.0531089334931881</v>
      </c>
      <c r="I107" s="12" t="n">
        <f aca="false">I105/H106</f>
        <v>-0.0339855540576226</v>
      </c>
      <c r="J107" s="12" t="n">
        <f aca="false">J105/I106</f>
        <v>-0.0216546263211765</v>
      </c>
      <c r="K107" s="5" t="s">
        <v>739</v>
      </c>
    </row>
    <row r="109" customFormat="false" ht="17.15" hidden="false" customHeight="false" outlineLevel="0" collapsed="false">
      <c r="A109" s="1" t="s">
        <v>746</v>
      </c>
    </row>
    <row r="110" customFormat="false" ht="17.15" hidden="false" customHeight="false" outlineLevel="0" collapsed="false">
      <c r="A110" s="0" t="s">
        <v>747</v>
      </c>
      <c r="C110" s="13" t="n">
        <f aca="false">Q!I16-C64</f>
        <v>7.92615243125561</v>
      </c>
    </row>
    <row r="111" customFormat="false" ht="17.15" hidden="false" customHeight="false" outlineLevel="0" collapsed="false">
      <c r="A111" s="0" t="s">
        <v>748</v>
      </c>
      <c r="C111" s="13" t="n">
        <f aca="false">Q!I11-C54</f>
        <v>12.2844280062556</v>
      </c>
    </row>
    <row r="112" customFormat="false" ht="17.15" hidden="false" customHeight="false" outlineLevel="0" collapsed="false">
      <c r="A112" s="0" t="s">
        <v>749</v>
      </c>
      <c r="C112" s="12" t="n">
        <f aca="false">C110/C111</f>
        <v>0.645219494731002</v>
      </c>
    </row>
    <row r="113" customFormat="false" ht="17.15" hidden="false" customHeight="false" outlineLevel="0" collapsed="false">
      <c r="A113" s="5" t="s">
        <v>750</v>
      </c>
      <c r="C113" s="12" t="n">
        <f aca="false">Q!B45</f>
        <v>0.641282835552357</v>
      </c>
    </row>
    <row r="114" customFormat="false" ht="17.15" hidden="false" customHeight="false" outlineLevel="0" collapsed="false">
      <c r="A114" s="5" t="s">
        <v>751</v>
      </c>
      <c r="C114" s="12" t="n">
        <f aca="false">C66/q1_oci</f>
        <v>0.340474824885708</v>
      </c>
    </row>
    <row r="116" customFormat="false" ht="17.15" hidden="false" customHeight="false" outlineLevel="0" collapsed="false">
      <c r="A116" s="1" t="s">
        <v>752</v>
      </c>
    </row>
    <row r="117" customFormat="false" ht="15" hidden="false" customHeight="false" outlineLevel="0" collapsed="false">
      <c r="A117" s="6" t="s">
        <v>17</v>
      </c>
      <c r="B117" s="6" t="s">
        <v>18</v>
      </c>
      <c r="C117" s="21" t="s">
        <v>753</v>
      </c>
      <c r="D117" s="21" t="s">
        <v>754</v>
      </c>
      <c r="E117" s="21" t="s">
        <v>755</v>
      </c>
      <c r="F117" s="6" t="s">
        <v>598</v>
      </c>
    </row>
    <row r="118" customFormat="false" ht="17.15" hidden="false" customHeight="false" outlineLevel="0" collapsed="false">
      <c r="A118" s="0" t="s">
        <v>756</v>
      </c>
      <c r="B118" s="0" t="s">
        <v>587</v>
      </c>
      <c r="C118" s="27" t="n">
        <f aca="false">rpo*rpo_1336/2</f>
        <v>122.84</v>
      </c>
      <c r="D118" s="27" t="n">
        <f aca="false">rpo*rpo_1336/2</f>
        <v>122.84</v>
      </c>
      <c r="E118" s="27" t="n">
        <f aca="false">rpo*rpo_1336/2</f>
        <v>122.84</v>
      </c>
      <c r="F118" s="8" t="s">
        <v>757</v>
      </c>
    </row>
    <row r="119" customFormat="false" ht="17.15" hidden="false" customHeight="false" outlineLevel="0" collapsed="false">
      <c r="A119" s="5" t="s">
        <v>758</v>
      </c>
      <c r="B119" s="0" t="s">
        <v>92</v>
      </c>
      <c r="C119" s="24" t="n">
        <f aca="false">G19/(rpo*rpo_1336/2)</f>
        <v>0.703610429313203</v>
      </c>
      <c r="D119" s="24" t="n">
        <f aca="false">G54/(rpo*rpo_1336/2)</f>
        <v>0.642996237985229</v>
      </c>
      <c r="E119" s="24" t="n">
        <f aca="false">G89/(rpo*rpo_1336/2)</f>
        <v>0.341306679385824</v>
      </c>
    </row>
    <row r="120" customFormat="false" ht="17.15" hidden="false" customHeight="false" outlineLevel="0" collapsed="false">
      <c r="A120" s="5" t="s">
        <v>759</v>
      </c>
      <c r="B120" s="0" t="s">
        <v>92</v>
      </c>
      <c r="C120" s="24" t="n">
        <f aca="false">G19/oai_annual</f>
        <v>1.4405250856139</v>
      </c>
      <c r="D120" s="24" t="n">
        <f aca="false">G54/oai_annual</f>
        <v>1.31642763123509</v>
      </c>
      <c r="E120" s="24" t="n">
        <f aca="false">G89/oai_annual</f>
        <v>0.69876854159591</v>
      </c>
    </row>
    <row r="121" customFormat="false" ht="17.15" hidden="false" customHeight="false" outlineLevel="0" collapsed="false">
      <c r="A121" s="5" t="s">
        <v>760</v>
      </c>
      <c r="B121" s="0" t="s">
        <v>92</v>
      </c>
      <c r="C121" s="24" t="n">
        <f aca="false">G33/go2029</f>
        <v>0.886369778995826</v>
      </c>
      <c r="D121" s="24" t="n">
        <f aca="false">G68/go2029</f>
        <v>0.82105532932277</v>
      </c>
      <c r="E121" s="24" t="n">
        <f aca="false">G103/go2029</f>
        <v>0.495971597933727</v>
      </c>
    </row>
    <row r="123" customFormat="false" ht="17.15" hidden="false" customHeight="false" outlineLevel="0" collapsed="false">
      <c r="A123" s="3" t="s">
        <v>761</v>
      </c>
    </row>
    <row r="124" customFormat="false" ht="17.15" hidden="false" customHeight="false" outlineLevel="0" collapsed="false">
      <c r="A124" s="6" t="s">
        <v>17</v>
      </c>
      <c r="B124" s="6" t="s">
        <v>18</v>
      </c>
      <c r="C124" s="6" t="s">
        <v>762</v>
      </c>
      <c r="D124" s="6" t="s">
        <v>763</v>
      </c>
      <c r="E124" s="6" t="s">
        <v>764</v>
      </c>
      <c r="F124" s="6" t="s">
        <v>598</v>
      </c>
    </row>
    <row r="125" customFormat="false" ht="17.15" hidden="false" customHeight="false" outlineLevel="0" collapsed="false">
      <c r="A125" s="0" t="s">
        <v>765</v>
      </c>
      <c r="B125" s="0" t="s">
        <v>202</v>
      </c>
      <c r="C125" s="27" t="n">
        <f aca="false">G33</f>
        <v>101.046154805524</v>
      </c>
      <c r="D125" s="27" t="n">
        <f aca="false">G68</f>
        <v>93.6003075427957</v>
      </c>
      <c r="E125" s="27" t="n">
        <f aca="false">G103</f>
        <v>56.5407621644448</v>
      </c>
      <c r="F125" s="5" t="s">
        <v>766</v>
      </c>
    </row>
    <row r="126" customFormat="false" ht="17.15" hidden="false" customHeight="false" outlineLevel="0" collapsed="false">
      <c r="A126" s="5" t="s">
        <v>767</v>
      </c>
      <c r="B126" s="0" t="s">
        <v>202</v>
      </c>
      <c r="C126" s="27" t="n">
        <f aca="false">G19</f>
        <v>86.4315051368339</v>
      </c>
      <c r="D126" s="27" t="n">
        <f aca="false">G54</f>
        <v>78.9856578741055</v>
      </c>
      <c r="E126" s="27" t="n">
        <f aca="false">G89</f>
        <v>41.9261124957546</v>
      </c>
    </row>
    <row r="127" customFormat="false" ht="17.15" hidden="false" customHeight="false" outlineLevel="0" collapsed="false">
      <c r="A127" s="0" t="s">
        <v>768</v>
      </c>
      <c r="B127" s="0" t="s">
        <v>98</v>
      </c>
      <c r="C127" s="12" t="n">
        <f aca="false">G30</f>
        <v>0.146711218583504</v>
      </c>
      <c r="D127" s="12" t="n">
        <f aca="false">G65</f>
        <v>0.0620754399106208</v>
      </c>
      <c r="E127" s="12" t="n">
        <f aca="false">G100</f>
        <v>-0.420834248577162</v>
      </c>
    </row>
    <row r="128" customFormat="false" ht="17.15" hidden="false" customHeight="false" outlineLevel="0" collapsed="false">
      <c r="A128" s="0" t="s">
        <v>769</v>
      </c>
      <c r="B128" s="0" t="s">
        <v>98</v>
      </c>
      <c r="C128" s="12" t="n">
        <f aca="false">G34</f>
        <v>0.21881216915268</v>
      </c>
      <c r="D128" s="12" t="n">
        <f aca="false">G69</f>
        <v>0.153126914967824</v>
      </c>
      <c r="E128" s="12" t="n">
        <f aca="false">G104</f>
        <v>-0.145280800232562</v>
      </c>
    </row>
    <row r="129" customFormat="false" ht="17.15" hidden="false" customHeight="false" outlineLevel="0" collapsed="false">
      <c r="A129" s="0" t="s">
        <v>770</v>
      </c>
      <c r="B129" s="0" t="s">
        <v>202</v>
      </c>
      <c r="C129" s="27" t="n">
        <f aca="false">E25+F25+G25</f>
        <v>179.43935168163</v>
      </c>
      <c r="D129" s="27" t="n">
        <f aca="false">E60+F60+G60</f>
        <v>200.98111668163</v>
      </c>
      <c r="E129" s="27" t="n">
        <f aca="false">E95+F95+G95</f>
        <v>157.19739161763</v>
      </c>
    </row>
    <row r="130" customFormat="false" ht="17.15" hidden="false" customHeight="false" outlineLevel="0" collapsed="false">
      <c r="A130" s="0" t="s">
        <v>771</v>
      </c>
      <c r="B130" s="0" t="s">
        <v>202</v>
      </c>
      <c r="C130" s="27" t="n">
        <f aca="false">G22</f>
        <v>14.6310160427807</v>
      </c>
      <c r="D130" s="27" t="n">
        <f aca="false">G57</f>
        <v>14.6310160427807</v>
      </c>
      <c r="E130" s="27" t="n">
        <f aca="false">G92</f>
        <v>14.6310160427807</v>
      </c>
      <c r="F130" s="5" t="s">
        <v>772</v>
      </c>
    </row>
    <row r="131" customFormat="false" ht="17.15" hidden="false" customHeight="false" outlineLevel="0" collapsed="false">
      <c r="A131" s="0" t="s">
        <v>773</v>
      </c>
      <c r="B131" s="0" t="s">
        <v>98</v>
      </c>
      <c r="C131" s="12" t="n">
        <f aca="false">G37</f>
        <v>0.0434648535742587</v>
      </c>
      <c r="D131" s="12" t="n">
        <f aca="false">G72</f>
        <v>0.0167950974759817</v>
      </c>
      <c r="E131" s="12" t="n">
        <f aca="false">G107</f>
        <v>-0.0739338935396471</v>
      </c>
      <c r="F131" s="5" t="s">
        <v>774</v>
      </c>
    </row>
    <row r="132" customFormat="false" ht="17.15" hidden="false" customHeight="false" outlineLevel="0" collapsed="false">
      <c r="A132" s="5" t="s">
        <v>775</v>
      </c>
      <c r="B132" s="0" t="s">
        <v>202</v>
      </c>
      <c r="C132" s="27" t="n">
        <f aca="false">CF!C4</f>
        <v>111.063429974721</v>
      </c>
      <c r="D132" s="27" t="n">
        <f aca="false">CF!D4</f>
        <v>72.7635612856036</v>
      </c>
      <c r="E132" s="27" t="n">
        <f aca="false">CF!E4</f>
        <v>8.35347765600448</v>
      </c>
      <c r="F132" s="8" t="s">
        <v>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9" min="3" style="0" width="12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777</v>
      </c>
    </row>
    <row r="2" customFormat="false" ht="17.15" hidden="false" customHeight="false" outlineLevel="0" collapsed="false">
      <c r="A2" s="5" t="s">
        <v>778</v>
      </c>
    </row>
    <row r="3" customFormat="false" ht="15" hidden="false" customHeight="false" outlineLevel="0" collapsed="false">
      <c r="A3" s="6" t="s">
        <v>17</v>
      </c>
      <c r="B3" s="6" t="s">
        <v>18</v>
      </c>
      <c r="C3" s="21" t="s">
        <v>779</v>
      </c>
      <c r="D3" s="21" t="s">
        <v>686</v>
      </c>
      <c r="E3" s="21" t="s">
        <v>687</v>
      </c>
      <c r="F3" s="21" t="s">
        <v>688</v>
      </c>
      <c r="G3" s="21" t="s">
        <v>689</v>
      </c>
      <c r="H3" s="21" t="s">
        <v>690</v>
      </c>
      <c r="I3" s="21" t="s">
        <v>691</v>
      </c>
      <c r="J3" s="6" t="s">
        <v>598</v>
      </c>
    </row>
    <row r="4" customFormat="false" ht="17.15" hidden="false" customHeight="false" outlineLevel="0" collapsed="false">
      <c r="A4" s="3" t="s">
        <v>780</v>
      </c>
    </row>
    <row r="5" customFormat="false" ht="17.15" hidden="false" customHeight="false" outlineLevel="0" collapsed="false">
      <c r="A5" s="0" t="s">
        <v>628</v>
      </c>
      <c r="B5" s="0" t="s">
        <v>202</v>
      </c>
      <c r="C5" s="13" t="n">
        <f aca="false">a26_saas</f>
        <v>15.888</v>
      </c>
      <c r="D5" s="13" t="n">
        <f aca="false">q1_saas+(a26_saas-q0_saas)*(1+g0_saas)</f>
        <v>17.6068692118563</v>
      </c>
      <c r="E5" s="13" t="n">
        <f aca="false">D5*(1+E6)</f>
        <v>19.4537410483644</v>
      </c>
      <c r="F5" s="13" t="n">
        <f aca="false">E5*(1+F6)</f>
        <v>21.3732654068659</v>
      </c>
      <c r="G5" s="13" t="n">
        <f aca="false">F5*(1+G6)</f>
        <v>23.3491699299488</v>
      </c>
      <c r="H5" s="13" t="n">
        <f aca="false">G5*(1+H6)</f>
        <v>25.3624226854823</v>
      </c>
      <c r="I5" s="13" t="n">
        <f aca="false">H5*(1+I6)</f>
        <v>27.3914165003209</v>
      </c>
      <c r="J5" s="8" t="s">
        <v>781</v>
      </c>
    </row>
    <row r="6" customFormat="false" ht="17.15" hidden="false" customHeight="false" outlineLevel="0" collapsed="false">
      <c r="A6" s="0" t="s">
        <v>782</v>
      </c>
      <c r="B6" s="0" t="s">
        <v>98</v>
      </c>
      <c r="C6" s="12"/>
      <c r="D6" s="12" t="n">
        <f aca="false">D5/C5-1</f>
        <v>0.108186632166182</v>
      </c>
      <c r="E6" s="12" t="n">
        <f aca="false">g0_saas+(gLT_saas-g0_saas)*1/5</f>
        <v>0.104894959704958</v>
      </c>
      <c r="F6" s="12" t="n">
        <f aca="false">g0_saas+(gLT_saas-g0_saas)*2/5</f>
        <v>0.0986712197787188</v>
      </c>
      <c r="G6" s="12" t="n">
        <f aca="false">g0_saas+(gLT_saas-g0_saas)*3/5</f>
        <v>0.0924474798524792</v>
      </c>
      <c r="H6" s="12" t="n">
        <f aca="false">g0_saas+(gLT_saas-g0_saas)*4/5</f>
        <v>0.0862237399262396</v>
      </c>
      <c r="I6" s="12" t="n">
        <f aca="false">g0_saas+(gLT_saas-g0_saas)*5/5</f>
        <v>0.08</v>
      </c>
    </row>
    <row r="7" customFormat="false" ht="17.15" hidden="false" customHeight="false" outlineLevel="0" collapsed="false">
      <c r="A7" s="0" t="s">
        <v>629</v>
      </c>
      <c r="B7" s="0" t="s">
        <v>202</v>
      </c>
      <c r="C7" s="13" t="n">
        <f aca="false">a26_lic</f>
        <v>4.737</v>
      </c>
      <c r="D7" s="13" t="n">
        <f aca="false">q1_lic+(a26_lic-q0_lic)*(1+g0_lic)</f>
        <v>4.25827153227389</v>
      </c>
      <c r="E7" s="13" t="n">
        <f aca="false">D7*(1+E8)</f>
        <v>3.92577379427377</v>
      </c>
      <c r="F7" s="13" t="n">
        <f aca="false">E7*(1+F8)</f>
        <v>3.6762433860388</v>
      </c>
      <c r="G7" s="13" t="n">
        <f aca="false">F7*(1+G8)</f>
        <v>3.49595527504256</v>
      </c>
      <c r="H7" s="13" t="n">
        <f aca="false">G7*(1+H8)</f>
        <v>3.37527245719789</v>
      </c>
      <c r="I7" s="13" t="n">
        <f aca="false">H7*(1+I8)</f>
        <v>3.30776700805393</v>
      </c>
      <c r="J7" s="8" t="s">
        <v>783</v>
      </c>
    </row>
    <row r="8" customFormat="false" ht="17.15" hidden="false" customHeight="false" outlineLevel="0" collapsed="false">
      <c r="A8" s="0" t="s">
        <v>784</v>
      </c>
      <c r="B8" s="0" t="s">
        <v>98</v>
      </c>
      <c r="C8" s="12"/>
      <c r="D8" s="12" t="n">
        <f aca="false">D7/C7-1</f>
        <v>-0.101061530024512</v>
      </c>
      <c r="E8" s="12" t="n">
        <f aca="false">g0_lic+(gLT_lic-g0_lic)*1/5</f>
        <v>-0.0780827938002747</v>
      </c>
      <c r="F8" s="12" t="n">
        <f aca="false">g0_lic+(gLT_lic-g0_lic)*2/5</f>
        <v>-0.063562095350206</v>
      </c>
      <c r="G8" s="12" t="n">
        <f aca="false">g0_lic+(gLT_lic-g0_lic)*3/5</f>
        <v>-0.0490413969001374</v>
      </c>
      <c r="H8" s="12" t="n">
        <f aca="false">g0_lic+(gLT_lic-g0_lic)*4/5</f>
        <v>-0.0345206984500687</v>
      </c>
      <c r="I8" s="12" t="n">
        <f aca="false">g0_lic+(gLT_lic-g0_lic)*5/5</f>
        <v>-0.02</v>
      </c>
    </row>
    <row r="9" customFormat="false" ht="17.15" hidden="false" customHeight="false" outlineLevel="0" collapsed="false">
      <c r="A9" s="0" t="s">
        <v>630</v>
      </c>
      <c r="B9" s="0" t="s">
        <v>202</v>
      </c>
      <c r="C9" s="13" t="n">
        <f aca="false">a26_sup</f>
        <v>19.804</v>
      </c>
      <c r="D9" s="13" t="n">
        <f aca="false">q1_sup+(a26_sup-q0_sup)*(1+g0_sup)</f>
        <v>19.8676026452865</v>
      </c>
      <c r="E9" s="13" t="n">
        <f aca="false">D9*(1+E10)</f>
        <v>19.960169318504</v>
      </c>
      <c r="F9" s="13" t="n">
        <f aca="false">E9*(1+F10)</f>
        <v>19.9800173634928</v>
      </c>
      <c r="G9" s="13" t="n">
        <f aca="false">F9*(1+G10)</f>
        <v>19.9266624933073</v>
      </c>
      <c r="H9" s="13" t="n">
        <f aca="false">G9*(1+H10)</f>
        <v>19.8004229854802</v>
      </c>
      <c r="I9" s="13" t="n">
        <f aca="false">H9*(1+I10)</f>
        <v>19.6024187556254</v>
      </c>
      <c r="J9" s="8" t="s">
        <v>785</v>
      </c>
    </row>
    <row r="10" customFormat="false" ht="17.15" hidden="false" customHeight="false" outlineLevel="0" collapsed="false">
      <c r="A10" s="0" t="s">
        <v>786</v>
      </c>
      <c r="B10" s="0" t="s">
        <v>98</v>
      </c>
      <c r="C10" s="12"/>
      <c r="D10" s="12" t="n">
        <f aca="false">D9/C9-1</f>
        <v>0.00321160600315507</v>
      </c>
      <c r="E10" s="12" t="n">
        <f aca="false">g0_sup+(gLT_sup-g0_sup)*1/5</f>
        <v>0.00465917679501575</v>
      </c>
      <c r="F10" s="12" t="n">
        <f aca="false">g0_sup+(gLT_sup-g0_sup)*2/5</f>
        <v>0.000994382596261815</v>
      </c>
      <c r="G10" s="12" t="n">
        <f aca="false">g0_sup+(gLT_sup-g0_sup)*3/5</f>
        <v>-0.00267041160249213</v>
      </c>
      <c r="H10" s="12" t="n">
        <f aca="false">g0_sup+(gLT_sup-g0_sup)*4/5</f>
        <v>-0.00633520580124606</v>
      </c>
      <c r="I10" s="12" t="n">
        <f aca="false">g0_sup+(gLT_sup-g0_sup)*5/5</f>
        <v>-0.01</v>
      </c>
    </row>
    <row r="11" customFormat="false" ht="17.15" hidden="false" customHeight="false" outlineLevel="0" collapsed="false">
      <c r="A11" s="0" t="s">
        <v>631</v>
      </c>
      <c r="B11" s="0" t="s">
        <v>202</v>
      </c>
      <c r="C11" s="13" t="n">
        <f aca="false">a26_hw</f>
        <v>3.084</v>
      </c>
      <c r="D11" s="13" t="n">
        <f aca="false">q1_hw+(a26_hw-q0_hw)*(1+g0_hw)</f>
        <v>3.38187258556422</v>
      </c>
      <c r="E11" s="13" t="n">
        <f aca="false">D11*(1+E12)</f>
        <v>3.59915589367095</v>
      </c>
      <c r="F11" s="13" t="n">
        <f aca="false">E11*(1+F12)</f>
        <v>3.7725886175205</v>
      </c>
      <c r="G11" s="13" t="n">
        <f aca="false">F11*(1+G12)</f>
        <v>3.89378190824939</v>
      </c>
      <c r="H11" s="13" t="n">
        <f aca="false">G11*(1+H12)</f>
        <v>3.95632520287867</v>
      </c>
      <c r="I11" s="13" t="n">
        <f aca="false">H11*(1+I12)</f>
        <v>3.95632520287867</v>
      </c>
      <c r="J11" s="8" t="s">
        <v>787</v>
      </c>
    </row>
    <row r="12" customFormat="false" ht="17.15" hidden="false" customHeight="false" outlineLevel="0" collapsed="false">
      <c r="A12" s="0" t="s">
        <v>788</v>
      </c>
      <c r="B12" s="0" t="s">
        <v>98</v>
      </c>
      <c r="C12" s="12"/>
      <c r="D12" s="12" t="n">
        <f aca="false">D11/C11-1</f>
        <v>0.0965864414929365</v>
      </c>
      <c r="E12" s="12" t="n">
        <f aca="false">g0_hw+(gLT_hw-g0_hw)*1/5</f>
        <v>0.0642494069806848</v>
      </c>
      <c r="F12" s="12" t="n">
        <f aca="false">g0_hw+(gLT_hw-g0_hw)*2/5</f>
        <v>0.0481870552355136</v>
      </c>
      <c r="G12" s="12" t="n">
        <f aca="false">g0_hw+(gLT_hw-g0_hw)*3/5</f>
        <v>0.0321247034903424</v>
      </c>
      <c r="H12" s="12" t="n">
        <f aca="false">g0_hw+(gLT_hw-g0_hw)*4/5</f>
        <v>0.0160623517451712</v>
      </c>
      <c r="I12" s="12" t="n">
        <f aca="false">g0_hw+(gLT_hw-g0_hw)*5/5</f>
        <v>0</v>
      </c>
    </row>
    <row r="13" customFormat="false" ht="17.15" hidden="false" customHeight="false" outlineLevel="0" collapsed="false">
      <c r="A13" s="0" t="s">
        <v>632</v>
      </c>
      <c r="B13" s="0" t="s">
        <v>202</v>
      </c>
      <c r="C13" s="13" t="n">
        <f aca="false">a26_svc</f>
        <v>5.743</v>
      </c>
      <c r="D13" s="13" t="n">
        <f aca="false">q1_svc+(a26_svc-q0_svc)*(1+g0_svc)</f>
        <v>6.21286273034975</v>
      </c>
      <c r="E13" s="13" t="n">
        <f aca="false">D13*(1+E14)</f>
        <v>6.70810195831085</v>
      </c>
      <c r="F13" s="13" t="n">
        <f aca="false">E13*(1+F14)</f>
        <v>7.1594494969184</v>
      </c>
      <c r="G13" s="13" t="n">
        <f aca="false">F13*(1+G14)</f>
        <v>7.55218797849776</v>
      </c>
      <c r="H13" s="13" t="n">
        <f aca="false">G13*(1+H14)</f>
        <v>7.87261206235718</v>
      </c>
      <c r="I13" s="13" t="n">
        <f aca="false">H13*(1+I14)</f>
        <v>8.1087904242279</v>
      </c>
      <c r="J13" s="8" t="s">
        <v>789</v>
      </c>
    </row>
    <row r="14" customFormat="false" ht="17.15" hidden="false" customHeight="false" outlineLevel="0" collapsed="false">
      <c r="A14" s="0" t="s">
        <v>790</v>
      </c>
      <c r="B14" s="0" t="s">
        <v>98</v>
      </c>
      <c r="C14" s="12"/>
      <c r="D14" s="12" t="n">
        <f aca="false">D13/C13-1</f>
        <v>0.0818148581490081</v>
      </c>
      <c r="E14" s="12" t="n">
        <f aca="false">g0_svc+(gLT_svc-g0_svc)*1/5</f>
        <v>0.0797119217751033</v>
      </c>
      <c r="F14" s="12" t="n">
        <f aca="false">g0_svc+(gLT_svc-g0_svc)*2/5</f>
        <v>0.0672839413313275</v>
      </c>
      <c r="G14" s="12" t="n">
        <f aca="false">g0_svc+(gLT_svc-g0_svc)*3/5</f>
        <v>0.0548559608875517</v>
      </c>
      <c r="H14" s="12" t="n">
        <f aca="false">g0_svc+(gLT_svc-g0_svc)*4/5</f>
        <v>0.0424279804437758</v>
      </c>
      <c r="I14" s="12" t="n">
        <f aca="false">g0_svc+(gLT_svc-g0_svc)*5/5</f>
        <v>0.03</v>
      </c>
    </row>
    <row r="16" customFormat="false" ht="17.15" hidden="false" customHeight="false" outlineLevel="0" collapsed="false">
      <c r="A16" s="3" t="s">
        <v>692</v>
      </c>
    </row>
    <row r="17" customFormat="false" ht="17.15" hidden="false" customHeight="false" outlineLevel="0" collapsed="false">
      <c r="A17" s="0" t="s">
        <v>625</v>
      </c>
      <c r="B17" s="0" t="s">
        <v>202</v>
      </c>
      <c r="C17" s="13" t="n">
        <f aca="false">a26_oci</f>
        <v>18.101</v>
      </c>
      <c r="D17" s="13" t="n">
        <f aca="false">D18+D19</f>
        <v>42.1885802174699</v>
      </c>
      <c r="E17" s="13" t="n">
        <f aca="false">E18+E19</f>
        <v>78.8019439034471</v>
      </c>
      <c r="F17" s="13" t="n">
        <f aca="false">F18+F19</f>
        <v>101.046154805524</v>
      </c>
      <c r="G17" s="13" t="n">
        <f aca="false">G18+G19</f>
        <v>106.019058654566</v>
      </c>
      <c r="H17" s="13" t="n">
        <f aca="false">H18+H19</f>
        <v>109.849525933758</v>
      </c>
      <c r="I17" s="13" t="n">
        <f aca="false">I18+I19</f>
        <v>116.393425658771</v>
      </c>
      <c r="J17" s="8" t="s">
        <v>791</v>
      </c>
    </row>
    <row r="18" customFormat="false" ht="17.15" hidden="false" customHeight="false" outlineLevel="0" collapsed="false">
      <c r="A18" s="5" t="s">
        <v>792</v>
      </c>
      <c r="B18" s="0" t="s">
        <v>202</v>
      </c>
      <c r="D18" s="13" t="n">
        <f aca="false">Thesis!E19</f>
        <v>31.4008864781802</v>
      </c>
      <c r="E18" s="13" t="n">
        <f aca="false">Thesis!F19</f>
        <v>66.1156160660424</v>
      </c>
      <c r="F18" s="13" t="n">
        <f aca="false">Thesis!G19</f>
        <v>86.4315051368339</v>
      </c>
      <c r="G18" s="13" t="n">
        <f aca="false">Thesis!H19</f>
        <v>89.5337338282832</v>
      </c>
      <c r="H18" s="13" t="n">
        <f aca="false">Thesis!I19</f>
        <v>91.6497273255418</v>
      </c>
      <c r="I18" s="13" t="n">
        <f aca="false">Thesis!J19</f>
        <v>96.7376431618976</v>
      </c>
      <c r="J18" s="8" t="s">
        <v>793</v>
      </c>
    </row>
    <row r="19" customFormat="false" ht="17.15" hidden="false" customHeight="false" outlineLevel="0" collapsed="false">
      <c r="A19" s="5" t="s">
        <v>794</v>
      </c>
      <c r="B19" s="0" t="s">
        <v>202</v>
      </c>
      <c r="D19" s="13" t="n">
        <f aca="false">Thesis!E31</f>
        <v>10.7876937392897</v>
      </c>
      <c r="E19" s="13" t="n">
        <f aca="false">Thesis!F31</f>
        <v>12.6863278374047</v>
      </c>
      <c r="F19" s="13" t="n">
        <f aca="false">Thesis!G31</f>
        <v>14.6146496686903</v>
      </c>
      <c r="G19" s="13" t="n">
        <f aca="false">Thesis!H31</f>
        <v>16.4853248262826</v>
      </c>
      <c r="H19" s="13" t="n">
        <f aca="false">Thesis!I31</f>
        <v>18.199798608216</v>
      </c>
      <c r="I19" s="13" t="n">
        <f aca="false">Thesis!J31</f>
        <v>19.6557824968733</v>
      </c>
    </row>
    <row r="20" customFormat="false" ht="17.15" hidden="false" customHeight="false" outlineLevel="0" collapsed="false">
      <c r="A20" s="0" t="s">
        <v>628</v>
      </c>
      <c r="B20" s="0" t="s">
        <v>202</v>
      </c>
      <c r="C20" s="13" t="n">
        <f aca="false">C5</f>
        <v>15.888</v>
      </c>
      <c r="D20" s="13" t="n">
        <f aca="false">D5</f>
        <v>17.6068692118563</v>
      </c>
      <c r="E20" s="13" t="n">
        <f aca="false">E5</f>
        <v>19.4537410483644</v>
      </c>
      <c r="F20" s="13" t="n">
        <f aca="false">F5</f>
        <v>21.3732654068659</v>
      </c>
      <c r="G20" s="13" t="n">
        <f aca="false">G5</f>
        <v>23.3491699299488</v>
      </c>
      <c r="H20" s="13" t="n">
        <f aca="false">H5</f>
        <v>25.3624226854823</v>
      </c>
      <c r="I20" s="13" t="n">
        <f aca="false">I5</f>
        <v>27.3914165003209</v>
      </c>
    </row>
    <row r="21" customFormat="false" ht="15" hidden="false" customHeight="false" outlineLevel="0" collapsed="false">
      <c r="A21" s="0" t="s">
        <v>629</v>
      </c>
      <c r="B21" s="0" t="s">
        <v>202</v>
      </c>
      <c r="C21" s="13" t="n">
        <f aca="false">C7</f>
        <v>4.737</v>
      </c>
      <c r="D21" s="13" t="n">
        <f aca="false">D7</f>
        <v>4.25827153227389</v>
      </c>
      <c r="E21" s="13" t="n">
        <f aca="false">E7</f>
        <v>3.92577379427377</v>
      </c>
      <c r="F21" s="13" t="n">
        <f aca="false">F7</f>
        <v>3.6762433860388</v>
      </c>
      <c r="G21" s="13" t="n">
        <f aca="false">G7</f>
        <v>3.49595527504256</v>
      </c>
      <c r="H21" s="13" t="n">
        <f aca="false">H7</f>
        <v>3.37527245719789</v>
      </c>
      <c r="I21" s="13" t="n">
        <f aca="false">I7</f>
        <v>3.30776700805393</v>
      </c>
    </row>
    <row r="22" customFormat="false" ht="15" hidden="false" customHeight="false" outlineLevel="0" collapsed="false">
      <c r="A22" s="0" t="s">
        <v>630</v>
      </c>
      <c r="B22" s="0" t="s">
        <v>202</v>
      </c>
      <c r="C22" s="13" t="n">
        <f aca="false">C9</f>
        <v>19.804</v>
      </c>
      <c r="D22" s="13" t="n">
        <f aca="false">D9</f>
        <v>19.8676026452865</v>
      </c>
      <c r="E22" s="13" t="n">
        <f aca="false">E9</f>
        <v>19.960169318504</v>
      </c>
      <c r="F22" s="13" t="n">
        <f aca="false">F9</f>
        <v>19.9800173634928</v>
      </c>
      <c r="G22" s="13" t="n">
        <f aca="false">G9</f>
        <v>19.9266624933073</v>
      </c>
      <c r="H22" s="13" t="n">
        <f aca="false">H9</f>
        <v>19.8004229854802</v>
      </c>
      <c r="I22" s="13" t="n">
        <f aca="false">I9</f>
        <v>19.6024187556254</v>
      </c>
    </row>
    <row r="23" customFormat="false" ht="15" hidden="false" customHeight="false" outlineLevel="0" collapsed="false">
      <c r="A23" s="0" t="s">
        <v>631</v>
      </c>
      <c r="B23" s="0" t="s">
        <v>202</v>
      </c>
      <c r="C23" s="13" t="n">
        <f aca="false">C11</f>
        <v>3.084</v>
      </c>
      <c r="D23" s="13" t="n">
        <f aca="false">D11</f>
        <v>3.38187258556422</v>
      </c>
      <c r="E23" s="13" t="n">
        <f aca="false">E11</f>
        <v>3.59915589367095</v>
      </c>
      <c r="F23" s="13" t="n">
        <f aca="false">F11</f>
        <v>3.7725886175205</v>
      </c>
      <c r="G23" s="13" t="n">
        <f aca="false">G11</f>
        <v>3.89378190824939</v>
      </c>
      <c r="H23" s="13" t="n">
        <f aca="false">H11</f>
        <v>3.95632520287867</v>
      </c>
      <c r="I23" s="13" t="n">
        <f aca="false">I11</f>
        <v>3.95632520287867</v>
      </c>
    </row>
    <row r="24" customFormat="false" ht="15" hidden="false" customHeight="false" outlineLevel="0" collapsed="false">
      <c r="A24" s="0" t="s">
        <v>632</v>
      </c>
      <c r="B24" s="0" t="s">
        <v>202</v>
      </c>
      <c r="C24" s="13" t="n">
        <f aca="false">C13</f>
        <v>5.743</v>
      </c>
      <c r="D24" s="13" t="n">
        <f aca="false">D13</f>
        <v>6.21286273034975</v>
      </c>
      <c r="E24" s="13" t="n">
        <f aca="false">E13</f>
        <v>6.70810195831085</v>
      </c>
      <c r="F24" s="13" t="n">
        <f aca="false">F13</f>
        <v>7.1594494969184</v>
      </c>
      <c r="G24" s="13" t="n">
        <f aca="false">G13</f>
        <v>7.55218797849776</v>
      </c>
      <c r="H24" s="13" t="n">
        <f aca="false">H13</f>
        <v>7.87261206235718</v>
      </c>
      <c r="I24" s="13" t="n">
        <f aca="false">I13</f>
        <v>8.1087904242279</v>
      </c>
    </row>
    <row r="25" customFormat="false" ht="17.15" hidden="false" customHeight="false" outlineLevel="0" collapsed="false">
      <c r="A25" s="5" t="s">
        <v>795</v>
      </c>
      <c r="B25" s="0" t="s">
        <v>202</v>
      </c>
      <c r="C25" s="13" t="n">
        <f aca="false">C17+C20+C21+C22</f>
        <v>58.53</v>
      </c>
      <c r="D25" s="13" t="n">
        <f aca="false">D17+D20+D21+D22</f>
        <v>83.9213236068866</v>
      </c>
      <c r="E25" s="13" t="n">
        <f aca="false">E17+E20+E21+E22</f>
        <v>122.141628064589</v>
      </c>
      <c r="F25" s="13" t="n">
        <f aca="false">F17+F20+F21+F22</f>
        <v>146.075680961922</v>
      </c>
      <c r="G25" s="13" t="n">
        <f aca="false">G17+G20+G21+G22</f>
        <v>152.790846352864</v>
      </c>
      <c r="H25" s="13" t="n">
        <f aca="false">H17+H20+H21+H22</f>
        <v>158.387644061918</v>
      </c>
      <c r="I25" s="13" t="n">
        <f aca="false">I17+I20+I21+I22</f>
        <v>166.695027922771</v>
      </c>
      <c r="J25" s="8" t="s">
        <v>796</v>
      </c>
    </row>
    <row r="26" customFormat="false" ht="17.15" hidden="false" customHeight="false" outlineLevel="0" collapsed="false">
      <c r="A26" s="5" t="s">
        <v>637</v>
      </c>
      <c r="B26" s="0" t="s">
        <v>202</v>
      </c>
      <c r="C26" s="13" t="n">
        <f aca="false">C23</f>
        <v>3.084</v>
      </c>
      <c r="D26" s="13" t="n">
        <f aca="false">D23</f>
        <v>3.38187258556422</v>
      </c>
      <c r="E26" s="13" t="n">
        <f aca="false">E23</f>
        <v>3.59915589367095</v>
      </c>
      <c r="F26" s="13" t="n">
        <f aca="false">F23</f>
        <v>3.7725886175205</v>
      </c>
      <c r="G26" s="13" t="n">
        <f aca="false">G23</f>
        <v>3.89378190824939</v>
      </c>
      <c r="H26" s="13" t="n">
        <f aca="false">H23</f>
        <v>3.95632520287867</v>
      </c>
      <c r="I26" s="13" t="n">
        <f aca="false">I23</f>
        <v>3.95632520287867</v>
      </c>
    </row>
    <row r="27" customFormat="false" ht="17.15" hidden="false" customHeight="false" outlineLevel="0" collapsed="false">
      <c r="A27" s="5" t="s">
        <v>639</v>
      </c>
      <c r="B27" s="0" t="s">
        <v>202</v>
      </c>
      <c r="C27" s="13" t="n">
        <f aca="false">C24</f>
        <v>5.743</v>
      </c>
      <c r="D27" s="13" t="n">
        <f aca="false">D24</f>
        <v>6.21286273034975</v>
      </c>
      <c r="E27" s="13" t="n">
        <f aca="false">E24</f>
        <v>6.70810195831085</v>
      </c>
      <c r="F27" s="13" t="n">
        <f aca="false">F24</f>
        <v>7.1594494969184</v>
      </c>
      <c r="G27" s="13" t="n">
        <f aca="false">G24</f>
        <v>7.55218797849776</v>
      </c>
      <c r="H27" s="13" t="n">
        <f aca="false">H24</f>
        <v>7.87261206235718</v>
      </c>
      <c r="I27" s="13" t="n">
        <f aca="false">I24</f>
        <v>8.1087904242279</v>
      </c>
    </row>
    <row r="28" customFormat="false" ht="15" hidden="false" customHeight="false" outlineLevel="0" collapsed="false">
      <c r="A28" s="5" t="s">
        <v>797</v>
      </c>
      <c r="B28" s="0" t="s">
        <v>202</v>
      </c>
      <c r="C28" s="13" t="n">
        <f aca="false">C25+C26+C27</f>
        <v>67.357</v>
      </c>
      <c r="D28" s="13" t="n">
        <f aca="false">D25+D26+D27</f>
        <v>93.5160589228006</v>
      </c>
      <c r="E28" s="13" t="n">
        <f aca="false">E25+E26+E27</f>
        <v>132.448885916571</v>
      </c>
      <c r="F28" s="13" t="n">
        <f aca="false">F25+F26+F27</f>
        <v>157.00771907636</v>
      </c>
      <c r="G28" s="13" t="n">
        <f aca="false">G25+G26+G27</f>
        <v>164.236816239612</v>
      </c>
      <c r="H28" s="13" t="n">
        <f aca="false">H25+H26+H27</f>
        <v>170.216581327154</v>
      </c>
      <c r="I28" s="13" t="n">
        <f aca="false">I25+I26+I27</f>
        <v>178.760143549878</v>
      </c>
    </row>
    <row r="29" customFormat="false" ht="15" hidden="false" customHeight="false" outlineLevel="0" collapsed="false">
      <c r="A29" s="5" t="s">
        <v>798</v>
      </c>
      <c r="B29" s="0" t="s">
        <v>98</v>
      </c>
      <c r="D29" s="12" t="n">
        <f aca="false">D28/C28-1</f>
        <v>0.388364370782555</v>
      </c>
      <c r="E29" s="12" t="n">
        <f aca="false">E28/D28-1</f>
        <v>0.416322366898614</v>
      </c>
      <c r="F29" s="12" t="n">
        <f aca="false">F28/E28-1</f>
        <v>0.185421213548439</v>
      </c>
      <c r="G29" s="12" t="n">
        <f aca="false">G28/F28-1</f>
        <v>0.0460429411100181</v>
      </c>
      <c r="H29" s="12" t="n">
        <f aca="false">H28/G28-1</f>
        <v>0.0364094070042025</v>
      </c>
      <c r="I29" s="12" t="n">
        <f aca="false">I28/H28-1</f>
        <v>0.0501923029831215</v>
      </c>
    </row>
    <row r="30" customFormat="false" ht="17.15" hidden="false" customHeight="false" outlineLevel="0" collapsed="false">
      <c r="A30" s="5" t="s">
        <v>799</v>
      </c>
      <c r="B30" s="0" t="s">
        <v>202</v>
      </c>
      <c r="D30" s="11" t="n">
        <f aca="false">D18+D19-D17</f>
        <v>0</v>
      </c>
      <c r="E30" s="11" t="n">
        <f aca="false">E18+E19-E17</f>
        <v>0</v>
      </c>
      <c r="F30" s="11" t="n">
        <f aca="false">F18+F19-F17</f>
        <v>0</v>
      </c>
      <c r="G30" s="11" t="n">
        <f aca="false">G18+G19-G17</f>
        <v>0</v>
      </c>
      <c r="H30" s="11" t="n">
        <f aca="false">H18+H19-H17</f>
        <v>0</v>
      </c>
      <c r="I30" s="11" t="n">
        <f aca="false">I18+I19-I17</f>
        <v>0</v>
      </c>
    </row>
    <row r="31" customFormat="false" ht="17.15" hidden="false" customHeight="false" outlineLevel="0" collapsed="false">
      <c r="A31" s="5" t="s">
        <v>640</v>
      </c>
      <c r="B31" s="0" t="s">
        <v>202</v>
      </c>
      <c r="C31" s="11" t="n">
        <f aca="false">C17+C20+C21+C22+C23+C24-C28</f>
        <v>0</v>
      </c>
      <c r="D31" s="11" t="n">
        <f aca="false">D17+D20+D21+D22+D23+D24-D28</f>
        <v>0</v>
      </c>
      <c r="E31" s="11" t="n">
        <f aca="false">E17+E20+E21+E22+E23+E24-E28</f>
        <v>0</v>
      </c>
      <c r="F31" s="11" t="n">
        <f aca="false">F17+F20+F21+F22+F23+F24-F28</f>
        <v>0</v>
      </c>
      <c r="G31" s="11" t="n">
        <f aca="false">G17+G20+G21+G22+G23+G24-G28</f>
        <v>0</v>
      </c>
      <c r="H31" s="11" t="n">
        <f aca="false">H17+H20+H21+H22+H23+H24-H28</f>
        <v>0</v>
      </c>
      <c r="I31" s="11" t="n">
        <f aca="false">I17+I20+I21+I22+I23+I24-I28</f>
        <v>0</v>
      </c>
    </row>
    <row r="32" customFormat="false" ht="17.15" hidden="false" customHeight="false" outlineLevel="0" collapsed="false">
      <c r="A32" s="5" t="s">
        <v>800</v>
      </c>
      <c r="B32" s="0" t="s">
        <v>202</v>
      </c>
      <c r="C32" s="11" t="n">
        <f aca="false">C28-a26_rev</f>
        <v>0</v>
      </c>
    </row>
    <row r="34" customFormat="false" ht="17.15" hidden="false" customHeight="false" outlineLevel="0" collapsed="false">
      <c r="A34" s="3" t="s">
        <v>740</v>
      </c>
    </row>
    <row r="35" customFormat="false" ht="17.15" hidden="false" customHeight="false" outlineLevel="0" collapsed="false">
      <c r="A35" s="0" t="s">
        <v>625</v>
      </c>
      <c r="B35" s="0" t="s">
        <v>202</v>
      </c>
      <c r="C35" s="13" t="n">
        <f aca="false">a26_oci</f>
        <v>18.101</v>
      </c>
      <c r="D35" s="13" t="n">
        <f aca="false">D36+D37</f>
        <v>35.8264759298774</v>
      </c>
      <c r="E35" s="13" t="n">
        <f aca="false">E36+E37</f>
        <v>65.3431208651826</v>
      </c>
      <c r="F35" s="13" t="n">
        <f aca="false">F36+F37</f>
        <v>93.6003075427957</v>
      </c>
      <c r="G35" s="13" t="n">
        <f aca="false">G36+G37</f>
        <v>106.577336893125</v>
      </c>
      <c r="H35" s="13" t="n">
        <f aca="false">H36+H37</f>
        <v>110.174885036916</v>
      </c>
      <c r="I35" s="13" t="n">
        <f aca="false">I36+I37</f>
        <v>116.455776765764</v>
      </c>
      <c r="J35" s="8" t="s">
        <v>791</v>
      </c>
    </row>
    <row r="36" customFormat="false" ht="17.15" hidden="false" customHeight="false" outlineLevel="0" collapsed="false">
      <c r="A36" s="5" t="s">
        <v>792</v>
      </c>
      <c r="B36" s="0" t="s">
        <v>202</v>
      </c>
      <c r="D36" s="13" t="n">
        <f aca="false">Thesis!E54</f>
        <v>25.0387821905876</v>
      </c>
      <c r="E36" s="13" t="n">
        <f aca="false">Thesis!F54</f>
        <v>52.6567930277778</v>
      </c>
      <c r="F36" s="13" t="n">
        <f aca="false">Thesis!G54</f>
        <v>78.9856578741055</v>
      </c>
      <c r="G36" s="13" t="n">
        <f aca="false">Thesis!H54</f>
        <v>90.0920120668425</v>
      </c>
      <c r="H36" s="13" t="n">
        <f aca="false">Thesis!I54</f>
        <v>91.9750864286999</v>
      </c>
      <c r="I36" s="13" t="n">
        <f aca="false">Thesis!J54</f>
        <v>96.7999942688904</v>
      </c>
      <c r="J36" s="8" t="s">
        <v>793</v>
      </c>
    </row>
    <row r="37" customFormat="false" ht="17.15" hidden="false" customHeight="false" outlineLevel="0" collapsed="false">
      <c r="A37" s="5" t="s">
        <v>794</v>
      </c>
      <c r="B37" s="0" t="s">
        <v>202</v>
      </c>
      <c r="D37" s="13" t="n">
        <f aca="false">Thesis!E66</f>
        <v>10.7876937392897</v>
      </c>
      <c r="E37" s="13" t="n">
        <f aca="false">Thesis!F66</f>
        <v>12.6863278374047</v>
      </c>
      <c r="F37" s="13" t="n">
        <f aca="false">Thesis!G66</f>
        <v>14.6146496686903</v>
      </c>
      <c r="G37" s="13" t="n">
        <f aca="false">Thesis!H66</f>
        <v>16.4853248262826</v>
      </c>
      <c r="H37" s="13" t="n">
        <f aca="false">Thesis!I66</f>
        <v>18.199798608216</v>
      </c>
      <c r="I37" s="13" t="n">
        <f aca="false">Thesis!J66</f>
        <v>19.6557824968733</v>
      </c>
    </row>
    <row r="38" customFormat="false" ht="17.15" hidden="false" customHeight="false" outlineLevel="0" collapsed="false">
      <c r="A38" s="0" t="s">
        <v>628</v>
      </c>
      <c r="B38" s="0" t="s">
        <v>202</v>
      </c>
      <c r="C38" s="13" t="n">
        <f aca="false">C5</f>
        <v>15.888</v>
      </c>
      <c r="D38" s="13" t="n">
        <f aca="false">D5</f>
        <v>17.6068692118563</v>
      </c>
      <c r="E38" s="13" t="n">
        <f aca="false">E5</f>
        <v>19.4537410483644</v>
      </c>
      <c r="F38" s="13" t="n">
        <f aca="false">F5</f>
        <v>21.3732654068659</v>
      </c>
      <c r="G38" s="13" t="n">
        <f aca="false">G5</f>
        <v>23.3491699299488</v>
      </c>
      <c r="H38" s="13" t="n">
        <f aca="false">H5</f>
        <v>25.3624226854823</v>
      </c>
      <c r="I38" s="13" t="n">
        <f aca="false">I5</f>
        <v>27.3914165003209</v>
      </c>
    </row>
    <row r="39" customFormat="false" ht="15" hidden="false" customHeight="false" outlineLevel="0" collapsed="false">
      <c r="A39" s="0" t="s">
        <v>629</v>
      </c>
      <c r="B39" s="0" t="s">
        <v>202</v>
      </c>
      <c r="C39" s="13" t="n">
        <f aca="false">C7</f>
        <v>4.737</v>
      </c>
      <c r="D39" s="13" t="n">
        <f aca="false">D7</f>
        <v>4.25827153227389</v>
      </c>
      <c r="E39" s="13" t="n">
        <f aca="false">E7</f>
        <v>3.92577379427377</v>
      </c>
      <c r="F39" s="13" t="n">
        <f aca="false">F7</f>
        <v>3.6762433860388</v>
      </c>
      <c r="G39" s="13" t="n">
        <f aca="false">G7</f>
        <v>3.49595527504256</v>
      </c>
      <c r="H39" s="13" t="n">
        <f aca="false">H7</f>
        <v>3.37527245719789</v>
      </c>
      <c r="I39" s="13" t="n">
        <f aca="false">I7</f>
        <v>3.30776700805393</v>
      </c>
    </row>
    <row r="40" customFormat="false" ht="15" hidden="false" customHeight="false" outlineLevel="0" collapsed="false">
      <c r="A40" s="0" t="s">
        <v>630</v>
      </c>
      <c r="B40" s="0" t="s">
        <v>202</v>
      </c>
      <c r="C40" s="13" t="n">
        <f aca="false">C9</f>
        <v>19.804</v>
      </c>
      <c r="D40" s="13" t="n">
        <f aca="false">D9</f>
        <v>19.8676026452865</v>
      </c>
      <c r="E40" s="13" t="n">
        <f aca="false">E9</f>
        <v>19.960169318504</v>
      </c>
      <c r="F40" s="13" t="n">
        <f aca="false">F9</f>
        <v>19.9800173634928</v>
      </c>
      <c r="G40" s="13" t="n">
        <f aca="false">G9</f>
        <v>19.9266624933073</v>
      </c>
      <c r="H40" s="13" t="n">
        <f aca="false">H9</f>
        <v>19.8004229854802</v>
      </c>
      <c r="I40" s="13" t="n">
        <f aca="false">I9</f>
        <v>19.6024187556254</v>
      </c>
    </row>
    <row r="41" customFormat="false" ht="15" hidden="false" customHeight="false" outlineLevel="0" collapsed="false">
      <c r="A41" s="0" t="s">
        <v>631</v>
      </c>
      <c r="B41" s="0" t="s">
        <v>202</v>
      </c>
      <c r="C41" s="13" t="n">
        <f aca="false">C11</f>
        <v>3.084</v>
      </c>
      <c r="D41" s="13" t="n">
        <f aca="false">D11</f>
        <v>3.38187258556422</v>
      </c>
      <c r="E41" s="13" t="n">
        <f aca="false">E11</f>
        <v>3.59915589367095</v>
      </c>
      <c r="F41" s="13" t="n">
        <f aca="false">F11</f>
        <v>3.7725886175205</v>
      </c>
      <c r="G41" s="13" t="n">
        <f aca="false">G11</f>
        <v>3.89378190824939</v>
      </c>
      <c r="H41" s="13" t="n">
        <f aca="false">H11</f>
        <v>3.95632520287867</v>
      </c>
      <c r="I41" s="13" t="n">
        <f aca="false">I11</f>
        <v>3.95632520287867</v>
      </c>
    </row>
    <row r="42" customFormat="false" ht="15" hidden="false" customHeight="false" outlineLevel="0" collapsed="false">
      <c r="A42" s="0" t="s">
        <v>632</v>
      </c>
      <c r="B42" s="0" t="s">
        <v>202</v>
      </c>
      <c r="C42" s="13" t="n">
        <f aca="false">C13</f>
        <v>5.743</v>
      </c>
      <c r="D42" s="13" t="n">
        <f aca="false">D13</f>
        <v>6.21286273034975</v>
      </c>
      <c r="E42" s="13" t="n">
        <f aca="false">E13</f>
        <v>6.70810195831085</v>
      </c>
      <c r="F42" s="13" t="n">
        <f aca="false">F13</f>
        <v>7.1594494969184</v>
      </c>
      <c r="G42" s="13" t="n">
        <f aca="false">G13</f>
        <v>7.55218797849776</v>
      </c>
      <c r="H42" s="13" t="n">
        <f aca="false">H13</f>
        <v>7.87261206235718</v>
      </c>
      <c r="I42" s="13" t="n">
        <f aca="false">I13</f>
        <v>8.1087904242279</v>
      </c>
    </row>
    <row r="43" customFormat="false" ht="17.15" hidden="false" customHeight="false" outlineLevel="0" collapsed="false">
      <c r="A43" s="5" t="s">
        <v>795</v>
      </c>
      <c r="B43" s="0" t="s">
        <v>202</v>
      </c>
      <c r="C43" s="13" t="n">
        <f aca="false">C35+C38+C39+C40</f>
        <v>58.53</v>
      </c>
      <c r="D43" s="13" t="n">
        <f aca="false">D35+D38+D39+D40</f>
        <v>77.559219319294</v>
      </c>
      <c r="E43" s="13" t="n">
        <f aca="false">E35+E38+E39+E40</f>
        <v>108.682805026325</v>
      </c>
      <c r="F43" s="13" t="n">
        <f aca="false">F35+F38+F39+F40</f>
        <v>138.629833699193</v>
      </c>
      <c r="G43" s="13" t="n">
        <f aca="false">G35+G38+G39+G40</f>
        <v>153.349124591424</v>
      </c>
      <c r="H43" s="13" t="n">
        <f aca="false">H35+H38+H39+H40</f>
        <v>158.713003165076</v>
      </c>
      <c r="I43" s="13" t="n">
        <f aca="false">I35+I38+I39+I40</f>
        <v>166.757379029764</v>
      </c>
      <c r="J43" s="8" t="s">
        <v>796</v>
      </c>
    </row>
    <row r="44" customFormat="false" ht="17.15" hidden="false" customHeight="false" outlineLevel="0" collapsed="false">
      <c r="A44" s="5" t="s">
        <v>637</v>
      </c>
      <c r="B44" s="0" t="s">
        <v>202</v>
      </c>
      <c r="C44" s="13" t="n">
        <f aca="false">C41</f>
        <v>3.084</v>
      </c>
      <c r="D44" s="13" t="n">
        <f aca="false">D41</f>
        <v>3.38187258556422</v>
      </c>
      <c r="E44" s="13" t="n">
        <f aca="false">E41</f>
        <v>3.59915589367095</v>
      </c>
      <c r="F44" s="13" t="n">
        <f aca="false">F41</f>
        <v>3.7725886175205</v>
      </c>
      <c r="G44" s="13" t="n">
        <f aca="false">G41</f>
        <v>3.89378190824939</v>
      </c>
      <c r="H44" s="13" t="n">
        <f aca="false">H41</f>
        <v>3.95632520287867</v>
      </c>
      <c r="I44" s="13" t="n">
        <f aca="false">I41</f>
        <v>3.95632520287867</v>
      </c>
    </row>
    <row r="45" customFormat="false" ht="17.15" hidden="false" customHeight="false" outlineLevel="0" collapsed="false">
      <c r="A45" s="5" t="s">
        <v>639</v>
      </c>
      <c r="B45" s="0" t="s">
        <v>202</v>
      </c>
      <c r="C45" s="13" t="n">
        <f aca="false">C42</f>
        <v>5.743</v>
      </c>
      <c r="D45" s="13" t="n">
        <f aca="false">D42</f>
        <v>6.21286273034975</v>
      </c>
      <c r="E45" s="13" t="n">
        <f aca="false">E42</f>
        <v>6.70810195831085</v>
      </c>
      <c r="F45" s="13" t="n">
        <f aca="false">F42</f>
        <v>7.1594494969184</v>
      </c>
      <c r="G45" s="13" t="n">
        <f aca="false">G42</f>
        <v>7.55218797849776</v>
      </c>
      <c r="H45" s="13" t="n">
        <f aca="false">H42</f>
        <v>7.87261206235718</v>
      </c>
      <c r="I45" s="13" t="n">
        <f aca="false">I42</f>
        <v>8.1087904242279</v>
      </c>
    </row>
    <row r="46" customFormat="false" ht="15" hidden="false" customHeight="false" outlineLevel="0" collapsed="false">
      <c r="A46" s="5" t="s">
        <v>797</v>
      </c>
      <c r="B46" s="0" t="s">
        <v>202</v>
      </c>
      <c r="C46" s="13" t="n">
        <f aca="false">C43+C44+C45</f>
        <v>67.357</v>
      </c>
      <c r="D46" s="13" t="n">
        <f aca="false">D43+D44+D45</f>
        <v>87.153954635208</v>
      </c>
      <c r="E46" s="13" t="n">
        <f aca="false">E43+E44+E45</f>
        <v>118.990062878307</v>
      </c>
      <c r="F46" s="13" t="n">
        <f aca="false">F43+F44+F45</f>
        <v>149.561871813632</v>
      </c>
      <c r="G46" s="13" t="n">
        <f aca="false">G43+G44+G45</f>
        <v>164.795094478171</v>
      </c>
      <c r="H46" s="13" t="n">
        <f aca="false">H43+H44+H45</f>
        <v>170.541940430312</v>
      </c>
      <c r="I46" s="13" t="n">
        <f aca="false">I43+I44+I45</f>
        <v>178.822494656871</v>
      </c>
    </row>
    <row r="47" customFormat="false" ht="15" hidden="false" customHeight="false" outlineLevel="0" collapsed="false">
      <c r="A47" s="5" t="s">
        <v>798</v>
      </c>
      <c r="B47" s="0" t="s">
        <v>98</v>
      </c>
      <c r="D47" s="12" t="n">
        <f aca="false">D46/C46-1</f>
        <v>0.293910872443963</v>
      </c>
      <c r="E47" s="12" t="n">
        <f aca="false">E46/D46-1</f>
        <v>0.365285871150104</v>
      </c>
      <c r="F47" s="12" t="n">
        <f aca="false">F46/E46-1</f>
        <v>0.2569274122209</v>
      </c>
      <c r="G47" s="12" t="n">
        <f aca="false">G46/F46-1</f>
        <v>0.101852313559708</v>
      </c>
      <c r="H47" s="12" t="n">
        <f aca="false">H46/G46-1</f>
        <v>0.0348726760971787</v>
      </c>
      <c r="I47" s="12" t="n">
        <f aca="false">I46/H46-1</f>
        <v>0.0485543568090341</v>
      </c>
    </row>
    <row r="48" customFormat="false" ht="17.15" hidden="false" customHeight="false" outlineLevel="0" collapsed="false">
      <c r="A48" s="5" t="s">
        <v>799</v>
      </c>
      <c r="B48" s="0" t="s">
        <v>202</v>
      </c>
      <c r="D48" s="11" t="n">
        <f aca="false">D36+D37-D35</f>
        <v>0</v>
      </c>
      <c r="E48" s="11" t="n">
        <f aca="false">E36+E37-E35</f>
        <v>0</v>
      </c>
      <c r="F48" s="11" t="n">
        <f aca="false">F36+F37-F35</f>
        <v>0</v>
      </c>
      <c r="G48" s="11" t="n">
        <f aca="false">G36+G37-G35</f>
        <v>0</v>
      </c>
      <c r="H48" s="11" t="n">
        <f aca="false">H36+H37-H35</f>
        <v>0</v>
      </c>
      <c r="I48" s="11" t="n">
        <f aca="false">I36+I37-I35</f>
        <v>0</v>
      </c>
    </row>
    <row r="49" customFormat="false" ht="17.15" hidden="false" customHeight="false" outlineLevel="0" collapsed="false">
      <c r="A49" s="5" t="s">
        <v>640</v>
      </c>
      <c r="B49" s="0" t="s">
        <v>202</v>
      </c>
      <c r="C49" s="11" t="n">
        <f aca="false">C35+C38+C39+C40+C41+C42-C46</f>
        <v>0</v>
      </c>
      <c r="D49" s="11" t="n">
        <f aca="false">D35+D38+D39+D40+D41+D42-D46</f>
        <v>0</v>
      </c>
      <c r="E49" s="11" t="n">
        <f aca="false">E35+E38+E39+E40+E41+E42-E46</f>
        <v>0</v>
      </c>
      <c r="F49" s="11" t="n">
        <f aca="false">F35+F38+F39+F40+F41+F42-F46</f>
        <v>0</v>
      </c>
      <c r="G49" s="11" t="n">
        <f aca="false">G35+G38+G39+G40+G41+G42-G46</f>
        <v>0</v>
      </c>
      <c r="H49" s="11" t="n">
        <f aca="false">H35+H38+H39+H40+H41+H42-H46</f>
        <v>0</v>
      </c>
      <c r="I49" s="11" t="n">
        <f aca="false">I35+I38+I39+I40+I41+I42-I46</f>
        <v>0</v>
      </c>
    </row>
    <row r="50" customFormat="false" ht="17.15" hidden="false" customHeight="false" outlineLevel="0" collapsed="false">
      <c r="A50" s="5" t="s">
        <v>800</v>
      </c>
      <c r="B50" s="0" t="s">
        <v>202</v>
      </c>
      <c r="C50" s="11" t="n">
        <f aca="false">C46-a26_rev</f>
        <v>0</v>
      </c>
    </row>
    <row r="52" customFormat="false" ht="17.15" hidden="false" customHeight="false" outlineLevel="0" collapsed="false">
      <c r="A52" s="3" t="s">
        <v>743</v>
      </c>
    </row>
    <row r="53" customFormat="false" ht="17.15" hidden="false" customHeight="false" outlineLevel="0" collapsed="false">
      <c r="A53" s="0" t="s">
        <v>625</v>
      </c>
      <c r="B53" s="0" t="s">
        <v>202</v>
      </c>
      <c r="C53" s="13" t="n">
        <f aca="false">a26_oci</f>
        <v>18.101</v>
      </c>
      <c r="D53" s="13" t="n">
        <f aca="false">D54+D55</f>
        <v>32.105600921658</v>
      </c>
      <c r="E53" s="13" t="n">
        <f aca="false">E54+E55</f>
        <v>43.6677344879951</v>
      </c>
      <c r="F53" s="13" t="n">
        <f aca="false">F54+F55</f>
        <v>56.5407621644448</v>
      </c>
      <c r="G53" s="13" t="n">
        <f aca="false">G54+G55</f>
        <v>69.7997130695</v>
      </c>
      <c r="H53" s="13" t="n">
        <f aca="false">H54+H55</f>
        <v>79.9123852800385</v>
      </c>
      <c r="I53" s="13" t="n">
        <f aca="false">I54+I55</f>
        <v>86.266584381266</v>
      </c>
      <c r="J53" s="8" t="s">
        <v>791</v>
      </c>
    </row>
    <row r="54" customFormat="false" ht="17.15" hidden="false" customHeight="false" outlineLevel="0" collapsed="false">
      <c r="A54" s="5" t="s">
        <v>792</v>
      </c>
      <c r="B54" s="0" t="s">
        <v>202</v>
      </c>
      <c r="D54" s="13" t="n">
        <f aca="false">Thesis!E89</f>
        <v>21.3179071823683</v>
      </c>
      <c r="E54" s="13" t="n">
        <f aca="false">Thesis!F89</f>
        <v>30.9814066505904</v>
      </c>
      <c r="F54" s="13" t="n">
        <f aca="false">Thesis!G89</f>
        <v>41.9261124957546</v>
      </c>
      <c r="G54" s="13" t="n">
        <f aca="false">Thesis!H89</f>
        <v>53.3143882432174</v>
      </c>
      <c r="H54" s="13" t="n">
        <f aca="false">Thesis!I89</f>
        <v>61.7125866718225</v>
      </c>
      <c r="I54" s="13" t="n">
        <f aca="false">Thesis!J89</f>
        <v>66.6108018843927</v>
      </c>
      <c r="J54" s="8" t="s">
        <v>793</v>
      </c>
    </row>
    <row r="55" customFormat="false" ht="17.15" hidden="false" customHeight="false" outlineLevel="0" collapsed="false">
      <c r="A55" s="5" t="s">
        <v>794</v>
      </c>
      <c r="B55" s="0" t="s">
        <v>202</v>
      </c>
      <c r="D55" s="13" t="n">
        <f aca="false">Thesis!E101</f>
        <v>10.7876937392897</v>
      </c>
      <c r="E55" s="13" t="n">
        <f aca="false">Thesis!F101</f>
        <v>12.6863278374047</v>
      </c>
      <c r="F55" s="13" t="n">
        <f aca="false">Thesis!G101</f>
        <v>14.6146496686903</v>
      </c>
      <c r="G55" s="13" t="n">
        <f aca="false">Thesis!H101</f>
        <v>16.4853248262826</v>
      </c>
      <c r="H55" s="13" t="n">
        <f aca="false">Thesis!I101</f>
        <v>18.199798608216</v>
      </c>
      <c r="I55" s="13" t="n">
        <f aca="false">Thesis!J101</f>
        <v>19.6557824968733</v>
      </c>
    </row>
    <row r="56" customFormat="false" ht="17.15" hidden="false" customHeight="false" outlineLevel="0" collapsed="false">
      <c r="A56" s="0" t="s">
        <v>628</v>
      </c>
      <c r="B56" s="0" t="s">
        <v>202</v>
      </c>
      <c r="C56" s="13" t="n">
        <f aca="false">C5</f>
        <v>15.888</v>
      </c>
      <c r="D56" s="13" t="n">
        <f aca="false">D5</f>
        <v>17.6068692118563</v>
      </c>
      <c r="E56" s="13" t="n">
        <f aca="false">E5</f>
        <v>19.4537410483644</v>
      </c>
      <c r="F56" s="13" t="n">
        <f aca="false">F5</f>
        <v>21.3732654068659</v>
      </c>
      <c r="G56" s="13" t="n">
        <f aca="false">G5</f>
        <v>23.3491699299488</v>
      </c>
      <c r="H56" s="13" t="n">
        <f aca="false">H5</f>
        <v>25.3624226854823</v>
      </c>
      <c r="I56" s="13" t="n">
        <f aca="false">I5</f>
        <v>27.3914165003209</v>
      </c>
    </row>
    <row r="57" customFormat="false" ht="15" hidden="false" customHeight="false" outlineLevel="0" collapsed="false">
      <c r="A57" s="0" t="s">
        <v>629</v>
      </c>
      <c r="B57" s="0" t="s">
        <v>202</v>
      </c>
      <c r="C57" s="13" t="n">
        <f aca="false">C7</f>
        <v>4.737</v>
      </c>
      <c r="D57" s="13" t="n">
        <f aca="false">D7</f>
        <v>4.25827153227389</v>
      </c>
      <c r="E57" s="13" t="n">
        <f aca="false">E7</f>
        <v>3.92577379427377</v>
      </c>
      <c r="F57" s="13" t="n">
        <f aca="false">F7</f>
        <v>3.6762433860388</v>
      </c>
      <c r="G57" s="13" t="n">
        <f aca="false">G7</f>
        <v>3.49595527504256</v>
      </c>
      <c r="H57" s="13" t="n">
        <f aca="false">H7</f>
        <v>3.37527245719789</v>
      </c>
      <c r="I57" s="13" t="n">
        <f aca="false">I7</f>
        <v>3.30776700805393</v>
      </c>
    </row>
    <row r="58" customFormat="false" ht="15" hidden="false" customHeight="false" outlineLevel="0" collapsed="false">
      <c r="A58" s="0" t="s">
        <v>630</v>
      </c>
      <c r="B58" s="0" t="s">
        <v>202</v>
      </c>
      <c r="C58" s="13" t="n">
        <f aca="false">C9</f>
        <v>19.804</v>
      </c>
      <c r="D58" s="13" t="n">
        <f aca="false">D9</f>
        <v>19.8676026452865</v>
      </c>
      <c r="E58" s="13" t="n">
        <f aca="false">E9</f>
        <v>19.960169318504</v>
      </c>
      <c r="F58" s="13" t="n">
        <f aca="false">F9</f>
        <v>19.9800173634928</v>
      </c>
      <c r="G58" s="13" t="n">
        <f aca="false">G9</f>
        <v>19.9266624933073</v>
      </c>
      <c r="H58" s="13" t="n">
        <f aca="false">H9</f>
        <v>19.8004229854802</v>
      </c>
      <c r="I58" s="13" t="n">
        <f aca="false">I9</f>
        <v>19.6024187556254</v>
      </c>
    </row>
    <row r="59" customFormat="false" ht="15" hidden="false" customHeight="false" outlineLevel="0" collapsed="false">
      <c r="A59" s="0" t="s">
        <v>631</v>
      </c>
      <c r="B59" s="0" t="s">
        <v>202</v>
      </c>
      <c r="C59" s="13" t="n">
        <f aca="false">C11</f>
        <v>3.084</v>
      </c>
      <c r="D59" s="13" t="n">
        <f aca="false">D11</f>
        <v>3.38187258556422</v>
      </c>
      <c r="E59" s="13" t="n">
        <f aca="false">E11</f>
        <v>3.59915589367095</v>
      </c>
      <c r="F59" s="13" t="n">
        <f aca="false">F11</f>
        <v>3.7725886175205</v>
      </c>
      <c r="G59" s="13" t="n">
        <f aca="false">G11</f>
        <v>3.89378190824939</v>
      </c>
      <c r="H59" s="13" t="n">
        <f aca="false">H11</f>
        <v>3.95632520287867</v>
      </c>
      <c r="I59" s="13" t="n">
        <f aca="false">I11</f>
        <v>3.95632520287867</v>
      </c>
    </row>
    <row r="60" customFormat="false" ht="15" hidden="false" customHeight="false" outlineLevel="0" collapsed="false">
      <c r="A60" s="0" t="s">
        <v>632</v>
      </c>
      <c r="B60" s="0" t="s">
        <v>202</v>
      </c>
      <c r="C60" s="13" t="n">
        <f aca="false">C13</f>
        <v>5.743</v>
      </c>
      <c r="D60" s="13" t="n">
        <f aca="false">D13</f>
        <v>6.21286273034975</v>
      </c>
      <c r="E60" s="13" t="n">
        <f aca="false">E13</f>
        <v>6.70810195831085</v>
      </c>
      <c r="F60" s="13" t="n">
        <f aca="false">F13</f>
        <v>7.1594494969184</v>
      </c>
      <c r="G60" s="13" t="n">
        <f aca="false">G13</f>
        <v>7.55218797849776</v>
      </c>
      <c r="H60" s="13" t="n">
        <f aca="false">H13</f>
        <v>7.87261206235718</v>
      </c>
      <c r="I60" s="13" t="n">
        <f aca="false">I13</f>
        <v>8.1087904242279</v>
      </c>
    </row>
    <row r="61" customFormat="false" ht="17.15" hidden="false" customHeight="false" outlineLevel="0" collapsed="false">
      <c r="A61" s="5" t="s">
        <v>795</v>
      </c>
      <c r="B61" s="0" t="s">
        <v>202</v>
      </c>
      <c r="C61" s="13" t="n">
        <f aca="false">C53+C56+C57+C58</f>
        <v>58.53</v>
      </c>
      <c r="D61" s="13" t="n">
        <f aca="false">D53+D56+D57+D58</f>
        <v>73.8383443110747</v>
      </c>
      <c r="E61" s="13" t="n">
        <f aca="false">E53+E56+E57+E58</f>
        <v>87.0074186491373</v>
      </c>
      <c r="F61" s="13" t="n">
        <f aca="false">F53+F56+F57+F58</f>
        <v>101.570288320842</v>
      </c>
      <c r="G61" s="13" t="n">
        <f aca="false">G53+G56+G57+G58</f>
        <v>116.571500767799</v>
      </c>
      <c r="H61" s="13" t="n">
        <f aca="false">H53+H56+H57+H58</f>
        <v>128.450503408199</v>
      </c>
      <c r="I61" s="13" t="n">
        <f aca="false">I53+I56+I57+I58</f>
        <v>136.568186645266</v>
      </c>
      <c r="J61" s="8" t="s">
        <v>796</v>
      </c>
    </row>
    <row r="62" customFormat="false" ht="17.15" hidden="false" customHeight="false" outlineLevel="0" collapsed="false">
      <c r="A62" s="5" t="s">
        <v>637</v>
      </c>
      <c r="B62" s="0" t="s">
        <v>202</v>
      </c>
      <c r="C62" s="13" t="n">
        <f aca="false">C59</f>
        <v>3.084</v>
      </c>
      <c r="D62" s="13" t="n">
        <f aca="false">D59</f>
        <v>3.38187258556422</v>
      </c>
      <c r="E62" s="13" t="n">
        <f aca="false">E59</f>
        <v>3.59915589367095</v>
      </c>
      <c r="F62" s="13" t="n">
        <f aca="false">F59</f>
        <v>3.7725886175205</v>
      </c>
      <c r="G62" s="13" t="n">
        <f aca="false">G59</f>
        <v>3.89378190824939</v>
      </c>
      <c r="H62" s="13" t="n">
        <f aca="false">H59</f>
        <v>3.95632520287867</v>
      </c>
      <c r="I62" s="13" t="n">
        <f aca="false">I59</f>
        <v>3.95632520287867</v>
      </c>
    </row>
    <row r="63" customFormat="false" ht="17.15" hidden="false" customHeight="false" outlineLevel="0" collapsed="false">
      <c r="A63" s="5" t="s">
        <v>639</v>
      </c>
      <c r="B63" s="0" t="s">
        <v>202</v>
      </c>
      <c r="C63" s="13" t="n">
        <f aca="false">C60</f>
        <v>5.743</v>
      </c>
      <c r="D63" s="13" t="n">
        <f aca="false">D60</f>
        <v>6.21286273034975</v>
      </c>
      <c r="E63" s="13" t="n">
        <f aca="false">E60</f>
        <v>6.70810195831085</v>
      </c>
      <c r="F63" s="13" t="n">
        <f aca="false">F60</f>
        <v>7.1594494969184</v>
      </c>
      <c r="G63" s="13" t="n">
        <f aca="false">G60</f>
        <v>7.55218797849776</v>
      </c>
      <c r="H63" s="13" t="n">
        <f aca="false">H60</f>
        <v>7.87261206235718</v>
      </c>
      <c r="I63" s="13" t="n">
        <f aca="false">I60</f>
        <v>8.1087904242279</v>
      </c>
    </row>
    <row r="64" customFormat="false" ht="15" hidden="false" customHeight="false" outlineLevel="0" collapsed="false">
      <c r="A64" s="5" t="s">
        <v>797</v>
      </c>
      <c r="B64" s="0" t="s">
        <v>202</v>
      </c>
      <c r="C64" s="13" t="n">
        <f aca="false">C61+C62+C63</f>
        <v>67.357</v>
      </c>
      <c r="D64" s="13" t="n">
        <f aca="false">D61+D62+D63</f>
        <v>83.4330796269886</v>
      </c>
      <c r="E64" s="13" t="n">
        <f aca="false">E61+E62+E63</f>
        <v>97.3146765011191</v>
      </c>
      <c r="F64" s="13" t="n">
        <f aca="false">F61+F62+F63</f>
        <v>112.502326435281</v>
      </c>
      <c r="G64" s="13" t="n">
        <f aca="false">G61+G62+G63</f>
        <v>128.017470654546</v>
      </c>
      <c r="H64" s="13" t="n">
        <f aca="false">H61+H62+H63</f>
        <v>140.279440673435</v>
      </c>
      <c r="I64" s="13" t="n">
        <f aca="false">I61+I62+I63</f>
        <v>148.633302272373</v>
      </c>
    </row>
    <row r="65" customFormat="false" ht="15" hidden="false" customHeight="false" outlineLevel="0" collapsed="false">
      <c r="A65" s="5" t="s">
        <v>798</v>
      </c>
      <c r="B65" s="0" t="s">
        <v>98</v>
      </c>
      <c r="D65" s="12" t="n">
        <f aca="false">D64/C64-1</f>
        <v>0.23866976894738</v>
      </c>
      <c r="E65" s="12" t="n">
        <f aca="false">E64/D64-1</f>
        <v>0.166380013013928</v>
      </c>
      <c r="F65" s="12" t="n">
        <f aca="false">F64/E64-1</f>
        <v>0.156067414291691</v>
      </c>
      <c r="G65" s="12" t="n">
        <f aca="false">G64/F64-1</f>
        <v>0.137909541170155</v>
      </c>
      <c r="H65" s="12" t="n">
        <f aca="false">H64/G64-1</f>
        <v>0.0957835673224459</v>
      </c>
      <c r="I65" s="12" t="n">
        <f aca="false">I64/H64-1</f>
        <v>0.05955157476273</v>
      </c>
    </row>
    <row r="66" customFormat="false" ht="17.15" hidden="false" customHeight="false" outlineLevel="0" collapsed="false">
      <c r="A66" s="5" t="s">
        <v>799</v>
      </c>
      <c r="B66" s="0" t="s">
        <v>202</v>
      </c>
      <c r="D66" s="11" t="n">
        <f aca="false">D54+D55-D53</f>
        <v>0</v>
      </c>
      <c r="E66" s="11" t="n">
        <f aca="false">E54+E55-E53</f>
        <v>0</v>
      </c>
      <c r="F66" s="11" t="n">
        <f aca="false">F54+F55-F53</f>
        <v>0</v>
      </c>
      <c r="G66" s="11" t="n">
        <f aca="false">G54+G55-G53</f>
        <v>0</v>
      </c>
      <c r="H66" s="11" t="n">
        <f aca="false">H54+H55-H53</f>
        <v>0</v>
      </c>
      <c r="I66" s="11" t="n">
        <f aca="false">I54+I55-I53</f>
        <v>0</v>
      </c>
    </row>
    <row r="67" customFormat="false" ht="17.15" hidden="false" customHeight="false" outlineLevel="0" collapsed="false">
      <c r="A67" s="5" t="s">
        <v>640</v>
      </c>
      <c r="B67" s="0" t="s">
        <v>202</v>
      </c>
      <c r="C67" s="11" t="n">
        <f aca="false">C53+C56+C57+C58+C59+C60-C64</f>
        <v>0</v>
      </c>
      <c r="D67" s="11" t="n">
        <f aca="false">D53+D56+D57+D58+D59+D60-D64</f>
        <v>0</v>
      </c>
      <c r="E67" s="11" t="n">
        <f aca="false">E53+E56+E57+E58+E59+E60-E64</f>
        <v>0</v>
      </c>
      <c r="F67" s="11" t="n">
        <f aca="false">F53+F56+F57+F58+F59+F60-F64</f>
        <v>0</v>
      </c>
      <c r="G67" s="11" t="n">
        <f aca="false">G53+G56+G57+G58+G59+G60-G64</f>
        <v>0</v>
      </c>
      <c r="H67" s="11" t="n">
        <f aca="false">H53+H56+H57+H58+H59+H60-H64</f>
        <v>0</v>
      </c>
      <c r="I67" s="11" t="n">
        <f aca="false">I53+I56+I57+I58+I59+I60-I64</f>
        <v>0</v>
      </c>
    </row>
    <row r="68" customFormat="false" ht="17.15" hidden="false" customHeight="false" outlineLevel="0" collapsed="false">
      <c r="A68" s="5" t="s">
        <v>800</v>
      </c>
      <c r="B68" s="0" t="s">
        <v>202</v>
      </c>
      <c r="C68" s="11" t="n">
        <f aca="false">C64-a26_rev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8"/>
    <col collapsed="false" customWidth="true" hidden="false" outlineLevel="0" max="9" min="3" style="0" width="12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801</v>
      </c>
    </row>
    <row r="2" customFormat="false" ht="17.15" hidden="false" customHeight="false" outlineLevel="0" collapsed="false">
      <c r="A2" s="0" t="s">
        <v>802</v>
      </c>
    </row>
    <row r="3" customFormat="false" ht="15" hidden="false" customHeight="false" outlineLevel="0" collapsed="false">
      <c r="A3" s="6" t="s">
        <v>17</v>
      </c>
      <c r="B3" s="6" t="s">
        <v>18</v>
      </c>
      <c r="C3" s="21" t="s">
        <v>779</v>
      </c>
      <c r="D3" s="21" t="s">
        <v>686</v>
      </c>
      <c r="E3" s="21" t="s">
        <v>687</v>
      </c>
      <c r="F3" s="21" t="s">
        <v>688</v>
      </c>
      <c r="G3" s="21" t="s">
        <v>689</v>
      </c>
      <c r="H3" s="21" t="s">
        <v>690</v>
      </c>
      <c r="I3" s="21" t="s">
        <v>691</v>
      </c>
      <c r="J3" s="6" t="s">
        <v>598</v>
      </c>
    </row>
    <row r="4" customFormat="false" ht="17.15" hidden="false" customHeight="false" outlineLevel="0" collapsed="false">
      <c r="A4" s="3" t="s">
        <v>803</v>
      </c>
    </row>
    <row r="5" customFormat="false" ht="15" hidden="false" customHeight="false" outlineLevel="0" collapsed="false">
      <c r="A5" s="5" t="s">
        <v>804</v>
      </c>
      <c r="C5" s="11" t="n">
        <f aca="false">ABS(C18+C19+C20-C21)+ABS(C58+C59+C60-C61)+ABS(C98+C99+C100-C101)</f>
        <v>0</v>
      </c>
      <c r="D5" s="11" t="n">
        <f aca="false">ABS(D18+D19+D20-D21)+ABS(D58+D59+D60-D61)+ABS(D98+D99+D100-D101)</f>
        <v>0</v>
      </c>
      <c r="E5" s="11" t="n">
        <f aca="false">ABS(E18+E19+E20-E21)+ABS(E58+E59+E60-E61)+ABS(E98+E99+E100-E101)</f>
        <v>0</v>
      </c>
      <c r="F5" s="11" t="n">
        <f aca="false">ABS(F18+F19+F20-F21)+ABS(F58+F59+F60-F61)+ABS(F98+F99+F100-F101)</f>
        <v>0</v>
      </c>
      <c r="G5" s="11" t="n">
        <f aca="false">ABS(G18+G19+G20-G21)+ABS(G58+G59+G60-G61)+ABS(G98+G99+G100-G101)</f>
        <v>0</v>
      </c>
      <c r="H5" s="11" t="n">
        <f aca="false">ABS(H18+H19+H20-H21)+ABS(H58+H59+H60-H61)+ABS(H98+H99+H100-H101)</f>
        <v>0</v>
      </c>
      <c r="I5" s="11" t="n">
        <f aca="false">ABS(I18+I19+I20-I21)+ABS(I58+I59+I60-I61)+ABS(I98+I99+I100-I101)</f>
        <v>0</v>
      </c>
    </row>
    <row r="6" customFormat="false" ht="17.15" hidden="false" customHeight="false" outlineLevel="0" collapsed="false">
      <c r="A6" s="5" t="s">
        <v>805</v>
      </c>
      <c r="C6" s="11" t="n">
        <f aca="false">ABS(C10+C13+C14+C15-C18)+ABS(C50+C53+C54+C55-C58)+ABS(C90+C93+C94+C95-C98)</f>
        <v>0</v>
      </c>
      <c r="D6" s="11" t="n">
        <f aca="false">ABS(D10+D13+D14+D15-D18)+ABS(D50+D53+D54+D55-D58)+ABS(D90+D93+D94+D95-D98)+ABS(D11+D12-D10)+ABS(D51+D52-D50)+ABS(D91+D92-D90)</f>
        <v>0</v>
      </c>
      <c r="E6" s="11" t="n">
        <f aca="false">ABS(E10+E13+E14+E15-E18)+ABS(E50+E53+E54+E55-E58)+ABS(E90+E93+E94+E95-E98)+ABS(E11+E12-E10)+ABS(E51+E52-E50)+ABS(E91+E92-E90)</f>
        <v>0</v>
      </c>
      <c r="F6" s="11" t="n">
        <f aca="false">ABS(F10+F13+F14+F15-F18)+ABS(F50+F53+F54+F55-F58)+ABS(F90+F93+F94+F95-F98)+ABS(F11+F12-F10)+ABS(F51+F52-F50)+ABS(F91+F92-F90)</f>
        <v>0</v>
      </c>
      <c r="G6" s="11" t="n">
        <f aca="false">ABS(G10+G13+G14+G15-G18)+ABS(G50+G53+G54+G55-G58)+ABS(G90+G93+G94+G95-G98)+ABS(G11+G12-G10)+ABS(G51+G52-G50)+ABS(G91+G92-G90)</f>
        <v>0</v>
      </c>
      <c r="H6" s="11" t="n">
        <f aca="false">ABS(H10+H13+H14+H15-H18)+ABS(H50+H53+H54+H55-H58)+ABS(H90+H93+H94+H95-H98)+ABS(H11+H12-H10)+ABS(H51+H52-H50)+ABS(H91+H92-H90)</f>
        <v>0</v>
      </c>
      <c r="I6" s="11" t="n">
        <f aca="false">ABS(I10+I13+I14+I15-I18)+ABS(I50+I53+I54+I55-I58)+ABS(I90+I93+I94+I95-I98)+ABS(I11+I12-I10)+ABS(I51+I52-I50)+ABS(I91+I92-I90)</f>
        <v>0</v>
      </c>
    </row>
    <row r="7" customFormat="false" ht="15" hidden="false" customHeight="false" outlineLevel="0" collapsed="false">
      <c r="A7" s="5" t="s">
        <v>806</v>
      </c>
      <c r="C7" s="11" t="n">
        <f aca="false">ABS(C10+C13+C14+C15+C16+C17-C21)+ABS(C50+C53+C54+C55+C56+C57-C61)+ABS(C90+C93+C94+C95+C96+C97-C101)</f>
        <v>0</v>
      </c>
      <c r="D7" s="11" t="n">
        <f aca="false">ABS(D10+D13+D14+D15+D16+D17-D21)+ABS(D50+D53+D54+D55+D56+D57-D61)+ABS(D90+D93+D94+D95+D96+D97-D101)</f>
        <v>0</v>
      </c>
      <c r="E7" s="11" t="n">
        <f aca="false">ABS(E10+E13+E14+E15+E16+E17-E21)+ABS(E50+E53+E54+E55+E56+E57-E61)+ABS(E90+E93+E94+E95+E96+E97-E101)</f>
        <v>0</v>
      </c>
      <c r="F7" s="11" t="n">
        <f aca="false">ABS(F10+F13+F14+F15+F16+F17-F21)+ABS(F50+F53+F54+F55+F56+F57-F61)+ABS(F90+F93+F94+F95+F96+F97-F101)</f>
        <v>0</v>
      </c>
      <c r="G7" s="11" t="n">
        <f aca="false">ABS(G10+G13+G14+G15+G16+G17-G21)+ABS(G50+G53+G54+G55+G56+G57-G61)+ABS(G90+G93+G94+G95+G96+G97-G101)</f>
        <v>0</v>
      </c>
      <c r="H7" s="11" t="n">
        <f aca="false">ABS(H10+H13+H14+H15+H16+H17-H21)+ABS(H50+H53+H54+H55+H56+H57-H61)+ABS(H90+H93+H94+H95+H96+H97-H101)</f>
        <v>0</v>
      </c>
      <c r="I7" s="11" t="n">
        <f aca="false">ABS(I10+I13+I14+I15+I16+I17-I21)+ABS(I50+I53+I54+I55+I56+I57-I61)+ABS(I90+I93+I94+I95+I96+I97-I101)</f>
        <v>0</v>
      </c>
    </row>
    <row r="9" customFormat="false" ht="17.15" hidden="false" customHeight="false" outlineLevel="0" collapsed="false">
      <c r="A9" s="3" t="s">
        <v>692</v>
      </c>
    </row>
    <row r="10" customFormat="false" ht="17.15" hidden="false" customHeight="false" outlineLevel="0" collapsed="false">
      <c r="A10" s="0" t="s">
        <v>625</v>
      </c>
      <c r="B10" s="0" t="s">
        <v>202</v>
      </c>
      <c r="C10" s="13" t="n">
        <f aca="false">Seg!C17</f>
        <v>18.101</v>
      </c>
      <c r="D10" s="13" t="n">
        <f aca="false">Seg!D17</f>
        <v>42.1885802174699</v>
      </c>
      <c r="E10" s="13" t="n">
        <f aca="false">Seg!E17</f>
        <v>78.8019439034471</v>
      </c>
      <c r="F10" s="13" t="n">
        <f aca="false">Seg!F17</f>
        <v>101.046154805524</v>
      </c>
      <c r="G10" s="13" t="n">
        <f aca="false">Seg!G17</f>
        <v>106.019058654566</v>
      </c>
      <c r="H10" s="13" t="n">
        <f aca="false">Seg!H17</f>
        <v>109.849525933758</v>
      </c>
      <c r="I10" s="13" t="n">
        <f aca="false">Seg!I17</f>
        <v>116.393425658771</v>
      </c>
    </row>
    <row r="11" customFormat="false" ht="17.15" hidden="false" customHeight="false" outlineLevel="0" collapsed="false">
      <c r="A11" s="5" t="s">
        <v>792</v>
      </c>
      <c r="B11" s="0" t="s">
        <v>202</v>
      </c>
      <c r="D11" s="13" t="n">
        <f aca="false">Seg!D18</f>
        <v>31.4008864781802</v>
      </c>
      <c r="E11" s="13" t="n">
        <f aca="false">Seg!E18</f>
        <v>66.1156160660424</v>
      </c>
      <c r="F11" s="13" t="n">
        <f aca="false">Seg!F18</f>
        <v>86.4315051368339</v>
      </c>
      <c r="G11" s="13" t="n">
        <f aca="false">Seg!G18</f>
        <v>89.5337338282832</v>
      </c>
      <c r="H11" s="13" t="n">
        <f aca="false">Seg!H18</f>
        <v>91.6497273255418</v>
      </c>
      <c r="I11" s="13" t="n">
        <f aca="false">Seg!I18</f>
        <v>96.7376431618976</v>
      </c>
    </row>
    <row r="12" customFormat="false" ht="17.15" hidden="false" customHeight="false" outlineLevel="0" collapsed="false">
      <c r="A12" s="5" t="s">
        <v>794</v>
      </c>
      <c r="B12" s="0" t="s">
        <v>202</v>
      </c>
      <c r="D12" s="13" t="n">
        <f aca="false">Seg!D19</f>
        <v>10.7876937392897</v>
      </c>
      <c r="E12" s="13" t="n">
        <f aca="false">Seg!E19</f>
        <v>12.6863278374047</v>
      </c>
      <c r="F12" s="13" t="n">
        <f aca="false">Seg!F19</f>
        <v>14.6146496686903</v>
      </c>
      <c r="G12" s="13" t="n">
        <f aca="false">Seg!G19</f>
        <v>16.4853248262826</v>
      </c>
      <c r="H12" s="13" t="n">
        <f aca="false">Seg!H19</f>
        <v>18.199798608216</v>
      </c>
      <c r="I12" s="13" t="n">
        <f aca="false">Seg!I19</f>
        <v>19.6557824968733</v>
      </c>
    </row>
    <row r="13" customFormat="false" ht="17.15" hidden="false" customHeight="false" outlineLevel="0" collapsed="false">
      <c r="A13" s="0" t="s">
        <v>628</v>
      </c>
      <c r="B13" s="0" t="s">
        <v>202</v>
      </c>
      <c r="C13" s="13" t="n">
        <f aca="false">Seg!C20</f>
        <v>15.888</v>
      </c>
      <c r="D13" s="13" t="n">
        <f aca="false">Seg!D20</f>
        <v>17.6068692118563</v>
      </c>
      <c r="E13" s="13" t="n">
        <f aca="false">Seg!E20</f>
        <v>19.4537410483644</v>
      </c>
      <c r="F13" s="13" t="n">
        <f aca="false">Seg!F20</f>
        <v>21.3732654068659</v>
      </c>
      <c r="G13" s="13" t="n">
        <f aca="false">Seg!G20</f>
        <v>23.3491699299488</v>
      </c>
      <c r="H13" s="13" t="n">
        <f aca="false">Seg!H20</f>
        <v>25.3624226854823</v>
      </c>
      <c r="I13" s="13" t="n">
        <f aca="false">Seg!I20</f>
        <v>27.3914165003209</v>
      </c>
    </row>
    <row r="14" customFormat="false" ht="15" hidden="false" customHeight="false" outlineLevel="0" collapsed="false">
      <c r="A14" s="0" t="s">
        <v>629</v>
      </c>
      <c r="B14" s="0" t="s">
        <v>202</v>
      </c>
      <c r="C14" s="13" t="n">
        <f aca="false">Seg!C21</f>
        <v>4.737</v>
      </c>
      <c r="D14" s="13" t="n">
        <f aca="false">Seg!D21</f>
        <v>4.25827153227389</v>
      </c>
      <c r="E14" s="13" t="n">
        <f aca="false">Seg!E21</f>
        <v>3.92577379427377</v>
      </c>
      <c r="F14" s="13" t="n">
        <f aca="false">Seg!F21</f>
        <v>3.6762433860388</v>
      </c>
      <c r="G14" s="13" t="n">
        <f aca="false">Seg!G21</f>
        <v>3.49595527504256</v>
      </c>
      <c r="H14" s="13" t="n">
        <f aca="false">Seg!H21</f>
        <v>3.37527245719789</v>
      </c>
      <c r="I14" s="13" t="n">
        <f aca="false">Seg!I21</f>
        <v>3.30776700805393</v>
      </c>
    </row>
    <row r="15" customFormat="false" ht="15" hidden="false" customHeight="false" outlineLevel="0" collapsed="false">
      <c r="A15" s="0" t="s">
        <v>630</v>
      </c>
      <c r="B15" s="0" t="s">
        <v>202</v>
      </c>
      <c r="C15" s="13" t="n">
        <f aca="false">Seg!C22</f>
        <v>19.804</v>
      </c>
      <c r="D15" s="13" t="n">
        <f aca="false">Seg!D22</f>
        <v>19.8676026452865</v>
      </c>
      <c r="E15" s="13" t="n">
        <f aca="false">Seg!E22</f>
        <v>19.960169318504</v>
      </c>
      <c r="F15" s="13" t="n">
        <f aca="false">Seg!F22</f>
        <v>19.9800173634928</v>
      </c>
      <c r="G15" s="13" t="n">
        <f aca="false">Seg!G22</f>
        <v>19.9266624933073</v>
      </c>
      <c r="H15" s="13" t="n">
        <f aca="false">Seg!H22</f>
        <v>19.8004229854802</v>
      </c>
      <c r="I15" s="13" t="n">
        <f aca="false">Seg!I22</f>
        <v>19.6024187556254</v>
      </c>
    </row>
    <row r="16" customFormat="false" ht="15" hidden="false" customHeight="false" outlineLevel="0" collapsed="false">
      <c r="A16" s="0" t="s">
        <v>631</v>
      </c>
      <c r="B16" s="0" t="s">
        <v>202</v>
      </c>
      <c r="C16" s="13" t="n">
        <f aca="false">Seg!C23</f>
        <v>3.084</v>
      </c>
      <c r="D16" s="13" t="n">
        <f aca="false">Seg!D23</f>
        <v>3.38187258556422</v>
      </c>
      <c r="E16" s="13" t="n">
        <f aca="false">Seg!E23</f>
        <v>3.59915589367095</v>
      </c>
      <c r="F16" s="13" t="n">
        <f aca="false">Seg!F23</f>
        <v>3.7725886175205</v>
      </c>
      <c r="G16" s="13" t="n">
        <f aca="false">Seg!G23</f>
        <v>3.89378190824939</v>
      </c>
      <c r="H16" s="13" t="n">
        <f aca="false">Seg!H23</f>
        <v>3.95632520287867</v>
      </c>
      <c r="I16" s="13" t="n">
        <f aca="false">Seg!I23</f>
        <v>3.95632520287867</v>
      </c>
    </row>
    <row r="17" customFormat="false" ht="15" hidden="false" customHeight="false" outlineLevel="0" collapsed="false">
      <c r="A17" s="0" t="s">
        <v>632</v>
      </c>
      <c r="B17" s="0" t="s">
        <v>202</v>
      </c>
      <c r="C17" s="13" t="n">
        <f aca="false">Seg!C24</f>
        <v>5.743</v>
      </c>
      <c r="D17" s="13" t="n">
        <f aca="false">Seg!D24</f>
        <v>6.21286273034975</v>
      </c>
      <c r="E17" s="13" t="n">
        <f aca="false">Seg!E24</f>
        <v>6.70810195831085</v>
      </c>
      <c r="F17" s="13" t="n">
        <f aca="false">Seg!F24</f>
        <v>7.1594494969184</v>
      </c>
      <c r="G17" s="13" t="n">
        <f aca="false">Seg!G24</f>
        <v>7.55218797849776</v>
      </c>
      <c r="H17" s="13" t="n">
        <f aca="false">Seg!H24</f>
        <v>7.87261206235718</v>
      </c>
      <c r="I17" s="13" t="n">
        <f aca="false">Seg!I24</f>
        <v>8.1087904242279</v>
      </c>
    </row>
    <row r="18" customFormat="false" ht="17.15" hidden="false" customHeight="false" outlineLevel="0" collapsed="false">
      <c r="A18" s="5" t="s">
        <v>795</v>
      </c>
      <c r="B18" s="0" t="s">
        <v>202</v>
      </c>
      <c r="C18" s="13" t="n">
        <f aca="false">C10+C13+C14+C15</f>
        <v>58.53</v>
      </c>
      <c r="D18" s="13" t="n">
        <f aca="false">D10+D13+D14+D15</f>
        <v>83.9213236068866</v>
      </c>
      <c r="E18" s="13" t="n">
        <f aca="false">E10+E13+E14+E15</f>
        <v>122.141628064589</v>
      </c>
      <c r="F18" s="13" t="n">
        <f aca="false">F10+F13+F14+F15</f>
        <v>146.075680961922</v>
      </c>
      <c r="G18" s="13" t="n">
        <f aca="false">G10+G13+G14+G15</f>
        <v>152.790846352864</v>
      </c>
      <c r="H18" s="13" t="n">
        <f aca="false">H10+H13+H14+H15</f>
        <v>158.387644061918</v>
      </c>
      <c r="I18" s="13" t="n">
        <f aca="false">I10+I13+I14+I15</f>
        <v>166.695027922771</v>
      </c>
    </row>
    <row r="19" customFormat="false" ht="17.15" hidden="false" customHeight="false" outlineLevel="0" collapsed="false">
      <c r="A19" s="5" t="s">
        <v>637</v>
      </c>
      <c r="B19" s="0" t="s">
        <v>202</v>
      </c>
      <c r="C19" s="13" t="n">
        <f aca="false">C16</f>
        <v>3.084</v>
      </c>
      <c r="D19" s="13" t="n">
        <f aca="false">D16</f>
        <v>3.38187258556422</v>
      </c>
      <c r="E19" s="13" t="n">
        <f aca="false">E16</f>
        <v>3.59915589367095</v>
      </c>
      <c r="F19" s="13" t="n">
        <f aca="false">F16</f>
        <v>3.7725886175205</v>
      </c>
      <c r="G19" s="13" t="n">
        <f aca="false">G16</f>
        <v>3.89378190824939</v>
      </c>
      <c r="H19" s="13" t="n">
        <f aca="false">H16</f>
        <v>3.95632520287867</v>
      </c>
      <c r="I19" s="13" t="n">
        <f aca="false">I16</f>
        <v>3.95632520287867</v>
      </c>
    </row>
    <row r="20" customFormat="false" ht="17.15" hidden="false" customHeight="false" outlineLevel="0" collapsed="false">
      <c r="A20" s="5" t="s">
        <v>639</v>
      </c>
      <c r="B20" s="0" t="s">
        <v>202</v>
      </c>
      <c r="C20" s="13" t="n">
        <f aca="false">C17</f>
        <v>5.743</v>
      </c>
      <c r="D20" s="13" t="n">
        <f aca="false">D17</f>
        <v>6.21286273034975</v>
      </c>
      <c r="E20" s="13" t="n">
        <f aca="false">E17</f>
        <v>6.70810195831085</v>
      </c>
      <c r="F20" s="13" t="n">
        <f aca="false">F17</f>
        <v>7.1594494969184</v>
      </c>
      <c r="G20" s="13" t="n">
        <f aca="false">G17</f>
        <v>7.55218797849776</v>
      </c>
      <c r="H20" s="13" t="n">
        <f aca="false">H17</f>
        <v>7.87261206235718</v>
      </c>
      <c r="I20" s="13" t="n">
        <f aca="false">I17</f>
        <v>8.1087904242279</v>
      </c>
    </row>
    <row r="21" customFormat="false" ht="15" hidden="false" customHeight="false" outlineLevel="0" collapsed="false">
      <c r="A21" s="5" t="s">
        <v>797</v>
      </c>
      <c r="B21" s="0" t="s">
        <v>202</v>
      </c>
      <c r="C21" s="13" t="n">
        <f aca="false">Seg!C28</f>
        <v>67.357</v>
      </c>
      <c r="D21" s="13" t="n">
        <f aca="false">Seg!D28</f>
        <v>93.5160589228006</v>
      </c>
      <c r="E21" s="13" t="n">
        <f aca="false">Seg!E28</f>
        <v>132.448885916571</v>
      </c>
      <c r="F21" s="13" t="n">
        <f aca="false">Seg!F28</f>
        <v>157.00771907636</v>
      </c>
      <c r="G21" s="13" t="n">
        <f aca="false">Seg!G28</f>
        <v>164.236816239612</v>
      </c>
      <c r="H21" s="13" t="n">
        <f aca="false">Seg!H28</f>
        <v>170.216581327154</v>
      </c>
      <c r="I21" s="13" t="n">
        <f aca="false">Seg!I28</f>
        <v>178.760143549878</v>
      </c>
    </row>
    <row r="22" customFormat="false" ht="15" hidden="false" customHeight="false" outlineLevel="0" collapsed="false">
      <c r="A22" s="5" t="s">
        <v>798</v>
      </c>
      <c r="B22" s="0" t="s">
        <v>98</v>
      </c>
      <c r="D22" s="12" t="n">
        <f aca="false">D21/C21-1</f>
        <v>0.388364370782555</v>
      </c>
      <c r="E22" s="12" t="n">
        <f aca="false">E21/D21-1</f>
        <v>0.416322366898614</v>
      </c>
      <c r="F22" s="12" t="n">
        <f aca="false">F21/E21-1</f>
        <v>0.185421213548439</v>
      </c>
      <c r="G22" s="12" t="n">
        <f aca="false">G21/F21-1</f>
        <v>0.0460429411100181</v>
      </c>
      <c r="H22" s="12" t="n">
        <f aca="false">H21/G21-1</f>
        <v>0.0364094070042025</v>
      </c>
      <c r="I22" s="12" t="n">
        <f aca="false">I21/H21-1</f>
        <v>0.0501923029831215</v>
      </c>
    </row>
    <row r="23" customFormat="false" ht="17.15" hidden="false" customHeight="false" outlineLevel="0" collapsed="false">
      <c r="A23" s="5" t="s">
        <v>642</v>
      </c>
      <c r="B23" s="0" t="s">
        <v>202</v>
      </c>
      <c r="C23" s="13" t="n">
        <f aca="false">Q!L16</f>
        <v>34.468</v>
      </c>
      <c r="D23" s="13" t="n">
        <f aca="false">Q!I16+Thesis!D29+(m_sw+m_adj)*((D18-Q!I11)-Thesis!D19)</f>
        <v>40.0642636985498</v>
      </c>
      <c r="E23" s="13" t="n">
        <f aca="false">Thesis!F29+(m_sw+m_adj)*(E18-Thesis!F19)</f>
        <v>46.150597968422</v>
      </c>
      <c r="F23" s="13" t="n">
        <f aca="false">Thesis!G29+(m_sw+m_adj)*(F18-Thesis!G19)</f>
        <v>51.1640564321414</v>
      </c>
      <c r="G23" s="13" t="n">
        <f aca="false">Thesis!H29+(m_sw+m_adj)*(G18-Thesis!H19)</f>
        <v>52.7096925233082</v>
      </c>
      <c r="H23" s="13" t="n">
        <f aca="false">Thesis!I29+(m_sw+m_adj)*(H18-Thesis!I19)</f>
        <v>54.9222602028456</v>
      </c>
      <c r="I23" s="13" t="n">
        <f aca="false">Thesis!J29+(m_sw+m_adj)*(I18-Thesis!J19)</f>
        <v>59.6888255418313</v>
      </c>
      <c r="J23" s="8" t="s">
        <v>807</v>
      </c>
    </row>
    <row r="24" customFormat="false" ht="17.15" hidden="false" customHeight="false" outlineLevel="0" collapsed="false">
      <c r="A24" s="5" t="s">
        <v>808</v>
      </c>
      <c r="B24" s="0" t="s">
        <v>202</v>
      </c>
      <c r="D24" s="13" t="n">
        <f aca="false">Thesis!E29</f>
        <v>6.17705379131454</v>
      </c>
      <c r="E24" s="13" t="n">
        <f aca="false">Thesis!F29</f>
        <v>10.0015228149265</v>
      </c>
      <c r="F24" s="13" t="n">
        <f aca="false">Thesis!G29</f>
        <v>12.6804714426313</v>
      </c>
      <c r="G24" s="13" t="n">
        <f aca="false">Thesis!H29</f>
        <v>11.8949703420557</v>
      </c>
      <c r="H24" s="13" t="n">
        <f aca="false">Thesis!I29</f>
        <v>11.8616552868011</v>
      </c>
      <c r="I24" s="13" t="n">
        <f aca="false">Thesis!J29</f>
        <v>14.5509570937182</v>
      </c>
    </row>
    <row r="25" customFormat="false" ht="17.15" hidden="false" customHeight="false" outlineLevel="0" collapsed="false">
      <c r="A25" s="5" t="s">
        <v>645</v>
      </c>
      <c r="B25" s="0" t="s">
        <v>202</v>
      </c>
      <c r="C25" s="13" t="n">
        <f aca="false">Q!L17</f>
        <v>2.017</v>
      </c>
      <c r="D25" s="13" t="n">
        <f aca="false">Q!I17+m_hw*(D19-Q!I12)</f>
        <v>2.15760279023444</v>
      </c>
      <c r="E25" s="13" t="n">
        <f aca="false">m_hw*E19</f>
        <v>2.35392264511489</v>
      </c>
      <c r="F25" s="13" t="n">
        <f aca="false">m_hw*F19</f>
        <v>2.46735124563516</v>
      </c>
      <c r="G25" s="13" t="n">
        <f aca="false">m_hw*G19</f>
        <v>2.54661417280772</v>
      </c>
      <c r="H25" s="13" t="n">
        <f aca="false">m_hw*H19</f>
        <v>2.5875187854106</v>
      </c>
      <c r="I25" s="13" t="n">
        <f aca="false">m_hw*I19</f>
        <v>2.5875187854106</v>
      </c>
    </row>
    <row r="26" customFormat="false" ht="17.15" hidden="false" customHeight="false" outlineLevel="0" collapsed="false">
      <c r="A26" s="5" t="s">
        <v>647</v>
      </c>
      <c r="B26" s="0" t="s">
        <v>202</v>
      </c>
      <c r="C26" s="13" t="n">
        <f aca="false">Q!L18</f>
        <v>1.533</v>
      </c>
      <c r="D26" s="13" t="n">
        <f aca="false">Q!I18+m_svc*(D20-Q!I13)</f>
        <v>1.72597798461191</v>
      </c>
      <c r="E26" s="13" t="n">
        <f aca="false">m_svc*E20</f>
        <v>1.79061819642879</v>
      </c>
      <c r="F26" s="13" t="n">
        <f aca="false">m_svc*F20</f>
        <v>1.91109804610411</v>
      </c>
      <c r="G26" s="13" t="n">
        <f aca="false">m_svc*G20</f>
        <v>2.01593316577347</v>
      </c>
      <c r="H26" s="13" t="n">
        <f aca="false">m_svc*H20</f>
        <v>2.10146513870687</v>
      </c>
      <c r="I26" s="13" t="n">
        <f aca="false">m_svc*I20</f>
        <v>2.16450909286808</v>
      </c>
    </row>
    <row r="27" customFormat="false" ht="15" hidden="false" customHeight="false" outlineLevel="0" collapsed="false">
      <c r="A27" s="5" t="s">
        <v>648</v>
      </c>
      <c r="B27" s="0" t="s">
        <v>202</v>
      </c>
      <c r="C27" s="13" t="n">
        <f aca="false">C23+C25+C26</f>
        <v>38.018</v>
      </c>
      <c r="D27" s="13" t="n">
        <f aca="false">D23+D25+D26</f>
        <v>43.9478444733962</v>
      </c>
      <c r="E27" s="13" t="n">
        <f aca="false">E23+E25+E26</f>
        <v>50.2951388099657</v>
      </c>
      <c r="F27" s="13" t="n">
        <f aca="false">F23+F25+F26</f>
        <v>55.5425057238807</v>
      </c>
      <c r="G27" s="13" t="n">
        <f aca="false">G23+G25+G26</f>
        <v>57.2722398618894</v>
      </c>
      <c r="H27" s="13" t="n">
        <f aca="false">H23+H25+H26</f>
        <v>59.611244126963</v>
      </c>
      <c r="I27" s="13" t="n">
        <f aca="false">I23+I25+I26</f>
        <v>64.44085342011</v>
      </c>
    </row>
    <row r="28" customFormat="false" ht="17.15" hidden="false" customHeight="false" outlineLevel="0" collapsed="false">
      <c r="A28" s="0" t="s">
        <v>809</v>
      </c>
      <c r="B28" s="0" t="s">
        <v>98</v>
      </c>
      <c r="C28" s="12" t="n">
        <f aca="false">C23/C18</f>
        <v>0.588894583974031</v>
      </c>
      <c r="D28" s="12" t="n">
        <f aca="false">D23/D18</f>
        <v>0.477402666886228</v>
      </c>
      <c r="E28" s="12" t="n">
        <f aca="false">E23/E18</f>
        <v>0.377844955071478</v>
      </c>
      <c r="F28" s="12" t="n">
        <f aca="false">F23/F18</f>
        <v>0.350257182408608</v>
      </c>
      <c r="G28" s="12" t="n">
        <f aca="false">G23/G18</f>
        <v>0.344979387060775</v>
      </c>
      <c r="H28" s="12" t="n">
        <f aca="false">H23/H18</f>
        <v>0.346758489452466</v>
      </c>
      <c r="I28" s="12" t="n">
        <f aca="false">I23/I18</f>
        <v>0.358072021017237</v>
      </c>
    </row>
    <row r="29" customFormat="false" ht="17.15" hidden="false" customHeight="false" outlineLevel="0" collapsed="false">
      <c r="A29" s="5" t="s">
        <v>810</v>
      </c>
      <c r="B29" s="0" t="s">
        <v>202</v>
      </c>
      <c r="C29" s="13" t="n">
        <f aca="false">Q!L20</f>
        <v>17.412</v>
      </c>
      <c r="D29" s="13" t="n">
        <f aca="false">Q!I20*(1+3*un_rr)</f>
        <v>16.586</v>
      </c>
      <c r="E29" s="13" t="n">
        <f aca="false">D29*(1+un_g)</f>
        <v>17.24944</v>
      </c>
      <c r="F29" s="13" t="n">
        <f aca="false">E29*(1+un_g)</f>
        <v>17.9394176</v>
      </c>
      <c r="G29" s="13" t="n">
        <f aca="false">F29*(1+un_g)</f>
        <v>18.656994304</v>
      </c>
      <c r="H29" s="13" t="n">
        <f aca="false">G29*(1+un_g)</f>
        <v>19.40327407616</v>
      </c>
      <c r="I29" s="13" t="n">
        <f aca="false">H29*(1+un_g)</f>
        <v>20.1794050392064</v>
      </c>
      <c r="J29" s="8" t="s">
        <v>811</v>
      </c>
    </row>
    <row r="30" customFormat="false" ht="17.15" hidden="false" customHeight="false" outlineLevel="0" collapsed="false">
      <c r="A30" s="5" t="s">
        <v>651</v>
      </c>
      <c r="B30" s="0" t="s">
        <v>202</v>
      </c>
      <c r="C30" s="13" t="n">
        <f aca="false">C27-C29</f>
        <v>20.606</v>
      </c>
      <c r="D30" s="13" t="n">
        <f aca="false">D27-D29</f>
        <v>27.3618444733962</v>
      </c>
      <c r="E30" s="13" t="n">
        <f aca="false">E27-E29</f>
        <v>33.0456988099657</v>
      </c>
      <c r="F30" s="13" t="n">
        <f aca="false">F27-F29</f>
        <v>37.6030881238807</v>
      </c>
      <c r="G30" s="13" t="n">
        <f aca="false">G27-G29</f>
        <v>38.6152455578894</v>
      </c>
      <c r="H30" s="13" t="n">
        <f aca="false">H27-H29</f>
        <v>40.207970050803</v>
      </c>
      <c r="I30" s="13" t="n">
        <f aca="false">I27-I29</f>
        <v>44.2614483809036</v>
      </c>
    </row>
    <row r="31" customFormat="false" ht="15" hidden="false" customHeight="false" outlineLevel="0" collapsed="false">
      <c r="A31" s="5" t="s">
        <v>812</v>
      </c>
      <c r="B31" s="0" t="s">
        <v>98</v>
      </c>
      <c r="C31" s="12" t="n">
        <f aca="false">C30/C21</f>
        <v>0.305922175868878</v>
      </c>
      <c r="D31" s="12" t="n">
        <f aca="false">D30/D21</f>
        <v>0.292589794614676</v>
      </c>
      <c r="E31" s="12" t="n">
        <f aca="false">E30/E21</f>
        <v>0.249497748367479</v>
      </c>
      <c r="F31" s="12" t="n">
        <f aca="false">F30/F21</f>
        <v>0.239498340241428</v>
      </c>
      <c r="G31" s="12" t="n">
        <f aca="false">G30/G21</f>
        <v>0.23511930176211</v>
      </c>
      <c r="H31" s="12" t="n">
        <f aca="false">H30/H21</f>
        <v>0.236216529184803</v>
      </c>
      <c r="I31" s="12" t="n">
        <f aca="false">I30/I21</f>
        <v>0.247602443710019</v>
      </c>
    </row>
    <row r="32" customFormat="false" ht="17.15" hidden="false" customHeight="false" outlineLevel="0" collapsed="false">
      <c r="A32" s="0" t="s">
        <v>813</v>
      </c>
      <c r="B32" s="0" t="s">
        <v>98</v>
      </c>
      <c r="D32" s="12" t="n">
        <f aca="false">Thesis!E30</f>
        <v>0.19671590468017</v>
      </c>
      <c r="E32" s="12" t="n">
        <f aca="false">Thesis!F30</f>
        <v>0.151273230290043</v>
      </c>
      <c r="F32" s="12" t="n">
        <f aca="false">Thesis!G30</f>
        <v>0.146711218583504</v>
      </c>
      <c r="G32" s="12" t="n">
        <f aca="false">Thesis!H30</f>
        <v>0.132854621754847</v>
      </c>
      <c r="H32" s="12" t="n">
        <f aca="false">Thesis!I30</f>
        <v>0.129423792442592</v>
      </c>
      <c r="I32" s="12" t="n">
        <f aca="false">Thesis!J30</f>
        <v>0.15041670044996</v>
      </c>
    </row>
    <row r="33" customFormat="false" ht="17.15" hidden="false" customHeight="false" outlineLevel="0" collapsed="false">
      <c r="A33" s="5" t="s">
        <v>656</v>
      </c>
      <c r="B33" s="0" t="s">
        <v>202</v>
      </c>
      <c r="C33" s="13" t="n">
        <f aca="false">Q!L26</f>
        <v>4.599</v>
      </c>
      <c r="D33" s="13" t="n">
        <f aca="false">CF!D46</f>
        <v>5.712</v>
      </c>
      <c r="E33" s="13" t="n">
        <f aca="false">CF!E46</f>
        <v>5.712</v>
      </c>
      <c r="F33" s="13" t="n">
        <f aca="false">CF!F46</f>
        <v>5.99459686908128</v>
      </c>
      <c r="G33" s="13" t="n">
        <f aca="false">CF!G46</f>
        <v>5.99459686908128</v>
      </c>
      <c r="H33" s="13" t="n">
        <f aca="false">CF!H46</f>
        <v>5.99459686908128</v>
      </c>
      <c r="I33" s="13" t="n">
        <f aca="false">CF!I46</f>
        <v>5.99459686908128</v>
      </c>
      <c r="J33" s="8" t="s">
        <v>814</v>
      </c>
    </row>
    <row r="34" customFormat="false" ht="17.15" hidden="false" customHeight="false" outlineLevel="0" collapsed="false">
      <c r="A34" s="5" t="s">
        <v>815</v>
      </c>
      <c r="B34" s="0" t="s">
        <v>202</v>
      </c>
      <c r="D34" s="13" t="n">
        <f aca="false">CF!D47</f>
        <v>1.24187082405345</v>
      </c>
      <c r="E34" s="13" t="n">
        <f aca="false">CF!E47</f>
        <v>0.54679545062262</v>
      </c>
      <c r="F34" s="13" t="n">
        <f aca="false">CF!F47</f>
        <v>0.336550358822074</v>
      </c>
      <c r="G34" s="13" t="n">
        <f aca="false">CF!G47</f>
        <v>1.99226061892212</v>
      </c>
      <c r="H34" s="13" t="n">
        <f aca="false">CF!H47</f>
        <v>3.66959605996684</v>
      </c>
      <c r="I34" s="13" t="n">
        <f aca="false">CF!I47</f>
        <v>5.38392363547625</v>
      </c>
      <c r="J34" s="8" t="s">
        <v>816</v>
      </c>
    </row>
    <row r="35" customFormat="false" ht="17.15" hidden="false" customHeight="false" outlineLevel="0" collapsed="false">
      <c r="A35" s="5" t="s">
        <v>817</v>
      </c>
      <c r="B35" s="0" t="s">
        <v>202</v>
      </c>
      <c r="D35" s="13" t="n">
        <f aca="false">D30-D33+D34</f>
        <v>22.8917152974496</v>
      </c>
      <c r="E35" s="13" t="n">
        <f aca="false">E30-E33+E34</f>
        <v>27.8804942605883</v>
      </c>
      <c r="F35" s="13" t="n">
        <f aca="false">F30-F33+F34</f>
        <v>31.9450416136215</v>
      </c>
      <c r="G35" s="13" t="n">
        <f aca="false">G30-G33+G34</f>
        <v>34.6129093077302</v>
      </c>
      <c r="H35" s="13" t="n">
        <f aca="false">H30-H33+H34</f>
        <v>37.8829692416886</v>
      </c>
      <c r="I35" s="13" t="n">
        <f aca="false">I30-I33+I34</f>
        <v>43.6507751472985</v>
      </c>
      <c r="J35" s="5" t="s">
        <v>818</v>
      </c>
    </row>
    <row r="36" customFormat="false" ht="15" hidden="false" customHeight="false" outlineLevel="0" collapsed="false">
      <c r="A36" s="5" t="s">
        <v>819</v>
      </c>
      <c r="B36" s="0" t="s">
        <v>202</v>
      </c>
      <c r="D36" s="13" t="n">
        <f aca="false">D35*etr</f>
        <v>3.45664900991489</v>
      </c>
      <c r="E36" s="13" t="n">
        <f aca="false">E35*etr</f>
        <v>4.20995463334883</v>
      </c>
      <c r="F36" s="13" t="n">
        <f aca="false">F35*etr</f>
        <v>4.82370128365684</v>
      </c>
      <c r="G36" s="13" t="n">
        <f aca="false">G35*etr</f>
        <v>5.22654930546726</v>
      </c>
      <c r="H36" s="13" t="n">
        <f aca="false">H35*etr</f>
        <v>5.72032835549497</v>
      </c>
      <c r="I36" s="13" t="n">
        <f aca="false">I35*etr</f>
        <v>6.59126704724208</v>
      </c>
    </row>
    <row r="37" customFormat="false" ht="15" hidden="false" customHeight="false" outlineLevel="0" collapsed="false">
      <c r="A37" s="5" t="s">
        <v>820</v>
      </c>
      <c r="B37" s="0" t="s">
        <v>202</v>
      </c>
      <c r="C37" s="13" t="n">
        <f aca="false">Q!L27</f>
        <v>17.087</v>
      </c>
      <c r="D37" s="13" t="n">
        <f aca="false">D35-D36</f>
        <v>19.4350662875347</v>
      </c>
      <c r="E37" s="13" t="n">
        <f aca="false">E35-E36</f>
        <v>23.6705396272395</v>
      </c>
      <c r="F37" s="13" t="n">
        <f aca="false">F35-F36</f>
        <v>27.1213403299646</v>
      </c>
      <c r="G37" s="13" t="n">
        <f aca="false">G35-G36</f>
        <v>29.386360002263</v>
      </c>
      <c r="H37" s="13" t="n">
        <f aca="false">H35-H36</f>
        <v>32.1626408861936</v>
      </c>
      <c r="I37" s="13" t="n">
        <f aca="false">I35-I36</f>
        <v>37.0595081000565</v>
      </c>
    </row>
    <row r="38" customFormat="false" ht="17.15" hidden="false" customHeight="false" outlineLevel="0" collapsed="false">
      <c r="A38" s="5" t="s">
        <v>676</v>
      </c>
      <c r="B38" s="0" t="s">
        <v>202</v>
      </c>
      <c r="C38" s="13" t="n">
        <f aca="false">Q!L48</f>
        <v>0.103</v>
      </c>
      <c r="D38" s="13" t="n">
        <f aca="false">pref_q1+pref27</f>
        <v>0.325</v>
      </c>
      <c r="E38" s="13" t="n">
        <f aca="false">pref28</f>
        <v>0.325</v>
      </c>
      <c r="F38" s="13" t="n">
        <f aca="false">pref29</f>
        <v>0.244</v>
      </c>
      <c r="G38" s="13" t="n">
        <f aca="false">0</f>
        <v>0</v>
      </c>
      <c r="H38" s="13" t="n">
        <f aca="false">0</f>
        <v>0</v>
      </c>
      <c r="I38" s="13" t="n">
        <f aca="false">0</f>
        <v>0</v>
      </c>
      <c r="J38" s="8" t="s">
        <v>821</v>
      </c>
    </row>
    <row r="39" customFormat="false" ht="15" hidden="false" customHeight="false" outlineLevel="0" collapsed="false">
      <c r="A39" s="5" t="s">
        <v>822</v>
      </c>
      <c r="B39" s="0" t="s">
        <v>202</v>
      </c>
      <c r="C39" s="13" t="n">
        <f aca="false">C37-C38</f>
        <v>16.984</v>
      </c>
      <c r="D39" s="13" t="n">
        <f aca="false">D37-D38</f>
        <v>19.1100662875347</v>
      </c>
      <c r="E39" s="13" t="n">
        <f aca="false">E37-E38</f>
        <v>23.3455396272395</v>
      </c>
      <c r="F39" s="13" t="n">
        <f aca="false">F37-F38</f>
        <v>26.8773403299646</v>
      </c>
      <c r="G39" s="13" t="n">
        <f aca="false">G37-G38</f>
        <v>29.386360002263</v>
      </c>
      <c r="H39" s="13" t="n">
        <f aca="false">H37-H38</f>
        <v>32.1626408861936</v>
      </c>
      <c r="I39" s="13" t="n">
        <f aca="false">I37-I38</f>
        <v>37.0595081000565</v>
      </c>
    </row>
    <row r="40" customFormat="false" ht="15" hidden="false" customHeight="false" outlineLevel="0" collapsed="false">
      <c r="A40" s="5" t="s">
        <v>823</v>
      </c>
      <c r="B40" s="5" t="s">
        <v>34</v>
      </c>
      <c r="C40" s="13" t="n">
        <f aca="false">Q!L49</f>
        <v>2.914</v>
      </c>
      <c r="D40" s="13" t="n">
        <f aca="false">CF!D45</f>
        <v>3.043302</v>
      </c>
      <c r="E40" s="13" t="n">
        <f aca="false">CF!E45</f>
        <v>3.057736</v>
      </c>
      <c r="F40" s="13" t="n">
        <f aca="false">CF!F45</f>
        <v>3.073355</v>
      </c>
      <c r="G40" s="13" t="n">
        <f aca="false">CF!G45</f>
        <v>3.088974</v>
      </c>
      <c r="H40" s="13" t="n">
        <f aca="false">CF!H45</f>
        <v>3.088974</v>
      </c>
      <c r="I40" s="13" t="n">
        <f aca="false">CF!I45</f>
        <v>3.088974</v>
      </c>
    </row>
    <row r="41" customFormat="false" ht="17.15" hidden="false" customHeight="false" outlineLevel="0" collapsed="false">
      <c r="A41" s="0" t="s">
        <v>824</v>
      </c>
      <c r="B41" s="0" t="s">
        <v>28</v>
      </c>
      <c r="C41" s="24" t="n">
        <f aca="false">Q!L50</f>
        <v>5.83</v>
      </c>
      <c r="D41" s="24" t="n">
        <f aca="false">D39/D40</f>
        <v>6.27938544631283</v>
      </c>
      <c r="E41" s="24" t="n">
        <f aca="false">E39/E40</f>
        <v>7.63491015157602</v>
      </c>
      <c r="F41" s="24" t="n">
        <f aca="false">F39/F40</f>
        <v>8.74527684890442</v>
      </c>
      <c r="G41" s="24" t="n">
        <f aca="false">G39/G40</f>
        <v>9.51330765563678</v>
      </c>
      <c r="H41" s="24" t="n">
        <f aca="false">H39/H40</f>
        <v>10.4120788605516</v>
      </c>
      <c r="I41" s="24" t="n">
        <f aca="false">I39/I40</f>
        <v>11.9973519039191</v>
      </c>
    </row>
    <row r="42" customFormat="false" ht="17.15" hidden="false" customHeight="false" outlineLevel="0" collapsed="false">
      <c r="A42" s="0" t="s">
        <v>825</v>
      </c>
      <c r="B42" s="0" t="s">
        <v>98</v>
      </c>
      <c r="D42" s="12" t="n">
        <f aca="false">D41/C41-1</f>
        <v>0.0770815516831613</v>
      </c>
      <c r="E42" s="12" t="n">
        <f aca="false">E41/D41-1</f>
        <v>0.215869007700289</v>
      </c>
      <c r="F42" s="12" t="n">
        <f aca="false">F41/E41-1</f>
        <v>0.145432844039323</v>
      </c>
      <c r="G42" s="12" t="n">
        <f aca="false">G41/F41-1</f>
        <v>0.0878223548553045</v>
      </c>
      <c r="H42" s="12" t="n">
        <f aca="false">H41/G41-1</f>
        <v>0.0944751539053101</v>
      </c>
      <c r="I42" s="12" t="n">
        <f aca="false">I41/H41-1</f>
        <v>0.152253268977204</v>
      </c>
    </row>
    <row r="43" customFormat="false" ht="17.15" hidden="false" customHeight="false" outlineLevel="0" collapsed="false">
      <c r="A43" s="5" t="s">
        <v>654</v>
      </c>
      <c r="B43" s="0" t="s">
        <v>202</v>
      </c>
      <c r="C43" s="13" t="n">
        <f aca="false">Q!L24</f>
        <v>9.294</v>
      </c>
      <c r="D43" s="13" t="n">
        <f aca="false">Q!I24+Thesis!D27+nonai_dep_q*3+amort*0.75</f>
        <v>20.2279737778082</v>
      </c>
      <c r="E43" s="13" t="n">
        <f aca="false">Thesis!F27+nonai_dep_q*(E21-Thesis!F19)/(q1_rev-Thesis!C19)+amort</f>
        <v>38.7548436479898</v>
      </c>
      <c r="F43" s="13" t="n">
        <f aca="false">Thesis!G27+nonai_dep_q*(F21-Thesis!G19)/(q1_rev-Thesis!C19)+amort</f>
        <v>46.6432263747759</v>
      </c>
      <c r="G43" s="13" t="n">
        <f aca="false">Thesis!H27+nonai_dep_q*(G21-Thesis!H19)/(q1_rev-Thesis!C19)+amort</f>
        <v>47.7851155835554</v>
      </c>
      <c r="H43" s="13" t="n">
        <f aca="false">Thesis!I27+nonai_dep_q*(H21-Thesis!I19)/(q1_rev-Thesis!C19)+amort</f>
        <v>49.452531547171</v>
      </c>
      <c r="I43" s="13" t="n">
        <f aca="false">Thesis!J27+nonai_dep_q*(I21-Thesis!J19)/(q1_rev-Thesis!C19)+amort</f>
        <v>50.7356178329132</v>
      </c>
      <c r="J43" s="8" t="s">
        <v>826</v>
      </c>
    </row>
    <row r="44" customFormat="false" ht="17.15" hidden="false" customHeight="false" outlineLevel="0" collapsed="false">
      <c r="A44" s="5" t="s">
        <v>655</v>
      </c>
      <c r="B44" s="0" t="s">
        <v>202</v>
      </c>
      <c r="C44" s="13" t="n">
        <f aca="false">Q!L25</f>
        <v>4.811</v>
      </c>
      <c r="D44" s="13" t="n">
        <f aca="false">sbc_q1*(1+3*un_rr)</f>
        <v>5.2998077686419</v>
      </c>
      <c r="E44" s="13" t="n">
        <f aca="false">D44*(1+un_g)</f>
        <v>5.51180007938758</v>
      </c>
      <c r="F44" s="13" t="n">
        <f aca="false">E44*(1+un_g)</f>
        <v>5.73227208256308</v>
      </c>
      <c r="G44" s="13" t="n">
        <f aca="false">F44*(1+un_g)</f>
        <v>5.96156296586561</v>
      </c>
      <c r="H44" s="13" t="n">
        <f aca="false">G44*(1+un_g)</f>
        <v>6.20002548450023</v>
      </c>
      <c r="I44" s="13" t="n">
        <f aca="false">H44*(1+un_g)</f>
        <v>6.44802650388024</v>
      </c>
    </row>
    <row r="45" customFormat="false" ht="17.15" hidden="false" customHeight="false" outlineLevel="0" collapsed="false">
      <c r="A45" s="0" t="s">
        <v>827</v>
      </c>
      <c r="B45" s="0" t="s">
        <v>202</v>
      </c>
      <c r="C45" s="13" t="n">
        <f aca="false">C30+C43</f>
        <v>29.9</v>
      </c>
      <c r="D45" s="13" t="n">
        <f aca="false">D30+D43</f>
        <v>47.5898182512044</v>
      </c>
      <c r="E45" s="13" t="n">
        <f aca="false">E30+E43</f>
        <v>71.8005424579554</v>
      </c>
      <c r="F45" s="13" t="n">
        <f aca="false">F30+F43</f>
        <v>84.2463144986566</v>
      </c>
      <c r="G45" s="13" t="n">
        <f aca="false">G30+G43</f>
        <v>86.4003611414447</v>
      </c>
      <c r="H45" s="13" t="n">
        <f aca="false">H30+H43</f>
        <v>89.660501597974</v>
      </c>
      <c r="I45" s="13" t="n">
        <f aca="false">I30+I43</f>
        <v>94.9970662138168</v>
      </c>
    </row>
    <row r="46" customFormat="false" ht="17.15" hidden="false" customHeight="false" outlineLevel="0" collapsed="false">
      <c r="A46" s="5" t="s">
        <v>828</v>
      </c>
      <c r="B46" s="0" t="s">
        <v>202</v>
      </c>
      <c r="C46" s="13" t="n">
        <f aca="false">C45+C44</f>
        <v>34.711</v>
      </c>
      <c r="D46" s="13" t="n">
        <f aca="false">D45+D44</f>
        <v>52.8896260198463</v>
      </c>
      <c r="E46" s="13" t="n">
        <f aca="false">E45+E44</f>
        <v>77.312342537343</v>
      </c>
      <c r="F46" s="13" t="n">
        <f aca="false">F45+F44</f>
        <v>89.9785865812196</v>
      </c>
      <c r="G46" s="13" t="n">
        <f aca="false">G45+G44</f>
        <v>92.3619241073103</v>
      </c>
      <c r="H46" s="13" t="n">
        <f aca="false">H45+H44</f>
        <v>95.8605270824743</v>
      </c>
      <c r="I46" s="13" t="n">
        <f aca="false">I45+I44</f>
        <v>101.445092717697</v>
      </c>
    </row>
    <row r="47" customFormat="false" ht="17.15" hidden="false" customHeight="false" outlineLevel="0" collapsed="false">
      <c r="A47" s="5" t="s">
        <v>829</v>
      </c>
      <c r="B47" s="0" t="s">
        <v>202</v>
      </c>
      <c r="C47" s="11" t="n">
        <f aca="false">C30-Q!L21</f>
        <v>0</v>
      </c>
    </row>
    <row r="49" customFormat="false" ht="17.15" hidden="false" customHeight="false" outlineLevel="0" collapsed="false">
      <c r="A49" s="3" t="s">
        <v>740</v>
      </c>
    </row>
    <row r="50" customFormat="false" ht="17.15" hidden="false" customHeight="false" outlineLevel="0" collapsed="false">
      <c r="A50" s="0" t="s">
        <v>625</v>
      </c>
      <c r="B50" s="0" t="s">
        <v>202</v>
      </c>
      <c r="C50" s="13" t="n">
        <f aca="false">Seg!C35</f>
        <v>18.101</v>
      </c>
      <c r="D50" s="13" t="n">
        <f aca="false">Seg!D35</f>
        <v>35.8264759298774</v>
      </c>
      <c r="E50" s="13" t="n">
        <f aca="false">Seg!E35</f>
        <v>65.3431208651826</v>
      </c>
      <c r="F50" s="13" t="n">
        <f aca="false">Seg!F35</f>
        <v>93.6003075427957</v>
      </c>
      <c r="G50" s="13" t="n">
        <f aca="false">Seg!G35</f>
        <v>106.577336893125</v>
      </c>
      <c r="H50" s="13" t="n">
        <f aca="false">Seg!H35</f>
        <v>110.174885036916</v>
      </c>
      <c r="I50" s="13" t="n">
        <f aca="false">Seg!I35</f>
        <v>116.455776765764</v>
      </c>
    </row>
    <row r="51" customFormat="false" ht="17.15" hidden="false" customHeight="false" outlineLevel="0" collapsed="false">
      <c r="A51" s="5" t="s">
        <v>792</v>
      </c>
      <c r="B51" s="0" t="s">
        <v>202</v>
      </c>
      <c r="D51" s="13" t="n">
        <f aca="false">Seg!D36</f>
        <v>25.0387821905876</v>
      </c>
      <c r="E51" s="13" t="n">
        <f aca="false">Seg!E36</f>
        <v>52.6567930277778</v>
      </c>
      <c r="F51" s="13" t="n">
        <f aca="false">Seg!F36</f>
        <v>78.9856578741055</v>
      </c>
      <c r="G51" s="13" t="n">
        <f aca="false">Seg!G36</f>
        <v>90.0920120668425</v>
      </c>
      <c r="H51" s="13" t="n">
        <f aca="false">Seg!H36</f>
        <v>91.9750864286999</v>
      </c>
      <c r="I51" s="13" t="n">
        <f aca="false">Seg!I36</f>
        <v>96.7999942688904</v>
      </c>
    </row>
    <row r="52" customFormat="false" ht="17.15" hidden="false" customHeight="false" outlineLevel="0" collapsed="false">
      <c r="A52" s="5" t="s">
        <v>794</v>
      </c>
      <c r="B52" s="0" t="s">
        <v>202</v>
      </c>
      <c r="D52" s="13" t="n">
        <f aca="false">Seg!D37</f>
        <v>10.7876937392897</v>
      </c>
      <c r="E52" s="13" t="n">
        <f aca="false">Seg!E37</f>
        <v>12.6863278374047</v>
      </c>
      <c r="F52" s="13" t="n">
        <f aca="false">Seg!F37</f>
        <v>14.6146496686903</v>
      </c>
      <c r="G52" s="13" t="n">
        <f aca="false">Seg!G37</f>
        <v>16.4853248262826</v>
      </c>
      <c r="H52" s="13" t="n">
        <f aca="false">Seg!H37</f>
        <v>18.199798608216</v>
      </c>
      <c r="I52" s="13" t="n">
        <f aca="false">Seg!I37</f>
        <v>19.6557824968733</v>
      </c>
    </row>
    <row r="53" customFormat="false" ht="17.15" hidden="false" customHeight="false" outlineLevel="0" collapsed="false">
      <c r="A53" s="0" t="s">
        <v>628</v>
      </c>
      <c r="B53" s="0" t="s">
        <v>202</v>
      </c>
      <c r="C53" s="13" t="n">
        <f aca="false">Seg!C38</f>
        <v>15.888</v>
      </c>
      <c r="D53" s="13" t="n">
        <f aca="false">Seg!D38</f>
        <v>17.6068692118563</v>
      </c>
      <c r="E53" s="13" t="n">
        <f aca="false">Seg!E38</f>
        <v>19.4537410483644</v>
      </c>
      <c r="F53" s="13" t="n">
        <f aca="false">Seg!F38</f>
        <v>21.3732654068659</v>
      </c>
      <c r="G53" s="13" t="n">
        <f aca="false">Seg!G38</f>
        <v>23.3491699299488</v>
      </c>
      <c r="H53" s="13" t="n">
        <f aca="false">Seg!H38</f>
        <v>25.3624226854823</v>
      </c>
      <c r="I53" s="13" t="n">
        <f aca="false">Seg!I38</f>
        <v>27.3914165003209</v>
      </c>
    </row>
    <row r="54" customFormat="false" ht="15" hidden="false" customHeight="false" outlineLevel="0" collapsed="false">
      <c r="A54" s="0" t="s">
        <v>629</v>
      </c>
      <c r="B54" s="0" t="s">
        <v>202</v>
      </c>
      <c r="C54" s="13" t="n">
        <f aca="false">Seg!C39</f>
        <v>4.737</v>
      </c>
      <c r="D54" s="13" t="n">
        <f aca="false">Seg!D39</f>
        <v>4.25827153227389</v>
      </c>
      <c r="E54" s="13" t="n">
        <f aca="false">Seg!E39</f>
        <v>3.92577379427377</v>
      </c>
      <c r="F54" s="13" t="n">
        <f aca="false">Seg!F39</f>
        <v>3.6762433860388</v>
      </c>
      <c r="G54" s="13" t="n">
        <f aca="false">Seg!G39</f>
        <v>3.49595527504256</v>
      </c>
      <c r="H54" s="13" t="n">
        <f aca="false">Seg!H39</f>
        <v>3.37527245719789</v>
      </c>
      <c r="I54" s="13" t="n">
        <f aca="false">Seg!I39</f>
        <v>3.30776700805393</v>
      </c>
    </row>
    <row r="55" customFormat="false" ht="15" hidden="false" customHeight="false" outlineLevel="0" collapsed="false">
      <c r="A55" s="0" t="s">
        <v>630</v>
      </c>
      <c r="B55" s="0" t="s">
        <v>202</v>
      </c>
      <c r="C55" s="13" t="n">
        <f aca="false">Seg!C40</f>
        <v>19.804</v>
      </c>
      <c r="D55" s="13" t="n">
        <f aca="false">Seg!D40</f>
        <v>19.8676026452865</v>
      </c>
      <c r="E55" s="13" t="n">
        <f aca="false">Seg!E40</f>
        <v>19.960169318504</v>
      </c>
      <c r="F55" s="13" t="n">
        <f aca="false">Seg!F40</f>
        <v>19.9800173634928</v>
      </c>
      <c r="G55" s="13" t="n">
        <f aca="false">Seg!G40</f>
        <v>19.9266624933073</v>
      </c>
      <c r="H55" s="13" t="n">
        <f aca="false">Seg!H40</f>
        <v>19.8004229854802</v>
      </c>
      <c r="I55" s="13" t="n">
        <f aca="false">Seg!I40</f>
        <v>19.6024187556254</v>
      </c>
    </row>
    <row r="56" customFormat="false" ht="15" hidden="false" customHeight="false" outlineLevel="0" collapsed="false">
      <c r="A56" s="0" t="s">
        <v>631</v>
      </c>
      <c r="B56" s="0" t="s">
        <v>202</v>
      </c>
      <c r="C56" s="13" t="n">
        <f aca="false">Seg!C41</f>
        <v>3.084</v>
      </c>
      <c r="D56" s="13" t="n">
        <f aca="false">Seg!D41</f>
        <v>3.38187258556422</v>
      </c>
      <c r="E56" s="13" t="n">
        <f aca="false">Seg!E41</f>
        <v>3.59915589367095</v>
      </c>
      <c r="F56" s="13" t="n">
        <f aca="false">Seg!F41</f>
        <v>3.7725886175205</v>
      </c>
      <c r="G56" s="13" t="n">
        <f aca="false">Seg!G41</f>
        <v>3.89378190824939</v>
      </c>
      <c r="H56" s="13" t="n">
        <f aca="false">Seg!H41</f>
        <v>3.95632520287867</v>
      </c>
      <c r="I56" s="13" t="n">
        <f aca="false">Seg!I41</f>
        <v>3.95632520287867</v>
      </c>
    </row>
    <row r="57" customFormat="false" ht="15" hidden="false" customHeight="false" outlineLevel="0" collapsed="false">
      <c r="A57" s="0" t="s">
        <v>632</v>
      </c>
      <c r="B57" s="0" t="s">
        <v>202</v>
      </c>
      <c r="C57" s="13" t="n">
        <f aca="false">Seg!C42</f>
        <v>5.743</v>
      </c>
      <c r="D57" s="13" t="n">
        <f aca="false">Seg!D42</f>
        <v>6.21286273034975</v>
      </c>
      <c r="E57" s="13" t="n">
        <f aca="false">Seg!E42</f>
        <v>6.70810195831085</v>
      </c>
      <c r="F57" s="13" t="n">
        <f aca="false">Seg!F42</f>
        <v>7.1594494969184</v>
      </c>
      <c r="G57" s="13" t="n">
        <f aca="false">Seg!G42</f>
        <v>7.55218797849776</v>
      </c>
      <c r="H57" s="13" t="n">
        <f aca="false">Seg!H42</f>
        <v>7.87261206235718</v>
      </c>
      <c r="I57" s="13" t="n">
        <f aca="false">Seg!I42</f>
        <v>8.1087904242279</v>
      </c>
    </row>
    <row r="58" customFormat="false" ht="17.15" hidden="false" customHeight="false" outlineLevel="0" collapsed="false">
      <c r="A58" s="5" t="s">
        <v>795</v>
      </c>
      <c r="B58" s="0" t="s">
        <v>202</v>
      </c>
      <c r="C58" s="13" t="n">
        <f aca="false">C50+C53+C54+C55</f>
        <v>58.53</v>
      </c>
      <c r="D58" s="13" t="n">
        <f aca="false">D50+D53+D54+D55</f>
        <v>77.559219319294</v>
      </c>
      <c r="E58" s="13" t="n">
        <f aca="false">E50+E53+E54+E55</f>
        <v>108.682805026325</v>
      </c>
      <c r="F58" s="13" t="n">
        <f aca="false">F50+F53+F54+F55</f>
        <v>138.629833699193</v>
      </c>
      <c r="G58" s="13" t="n">
        <f aca="false">G50+G53+G54+G55</f>
        <v>153.349124591424</v>
      </c>
      <c r="H58" s="13" t="n">
        <f aca="false">H50+H53+H54+H55</f>
        <v>158.713003165076</v>
      </c>
      <c r="I58" s="13" t="n">
        <f aca="false">I50+I53+I54+I55</f>
        <v>166.757379029764</v>
      </c>
    </row>
    <row r="59" customFormat="false" ht="17.15" hidden="false" customHeight="false" outlineLevel="0" collapsed="false">
      <c r="A59" s="5" t="s">
        <v>637</v>
      </c>
      <c r="B59" s="0" t="s">
        <v>202</v>
      </c>
      <c r="C59" s="13" t="n">
        <f aca="false">C56</f>
        <v>3.084</v>
      </c>
      <c r="D59" s="13" t="n">
        <f aca="false">D56</f>
        <v>3.38187258556422</v>
      </c>
      <c r="E59" s="13" t="n">
        <f aca="false">E56</f>
        <v>3.59915589367095</v>
      </c>
      <c r="F59" s="13" t="n">
        <f aca="false">F56</f>
        <v>3.7725886175205</v>
      </c>
      <c r="G59" s="13" t="n">
        <f aca="false">G56</f>
        <v>3.89378190824939</v>
      </c>
      <c r="H59" s="13" t="n">
        <f aca="false">H56</f>
        <v>3.95632520287867</v>
      </c>
      <c r="I59" s="13" t="n">
        <f aca="false">I56</f>
        <v>3.95632520287867</v>
      </c>
    </row>
    <row r="60" customFormat="false" ht="17.15" hidden="false" customHeight="false" outlineLevel="0" collapsed="false">
      <c r="A60" s="5" t="s">
        <v>639</v>
      </c>
      <c r="B60" s="0" t="s">
        <v>202</v>
      </c>
      <c r="C60" s="13" t="n">
        <f aca="false">C57</f>
        <v>5.743</v>
      </c>
      <c r="D60" s="13" t="n">
        <f aca="false">D57</f>
        <v>6.21286273034975</v>
      </c>
      <c r="E60" s="13" t="n">
        <f aca="false">E57</f>
        <v>6.70810195831085</v>
      </c>
      <c r="F60" s="13" t="n">
        <f aca="false">F57</f>
        <v>7.1594494969184</v>
      </c>
      <c r="G60" s="13" t="n">
        <f aca="false">G57</f>
        <v>7.55218797849776</v>
      </c>
      <c r="H60" s="13" t="n">
        <f aca="false">H57</f>
        <v>7.87261206235718</v>
      </c>
      <c r="I60" s="13" t="n">
        <f aca="false">I57</f>
        <v>8.1087904242279</v>
      </c>
    </row>
    <row r="61" customFormat="false" ht="15" hidden="false" customHeight="false" outlineLevel="0" collapsed="false">
      <c r="A61" s="5" t="s">
        <v>797</v>
      </c>
      <c r="B61" s="0" t="s">
        <v>202</v>
      </c>
      <c r="C61" s="13" t="n">
        <f aca="false">Seg!C46</f>
        <v>67.357</v>
      </c>
      <c r="D61" s="13" t="n">
        <f aca="false">Seg!D46</f>
        <v>87.153954635208</v>
      </c>
      <c r="E61" s="13" t="n">
        <f aca="false">Seg!E46</f>
        <v>118.990062878307</v>
      </c>
      <c r="F61" s="13" t="n">
        <f aca="false">Seg!F46</f>
        <v>149.561871813632</v>
      </c>
      <c r="G61" s="13" t="n">
        <f aca="false">Seg!G46</f>
        <v>164.795094478171</v>
      </c>
      <c r="H61" s="13" t="n">
        <f aca="false">Seg!H46</f>
        <v>170.541940430312</v>
      </c>
      <c r="I61" s="13" t="n">
        <f aca="false">Seg!I46</f>
        <v>178.822494656871</v>
      </c>
    </row>
    <row r="62" customFormat="false" ht="15" hidden="false" customHeight="false" outlineLevel="0" collapsed="false">
      <c r="A62" s="5" t="s">
        <v>798</v>
      </c>
      <c r="B62" s="0" t="s">
        <v>98</v>
      </c>
      <c r="D62" s="12" t="n">
        <f aca="false">D61/C61-1</f>
        <v>0.293910872443963</v>
      </c>
      <c r="E62" s="12" t="n">
        <f aca="false">E61/D61-1</f>
        <v>0.365285871150104</v>
      </c>
      <c r="F62" s="12" t="n">
        <f aca="false">F61/E61-1</f>
        <v>0.2569274122209</v>
      </c>
      <c r="G62" s="12" t="n">
        <f aca="false">G61/F61-1</f>
        <v>0.101852313559708</v>
      </c>
      <c r="H62" s="12" t="n">
        <f aca="false">H61/G61-1</f>
        <v>0.0348726760971787</v>
      </c>
      <c r="I62" s="12" t="n">
        <f aca="false">I61/H61-1</f>
        <v>0.0485543568090341</v>
      </c>
    </row>
    <row r="63" customFormat="false" ht="17.15" hidden="false" customHeight="false" outlineLevel="0" collapsed="false">
      <c r="A63" s="5" t="s">
        <v>642</v>
      </c>
      <c r="B63" s="0" t="s">
        <v>202</v>
      </c>
      <c r="C63" s="13" t="n">
        <f aca="false">Q!L16</f>
        <v>34.468</v>
      </c>
      <c r="D63" s="13" t="n">
        <f aca="false">Q!I16+Thesis!D64+(m_sw+m_adj)*((D58-Q!I11)-Thesis!D54)</f>
        <v>34.9916452664798</v>
      </c>
      <c r="E63" s="13" t="n">
        <f aca="false">Thesis!F64+(m_sw+m_adj)*(E58-Thesis!F54)</f>
        <v>35.3108342954301</v>
      </c>
      <c r="F63" s="13" t="n">
        <f aca="false">Thesis!G64+(m_sw+m_adj)*(F58-Thesis!G54)</f>
        <v>43.386654448675</v>
      </c>
      <c r="G63" s="13" t="n">
        <f aca="false">Thesis!H64+(m_sw+m_adj)*(G58-Thesis!H54)</f>
        <v>49.6519768076636</v>
      </c>
      <c r="H63" s="13" t="n">
        <f aca="false">Thesis!I64+(m_sw+m_adj)*(H58-Thesis!I54)</f>
        <v>51.6764428228484</v>
      </c>
      <c r="I63" s="13" t="n">
        <f aca="false">Thesis!J64+(m_sw+m_adj)*(I58-Thesis!J54)</f>
        <v>56.2286814133818</v>
      </c>
      <c r="J63" s="8" t="s">
        <v>807</v>
      </c>
    </row>
    <row r="64" customFormat="false" ht="17.15" hidden="false" customHeight="false" outlineLevel="0" collapsed="false">
      <c r="A64" s="5" t="s">
        <v>808</v>
      </c>
      <c r="B64" s="0" t="s">
        <v>202</v>
      </c>
      <c r="D64" s="13" t="n">
        <f aca="false">Thesis!E64</f>
        <v>1.10443535924454</v>
      </c>
      <c r="E64" s="13" t="n">
        <f aca="false">Thesis!F64</f>
        <v>-0.838240858065383</v>
      </c>
      <c r="F64" s="13" t="n">
        <f aca="false">Thesis!G64</f>
        <v>4.90306945916489</v>
      </c>
      <c r="G64" s="13" t="n">
        <f aca="false">Thesis!H64</f>
        <v>8.83725462641112</v>
      </c>
      <c r="H64" s="13" t="n">
        <f aca="false">Thesis!I64</f>
        <v>8.61583790680396</v>
      </c>
      <c r="I64" s="13" t="n">
        <f aca="false">Thesis!J64</f>
        <v>11.0908129652687</v>
      </c>
    </row>
    <row r="65" customFormat="false" ht="17.15" hidden="false" customHeight="false" outlineLevel="0" collapsed="false">
      <c r="A65" s="5" t="s">
        <v>645</v>
      </c>
      <c r="B65" s="0" t="s">
        <v>202</v>
      </c>
      <c r="C65" s="13" t="n">
        <f aca="false">Q!L17</f>
        <v>2.017</v>
      </c>
      <c r="D65" s="13" t="n">
        <f aca="false">Q!I17+m_hw*(D59-Q!I12)</f>
        <v>2.15760279023444</v>
      </c>
      <c r="E65" s="13" t="n">
        <f aca="false">m_hw*E59</f>
        <v>2.35392264511489</v>
      </c>
      <c r="F65" s="13" t="n">
        <f aca="false">m_hw*F59</f>
        <v>2.46735124563516</v>
      </c>
      <c r="G65" s="13" t="n">
        <f aca="false">m_hw*G59</f>
        <v>2.54661417280772</v>
      </c>
      <c r="H65" s="13" t="n">
        <f aca="false">m_hw*H59</f>
        <v>2.5875187854106</v>
      </c>
      <c r="I65" s="13" t="n">
        <f aca="false">m_hw*I59</f>
        <v>2.5875187854106</v>
      </c>
    </row>
    <row r="66" customFormat="false" ht="17.15" hidden="false" customHeight="false" outlineLevel="0" collapsed="false">
      <c r="A66" s="5" t="s">
        <v>647</v>
      </c>
      <c r="B66" s="0" t="s">
        <v>202</v>
      </c>
      <c r="C66" s="13" t="n">
        <f aca="false">Q!L18</f>
        <v>1.533</v>
      </c>
      <c r="D66" s="13" t="n">
        <f aca="false">Q!I18+m_svc*(D60-Q!I13)</f>
        <v>1.72597798461191</v>
      </c>
      <c r="E66" s="13" t="n">
        <f aca="false">m_svc*E60</f>
        <v>1.79061819642879</v>
      </c>
      <c r="F66" s="13" t="n">
        <f aca="false">m_svc*F60</f>
        <v>1.91109804610411</v>
      </c>
      <c r="G66" s="13" t="n">
        <f aca="false">m_svc*G60</f>
        <v>2.01593316577347</v>
      </c>
      <c r="H66" s="13" t="n">
        <f aca="false">m_svc*H60</f>
        <v>2.10146513870687</v>
      </c>
      <c r="I66" s="13" t="n">
        <f aca="false">m_svc*I60</f>
        <v>2.16450909286808</v>
      </c>
    </row>
    <row r="67" customFormat="false" ht="15" hidden="false" customHeight="false" outlineLevel="0" collapsed="false">
      <c r="A67" s="5" t="s">
        <v>648</v>
      </c>
      <c r="B67" s="0" t="s">
        <v>202</v>
      </c>
      <c r="C67" s="13" t="n">
        <f aca="false">C63+C65+C66</f>
        <v>38.018</v>
      </c>
      <c r="D67" s="13" t="n">
        <f aca="false">D63+D65+D66</f>
        <v>38.8752260413262</v>
      </c>
      <c r="E67" s="13" t="n">
        <f aca="false">E63+E65+E66</f>
        <v>39.4553751369738</v>
      </c>
      <c r="F67" s="13" t="n">
        <f aca="false">F63+F65+F66</f>
        <v>47.7651037404143</v>
      </c>
      <c r="G67" s="13" t="n">
        <f aca="false">G63+G65+G66</f>
        <v>54.2145241462448</v>
      </c>
      <c r="H67" s="13" t="n">
        <f aca="false">H63+H65+H66</f>
        <v>56.3654267469659</v>
      </c>
      <c r="I67" s="13" t="n">
        <f aca="false">I63+I65+I66</f>
        <v>60.9807092916604</v>
      </c>
    </row>
    <row r="68" customFormat="false" ht="17.15" hidden="false" customHeight="false" outlineLevel="0" collapsed="false">
      <c r="A68" s="0" t="s">
        <v>809</v>
      </c>
      <c r="B68" s="0" t="s">
        <v>98</v>
      </c>
      <c r="C68" s="12" t="n">
        <f aca="false">C63/C58</f>
        <v>0.588894583974031</v>
      </c>
      <c r="D68" s="12" t="n">
        <f aca="false">D63/D58</f>
        <v>0.451160359446464</v>
      </c>
      <c r="E68" s="12" t="n">
        <f aca="false">E63/E58</f>
        <v>0.324898076442518</v>
      </c>
      <c r="F68" s="12" t="n">
        <f aca="false">F63/F58</f>
        <v>0.312967658482645</v>
      </c>
      <c r="G68" s="12" t="n">
        <f aca="false">G63/G58</f>
        <v>0.32378389469098</v>
      </c>
      <c r="H68" s="12" t="n">
        <f aca="false">H63/H58</f>
        <v>0.325596780303502</v>
      </c>
      <c r="I68" s="12" t="n">
        <f aca="false">I63/I58</f>
        <v>0.337188565450802</v>
      </c>
    </row>
    <row r="69" customFormat="false" ht="17.15" hidden="false" customHeight="false" outlineLevel="0" collapsed="false">
      <c r="A69" s="5" t="s">
        <v>810</v>
      </c>
      <c r="B69" s="0" t="s">
        <v>202</v>
      </c>
      <c r="C69" s="13" t="n">
        <f aca="false">Q!L20</f>
        <v>17.412</v>
      </c>
      <c r="D69" s="13" t="n">
        <f aca="false">Q!I20*(1+3*un_rr)</f>
        <v>16.586</v>
      </c>
      <c r="E69" s="13" t="n">
        <f aca="false">D69*(1+un_g)</f>
        <v>17.24944</v>
      </c>
      <c r="F69" s="13" t="n">
        <f aca="false">E69*(1+un_g)</f>
        <v>17.9394176</v>
      </c>
      <c r="G69" s="13" t="n">
        <f aca="false">F69*(1+un_g)</f>
        <v>18.656994304</v>
      </c>
      <c r="H69" s="13" t="n">
        <f aca="false">G69*(1+un_g)</f>
        <v>19.40327407616</v>
      </c>
      <c r="I69" s="13" t="n">
        <f aca="false">H69*(1+un_g)</f>
        <v>20.1794050392064</v>
      </c>
      <c r="J69" s="8" t="s">
        <v>811</v>
      </c>
    </row>
    <row r="70" customFormat="false" ht="17.15" hidden="false" customHeight="false" outlineLevel="0" collapsed="false">
      <c r="A70" s="5" t="s">
        <v>651</v>
      </c>
      <c r="B70" s="0" t="s">
        <v>202</v>
      </c>
      <c r="C70" s="13" t="n">
        <f aca="false">C67-C69</f>
        <v>20.606</v>
      </c>
      <c r="D70" s="13" t="n">
        <f aca="false">D67-D69</f>
        <v>22.2892260413262</v>
      </c>
      <c r="E70" s="13" t="n">
        <f aca="false">E67-E69</f>
        <v>22.2059351369738</v>
      </c>
      <c r="F70" s="13" t="n">
        <f aca="false">F67-F69</f>
        <v>29.8256861404143</v>
      </c>
      <c r="G70" s="13" t="n">
        <f aca="false">G67-G69</f>
        <v>35.5575298422448</v>
      </c>
      <c r="H70" s="13" t="n">
        <f aca="false">H67-H69</f>
        <v>36.9621526708059</v>
      </c>
      <c r="I70" s="13" t="n">
        <f aca="false">I67-I69</f>
        <v>40.801304252454</v>
      </c>
    </row>
    <row r="71" customFormat="false" ht="15" hidden="false" customHeight="false" outlineLevel="0" collapsed="false">
      <c r="A71" s="5" t="s">
        <v>812</v>
      </c>
      <c r="B71" s="0" t="s">
        <v>98</v>
      </c>
      <c r="C71" s="12" t="n">
        <f aca="false">C70/C61</f>
        <v>0.305922175868878</v>
      </c>
      <c r="D71" s="12" t="n">
        <f aca="false">D70/D61</f>
        <v>0.255745435013478</v>
      </c>
      <c r="E71" s="12" t="n">
        <f aca="false">E70/E61</f>
        <v>0.18662008070106</v>
      </c>
      <c r="F71" s="12" t="n">
        <f aca="false">F70/F61</f>
        <v>0.199420385548396</v>
      </c>
      <c r="G71" s="12" t="n">
        <f aca="false">G70/G61</f>
        <v>0.215768132873365</v>
      </c>
      <c r="H71" s="12" t="n">
        <f aca="false">H70/H61</f>
        <v>0.21673350600763</v>
      </c>
      <c r="I71" s="12" t="n">
        <f aca="false">I70/I61</f>
        <v>0.228166508529839</v>
      </c>
    </row>
    <row r="72" customFormat="false" ht="17.15" hidden="false" customHeight="false" outlineLevel="0" collapsed="false">
      <c r="A72" s="0" t="s">
        <v>813</v>
      </c>
      <c r="B72" s="0" t="s">
        <v>98</v>
      </c>
      <c r="D72" s="12" t="n">
        <f aca="false">Thesis!E65</f>
        <v>0.0441089886416165</v>
      </c>
      <c r="E72" s="12" t="n">
        <f aca="false">Thesis!F65</f>
        <v>-0.0159189500511964</v>
      </c>
      <c r="F72" s="12" t="n">
        <f aca="false">Thesis!G65</f>
        <v>0.0620754399106208</v>
      </c>
      <c r="G72" s="12" t="n">
        <f aca="false">Thesis!H65</f>
        <v>0.0980914336762114</v>
      </c>
      <c r="H72" s="12" t="n">
        <f aca="false">Thesis!I65</f>
        <v>0.0936757794023173</v>
      </c>
      <c r="I72" s="12" t="n">
        <f aca="false">Thesis!J65</f>
        <v>0.114574520887477</v>
      </c>
    </row>
    <row r="73" customFormat="false" ht="17.15" hidden="false" customHeight="false" outlineLevel="0" collapsed="false">
      <c r="A73" s="5" t="s">
        <v>656</v>
      </c>
      <c r="B73" s="0" t="s">
        <v>202</v>
      </c>
      <c r="C73" s="13" t="n">
        <f aca="false">Q!L26</f>
        <v>4.599</v>
      </c>
      <c r="D73" s="13" t="n">
        <f aca="false">CF!D81</f>
        <v>5.712</v>
      </c>
      <c r="E73" s="13" t="n">
        <f aca="false">CF!E81</f>
        <v>5.712</v>
      </c>
      <c r="F73" s="13" t="n">
        <f aca="false">CF!F81</f>
        <v>6.79171900556326</v>
      </c>
      <c r="G73" s="13" t="n">
        <f aca="false">CF!G81</f>
        <v>6.79171900556326</v>
      </c>
      <c r="H73" s="13" t="n">
        <f aca="false">CF!H81</f>
        <v>6.79171900556326</v>
      </c>
      <c r="I73" s="13" t="n">
        <f aca="false">CF!I81</f>
        <v>6.79171900556326</v>
      </c>
      <c r="J73" s="8" t="s">
        <v>814</v>
      </c>
    </row>
    <row r="74" customFormat="false" ht="17.15" hidden="false" customHeight="false" outlineLevel="0" collapsed="false">
      <c r="A74" s="5" t="s">
        <v>815</v>
      </c>
      <c r="B74" s="0" t="s">
        <v>202</v>
      </c>
      <c r="D74" s="13" t="n">
        <f aca="false">CF!D82</f>
        <v>1.24187082405345</v>
      </c>
      <c r="E74" s="13" t="n">
        <f aca="false">CF!E82</f>
        <v>0.401854887732115</v>
      </c>
      <c r="F74" s="13" t="n">
        <f aca="false">CF!F82</f>
        <v>0.336550358822074</v>
      </c>
      <c r="G74" s="13" t="n">
        <f aca="false">CF!G82</f>
        <v>1.26324206366376</v>
      </c>
      <c r="H74" s="13" t="n">
        <f aca="false">CF!H82</f>
        <v>2.89519942019978</v>
      </c>
      <c r="I74" s="13" t="n">
        <f aca="false">CF!I82</f>
        <v>4.55747766504298</v>
      </c>
      <c r="J74" s="8" t="s">
        <v>816</v>
      </c>
    </row>
    <row r="75" customFormat="false" ht="17.15" hidden="false" customHeight="false" outlineLevel="0" collapsed="false">
      <c r="A75" s="5" t="s">
        <v>817</v>
      </c>
      <c r="B75" s="0" t="s">
        <v>202</v>
      </c>
      <c r="D75" s="13" t="n">
        <f aca="false">D70-D73+D74</f>
        <v>17.8190968653796</v>
      </c>
      <c r="E75" s="13" t="n">
        <f aca="false">E70-E73+E74</f>
        <v>16.8957900247059</v>
      </c>
      <c r="F75" s="13" t="n">
        <f aca="false">F70-F73+F74</f>
        <v>23.3705174936731</v>
      </c>
      <c r="G75" s="13" t="n">
        <f aca="false">G70-G73+G74</f>
        <v>30.0290529003453</v>
      </c>
      <c r="H75" s="13" t="n">
        <f aca="false">H70-H73+H74</f>
        <v>33.0656330854424</v>
      </c>
      <c r="I75" s="13" t="n">
        <f aca="false">I70-I73+I74</f>
        <v>38.5670629119337</v>
      </c>
      <c r="J75" s="5" t="s">
        <v>818</v>
      </c>
    </row>
    <row r="76" customFormat="false" ht="15" hidden="false" customHeight="false" outlineLevel="0" collapsed="false">
      <c r="A76" s="5" t="s">
        <v>819</v>
      </c>
      <c r="B76" s="0" t="s">
        <v>202</v>
      </c>
      <c r="D76" s="13" t="n">
        <f aca="false">D75*etr</f>
        <v>2.69068362667232</v>
      </c>
      <c r="E76" s="13" t="n">
        <f aca="false">E75*etr</f>
        <v>2.55126429373059</v>
      </c>
      <c r="F76" s="13" t="n">
        <f aca="false">F75*etr</f>
        <v>3.52894814154464</v>
      </c>
      <c r="G76" s="13" t="n">
        <f aca="false">G75*etr</f>
        <v>4.53438698795213</v>
      </c>
      <c r="H76" s="13" t="n">
        <f aca="false">H75*etr</f>
        <v>4.9929105959018</v>
      </c>
      <c r="I76" s="13" t="n">
        <f aca="false">I75*etr</f>
        <v>5.823626499702</v>
      </c>
    </row>
    <row r="77" customFormat="false" ht="15" hidden="false" customHeight="false" outlineLevel="0" collapsed="false">
      <c r="A77" s="5" t="s">
        <v>820</v>
      </c>
      <c r="B77" s="0" t="s">
        <v>202</v>
      </c>
      <c r="C77" s="13" t="n">
        <f aca="false">Q!L27</f>
        <v>17.087</v>
      </c>
      <c r="D77" s="13" t="n">
        <f aca="false">D75-D76</f>
        <v>15.1284132387073</v>
      </c>
      <c r="E77" s="13" t="n">
        <f aca="false">E75-E76</f>
        <v>14.3445257309753</v>
      </c>
      <c r="F77" s="13" t="n">
        <f aca="false">F75-F76</f>
        <v>19.8415693521284</v>
      </c>
      <c r="G77" s="13" t="n">
        <f aca="false">G75-G76</f>
        <v>25.4946659123931</v>
      </c>
      <c r="H77" s="13" t="n">
        <f aca="false">H75-H76</f>
        <v>28.0727224895406</v>
      </c>
      <c r="I77" s="13" t="n">
        <f aca="false">I75-I76</f>
        <v>32.7434364122318</v>
      </c>
    </row>
    <row r="78" customFormat="false" ht="17.15" hidden="false" customHeight="false" outlineLevel="0" collapsed="false">
      <c r="A78" s="5" t="s">
        <v>676</v>
      </c>
      <c r="B78" s="0" t="s">
        <v>202</v>
      </c>
      <c r="C78" s="13" t="n">
        <f aca="false">Q!L48</f>
        <v>0.103</v>
      </c>
      <c r="D78" s="13" t="n">
        <f aca="false">pref_q1+pref27</f>
        <v>0.325</v>
      </c>
      <c r="E78" s="13" t="n">
        <f aca="false">pref28</f>
        <v>0.325</v>
      </c>
      <c r="F78" s="13" t="n">
        <f aca="false">pref29</f>
        <v>0.244</v>
      </c>
      <c r="G78" s="13" t="n">
        <f aca="false">0</f>
        <v>0</v>
      </c>
      <c r="H78" s="13" t="n">
        <f aca="false">0</f>
        <v>0</v>
      </c>
      <c r="I78" s="13" t="n">
        <f aca="false">0</f>
        <v>0</v>
      </c>
      <c r="J78" s="8" t="s">
        <v>821</v>
      </c>
    </row>
    <row r="79" customFormat="false" ht="15" hidden="false" customHeight="false" outlineLevel="0" collapsed="false">
      <c r="A79" s="5" t="s">
        <v>822</v>
      </c>
      <c r="B79" s="0" t="s">
        <v>202</v>
      </c>
      <c r="C79" s="13" t="n">
        <f aca="false">C77-C78</f>
        <v>16.984</v>
      </c>
      <c r="D79" s="13" t="n">
        <f aca="false">D77-D78</f>
        <v>14.8034132387073</v>
      </c>
      <c r="E79" s="13" t="n">
        <f aca="false">E77-E78</f>
        <v>14.0195257309753</v>
      </c>
      <c r="F79" s="13" t="n">
        <f aca="false">F77-F78</f>
        <v>19.5975693521284</v>
      </c>
      <c r="G79" s="13" t="n">
        <f aca="false">G77-G78</f>
        <v>25.4946659123931</v>
      </c>
      <c r="H79" s="13" t="n">
        <f aca="false">H77-H78</f>
        <v>28.0727224895406</v>
      </c>
      <c r="I79" s="13" t="n">
        <f aca="false">I77-I78</f>
        <v>32.7434364122318</v>
      </c>
    </row>
    <row r="80" customFormat="false" ht="15" hidden="false" customHeight="false" outlineLevel="0" collapsed="false">
      <c r="A80" s="5" t="s">
        <v>823</v>
      </c>
      <c r="B80" s="5" t="s">
        <v>34</v>
      </c>
      <c r="C80" s="13" t="n">
        <f aca="false">Q!L49</f>
        <v>2.914</v>
      </c>
      <c r="D80" s="13" t="n">
        <f aca="false">CF!D80</f>
        <v>3.043302</v>
      </c>
      <c r="E80" s="13" t="n">
        <f aca="false">CF!E80</f>
        <v>3.057736</v>
      </c>
      <c r="F80" s="13" t="n">
        <f aca="false">CF!F80</f>
        <v>3.073355</v>
      </c>
      <c r="G80" s="13" t="n">
        <f aca="false">CF!G80</f>
        <v>3.088974</v>
      </c>
      <c r="H80" s="13" t="n">
        <f aca="false">CF!H80</f>
        <v>3.088974</v>
      </c>
      <c r="I80" s="13" t="n">
        <f aca="false">CF!I80</f>
        <v>3.088974</v>
      </c>
    </row>
    <row r="81" customFormat="false" ht="17.15" hidden="false" customHeight="false" outlineLevel="0" collapsed="false">
      <c r="A81" s="0" t="s">
        <v>824</v>
      </c>
      <c r="B81" s="0" t="s">
        <v>28</v>
      </c>
      <c r="C81" s="24" t="n">
        <f aca="false">Q!L50</f>
        <v>5.83</v>
      </c>
      <c r="D81" s="24" t="n">
        <f aca="false">D79/D80</f>
        <v>4.86426034573871</v>
      </c>
      <c r="E81" s="24" t="n">
        <f aca="false">E79/E80</f>
        <v>4.58493661028137</v>
      </c>
      <c r="F81" s="24" t="n">
        <f aca="false">F79/F80</f>
        <v>6.37660450944601</v>
      </c>
      <c r="G81" s="24" t="n">
        <f aca="false">G79/G80</f>
        <v>8.2534414055907</v>
      </c>
      <c r="H81" s="24" t="n">
        <f aca="false">H79/H80</f>
        <v>9.08804104195781</v>
      </c>
      <c r="I81" s="24" t="n">
        <f aca="false">I79/I80</f>
        <v>10.600101008371</v>
      </c>
    </row>
    <row r="82" customFormat="false" ht="17.15" hidden="false" customHeight="false" outlineLevel="0" collapsed="false">
      <c r="A82" s="0" t="s">
        <v>825</v>
      </c>
      <c r="B82" s="0" t="s">
        <v>98</v>
      </c>
      <c r="D82" s="12" t="n">
        <f aca="false">D81/C81-1</f>
        <v>-0.165650026459913</v>
      </c>
      <c r="E82" s="12" t="n">
        <f aca="false">E81/D81-1</f>
        <v>-0.0574236812184695</v>
      </c>
      <c r="F82" s="12" t="n">
        <f aca="false">F81/E81-1</f>
        <v>0.390772665241863</v>
      </c>
      <c r="G82" s="12" t="n">
        <f aca="false">G81/F81-1</f>
        <v>0.294331707943377</v>
      </c>
      <c r="H82" s="12" t="n">
        <f aca="false">H81/G81-1</f>
        <v>0.101121410494509</v>
      </c>
      <c r="I82" s="12" t="n">
        <f aca="false">I81/H81-1</f>
        <v>0.166379086475542</v>
      </c>
    </row>
    <row r="83" customFormat="false" ht="17.15" hidden="false" customHeight="false" outlineLevel="0" collapsed="false">
      <c r="A83" s="5" t="s">
        <v>654</v>
      </c>
      <c r="B83" s="0" t="s">
        <v>202</v>
      </c>
      <c r="C83" s="13" t="n">
        <f aca="false">Q!L24</f>
        <v>9.294</v>
      </c>
      <c r="D83" s="13" t="n">
        <f aca="false">Q!I24+Thesis!D62+nonai_dep_q*3+amort*0.75</f>
        <v>20.2279737778082</v>
      </c>
      <c r="E83" s="13" t="n">
        <f aca="false">Thesis!F62+nonai_dep_q*(E61-Thesis!F54)/(q1_rev-Thesis!C54)+amort</f>
        <v>38.7685519813231</v>
      </c>
      <c r="F83" s="13" t="n">
        <f aca="false">Thesis!G62+nonai_dep_q*(F61-Thesis!G54)/(q1_rev-Thesis!C54)+amort</f>
        <v>48.4520817914426</v>
      </c>
      <c r="G83" s="13" t="n">
        <f aca="false">Thesis!H62+nonai_dep_q*(G61-Thesis!H54)/(q1_rev-Thesis!C54)+amort</f>
        <v>51.375409750222</v>
      </c>
      <c r="H83" s="13" t="n">
        <f aca="false">Thesis!I62+nonai_dep_q*(H61-Thesis!I54)/(q1_rev-Thesis!C54)+amort</f>
        <v>53.0428257138377</v>
      </c>
      <c r="I83" s="13" t="n">
        <f aca="false">Thesis!J62+nonai_dep_q*(I61-Thesis!J54)/(q1_rev-Thesis!C54)+amort</f>
        <v>54.3259119995799</v>
      </c>
      <c r="J83" s="8" t="s">
        <v>826</v>
      </c>
    </row>
    <row r="84" customFormat="false" ht="17.15" hidden="false" customHeight="false" outlineLevel="0" collapsed="false">
      <c r="A84" s="5" t="s">
        <v>655</v>
      </c>
      <c r="B84" s="0" t="s">
        <v>202</v>
      </c>
      <c r="C84" s="13" t="n">
        <f aca="false">Q!L25</f>
        <v>4.811</v>
      </c>
      <c r="D84" s="13" t="n">
        <f aca="false">sbc_q1*(1+3*un_rr)</f>
        <v>5.2998077686419</v>
      </c>
      <c r="E84" s="13" t="n">
        <f aca="false">D84*(1+un_g)</f>
        <v>5.51180007938758</v>
      </c>
      <c r="F84" s="13" t="n">
        <f aca="false">E84*(1+un_g)</f>
        <v>5.73227208256308</v>
      </c>
      <c r="G84" s="13" t="n">
        <f aca="false">F84*(1+un_g)</f>
        <v>5.96156296586561</v>
      </c>
      <c r="H84" s="13" t="n">
        <f aca="false">G84*(1+un_g)</f>
        <v>6.20002548450023</v>
      </c>
      <c r="I84" s="13" t="n">
        <f aca="false">H84*(1+un_g)</f>
        <v>6.44802650388024</v>
      </c>
    </row>
    <row r="85" customFormat="false" ht="17.15" hidden="false" customHeight="false" outlineLevel="0" collapsed="false">
      <c r="A85" s="0" t="s">
        <v>827</v>
      </c>
      <c r="B85" s="0" t="s">
        <v>202</v>
      </c>
      <c r="C85" s="13" t="n">
        <f aca="false">C70+C83</f>
        <v>29.9</v>
      </c>
      <c r="D85" s="13" t="n">
        <f aca="false">D70+D83</f>
        <v>42.5171998191344</v>
      </c>
      <c r="E85" s="13" t="n">
        <f aca="false">E70+E83</f>
        <v>60.9744871182969</v>
      </c>
      <c r="F85" s="13" t="n">
        <f aca="false">F70+F83</f>
        <v>78.2777679318568</v>
      </c>
      <c r="G85" s="13" t="n">
        <f aca="false">G70+G83</f>
        <v>86.9329395924668</v>
      </c>
      <c r="H85" s="13" t="n">
        <f aca="false">H70+H83</f>
        <v>90.0049783846436</v>
      </c>
      <c r="I85" s="13" t="n">
        <f aca="false">I70+I83</f>
        <v>95.1272162520339</v>
      </c>
    </row>
    <row r="86" customFormat="false" ht="17.15" hidden="false" customHeight="false" outlineLevel="0" collapsed="false">
      <c r="A86" s="5" t="s">
        <v>828</v>
      </c>
      <c r="B86" s="0" t="s">
        <v>202</v>
      </c>
      <c r="C86" s="13" t="n">
        <f aca="false">C85+C84</f>
        <v>34.711</v>
      </c>
      <c r="D86" s="13" t="n">
        <f aca="false">D85+D84</f>
        <v>47.8170075877763</v>
      </c>
      <c r="E86" s="13" t="n">
        <f aca="false">E85+E84</f>
        <v>66.4862871976845</v>
      </c>
      <c r="F86" s="13" t="n">
        <f aca="false">F85+F84</f>
        <v>84.0100400144199</v>
      </c>
      <c r="G86" s="13" t="n">
        <f aca="false">G85+G84</f>
        <v>92.8945025583324</v>
      </c>
      <c r="H86" s="13" t="n">
        <f aca="false">H85+H84</f>
        <v>96.2050038691438</v>
      </c>
      <c r="I86" s="13" t="n">
        <f aca="false">I85+I84</f>
        <v>101.575242755914</v>
      </c>
    </row>
    <row r="87" customFormat="false" ht="17.15" hidden="false" customHeight="false" outlineLevel="0" collapsed="false">
      <c r="A87" s="5" t="s">
        <v>829</v>
      </c>
      <c r="B87" s="0" t="s">
        <v>202</v>
      </c>
      <c r="C87" s="11" t="n">
        <f aca="false">C70-Q!L21</f>
        <v>0</v>
      </c>
    </row>
    <row r="89" customFormat="false" ht="17.15" hidden="false" customHeight="false" outlineLevel="0" collapsed="false">
      <c r="A89" s="3" t="s">
        <v>743</v>
      </c>
    </row>
    <row r="90" customFormat="false" ht="17.15" hidden="false" customHeight="false" outlineLevel="0" collapsed="false">
      <c r="A90" s="0" t="s">
        <v>625</v>
      </c>
      <c r="B90" s="0" t="s">
        <v>202</v>
      </c>
      <c r="C90" s="13" t="n">
        <f aca="false">Seg!C53</f>
        <v>18.101</v>
      </c>
      <c r="D90" s="13" t="n">
        <f aca="false">Seg!D53</f>
        <v>32.105600921658</v>
      </c>
      <c r="E90" s="13" t="n">
        <f aca="false">Seg!E53</f>
        <v>43.6677344879951</v>
      </c>
      <c r="F90" s="13" t="n">
        <f aca="false">Seg!F53</f>
        <v>56.5407621644448</v>
      </c>
      <c r="G90" s="13" t="n">
        <f aca="false">Seg!G53</f>
        <v>69.7997130695</v>
      </c>
      <c r="H90" s="13" t="n">
        <f aca="false">Seg!H53</f>
        <v>79.9123852800385</v>
      </c>
      <c r="I90" s="13" t="n">
        <f aca="false">Seg!I53</f>
        <v>86.266584381266</v>
      </c>
    </row>
    <row r="91" customFormat="false" ht="17.15" hidden="false" customHeight="false" outlineLevel="0" collapsed="false">
      <c r="A91" s="5" t="s">
        <v>792</v>
      </c>
      <c r="B91" s="0" t="s">
        <v>202</v>
      </c>
      <c r="D91" s="13" t="n">
        <f aca="false">Seg!D54</f>
        <v>21.3179071823683</v>
      </c>
      <c r="E91" s="13" t="n">
        <f aca="false">Seg!E54</f>
        <v>30.9814066505904</v>
      </c>
      <c r="F91" s="13" t="n">
        <f aca="false">Seg!F54</f>
        <v>41.9261124957546</v>
      </c>
      <c r="G91" s="13" t="n">
        <f aca="false">Seg!G54</f>
        <v>53.3143882432174</v>
      </c>
      <c r="H91" s="13" t="n">
        <f aca="false">Seg!H54</f>
        <v>61.7125866718225</v>
      </c>
      <c r="I91" s="13" t="n">
        <f aca="false">Seg!I54</f>
        <v>66.6108018843927</v>
      </c>
    </row>
    <row r="92" customFormat="false" ht="17.15" hidden="false" customHeight="false" outlineLevel="0" collapsed="false">
      <c r="A92" s="5" t="s">
        <v>794</v>
      </c>
      <c r="B92" s="0" t="s">
        <v>202</v>
      </c>
      <c r="D92" s="13" t="n">
        <f aca="false">Seg!D55</f>
        <v>10.7876937392897</v>
      </c>
      <c r="E92" s="13" t="n">
        <f aca="false">Seg!E55</f>
        <v>12.6863278374047</v>
      </c>
      <c r="F92" s="13" t="n">
        <f aca="false">Seg!F55</f>
        <v>14.6146496686903</v>
      </c>
      <c r="G92" s="13" t="n">
        <f aca="false">Seg!G55</f>
        <v>16.4853248262826</v>
      </c>
      <c r="H92" s="13" t="n">
        <f aca="false">Seg!H55</f>
        <v>18.199798608216</v>
      </c>
      <c r="I92" s="13" t="n">
        <f aca="false">Seg!I55</f>
        <v>19.6557824968733</v>
      </c>
    </row>
    <row r="93" customFormat="false" ht="17.15" hidden="false" customHeight="false" outlineLevel="0" collapsed="false">
      <c r="A93" s="0" t="s">
        <v>628</v>
      </c>
      <c r="B93" s="0" t="s">
        <v>202</v>
      </c>
      <c r="C93" s="13" t="n">
        <f aca="false">Seg!C56</f>
        <v>15.888</v>
      </c>
      <c r="D93" s="13" t="n">
        <f aca="false">Seg!D56</f>
        <v>17.6068692118563</v>
      </c>
      <c r="E93" s="13" t="n">
        <f aca="false">Seg!E56</f>
        <v>19.4537410483644</v>
      </c>
      <c r="F93" s="13" t="n">
        <f aca="false">Seg!F56</f>
        <v>21.3732654068659</v>
      </c>
      <c r="G93" s="13" t="n">
        <f aca="false">Seg!G56</f>
        <v>23.3491699299488</v>
      </c>
      <c r="H93" s="13" t="n">
        <f aca="false">Seg!H56</f>
        <v>25.3624226854823</v>
      </c>
      <c r="I93" s="13" t="n">
        <f aca="false">Seg!I56</f>
        <v>27.3914165003209</v>
      </c>
    </row>
    <row r="94" customFormat="false" ht="15" hidden="false" customHeight="false" outlineLevel="0" collapsed="false">
      <c r="A94" s="0" t="s">
        <v>629</v>
      </c>
      <c r="B94" s="0" t="s">
        <v>202</v>
      </c>
      <c r="C94" s="13" t="n">
        <f aca="false">Seg!C57</f>
        <v>4.737</v>
      </c>
      <c r="D94" s="13" t="n">
        <f aca="false">Seg!D57</f>
        <v>4.25827153227389</v>
      </c>
      <c r="E94" s="13" t="n">
        <f aca="false">Seg!E57</f>
        <v>3.92577379427377</v>
      </c>
      <c r="F94" s="13" t="n">
        <f aca="false">Seg!F57</f>
        <v>3.6762433860388</v>
      </c>
      <c r="G94" s="13" t="n">
        <f aca="false">Seg!G57</f>
        <v>3.49595527504256</v>
      </c>
      <c r="H94" s="13" t="n">
        <f aca="false">Seg!H57</f>
        <v>3.37527245719789</v>
      </c>
      <c r="I94" s="13" t="n">
        <f aca="false">Seg!I57</f>
        <v>3.30776700805393</v>
      </c>
    </row>
    <row r="95" customFormat="false" ht="15" hidden="false" customHeight="false" outlineLevel="0" collapsed="false">
      <c r="A95" s="0" t="s">
        <v>630</v>
      </c>
      <c r="B95" s="0" t="s">
        <v>202</v>
      </c>
      <c r="C95" s="13" t="n">
        <f aca="false">Seg!C58</f>
        <v>19.804</v>
      </c>
      <c r="D95" s="13" t="n">
        <f aca="false">Seg!D58</f>
        <v>19.8676026452865</v>
      </c>
      <c r="E95" s="13" t="n">
        <f aca="false">Seg!E58</f>
        <v>19.960169318504</v>
      </c>
      <c r="F95" s="13" t="n">
        <f aca="false">Seg!F58</f>
        <v>19.9800173634928</v>
      </c>
      <c r="G95" s="13" t="n">
        <f aca="false">Seg!G58</f>
        <v>19.9266624933073</v>
      </c>
      <c r="H95" s="13" t="n">
        <f aca="false">Seg!H58</f>
        <v>19.8004229854802</v>
      </c>
      <c r="I95" s="13" t="n">
        <f aca="false">Seg!I58</f>
        <v>19.6024187556254</v>
      </c>
    </row>
    <row r="96" customFormat="false" ht="15" hidden="false" customHeight="false" outlineLevel="0" collapsed="false">
      <c r="A96" s="0" t="s">
        <v>631</v>
      </c>
      <c r="B96" s="0" t="s">
        <v>202</v>
      </c>
      <c r="C96" s="13" t="n">
        <f aca="false">Seg!C59</f>
        <v>3.084</v>
      </c>
      <c r="D96" s="13" t="n">
        <f aca="false">Seg!D59</f>
        <v>3.38187258556422</v>
      </c>
      <c r="E96" s="13" t="n">
        <f aca="false">Seg!E59</f>
        <v>3.59915589367095</v>
      </c>
      <c r="F96" s="13" t="n">
        <f aca="false">Seg!F59</f>
        <v>3.7725886175205</v>
      </c>
      <c r="G96" s="13" t="n">
        <f aca="false">Seg!G59</f>
        <v>3.89378190824939</v>
      </c>
      <c r="H96" s="13" t="n">
        <f aca="false">Seg!H59</f>
        <v>3.95632520287867</v>
      </c>
      <c r="I96" s="13" t="n">
        <f aca="false">Seg!I59</f>
        <v>3.95632520287867</v>
      </c>
    </row>
    <row r="97" customFormat="false" ht="15" hidden="false" customHeight="false" outlineLevel="0" collapsed="false">
      <c r="A97" s="0" t="s">
        <v>632</v>
      </c>
      <c r="B97" s="0" t="s">
        <v>202</v>
      </c>
      <c r="C97" s="13" t="n">
        <f aca="false">Seg!C60</f>
        <v>5.743</v>
      </c>
      <c r="D97" s="13" t="n">
        <f aca="false">Seg!D60</f>
        <v>6.21286273034975</v>
      </c>
      <c r="E97" s="13" t="n">
        <f aca="false">Seg!E60</f>
        <v>6.70810195831085</v>
      </c>
      <c r="F97" s="13" t="n">
        <f aca="false">Seg!F60</f>
        <v>7.1594494969184</v>
      </c>
      <c r="G97" s="13" t="n">
        <f aca="false">Seg!G60</f>
        <v>7.55218797849776</v>
      </c>
      <c r="H97" s="13" t="n">
        <f aca="false">Seg!H60</f>
        <v>7.87261206235718</v>
      </c>
      <c r="I97" s="13" t="n">
        <f aca="false">Seg!I60</f>
        <v>8.1087904242279</v>
      </c>
    </row>
    <row r="98" customFormat="false" ht="17.15" hidden="false" customHeight="false" outlineLevel="0" collapsed="false">
      <c r="A98" s="5" t="s">
        <v>795</v>
      </c>
      <c r="B98" s="0" t="s">
        <v>202</v>
      </c>
      <c r="C98" s="13" t="n">
        <f aca="false">C90+C93+C94+C95</f>
        <v>58.53</v>
      </c>
      <c r="D98" s="13" t="n">
        <f aca="false">D90+D93+D94+D95</f>
        <v>73.8383443110747</v>
      </c>
      <c r="E98" s="13" t="n">
        <f aca="false">E90+E93+E94+E95</f>
        <v>87.0074186491373</v>
      </c>
      <c r="F98" s="13" t="n">
        <f aca="false">F90+F93+F94+F95</f>
        <v>101.570288320842</v>
      </c>
      <c r="G98" s="13" t="n">
        <f aca="false">G90+G93+G94+G95</f>
        <v>116.571500767799</v>
      </c>
      <c r="H98" s="13" t="n">
        <f aca="false">H90+H93+H94+H95</f>
        <v>128.450503408199</v>
      </c>
      <c r="I98" s="13" t="n">
        <f aca="false">I90+I93+I94+I95</f>
        <v>136.568186645266</v>
      </c>
    </row>
    <row r="99" customFormat="false" ht="17.15" hidden="false" customHeight="false" outlineLevel="0" collapsed="false">
      <c r="A99" s="5" t="s">
        <v>637</v>
      </c>
      <c r="B99" s="0" t="s">
        <v>202</v>
      </c>
      <c r="C99" s="13" t="n">
        <f aca="false">C96</f>
        <v>3.084</v>
      </c>
      <c r="D99" s="13" t="n">
        <f aca="false">D96</f>
        <v>3.38187258556422</v>
      </c>
      <c r="E99" s="13" t="n">
        <f aca="false">E96</f>
        <v>3.59915589367095</v>
      </c>
      <c r="F99" s="13" t="n">
        <f aca="false">F96</f>
        <v>3.7725886175205</v>
      </c>
      <c r="G99" s="13" t="n">
        <f aca="false">G96</f>
        <v>3.89378190824939</v>
      </c>
      <c r="H99" s="13" t="n">
        <f aca="false">H96</f>
        <v>3.95632520287867</v>
      </c>
      <c r="I99" s="13" t="n">
        <f aca="false">I96</f>
        <v>3.95632520287867</v>
      </c>
    </row>
    <row r="100" customFormat="false" ht="17.15" hidden="false" customHeight="false" outlineLevel="0" collapsed="false">
      <c r="A100" s="5" t="s">
        <v>639</v>
      </c>
      <c r="B100" s="0" t="s">
        <v>202</v>
      </c>
      <c r="C100" s="13" t="n">
        <f aca="false">C97</f>
        <v>5.743</v>
      </c>
      <c r="D100" s="13" t="n">
        <f aca="false">D97</f>
        <v>6.21286273034975</v>
      </c>
      <c r="E100" s="13" t="n">
        <f aca="false">E97</f>
        <v>6.70810195831085</v>
      </c>
      <c r="F100" s="13" t="n">
        <f aca="false">F97</f>
        <v>7.1594494969184</v>
      </c>
      <c r="G100" s="13" t="n">
        <f aca="false">G97</f>
        <v>7.55218797849776</v>
      </c>
      <c r="H100" s="13" t="n">
        <f aca="false">H97</f>
        <v>7.87261206235718</v>
      </c>
      <c r="I100" s="13" t="n">
        <f aca="false">I97</f>
        <v>8.1087904242279</v>
      </c>
    </row>
    <row r="101" customFormat="false" ht="15" hidden="false" customHeight="false" outlineLevel="0" collapsed="false">
      <c r="A101" s="5" t="s">
        <v>797</v>
      </c>
      <c r="B101" s="0" t="s">
        <v>202</v>
      </c>
      <c r="C101" s="13" t="n">
        <f aca="false">Seg!C64</f>
        <v>67.357</v>
      </c>
      <c r="D101" s="13" t="n">
        <f aca="false">Seg!D64</f>
        <v>83.4330796269886</v>
      </c>
      <c r="E101" s="13" t="n">
        <f aca="false">Seg!E64</f>
        <v>97.3146765011191</v>
      </c>
      <c r="F101" s="13" t="n">
        <f aca="false">Seg!F64</f>
        <v>112.502326435281</v>
      </c>
      <c r="G101" s="13" t="n">
        <f aca="false">Seg!G64</f>
        <v>128.017470654546</v>
      </c>
      <c r="H101" s="13" t="n">
        <f aca="false">Seg!H64</f>
        <v>140.279440673435</v>
      </c>
      <c r="I101" s="13" t="n">
        <f aca="false">Seg!I64</f>
        <v>148.633302272373</v>
      </c>
    </row>
    <row r="102" customFormat="false" ht="15" hidden="false" customHeight="false" outlineLevel="0" collapsed="false">
      <c r="A102" s="5" t="s">
        <v>798</v>
      </c>
      <c r="B102" s="0" t="s">
        <v>98</v>
      </c>
      <c r="D102" s="12" t="n">
        <f aca="false">D101/C101-1</f>
        <v>0.23866976894738</v>
      </c>
      <c r="E102" s="12" t="n">
        <f aca="false">E101/D101-1</f>
        <v>0.166380013013928</v>
      </c>
      <c r="F102" s="12" t="n">
        <f aca="false">F101/E101-1</f>
        <v>0.156067414291691</v>
      </c>
      <c r="G102" s="12" t="n">
        <f aca="false">G101/F101-1</f>
        <v>0.137909541170155</v>
      </c>
      <c r="H102" s="12" t="n">
        <f aca="false">H101/G101-1</f>
        <v>0.0957835673224459</v>
      </c>
      <c r="I102" s="12" t="n">
        <f aca="false">I101/H101-1</f>
        <v>0.05955157476273</v>
      </c>
    </row>
    <row r="103" customFormat="false" ht="17.15" hidden="false" customHeight="false" outlineLevel="0" collapsed="false">
      <c r="A103" s="5" t="s">
        <v>642</v>
      </c>
      <c r="B103" s="0" t="s">
        <v>202</v>
      </c>
      <c r="C103" s="13" t="n">
        <f aca="false">Q!L16</f>
        <v>34.468</v>
      </c>
      <c r="D103" s="13" t="n">
        <f aca="false">Q!I16+Thesis!D99+(m_sw+m_adj)*((D98-Q!I11)-Thesis!D89)</f>
        <v>31.9886274664759</v>
      </c>
      <c r="E103" s="13" t="n">
        <f aca="false">Thesis!F99+(m_sw+m_adj)*(E98-Thesis!F89)</f>
        <v>21.5763401125644</v>
      </c>
      <c r="F103" s="13" t="n">
        <f aca="false">Thesis!G99+(m_sw+m_adj)*(F98-Thesis!G89)</f>
        <v>20.8396409415977</v>
      </c>
      <c r="G103" s="13" t="n">
        <f aca="false">Thesis!H99+(m_sw+m_adj)*(G98-Thesis!H89)</f>
        <v>26.0250298389031</v>
      </c>
      <c r="H103" s="13" t="n">
        <f aca="false">Thesis!I99+(m_sw+m_adj)*(H98-Thesis!I89)</f>
        <v>32.4039039647855</v>
      </c>
      <c r="I103" s="13" t="n">
        <f aca="false">Thesis!J99+(m_sw+m_adj)*(I98-Thesis!J89)</f>
        <v>37.9088468576516</v>
      </c>
      <c r="J103" s="8" t="s">
        <v>807</v>
      </c>
    </row>
    <row r="104" customFormat="false" ht="17.15" hidden="false" customHeight="false" outlineLevel="0" collapsed="false">
      <c r="A104" s="5" t="s">
        <v>808</v>
      </c>
      <c r="B104" s="0" t="s">
        <v>202</v>
      </c>
      <c r="D104" s="13" t="n">
        <f aca="false">Thesis!E99</f>
        <v>-1.89858244075939</v>
      </c>
      <c r="E104" s="13" t="n">
        <f aca="false">Thesis!F99</f>
        <v>-14.5727350409311</v>
      </c>
      <c r="F104" s="13" t="n">
        <f aca="false">Thesis!G99</f>
        <v>-17.6439440479124</v>
      </c>
      <c r="G104" s="13" t="n">
        <f aca="false">Thesis!H99</f>
        <v>-14.7896923423493</v>
      </c>
      <c r="H104" s="13" t="n">
        <f aca="false">Thesis!I99</f>
        <v>-10.656700951259</v>
      </c>
      <c r="I104" s="13" t="n">
        <f aca="false">Thesis!J99</f>
        <v>-7.22902159046154</v>
      </c>
    </row>
    <row r="105" customFormat="false" ht="17.15" hidden="false" customHeight="false" outlineLevel="0" collapsed="false">
      <c r="A105" s="5" t="s">
        <v>645</v>
      </c>
      <c r="B105" s="0" t="s">
        <v>202</v>
      </c>
      <c r="C105" s="13" t="n">
        <f aca="false">Q!L17</f>
        <v>2.017</v>
      </c>
      <c r="D105" s="13" t="n">
        <f aca="false">Q!I17+m_hw*(D99-Q!I12)</f>
        <v>2.15760279023444</v>
      </c>
      <c r="E105" s="13" t="n">
        <f aca="false">m_hw*E99</f>
        <v>2.35392264511489</v>
      </c>
      <c r="F105" s="13" t="n">
        <f aca="false">m_hw*F99</f>
        <v>2.46735124563516</v>
      </c>
      <c r="G105" s="13" t="n">
        <f aca="false">m_hw*G99</f>
        <v>2.54661417280772</v>
      </c>
      <c r="H105" s="13" t="n">
        <f aca="false">m_hw*H99</f>
        <v>2.5875187854106</v>
      </c>
      <c r="I105" s="13" t="n">
        <f aca="false">m_hw*I99</f>
        <v>2.5875187854106</v>
      </c>
    </row>
    <row r="106" customFormat="false" ht="17.15" hidden="false" customHeight="false" outlineLevel="0" collapsed="false">
      <c r="A106" s="5" t="s">
        <v>647</v>
      </c>
      <c r="B106" s="0" t="s">
        <v>202</v>
      </c>
      <c r="C106" s="13" t="n">
        <f aca="false">Q!L18</f>
        <v>1.533</v>
      </c>
      <c r="D106" s="13" t="n">
        <f aca="false">Q!I18+m_svc*(D100-Q!I13)</f>
        <v>1.72597798461191</v>
      </c>
      <c r="E106" s="13" t="n">
        <f aca="false">m_svc*E100</f>
        <v>1.79061819642879</v>
      </c>
      <c r="F106" s="13" t="n">
        <f aca="false">m_svc*F100</f>
        <v>1.91109804610411</v>
      </c>
      <c r="G106" s="13" t="n">
        <f aca="false">m_svc*G100</f>
        <v>2.01593316577347</v>
      </c>
      <c r="H106" s="13" t="n">
        <f aca="false">m_svc*H100</f>
        <v>2.10146513870687</v>
      </c>
      <c r="I106" s="13" t="n">
        <f aca="false">m_svc*I100</f>
        <v>2.16450909286808</v>
      </c>
    </row>
    <row r="107" customFormat="false" ht="15" hidden="false" customHeight="false" outlineLevel="0" collapsed="false">
      <c r="A107" s="5" t="s">
        <v>648</v>
      </c>
      <c r="B107" s="0" t="s">
        <v>202</v>
      </c>
      <c r="C107" s="13" t="n">
        <f aca="false">C103+C105+C106</f>
        <v>38.018</v>
      </c>
      <c r="D107" s="13" t="n">
        <f aca="false">D103+D105+D106</f>
        <v>35.8722082413223</v>
      </c>
      <c r="E107" s="13" t="n">
        <f aca="false">E103+E105+E106</f>
        <v>25.7208809541081</v>
      </c>
      <c r="F107" s="13" t="n">
        <f aca="false">F103+F105+F106</f>
        <v>25.2180902333369</v>
      </c>
      <c r="G107" s="13" t="n">
        <f aca="false">G103+G105+G106</f>
        <v>30.5875771774843</v>
      </c>
      <c r="H107" s="13" t="n">
        <f aca="false">H103+H105+H106</f>
        <v>37.092887888903</v>
      </c>
      <c r="I107" s="13" t="n">
        <f aca="false">I103+I105+I106</f>
        <v>42.6608747359302</v>
      </c>
    </row>
    <row r="108" customFormat="false" ht="17.15" hidden="false" customHeight="false" outlineLevel="0" collapsed="false">
      <c r="A108" s="0" t="s">
        <v>809</v>
      </c>
      <c r="B108" s="0" t="s">
        <v>98</v>
      </c>
      <c r="C108" s="12" t="n">
        <f aca="false">C103/C98</f>
        <v>0.588894583974031</v>
      </c>
      <c r="D108" s="12" t="n">
        <f aca="false">D103/D98</f>
        <v>0.433225145619606</v>
      </c>
      <c r="E108" s="12" t="n">
        <f aca="false">E103/E98</f>
        <v>0.247982763395984</v>
      </c>
      <c r="F108" s="12" t="n">
        <f aca="false">F103/F98</f>
        <v>0.20517457699607</v>
      </c>
      <c r="G108" s="12" t="n">
        <f aca="false">G103/G98</f>
        <v>0.22325379417344</v>
      </c>
      <c r="H108" s="12" t="n">
        <f aca="false">H103/H98</f>
        <v>0.252267629203524</v>
      </c>
      <c r="I108" s="12" t="n">
        <f aca="false">I103/I98</f>
        <v>0.277581827721849</v>
      </c>
    </row>
    <row r="109" customFormat="false" ht="17.15" hidden="false" customHeight="false" outlineLevel="0" collapsed="false">
      <c r="A109" s="5" t="s">
        <v>810</v>
      </c>
      <c r="B109" s="0" t="s">
        <v>202</v>
      </c>
      <c r="C109" s="13" t="n">
        <f aca="false">Q!L20</f>
        <v>17.412</v>
      </c>
      <c r="D109" s="13" t="n">
        <f aca="false">Q!I20*(1+3*un_rr)</f>
        <v>16.586</v>
      </c>
      <c r="E109" s="13" t="n">
        <f aca="false">D109*(1+un_g)</f>
        <v>17.24944</v>
      </c>
      <c r="F109" s="13" t="n">
        <f aca="false">E109*(1+un_g)</f>
        <v>17.9394176</v>
      </c>
      <c r="G109" s="13" t="n">
        <f aca="false">F109*(1+un_g)</f>
        <v>18.656994304</v>
      </c>
      <c r="H109" s="13" t="n">
        <f aca="false">G109*(1+un_g)</f>
        <v>19.40327407616</v>
      </c>
      <c r="I109" s="13" t="n">
        <f aca="false">H109*(1+un_g)</f>
        <v>20.1794050392064</v>
      </c>
      <c r="J109" s="8" t="s">
        <v>811</v>
      </c>
    </row>
    <row r="110" customFormat="false" ht="17.15" hidden="false" customHeight="false" outlineLevel="0" collapsed="false">
      <c r="A110" s="5" t="s">
        <v>651</v>
      </c>
      <c r="B110" s="0" t="s">
        <v>202</v>
      </c>
      <c r="C110" s="13" t="n">
        <f aca="false">C107-C109</f>
        <v>20.606</v>
      </c>
      <c r="D110" s="13" t="n">
        <f aca="false">D107-D109</f>
        <v>19.2862082413222</v>
      </c>
      <c r="E110" s="13" t="n">
        <f aca="false">E107-E109</f>
        <v>8.47144095410805</v>
      </c>
      <c r="F110" s="13" t="n">
        <f aca="false">F107-F109</f>
        <v>7.27867263333693</v>
      </c>
      <c r="G110" s="13" t="n">
        <f aca="false">G107-G109</f>
        <v>11.9305828734843</v>
      </c>
      <c r="H110" s="13" t="n">
        <f aca="false">H107-H109</f>
        <v>17.6896138127429</v>
      </c>
      <c r="I110" s="13" t="n">
        <f aca="false">I107-I109</f>
        <v>22.4814696967238</v>
      </c>
    </row>
    <row r="111" customFormat="false" ht="15" hidden="false" customHeight="false" outlineLevel="0" collapsed="false">
      <c r="A111" s="5" t="s">
        <v>812</v>
      </c>
      <c r="B111" s="0" t="s">
        <v>98</v>
      </c>
      <c r="C111" s="12" t="n">
        <f aca="false">C110/C101</f>
        <v>0.305922175868878</v>
      </c>
      <c r="D111" s="12" t="n">
        <f aca="false">D110/D101</f>
        <v>0.231157813274384</v>
      </c>
      <c r="E111" s="12" t="n">
        <f aca="false">E110/E101</f>
        <v>0.0870520383840625</v>
      </c>
      <c r="F111" s="12" t="n">
        <f aca="false">F110/F101</f>
        <v>0.0646979743794375</v>
      </c>
      <c r="G111" s="12" t="n">
        <f aca="false">G110/G101</f>
        <v>0.0931949585668575</v>
      </c>
      <c r="H111" s="12" t="n">
        <f aca="false">H110/H101</f>
        <v>0.126102682815251</v>
      </c>
      <c r="I111" s="12" t="n">
        <f aca="false">I110/I101</f>
        <v>0.151254593371855</v>
      </c>
    </row>
    <row r="112" customFormat="false" ht="17.15" hidden="false" customHeight="false" outlineLevel="0" collapsed="false">
      <c r="A112" s="0" t="s">
        <v>813</v>
      </c>
      <c r="B112" s="0" t="s">
        <v>98</v>
      </c>
      <c r="D112" s="12" t="n">
        <f aca="false">Thesis!E100</f>
        <v>-0.0890604515967531</v>
      </c>
      <c r="E112" s="12" t="n">
        <f aca="false">Thesis!F100</f>
        <v>-0.470370348424881</v>
      </c>
      <c r="F112" s="12" t="n">
        <f aca="false">Thesis!G100</f>
        <v>-0.420834248577162</v>
      </c>
      <c r="G112" s="12" t="n">
        <f aca="false">Thesis!H100</f>
        <v>-0.277405271441539</v>
      </c>
      <c r="H112" s="12" t="n">
        <f aca="false">Thesis!I100</f>
        <v>-0.172682778764882</v>
      </c>
      <c r="I112" s="12" t="n">
        <f aca="false">Thesis!J100</f>
        <v>-0.108526265800072</v>
      </c>
    </row>
    <row r="113" customFormat="false" ht="17.15" hidden="false" customHeight="false" outlineLevel="0" collapsed="false">
      <c r="A113" s="5" t="s">
        <v>656</v>
      </c>
      <c r="B113" s="0" t="s">
        <v>202</v>
      </c>
      <c r="C113" s="13" t="n">
        <f aca="false">Q!L26</f>
        <v>4.599</v>
      </c>
      <c r="D113" s="13" t="n">
        <f aca="false">CF!D116</f>
        <v>5.712</v>
      </c>
      <c r="E113" s="13" t="n">
        <f aca="false">CF!E116</f>
        <v>5.712</v>
      </c>
      <c r="F113" s="13" t="n">
        <f aca="false">CF!F116</f>
        <v>5.712</v>
      </c>
      <c r="G113" s="13" t="n">
        <f aca="false">CF!G116</f>
        <v>5.712</v>
      </c>
      <c r="H113" s="13" t="n">
        <f aca="false">CF!H116</f>
        <v>5.712</v>
      </c>
      <c r="I113" s="13" t="n">
        <f aca="false">CF!I116</f>
        <v>5.712</v>
      </c>
      <c r="J113" s="8" t="s">
        <v>814</v>
      </c>
    </row>
    <row r="114" customFormat="false" ht="17.15" hidden="false" customHeight="false" outlineLevel="0" collapsed="false">
      <c r="A114" s="5" t="s">
        <v>815</v>
      </c>
      <c r="B114" s="0" t="s">
        <v>202</v>
      </c>
      <c r="D114" s="13" t="n">
        <f aca="false">CF!D117</f>
        <v>1.24187082405345</v>
      </c>
      <c r="E114" s="13" t="n">
        <f aca="false">CF!E117</f>
        <v>0.336550358822074</v>
      </c>
      <c r="F114" s="13" t="n">
        <f aca="false">CF!F117</f>
        <v>0.336550358822074</v>
      </c>
      <c r="G114" s="13" t="n">
        <f aca="false">CF!G117</f>
        <v>0.43556383479657</v>
      </c>
      <c r="H114" s="13" t="n">
        <f aca="false">CF!H117</f>
        <v>0.86704896662398</v>
      </c>
      <c r="I114" s="13" t="n">
        <f aca="false">CF!I117</f>
        <v>1.84446363061116</v>
      </c>
      <c r="J114" s="8" t="s">
        <v>816</v>
      </c>
    </row>
    <row r="115" customFormat="false" ht="17.15" hidden="false" customHeight="false" outlineLevel="0" collapsed="false">
      <c r="A115" s="5" t="s">
        <v>817</v>
      </c>
      <c r="B115" s="0" t="s">
        <v>202</v>
      </c>
      <c r="D115" s="13" t="n">
        <f aca="false">D110-D113+D114</f>
        <v>14.8160790653757</v>
      </c>
      <c r="E115" s="13" t="n">
        <f aca="false">E110-E113+E114</f>
        <v>3.09599131293012</v>
      </c>
      <c r="F115" s="13" t="n">
        <f aca="false">F110-F113+F114</f>
        <v>1.903222992159</v>
      </c>
      <c r="G115" s="13" t="n">
        <f aca="false">G110-G113+G114</f>
        <v>6.65414670828087</v>
      </c>
      <c r="H115" s="13" t="n">
        <f aca="false">H110-H113+H114</f>
        <v>12.8446627793669</v>
      </c>
      <c r="I115" s="13" t="n">
        <f aca="false">I110-I113+I114</f>
        <v>18.613933327335</v>
      </c>
      <c r="J115" s="5" t="s">
        <v>818</v>
      </c>
    </row>
    <row r="116" customFormat="false" ht="15" hidden="false" customHeight="false" outlineLevel="0" collapsed="false">
      <c r="A116" s="5" t="s">
        <v>819</v>
      </c>
      <c r="B116" s="0" t="s">
        <v>202</v>
      </c>
      <c r="D116" s="13" t="n">
        <f aca="false">D115*etr</f>
        <v>2.23722793887173</v>
      </c>
      <c r="E116" s="13" t="n">
        <f aca="false">E115*etr</f>
        <v>0.467494688252449</v>
      </c>
      <c r="F116" s="13" t="n">
        <f aca="false">F115*etr</f>
        <v>0.287386671816009</v>
      </c>
      <c r="G116" s="13" t="n">
        <f aca="false">G115*etr</f>
        <v>1.00477615295041</v>
      </c>
      <c r="H116" s="13" t="n">
        <f aca="false">H115*etr</f>
        <v>1.93954407968441</v>
      </c>
      <c r="I116" s="13" t="n">
        <f aca="false">I115*etr</f>
        <v>2.81070393242758</v>
      </c>
    </row>
    <row r="117" customFormat="false" ht="15" hidden="false" customHeight="false" outlineLevel="0" collapsed="false">
      <c r="A117" s="5" t="s">
        <v>820</v>
      </c>
      <c r="B117" s="0" t="s">
        <v>202</v>
      </c>
      <c r="C117" s="13" t="n">
        <f aca="false">Q!L27</f>
        <v>17.087</v>
      </c>
      <c r="D117" s="13" t="n">
        <f aca="false">D115-D116</f>
        <v>12.578851126504</v>
      </c>
      <c r="E117" s="13" t="n">
        <f aca="false">E115-E116</f>
        <v>2.62849662467768</v>
      </c>
      <c r="F117" s="13" t="n">
        <f aca="false">F115-F116</f>
        <v>1.61583632034299</v>
      </c>
      <c r="G117" s="13" t="n">
        <f aca="false">G115-G116</f>
        <v>5.64937055533046</v>
      </c>
      <c r="H117" s="13" t="n">
        <f aca="false">H115-H116</f>
        <v>10.9051186996825</v>
      </c>
      <c r="I117" s="13" t="n">
        <f aca="false">I115-I116</f>
        <v>15.8032293949074</v>
      </c>
    </row>
    <row r="118" customFormat="false" ht="17.15" hidden="false" customHeight="false" outlineLevel="0" collapsed="false">
      <c r="A118" s="5" t="s">
        <v>676</v>
      </c>
      <c r="B118" s="0" t="s">
        <v>202</v>
      </c>
      <c r="C118" s="13" t="n">
        <f aca="false">Q!L48</f>
        <v>0.103</v>
      </c>
      <c r="D118" s="13" t="n">
        <f aca="false">pref_q1+pref27</f>
        <v>0.325</v>
      </c>
      <c r="E118" s="13" t="n">
        <f aca="false">pref28</f>
        <v>0.325</v>
      </c>
      <c r="F118" s="13" t="n">
        <f aca="false">pref29</f>
        <v>0.244</v>
      </c>
      <c r="G118" s="13" t="n">
        <f aca="false">0</f>
        <v>0</v>
      </c>
      <c r="H118" s="13" t="n">
        <f aca="false">0</f>
        <v>0</v>
      </c>
      <c r="I118" s="13" t="n">
        <f aca="false">0</f>
        <v>0</v>
      </c>
      <c r="J118" s="8" t="s">
        <v>821</v>
      </c>
    </row>
    <row r="119" customFormat="false" ht="15" hidden="false" customHeight="false" outlineLevel="0" collapsed="false">
      <c r="A119" s="5" t="s">
        <v>822</v>
      </c>
      <c r="B119" s="0" t="s">
        <v>202</v>
      </c>
      <c r="C119" s="13" t="n">
        <f aca="false">C117-C118</f>
        <v>16.984</v>
      </c>
      <c r="D119" s="13" t="n">
        <f aca="false">D117-D118</f>
        <v>12.253851126504</v>
      </c>
      <c r="E119" s="13" t="n">
        <f aca="false">E117-E118</f>
        <v>2.30349662467768</v>
      </c>
      <c r="F119" s="13" t="n">
        <f aca="false">F117-F118</f>
        <v>1.37183632034299</v>
      </c>
      <c r="G119" s="13" t="n">
        <f aca="false">G117-G118</f>
        <v>5.64937055533046</v>
      </c>
      <c r="H119" s="13" t="n">
        <f aca="false">H117-H118</f>
        <v>10.9051186996825</v>
      </c>
      <c r="I119" s="13" t="n">
        <f aca="false">I117-I118</f>
        <v>15.8032293949074</v>
      </c>
    </row>
    <row r="120" customFormat="false" ht="15" hidden="false" customHeight="false" outlineLevel="0" collapsed="false">
      <c r="A120" s="5" t="s">
        <v>823</v>
      </c>
      <c r="B120" s="5" t="s">
        <v>34</v>
      </c>
      <c r="C120" s="13" t="n">
        <f aca="false">Q!L49</f>
        <v>2.914</v>
      </c>
      <c r="D120" s="13" t="n">
        <f aca="false">CF!D115</f>
        <v>3.04531543698413</v>
      </c>
      <c r="E120" s="13" t="n">
        <f aca="false">CF!E115</f>
        <v>3.07105707052513</v>
      </c>
      <c r="F120" s="13" t="n">
        <f aca="false">CF!F115</f>
        <v>3.09462797575923</v>
      </c>
      <c r="G120" s="13" t="n">
        <f aca="false">CF!G115</f>
        <v>3.11024697575923</v>
      </c>
      <c r="H120" s="13" t="n">
        <f aca="false">CF!H115</f>
        <v>3.11024697575923</v>
      </c>
      <c r="I120" s="13" t="n">
        <f aca="false">CF!I115</f>
        <v>3.11024697575923</v>
      </c>
    </row>
    <row r="121" customFormat="false" ht="17.15" hidden="false" customHeight="false" outlineLevel="0" collapsed="false">
      <c r="A121" s="0" t="s">
        <v>824</v>
      </c>
      <c r="B121" s="0" t="s">
        <v>28</v>
      </c>
      <c r="C121" s="24" t="n">
        <f aca="false">Q!L50</f>
        <v>5.83</v>
      </c>
      <c r="D121" s="24" t="n">
        <f aca="false">D119/D120</f>
        <v>4.02383640712087</v>
      </c>
      <c r="E121" s="24" t="n">
        <f aca="false">E119/E120</f>
        <v>0.750066368608317</v>
      </c>
      <c r="F121" s="24" t="n">
        <f aca="false">F119/F120</f>
        <v>0.443296037872349</v>
      </c>
      <c r="G121" s="24" t="n">
        <f aca="false">G119/G120</f>
        <v>1.81637361899578</v>
      </c>
      <c r="H121" s="24" t="n">
        <f aca="false">H119/H120</f>
        <v>3.50619059665528</v>
      </c>
      <c r="I121" s="24" t="n">
        <f aca="false">I119/I120</f>
        <v>5.0810207414637</v>
      </c>
    </row>
    <row r="122" customFormat="false" ht="17.15" hidden="false" customHeight="false" outlineLevel="0" collapsed="false">
      <c r="A122" s="0" t="s">
        <v>825</v>
      </c>
      <c r="B122" s="0" t="s">
        <v>98</v>
      </c>
      <c r="D122" s="12" t="n">
        <f aca="false">D121/C121-1</f>
        <v>-0.309805075965545</v>
      </c>
      <c r="E122" s="12" t="n">
        <f aca="false">E121/D121-1</f>
        <v>-0.813594218870095</v>
      </c>
      <c r="F122" s="12" t="n">
        <f aca="false">F121/E121-1</f>
        <v>-0.408990915437461</v>
      </c>
      <c r="G122" s="12" t="n">
        <f aca="false">G121/F121-1</f>
        <v>3.0974280476624</v>
      </c>
      <c r="H122" s="12" t="n">
        <f aca="false">H121/G121-1</f>
        <v>0.930324554368806</v>
      </c>
      <c r="I122" s="12" t="n">
        <f aca="false">I121/H121-1</f>
        <v>0.449157027091091</v>
      </c>
    </row>
    <row r="123" customFormat="false" ht="17.15" hidden="false" customHeight="false" outlineLevel="0" collapsed="false">
      <c r="A123" s="5" t="s">
        <v>654</v>
      </c>
      <c r="B123" s="0" t="s">
        <v>202</v>
      </c>
      <c r="C123" s="13" t="n">
        <f aca="false">Q!L24</f>
        <v>9.294</v>
      </c>
      <c r="D123" s="13" t="n">
        <f aca="false">Q!I24+Thesis!D97+nonai_dep_q*3+amort*0.75</f>
        <v>20.2279737778082</v>
      </c>
      <c r="E123" s="13" t="n">
        <f aca="false">Thesis!F97+nonai_dep_q*(E101-Thesis!F89)/(q1_rev-Thesis!C89)+amort</f>
        <v>34.9983057813231</v>
      </c>
      <c r="F123" s="13" t="n">
        <f aca="false">Thesis!G97+nonai_dep_q*(F101-Thesis!G89)/(q1_rev-Thesis!C89)+amort</f>
        <v>41.0331918361092</v>
      </c>
      <c r="G123" s="13" t="n">
        <f aca="false">Thesis!H97+nonai_dep_q*(G101-Thesis!H89)/(q1_rev-Thesis!C89)+amort</f>
        <v>45.3909220782098</v>
      </c>
      <c r="H123" s="13" t="n">
        <f aca="false">Thesis!I97+nonai_dep_q*(H101-Thesis!I89)/(q1_rev-Thesis!C89)+amort</f>
        <v>48.350101180804</v>
      </c>
      <c r="I123" s="13" t="n">
        <f aca="false">Thesis!J97+nonai_dep_q*(I101-Thesis!J89)/(q1_rev-Thesis!C89)+amort</f>
        <v>49.3440140721546</v>
      </c>
      <c r="J123" s="8" t="s">
        <v>826</v>
      </c>
    </row>
    <row r="124" customFormat="false" ht="17.15" hidden="false" customHeight="false" outlineLevel="0" collapsed="false">
      <c r="A124" s="5" t="s">
        <v>655</v>
      </c>
      <c r="B124" s="0" t="s">
        <v>202</v>
      </c>
      <c r="C124" s="13" t="n">
        <f aca="false">Q!L25</f>
        <v>4.811</v>
      </c>
      <c r="D124" s="13" t="n">
        <f aca="false">sbc_q1*(1+3*un_rr)</f>
        <v>5.2998077686419</v>
      </c>
      <c r="E124" s="13" t="n">
        <f aca="false">D124*(1+un_g)</f>
        <v>5.51180007938758</v>
      </c>
      <c r="F124" s="13" t="n">
        <f aca="false">E124*(1+un_g)</f>
        <v>5.73227208256308</v>
      </c>
      <c r="G124" s="13" t="n">
        <f aca="false">F124*(1+un_g)</f>
        <v>5.96156296586561</v>
      </c>
      <c r="H124" s="13" t="n">
        <f aca="false">G124*(1+un_g)</f>
        <v>6.20002548450023</v>
      </c>
      <c r="I124" s="13" t="n">
        <f aca="false">H124*(1+un_g)</f>
        <v>6.44802650388024</v>
      </c>
    </row>
    <row r="125" customFormat="false" ht="17.15" hidden="false" customHeight="false" outlineLevel="0" collapsed="false">
      <c r="A125" s="0" t="s">
        <v>827</v>
      </c>
      <c r="B125" s="0" t="s">
        <v>202</v>
      </c>
      <c r="C125" s="13" t="n">
        <f aca="false">C110+C123</f>
        <v>29.9</v>
      </c>
      <c r="D125" s="13" t="n">
        <f aca="false">D110+D123</f>
        <v>39.5141820191304</v>
      </c>
      <c r="E125" s="13" t="n">
        <f aca="false">E110+E123</f>
        <v>43.4697467354311</v>
      </c>
      <c r="F125" s="13" t="n">
        <f aca="false">F110+F123</f>
        <v>48.3118644694462</v>
      </c>
      <c r="G125" s="13" t="n">
        <f aca="false">G110+G123</f>
        <v>57.3215049516941</v>
      </c>
      <c r="H125" s="13" t="n">
        <f aca="false">H110+H123</f>
        <v>66.0397149935469</v>
      </c>
      <c r="I125" s="13" t="n">
        <f aca="false">I110+I123</f>
        <v>71.8254837688784</v>
      </c>
    </row>
    <row r="126" customFormat="false" ht="17.15" hidden="false" customHeight="false" outlineLevel="0" collapsed="false">
      <c r="A126" s="5" t="s">
        <v>828</v>
      </c>
      <c r="B126" s="0" t="s">
        <v>202</v>
      </c>
      <c r="C126" s="13" t="n">
        <f aca="false">C125+C124</f>
        <v>34.711</v>
      </c>
      <c r="D126" s="13" t="n">
        <f aca="false">D125+D124</f>
        <v>44.8139897877723</v>
      </c>
      <c r="E126" s="13" t="n">
        <f aca="false">E125+E124</f>
        <v>48.9815468148187</v>
      </c>
      <c r="F126" s="13" t="n">
        <f aca="false">F125+F124</f>
        <v>54.0441365520092</v>
      </c>
      <c r="G126" s="13" t="n">
        <f aca="false">G125+G124</f>
        <v>63.2830679175597</v>
      </c>
      <c r="H126" s="13" t="n">
        <f aca="false">H125+H124</f>
        <v>72.2397404780471</v>
      </c>
      <c r="I126" s="13" t="n">
        <f aca="false">I125+I124</f>
        <v>78.2735102727587</v>
      </c>
    </row>
    <row r="127" customFormat="false" ht="17.15" hidden="false" customHeight="false" outlineLevel="0" collapsed="false">
      <c r="A127" s="5" t="s">
        <v>829</v>
      </c>
      <c r="B127" s="0" t="s">
        <v>202</v>
      </c>
      <c r="C127" s="11" t="n">
        <f aca="false">C110-Q!L21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830</v>
      </c>
    </row>
    <row r="2" customFormat="false" ht="17.15" hidden="false" customHeight="false" outlineLevel="0" collapsed="false">
      <c r="A2" s="0" t="s">
        <v>831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6" t="s">
        <v>762</v>
      </c>
      <c r="D3" s="6" t="s">
        <v>763</v>
      </c>
      <c r="E3" s="6" t="s">
        <v>764</v>
      </c>
      <c r="F3" s="6" t="s">
        <v>598</v>
      </c>
    </row>
    <row r="4" customFormat="false" ht="17.15" hidden="false" customHeight="false" outlineLevel="0" collapsed="false">
      <c r="A4" s="5" t="s">
        <v>832</v>
      </c>
      <c r="B4" s="0" t="s">
        <v>202</v>
      </c>
      <c r="C4" s="27" t="n">
        <f aca="false">SUM(D26:H26)</f>
        <v>111.063429974721</v>
      </c>
      <c r="D4" s="27" t="n">
        <f aca="false">SUM(D61:H61)</f>
        <v>72.7635612856036</v>
      </c>
      <c r="E4" s="27" t="n">
        <f aca="false">SUM(D96:H96)</f>
        <v>8.35347765600448</v>
      </c>
      <c r="F4" s="8" t="s">
        <v>833</v>
      </c>
    </row>
    <row r="5" customFormat="false" ht="15" hidden="false" customHeight="false" outlineLevel="0" collapsed="false">
      <c r="A5" s="5" t="s">
        <v>834</v>
      </c>
      <c r="B5" s="0" t="s">
        <v>202</v>
      </c>
      <c r="C5" s="27" t="n">
        <f aca="false">SUM(D34:H34)</f>
        <v>4.87235981174616</v>
      </c>
      <c r="D5" s="27" t="n">
        <f aca="false">SUM(D69:H69)</f>
        <v>18.6158449235044</v>
      </c>
      <c r="E5" s="27" t="n">
        <f aca="false">SUM(D104:H104)</f>
        <v>0</v>
      </c>
    </row>
    <row r="6" customFormat="false" ht="15" hidden="false" customHeight="false" outlineLevel="0" collapsed="false">
      <c r="A6" s="5" t="s">
        <v>835</v>
      </c>
      <c r="B6" s="0" t="s">
        <v>202</v>
      </c>
      <c r="C6" s="27" t="n">
        <f aca="false">SUM(D35:H35)</f>
        <v>0</v>
      </c>
      <c r="D6" s="27" t="n">
        <f aca="false">SUM(D70:H70)</f>
        <v>0</v>
      </c>
      <c r="E6" s="27" t="n">
        <f aca="false">SUM(D105:H105)</f>
        <v>2.41350419178739</v>
      </c>
    </row>
    <row r="7" customFormat="false" ht="15" hidden="false" customHeight="false" outlineLevel="0" collapsed="false">
      <c r="A7" s="5" t="s">
        <v>836</v>
      </c>
      <c r="B7" s="0" t="s">
        <v>202</v>
      </c>
      <c r="C7" s="27" t="n">
        <f aca="false">SUM(D36:H36)</f>
        <v>0</v>
      </c>
      <c r="D7" s="27" t="n">
        <f aca="false">SUM(D71:H71)</f>
        <v>0</v>
      </c>
      <c r="E7" s="27" t="n">
        <f aca="false">SUM(D106:H106)</f>
        <v>0</v>
      </c>
    </row>
    <row r="8" customFormat="false" ht="17.15" hidden="false" customHeight="false" outlineLevel="0" collapsed="false">
      <c r="A8" s="5" t="s">
        <v>837</v>
      </c>
      <c r="B8" s="0" t="s">
        <v>92</v>
      </c>
      <c r="C8" s="24" t="n">
        <f aca="false">MAX(D41:H41)</f>
        <v>4.01952562708642</v>
      </c>
      <c r="D8" s="24" t="n">
        <f aca="false">MAX(D76:H76)</f>
        <v>4.43368277573848</v>
      </c>
      <c r="E8" s="24" t="n">
        <f aca="false">MAX(D111:H111)</f>
        <v>5.19989723598621</v>
      </c>
    </row>
    <row r="9" customFormat="false" ht="15" hidden="false" customHeight="false" outlineLevel="0" collapsed="false">
      <c r="A9" s="5" t="s">
        <v>838</v>
      </c>
      <c r="B9" s="0" t="s">
        <v>116</v>
      </c>
      <c r="C9" s="27" t="str">
        <f aca="false">IF(C6+C7&gt;eq_tol,"需要","不需要")</f>
        <v>不需要</v>
      </c>
      <c r="D9" s="27" t="str">
        <f aca="false">IF(D6+D7&gt;eq_tol,"需要","不需要")</f>
        <v>不需要</v>
      </c>
      <c r="E9" s="27" t="str">
        <f aca="false">IF(E6+E7&gt;eq_tol,"需要","不需要")</f>
        <v>需要</v>
      </c>
    </row>
    <row r="10" customFormat="false" ht="15" hidden="false" customHeight="false" outlineLevel="0" collapsed="false">
      <c r="A10" s="5" t="s">
        <v>839</v>
      </c>
      <c r="B10" s="0" t="s">
        <v>202</v>
      </c>
      <c r="C10" s="27" t="n">
        <f aca="false">SUM(D24:H24)</f>
        <v>142.291873974721</v>
      </c>
      <c r="D10" s="27" t="n">
        <f aca="false">SUM(D59:H59)</f>
        <v>103.992005285604</v>
      </c>
      <c r="E10" s="27" t="n">
        <f aca="false">SUM(D94:H94)</f>
        <v>39.7202978411419</v>
      </c>
    </row>
    <row r="11" customFormat="false" ht="17.15" hidden="false" customHeight="false" outlineLevel="0" collapsed="false">
      <c r="A11" s="5" t="s">
        <v>840</v>
      </c>
      <c r="B11" s="0" t="s">
        <v>202</v>
      </c>
      <c r="C11" s="27" t="n">
        <f aca="false">C4-(D26+E26+F26+G26+H26)</f>
        <v>0</v>
      </c>
      <c r="D11" s="27" t="n">
        <f aca="false">D4-(D61+E61+F61+G61+H61)</f>
        <v>0</v>
      </c>
      <c r="E11" s="27" t="n">
        <f aca="false">E4-(D96+E96+F96+G96+H96)</f>
        <v>0</v>
      </c>
    </row>
    <row r="13" customFormat="false" ht="15" hidden="false" customHeight="false" outlineLevel="0" collapsed="false">
      <c r="A13" s="6" t="s">
        <v>17</v>
      </c>
      <c r="B13" s="6" t="s">
        <v>18</v>
      </c>
      <c r="C13" s="21" t="s">
        <v>779</v>
      </c>
      <c r="D13" s="21" t="s">
        <v>686</v>
      </c>
      <c r="E13" s="21" t="s">
        <v>687</v>
      </c>
      <c r="F13" s="21" t="s">
        <v>688</v>
      </c>
      <c r="G13" s="21" t="s">
        <v>689</v>
      </c>
      <c r="H13" s="21" t="s">
        <v>690</v>
      </c>
      <c r="I13" s="21" t="s">
        <v>691</v>
      </c>
      <c r="J13" s="6" t="s">
        <v>598</v>
      </c>
    </row>
    <row r="14" customFormat="false" ht="17.15" hidden="false" customHeight="false" outlineLevel="0" collapsed="false">
      <c r="A14" s="3" t="s">
        <v>692</v>
      </c>
    </row>
    <row r="15" customFormat="false" ht="15" hidden="false" customHeight="false" outlineLevel="0" collapsed="false">
      <c r="A15" s="5" t="s">
        <v>820</v>
      </c>
      <c r="B15" s="0" t="s">
        <v>202</v>
      </c>
      <c r="C15" s="13" t="n">
        <f aca="false">PL!C37</f>
        <v>17.087</v>
      </c>
      <c r="D15" s="13" t="n">
        <f aca="false">PL!D37</f>
        <v>19.4350662875347</v>
      </c>
      <c r="E15" s="13" t="n">
        <f aca="false">PL!E37</f>
        <v>23.6705396272395</v>
      </c>
      <c r="F15" s="13" t="n">
        <f aca="false">PL!F37</f>
        <v>27.1213403299646</v>
      </c>
      <c r="G15" s="13" t="n">
        <f aca="false">PL!G37</f>
        <v>29.386360002263</v>
      </c>
      <c r="H15" s="13" t="n">
        <f aca="false">PL!H37</f>
        <v>32.1626408861936</v>
      </c>
      <c r="I15" s="13" t="n">
        <f aca="false">PL!I37</f>
        <v>37.0595081000565</v>
      </c>
    </row>
    <row r="16" customFormat="false" ht="15" hidden="false" customHeight="false" outlineLevel="0" collapsed="false">
      <c r="A16" s="5" t="s">
        <v>841</v>
      </c>
      <c r="B16" s="0" t="s">
        <v>202</v>
      </c>
      <c r="C16" s="13" t="n">
        <f aca="false">PL!C43</f>
        <v>9.294</v>
      </c>
      <c r="D16" s="13" t="n">
        <f aca="false">PL!D43</f>
        <v>20.2279737778082</v>
      </c>
      <c r="E16" s="13" t="n">
        <f aca="false">PL!E43</f>
        <v>38.7548436479898</v>
      </c>
      <c r="F16" s="13" t="n">
        <f aca="false">PL!F43</f>
        <v>46.6432263747759</v>
      </c>
      <c r="G16" s="13" t="n">
        <f aca="false">PL!G43</f>
        <v>47.7851155835554</v>
      </c>
      <c r="H16" s="13" t="n">
        <f aca="false">PL!H43</f>
        <v>49.452531547171</v>
      </c>
      <c r="I16" s="13" t="n">
        <f aca="false">PL!I43</f>
        <v>50.7356178329132</v>
      </c>
    </row>
    <row r="17" customFormat="false" ht="17.15" hidden="false" customHeight="false" outlineLevel="0" collapsed="false">
      <c r="A17" s="0" t="s">
        <v>842</v>
      </c>
      <c r="B17" s="0" t="s">
        <v>202</v>
      </c>
      <c r="C17" s="13" t="n">
        <f aca="false">PL!C44</f>
        <v>4.811</v>
      </c>
      <c r="D17" s="13" t="n">
        <f aca="false">PL!D44</f>
        <v>5.2998077686419</v>
      </c>
      <c r="E17" s="13" t="n">
        <f aca="false">PL!E44</f>
        <v>5.51180007938758</v>
      </c>
      <c r="F17" s="13" t="n">
        <f aca="false">PL!F44</f>
        <v>5.73227208256308</v>
      </c>
      <c r="G17" s="13" t="n">
        <f aca="false">PL!G44</f>
        <v>5.96156296586561</v>
      </c>
      <c r="H17" s="13" t="n">
        <f aca="false">PL!H44</f>
        <v>6.20002548450023</v>
      </c>
      <c r="I17" s="13" t="n">
        <f aca="false">PL!I44</f>
        <v>6.44802650388024</v>
      </c>
    </row>
    <row r="18" customFormat="false" ht="17.15" hidden="false" customHeight="false" outlineLevel="0" collapsed="false">
      <c r="A18" s="5" t="s">
        <v>843</v>
      </c>
      <c r="B18" s="0" t="s">
        <v>202</v>
      </c>
      <c r="D18" s="13" t="n">
        <f aca="false">prepay_cov*Thesis!D25</f>
        <v>14.6260680481182</v>
      </c>
      <c r="E18" s="13" t="n">
        <f aca="false">prepay_cov*Thesis!F25</f>
        <v>19.6651065492</v>
      </c>
      <c r="F18" s="13" t="n">
        <f aca="false">prepay_cov*Thesis!G25</f>
        <v>2.6686748617596</v>
      </c>
      <c r="G18" s="13" t="n">
        <f aca="false">prepay_cov*Thesis!H25</f>
        <v>3.4106065785062</v>
      </c>
      <c r="H18" s="13" t="n">
        <f aca="false">prepay_cov*Thesis!I25</f>
        <v>4.24257833501061</v>
      </c>
      <c r="I18" s="13" t="n">
        <f aca="false">prepay_cov*Thesis!J25</f>
        <v>15.2784326162828</v>
      </c>
      <c r="J18" s="8" t="s">
        <v>844</v>
      </c>
    </row>
    <row r="19" customFormat="false" ht="17.15" hidden="false" customHeight="false" outlineLevel="0" collapsed="false">
      <c r="A19" s="5" t="s">
        <v>845</v>
      </c>
      <c r="B19" s="0" t="s">
        <v>202</v>
      </c>
      <c r="D19" s="13" t="n">
        <f aca="false">prepay_open/prepay_yrs*MAX(0,MIN(D27,prepay_yrs)-MIN(0,prepay_yrs))</f>
        <v>2.39325</v>
      </c>
      <c r="E19" s="13" t="n">
        <f aca="false">prepay_open/prepay_yrs*MAX(0,MIN(D27+E27,prepay_yrs)-MIN(D27,prepay_yrs))+D18/prepay_yrs*MAX(0,MIN(1,prepay_yrs)-MIN(0,prepay_yrs))</f>
        <v>6.11621360962364</v>
      </c>
      <c r="F19" s="13" t="n">
        <f aca="false">prepay_open/prepay_yrs*MAX(0,MIN(D27+E27+F27,prepay_yrs)-MIN(D27+E27,prepay_yrs))+D18/prepay_yrs*MAX(0,MIN(2,prepay_yrs)-MIN(1,prepay_yrs))+E18/prepay_yrs*MAX(0,MIN(1,prepay_yrs)-MIN(0,prepay_yrs))</f>
        <v>10.0492349194636</v>
      </c>
      <c r="G19" s="13" t="n">
        <f aca="false">prepay_open/prepay_yrs*MAX(0,MIN(D27+E27+F27+G27,prepay_yrs)-MIN(D27+E27+F27,prepay_yrs))+D18/prepay_yrs*MAX(0,MIN(3,prepay_yrs)-MIN(2,prepay_yrs))+E18/prepay_yrs*MAX(0,MIN(2,prepay_yrs)-MIN(1,prepay_yrs))+F18/prepay_yrs*MAX(0,MIN(1,prepay_yrs)-MIN(0,prepay_yrs))</f>
        <v>10.5829698918156</v>
      </c>
      <c r="H19" s="13" t="n">
        <f aca="false">prepay_open/prepay_yrs*MAX(0,MIN(D27+E27+F27+G27+H27,prepay_yrs)-MIN(D27+E27+F27+G27,prepay_yrs))+D18/prepay_yrs*MAX(0,MIN(4,prepay_yrs)-MIN(3,prepay_yrs))+E18/prepay_yrs*MAX(0,MIN(3,prepay_yrs)-MIN(2,prepay_yrs))+F18/prepay_yrs*MAX(0,MIN(2,prepay_yrs)-MIN(1,prepay_yrs))+G18/prepay_yrs*MAX(0,MIN(1,prepay_yrs)-MIN(0,prepay_yrs))</f>
        <v>11.2650912075168</v>
      </c>
      <c r="I19" s="13" t="n">
        <f aca="false">prepay_open/prepay_yrs*MAX(0,MIN(D27+E27+F27+G27+H27+I27,prepay_yrs)-MIN(D27+E27+F27+G27+H27,prepay_yrs))+D18/prepay_yrs*MAX(0,MIN(5,prepay_yrs)-MIN(4,prepay_yrs))+E18/prepay_yrs*MAX(0,MIN(4,prepay_yrs)-MIN(3,prepay_yrs))+F18/prepay_yrs*MAX(0,MIN(3,prepay_yrs)-MIN(2,prepay_yrs))+G18/prepay_yrs*MAX(0,MIN(2,prepay_yrs)-MIN(1,prepay_yrs))+H18/prepay_yrs*MAX(0,MIN(1,prepay_yrs)-MIN(0,prepay_yrs))</f>
        <v>9.72035687451892</v>
      </c>
      <c r="J19" s="5" t="s">
        <v>846</v>
      </c>
    </row>
    <row r="20" customFormat="false" ht="17.15" hidden="false" customHeight="false" outlineLevel="0" collapsed="false">
      <c r="A20" s="5" t="s">
        <v>658</v>
      </c>
      <c r="B20" s="0" t="s">
        <v>202</v>
      </c>
      <c r="C20" s="13" t="n">
        <f aca="false">Q!L28</f>
        <v>31.977</v>
      </c>
      <c r="D20" s="13" t="n">
        <f aca="false">cfo_q1+(D15-Q!I27)+(D16-Q!I24)+(D17-sbc_q1)+D18-D19</f>
        <v>71.053665882103</v>
      </c>
      <c r="E20" s="13" t="n">
        <f aca="false">E15+E16+E17+E18-E19</f>
        <v>81.4860762941932</v>
      </c>
      <c r="F20" s="13" t="n">
        <f aca="false">F15+F16+F17+F18-F19</f>
        <v>72.1162787295996</v>
      </c>
      <c r="G20" s="13" t="n">
        <f aca="false">G15+G16+G17+G18-G19</f>
        <v>75.9606752383746</v>
      </c>
      <c r="H20" s="13" t="n">
        <f aca="false">H15+H16+H17+H18-H19</f>
        <v>80.7926850453587</v>
      </c>
      <c r="I20" s="13" t="n">
        <f aca="false">I15+I16+I17+I18-I19</f>
        <v>99.8012281786138</v>
      </c>
      <c r="J20" s="8" t="s">
        <v>847</v>
      </c>
    </row>
    <row r="21" customFormat="false" ht="17.15" hidden="false" customHeight="false" outlineLevel="0" collapsed="false">
      <c r="A21" s="5" t="s">
        <v>848</v>
      </c>
      <c r="B21" s="0" t="s">
        <v>202</v>
      </c>
      <c r="D21" s="13" t="n">
        <f aca="false">Thesis!E25</f>
        <v>87.5307862044304</v>
      </c>
      <c r="E21" s="13" t="n">
        <f aca="false">Thesis!F25</f>
        <v>80.9263644</v>
      </c>
      <c r="F21" s="13" t="n">
        <f aca="false">Thesis!G25</f>
        <v>10.9822010772</v>
      </c>
      <c r="G21" s="13" t="n">
        <f aca="false">Thesis!H25</f>
        <v>14.035418018544</v>
      </c>
      <c r="H21" s="13" t="n">
        <f aca="false">Thesis!I25</f>
        <v>17.4591701029243</v>
      </c>
      <c r="I21" s="13" t="n">
        <f aca="false">Thesis!J25</f>
        <v>62.8742082974601</v>
      </c>
    </row>
    <row r="22" customFormat="false" ht="17.15" hidden="false" customHeight="false" outlineLevel="0" collapsed="false">
      <c r="A22" s="5" t="s">
        <v>849</v>
      </c>
      <c r="B22" s="0" t="s">
        <v>202</v>
      </c>
      <c r="D22" s="13" t="n">
        <f aca="false">capex_g27-D21</f>
        <v>4.96921379556963</v>
      </c>
      <c r="E22" s="13" t="n">
        <f aca="false">nonai_cx*(PL!E21-Thesis!F19)</f>
        <v>5.3066615880423</v>
      </c>
      <c r="F22" s="13" t="n">
        <f aca="false">nonai_cx*(PL!F21-Thesis!G19)</f>
        <v>5.64609711516213</v>
      </c>
      <c r="G22" s="13" t="n">
        <f aca="false">nonai_cx*(PL!G21-Thesis!H19)</f>
        <v>5.97624659290628</v>
      </c>
      <c r="H22" s="13" t="n">
        <f aca="false">nonai_cx*(PL!H21-Thesis!I19)</f>
        <v>6.28534832012898</v>
      </c>
      <c r="I22" s="13" t="n">
        <f aca="false">nonai_cx*(PL!I21-Thesis!J19)</f>
        <v>6.56180003103841</v>
      </c>
    </row>
    <row r="23" customFormat="false" ht="17.15" hidden="false" customHeight="false" outlineLevel="0" collapsed="false">
      <c r="A23" s="5" t="s">
        <v>850</v>
      </c>
      <c r="B23" s="0" t="s">
        <v>202</v>
      </c>
      <c r="C23" s="13" t="n">
        <f aca="false">Q!L29</f>
        <v>55.663</v>
      </c>
      <c r="D23" s="13" t="n">
        <f aca="false">D21+D22</f>
        <v>92.5</v>
      </c>
      <c r="E23" s="13" t="n">
        <f aca="false">E21+E22</f>
        <v>86.2330259880423</v>
      </c>
      <c r="F23" s="13" t="n">
        <f aca="false">F21+F22</f>
        <v>16.6282981923621</v>
      </c>
      <c r="G23" s="13" t="n">
        <f aca="false">G21+G22</f>
        <v>20.0116646114503</v>
      </c>
      <c r="H23" s="13" t="n">
        <f aca="false">H21+H22</f>
        <v>23.7445184230533</v>
      </c>
      <c r="I23" s="13" t="n">
        <f aca="false">I21+I22</f>
        <v>69.4360083284985</v>
      </c>
      <c r="J23" s="8" t="s">
        <v>851</v>
      </c>
    </row>
    <row r="24" customFormat="false" ht="15" hidden="false" customHeight="false" outlineLevel="0" collapsed="false">
      <c r="A24" s="5" t="s">
        <v>852</v>
      </c>
      <c r="B24" s="0" t="s">
        <v>202</v>
      </c>
      <c r="C24" s="13" t="n">
        <f aca="false">C20-C23</f>
        <v>-23.686</v>
      </c>
      <c r="D24" s="13" t="n">
        <f aca="false">D20-D23</f>
        <v>-21.446334117897</v>
      </c>
      <c r="E24" s="13" t="n">
        <f aca="false">E20-E23</f>
        <v>-4.74694969384916</v>
      </c>
      <c r="F24" s="13" t="n">
        <f aca="false">F20-F23</f>
        <v>55.4879805372374</v>
      </c>
      <c r="G24" s="13" t="n">
        <f aca="false">G20-G23</f>
        <v>55.9490106269243</v>
      </c>
      <c r="H24" s="13" t="n">
        <f aca="false">H20-H23</f>
        <v>57.0481666223054</v>
      </c>
      <c r="I24" s="13" t="n">
        <f aca="false">I20-I23</f>
        <v>30.3652198501153</v>
      </c>
    </row>
    <row r="25" customFormat="false" ht="15" hidden="false" customHeight="false" outlineLevel="0" collapsed="false">
      <c r="A25" s="5" t="s">
        <v>853</v>
      </c>
      <c r="B25" s="0" t="s">
        <v>202</v>
      </c>
      <c r="C25" s="13" t="n">
        <f aca="false">Q!L31</f>
        <v>5.787</v>
      </c>
      <c r="D25" s="13" t="n">
        <f aca="false">div_q1+dps_q*3*D42+pref27</f>
        <v>6.344604</v>
      </c>
      <c r="E25" s="13" t="n">
        <f aca="false">dps_q*4*E42+PL!E38</f>
        <v>6.372472</v>
      </c>
      <c r="F25" s="13" t="n">
        <f aca="false">dps_q*4*F42+PL!F38</f>
        <v>6.291472</v>
      </c>
      <c r="G25" s="13" t="n">
        <f aca="false">dps_q*4*G42+PL!G38</f>
        <v>6.109948</v>
      </c>
      <c r="H25" s="13" t="n">
        <f aca="false">dps_q*4*H42+PL!H38</f>
        <v>6.109948</v>
      </c>
      <c r="I25" s="13" t="n">
        <f aca="false">dps_q*4*I42+PL!I38</f>
        <v>6.109948</v>
      </c>
    </row>
    <row r="26" customFormat="false" ht="15" hidden="false" customHeight="false" outlineLevel="0" collapsed="false">
      <c r="A26" s="5" t="s">
        <v>854</v>
      </c>
      <c r="B26" s="0" t="s">
        <v>202</v>
      </c>
      <c r="C26" s="13" t="n">
        <f aca="false">C24-C25</f>
        <v>-29.473</v>
      </c>
      <c r="D26" s="13" t="n">
        <f aca="false">D24-D25</f>
        <v>-27.790938117897</v>
      </c>
      <c r="E26" s="13" t="n">
        <f aca="false">E24-E25</f>
        <v>-11.1194216938492</v>
      </c>
      <c r="F26" s="13" t="n">
        <f aca="false">F24-F25</f>
        <v>49.1965085372374</v>
      </c>
      <c r="G26" s="13" t="n">
        <f aca="false">G24-G25</f>
        <v>49.8390626269243</v>
      </c>
      <c r="H26" s="13" t="n">
        <f aca="false">H24-H25</f>
        <v>50.9382186223054</v>
      </c>
      <c r="I26" s="13" t="n">
        <f aca="false">I24-I25</f>
        <v>24.2552718501153</v>
      </c>
    </row>
    <row r="27" customFormat="false" ht="17.15" hidden="false" customHeight="false" outlineLevel="0" collapsed="false">
      <c r="A27" s="5" t="s">
        <v>855</v>
      </c>
      <c r="B27" s="5" t="s">
        <v>163</v>
      </c>
      <c r="D27" s="0" t="n">
        <v>0.75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</row>
    <row r="28" customFormat="false" ht="17.15" hidden="false" customHeight="false" outlineLevel="0" collapsed="false">
      <c r="A28" s="5" t="s">
        <v>856</v>
      </c>
      <c r="B28" s="0" t="s">
        <v>202</v>
      </c>
      <c r="D28" s="13" t="n">
        <f aca="false">cash_q1</f>
        <v>37.077</v>
      </c>
      <c r="E28" s="13" t="n">
        <f aca="false">D37</f>
        <v>16.247061882103</v>
      </c>
      <c r="F28" s="13" t="n">
        <f aca="false">E37</f>
        <v>10</v>
      </c>
      <c r="G28" s="13" t="n">
        <f aca="false">F37</f>
        <v>59.1965085372374</v>
      </c>
      <c r="H28" s="13" t="n">
        <f aca="false">G37</f>
        <v>109.035571164162</v>
      </c>
      <c r="I28" s="13" t="n">
        <f aca="false">H37</f>
        <v>159.973789786467</v>
      </c>
    </row>
    <row r="29" customFormat="false" ht="17.15" hidden="false" customHeight="false" outlineLevel="0" collapsed="false">
      <c r="A29" s="5" t="s">
        <v>857</v>
      </c>
      <c r="B29" s="0" t="s">
        <v>202</v>
      </c>
      <c r="D29" s="13" t="n">
        <f aca="false">D26-(cfo_q1-capex_q1-div_q1)</f>
        <v>-20.829938117897</v>
      </c>
      <c r="E29" s="13" t="n">
        <f aca="false">E26</f>
        <v>-11.1194216938492</v>
      </c>
      <c r="F29" s="13" t="n">
        <f aca="false">F26</f>
        <v>49.1965085372374</v>
      </c>
      <c r="G29" s="13" t="n">
        <f aca="false">G26</f>
        <v>49.8390626269243</v>
      </c>
      <c r="H29" s="13" t="n">
        <f aca="false">H26</f>
        <v>50.9382186223054</v>
      </c>
      <c r="I29" s="13" t="n">
        <f aca="false">I26</f>
        <v>24.2552718501153</v>
      </c>
    </row>
    <row r="30" customFormat="false" ht="15" hidden="false" customHeight="false" outlineLevel="0" collapsed="false">
      <c r="A30" s="5" t="s">
        <v>858</v>
      </c>
      <c r="B30" s="0" t="s">
        <v>202</v>
      </c>
      <c r="D30" s="13" t="n">
        <f aca="false">MAX(0,-(D29+D28-min_cash))</f>
        <v>0</v>
      </c>
      <c r="E30" s="13" t="n">
        <f aca="false">MAX(0,-(E29+E28-min_cash))</f>
        <v>4.87235981174616</v>
      </c>
      <c r="F30" s="13" t="n">
        <f aca="false">MAX(0,-(F29+F28-min_cash))</f>
        <v>0</v>
      </c>
      <c r="G30" s="13" t="n">
        <f aca="false">MAX(0,-(G29+G28-min_cash))</f>
        <v>0</v>
      </c>
      <c r="H30" s="13" t="n">
        <f aca="false">MAX(0,-(H29+H28-min_cash))</f>
        <v>0</v>
      </c>
      <c r="I30" s="13" t="n">
        <f aca="false">MAX(0,-(I29+I28-min_cash))</f>
        <v>0</v>
      </c>
    </row>
    <row r="31" customFormat="false" ht="17.15" hidden="false" customHeight="false" outlineLevel="0" collapsed="false">
      <c r="A31" s="0" t="s">
        <v>859</v>
      </c>
      <c r="B31" s="0" t="s">
        <v>202</v>
      </c>
      <c r="D31" s="13" t="n">
        <f aca="false">PL!D45+Thesis!E22+rent_on</f>
        <v>54.3039786790118</v>
      </c>
      <c r="E31" s="13" t="n">
        <f aca="false">PL!E45+Thesis!F22+rent_on</f>
        <v>84.6751306932495</v>
      </c>
      <c r="F31" s="13" t="n">
        <f aca="false">PL!F45+Thesis!G22+rent_on</f>
        <v>103.281330541437</v>
      </c>
      <c r="G31" s="13" t="n">
        <f aca="false">PL!G45+Thesis!H22+rent_on</f>
        <v>107.864791539105</v>
      </c>
      <c r="H31" s="13" t="n">
        <f aca="false">PL!H45+Thesis!I22+rent_on</f>
        <v>111.485078855392</v>
      </c>
      <c r="I31" s="13" t="n">
        <f aca="false">PL!I45+Thesis!J22+rent_on</f>
        <v>117.431102590929</v>
      </c>
      <c r="J31" s="8" t="s">
        <v>860</v>
      </c>
    </row>
    <row r="32" customFormat="false" ht="17.15" hidden="false" customHeight="false" outlineLevel="0" collapsed="false">
      <c r="A32" s="5" t="s">
        <v>861</v>
      </c>
      <c r="B32" s="0" t="s">
        <v>202</v>
      </c>
      <c r="D32" s="27" t="n">
        <f aca="false">lease_on+MIN(1,(lease_q0+4*0)/lease_q)*lease_unc/lease_term*(1-(1+lease_r)^-lease_term)/lease_r</f>
        <v>93.2762339530424</v>
      </c>
      <c r="E32" s="27" t="n">
        <f aca="false">lease_on+MIN(1,(lease_q0+4*1)/lease_q)*lease_unc/lease_term*(1-(1+lease_r)^-lease_term)/lease_r</f>
        <v>159.236545890432</v>
      </c>
      <c r="F32" s="27" t="n">
        <f aca="false">lease_on+MIN(1,(lease_q0+4*2)/lease_q)*lease_unc/lease_term*(1-(1+lease_r)^-lease_term)/lease_r</f>
        <v>225.196857827822</v>
      </c>
      <c r="G32" s="27" t="n">
        <f aca="false">lease_on+MIN(1,(lease_q0+4*3)/lease_q)*lease_unc/lease_term*(1-(1+lease_r)^-lease_term)/lease_r</f>
        <v>225.196857827822</v>
      </c>
      <c r="H32" s="27" t="n">
        <f aca="false">lease_on+MIN(1,(lease_q0+4*4)/lease_q)*lease_unc/lease_term*(1-(1+lease_r)^-lease_term)/lease_r</f>
        <v>225.196857827822</v>
      </c>
      <c r="I32" s="27" t="n">
        <f aca="false">lease_on+MIN(1,(lease_q0+4*5)/lease_q)*lease_unc/lease_term*(1-(1+lease_r)^-lease_term)/lease_r</f>
        <v>225.196857827822</v>
      </c>
      <c r="J32" s="5" t="s">
        <v>862</v>
      </c>
    </row>
    <row r="33" customFormat="false" ht="17.15" hidden="false" customHeight="false" outlineLevel="0" collapsed="false">
      <c r="A33" s="5" t="s">
        <v>863</v>
      </c>
      <c r="B33" s="0" t="s">
        <v>202</v>
      </c>
      <c r="D33" s="13" t="n">
        <f aca="false">MAX(0,lev_max*D31-D32-debt_q1)</f>
        <v>26.0916701025108</v>
      </c>
      <c r="E33" s="13" t="n">
        <f aca="false">MAX(0,lev_max*E31-E32-(debt_q1+D38))</f>
        <v>96.8015422291906</v>
      </c>
      <c r="F33" s="13" t="n">
        <f aca="false">MAX(0,lev_max*F31-F32-(debt_q1+E38))</f>
        <v>109.6967697969</v>
      </c>
      <c r="G33" s="13" t="n">
        <f aca="false">MAX(0,lev_max*G31-G32-(debt_q1+F38))</f>
        <v>130.322344286404</v>
      </c>
      <c r="H33" s="13" t="n">
        <f aca="false">MAX(0,lev_max*H31-H32-(debt_q1+G38))</f>
        <v>146.613637209695</v>
      </c>
      <c r="I33" s="13" t="n">
        <f aca="false">MAX(0,lev_max*I31-I32-(debt_q1+H38))</f>
        <v>173.370744019612</v>
      </c>
      <c r="J33" s="8" t="s">
        <v>864</v>
      </c>
    </row>
    <row r="34" customFormat="false" ht="15" hidden="false" customHeight="false" outlineLevel="0" collapsed="false">
      <c r="A34" s="5" t="s">
        <v>865</v>
      </c>
      <c r="B34" s="0" t="s">
        <v>202</v>
      </c>
      <c r="D34" s="13" t="n">
        <f aca="false">MIN(D30,D33)</f>
        <v>0</v>
      </c>
      <c r="E34" s="13" t="n">
        <f aca="false">MIN(E30,E33)</f>
        <v>4.87235981174616</v>
      </c>
      <c r="F34" s="13" t="n">
        <f aca="false">MIN(F30,F33)</f>
        <v>0</v>
      </c>
      <c r="G34" s="13" t="n">
        <f aca="false">MIN(G30,G33)</f>
        <v>0</v>
      </c>
      <c r="H34" s="13" t="n">
        <f aca="false">MIN(H30,H33)</f>
        <v>0</v>
      </c>
      <c r="I34" s="13" t="n">
        <f aca="false">MIN(I30,I33)</f>
        <v>0</v>
      </c>
    </row>
    <row r="35" customFormat="false" ht="15" hidden="false" customHeight="false" outlineLevel="0" collapsed="false">
      <c r="A35" s="5" t="s">
        <v>866</v>
      </c>
      <c r="B35" s="0" t="s">
        <v>202</v>
      </c>
      <c r="D35" s="13" t="n">
        <f aca="false">MIN(D30-D34,eq_cap*px*D42*D27)</f>
        <v>0</v>
      </c>
      <c r="E35" s="13" t="n">
        <f aca="false">MIN(E30-E34,eq_cap*px*E42*E27)</f>
        <v>0</v>
      </c>
      <c r="F35" s="13" t="n">
        <f aca="false">MIN(F30-F34,eq_cap*px*F42*F27)</f>
        <v>0</v>
      </c>
      <c r="G35" s="13" t="n">
        <f aca="false">MIN(G30-G34,eq_cap*px*G42*G27)</f>
        <v>0</v>
      </c>
      <c r="H35" s="13" t="n">
        <f aca="false">MIN(H30-H34,eq_cap*px*H42*H27)</f>
        <v>0</v>
      </c>
      <c r="I35" s="13" t="n">
        <f aca="false">MIN(I30-I34,eq_cap*px*I42*I27)</f>
        <v>0</v>
      </c>
    </row>
    <row r="36" customFormat="false" ht="15" hidden="false" customHeight="false" outlineLevel="0" collapsed="false">
      <c r="A36" s="5" t="s">
        <v>867</v>
      </c>
      <c r="B36" s="0" t="s">
        <v>202</v>
      </c>
      <c r="D36" s="13" t="n">
        <f aca="false">D30-D34-D35</f>
        <v>0</v>
      </c>
      <c r="E36" s="13" t="n">
        <f aca="false">E30-E34-E35</f>
        <v>0</v>
      </c>
      <c r="F36" s="13" t="n">
        <f aca="false">F30-F34-F35</f>
        <v>0</v>
      </c>
      <c r="G36" s="13" t="n">
        <f aca="false">G30-G34-G35</f>
        <v>0</v>
      </c>
      <c r="H36" s="13" t="n">
        <f aca="false">H30-H34-H35</f>
        <v>0</v>
      </c>
      <c r="I36" s="13" t="n">
        <f aca="false">I30-I34-I35</f>
        <v>0</v>
      </c>
    </row>
    <row r="37" customFormat="false" ht="15" hidden="false" customHeight="false" outlineLevel="0" collapsed="false">
      <c r="A37" s="5" t="s">
        <v>868</v>
      </c>
      <c r="B37" s="0" t="s">
        <v>202</v>
      </c>
      <c r="D37" s="13" t="n">
        <f aca="false">D28+D29+D34+D35+D36</f>
        <v>16.247061882103</v>
      </c>
      <c r="E37" s="13" t="n">
        <f aca="false">E28+E29+E34+E35+E36</f>
        <v>10</v>
      </c>
      <c r="F37" s="13" t="n">
        <f aca="false">F28+F29+F34+F35+F36</f>
        <v>59.1965085372374</v>
      </c>
      <c r="G37" s="13" t="n">
        <f aca="false">G28+G29+G34+G35+G36</f>
        <v>109.035571164162</v>
      </c>
      <c r="H37" s="13" t="n">
        <f aca="false">H28+H29+H34+H35+H36</f>
        <v>159.973789786467</v>
      </c>
      <c r="I37" s="13" t="n">
        <f aca="false">I28+I29+I34+I35+I36</f>
        <v>184.229061636582</v>
      </c>
    </row>
    <row r="38" customFormat="false" ht="15" hidden="false" customHeight="false" outlineLevel="0" collapsed="false">
      <c r="A38" s="5" t="s">
        <v>869</v>
      </c>
      <c r="B38" s="0" t="s">
        <v>202</v>
      </c>
      <c r="D38" s="13" t="n">
        <f aca="false">D34</f>
        <v>0</v>
      </c>
      <c r="E38" s="13" t="n">
        <f aca="false">D38+E34</f>
        <v>4.87235981174616</v>
      </c>
      <c r="F38" s="13" t="n">
        <f aca="false">E38+F34</f>
        <v>4.87235981174616</v>
      </c>
      <c r="G38" s="13" t="n">
        <f aca="false">F38+G34</f>
        <v>4.87235981174616</v>
      </c>
      <c r="H38" s="13" t="n">
        <f aca="false">G38+H34</f>
        <v>4.87235981174616</v>
      </c>
      <c r="I38" s="13" t="n">
        <f aca="false">H38+I34</f>
        <v>4.87235981174616</v>
      </c>
    </row>
    <row r="39" customFormat="false" ht="15" hidden="false" customHeight="false" outlineLevel="0" collapsed="false">
      <c r="A39" s="5" t="s">
        <v>870</v>
      </c>
      <c r="B39" s="0" t="s">
        <v>202</v>
      </c>
      <c r="D39" s="13" t="n">
        <f aca="false">D36</f>
        <v>0</v>
      </c>
      <c r="E39" s="13" t="n">
        <f aca="false">D39+E36</f>
        <v>0</v>
      </c>
      <c r="F39" s="13" t="n">
        <f aca="false">E39+F36</f>
        <v>0</v>
      </c>
      <c r="G39" s="13" t="n">
        <f aca="false">F39+G36</f>
        <v>0</v>
      </c>
      <c r="H39" s="13" t="n">
        <f aca="false">G39+H36</f>
        <v>0</v>
      </c>
      <c r="I39" s="13" t="n">
        <f aca="false">H39+I36</f>
        <v>0</v>
      </c>
    </row>
    <row r="40" customFormat="false" ht="15" hidden="false" customHeight="false" outlineLevel="0" collapsed="false">
      <c r="A40" s="5" t="s">
        <v>871</v>
      </c>
      <c r="B40" s="0" t="s">
        <v>202</v>
      </c>
      <c r="D40" s="13" t="n">
        <f aca="false">debt_q1+D38+D39</f>
        <v>125</v>
      </c>
      <c r="E40" s="13" t="n">
        <f aca="false">debt_q1+E38+E39</f>
        <v>129.872359811746</v>
      </c>
      <c r="F40" s="13" t="n">
        <f aca="false">debt_q1+F38+F39</f>
        <v>129.872359811746</v>
      </c>
      <c r="G40" s="13" t="n">
        <f aca="false">debt_q1+G38+G39</f>
        <v>129.872359811746</v>
      </c>
      <c r="H40" s="13" t="n">
        <f aca="false">debt_q1+H38+H39</f>
        <v>129.872359811746</v>
      </c>
      <c r="I40" s="13" t="n">
        <f aca="false">debt_q1+I38+I39</f>
        <v>129.872359811746</v>
      </c>
    </row>
    <row r="41" customFormat="false" ht="17.15" hidden="false" customHeight="false" outlineLevel="0" collapsed="false">
      <c r="A41" s="5" t="s">
        <v>872</v>
      </c>
      <c r="B41" s="0" t="s">
        <v>92</v>
      </c>
      <c r="D41" s="24" t="n">
        <f aca="false">(D40+D32)/D31</f>
        <v>4.01952562708642</v>
      </c>
      <c r="E41" s="24" t="n">
        <f aca="false">(E40+E32)/E31</f>
        <v>3.41433078797984</v>
      </c>
      <c r="F41" s="24" t="n">
        <f aca="false">(F40+F32)/F31</f>
        <v>3.43788384384835</v>
      </c>
      <c r="G41" s="24" t="n">
        <f aca="false">(G40+G32)/G31</f>
        <v>3.29179904372079</v>
      </c>
      <c r="H41" s="24" t="n">
        <f aca="false">(H40+H32)/H31</f>
        <v>3.18490349816348</v>
      </c>
      <c r="I41" s="24" t="n">
        <f aca="false">(I40+I32)/I31</f>
        <v>3.02363862559012</v>
      </c>
    </row>
    <row r="42" customFormat="false" ht="15" hidden="false" customHeight="false" outlineLevel="0" collapsed="false">
      <c r="A42" s="5" t="s">
        <v>873</v>
      </c>
      <c r="B42" s="5" t="s">
        <v>34</v>
      </c>
      <c r="D42" s="13" t="n">
        <f aca="false">sh_out</f>
        <v>3.023736</v>
      </c>
      <c r="E42" s="13" t="n">
        <f aca="false">D44</f>
        <v>3.023736</v>
      </c>
      <c r="F42" s="13" t="n">
        <f aca="false">E44</f>
        <v>3.023736</v>
      </c>
      <c r="G42" s="13" t="n">
        <f aca="false">F44</f>
        <v>3.054974</v>
      </c>
      <c r="H42" s="13" t="n">
        <f aca="false">G44</f>
        <v>3.054974</v>
      </c>
      <c r="I42" s="13" t="n">
        <f aca="false">H44</f>
        <v>3.054974</v>
      </c>
    </row>
    <row r="43" customFormat="false" ht="15" hidden="false" customHeight="false" outlineLevel="0" collapsed="false">
      <c r="A43" s="5" t="s">
        <v>874</v>
      </c>
      <c r="B43" s="5" t="s">
        <v>34</v>
      </c>
      <c r="D43" s="13" t="n">
        <f aca="false">D35/(px*(1-eq_disc))</f>
        <v>0</v>
      </c>
      <c r="E43" s="13" t="n">
        <f aca="false">E35/(px*(1-eq_disc))</f>
        <v>0</v>
      </c>
      <c r="F43" s="13" t="n">
        <f aca="false">F35/(px*(1-eq_disc))</f>
        <v>0</v>
      </c>
      <c r="G43" s="13" t="n">
        <f aca="false">G35/(px*(1-eq_disc))</f>
        <v>0</v>
      </c>
      <c r="H43" s="13" t="n">
        <f aca="false">H35/(px*(1-eq_disc))</f>
        <v>0</v>
      </c>
      <c r="I43" s="13" t="n">
        <f aca="false">I35/(px*(1-eq_disc))</f>
        <v>0</v>
      </c>
    </row>
    <row r="44" customFormat="false" ht="17.15" hidden="false" customHeight="false" outlineLevel="0" collapsed="false">
      <c r="A44" s="5" t="s">
        <v>875</v>
      </c>
      <c r="B44" s="5" t="s">
        <v>34</v>
      </c>
      <c r="D44" s="13" t="n">
        <f aca="false">D42+D43</f>
        <v>3.023736</v>
      </c>
      <c r="E44" s="13" t="n">
        <f aca="false">E42+E43</f>
        <v>3.023736</v>
      </c>
      <c r="F44" s="13" t="n">
        <f aca="false">F42+F43+mcps_sh</f>
        <v>3.054974</v>
      </c>
      <c r="G44" s="13" t="n">
        <f aca="false">G42+G43</f>
        <v>3.054974</v>
      </c>
      <c r="H44" s="13" t="n">
        <f aca="false">H42+H43</f>
        <v>3.054974</v>
      </c>
      <c r="I44" s="13" t="n">
        <f aca="false">I42+I43</f>
        <v>3.054974</v>
      </c>
      <c r="J44" s="8" t="s">
        <v>876</v>
      </c>
    </row>
    <row r="45" customFormat="false" ht="17.15" hidden="false" customHeight="false" outlineLevel="0" collapsed="false">
      <c r="A45" s="5" t="s">
        <v>877</v>
      </c>
      <c r="B45" s="5" t="s">
        <v>34</v>
      </c>
      <c r="D45" s="13" t="n">
        <f aca="false">(0.75*(D42+D44)/2+0.25*shd_q1)+opt_dil*0.75</f>
        <v>3.043302</v>
      </c>
      <c r="E45" s="13" t="n">
        <f aca="false">(E42+E44)/2+opt_dil</f>
        <v>3.057736</v>
      </c>
      <c r="F45" s="13" t="n">
        <f aca="false">(F42+F44)/2+opt_dil</f>
        <v>3.073355</v>
      </c>
      <c r="G45" s="13" t="n">
        <f aca="false">(G42+G44)/2+opt_dil</f>
        <v>3.088974</v>
      </c>
      <c r="H45" s="13" t="n">
        <f aca="false">(H42+H44)/2+opt_dil</f>
        <v>3.088974</v>
      </c>
      <c r="I45" s="13" t="n">
        <f aca="false">(I42+I44)/2+opt_dil</f>
        <v>3.088974</v>
      </c>
      <c r="J45" s="8" t="s">
        <v>878</v>
      </c>
    </row>
    <row r="46" customFormat="false" ht="17.15" hidden="false" customHeight="false" outlineLevel="0" collapsed="false">
      <c r="A46" s="5" t="s">
        <v>656</v>
      </c>
      <c r="B46" s="0" t="s">
        <v>202</v>
      </c>
      <c r="D46" s="13" t="n">
        <f aca="false">int_q1+r_old*debt_q1*0.75</f>
        <v>5.712</v>
      </c>
      <c r="E46" s="13" t="n">
        <f aca="false">r_old*debt_q1+r_new*D38+r_junk*D39</f>
        <v>5.712</v>
      </c>
      <c r="F46" s="13" t="n">
        <f aca="false">r_old*debt_q1+r_new*E38+r_junk*E39</f>
        <v>5.99459686908128</v>
      </c>
      <c r="G46" s="13" t="n">
        <f aca="false">r_old*debt_q1+r_new*F38+r_junk*F39</f>
        <v>5.99459686908128</v>
      </c>
      <c r="H46" s="13" t="n">
        <f aca="false">r_old*debt_q1+r_new*G38+r_junk*G39</f>
        <v>5.99459686908128</v>
      </c>
      <c r="I46" s="13" t="n">
        <f aca="false">r_old*debt_q1+r_new*H38+r_junk*H39</f>
        <v>5.99459686908128</v>
      </c>
      <c r="J46" s="8" t="s">
        <v>879</v>
      </c>
    </row>
    <row r="47" customFormat="false" ht="15" hidden="false" customHeight="false" outlineLevel="0" collapsed="false">
      <c r="A47" s="5" t="s">
        <v>815</v>
      </c>
      <c r="B47" s="0" t="s">
        <v>202</v>
      </c>
      <c r="D47" s="13" t="n">
        <f aca="false">ii_q1+r_cash*D28*0.75</f>
        <v>1.24187082405345</v>
      </c>
      <c r="E47" s="13" t="n">
        <f aca="false">r_cash*E28</f>
        <v>0.54679545062262</v>
      </c>
      <c r="F47" s="13" t="n">
        <f aca="false">r_cash*F28</f>
        <v>0.336550358822074</v>
      </c>
      <c r="G47" s="13" t="n">
        <f aca="false">r_cash*G28</f>
        <v>1.99226061892212</v>
      </c>
      <c r="H47" s="13" t="n">
        <f aca="false">r_cash*H28</f>
        <v>3.66959605996684</v>
      </c>
      <c r="I47" s="13" t="n">
        <f aca="false">r_cash*I28</f>
        <v>5.38392363547625</v>
      </c>
    </row>
    <row r="49" customFormat="false" ht="17.15" hidden="false" customHeight="false" outlineLevel="0" collapsed="false">
      <c r="A49" s="3" t="s">
        <v>740</v>
      </c>
    </row>
    <row r="50" customFormat="false" ht="15" hidden="false" customHeight="false" outlineLevel="0" collapsed="false">
      <c r="A50" s="5" t="s">
        <v>820</v>
      </c>
      <c r="B50" s="0" t="s">
        <v>202</v>
      </c>
      <c r="C50" s="13" t="n">
        <f aca="false">PL!C77</f>
        <v>17.087</v>
      </c>
      <c r="D50" s="13" t="n">
        <f aca="false">PL!D77</f>
        <v>15.1284132387073</v>
      </c>
      <c r="E50" s="13" t="n">
        <f aca="false">PL!E77</f>
        <v>14.3445257309753</v>
      </c>
      <c r="F50" s="13" t="n">
        <f aca="false">PL!F77</f>
        <v>19.8415693521284</v>
      </c>
      <c r="G50" s="13" t="n">
        <f aca="false">PL!G77</f>
        <v>25.4946659123931</v>
      </c>
      <c r="H50" s="13" t="n">
        <f aca="false">PL!H77</f>
        <v>28.0727224895406</v>
      </c>
      <c r="I50" s="13" t="n">
        <f aca="false">PL!I77</f>
        <v>32.7434364122318</v>
      </c>
    </row>
    <row r="51" customFormat="false" ht="15" hidden="false" customHeight="false" outlineLevel="0" collapsed="false">
      <c r="A51" s="5" t="s">
        <v>841</v>
      </c>
      <c r="B51" s="0" t="s">
        <v>202</v>
      </c>
      <c r="C51" s="13" t="n">
        <f aca="false">PL!C83</f>
        <v>9.294</v>
      </c>
      <c r="D51" s="13" t="n">
        <f aca="false">PL!D83</f>
        <v>20.2279737778082</v>
      </c>
      <c r="E51" s="13" t="n">
        <f aca="false">PL!E83</f>
        <v>38.7685519813231</v>
      </c>
      <c r="F51" s="13" t="n">
        <f aca="false">PL!F83</f>
        <v>48.4520817914426</v>
      </c>
      <c r="G51" s="13" t="n">
        <f aca="false">PL!G83</f>
        <v>51.375409750222</v>
      </c>
      <c r="H51" s="13" t="n">
        <f aca="false">PL!H83</f>
        <v>53.0428257138377</v>
      </c>
      <c r="I51" s="13" t="n">
        <f aca="false">PL!I83</f>
        <v>54.3259119995799</v>
      </c>
    </row>
    <row r="52" customFormat="false" ht="17.15" hidden="false" customHeight="false" outlineLevel="0" collapsed="false">
      <c r="A52" s="0" t="s">
        <v>842</v>
      </c>
      <c r="B52" s="0" t="s">
        <v>202</v>
      </c>
      <c r="C52" s="13" t="n">
        <f aca="false">PL!C84</f>
        <v>4.811</v>
      </c>
      <c r="D52" s="13" t="n">
        <f aca="false">PL!D84</f>
        <v>5.2998077686419</v>
      </c>
      <c r="E52" s="13" t="n">
        <f aca="false">PL!E84</f>
        <v>5.51180007938758</v>
      </c>
      <c r="F52" s="13" t="n">
        <f aca="false">PL!F84</f>
        <v>5.73227208256308</v>
      </c>
      <c r="G52" s="13" t="n">
        <f aca="false">PL!G84</f>
        <v>5.96156296586561</v>
      </c>
      <c r="H52" s="13" t="n">
        <f aca="false">PL!H84</f>
        <v>6.20002548450023</v>
      </c>
      <c r="I52" s="13" t="n">
        <f aca="false">PL!I84</f>
        <v>6.44802650388024</v>
      </c>
    </row>
    <row r="53" customFormat="false" ht="17.15" hidden="false" customHeight="false" outlineLevel="0" collapsed="false">
      <c r="A53" s="5" t="s">
        <v>843</v>
      </c>
      <c r="B53" s="0" t="s">
        <v>202</v>
      </c>
      <c r="D53" s="13" t="n">
        <f aca="false">prepay_cov*Thesis!D60</f>
        <v>14.6260680481182</v>
      </c>
      <c r="E53" s="13" t="n">
        <f aca="false">prepay_cov*Thesis!F60</f>
        <v>19.7050800492</v>
      </c>
      <c r="F53" s="13" t="n">
        <f aca="false">prepay_cov*Thesis!G60</f>
        <v>7.8633502567596</v>
      </c>
      <c r="G53" s="13" t="n">
        <f aca="false">prepay_cov*Thesis!H60</f>
        <v>3.4106065785062</v>
      </c>
      <c r="H53" s="13" t="n">
        <f aca="false">prepay_cov*Thesis!I60</f>
        <v>4.24257833501061</v>
      </c>
      <c r="I53" s="13" t="n">
        <f aca="false">prepay_cov*Thesis!J60</f>
        <v>15.2784326162828</v>
      </c>
      <c r="J53" s="8" t="s">
        <v>844</v>
      </c>
    </row>
    <row r="54" customFormat="false" ht="17.15" hidden="false" customHeight="false" outlineLevel="0" collapsed="false">
      <c r="A54" s="5" t="s">
        <v>845</v>
      </c>
      <c r="B54" s="0" t="s">
        <v>202</v>
      </c>
      <c r="D54" s="13" t="n">
        <f aca="false">prepay_open/prepay_yrs*MAX(0,MIN(D62,prepay_yrs)-MIN(0,prepay_yrs))</f>
        <v>2.39325</v>
      </c>
      <c r="E54" s="13" t="n">
        <f aca="false">prepay_open/prepay_yrs*MAX(0,MIN(D62+E62,prepay_yrs)-MIN(D62,prepay_yrs))+D53/prepay_yrs*MAX(0,MIN(1,prepay_yrs)-MIN(0,prepay_yrs))</f>
        <v>6.11621360962364</v>
      </c>
      <c r="F54" s="13" t="n">
        <f aca="false">prepay_open/prepay_yrs*MAX(0,MIN(D62+E62+F62,prepay_yrs)-MIN(D62+E62,prepay_yrs))+D53/prepay_yrs*MAX(0,MIN(2,prepay_yrs)-MIN(1,prepay_yrs))+E53/prepay_yrs*MAX(0,MIN(1,prepay_yrs)-MIN(0,prepay_yrs))</f>
        <v>10.0572296194636</v>
      </c>
      <c r="G54" s="13" t="n">
        <f aca="false">prepay_open/prepay_yrs*MAX(0,MIN(D62+E62+F62+G62,prepay_yrs)-MIN(D62+E62+F62,prepay_yrs))+D53/prepay_yrs*MAX(0,MIN(3,prepay_yrs)-MIN(2,prepay_yrs))+E53/prepay_yrs*MAX(0,MIN(2,prepay_yrs)-MIN(1,prepay_yrs))+F53/prepay_yrs*MAX(0,MIN(1,prepay_yrs)-MIN(0,prepay_yrs))</f>
        <v>11.6298996708156</v>
      </c>
      <c r="H54" s="13" t="n">
        <f aca="false">prepay_open/prepay_yrs*MAX(0,MIN(D62+E62+F62+G62+H62,prepay_yrs)-MIN(D62+E62+F62+G62,prepay_yrs))+D53/prepay_yrs*MAX(0,MIN(4,prepay_yrs)-MIN(3,prepay_yrs))+E53/prepay_yrs*MAX(0,MIN(3,prepay_yrs)-MIN(2,prepay_yrs))+F53/prepay_yrs*MAX(0,MIN(2,prepay_yrs)-MIN(1,prepay_yrs))+G53/prepay_yrs*MAX(0,MIN(1,prepay_yrs)-MIN(0,prepay_yrs))</f>
        <v>12.3120209865168</v>
      </c>
      <c r="I54" s="13" t="n">
        <f aca="false">prepay_open/prepay_yrs*MAX(0,MIN(D62+E62+F62+G62+H62+I62,prepay_yrs)-MIN(D62+E62+F62+G62+H62,prepay_yrs))+D53/prepay_yrs*MAX(0,MIN(5,prepay_yrs)-MIN(4,prepay_yrs))+E53/prepay_yrs*MAX(0,MIN(4,prepay_yrs)-MIN(3,prepay_yrs))+F53/prepay_yrs*MAX(0,MIN(3,prepay_yrs)-MIN(2,prepay_yrs))+G53/prepay_yrs*MAX(0,MIN(2,prepay_yrs)-MIN(1,prepay_yrs))+H53/prepay_yrs*MAX(0,MIN(1,prepay_yrs)-MIN(0,prepay_yrs))</f>
        <v>10.7672866535189</v>
      </c>
      <c r="J54" s="5" t="s">
        <v>846</v>
      </c>
    </row>
    <row r="55" customFormat="false" ht="17.15" hidden="false" customHeight="false" outlineLevel="0" collapsed="false">
      <c r="A55" s="5" t="s">
        <v>658</v>
      </c>
      <c r="B55" s="0" t="s">
        <v>202</v>
      </c>
      <c r="C55" s="13" t="n">
        <f aca="false">Q!L28</f>
        <v>31.977</v>
      </c>
      <c r="D55" s="13" t="n">
        <f aca="false">cfo_q1+(D50-Q!I27)+(D51-Q!I24)+(D52-sbc_q1)+D53-D54</f>
        <v>66.7470128332756</v>
      </c>
      <c r="E55" s="13" t="n">
        <f aca="false">E50+E51+E52+E53-E54</f>
        <v>72.2137442312623</v>
      </c>
      <c r="F55" s="13" t="n">
        <f aca="false">F50+F51+F52+F53-F54</f>
        <v>71.83204386343</v>
      </c>
      <c r="G55" s="13" t="n">
        <f aca="false">G50+G51+G52+G53-G54</f>
        <v>74.6123455361714</v>
      </c>
      <c r="H55" s="13" t="n">
        <f aca="false">H50+H51+H52+H53-H54</f>
        <v>79.2461310363723</v>
      </c>
      <c r="I55" s="13" t="n">
        <f aca="false">I50+I51+I52+I53-I54</f>
        <v>98.0285208784558</v>
      </c>
      <c r="J55" s="8" t="s">
        <v>847</v>
      </c>
    </row>
    <row r="56" customFormat="false" ht="17.15" hidden="false" customHeight="false" outlineLevel="0" collapsed="false">
      <c r="A56" s="5" t="s">
        <v>848</v>
      </c>
      <c r="B56" s="0" t="s">
        <v>202</v>
      </c>
      <c r="D56" s="13" t="n">
        <f aca="false">Thesis!E60</f>
        <v>87.5307862044304</v>
      </c>
      <c r="E56" s="13" t="n">
        <f aca="false">Thesis!F60</f>
        <v>81.0908644</v>
      </c>
      <c r="F56" s="13" t="n">
        <f aca="false">Thesis!G60</f>
        <v>32.3594660772</v>
      </c>
      <c r="G56" s="13" t="n">
        <f aca="false">Thesis!H60</f>
        <v>14.035418018544</v>
      </c>
      <c r="H56" s="13" t="n">
        <f aca="false">Thesis!I60</f>
        <v>17.4591701029243</v>
      </c>
      <c r="I56" s="13" t="n">
        <f aca="false">Thesis!J60</f>
        <v>62.8742082974601</v>
      </c>
    </row>
    <row r="57" customFormat="false" ht="17.15" hidden="false" customHeight="false" outlineLevel="0" collapsed="false">
      <c r="A57" s="5" t="s">
        <v>849</v>
      </c>
      <c r="B57" s="0" t="s">
        <v>202</v>
      </c>
      <c r="D57" s="13" t="n">
        <f aca="false">capex_g27-D56</f>
        <v>4.96921379556963</v>
      </c>
      <c r="E57" s="13" t="n">
        <f aca="false">nonai_cx*(PL!E61-Thesis!F54)</f>
        <v>5.3066615880423</v>
      </c>
      <c r="F57" s="13" t="n">
        <f aca="false">nonai_cx*(PL!F61-Thesis!G54)</f>
        <v>5.64609711516213</v>
      </c>
      <c r="G57" s="13" t="n">
        <f aca="false">nonai_cx*(PL!G61-Thesis!H54)</f>
        <v>5.97624659290627</v>
      </c>
      <c r="H57" s="13" t="n">
        <f aca="false">nonai_cx*(PL!H61-Thesis!I54)</f>
        <v>6.28534832012898</v>
      </c>
      <c r="I57" s="13" t="n">
        <f aca="false">nonai_cx*(PL!I61-Thesis!J54)</f>
        <v>6.56180003103841</v>
      </c>
    </row>
    <row r="58" customFormat="false" ht="17.15" hidden="false" customHeight="false" outlineLevel="0" collapsed="false">
      <c r="A58" s="5" t="s">
        <v>850</v>
      </c>
      <c r="B58" s="0" t="s">
        <v>202</v>
      </c>
      <c r="C58" s="13" t="n">
        <f aca="false">Q!L29</f>
        <v>55.663</v>
      </c>
      <c r="D58" s="13" t="n">
        <f aca="false">D56+D57</f>
        <v>92.5</v>
      </c>
      <c r="E58" s="13" t="n">
        <f aca="false">E56+E57</f>
        <v>86.3975259880423</v>
      </c>
      <c r="F58" s="13" t="n">
        <f aca="false">F56+F57</f>
        <v>38.0055631923621</v>
      </c>
      <c r="G58" s="13" t="n">
        <f aca="false">G56+G57</f>
        <v>20.0116646114503</v>
      </c>
      <c r="H58" s="13" t="n">
        <f aca="false">H56+H57</f>
        <v>23.7445184230533</v>
      </c>
      <c r="I58" s="13" t="n">
        <f aca="false">I56+I57</f>
        <v>69.4360083284985</v>
      </c>
      <c r="J58" s="8" t="s">
        <v>851</v>
      </c>
    </row>
    <row r="59" customFormat="false" ht="15" hidden="false" customHeight="false" outlineLevel="0" collapsed="false">
      <c r="A59" s="5" t="s">
        <v>852</v>
      </c>
      <c r="B59" s="0" t="s">
        <v>202</v>
      </c>
      <c r="C59" s="13" t="n">
        <f aca="false">C55-C58</f>
        <v>-23.686</v>
      </c>
      <c r="D59" s="13" t="n">
        <f aca="false">D55-D58</f>
        <v>-25.7529871667244</v>
      </c>
      <c r="E59" s="13" t="n">
        <f aca="false">E55-E58</f>
        <v>-14.18378175678</v>
      </c>
      <c r="F59" s="13" t="n">
        <f aca="false">F55-F58</f>
        <v>33.8264806710679</v>
      </c>
      <c r="G59" s="13" t="n">
        <f aca="false">G55-G58</f>
        <v>54.6006809247211</v>
      </c>
      <c r="H59" s="13" t="n">
        <f aca="false">H55-H58</f>
        <v>55.501612613319</v>
      </c>
      <c r="I59" s="13" t="n">
        <f aca="false">I55-I58</f>
        <v>28.5925125499573</v>
      </c>
    </row>
    <row r="60" customFormat="false" ht="15" hidden="false" customHeight="false" outlineLevel="0" collapsed="false">
      <c r="A60" s="5" t="s">
        <v>853</v>
      </c>
      <c r="B60" s="0" t="s">
        <v>202</v>
      </c>
      <c r="C60" s="13" t="n">
        <f aca="false">Q!L31</f>
        <v>5.787</v>
      </c>
      <c r="D60" s="13" t="n">
        <f aca="false">div_q1+dps_q*3*D77+pref27</f>
        <v>6.344604</v>
      </c>
      <c r="E60" s="13" t="n">
        <f aca="false">dps_q*4*E77+PL!E78</f>
        <v>6.372472</v>
      </c>
      <c r="F60" s="13" t="n">
        <f aca="false">dps_q*4*F77+PL!F78</f>
        <v>6.291472</v>
      </c>
      <c r="G60" s="13" t="n">
        <f aca="false">dps_q*4*G77+PL!G78</f>
        <v>6.109948</v>
      </c>
      <c r="H60" s="13" t="n">
        <f aca="false">dps_q*4*H77+PL!H78</f>
        <v>6.109948</v>
      </c>
      <c r="I60" s="13" t="n">
        <f aca="false">dps_q*4*I77+PL!I78</f>
        <v>6.109948</v>
      </c>
    </row>
    <row r="61" customFormat="false" ht="15" hidden="false" customHeight="false" outlineLevel="0" collapsed="false">
      <c r="A61" s="5" t="s">
        <v>854</v>
      </c>
      <c r="B61" s="0" t="s">
        <v>202</v>
      </c>
      <c r="C61" s="13" t="n">
        <f aca="false">C59-C60</f>
        <v>-29.473</v>
      </c>
      <c r="D61" s="13" t="n">
        <f aca="false">D59-D60</f>
        <v>-32.0975911667244</v>
      </c>
      <c r="E61" s="13" t="n">
        <f aca="false">E59-E60</f>
        <v>-20.55625375678</v>
      </c>
      <c r="F61" s="13" t="n">
        <f aca="false">F59-F60</f>
        <v>27.5350086710679</v>
      </c>
      <c r="G61" s="13" t="n">
        <f aca="false">G59-G60</f>
        <v>48.4907329247211</v>
      </c>
      <c r="H61" s="13" t="n">
        <f aca="false">H59-H60</f>
        <v>49.391664613319</v>
      </c>
      <c r="I61" s="13" t="n">
        <f aca="false">I59-I60</f>
        <v>22.4825645499573</v>
      </c>
    </row>
    <row r="62" customFormat="false" ht="17.15" hidden="false" customHeight="false" outlineLevel="0" collapsed="false">
      <c r="A62" s="5" t="s">
        <v>855</v>
      </c>
      <c r="B62" s="5" t="s">
        <v>163</v>
      </c>
      <c r="D62" s="0" t="n">
        <v>0.75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1</v>
      </c>
    </row>
    <row r="63" customFormat="false" ht="17.15" hidden="false" customHeight="false" outlineLevel="0" collapsed="false">
      <c r="A63" s="5" t="s">
        <v>856</v>
      </c>
      <c r="B63" s="0" t="s">
        <v>202</v>
      </c>
      <c r="D63" s="13" t="n">
        <f aca="false">cash_q1</f>
        <v>37.077</v>
      </c>
      <c r="E63" s="13" t="n">
        <f aca="false">D72</f>
        <v>11.9404088332756</v>
      </c>
      <c r="F63" s="13" t="n">
        <f aca="false">E72</f>
        <v>10</v>
      </c>
      <c r="G63" s="13" t="n">
        <f aca="false">F72</f>
        <v>37.5350086710679</v>
      </c>
      <c r="H63" s="13" t="n">
        <f aca="false">G72</f>
        <v>86.025741595789</v>
      </c>
      <c r="I63" s="13" t="n">
        <f aca="false">H72</f>
        <v>135.417406209108</v>
      </c>
    </row>
    <row r="64" customFormat="false" ht="17.15" hidden="false" customHeight="false" outlineLevel="0" collapsed="false">
      <c r="A64" s="5" t="s">
        <v>857</v>
      </c>
      <c r="B64" s="0" t="s">
        <v>202</v>
      </c>
      <c r="D64" s="13" t="n">
        <f aca="false">D61-(cfo_q1-capex_q1-div_q1)</f>
        <v>-25.1365911667244</v>
      </c>
      <c r="E64" s="13" t="n">
        <f aca="false">E61</f>
        <v>-20.55625375678</v>
      </c>
      <c r="F64" s="13" t="n">
        <f aca="false">F61</f>
        <v>27.5350086710679</v>
      </c>
      <c r="G64" s="13" t="n">
        <f aca="false">G61</f>
        <v>48.4907329247211</v>
      </c>
      <c r="H64" s="13" t="n">
        <f aca="false">H61</f>
        <v>49.391664613319</v>
      </c>
      <c r="I64" s="13" t="n">
        <f aca="false">I61</f>
        <v>22.4825645499573</v>
      </c>
    </row>
    <row r="65" customFormat="false" ht="15" hidden="false" customHeight="false" outlineLevel="0" collapsed="false">
      <c r="A65" s="5" t="s">
        <v>858</v>
      </c>
      <c r="B65" s="0" t="s">
        <v>202</v>
      </c>
      <c r="D65" s="13" t="n">
        <f aca="false">MAX(0,-(D64+D63-min_cash))</f>
        <v>0</v>
      </c>
      <c r="E65" s="13" t="n">
        <f aca="false">MAX(0,-(E64+E63-min_cash))</f>
        <v>18.6158449235044</v>
      </c>
      <c r="F65" s="13" t="n">
        <f aca="false">MAX(0,-(F64+F63-min_cash))</f>
        <v>0</v>
      </c>
      <c r="G65" s="13" t="n">
        <f aca="false">MAX(0,-(G64+G63-min_cash))</f>
        <v>0</v>
      </c>
      <c r="H65" s="13" t="n">
        <f aca="false">MAX(0,-(H64+H63-min_cash))</f>
        <v>0</v>
      </c>
      <c r="I65" s="13" t="n">
        <f aca="false">MAX(0,-(I64+I63-min_cash))</f>
        <v>0</v>
      </c>
    </row>
    <row r="66" customFormat="false" ht="17.15" hidden="false" customHeight="false" outlineLevel="0" collapsed="false">
      <c r="A66" s="0" t="s">
        <v>859</v>
      </c>
      <c r="B66" s="0" t="s">
        <v>202</v>
      </c>
      <c r="D66" s="13" t="n">
        <f aca="false">PL!D85+Thesis!E57+rent_on</f>
        <v>49.2313602469419</v>
      </c>
      <c r="E66" s="13" t="n">
        <f aca="false">PL!E85+Thesis!F57+rent_on</f>
        <v>73.849075353591</v>
      </c>
      <c r="F66" s="13" t="n">
        <f aca="false">PL!F85+Thesis!G57+rent_on</f>
        <v>97.3127839746376</v>
      </c>
      <c r="G66" s="13" t="n">
        <f aca="false">PL!G85+Thesis!H57+rent_on</f>
        <v>108.397369990127</v>
      </c>
      <c r="H66" s="13" t="n">
        <f aca="false">PL!H85+Thesis!I57+rent_on</f>
        <v>111.829555642061</v>
      </c>
      <c r="I66" s="13" t="n">
        <f aca="false">PL!I85+Thesis!J57+rent_on</f>
        <v>117.561252629146</v>
      </c>
      <c r="J66" s="8" t="s">
        <v>860</v>
      </c>
    </row>
    <row r="67" customFormat="false" ht="17.15" hidden="false" customHeight="false" outlineLevel="0" collapsed="false">
      <c r="A67" s="5" t="s">
        <v>861</v>
      </c>
      <c r="B67" s="0" t="s">
        <v>202</v>
      </c>
      <c r="D67" s="27" t="n">
        <f aca="false">lease_on+MIN(1,(lease_q0+4*0)/lease_q)*lease_unc/lease_term*(1-(1+lease_r)^-lease_term)/lease_r</f>
        <v>93.2762339530424</v>
      </c>
      <c r="E67" s="27" t="n">
        <f aca="false">lease_on+MIN(1,(lease_q0+4*1)/lease_q)*lease_unc/lease_term*(1-(1+lease_r)^-lease_term)/lease_r</f>
        <v>159.236545890432</v>
      </c>
      <c r="F67" s="27" t="n">
        <f aca="false">lease_on+MIN(1,(lease_q0+4*2)/lease_q)*lease_unc/lease_term*(1-(1+lease_r)^-lease_term)/lease_r</f>
        <v>225.196857827822</v>
      </c>
      <c r="G67" s="27" t="n">
        <f aca="false">lease_on+MIN(1,(lease_q0+4*3)/lease_q)*lease_unc/lease_term*(1-(1+lease_r)^-lease_term)/lease_r</f>
        <v>225.196857827822</v>
      </c>
      <c r="H67" s="27" t="n">
        <f aca="false">lease_on+MIN(1,(lease_q0+4*4)/lease_q)*lease_unc/lease_term*(1-(1+lease_r)^-lease_term)/lease_r</f>
        <v>225.196857827822</v>
      </c>
      <c r="I67" s="27" t="n">
        <f aca="false">lease_on+MIN(1,(lease_q0+4*5)/lease_q)*lease_unc/lease_term*(1-(1+lease_r)^-lease_term)/lease_r</f>
        <v>225.196857827822</v>
      </c>
      <c r="J67" s="5" t="s">
        <v>862</v>
      </c>
    </row>
    <row r="68" customFormat="false" ht="17.15" hidden="false" customHeight="false" outlineLevel="0" collapsed="false">
      <c r="A68" s="5" t="s">
        <v>863</v>
      </c>
      <c r="B68" s="0" t="s">
        <v>202</v>
      </c>
      <c r="D68" s="13" t="n">
        <f aca="false">MAX(0,lev_max*D66-D67-debt_q1)</f>
        <v>3.2648871581959</v>
      </c>
      <c r="E68" s="13" t="n">
        <f aca="false">MAX(0,lev_max*E66-E67-(debt_q1+D73))</f>
        <v>48.0842932007271</v>
      </c>
      <c r="F68" s="13" t="n">
        <f aca="false">MAX(0,lev_max*F66-F67-(debt_q1+E73))</f>
        <v>69.0948251345424</v>
      </c>
      <c r="G68" s="13" t="n">
        <f aca="false">MAX(0,lev_max*G66-G67-(debt_q1+F73))</f>
        <v>118.975462204245</v>
      </c>
      <c r="H68" s="13" t="n">
        <f aca="false">MAX(0,lev_max*H66-H67-(debt_q1+G73))</f>
        <v>134.420297637949</v>
      </c>
      <c r="I68" s="13" t="n">
        <f aca="false">MAX(0,lev_max*I66-I67-(debt_q1+H73))</f>
        <v>160.212934079831</v>
      </c>
      <c r="J68" s="8" t="s">
        <v>864</v>
      </c>
    </row>
    <row r="69" customFormat="false" ht="15" hidden="false" customHeight="false" outlineLevel="0" collapsed="false">
      <c r="A69" s="5" t="s">
        <v>865</v>
      </c>
      <c r="B69" s="0" t="s">
        <v>202</v>
      </c>
      <c r="D69" s="13" t="n">
        <f aca="false">MIN(D65,D68)</f>
        <v>0</v>
      </c>
      <c r="E69" s="13" t="n">
        <f aca="false">MIN(E65,E68)</f>
        <v>18.6158449235044</v>
      </c>
      <c r="F69" s="13" t="n">
        <f aca="false">MIN(F65,F68)</f>
        <v>0</v>
      </c>
      <c r="G69" s="13" t="n">
        <f aca="false">MIN(G65,G68)</f>
        <v>0</v>
      </c>
      <c r="H69" s="13" t="n">
        <f aca="false">MIN(H65,H68)</f>
        <v>0</v>
      </c>
      <c r="I69" s="13" t="n">
        <f aca="false">MIN(I65,I68)</f>
        <v>0</v>
      </c>
    </row>
    <row r="70" customFormat="false" ht="15" hidden="false" customHeight="false" outlineLevel="0" collapsed="false">
      <c r="A70" s="5" t="s">
        <v>866</v>
      </c>
      <c r="B70" s="0" t="s">
        <v>202</v>
      </c>
      <c r="D70" s="13" t="n">
        <f aca="false">MIN(D65-D69,eq_cap*px*D77*D62)</f>
        <v>0</v>
      </c>
      <c r="E70" s="13" t="n">
        <f aca="false">MIN(E65-E69,eq_cap*px*E77*E62)</f>
        <v>0</v>
      </c>
      <c r="F70" s="13" t="n">
        <f aca="false">MIN(F65-F69,eq_cap*px*F77*F62)</f>
        <v>0</v>
      </c>
      <c r="G70" s="13" t="n">
        <f aca="false">MIN(G65-G69,eq_cap*px*G77*G62)</f>
        <v>0</v>
      </c>
      <c r="H70" s="13" t="n">
        <f aca="false">MIN(H65-H69,eq_cap*px*H77*H62)</f>
        <v>0</v>
      </c>
      <c r="I70" s="13" t="n">
        <f aca="false">MIN(I65-I69,eq_cap*px*I77*I62)</f>
        <v>0</v>
      </c>
    </row>
    <row r="71" customFormat="false" ht="15" hidden="false" customHeight="false" outlineLevel="0" collapsed="false">
      <c r="A71" s="5" t="s">
        <v>867</v>
      </c>
      <c r="B71" s="0" t="s">
        <v>202</v>
      </c>
      <c r="D71" s="13" t="n">
        <f aca="false">D65-D69-D70</f>
        <v>0</v>
      </c>
      <c r="E71" s="13" t="n">
        <f aca="false">E65-E69-E70</f>
        <v>0</v>
      </c>
      <c r="F71" s="13" t="n">
        <f aca="false">F65-F69-F70</f>
        <v>0</v>
      </c>
      <c r="G71" s="13" t="n">
        <f aca="false">G65-G69-G70</f>
        <v>0</v>
      </c>
      <c r="H71" s="13" t="n">
        <f aca="false">H65-H69-H70</f>
        <v>0</v>
      </c>
      <c r="I71" s="13" t="n">
        <f aca="false">I65-I69-I70</f>
        <v>0</v>
      </c>
    </row>
    <row r="72" customFormat="false" ht="15" hidden="false" customHeight="false" outlineLevel="0" collapsed="false">
      <c r="A72" s="5" t="s">
        <v>868</v>
      </c>
      <c r="B72" s="0" t="s">
        <v>202</v>
      </c>
      <c r="D72" s="13" t="n">
        <f aca="false">D63+D64+D69+D70+D71</f>
        <v>11.9404088332756</v>
      </c>
      <c r="E72" s="13" t="n">
        <f aca="false">E63+E64+E69+E70+E71</f>
        <v>10</v>
      </c>
      <c r="F72" s="13" t="n">
        <f aca="false">F63+F64+F69+F70+F71</f>
        <v>37.5350086710679</v>
      </c>
      <c r="G72" s="13" t="n">
        <f aca="false">G63+G64+G69+G70+G71</f>
        <v>86.025741595789</v>
      </c>
      <c r="H72" s="13" t="n">
        <f aca="false">H63+H64+H69+H70+H71</f>
        <v>135.417406209108</v>
      </c>
      <c r="I72" s="13" t="n">
        <f aca="false">I63+I64+I69+I70+I71</f>
        <v>157.899970759065</v>
      </c>
    </row>
    <row r="73" customFormat="false" ht="15" hidden="false" customHeight="false" outlineLevel="0" collapsed="false">
      <c r="A73" s="5" t="s">
        <v>869</v>
      </c>
      <c r="B73" s="0" t="s">
        <v>202</v>
      </c>
      <c r="D73" s="13" t="n">
        <f aca="false">D69</f>
        <v>0</v>
      </c>
      <c r="E73" s="13" t="n">
        <f aca="false">D73+E69</f>
        <v>18.6158449235044</v>
      </c>
      <c r="F73" s="13" t="n">
        <f aca="false">E73+F69</f>
        <v>18.6158449235044</v>
      </c>
      <c r="G73" s="13" t="n">
        <f aca="false">F73+G69</f>
        <v>18.6158449235044</v>
      </c>
      <c r="H73" s="13" t="n">
        <f aca="false">G73+H69</f>
        <v>18.6158449235044</v>
      </c>
      <c r="I73" s="13" t="n">
        <f aca="false">H73+I69</f>
        <v>18.6158449235044</v>
      </c>
    </row>
    <row r="74" customFormat="false" ht="15" hidden="false" customHeight="false" outlineLevel="0" collapsed="false">
      <c r="A74" s="5" t="s">
        <v>870</v>
      </c>
      <c r="B74" s="0" t="s">
        <v>202</v>
      </c>
      <c r="D74" s="13" t="n">
        <f aca="false">D71</f>
        <v>0</v>
      </c>
      <c r="E74" s="13" t="n">
        <f aca="false">D74+E71</f>
        <v>0</v>
      </c>
      <c r="F74" s="13" t="n">
        <f aca="false">E74+F71</f>
        <v>0</v>
      </c>
      <c r="G74" s="13" t="n">
        <f aca="false">F74+G71</f>
        <v>0</v>
      </c>
      <c r="H74" s="13" t="n">
        <f aca="false">G74+H71</f>
        <v>0</v>
      </c>
      <c r="I74" s="13" t="n">
        <f aca="false">H74+I71</f>
        <v>0</v>
      </c>
    </row>
    <row r="75" customFormat="false" ht="15" hidden="false" customHeight="false" outlineLevel="0" collapsed="false">
      <c r="A75" s="5" t="s">
        <v>871</v>
      </c>
      <c r="B75" s="0" t="s">
        <v>202</v>
      </c>
      <c r="D75" s="13" t="n">
        <f aca="false">debt_q1+D73+D74</f>
        <v>125</v>
      </c>
      <c r="E75" s="13" t="n">
        <f aca="false">debt_q1+E73+E74</f>
        <v>143.615844923504</v>
      </c>
      <c r="F75" s="13" t="n">
        <f aca="false">debt_q1+F73+F74</f>
        <v>143.615844923504</v>
      </c>
      <c r="G75" s="13" t="n">
        <f aca="false">debt_q1+G73+G74</f>
        <v>143.615844923504</v>
      </c>
      <c r="H75" s="13" t="n">
        <f aca="false">debt_q1+H73+H74</f>
        <v>143.615844923504</v>
      </c>
      <c r="I75" s="13" t="n">
        <f aca="false">debt_q1+I73+I74</f>
        <v>143.615844923504</v>
      </c>
    </row>
    <row r="76" customFormat="false" ht="17.15" hidden="false" customHeight="false" outlineLevel="0" collapsed="false">
      <c r="A76" s="5" t="s">
        <v>872</v>
      </c>
      <c r="B76" s="0" t="s">
        <v>92</v>
      </c>
      <c r="D76" s="24" t="n">
        <f aca="false">(D75+D67)/D66</f>
        <v>4.43368277573848</v>
      </c>
      <c r="E76" s="24" t="n">
        <f aca="false">(E75+E67)/E66</f>
        <v>4.10096388294468</v>
      </c>
      <c r="F76" s="24" t="n">
        <f aca="false">(F75+F67)/F66</f>
        <v>3.78997175589437</v>
      </c>
      <c r="G76" s="24" t="n">
        <f aca="false">(G75+G67)/G66</f>
        <v>3.40241375584037</v>
      </c>
      <c r="H76" s="24" t="n">
        <f aca="false">(H75+H67)/H66</f>
        <v>3.29798952194538</v>
      </c>
      <c r="I76" s="24" t="n">
        <f aca="false">(I75+I67)/I66</f>
        <v>3.13719609567932</v>
      </c>
    </row>
    <row r="77" customFormat="false" ht="15" hidden="false" customHeight="false" outlineLevel="0" collapsed="false">
      <c r="A77" s="5" t="s">
        <v>873</v>
      </c>
      <c r="B77" s="5" t="s">
        <v>34</v>
      </c>
      <c r="D77" s="13" t="n">
        <f aca="false">sh_out</f>
        <v>3.023736</v>
      </c>
      <c r="E77" s="13" t="n">
        <f aca="false">D79</f>
        <v>3.023736</v>
      </c>
      <c r="F77" s="13" t="n">
        <f aca="false">E79</f>
        <v>3.023736</v>
      </c>
      <c r="G77" s="13" t="n">
        <f aca="false">F79</f>
        <v>3.054974</v>
      </c>
      <c r="H77" s="13" t="n">
        <f aca="false">G79</f>
        <v>3.054974</v>
      </c>
      <c r="I77" s="13" t="n">
        <f aca="false">H79</f>
        <v>3.054974</v>
      </c>
    </row>
    <row r="78" customFormat="false" ht="15" hidden="false" customHeight="false" outlineLevel="0" collapsed="false">
      <c r="A78" s="5" t="s">
        <v>874</v>
      </c>
      <c r="B78" s="5" t="s">
        <v>34</v>
      </c>
      <c r="D78" s="13" t="n">
        <f aca="false">D70/(px*(1-eq_disc))</f>
        <v>0</v>
      </c>
      <c r="E78" s="13" t="n">
        <f aca="false">E70/(px*(1-eq_disc))</f>
        <v>0</v>
      </c>
      <c r="F78" s="13" t="n">
        <f aca="false">F70/(px*(1-eq_disc))</f>
        <v>0</v>
      </c>
      <c r="G78" s="13" t="n">
        <f aca="false">G70/(px*(1-eq_disc))</f>
        <v>0</v>
      </c>
      <c r="H78" s="13" t="n">
        <f aca="false">H70/(px*(1-eq_disc))</f>
        <v>0</v>
      </c>
      <c r="I78" s="13" t="n">
        <f aca="false">I70/(px*(1-eq_disc))</f>
        <v>0</v>
      </c>
    </row>
    <row r="79" customFormat="false" ht="17.15" hidden="false" customHeight="false" outlineLevel="0" collapsed="false">
      <c r="A79" s="5" t="s">
        <v>875</v>
      </c>
      <c r="B79" s="5" t="s">
        <v>34</v>
      </c>
      <c r="D79" s="13" t="n">
        <f aca="false">D77+D78</f>
        <v>3.023736</v>
      </c>
      <c r="E79" s="13" t="n">
        <f aca="false">E77+E78</f>
        <v>3.023736</v>
      </c>
      <c r="F79" s="13" t="n">
        <f aca="false">F77+F78+mcps_sh</f>
        <v>3.054974</v>
      </c>
      <c r="G79" s="13" t="n">
        <f aca="false">G77+G78</f>
        <v>3.054974</v>
      </c>
      <c r="H79" s="13" t="n">
        <f aca="false">H77+H78</f>
        <v>3.054974</v>
      </c>
      <c r="I79" s="13" t="n">
        <f aca="false">I77+I78</f>
        <v>3.054974</v>
      </c>
      <c r="J79" s="8" t="s">
        <v>876</v>
      </c>
    </row>
    <row r="80" customFormat="false" ht="17.15" hidden="false" customHeight="false" outlineLevel="0" collapsed="false">
      <c r="A80" s="5" t="s">
        <v>877</v>
      </c>
      <c r="B80" s="5" t="s">
        <v>34</v>
      </c>
      <c r="D80" s="13" t="n">
        <f aca="false">(0.75*(D77+D79)/2+0.25*shd_q1)+opt_dil*0.75</f>
        <v>3.043302</v>
      </c>
      <c r="E80" s="13" t="n">
        <f aca="false">(E77+E79)/2+opt_dil</f>
        <v>3.057736</v>
      </c>
      <c r="F80" s="13" t="n">
        <f aca="false">(F77+F79)/2+opt_dil</f>
        <v>3.073355</v>
      </c>
      <c r="G80" s="13" t="n">
        <f aca="false">(G77+G79)/2+opt_dil</f>
        <v>3.088974</v>
      </c>
      <c r="H80" s="13" t="n">
        <f aca="false">(H77+H79)/2+opt_dil</f>
        <v>3.088974</v>
      </c>
      <c r="I80" s="13" t="n">
        <f aca="false">(I77+I79)/2+opt_dil</f>
        <v>3.088974</v>
      </c>
      <c r="J80" s="8" t="s">
        <v>878</v>
      </c>
    </row>
    <row r="81" customFormat="false" ht="17.15" hidden="false" customHeight="false" outlineLevel="0" collapsed="false">
      <c r="A81" s="5" t="s">
        <v>656</v>
      </c>
      <c r="B81" s="0" t="s">
        <v>202</v>
      </c>
      <c r="D81" s="13" t="n">
        <f aca="false">int_q1+r_old*debt_q1*0.75</f>
        <v>5.712</v>
      </c>
      <c r="E81" s="13" t="n">
        <f aca="false">r_old*debt_q1+r_new*D73+r_junk*D74</f>
        <v>5.712</v>
      </c>
      <c r="F81" s="13" t="n">
        <f aca="false">r_old*debt_q1+r_new*E73+r_junk*E74</f>
        <v>6.79171900556326</v>
      </c>
      <c r="G81" s="13" t="n">
        <f aca="false">r_old*debt_q1+r_new*F73+r_junk*F74</f>
        <v>6.79171900556326</v>
      </c>
      <c r="H81" s="13" t="n">
        <f aca="false">r_old*debt_q1+r_new*G73+r_junk*G74</f>
        <v>6.79171900556326</v>
      </c>
      <c r="I81" s="13" t="n">
        <f aca="false">r_old*debt_q1+r_new*H73+r_junk*H74</f>
        <v>6.79171900556326</v>
      </c>
      <c r="J81" s="8" t="s">
        <v>879</v>
      </c>
    </row>
    <row r="82" customFormat="false" ht="15" hidden="false" customHeight="false" outlineLevel="0" collapsed="false">
      <c r="A82" s="5" t="s">
        <v>815</v>
      </c>
      <c r="B82" s="0" t="s">
        <v>202</v>
      </c>
      <c r="D82" s="13" t="n">
        <f aca="false">ii_q1+r_cash*D63*0.75</f>
        <v>1.24187082405345</v>
      </c>
      <c r="E82" s="13" t="n">
        <f aca="false">r_cash*E63</f>
        <v>0.401854887732115</v>
      </c>
      <c r="F82" s="13" t="n">
        <f aca="false">r_cash*F63</f>
        <v>0.336550358822074</v>
      </c>
      <c r="G82" s="13" t="n">
        <f aca="false">r_cash*G63</f>
        <v>1.26324206366376</v>
      </c>
      <c r="H82" s="13" t="n">
        <f aca="false">r_cash*H63</f>
        <v>2.89519942019978</v>
      </c>
      <c r="I82" s="13" t="n">
        <f aca="false">r_cash*I63</f>
        <v>4.55747766504298</v>
      </c>
    </row>
    <row r="84" customFormat="false" ht="17.15" hidden="false" customHeight="false" outlineLevel="0" collapsed="false">
      <c r="A84" s="3" t="s">
        <v>743</v>
      </c>
    </row>
    <row r="85" customFormat="false" ht="15" hidden="false" customHeight="false" outlineLevel="0" collapsed="false">
      <c r="A85" s="5" t="s">
        <v>820</v>
      </c>
      <c r="B85" s="0" t="s">
        <v>202</v>
      </c>
      <c r="C85" s="13" t="n">
        <f aca="false">PL!C117</f>
        <v>17.087</v>
      </c>
      <c r="D85" s="13" t="n">
        <f aca="false">PL!D117</f>
        <v>12.578851126504</v>
      </c>
      <c r="E85" s="13" t="n">
        <f aca="false">PL!E117</f>
        <v>2.62849662467768</v>
      </c>
      <c r="F85" s="13" t="n">
        <f aca="false">PL!F117</f>
        <v>1.61583632034299</v>
      </c>
      <c r="G85" s="13" t="n">
        <f aca="false">PL!G117</f>
        <v>5.64937055533046</v>
      </c>
      <c r="H85" s="13" t="n">
        <f aca="false">PL!H117</f>
        <v>10.9051186996825</v>
      </c>
      <c r="I85" s="13" t="n">
        <f aca="false">PL!I117</f>
        <v>15.8032293949074</v>
      </c>
    </row>
    <row r="86" customFormat="false" ht="15" hidden="false" customHeight="false" outlineLevel="0" collapsed="false">
      <c r="A86" s="5" t="s">
        <v>841</v>
      </c>
      <c r="B86" s="0" t="s">
        <v>202</v>
      </c>
      <c r="C86" s="13" t="n">
        <f aca="false">PL!C123</f>
        <v>9.294</v>
      </c>
      <c r="D86" s="13" t="n">
        <f aca="false">PL!D123</f>
        <v>20.2279737778082</v>
      </c>
      <c r="E86" s="13" t="n">
        <f aca="false">PL!E123</f>
        <v>34.9983057813231</v>
      </c>
      <c r="F86" s="13" t="n">
        <f aca="false">PL!F123</f>
        <v>41.0331918361092</v>
      </c>
      <c r="G86" s="13" t="n">
        <f aca="false">PL!G123</f>
        <v>45.3909220782098</v>
      </c>
      <c r="H86" s="13" t="n">
        <f aca="false">PL!H123</f>
        <v>48.350101180804</v>
      </c>
      <c r="I86" s="13" t="n">
        <f aca="false">PL!I123</f>
        <v>49.3440140721546</v>
      </c>
    </row>
    <row r="87" customFormat="false" ht="17.15" hidden="false" customHeight="false" outlineLevel="0" collapsed="false">
      <c r="A87" s="0" t="s">
        <v>842</v>
      </c>
      <c r="B87" s="0" t="s">
        <v>202</v>
      </c>
      <c r="C87" s="13" t="n">
        <f aca="false">PL!C124</f>
        <v>4.811</v>
      </c>
      <c r="D87" s="13" t="n">
        <f aca="false">PL!D124</f>
        <v>5.2998077686419</v>
      </c>
      <c r="E87" s="13" t="n">
        <f aca="false">PL!E124</f>
        <v>5.51180007938758</v>
      </c>
      <c r="F87" s="13" t="n">
        <f aca="false">PL!F124</f>
        <v>5.73227208256308</v>
      </c>
      <c r="G87" s="13" t="n">
        <f aca="false">PL!G124</f>
        <v>5.96156296586561</v>
      </c>
      <c r="H87" s="13" t="n">
        <f aca="false">PL!H124</f>
        <v>6.20002548450023</v>
      </c>
      <c r="I87" s="13" t="n">
        <f aca="false">PL!I124</f>
        <v>6.44802650388024</v>
      </c>
    </row>
    <row r="88" customFormat="false" ht="17.15" hidden="false" customHeight="false" outlineLevel="0" collapsed="false">
      <c r="A88" s="5" t="s">
        <v>843</v>
      </c>
      <c r="B88" s="0" t="s">
        <v>202</v>
      </c>
      <c r="D88" s="13" t="n">
        <f aca="false">prepay_cov*Thesis!D95</f>
        <v>14.6260680481182</v>
      </c>
      <c r="E88" s="13" t="n">
        <f aca="false">prepay_cov*Thesis!F95</f>
        <v>8.71104213</v>
      </c>
      <c r="F88" s="13" t="n">
        <f aca="false">prepay_cov*Thesis!G95</f>
        <v>8.2179429854076</v>
      </c>
      <c r="G88" s="13" t="n">
        <f aca="false">prepay_cov*Thesis!H95</f>
        <v>7.23873090802255</v>
      </c>
      <c r="H88" s="13" t="n">
        <f aca="false">prepay_cov*Thesis!I95</f>
        <v>4.18123531875562</v>
      </c>
      <c r="I88" s="13" t="n">
        <f aca="false">prepay_cov*Thesis!J95</f>
        <v>14.496546014492</v>
      </c>
      <c r="J88" s="8" t="s">
        <v>844</v>
      </c>
    </row>
    <row r="89" customFormat="false" ht="17.15" hidden="false" customHeight="false" outlineLevel="0" collapsed="false">
      <c r="A89" s="5" t="s">
        <v>845</v>
      </c>
      <c r="B89" s="0" t="s">
        <v>202</v>
      </c>
      <c r="D89" s="13" t="n">
        <f aca="false">prepay_open/prepay_yrs*MAX(0,MIN(D97,prepay_yrs)-MIN(0,prepay_yrs))</f>
        <v>2.39325</v>
      </c>
      <c r="E89" s="13" t="n">
        <f aca="false">prepay_open/prepay_yrs*MAX(0,MIN(D97+E97,prepay_yrs)-MIN(D97,prepay_yrs))+D88/prepay_yrs*MAX(0,MIN(1,prepay_yrs)-MIN(0,prepay_yrs))</f>
        <v>6.11621360962364</v>
      </c>
      <c r="F89" s="13" t="n">
        <f aca="false">prepay_open/prepay_yrs*MAX(0,MIN(D97+E97+F97,prepay_yrs)-MIN(D97+E97,prepay_yrs))+D88/prepay_yrs*MAX(0,MIN(2,prepay_yrs)-MIN(1,prepay_yrs))+E88/prepay_yrs*MAX(0,MIN(1,prepay_yrs)-MIN(0,prepay_yrs))</f>
        <v>7.85842203562364</v>
      </c>
      <c r="G89" s="13" t="n">
        <f aca="false">prepay_open/prepay_yrs*MAX(0,MIN(D97+E97+F97+G97,prepay_yrs)-MIN(D97+E97+F97,prepay_yrs))+D88/prepay_yrs*MAX(0,MIN(3,prepay_yrs)-MIN(2,prepay_yrs))+E88/prepay_yrs*MAX(0,MIN(2,prepay_yrs)-MIN(1,prepay_yrs))+F88/prepay_yrs*MAX(0,MIN(1,prepay_yrs)-MIN(0,prepay_yrs))</f>
        <v>9.50201063270516</v>
      </c>
      <c r="H89" s="13" t="n">
        <f aca="false">prepay_open/prepay_yrs*MAX(0,MIN(D97+E97+F97+G97+H97,prepay_yrs)-MIN(D97+E97+F97+G97,prepay_yrs))+D88/prepay_yrs*MAX(0,MIN(4,prepay_yrs)-MIN(3,prepay_yrs))+E88/prepay_yrs*MAX(0,MIN(3,prepay_yrs)-MIN(2,prepay_yrs))+F88/prepay_yrs*MAX(0,MIN(2,prepay_yrs)-MIN(1,prepay_yrs))+G88/prepay_yrs*MAX(0,MIN(1,prepay_yrs)-MIN(0,prepay_yrs))</f>
        <v>10.9497568143097</v>
      </c>
      <c r="I89" s="13" t="n">
        <f aca="false">prepay_open/prepay_yrs*MAX(0,MIN(D97+E97+F97+G97+H97+I97,prepay_yrs)-MIN(D97+E97+F97+G97+H97,prepay_yrs))+D88/prepay_yrs*MAX(0,MIN(5,prepay_yrs)-MIN(4,prepay_yrs))+E88/prepay_yrs*MAX(0,MIN(4,prepay_yrs)-MIN(3,prepay_yrs))+F88/prepay_yrs*MAX(0,MIN(3,prepay_yrs)-MIN(2,prepay_yrs))+G88/prepay_yrs*MAX(0,MIN(2,prepay_yrs)-MIN(1,prepay_yrs))+H88/prepay_yrs*MAX(0,MIN(1,prepay_yrs)-MIN(0,prepay_yrs))</f>
        <v>9.39275387806079</v>
      </c>
      <c r="J89" s="5" t="s">
        <v>846</v>
      </c>
    </row>
    <row r="90" customFormat="false" ht="17.15" hidden="false" customHeight="false" outlineLevel="0" collapsed="false">
      <c r="A90" s="5" t="s">
        <v>658</v>
      </c>
      <c r="B90" s="0" t="s">
        <v>202</v>
      </c>
      <c r="C90" s="13" t="n">
        <f aca="false">Q!L28</f>
        <v>31.977</v>
      </c>
      <c r="D90" s="13" t="n">
        <f aca="false">cfo_q1+(D85-Q!I27)+(D86-Q!I24)+(D87-sbc_q1)+D88-D89</f>
        <v>64.1974507210722</v>
      </c>
      <c r="E90" s="13" t="n">
        <f aca="false">E85+E86+E87+E88-E89</f>
        <v>45.7334310057647</v>
      </c>
      <c r="F90" s="13" t="n">
        <f aca="false">F85+F86+F87+F88-F89</f>
        <v>48.7408211887993</v>
      </c>
      <c r="G90" s="13" t="n">
        <f aca="false">G85+G86+G87+G88-G89</f>
        <v>54.7385758747233</v>
      </c>
      <c r="H90" s="13" t="n">
        <f aca="false">H85+H86+H87+H88-H89</f>
        <v>58.6867238694327</v>
      </c>
      <c r="I90" s="13" t="n">
        <f aca="false">I85+I86+I87+I88-I89</f>
        <v>76.6990621073734</v>
      </c>
      <c r="J90" s="8" t="s">
        <v>847</v>
      </c>
    </row>
    <row r="91" customFormat="false" ht="17.15" hidden="false" customHeight="false" outlineLevel="0" collapsed="false">
      <c r="A91" s="5" t="s">
        <v>848</v>
      </c>
      <c r="B91" s="0" t="s">
        <v>202</v>
      </c>
      <c r="D91" s="13" t="n">
        <f aca="false">Thesis!E95</f>
        <v>87.5307862044304</v>
      </c>
      <c r="E91" s="13" t="n">
        <f aca="false">Thesis!F95</f>
        <v>35.84791</v>
      </c>
      <c r="F91" s="13" t="n">
        <f aca="false">Thesis!G95</f>
        <v>33.8186954132</v>
      </c>
      <c r="G91" s="13" t="n">
        <f aca="false">Thesis!H95</f>
        <v>29.7890160823973</v>
      </c>
      <c r="H91" s="13" t="n">
        <f aca="false">Thesis!I95</f>
        <v>17.2067297068132</v>
      </c>
      <c r="I91" s="13" t="n">
        <f aca="false">Thesis!J95</f>
        <v>59.6565679608723</v>
      </c>
    </row>
    <row r="92" customFormat="false" ht="17.15" hidden="false" customHeight="false" outlineLevel="0" collapsed="false">
      <c r="A92" s="5" t="s">
        <v>849</v>
      </c>
      <c r="B92" s="0" t="s">
        <v>202</v>
      </c>
      <c r="D92" s="13" t="n">
        <f aca="false">capex_g27-D91</f>
        <v>4.96921379556963</v>
      </c>
      <c r="E92" s="13" t="n">
        <f aca="false">nonai_cx*(PL!E101-Thesis!F89)</f>
        <v>5.3066615880423</v>
      </c>
      <c r="F92" s="13" t="n">
        <f aca="false">nonai_cx*(PL!F101-Thesis!G89)</f>
        <v>5.64609711516213</v>
      </c>
      <c r="G92" s="13" t="n">
        <f aca="false">nonai_cx*(PL!G101-Thesis!H89)</f>
        <v>5.97624659290628</v>
      </c>
      <c r="H92" s="13" t="n">
        <f aca="false">nonai_cx*(PL!H101-Thesis!I89)</f>
        <v>6.28534832012898</v>
      </c>
      <c r="I92" s="13" t="n">
        <f aca="false">nonai_cx*(PL!I101-Thesis!J89)</f>
        <v>6.56180003103841</v>
      </c>
    </row>
    <row r="93" customFormat="false" ht="17.15" hidden="false" customHeight="false" outlineLevel="0" collapsed="false">
      <c r="A93" s="5" t="s">
        <v>850</v>
      </c>
      <c r="B93" s="0" t="s">
        <v>202</v>
      </c>
      <c r="C93" s="13" t="n">
        <f aca="false">Q!L29</f>
        <v>55.663</v>
      </c>
      <c r="D93" s="13" t="n">
        <f aca="false">D91+D92</f>
        <v>92.5</v>
      </c>
      <c r="E93" s="13" t="n">
        <f aca="false">E91+E92</f>
        <v>41.1545715880423</v>
      </c>
      <c r="F93" s="13" t="n">
        <f aca="false">F91+F92</f>
        <v>39.4647925283621</v>
      </c>
      <c r="G93" s="13" t="n">
        <f aca="false">G91+G92</f>
        <v>35.7652626753036</v>
      </c>
      <c r="H93" s="13" t="n">
        <f aca="false">H91+H92</f>
        <v>23.4920780269422</v>
      </c>
      <c r="I93" s="13" t="n">
        <f aca="false">I91+I92</f>
        <v>66.2183679919107</v>
      </c>
      <c r="J93" s="8" t="s">
        <v>851</v>
      </c>
    </row>
    <row r="94" customFormat="false" ht="15" hidden="false" customHeight="false" outlineLevel="0" collapsed="false">
      <c r="A94" s="5" t="s">
        <v>852</v>
      </c>
      <c r="B94" s="0" t="s">
        <v>202</v>
      </c>
      <c r="C94" s="13" t="n">
        <f aca="false">C90-C93</f>
        <v>-23.686</v>
      </c>
      <c r="D94" s="13" t="n">
        <f aca="false">D90-D93</f>
        <v>-28.3025492789278</v>
      </c>
      <c r="E94" s="13" t="n">
        <f aca="false">E90-E93</f>
        <v>4.57885941772242</v>
      </c>
      <c r="F94" s="13" t="n">
        <f aca="false">F90-F93</f>
        <v>9.27602866043713</v>
      </c>
      <c r="G94" s="13" t="n">
        <f aca="false">G90-G93</f>
        <v>18.9733131994197</v>
      </c>
      <c r="H94" s="13" t="n">
        <f aca="false">H90-H93</f>
        <v>35.1946458424904</v>
      </c>
      <c r="I94" s="13" t="n">
        <f aca="false">I90-I93</f>
        <v>10.4806941154627</v>
      </c>
    </row>
    <row r="95" customFormat="false" ht="15" hidden="false" customHeight="false" outlineLevel="0" collapsed="false">
      <c r="A95" s="5" t="s">
        <v>853</v>
      </c>
      <c r="B95" s="0" t="s">
        <v>202</v>
      </c>
      <c r="C95" s="13" t="n">
        <f aca="false">Q!L31</f>
        <v>5.787</v>
      </c>
      <c r="D95" s="13" t="n">
        <f aca="false">div_q1+dps_q*3*D112+pref27</f>
        <v>6.344604</v>
      </c>
      <c r="E95" s="13" t="n">
        <f aca="false">dps_q*4*E112+PL!E118</f>
        <v>6.38321033058205</v>
      </c>
      <c r="F95" s="13" t="n">
        <f aca="false">dps_q*4*F112+PL!F118</f>
        <v>6.33401795151845</v>
      </c>
      <c r="G95" s="13" t="n">
        <f aca="false">dps_q*4*G112+PL!G118</f>
        <v>6.15249395151846</v>
      </c>
      <c r="H95" s="13" t="n">
        <f aca="false">dps_q*4*H112+PL!H118</f>
        <v>6.15249395151846</v>
      </c>
      <c r="I95" s="13" t="n">
        <f aca="false">dps_q*4*I112+PL!I118</f>
        <v>6.15249395151846</v>
      </c>
    </row>
    <row r="96" customFormat="false" ht="15" hidden="false" customHeight="false" outlineLevel="0" collapsed="false">
      <c r="A96" s="5" t="s">
        <v>854</v>
      </c>
      <c r="B96" s="0" t="s">
        <v>202</v>
      </c>
      <c r="C96" s="13" t="n">
        <f aca="false">C94-C95</f>
        <v>-29.473</v>
      </c>
      <c r="D96" s="13" t="n">
        <f aca="false">D94-D95</f>
        <v>-34.6471532789278</v>
      </c>
      <c r="E96" s="13" t="n">
        <f aca="false">E94-E95</f>
        <v>-1.80435091285963</v>
      </c>
      <c r="F96" s="13" t="n">
        <f aca="false">F94-F95</f>
        <v>2.94201070891868</v>
      </c>
      <c r="G96" s="13" t="n">
        <f aca="false">G94-G95</f>
        <v>12.8208192479012</v>
      </c>
      <c r="H96" s="13" t="n">
        <f aca="false">H94-H95</f>
        <v>29.042151890972</v>
      </c>
      <c r="I96" s="13" t="n">
        <f aca="false">I94-I95</f>
        <v>4.32820016394426</v>
      </c>
    </row>
    <row r="97" customFormat="false" ht="17.15" hidden="false" customHeight="false" outlineLevel="0" collapsed="false">
      <c r="A97" s="5" t="s">
        <v>855</v>
      </c>
      <c r="B97" s="5" t="s">
        <v>163</v>
      </c>
      <c r="D97" s="0" t="n">
        <v>0.75</v>
      </c>
      <c r="E97" s="0" t="n">
        <v>1</v>
      </c>
      <c r="F97" s="0" t="n">
        <v>1</v>
      </c>
      <c r="G97" s="0" t="n">
        <v>1</v>
      </c>
      <c r="H97" s="0" t="n">
        <v>1</v>
      </c>
      <c r="I97" s="0" t="n">
        <v>1</v>
      </c>
    </row>
    <row r="98" customFormat="false" ht="17.15" hidden="false" customHeight="false" outlineLevel="0" collapsed="false">
      <c r="A98" s="5" t="s">
        <v>856</v>
      </c>
      <c r="B98" s="0" t="s">
        <v>202</v>
      </c>
      <c r="D98" s="13" t="n">
        <f aca="false">cash_q1</f>
        <v>37.077</v>
      </c>
      <c r="E98" s="13" t="n">
        <f aca="false">D107</f>
        <v>10</v>
      </c>
      <c r="F98" s="13" t="n">
        <f aca="false">E107</f>
        <v>10</v>
      </c>
      <c r="G98" s="13" t="n">
        <f aca="false">F107</f>
        <v>12.9420107089187</v>
      </c>
      <c r="H98" s="13" t="n">
        <f aca="false">G107</f>
        <v>25.7628299568199</v>
      </c>
      <c r="I98" s="13" t="n">
        <f aca="false">H107</f>
        <v>54.8049818477919</v>
      </c>
    </row>
    <row r="99" customFormat="false" ht="17.15" hidden="false" customHeight="false" outlineLevel="0" collapsed="false">
      <c r="A99" s="5" t="s">
        <v>857</v>
      </c>
      <c r="B99" s="0" t="s">
        <v>202</v>
      </c>
      <c r="D99" s="13" t="n">
        <f aca="false">D96-(cfo_q1-capex_q1-div_q1)</f>
        <v>-27.6861532789278</v>
      </c>
      <c r="E99" s="13" t="n">
        <f aca="false">E96</f>
        <v>-1.80435091285963</v>
      </c>
      <c r="F99" s="13" t="n">
        <f aca="false">F96</f>
        <v>2.94201070891868</v>
      </c>
      <c r="G99" s="13" t="n">
        <f aca="false">G96</f>
        <v>12.8208192479012</v>
      </c>
      <c r="H99" s="13" t="n">
        <f aca="false">H96</f>
        <v>29.042151890972</v>
      </c>
      <c r="I99" s="13" t="n">
        <f aca="false">I96</f>
        <v>4.32820016394426</v>
      </c>
    </row>
    <row r="100" customFormat="false" ht="15" hidden="false" customHeight="false" outlineLevel="0" collapsed="false">
      <c r="A100" s="5" t="s">
        <v>858</v>
      </c>
      <c r="B100" s="0" t="s">
        <v>202</v>
      </c>
      <c r="D100" s="13" t="n">
        <f aca="false">MAX(0,-(D99+D98-min_cash))</f>
        <v>0.609153278927764</v>
      </c>
      <c r="E100" s="13" t="n">
        <f aca="false">MAX(0,-(E99+E98-min_cash))</f>
        <v>1.80435091285963</v>
      </c>
      <c r="F100" s="13" t="n">
        <f aca="false">MAX(0,-(F99+F98-min_cash))</f>
        <v>0</v>
      </c>
      <c r="G100" s="13" t="n">
        <f aca="false">MAX(0,-(G99+G98-min_cash))</f>
        <v>0</v>
      </c>
      <c r="H100" s="13" t="n">
        <f aca="false">MAX(0,-(H99+H98-min_cash))</f>
        <v>0</v>
      </c>
      <c r="I100" s="13" t="n">
        <f aca="false">MAX(0,-(I99+I98-min_cash))</f>
        <v>0</v>
      </c>
    </row>
    <row r="101" customFormat="false" ht="17.15" hidden="false" customHeight="false" outlineLevel="0" collapsed="false">
      <c r="A101" s="0" t="s">
        <v>859</v>
      </c>
      <c r="B101" s="0" t="s">
        <v>202</v>
      </c>
      <c r="D101" s="13" t="n">
        <f aca="false">PL!D125+Thesis!E92+rent_on</f>
        <v>46.2283424469379</v>
      </c>
      <c r="E101" s="13" t="n">
        <f aca="false">PL!E125+Thesis!F92+rent_on</f>
        <v>56.3443349707253</v>
      </c>
      <c r="F101" s="13" t="n">
        <f aca="false">PL!F125+Thesis!G92+rent_on</f>
        <v>67.3468805122269</v>
      </c>
      <c r="G101" s="13" t="n">
        <f aca="false">PL!G125+Thesis!H92+rent_on</f>
        <v>78.6666814222823</v>
      </c>
      <c r="H101" s="13" t="n">
        <f aca="false">PL!H125+Thesis!I92+rent_on</f>
        <v>87.3848914641351</v>
      </c>
      <c r="I101" s="13" t="n">
        <f aca="false">PL!I125+Thesis!J92+rent_on</f>
        <v>93.1706602394666</v>
      </c>
      <c r="J101" s="8" t="s">
        <v>860</v>
      </c>
    </row>
    <row r="102" customFormat="false" ht="17.15" hidden="false" customHeight="false" outlineLevel="0" collapsed="false">
      <c r="A102" s="5" t="s">
        <v>861</v>
      </c>
      <c r="B102" s="0" t="s">
        <v>202</v>
      </c>
      <c r="D102" s="27" t="n">
        <f aca="false">lease_on+MIN(1,(lease_q0+4*0)/lease_q)*lease_unc/lease_term*(1-(1+lease_r)^-lease_term)/lease_r</f>
        <v>93.2762339530424</v>
      </c>
      <c r="E102" s="27" t="n">
        <f aca="false">lease_on+MIN(1,(lease_q0+4*1)/lease_q)*lease_unc/lease_term*(1-(1+lease_r)^-lease_term)/lease_r</f>
        <v>159.236545890432</v>
      </c>
      <c r="F102" s="27" t="n">
        <f aca="false">lease_on+MIN(1,(lease_q0+4*2)/lease_q)*lease_unc/lease_term*(1-(1+lease_r)^-lease_term)/lease_r</f>
        <v>225.196857827822</v>
      </c>
      <c r="G102" s="27" t="n">
        <f aca="false">lease_on+MIN(1,(lease_q0+4*3)/lease_q)*lease_unc/lease_term*(1-(1+lease_r)^-lease_term)/lease_r</f>
        <v>225.196857827822</v>
      </c>
      <c r="H102" s="27" t="n">
        <f aca="false">lease_on+MIN(1,(lease_q0+4*4)/lease_q)*lease_unc/lease_term*(1-(1+lease_r)^-lease_term)/lease_r</f>
        <v>225.196857827822</v>
      </c>
      <c r="I102" s="27" t="n">
        <f aca="false">lease_on+MIN(1,(lease_q0+4*5)/lease_q)*lease_unc/lease_term*(1-(1+lease_r)^-lease_term)/lease_r</f>
        <v>225.196857827822</v>
      </c>
      <c r="J102" s="5" t="s">
        <v>862</v>
      </c>
    </row>
    <row r="103" customFormat="false" ht="17.15" hidden="false" customHeight="false" outlineLevel="0" collapsed="false">
      <c r="A103" s="5" t="s">
        <v>863</v>
      </c>
      <c r="B103" s="0" t="s">
        <v>202</v>
      </c>
      <c r="D103" s="13" t="n">
        <f aca="false">MAX(0,lev_max*D101-D102-debt_q1)</f>
        <v>0</v>
      </c>
      <c r="E103" s="13" t="n">
        <f aca="false">MAX(0,lev_max*E101-E102-(debt_q1+D108))</f>
        <v>0</v>
      </c>
      <c r="F103" s="13" t="n">
        <f aca="false">MAX(0,lev_max*F101-F102-(debt_q1+E108))</f>
        <v>0</v>
      </c>
      <c r="G103" s="13" t="n">
        <f aca="false">MAX(0,lev_max*G101-G102-(debt_q1+F108))</f>
        <v>3.80320857244831</v>
      </c>
      <c r="H103" s="13" t="n">
        <f aca="false">MAX(0,lev_max*H101-H102-(debt_q1+G108))</f>
        <v>43.0351537607859</v>
      </c>
      <c r="I103" s="13" t="n">
        <f aca="false">MAX(0,lev_max*I101-I102-(debt_q1+H108))</f>
        <v>69.0711132497777</v>
      </c>
      <c r="J103" s="8" t="s">
        <v>864</v>
      </c>
    </row>
    <row r="104" customFormat="false" ht="15" hidden="false" customHeight="false" outlineLevel="0" collapsed="false">
      <c r="A104" s="5" t="s">
        <v>865</v>
      </c>
      <c r="B104" s="0" t="s">
        <v>202</v>
      </c>
      <c r="D104" s="13" t="n">
        <f aca="false">MIN(D100,D103)</f>
        <v>0</v>
      </c>
      <c r="E104" s="13" t="n">
        <f aca="false">MIN(E100,E103)</f>
        <v>0</v>
      </c>
      <c r="F104" s="13" t="n">
        <f aca="false">MIN(F100,F103)</f>
        <v>0</v>
      </c>
      <c r="G104" s="13" t="n">
        <f aca="false">MIN(G100,G103)</f>
        <v>0</v>
      </c>
      <c r="H104" s="13" t="n">
        <f aca="false">MIN(H100,H103)</f>
        <v>0</v>
      </c>
      <c r="I104" s="13" t="n">
        <f aca="false">MIN(I100,I103)</f>
        <v>0</v>
      </c>
    </row>
    <row r="105" customFormat="false" ht="15" hidden="false" customHeight="false" outlineLevel="0" collapsed="false">
      <c r="A105" s="5" t="s">
        <v>866</v>
      </c>
      <c r="B105" s="0" t="s">
        <v>202</v>
      </c>
      <c r="D105" s="13" t="n">
        <f aca="false">MIN(D100-D104,eq_cap*px*D112*D97)</f>
        <v>0.609153278927764</v>
      </c>
      <c r="E105" s="13" t="n">
        <f aca="false">MIN(E100-E104,eq_cap*px*E112*E97)</f>
        <v>1.80435091285963</v>
      </c>
      <c r="F105" s="13" t="n">
        <f aca="false">MIN(F100-F104,eq_cap*px*F112*F97)</f>
        <v>0</v>
      </c>
      <c r="G105" s="13" t="n">
        <f aca="false">MIN(G100-G104,eq_cap*px*G112*G97)</f>
        <v>0</v>
      </c>
      <c r="H105" s="13" t="n">
        <f aca="false">MIN(H100-H104,eq_cap*px*H112*H97)</f>
        <v>0</v>
      </c>
      <c r="I105" s="13" t="n">
        <f aca="false">MIN(I100-I104,eq_cap*px*I112*I97)</f>
        <v>0</v>
      </c>
    </row>
    <row r="106" customFormat="false" ht="15" hidden="false" customHeight="false" outlineLevel="0" collapsed="false">
      <c r="A106" s="5" t="s">
        <v>867</v>
      </c>
      <c r="B106" s="0" t="s">
        <v>202</v>
      </c>
      <c r="D106" s="13" t="n">
        <f aca="false">D100-D104-D105</f>
        <v>0</v>
      </c>
      <c r="E106" s="13" t="n">
        <f aca="false">E100-E104-E105</f>
        <v>0</v>
      </c>
      <c r="F106" s="13" t="n">
        <f aca="false">F100-F104-F105</f>
        <v>0</v>
      </c>
      <c r="G106" s="13" t="n">
        <f aca="false">G100-G104-G105</f>
        <v>0</v>
      </c>
      <c r="H106" s="13" t="n">
        <f aca="false">H100-H104-H105</f>
        <v>0</v>
      </c>
      <c r="I106" s="13" t="n">
        <f aca="false">I100-I104-I105</f>
        <v>0</v>
      </c>
    </row>
    <row r="107" customFormat="false" ht="15" hidden="false" customHeight="false" outlineLevel="0" collapsed="false">
      <c r="A107" s="5" t="s">
        <v>868</v>
      </c>
      <c r="B107" s="0" t="s">
        <v>202</v>
      </c>
      <c r="D107" s="13" t="n">
        <f aca="false">D98+D99+D104+D105+D106</f>
        <v>10</v>
      </c>
      <c r="E107" s="13" t="n">
        <f aca="false">E98+E99+E104+E105+E106</f>
        <v>10</v>
      </c>
      <c r="F107" s="13" t="n">
        <f aca="false">F98+F99+F104+F105+F106</f>
        <v>12.9420107089187</v>
      </c>
      <c r="G107" s="13" t="n">
        <f aca="false">G98+G99+G104+G105+G106</f>
        <v>25.7628299568199</v>
      </c>
      <c r="H107" s="13" t="n">
        <f aca="false">H98+H99+H104+H105+H106</f>
        <v>54.8049818477919</v>
      </c>
      <c r="I107" s="13" t="n">
        <f aca="false">I98+I99+I104+I105+I106</f>
        <v>59.1331820117361</v>
      </c>
    </row>
    <row r="108" customFormat="false" ht="15" hidden="false" customHeight="false" outlineLevel="0" collapsed="false">
      <c r="A108" s="5" t="s">
        <v>869</v>
      </c>
      <c r="B108" s="0" t="s">
        <v>202</v>
      </c>
      <c r="D108" s="13" t="n">
        <f aca="false">D104</f>
        <v>0</v>
      </c>
      <c r="E108" s="13" t="n">
        <f aca="false">D108+E104</f>
        <v>0</v>
      </c>
      <c r="F108" s="13" t="n">
        <f aca="false">E108+F104</f>
        <v>0</v>
      </c>
      <c r="G108" s="13" t="n">
        <f aca="false">F108+G104</f>
        <v>0</v>
      </c>
      <c r="H108" s="13" t="n">
        <f aca="false">G108+H104</f>
        <v>0</v>
      </c>
      <c r="I108" s="13" t="n">
        <f aca="false">H108+I104</f>
        <v>0</v>
      </c>
    </row>
    <row r="109" customFormat="false" ht="15" hidden="false" customHeight="false" outlineLevel="0" collapsed="false">
      <c r="A109" s="5" t="s">
        <v>870</v>
      </c>
      <c r="B109" s="0" t="s">
        <v>202</v>
      </c>
      <c r="D109" s="13" t="n">
        <f aca="false">D106</f>
        <v>0</v>
      </c>
      <c r="E109" s="13" t="n">
        <f aca="false">D109+E106</f>
        <v>0</v>
      </c>
      <c r="F109" s="13" t="n">
        <f aca="false">E109+F106</f>
        <v>0</v>
      </c>
      <c r="G109" s="13" t="n">
        <f aca="false">F109+G106</f>
        <v>0</v>
      </c>
      <c r="H109" s="13" t="n">
        <f aca="false">G109+H106</f>
        <v>0</v>
      </c>
      <c r="I109" s="13" t="n">
        <f aca="false">H109+I106</f>
        <v>0</v>
      </c>
    </row>
    <row r="110" customFormat="false" ht="15" hidden="false" customHeight="false" outlineLevel="0" collapsed="false">
      <c r="A110" s="5" t="s">
        <v>871</v>
      </c>
      <c r="B110" s="0" t="s">
        <v>202</v>
      </c>
      <c r="D110" s="13" t="n">
        <f aca="false">debt_q1+D108+D109</f>
        <v>125</v>
      </c>
      <c r="E110" s="13" t="n">
        <f aca="false">debt_q1+E108+E109</f>
        <v>125</v>
      </c>
      <c r="F110" s="13" t="n">
        <f aca="false">debt_q1+F108+F109</f>
        <v>125</v>
      </c>
      <c r="G110" s="13" t="n">
        <f aca="false">debt_q1+G108+G109</f>
        <v>125</v>
      </c>
      <c r="H110" s="13" t="n">
        <f aca="false">debt_q1+H108+H109</f>
        <v>125</v>
      </c>
      <c r="I110" s="13" t="n">
        <f aca="false">debt_q1+I108+I109</f>
        <v>125</v>
      </c>
    </row>
    <row r="111" customFormat="false" ht="17.15" hidden="false" customHeight="false" outlineLevel="0" collapsed="false">
      <c r="A111" s="5" t="s">
        <v>872</v>
      </c>
      <c r="B111" s="0" t="s">
        <v>92</v>
      </c>
      <c r="D111" s="24" t="n">
        <f aca="false">(D110+D102)/D101</f>
        <v>4.72169717535483</v>
      </c>
      <c r="E111" s="24" t="n">
        <f aca="false">(E110+E102)/E101</f>
        <v>5.04463396432157</v>
      </c>
      <c r="F111" s="24" t="n">
        <f aca="false">(F110+F102)/F101</f>
        <v>5.19989723598621</v>
      </c>
      <c r="G111" s="24" t="n">
        <f aca="false">(G110+G102)/G101</f>
        <v>4.45165413738464</v>
      </c>
      <c r="H111" s="24" t="n">
        <f aca="false">(H110+H102)/H101</f>
        <v>4.00752180337206</v>
      </c>
      <c r="I111" s="24" t="n">
        <f aca="false">(I110+I102)/I101</f>
        <v>3.75866025772221</v>
      </c>
    </row>
    <row r="112" customFormat="false" ht="15" hidden="false" customHeight="false" outlineLevel="0" collapsed="false">
      <c r="A112" s="5" t="s">
        <v>873</v>
      </c>
      <c r="B112" s="5" t="s">
        <v>34</v>
      </c>
      <c r="D112" s="13" t="n">
        <f aca="false">sh_out</f>
        <v>3.023736</v>
      </c>
      <c r="E112" s="13" t="n">
        <f aca="false">D114</f>
        <v>3.02910516529102</v>
      </c>
      <c r="F112" s="13" t="n">
        <f aca="false">E114</f>
        <v>3.04500897575923</v>
      </c>
      <c r="G112" s="13" t="n">
        <f aca="false">F114</f>
        <v>3.07624697575923</v>
      </c>
      <c r="H112" s="13" t="n">
        <f aca="false">G114</f>
        <v>3.07624697575923</v>
      </c>
      <c r="I112" s="13" t="n">
        <f aca="false">H114</f>
        <v>3.07624697575923</v>
      </c>
    </row>
    <row r="113" customFormat="false" ht="15" hidden="false" customHeight="false" outlineLevel="0" collapsed="false">
      <c r="A113" s="5" t="s">
        <v>874</v>
      </c>
      <c r="B113" s="5" t="s">
        <v>34</v>
      </c>
      <c r="D113" s="13" t="n">
        <f aca="false">D105/(px*(1-eq_disc))</f>
        <v>0.00536916529102335</v>
      </c>
      <c r="E113" s="13" t="n">
        <f aca="false">E105/(px*(1-eq_disc))</f>
        <v>0.0159038104682041</v>
      </c>
      <c r="F113" s="13" t="n">
        <f aca="false">F105/(px*(1-eq_disc))</f>
        <v>0</v>
      </c>
      <c r="G113" s="13" t="n">
        <f aca="false">G105/(px*(1-eq_disc))</f>
        <v>0</v>
      </c>
      <c r="H113" s="13" t="n">
        <f aca="false">H105/(px*(1-eq_disc))</f>
        <v>0</v>
      </c>
      <c r="I113" s="13" t="n">
        <f aca="false">I105/(px*(1-eq_disc))</f>
        <v>0</v>
      </c>
    </row>
    <row r="114" customFormat="false" ht="17.15" hidden="false" customHeight="false" outlineLevel="0" collapsed="false">
      <c r="A114" s="5" t="s">
        <v>875</v>
      </c>
      <c r="B114" s="5" t="s">
        <v>34</v>
      </c>
      <c r="D114" s="13" t="n">
        <f aca="false">D112+D113</f>
        <v>3.02910516529102</v>
      </c>
      <c r="E114" s="13" t="n">
        <f aca="false">E112+E113</f>
        <v>3.04500897575923</v>
      </c>
      <c r="F114" s="13" t="n">
        <f aca="false">F112+F113+mcps_sh</f>
        <v>3.07624697575923</v>
      </c>
      <c r="G114" s="13" t="n">
        <f aca="false">G112+G113</f>
        <v>3.07624697575923</v>
      </c>
      <c r="H114" s="13" t="n">
        <f aca="false">H112+H113</f>
        <v>3.07624697575923</v>
      </c>
      <c r="I114" s="13" t="n">
        <f aca="false">I112+I113</f>
        <v>3.07624697575923</v>
      </c>
      <c r="J114" s="8" t="s">
        <v>876</v>
      </c>
    </row>
    <row r="115" customFormat="false" ht="17.15" hidden="false" customHeight="false" outlineLevel="0" collapsed="false">
      <c r="A115" s="5" t="s">
        <v>877</v>
      </c>
      <c r="B115" s="5" t="s">
        <v>34</v>
      </c>
      <c r="D115" s="13" t="n">
        <f aca="false">(0.75*(D112+D114)/2+0.25*shd_q1)+opt_dil*0.75</f>
        <v>3.04531543698413</v>
      </c>
      <c r="E115" s="13" t="n">
        <f aca="false">(E112+E114)/2+opt_dil</f>
        <v>3.07105707052513</v>
      </c>
      <c r="F115" s="13" t="n">
        <f aca="false">(F112+F114)/2+opt_dil</f>
        <v>3.09462797575923</v>
      </c>
      <c r="G115" s="13" t="n">
        <f aca="false">(G112+G114)/2+opt_dil</f>
        <v>3.11024697575923</v>
      </c>
      <c r="H115" s="13" t="n">
        <f aca="false">(H112+H114)/2+opt_dil</f>
        <v>3.11024697575923</v>
      </c>
      <c r="I115" s="13" t="n">
        <f aca="false">(I112+I114)/2+opt_dil</f>
        <v>3.11024697575923</v>
      </c>
      <c r="J115" s="8" t="s">
        <v>878</v>
      </c>
    </row>
    <row r="116" customFormat="false" ht="17.15" hidden="false" customHeight="false" outlineLevel="0" collapsed="false">
      <c r="A116" s="5" t="s">
        <v>656</v>
      </c>
      <c r="B116" s="0" t="s">
        <v>202</v>
      </c>
      <c r="D116" s="13" t="n">
        <f aca="false">int_q1+r_old*debt_q1*0.75</f>
        <v>5.712</v>
      </c>
      <c r="E116" s="13" t="n">
        <f aca="false">r_old*debt_q1+r_new*D108+r_junk*D109</f>
        <v>5.712</v>
      </c>
      <c r="F116" s="13" t="n">
        <f aca="false">r_old*debt_q1+r_new*E108+r_junk*E109</f>
        <v>5.712</v>
      </c>
      <c r="G116" s="13" t="n">
        <f aca="false">r_old*debt_q1+r_new*F108+r_junk*F109</f>
        <v>5.712</v>
      </c>
      <c r="H116" s="13" t="n">
        <f aca="false">r_old*debt_q1+r_new*G108+r_junk*G109</f>
        <v>5.712</v>
      </c>
      <c r="I116" s="13" t="n">
        <f aca="false">r_old*debt_q1+r_new*H108+r_junk*H109</f>
        <v>5.712</v>
      </c>
      <c r="J116" s="8" t="s">
        <v>879</v>
      </c>
    </row>
    <row r="117" customFormat="false" ht="15" hidden="false" customHeight="false" outlineLevel="0" collapsed="false">
      <c r="A117" s="5" t="s">
        <v>815</v>
      </c>
      <c r="B117" s="0" t="s">
        <v>202</v>
      </c>
      <c r="D117" s="13" t="n">
        <f aca="false">ii_q1+r_cash*D98*0.75</f>
        <v>1.24187082405345</v>
      </c>
      <c r="E117" s="13" t="n">
        <f aca="false">r_cash*E98</f>
        <v>0.336550358822074</v>
      </c>
      <c r="F117" s="13" t="n">
        <f aca="false">r_cash*F98</f>
        <v>0.336550358822074</v>
      </c>
      <c r="G117" s="13" t="n">
        <f aca="false">r_cash*G98</f>
        <v>0.43556383479657</v>
      </c>
      <c r="H117" s="13" t="n">
        <f aca="false">r_cash*H98</f>
        <v>0.86704896662398</v>
      </c>
      <c r="I117" s="13" t="n">
        <f aca="false">r_cash*I98</f>
        <v>1.84446363061116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0" t="s">
        <v>880</v>
      </c>
    </row>
    <row r="2" customFormat="false" ht="17.15" hidden="false" customHeight="false" outlineLevel="0" collapsed="false">
      <c r="A2" s="5" t="s">
        <v>881</v>
      </c>
    </row>
    <row r="3" customFormat="false" ht="15" hidden="false" customHeight="false" outlineLevel="0" collapsed="false">
      <c r="A3" s="6" t="s">
        <v>17</v>
      </c>
      <c r="B3" s="6" t="s">
        <v>18</v>
      </c>
      <c r="C3" s="6" t="s">
        <v>882</v>
      </c>
      <c r="D3" s="21"/>
      <c r="E3" s="21"/>
      <c r="F3" s="6" t="s">
        <v>598</v>
      </c>
    </row>
    <row r="4" customFormat="false" ht="17.15" hidden="false" customHeight="false" outlineLevel="0" collapsed="false">
      <c r="A4" s="5" t="s">
        <v>27</v>
      </c>
      <c r="B4" s="0" t="s">
        <v>28</v>
      </c>
      <c r="C4" s="26" t="n">
        <f aca="false">px</f>
        <v>126.06</v>
      </c>
      <c r="F4" s="8" t="s">
        <v>883</v>
      </c>
    </row>
    <row r="5" customFormat="false" ht="17.15" hidden="false" customHeight="false" outlineLevel="0" collapsed="false">
      <c r="A5" s="5" t="s">
        <v>884</v>
      </c>
      <c r="B5" s="0" t="s">
        <v>98</v>
      </c>
      <c r="C5" s="28" t="n">
        <f aca="false">rf+beta*erp</f>
        <v>0.1248235</v>
      </c>
    </row>
    <row r="6" customFormat="false" ht="17.15" hidden="false" customHeight="false" outlineLevel="0" collapsed="false">
      <c r="A6" s="5" t="s">
        <v>885</v>
      </c>
      <c r="B6" s="0" t="s">
        <v>98</v>
      </c>
      <c r="C6" s="28" t="n">
        <f aca="false">kd*(1-etr)</f>
        <v>0.049242</v>
      </c>
    </row>
    <row r="7" customFormat="false" ht="17.15" hidden="false" customHeight="false" outlineLevel="0" collapsed="false">
      <c r="A7" s="5" t="s">
        <v>886</v>
      </c>
      <c r="B7" s="0" t="s">
        <v>202</v>
      </c>
      <c r="C7" s="27" t="n">
        <f aca="false">px*sh_out</f>
        <v>381.17216016</v>
      </c>
    </row>
    <row r="8" customFormat="false" ht="17.15" hidden="false" customHeight="false" outlineLevel="0" collapsed="false">
      <c r="A8" s="5" t="s">
        <v>887</v>
      </c>
      <c r="B8" s="0" t="s">
        <v>202</v>
      </c>
      <c r="C8" s="27" t="n">
        <f aca="false">debt_q1+finlease_q1</f>
        <v>134.185</v>
      </c>
    </row>
    <row r="9" customFormat="false" ht="17.15" hidden="false" customHeight="false" outlineLevel="0" collapsed="false">
      <c r="A9" s="0" t="s">
        <v>888</v>
      </c>
      <c r="B9" s="0" t="s">
        <v>98</v>
      </c>
      <c r="C9" s="28" t="n">
        <f aca="false">(C7*C5+C8*C6)/(C7+C8)+wacc_adj</f>
        <v>0.105144131279575</v>
      </c>
      <c r="F9" s="5" t="s">
        <v>889</v>
      </c>
    </row>
    <row r="10" customFormat="false" ht="17.15" hidden="false" customHeight="false" outlineLevel="0" collapsed="false">
      <c r="A10" s="5" t="s">
        <v>890</v>
      </c>
      <c r="B10" s="0" t="s">
        <v>202</v>
      </c>
      <c r="C10" s="27" t="n">
        <f aca="false">debt_q1+finlease_q1-cash_q1</f>
        <v>97.108</v>
      </c>
      <c r="F10" s="5" t="s">
        <v>891</v>
      </c>
    </row>
    <row r="11" customFormat="false" ht="15" hidden="false" customHeight="false" outlineLevel="0" collapsed="false">
      <c r="A11" s="5" t="s">
        <v>892</v>
      </c>
      <c r="B11" s="5" t="s">
        <v>34</v>
      </c>
      <c r="C11" s="11" t="n">
        <f aca="false">sh_out+opt_dil+mcps_sh</f>
        <v>3.088974</v>
      </c>
    </row>
    <row r="12" customFormat="false" ht="17.15" hidden="false" customHeight="false" outlineLevel="0" collapsed="false">
      <c r="A12" s="5" t="s">
        <v>893</v>
      </c>
      <c r="B12" s="5" t="s">
        <v>163</v>
      </c>
      <c r="C12" s="11" t="n">
        <f aca="false">(tp_date-val_date)/365.25</f>
        <v>1.16632443531828</v>
      </c>
      <c r="F12" s="8" t="s">
        <v>894</v>
      </c>
    </row>
    <row r="13" customFormat="false" ht="17.15" hidden="false" customHeight="false" outlineLevel="0" collapsed="false">
      <c r="A13" s="0" t="s">
        <v>895</v>
      </c>
      <c r="B13" s="5" t="s">
        <v>163</v>
      </c>
      <c r="C13" s="11" t="n">
        <f aca="false">(fy28_end-tp_date)/365.25</f>
        <v>0.583162217659138</v>
      </c>
      <c r="F13" s="5" t="s">
        <v>896</v>
      </c>
    </row>
    <row r="14" customFormat="false" ht="17.15" hidden="false" customHeight="false" outlineLevel="0" collapsed="false">
      <c r="A14" s="5" t="s">
        <v>897</v>
      </c>
      <c r="B14" s="0" t="s">
        <v>98</v>
      </c>
      <c r="C14" s="28" t="n">
        <f aca="false">C9+ronic_adj</f>
        <v>0.105144131279575</v>
      </c>
      <c r="F14" s="8" t="s">
        <v>898</v>
      </c>
    </row>
    <row r="16" customFormat="false" ht="17.15" hidden="false" customHeight="false" outlineLevel="0" collapsed="false">
      <c r="A16" s="1" t="s">
        <v>899</v>
      </c>
    </row>
    <row r="17" customFormat="false" ht="17.15" hidden="false" customHeight="false" outlineLevel="0" collapsed="false">
      <c r="A17" s="6" t="s">
        <v>17</v>
      </c>
      <c r="B17" s="6" t="s">
        <v>900</v>
      </c>
      <c r="C17" s="6" t="s">
        <v>762</v>
      </c>
      <c r="D17" s="6" t="s">
        <v>763</v>
      </c>
      <c r="E17" s="6" t="s">
        <v>764</v>
      </c>
      <c r="F17" s="6" t="s">
        <v>598</v>
      </c>
    </row>
    <row r="18" customFormat="false" ht="17.15" hidden="false" customHeight="false" outlineLevel="0" collapsed="false">
      <c r="A18" s="0" t="s">
        <v>901</v>
      </c>
      <c r="B18" s="11" t="n">
        <v>0.375</v>
      </c>
      <c r="C18" s="26" t="n">
        <f aca="false">(PL!D30-Q!I21)*(1-etr)+(PL!D43-Q!I24)-(CF!D23-capex_q1)+CF!D18-CF!D19</f>
        <v>-17.3800742161603</v>
      </c>
      <c r="D18" s="26" t="n">
        <f aca="false">(PL!D70-Q!I21)*(1-etr)+(PL!D83-Q!I24)-(CF!D58-capex_q1)+CF!D53-CF!D54</f>
        <v>-21.6867272649877</v>
      </c>
      <c r="E18" s="26" t="n">
        <f aca="false">(PL!D110-Q!I21)*(1-etr)+(PL!D123-Q!I24)-(CF!D93-capex_q1)+CF!D88-CF!D89</f>
        <v>-24.2362893771911</v>
      </c>
    </row>
    <row r="19" customFormat="false" ht="15" hidden="false" customHeight="false" outlineLevel="0" collapsed="false">
      <c r="A19" s="0" t="s">
        <v>902</v>
      </c>
      <c r="B19" s="11" t="n">
        <v>1.25</v>
      </c>
      <c r="C19" s="26" t="n">
        <f aca="false">PL!E30*(1-etr)+PL!E43-CF!E23+CF!E18-CF!E19</f>
        <v>-5.87349111081535</v>
      </c>
      <c r="D19" s="26" t="n">
        <f aca="false">PL!E70*(1-etr)+PL!E83-CF!E58+CF!E53-CF!E54</f>
        <v>-15.1872686358521</v>
      </c>
      <c r="E19" s="26" t="n">
        <f aca="false">PL!E110*(1-etr)+PL!E123-CF!E93+CF!E88-CF!E89</f>
        <v>3.63081608369489</v>
      </c>
    </row>
    <row r="20" customFormat="false" ht="15" hidden="false" customHeight="false" outlineLevel="0" collapsed="false">
      <c r="A20" s="0" t="s">
        <v>903</v>
      </c>
      <c r="B20" s="11" t="n">
        <v>2.25</v>
      </c>
      <c r="C20" s="26" t="n">
        <f aca="false">PL!F30*(1-etr)+PL!F43-CF!F23+CF!F18-CF!F19</f>
        <v>54.5593899418844</v>
      </c>
      <c r="D20" s="26" t="n">
        <f aca="false">PL!F70*(1-etr)+PL!F83-CF!F58+CF!F53-CF!F54</f>
        <v>33.5746467695881</v>
      </c>
      <c r="E20" s="26" t="n">
        <f aca="false">PL!F110*(1-etr)+PL!F123-CF!F93+CF!F88-CF!F89</f>
        <v>8.10751332323411</v>
      </c>
    </row>
    <row r="21" customFormat="false" ht="15" hidden="false" customHeight="false" outlineLevel="0" collapsed="false">
      <c r="A21" s="0" t="s">
        <v>904</v>
      </c>
      <c r="B21" s="11" t="n">
        <v>3.25</v>
      </c>
      <c r="C21" s="26" t="n">
        <f aca="false">PL!G30*(1-etr)+PL!G43-CF!G23+CF!G18-CF!G19</f>
        <v>53.3854311374438</v>
      </c>
      <c r="D21" s="26" t="n">
        <f aca="false">PL!G70*(1-etr)+PL!G83-CF!G58+CF!G53-CF!G54</f>
        <v>53.3327948825282</v>
      </c>
      <c r="E21" s="26" t="n">
        <f aca="false">PL!G110*(1-etr)+PL!G123-CF!G93+CF!G88-CF!G89</f>
        <v>17.4914445378118</v>
      </c>
    </row>
    <row r="22" customFormat="false" ht="15" hidden="false" customHeight="false" outlineLevel="0" collapsed="false">
      <c r="A22" s="0" t="s">
        <v>905</v>
      </c>
      <c r="B22" s="11" t="n">
        <v>4.25</v>
      </c>
      <c r="C22" s="26" t="n">
        <f aca="false">PL!H30*(1-etr)+PL!H43-CF!H23+CF!H18-CF!H19</f>
        <v>52.8220668247433</v>
      </c>
      <c r="D22" s="26" t="n">
        <f aca="false">PL!H70*(1-etr)+PL!H83-CF!H58+CF!H53-CF!H54</f>
        <v>52.6097322567924</v>
      </c>
      <c r="E22" s="26" t="n">
        <f aca="false">PL!H110*(1-etr)+PL!H123-CF!H93+CF!H88-CF!H89</f>
        <v>33.1079837853265</v>
      </c>
    </row>
    <row r="23" customFormat="false" ht="15" hidden="false" customHeight="false" outlineLevel="0" collapsed="false">
      <c r="A23" s="0" t="s">
        <v>906</v>
      </c>
      <c r="B23" s="11" t="n">
        <v>5.25</v>
      </c>
      <c r="C23" s="26" t="n">
        <f aca="false">PL!I30*(1-etr)+PL!I43-CF!I23+CF!I18-CF!I19</f>
        <v>24.4356549215658</v>
      </c>
      <c r="D23" s="26" t="n">
        <f aca="false">PL!I70*(1-etr)+PL!I83-CF!I58+CF!I53-CF!I54</f>
        <v>24.0413569441788</v>
      </c>
      <c r="E23" s="26" t="n">
        <f aca="false">PL!I110*(1-etr)+PL!I123-CF!I93+CF!I88-CF!I89</f>
        <v>7.31620598919359</v>
      </c>
    </row>
    <row r="24" customFormat="false" ht="17.15" hidden="false" customHeight="false" outlineLevel="0" collapsed="false">
      <c r="A24" s="5" t="s">
        <v>907</v>
      </c>
      <c r="C24" s="26" t="n">
        <f aca="false">(PL!I30+Thesis!J27-Thesis!J6*cx_vr200/life_ai/1000)*(1-etr)</f>
        <v>26.8136345548223</v>
      </c>
      <c r="D24" s="26" t="n">
        <f aca="false">(PL!I70+Thesis!J62-Thesis!J41*cx_vr200/life_ai/1000)*(1-etr)</f>
        <v>26.9241319372687</v>
      </c>
      <c r="E24" s="26" t="n">
        <f aca="false">(PL!I110+Thesis!J97-Thesis!J76*cx_vr200/life_ai/1000)*(1-etr)</f>
        <v>22.610365342625</v>
      </c>
      <c r="F24" s="5" t="s">
        <v>908</v>
      </c>
    </row>
    <row r="25" customFormat="false" ht="17.15" hidden="false" customHeight="false" outlineLevel="0" collapsed="false">
      <c r="A25" s="5" t="s">
        <v>909</v>
      </c>
      <c r="B25" s="0" t="n">
        <v>5.75</v>
      </c>
      <c r="C25" s="27" t="n">
        <f aca="false">C24*(1+tp_g)*(1-tp_g/ronic)/(wacc-tp_g)</f>
        <v>262.668427190022</v>
      </c>
      <c r="D25" s="27" t="n">
        <f aca="false">D24*(1+tp_g)*(1-tp_g/ronic)/(wacc-tp_g)</f>
        <v>263.75086805034</v>
      </c>
      <c r="E25" s="27" t="n">
        <f aca="false">E24*(1+tp_g)*(1-tp_g/ronic)/(wacc-tp_g)</f>
        <v>221.492878579974</v>
      </c>
      <c r="F25" s="5" t="s">
        <v>910</v>
      </c>
    </row>
    <row r="26" customFormat="false" ht="15" hidden="false" customHeight="false" outlineLevel="0" collapsed="false">
      <c r="A26" s="5" t="s">
        <v>911</v>
      </c>
      <c r="C26" s="27" t="n">
        <f aca="false">C18/(1+wacc)^$B$18+C19/(1+wacc)^$B$19+C20/(1+wacc)^$B$20+C21/(1+wacc)^$B$21+C22/(1+wacc)^$B$22+C23/(1+wacc)^$B$23+C25/(1+wacc)^$B$25</f>
        <v>257.039683938678</v>
      </c>
      <c r="D26" s="27" t="n">
        <f aca="false">D18/(1+wacc)^$B$18+D19/(1+wacc)^$B$19+D20/(1+wacc)^$B$20+D21/(1+wacc)^$B$21+D22/(1+wacc)^$B$22+D23/(1+wacc)^$B$23+D25/(1+wacc)^$B$25</f>
        <v>228.113336100027</v>
      </c>
      <c r="E26" s="27" t="n">
        <f aca="false">E18/(1+wacc)^$B$18+E19/(1+wacc)^$B$19+E20/(1+wacc)^$B$20+E21/(1+wacc)^$B$21+E22/(1+wacc)^$B$22+E23/(1+wacc)^$B$23+E25/(1+wacc)^$B$25</f>
        <v>149.60140038133</v>
      </c>
    </row>
    <row r="27" customFormat="false" ht="15" hidden="false" customHeight="false" outlineLevel="0" collapsed="false">
      <c r="A27" s="5" t="s">
        <v>912</v>
      </c>
      <c r="C27" s="12" t="n">
        <f aca="false">C25/(1+wacc)^$B$25/C26</f>
        <v>0.575107319447624</v>
      </c>
      <c r="D27" s="12" t="n">
        <f aca="false">D25/(1+wacc)^$B$25/D26</f>
        <v>0.650705415983855</v>
      </c>
      <c r="E27" s="12" t="n">
        <f aca="false">E25/(1+wacc)^$B$25/E26</f>
        <v>0.833230787130791</v>
      </c>
    </row>
    <row r="28" customFormat="false" ht="15" hidden="false" customHeight="false" outlineLevel="0" collapsed="false">
      <c r="A28" s="5" t="s">
        <v>913</v>
      </c>
      <c r="C28" s="27" t="n">
        <f aca="false">C26-netdebt0</f>
        <v>159.931683938678</v>
      </c>
      <c r="D28" s="27" t="n">
        <f aca="false">D26-netdebt0</f>
        <v>131.005336100027</v>
      </c>
      <c r="E28" s="27" t="n">
        <f aca="false">E26-netdebt0</f>
        <v>52.4934003813299</v>
      </c>
    </row>
    <row r="29" customFormat="false" ht="17.15" hidden="false" customHeight="false" outlineLevel="0" collapsed="false">
      <c r="A29" s="0" t="s">
        <v>914</v>
      </c>
      <c r="C29" s="26" t="n">
        <f aca="false">MAX(0,C28/shfd)</f>
        <v>51.7750178339728</v>
      </c>
      <c r="D29" s="26" t="n">
        <f aca="false">MAX(0,D28/shfd)</f>
        <v>42.4106308761508</v>
      </c>
      <c r="E29" s="26" t="n">
        <f aca="false">MAX(0,E28/shfd)</f>
        <v>16.9937980641242</v>
      </c>
    </row>
    <row r="30" customFormat="false" ht="17.15" hidden="false" customHeight="false" outlineLevel="0" collapsed="false">
      <c r="A30" s="0" t="s">
        <v>915</v>
      </c>
      <c r="C30" s="29" t="n">
        <f aca="false">MAX(0,C29*(1+ke)^t_tp-dps_q*4*t_tp)</f>
        <v>57.0556956298768</v>
      </c>
      <c r="D30" s="29" t="n">
        <f aca="false">MAX(0,D29*(1+ke)^t_tp-dps_q*4*t_tp)</f>
        <v>46.3143098814332</v>
      </c>
      <c r="E30" s="29" t="n">
        <f aca="false">MAX(0,E29*(1+ke)^t_tp-dps_q*4*t_tp)</f>
        <v>17.1600249327927</v>
      </c>
    </row>
    <row r="32" customFormat="false" ht="17.15" hidden="false" customHeight="false" outlineLevel="0" collapsed="false">
      <c r="A32" s="1" t="s">
        <v>916</v>
      </c>
    </row>
    <row r="33" customFormat="false" ht="17.15" hidden="false" customHeight="false" outlineLevel="0" collapsed="false">
      <c r="A33" s="6" t="s">
        <v>917</v>
      </c>
      <c r="B33" s="6" t="s">
        <v>918</v>
      </c>
      <c r="C33" s="21" t="s">
        <v>919</v>
      </c>
      <c r="D33" s="6" t="s">
        <v>920</v>
      </c>
      <c r="E33" s="6" t="s">
        <v>446</v>
      </c>
      <c r="F33" s="6" t="s">
        <v>921</v>
      </c>
    </row>
    <row r="34" customFormat="false" ht="17.15" hidden="false" customHeight="false" outlineLevel="0" collapsed="false">
      <c r="A34" s="30" t="s">
        <v>922</v>
      </c>
    </row>
    <row r="35" customFormat="false" ht="17.15" hidden="false" customHeight="false" outlineLevel="0" collapsed="false">
      <c r="A35" s="0" t="s">
        <v>923</v>
      </c>
      <c r="B35" s="0" t="s">
        <v>924</v>
      </c>
      <c r="C35" s="27" t="n">
        <f aca="false">ev_crwv</f>
        <v>80.12</v>
      </c>
      <c r="D35" s="24" t="n">
        <f aca="false">ev_crwv/eb_crwv</f>
        <v>4.81027857829011</v>
      </c>
      <c r="E35" s="8" t="s">
        <v>925</v>
      </c>
      <c r="F35" s="8" t="s">
        <v>926</v>
      </c>
    </row>
    <row r="36" customFormat="false" ht="17.15" hidden="false" customHeight="false" outlineLevel="0" collapsed="false">
      <c r="A36" s="0" t="s">
        <v>927</v>
      </c>
      <c r="B36" s="0" t="s">
        <v>928</v>
      </c>
      <c r="C36" s="27" t="n">
        <f aca="false">ev_nbis</f>
        <v>48.79</v>
      </c>
      <c r="D36" s="24" t="n">
        <f aca="false">ev_nbis/eb_nbis</f>
        <v>7.87697772037456</v>
      </c>
      <c r="E36" s="8" t="s">
        <v>925</v>
      </c>
      <c r="F36" s="8" t="s">
        <v>929</v>
      </c>
    </row>
    <row r="37" customFormat="false" ht="17.15" hidden="false" customHeight="false" outlineLevel="0" collapsed="false">
      <c r="A37" s="25" t="s">
        <v>930</v>
      </c>
    </row>
    <row r="38" customFormat="false" ht="17.15" hidden="false" customHeight="false" outlineLevel="0" collapsed="false">
      <c r="A38" s="25" t="s">
        <v>931</v>
      </c>
    </row>
    <row r="39" customFormat="false" ht="17.15" hidden="false" customHeight="false" outlineLevel="0" collapsed="false">
      <c r="A39" s="0" t="s">
        <v>932</v>
      </c>
      <c r="B39" s="0" t="s">
        <v>933</v>
      </c>
      <c r="D39" s="24" t="n">
        <f aca="false">pm_msft</f>
        <v>15.59</v>
      </c>
      <c r="E39" s="8" t="s">
        <v>934</v>
      </c>
      <c r="F39" s="8" t="s">
        <v>935</v>
      </c>
    </row>
    <row r="40" customFormat="false" ht="17.15" hidden="false" customHeight="false" outlineLevel="0" collapsed="false">
      <c r="A40" s="0" t="s">
        <v>936</v>
      </c>
      <c r="B40" s="0" t="s">
        <v>936</v>
      </c>
      <c r="D40" s="24" t="n">
        <f aca="false">pm_sap</f>
        <v>15.02</v>
      </c>
      <c r="E40" s="8" t="s">
        <v>934</v>
      </c>
      <c r="F40" s="8" t="s">
        <v>937</v>
      </c>
    </row>
    <row r="41" customFormat="false" ht="17.15" hidden="false" customHeight="false" outlineLevel="0" collapsed="false">
      <c r="A41" s="0" t="s">
        <v>938</v>
      </c>
      <c r="B41" s="0" t="s">
        <v>939</v>
      </c>
      <c r="D41" s="24" t="n">
        <f aca="false">pm_crm</f>
        <v>10.8</v>
      </c>
      <c r="E41" s="8" t="s">
        <v>934</v>
      </c>
      <c r="F41" s="8" t="s">
        <v>940</v>
      </c>
    </row>
    <row r="42" customFormat="false" ht="17.15" hidden="false" customHeight="false" outlineLevel="0" collapsed="false">
      <c r="A42" s="0" t="s">
        <v>941</v>
      </c>
      <c r="B42" s="0" t="s">
        <v>942</v>
      </c>
      <c r="D42" s="24" t="n">
        <f aca="false">pm_adbe</f>
        <v>6.6</v>
      </c>
      <c r="E42" s="8" t="s">
        <v>934</v>
      </c>
      <c r="F42" s="8" t="s">
        <v>943</v>
      </c>
    </row>
    <row r="43" customFormat="false" ht="17.15" hidden="false" customHeight="false" outlineLevel="0" collapsed="false">
      <c r="A43" s="0" t="s">
        <v>944</v>
      </c>
      <c r="B43" s="0" t="s">
        <v>945</v>
      </c>
      <c r="D43" s="24" t="n">
        <f aca="false">pm_now</f>
        <v>20.65</v>
      </c>
      <c r="E43" s="8" t="s">
        <v>934</v>
      </c>
      <c r="F43" s="8" t="s">
        <v>946</v>
      </c>
    </row>
    <row r="45" customFormat="false" ht="17.15" hidden="false" customHeight="false" outlineLevel="0" collapsed="false">
      <c r="A45" s="6" t="s">
        <v>17</v>
      </c>
      <c r="B45" s="6" t="s">
        <v>18</v>
      </c>
      <c r="C45" s="6" t="s">
        <v>762</v>
      </c>
      <c r="D45" s="6" t="s">
        <v>763</v>
      </c>
      <c r="E45" s="6" t="s">
        <v>764</v>
      </c>
      <c r="F45" s="6" t="s">
        <v>598</v>
      </c>
    </row>
    <row r="46" customFormat="false" ht="17.15" hidden="false" customHeight="false" outlineLevel="0" collapsed="false">
      <c r="A46" s="0" t="s">
        <v>947</v>
      </c>
      <c r="B46" s="0" t="s">
        <v>202</v>
      </c>
      <c r="C46" s="26" t="n">
        <f aca="false">Thesis!G28</f>
        <v>54.8769790065531</v>
      </c>
      <c r="D46" s="26" t="n">
        <f aca="false">Thesis!G63</f>
        <v>48.9084324397534</v>
      </c>
      <c r="E46" s="26" t="n">
        <f aca="false">Thesis!G98</f>
        <v>18.9425289773427</v>
      </c>
      <c r="F46" s="8" t="s">
        <v>948</v>
      </c>
    </row>
    <row r="47" customFormat="false" ht="17.15" hidden="false" customHeight="false" outlineLevel="0" collapsed="false">
      <c r="A47" s="0" t="s">
        <v>949</v>
      </c>
      <c r="B47" s="0" t="s">
        <v>202</v>
      </c>
      <c r="C47" s="26" t="n">
        <f aca="false">Thesis!G28-etr*Thesis!G29-Thesis!G25+CF!F18-CF!F19</f>
        <v>34.5994666838117</v>
      </c>
      <c r="D47" s="26" t="n">
        <f aca="false">Thesis!G63-etr*Thesis!G64-Thesis!G60+CF!F53-CF!F54</f>
        <v>13.6147235115154</v>
      </c>
      <c r="E47" s="26" t="n">
        <f aca="false">Thesis!G98-etr*Thesis!G99-Thesis!G95+CF!F88-CF!F89</f>
        <v>-11.8524099348386</v>
      </c>
    </row>
    <row r="48" customFormat="false" ht="17.15" hidden="false" customHeight="false" outlineLevel="0" collapsed="false">
      <c r="A48" s="0" t="s">
        <v>950</v>
      </c>
      <c r="B48" s="0" t="s">
        <v>202</v>
      </c>
      <c r="C48" s="26" t="n">
        <f aca="false">Thesis!H28-etr*Thesis!H29-Thesis!H25+CF!G18-CF!G19</f>
        <v>32.0063836671191</v>
      </c>
      <c r="D48" s="26" t="n">
        <f aca="false">Thesis!H63-etr*Thesis!H64-Thesis!H60+CF!G53-CF!G54</f>
        <v>31.9537474122035</v>
      </c>
      <c r="E48" s="26" t="n">
        <f aca="false">Thesis!H98-etr*Thesis!H99-Thesis!H95+CF!G88-CF!G89</f>
        <v>-3.88760293251294</v>
      </c>
    </row>
    <row r="49" customFormat="false" ht="17.15" hidden="false" customHeight="false" outlineLevel="0" collapsed="false">
      <c r="A49" s="0" t="s">
        <v>951</v>
      </c>
      <c r="B49" s="0" t="s">
        <v>202</v>
      </c>
      <c r="C49" s="26" t="n">
        <f aca="false">Thesis!I28-etr*Thesis!I29-Thesis!I25+CF!H18-CF!H19</f>
        <v>30.1627725750865</v>
      </c>
      <c r="D49" s="26" t="n">
        <f aca="false">Thesis!I63-etr*Thesis!I64-Thesis!I60+CF!H53-CF!H54</f>
        <v>29.9504380071356</v>
      </c>
      <c r="E49" s="26" t="n">
        <f aca="false">Thesis!I98-etr*Thesis!I99-Thesis!I95+CF!H88-CF!H89</f>
        <v>10.4486895356697</v>
      </c>
    </row>
    <row r="50" customFormat="false" ht="17.15" hidden="false" customHeight="false" outlineLevel="0" collapsed="false">
      <c r="A50" s="0" t="s">
        <v>952</v>
      </c>
      <c r="B50" s="0" t="s">
        <v>202</v>
      </c>
      <c r="C50" s="26" t="n">
        <f aca="false">Thesis!J28-etr*Thesis!J29-Thesis!J25+CF!I18-CF!I19</f>
        <v>0.707845182258797</v>
      </c>
      <c r="D50" s="26" t="n">
        <f aca="false">Thesis!J63-etr*Thesis!J64-Thesis!J60+CF!I53-CF!I54</f>
        <v>0.313547204871782</v>
      </c>
      <c r="E50" s="26" t="n">
        <f aca="false">Thesis!J98-etr*Thesis!J99-Thesis!J95+CF!I88-CF!I89</f>
        <v>-16.4116037501134</v>
      </c>
    </row>
    <row r="51" customFormat="false" ht="17.15" hidden="false" customHeight="false" outlineLevel="0" collapsed="false">
      <c r="A51" s="0" t="s">
        <v>953</v>
      </c>
      <c r="B51" s="0" t="s">
        <v>202</v>
      </c>
      <c r="C51" s="27" t="n">
        <f aca="false">(Thesis!J28-Thesis!J6*cx_vr200/life_ai/1000)*(1-etr)*(1+tp_g)*(1-tp_g/ronic)/(wacc-tp_g)</f>
        <v>15.5701536133199</v>
      </c>
      <c r="D51" s="27" t="n">
        <f aca="false">(Thesis!J63-Thesis!J41*cx_vr200/life_ai/1000)*(1-etr)*(1+tp_g)*(1-tp_g/ronic)/(wacc-tp_g)</f>
        <v>16.6525944736384</v>
      </c>
      <c r="E51" s="27" t="n">
        <f aca="false">(Thesis!J98-Thesis!J76*cx_vr200/life_ai/1000)*(1-etr)*(1+tp_g)*(1-tp_g/ronic)/(wacc-tp_g)</f>
        <v>-25.6053949967274</v>
      </c>
    </row>
    <row r="52" customFormat="false" ht="17.15" hidden="false" customHeight="false" outlineLevel="0" collapsed="false">
      <c r="A52" s="0" t="s">
        <v>954</v>
      </c>
      <c r="B52" s="0" t="s">
        <v>202</v>
      </c>
      <c r="C52" s="27" t="n">
        <f aca="false">IF(ai_floor=1,MAX(0,C47/(1+wacc)^0.5+C48/(1+wacc)^1.5+C49/(1+wacc)^2.5+C50/(1+wacc)^3.5+C51/(1+wacc)^4),C47/(1+wacc)^0.5+C48/(1+wacc)^1.5+C49/(1+wacc)^2.5+C50/(1+wacc)^3.5+C51/(1+wacc)^4)</f>
        <v>94.8906457262771</v>
      </c>
      <c r="D52" s="27" t="n">
        <f aca="false">IF(ai_floor=1,MAX(0,D47/(1+wacc)^0.5+D48/(1+wacc)^1.5+D49/(1+wacc)^2.5+D50/(1+wacc)^3.5+D51/(1+wacc)^4),D47/(1+wacc)^0.5+D48/(1+wacc)^1.5+D49/(1+wacc)^2.5+D50/(1+wacc)^3.5+D51/(1+wacc)^4)</f>
        <v>75.1661876991018</v>
      </c>
      <c r="E52" s="27" t="n">
        <f aca="false">IF(ai_floor=1,MAX(0,E47/(1+wacc)^0.5+E48/(1+wacc)^1.5+E49/(1+wacc)^2.5+E50/(1+wacc)^3.5+E51/(1+wacc)^4),E47/(1+wacc)^0.5+E48/(1+wacc)^1.5+E49/(1+wacc)^2.5+E50/(1+wacc)^3.5+E51/(1+wacc)^4)</f>
        <v>-35.2142860638736</v>
      </c>
      <c r="F52" s="5" t="s">
        <v>955</v>
      </c>
    </row>
    <row r="53" customFormat="false" ht="17.15" hidden="false" customHeight="false" outlineLevel="0" collapsed="false">
      <c r="A53" s="5" t="s">
        <v>956</v>
      </c>
      <c r="B53" s="0" t="s">
        <v>202</v>
      </c>
      <c r="C53" s="27" t="n">
        <f aca="false">C46*mult_oci*mult_adj</f>
        <v>348.11914877629</v>
      </c>
      <c r="D53" s="27" t="n">
        <f aca="false">D46*mult_oci*mult_adj</f>
        <v>310.256908764538</v>
      </c>
      <c r="E53" s="27" t="n">
        <f aca="false">E46*mult_oci*mult_adj</f>
        <v>120.164360040214</v>
      </c>
      <c r="F53" s="8" t="s">
        <v>957</v>
      </c>
    </row>
    <row r="54" customFormat="false" ht="17.15" hidden="false" customHeight="false" outlineLevel="0" collapsed="false">
      <c r="A54" s="0" t="s">
        <v>958</v>
      </c>
      <c r="B54" s="0" t="s">
        <v>202</v>
      </c>
      <c r="C54" s="26" t="n">
        <f aca="false">PL!F46-C46</f>
        <v>35.1016075746665</v>
      </c>
      <c r="D54" s="26" t="n">
        <f aca="false">PL!F86-D46</f>
        <v>35.1016075746665</v>
      </c>
      <c r="E54" s="26" t="n">
        <f aca="false">PL!F126-E46</f>
        <v>35.1016075746665</v>
      </c>
      <c r="F54" s="8" t="s">
        <v>959</v>
      </c>
    </row>
    <row r="55" customFormat="false" ht="17.15" hidden="false" customHeight="false" outlineLevel="0" collapsed="false">
      <c r="A55" s="5" t="s">
        <v>960</v>
      </c>
      <c r="B55" s="0" t="s">
        <v>98</v>
      </c>
      <c r="C55" s="12" t="n">
        <f aca="false">IF(split_mode=1,((m_sw+m_adj)*(Q!I11-Thesis!C54)-m_ls*(q1_lic+q1_sup))/(q1_saas+Thesis!C66),m_sw+m_adj)</f>
        <v>0.645219494731002</v>
      </c>
      <c r="D55" s="12" t="n">
        <f aca="false">IF(split_mode=1,((m_sw+m_adj)*(Q!I11-Thesis!C54)-m_ls*(q1_lic+q1_sup))/(q1_saas+Thesis!C66),m_sw+m_adj)</f>
        <v>0.645219494731002</v>
      </c>
      <c r="E55" s="12" t="n">
        <f aca="false">IF(split_mode=1,((m_sw+m_adj)*(Q!I11-Thesis!C54)-m_ls*(q1_lic+q1_sup))/(q1_saas+Thesis!C66),m_sw+m_adj)</f>
        <v>0.645219494731002</v>
      </c>
    </row>
    <row r="56" customFormat="false" ht="17.15" hidden="false" customHeight="false" outlineLevel="0" collapsed="false">
      <c r="A56" s="5" t="s">
        <v>961</v>
      </c>
      <c r="B56" s="0" t="s">
        <v>98</v>
      </c>
      <c r="C56" s="12" t="n">
        <f aca="false">IF(split_mode=1,m_ls,m_sw+m_adj)</f>
        <v>0.645219494731002</v>
      </c>
      <c r="D56" s="12" t="n">
        <f aca="false">IF(split_mode=1,m_ls,m_sw+m_adj)</f>
        <v>0.645219494731002</v>
      </c>
      <c r="E56" s="12" t="n">
        <f aca="false">IF(split_mode=1,m_ls,m_sw+m_adj)</f>
        <v>0.645219494731002</v>
      </c>
    </row>
    <row r="57" customFormat="false" ht="17.15" hidden="false" customHeight="false" outlineLevel="0" collapsed="false">
      <c r="A57" s="5" t="s">
        <v>962</v>
      </c>
      <c r="B57" s="0" t="s">
        <v>98</v>
      </c>
      <c r="C57" s="12" t="n">
        <f aca="false">C55*(PL!F13+PL!F12)/(C55*(PL!F13+PL!F12)+C56*(PL!F14+PL!F15)+m_hw*PL!F16+m_svc*PL!F17)</f>
        <v>0.541740604963085</v>
      </c>
      <c r="D57" s="12" t="n">
        <f aca="false">D55*(PL!F53+PL!F52)/(D55*(PL!F53+PL!F52)+D56*(PL!F54+PL!F55)+m_hw*PL!F56+m_svc*PL!F57)</f>
        <v>0.541740604963085</v>
      </c>
      <c r="E57" s="12" t="n">
        <f aca="false">E55*(PL!F93+PL!F92)/(E55*(PL!F93+PL!F92)+E56*(PL!F94+PL!F95)+m_hw*PL!F96+m_svc*PL!F97)</f>
        <v>0.541740604963085</v>
      </c>
    </row>
    <row r="58" customFormat="false" ht="17.15" hidden="false" customHeight="false" outlineLevel="0" collapsed="false">
      <c r="A58" s="5" t="s">
        <v>963</v>
      </c>
      <c r="B58" s="0" t="s">
        <v>202</v>
      </c>
      <c r="C58" s="27" t="n">
        <f aca="false">C54*C57*mult_sw*mult_adj</f>
        <v>285.619811162603</v>
      </c>
      <c r="D58" s="27" t="n">
        <f aca="false">D54*D57*mult_sw*mult_adj</f>
        <v>285.619811162603</v>
      </c>
      <c r="E58" s="27" t="n">
        <f aca="false">E54*E57*mult_sw*mult_adj</f>
        <v>285.619811162603</v>
      </c>
    </row>
    <row r="59" customFormat="false" ht="17.15" hidden="false" customHeight="false" outlineLevel="0" collapsed="false">
      <c r="A59" s="5" t="s">
        <v>964</v>
      </c>
      <c r="B59" s="0" t="s">
        <v>202</v>
      </c>
      <c r="C59" s="27" t="n">
        <f aca="false">C54*(1-C57)*mult_leg*mult_adj</f>
        <v>139.945080632312</v>
      </c>
      <c r="D59" s="27" t="n">
        <f aca="false">D54*(1-D57)*mult_leg*mult_adj</f>
        <v>139.945080632312</v>
      </c>
      <c r="E59" s="27" t="n">
        <f aca="false">E54*(1-E57)*mult_leg*mult_adj</f>
        <v>139.945080632312</v>
      </c>
      <c r="F59" s="5" t="s">
        <v>965</v>
      </c>
    </row>
    <row r="60" customFormat="false" ht="17.15" hidden="false" customHeight="false" outlineLevel="0" collapsed="false">
      <c r="A60" s="5" t="s">
        <v>966</v>
      </c>
      <c r="B60" s="0" t="s">
        <v>202</v>
      </c>
      <c r="C60" s="27" t="n">
        <f aca="false">C52+C58+C59</f>
        <v>520.455537521193</v>
      </c>
      <c r="D60" s="27" t="n">
        <f aca="false">D52+D58+D59</f>
        <v>500.731079494017</v>
      </c>
      <c r="E60" s="27" t="n">
        <f aca="false">E52+E58+E59</f>
        <v>390.350605731042</v>
      </c>
    </row>
    <row r="61" customFormat="false" ht="17.15" hidden="false" customHeight="false" outlineLevel="0" collapsed="false">
      <c r="A61" s="5" t="s">
        <v>967</v>
      </c>
      <c r="B61" s="0" t="s">
        <v>202</v>
      </c>
      <c r="C61" s="27" t="n">
        <f aca="false">CF!E40+finlease_q1-CF!E37</f>
        <v>129.057359811746</v>
      </c>
      <c r="D61" s="27" t="n">
        <f aca="false">CF!E75+finlease_q1-CF!E72</f>
        <v>142.800844923504</v>
      </c>
      <c r="E61" s="27" t="n">
        <f aca="false">CF!E110+finlease_q1-CF!E107</f>
        <v>124.185</v>
      </c>
    </row>
    <row r="62" customFormat="false" ht="17.15" hidden="false" customHeight="false" outlineLevel="0" collapsed="false">
      <c r="A62" s="5" t="s">
        <v>968</v>
      </c>
      <c r="B62" s="5" t="s">
        <v>34</v>
      </c>
      <c r="C62" s="11" t="n">
        <f aca="false">CF!E44+opt_dil+mcps_sh</f>
        <v>3.088974</v>
      </c>
      <c r="D62" s="11" t="n">
        <f aca="false">CF!E79+opt_dil+mcps_sh</f>
        <v>3.088974</v>
      </c>
      <c r="E62" s="11" t="n">
        <f aca="false">CF!E114+opt_dil+mcps_sh</f>
        <v>3.11024697575923</v>
      </c>
    </row>
    <row r="63" customFormat="false" ht="17.15" hidden="false" customHeight="false" outlineLevel="0" collapsed="false">
      <c r="A63" s="5" t="s">
        <v>969</v>
      </c>
      <c r="B63" s="0" t="s">
        <v>28</v>
      </c>
      <c r="C63" s="26" t="n">
        <f aca="false">MAX(0,(C60-C61)/C62)</f>
        <v>126.708148954781</v>
      </c>
      <c r="D63" s="26" t="n">
        <f aca="false">MAX(0,(D60-D61)/D62)</f>
        <v>115.873501871661</v>
      </c>
      <c r="E63" s="26" t="n">
        <f aca="false">MAX(0,(E60-E61)/E62)</f>
        <v>85.5770000921131</v>
      </c>
    </row>
    <row r="64" customFormat="false" ht="17.15" hidden="false" customHeight="false" outlineLevel="0" collapsed="false">
      <c r="A64" s="5" t="s">
        <v>970</v>
      </c>
      <c r="B64" s="0" t="s">
        <v>28</v>
      </c>
      <c r="C64" s="29" t="n">
        <f aca="false">(C63+dps_q*4*t_28)/(1+ke)^t_28</f>
        <v>119.396989691412</v>
      </c>
      <c r="D64" s="29" t="n">
        <f aca="false">(D63+dps_q*4*t_28)/(1+ke)^t_28</f>
        <v>109.280629390581</v>
      </c>
      <c r="E64" s="29" t="n">
        <f aca="false">(E63+dps_q*4*t_28)/(1+ke)^t_28</f>
        <v>80.9926449730539</v>
      </c>
      <c r="F64" s="8" t="s">
        <v>971</v>
      </c>
    </row>
    <row r="65" customFormat="false" ht="17.15" hidden="false" customHeight="false" outlineLevel="0" collapsed="false">
      <c r="A65" s="5" t="s">
        <v>972</v>
      </c>
      <c r="B65" s="0" t="s">
        <v>28</v>
      </c>
      <c r="C65" s="26" t="n">
        <f aca="false">(MAX(0,(C60-C52+C53-C61)/C62)+dps_q*4*t_28)/(1+ke)^t_28</f>
        <v>195.940408110039</v>
      </c>
      <c r="D65" s="26" t="n">
        <f aca="false">(MAX(0,(D60-D52+D53-D61)/D62)+dps_q*4*t_28)/(1+ke)^t_28</f>
        <v>180.341537669513</v>
      </c>
      <c r="E65" s="26" t="n">
        <f aca="false">(MAX(0,(E60-E52+E53-E61)/E62)+dps_q*4*t_28)/(1+ke)^t_28</f>
        <v>127.637739276732</v>
      </c>
    </row>
    <row r="66" customFormat="false" ht="17.15" hidden="false" customHeight="false" outlineLevel="0" collapsed="false">
      <c r="A66" s="0" t="s">
        <v>973</v>
      </c>
      <c r="B66" s="0" t="s">
        <v>98</v>
      </c>
      <c r="C66" s="12" t="n">
        <f aca="false">C52/C60</f>
        <v>0.18232229054228</v>
      </c>
      <c r="D66" s="12" t="n">
        <f aca="false">D52/D60</f>
        <v>0.150112886492</v>
      </c>
      <c r="E66" s="12" t="n">
        <f aca="false">E52/E60</f>
        <v>-0.0902119416413479</v>
      </c>
    </row>
    <row r="68" customFormat="false" ht="17.15" hidden="false" customHeight="false" outlineLevel="0" collapsed="false">
      <c r="A68" s="1" t="s">
        <v>974</v>
      </c>
    </row>
    <row r="69" customFormat="false" ht="17.15" hidden="false" customHeight="false" outlineLevel="0" collapsed="false">
      <c r="A69" s="6" t="s">
        <v>17</v>
      </c>
      <c r="B69" s="6" t="s">
        <v>18</v>
      </c>
      <c r="C69" s="6" t="s">
        <v>762</v>
      </c>
      <c r="D69" s="6" t="s">
        <v>763</v>
      </c>
      <c r="E69" s="6" t="s">
        <v>764</v>
      </c>
      <c r="F69" s="6" t="s">
        <v>598</v>
      </c>
    </row>
    <row r="70" customFormat="false" ht="17.15" hidden="false" customHeight="false" outlineLevel="0" collapsed="false">
      <c r="A70" s="5" t="s">
        <v>975</v>
      </c>
      <c r="B70" s="0" t="s">
        <v>28</v>
      </c>
      <c r="C70" s="26" t="n">
        <f aca="false">w_dcf*C30+(1-w_dcf)*C64</f>
        <v>88.2263426606446</v>
      </c>
      <c r="D70" s="26" t="n">
        <f aca="false">w_dcf*D30+(1-w_dcf)*D64</f>
        <v>77.7974696360069</v>
      </c>
      <c r="E70" s="26" t="n">
        <f aca="false">w_dcf*E30+(1-w_dcf)*E64</f>
        <v>49.0763349529233</v>
      </c>
    </row>
    <row r="71" customFormat="false" ht="15" hidden="false" customHeight="false" outlineLevel="0" collapsed="false">
      <c r="A71" s="6" t="s">
        <v>17</v>
      </c>
      <c r="B71" s="6" t="s">
        <v>18</v>
      </c>
      <c r="C71" s="6" t="s">
        <v>882</v>
      </c>
      <c r="D71" s="6" t="s">
        <v>976</v>
      </c>
      <c r="E71" s="6" t="s">
        <v>976</v>
      </c>
      <c r="F71" s="6" t="s">
        <v>598</v>
      </c>
    </row>
    <row r="72" customFormat="false" ht="17.15" hidden="false" customHeight="false" outlineLevel="0" collapsed="false">
      <c r="A72" s="0" t="s">
        <v>977</v>
      </c>
      <c r="B72" s="0" t="s">
        <v>28</v>
      </c>
      <c r="C72" s="26" t="n">
        <f aca="false">wA*C30+wB*D30+wC*E30</f>
        <v>41.7110850813839</v>
      </c>
    </row>
    <row r="73" customFormat="false" ht="17.15" hidden="false" customHeight="false" outlineLevel="0" collapsed="false">
      <c r="A73" s="0" t="s">
        <v>978</v>
      </c>
      <c r="B73" s="0" t="s">
        <v>28</v>
      </c>
      <c r="C73" s="26" t="n">
        <f aca="false">wA*C64+wB*D64+wC*E64</f>
        <v>104.737723361407</v>
      </c>
      <c r="F73" s="5" t="s">
        <v>979</v>
      </c>
    </row>
    <row r="74" customFormat="false" ht="17.15" hidden="false" customHeight="false" outlineLevel="0" collapsed="false">
      <c r="A74" s="16" t="s">
        <v>980</v>
      </c>
      <c r="B74" s="15" t="s">
        <v>28</v>
      </c>
      <c r="C74" s="29" t="n">
        <f aca="false">w_dcf*C72+(1-w_dcf)*C73</f>
        <v>73.2244042213954</v>
      </c>
      <c r="D74" s="15"/>
      <c r="E74" s="15"/>
      <c r="F74" s="15" t="str">
        <f aca="false">"DCF 權重 "&amp;TEXT(w_dcf,"0%")&amp;"、分部加總權重 "&amp;TEXT(1-w_dcf,"0%")&amp;"；情境權重 A／B／C "&amp;TEXT(wA,"0%")&amp;"／"&amp;TEXT(wB,"0%")&amp;"／"&amp;TEXT(wC,"0%")</f>
        <v>DCF 權重 50%、分部加總權重 50%；情境權重 A／B／C 25%／50%／25%</v>
      </c>
    </row>
    <row r="75" customFormat="false" ht="17.15" hidden="false" customHeight="false" outlineLevel="0" collapsed="false">
      <c r="A75" s="5" t="s">
        <v>981</v>
      </c>
      <c r="B75" s="0" t="s">
        <v>28</v>
      </c>
      <c r="C75" s="26" t="n">
        <f aca="false">px</f>
        <v>126.06</v>
      </c>
    </row>
    <row r="76" customFormat="false" ht="17.15" hidden="false" customHeight="false" outlineLevel="0" collapsed="false">
      <c r="A76" s="5" t="s">
        <v>982</v>
      </c>
      <c r="B76" s="0" t="s">
        <v>28</v>
      </c>
      <c r="C76" s="26" t="n">
        <f aca="false">cons_tp</f>
        <v>237.36</v>
      </c>
      <c r="F76" s="8" t="s">
        <v>983</v>
      </c>
    </row>
    <row r="77" customFormat="false" ht="15" hidden="false" customHeight="false" outlineLevel="0" collapsed="false">
      <c r="A77" s="16" t="s">
        <v>984</v>
      </c>
      <c r="B77" s="15" t="s">
        <v>98</v>
      </c>
      <c r="C77" s="31" t="n">
        <f aca="false">C74/px-1</f>
        <v>-0.419130539255946</v>
      </c>
      <c r="D77" s="15"/>
      <c r="E77" s="15"/>
      <c r="F77" s="15"/>
    </row>
    <row r="78" customFormat="false" ht="17.15" hidden="false" customHeight="false" outlineLevel="0" collapsed="false">
      <c r="A78" s="5" t="s">
        <v>985</v>
      </c>
      <c r="B78" s="0" t="s">
        <v>98</v>
      </c>
      <c r="C78" s="12" t="n">
        <f aca="false">C73/px-1</f>
        <v>-0.169143873065153</v>
      </c>
    </row>
    <row r="79" customFormat="false" ht="17.15" hidden="false" customHeight="false" outlineLevel="0" collapsed="false">
      <c r="A79" s="5" t="s">
        <v>986</v>
      </c>
      <c r="B79" s="0" t="s">
        <v>116</v>
      </c>
      <c r="C79" s="32" t="str">
        <f aca="false">IF(C77&gt;0.5,"大於 50%",IF(C77&gt;0.25,"25%–50%",IF(C77&gt;=0,"0%–25%",IF(C77&gt;=-0.25,"0%～−25%",IF(C77&gt;=-0.5,"−25%～−50%","小於 −50%")))))</f>
        <v>−25%～−50%</v>
      </c>
    </row>
    <row r="80" customFormat="false" ht="17.15" hidden="false" customHeight="false" outlineLevel="0" collapsed="false">
      <c r="A80" s="16" t="s">
        <v>987</v>
      </c>
      <c r="B80" s="15" t="s">
        <v>116</v>
      </c>
      <c r="C80" s="33" t="str">
        <f aca="false">IF(C77&gt;=0.5,"強力買進",IF(C77&gt;=0.25,"買進",IF(C77&gt;-0.25,"中立",IF(C77&gt;-0.5,"放空","強力放空"))))</f>
        <v>放空</v>
      </c>
      <c r="D80" s="15"/>
      <c r="E80" s="15"/>
      <c r="F80" s="16" t="s">
        <v>988</v>
      </c>
    </row>
    <row r="81" customFormat="false" ht="17.15" hidden="false" customHeight="false" outlineLevel="0" collapsed="false">
      <c r="A81" s="5" t="s">
        <v>989</v>
      </c>
      <c r="B81" s="0" t="s">
        <v>28</v>
      </c>
      <c r="C81" s="26" t="n">
        <f aca="false">E30</f>
        <v>17.1600249327927</v>
      </c>
      <c r="D81" s="26" t="n">
        <f aca="false">C30</f>
        <v>57.0556956298768</v>
      </c>
      <c r="F81" s="8" t="s">
        <v>990</v>
      </c>
    </row>
    <row r="82" customFormat="false" ht="17.15" hidden="false" customHeight="false" outlineLevel="0" collapsed="false">
      <c r="A82" s="5" t="s">
        <v>991</v>
      </c>
      <c r="B82" s="0" t="s">
        <v>28</v>
      </c>
      <c r="C82" s="26" t="n">
        <f aca="false">E30</f>
        <v>17.1600249327927</v>
      </c>
    </row>
    <row r="83" customFormat="false" ht="17.15" hidden="false" customHeight="false" outlineLevel="0" collapsed="false">
      <c r="A83" s="0" t="s">
        <v>992</v>
      </c>
      <c r="B83" s="0" t="s">
        <v>28</v>
      </c>
      <c r="C83" s="26" t="n">
        <f aca="false">C30</f>
        <v>57.0556956298768</v>
      </c>
      <c r="D83" s="26" t="n">
        <f aca="false">D30</f>
        <v>46.3143098814332</v>
      </c>
      <c r="E83" s="26" t="n">
        <f aca="false">E30</f>
        <v>17.1600249327927</v>
      </c>
    </row>
    <row r="84" customFormat="false" ht="15" hidden="false" customHeight="false" outlineLevel="0" collapsed="false">
      <c r="A84" s="5" t="s">
        <v>993</v>
      </c>
      <c r="B84" s="0" t="s">
        <v>98</v>
      </c>
      <c r="C84" s="12" t="n">
        <f aca="false">C74/cons_tp-1</f>
        <v>-0.691504869306558</v>
      </c>
    </row>
    <row r="85" customFormat="false" ht="17.15" hidden="false" customHeight="false" outlineLevel="0" collapsed="false">
      <c r="A85" s="0" t="s">
        <v>994</v>
      </c>
      <c r="B85" s="0" t="s">
        <v>98</v>
      </c>
      <c r="C85" s="12" t="n">
        <f aca="false">D27</f>
        <v>0.650705415983855</v>
      </c>
    </row>
    <row r="86" customFormat="false" ht="17.15" hidden="false" customHeight="false" outlineLevel="0" collapsed="false">
      <c r="A86" s="5" t="s">
        <v>995</v>
      </c>
      <c r="B86" s="0" t="s">
        <v>28</v>
      </c>
      <c r="C86" s="26" t="n">
        <f aca="false">w_dcf*C72+(1-w_dcf)*(wA*C65+wB*D65+wC*E65)</f>
        <v>106.388195381417</v>
      </c>
      <c r="F86" s="8" t="s">
        <v>996</v>
      </c>
    </row>
    <row r="87" customFormat="false" ht="17.15" hidden="false" customHeight="false" outlineLevel="0" collapsed="false">
      <c r="A87" s="5" t="s">
        <v>997</v>
      </c>
      <c r="B87" s="0" t="s">
        <v>92</v>
      </c>
      <c r="C87" s="11" t="n">
        <f aca="false">ROUND(wA+wB+wC,6)</f>
        <v>1</v>
      </c>
    </row>
    <row r="88" customFormat="false" ht="17.15" hidden="false" customHeight="false" outlineLevel="0" collapsed="false">
      <c r="A88" s="5" t="s">
        <v>998</v>
      </c>
      <c r="B88" s="0" t="s">
        <v>116</v>
      </c>
      <c r="C88" s="32" t="s"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1000</v>
      </c>
    </row>
    <row r="3" customFormat="false" ht="17.15" hidden="false" customHeight="false" outlineLevel="0" collapsed="false">
      <c r="A3" s="6" t="s">
        <v>17</v>
      </c>
      <c r="B3" s="6" t="s">
        <v>1001</v>
      </c>
      <c r="C3" s="6" t="s">
        <v>1002</v>
      </c>
      <c r="D3" s="6" t="s">
        <v>1003</v>
      </c>
      <c r="E3" s="6" t="s">
        <v>1004</v>
      </c>
      <c r="F3" s="6" t="s">
        <v>1005</v>
      </c>
      <c r="G3" s="6" t="s">
        <v>1006</v>
      </c>
      <c r="H3" s="6" t="s">
        <v>1007</v>
      </c>
      <c r="I3" s="6" t="s">
        <v>1008</v>
      </c>
      <c r="J3" s="6" t="s">
        <v>598</v>
      </c>
    </row>
    <row r="4" customFormat="false" ht="17.15" hidden="false" customHeight="false" outlineLevel="0" collapsed="false">
      <c r="A4" s="1" t="s">
        <v>1009</v>
      </c>
    </row>
    <row r="5" customFormat="false" ht="17.15" hidden="false" customHeight="false" outlineLevel="0" collapsed="false">
      <c r="A5" s="5" t="s">
        <v>1010</v>
      </c>
      <c r="B5" s="26" t="n">
        <f aca="false">cr2027</f>
        <v>90.423</v>
      </c>
      <c r="C5" s="26" t="n">
        <f aca="false">PL!D21</f>
        <v>93.5160589228006</v>
      </c>
      <c r="D5" s="12" t="n">
        <f aca="false">C5/B5-1</f>
        <v>0.0342065505767402</v>
      </c>
      <c r="E5" s="26" t="n">
        <f aca="false">PL!D61</f>
        <v>87.153954635208</v>
      </c>
      <c r="F5" s="12" t="n">
        <f aca="false">E5/B5-1</f>
        <v>-0.0361528080775023</v>
      </c>
      <c r="G5" s="26" t="n">
        <f aca="false">PL!D101</f>
        <v>83.4330796269886</v>
      </c>
      <c r="H5" s="12" t="n">
        <f aca="false">G5/B5-1</f>
        <v>-0.0773024603586627</v>
      </c>
      <c r="I5" s="8" t="s">
        <v>1011</v>
      </c>
    </row>
    <row r="6" customFormat="false" ht="17.15" hidden="false" customHeight="false" outlineLevel="0" collapsed="false">
      <c r="A6" s="5" t="s">
        <v>1012</v>
      </c>
      <c r="B6" s="26" t="n">
        <f aca="false">cr2028</f>
        <v>131.711</v>
      </c>
      <c r="C6" s="26" t="n">
        <f aca="false">PL!E21</f>
        <v>132.448885916571</v>
      </c>
      <c r="D6" s="12" t="n">
        <f aca="false">C6/B6-1</f>
        <v>0.00560231048713589</v>
      </c>
      <c r="E6" s="26" t="n">
        <f aca="false">PL!E61</f>
        <v>118.990062878307</v>
      </c>
      <c r="F6" s="12" t="n">
        <f aca="false">E6/B6-1</f>
        <v>-0.0965821922367413</v>
      </c>
      <c r="G6" s="26" t="n">
        <f aca="false">PL!E101</f>
        <v>97.3146765011191</v>
      </c>
      <c r="H6" s="12" t="n">
        <f aca="false">G6/B6-1</f>
        <v>-0.261149968483125</v>
      </c>
      <c r="I6" s="8" t="s">
        <v>1011</v>
      </c>
    </row>
    <row r="7" customFormat="false" ht="17.15" hidden="false" customHeight="false" outlineLevel="0" collapsed="false">
      <c r="A7" s="5" t="s">
        <v>1013</v>
      </c>
      <c r="B7" s="26" t="n">
        <f aca="false">cr2029</f>
        <v>183.655</v>
      </c>
      <c r="C7" s="26" t="n">
        <f aca="false">PL!F21</f>
        <v>157.00771907636</v>
      </c>
      <c r="D7" s="12" t="n">
        <f aca="false">C7/B7-1</f>
        <v>-0.145094230615227</v>
      </c>
      <c r="E7" s="26" t="n">
        <f aca="false">PL!F61</f>
        <v>149.561871813632</v>
      </c>
      <c r="F7" s="12" t="n">
        <f aca="false">E7/B7-1</f>
        <v>-0.18563680916048</v>
      </c>
      <c r="G7" s="26" t="n">
        <f aca="false">PL!F101</f>
        <v>112.502326435281</v>
      </c>
      <c r="H7" s="12" t="n">
        <f aca="false">G7/B7-1</f>
        <v>-0.387425736106933</v>
      </c>
      <c r="I7" s="8" t="s">
        <v>1011</v>
      </c>
    </row>
    <row r="8" customFormat="false" ht="17.15" hidden="false" customHeight="false" outlineLevel="0" collapsed="false">
      <c r="A8" s="5" t="s">
        <v>1014</v>
      </c>
      <c r="B8" s="26" t="n">
        <f aca="false">ce2027</f>
        <v>51.942</v>
      </c>
      <c r="C8" s="26" t="n">
        <f aca="false">PL!D46</f>
        <v>52.8896260198463</v>
      </c>
      <c r="D8" s="12" t="n">
        <f aca="false">C8/B8-1</f>
        <v>0.0182439262994543</v>
      </c>
      <c r="E8" s="26" t="n">
        <f aca="false">PL!D86</f>
        <v>47.8170075877763</v>
      </c>
      <c r="F8" s="12" t="n">
        <f aca="false">E8/B8-1</f>
        <v>-0.0794153558242605</v>
      </c>
      <c r="G8" s="26" t="n">
        <f aca="false">PL!D126</f>
        <v>44.8139897877723</v>
      </c>
      <c r="H8" s="12" t="n">
        <f aca="false">G8/B8-1</f>
        <v>-0.137230183901807</v>
      </c>
      <c r="I8" s="5" t="s">
        <v>123</v>
      </c>
      <c r="J8" s="5" t="s">
        <v>1015</v>
      </c>
    </row>
    <row r="9" customFormat="false" ht="17.15" hidden="false" customHeight="false" outlineLevel="0" collapsed="false">
      <c r="A9" s="5" t="s">
        <v>1016</v>
      </c>
      <c r="B9" s="26" t="n">
        <f aca="false">ce2028</f>
        <v>74.642</v>
      </c>
      <c r="C9" s="26" t="n">
        <f aca="false">PL!E46</f>
        <v>77.312342537343</v>
      </c>
      <c r="D9" s="12" t="n">
        <f aca="false">C9/B9-1</f>
        <v>0.0357753347625065</v>
      </c>
      <c r="E9" s="26" t="n">
        <f aca="false">PL!E86</f>
        <v>66.4862871976845</v>
      </c>
      <c r="F9" s="12" t="n">
        <f aca="false">E9/B9-1</f>
        <v>-0.109264392732182</v>
      </c>
      <c r="G9" s="26" t="n">
        <f aca="false">PL!E126</f>
        <v>48.9815468148187</v>
      </c>
      <c r="H9" s="12" t="n">
        <f aca="false">G9/B9-1</f>
        <v>-0.343780354025633</v>
      </c>
      <c r="I9" s="5" t="s">
        <v>123</v>
      </c>
      <c r="J9" s="5" t="s">
        <v>1015</v>
      </c>
    </row>
    <row r="10" customFormat="false" ht="17.15" hidden="false" customHeight="false" outlineLevel="0" collapsed="false">
      <c r="A10" s="5" t="s">
        <v>1017</v>
      </c>
      <c r="B10" s="26" t="n">
        <f aca="false">ce2029</f>
        <v>107.543</v>
      </c>
      <c r="C10" s="26" t="n">
        <f aca="false">PL!F46</f>
        <v>89.9785865812196</v>
      </c>
      <c r="D10" s="12" t="n">
        <f aca="false">C10/B10-1</f>
        <v>-0.163324562442747</v>
      </c>
      <c r="E10" s="26" t="n">
        <f aca="false">PL!F86</f>
        <v>84.0100400144199</v>
      </c>
      <c r="F10" s="12" t="n">
        <f aca="false">E10/B10-1</f>
        <v>-0.218823726189339</v>
      </c>
      <c r="G10" s="26" t="n">
        <f aca="false">PL!F126</f>
        <v>54.0441365520092</v>
      </c>
      <c r="H10" s="12" t="n">
        <f aca="false">G10/B10-1</f>
        <v>-0.497464860083788</v>
      </c>
      <c r="I10" s="5" t="s">
        <v>123</v>
      </c>
      <c r="J10" s="5" t="s">
        <v>1015</v>
      </c>
    </row>
    <row r="11" customFormat="false" ht="17.15" hidden="false" customHeight="false" outlineLevel="0" collapsed="false">
      <c r="A11" s="0" t="s">
        <v>1018</v>
      </c>
      <c r="B11" s="26" t="n">
        <f aca="false">cp2027</f>
        <v>6.643</v>
      </c>
      <c r="C11" s="26" t="n">
        <f aca="false">PL!D41</f>
        <v>6.27938544631283</v>
      </c>
      <c r="D11" s="12" t="n">
        <f aca="false">C11/B11-1</f>
        <v>-0.0547364976196251</v>
      </c>
      <c r="E11" s="26" t="n">
        <f aca="false">PL!D81</f>
        <v>4.86426034573871</v>
      </c>
      <c r="F11" s="12" t="n">
        <f aca="false">E11/B11-1</f>
        <v>-0.26776150146941</v>
      </c>
      <c r="G11" s="26" t="n">
        <f aca="false">PL!D121</f>
        <v>4.02383640712087</v>
      </c>
      <c r="H11" s="12" t="n">
        <f aca="false">G11/B11-1</f>
        <v>-0.394274212385839</v>
      </c>
      <c r="I11" s="8" t="s">
        <v>1019</v>
      </c>
    </row>
    <row r="12" customFormat="false" ht="17.15" hidden="false" customHeight="false" outlineLevel="0" collapsed="false">
      <c r="A12" s="0" t="s">
        <v>1020</v>
      </c>
      <c r="B12" s="26" t="n">
        <f aca="false">cp2028</f>
        <v>9.144</v>
      </c>
      <c r="C12" s="26" t="n">
        <f aca="false">PL!E41</f>
        <v>7.63491015157602</v>
      </c>
      <c r="D12" s="12" t="n">
        <f aca="false">C12/B12-1</f>
        <v>-0.16503607266229</v>
      </c>
      <c r="E12" s="26" t="n">
        <f aca="false">PL!E81</f>
        <v>4.58493661028137</v>
      </c>
      <c r="F12" s="12" t="n">
        <f aca="false">E12/B12-1</f>
        <v>-0.498585235096088</v>
      </c>
      <c r="G12" s="26" t="n">
        <f aca="false">PL!E121</f>
        <v>0.750066368608317</v>
      </c>
      <c r="H12" s="12" t="n">
        <f aca="false">G12/B12-1</f>
        <v>-0.917971744465407</v>
      </c>
      <c r="I12" s="8" t="s">
        <v>1019</v>
      </c>
    </row>
    <row r="13" customFormat="false" ht="17.15" hidden="false" customHeight="false" outlineLevel="0" collapsed="false">
      <c r="A13" s="0" t="s">
        <v>1021</v>
      </c>
      <c r="B13" s="26" t="n">
        <f aca="false">cp2029</f>
        <v>13.43</v>
      </c>
      <c r="C13" s="26" t="n">
        <f aca="false">PL!F41</f>
        <v>8.74527684890442</v>
      </c>
      <c r="D13" s="12" t="n">
        <f aca="false">C13/B13-1</f>
        <v>-0.348825253246134</v>
      </c>
      <c r="E13" s="26" t="n">
        <f aca="false">PL!F81</f>
        <v>6.37660450944601</v>
      </c>
      <c r="F13" s="12" t="n">
        <f aca="false">E13/B13-1</f>
        <v>-0.525196983660014</v>
      </c>
      <c r="G13" s="26" t="n">
        <f aca="false">PL!F121</f>
        <v>0.443296037872349</v>
      </c>
      <c r="H13" s="12" t="n">
        <f aca="false">G13/B13-1</f>
        <v>-0.966992104402655</v>
      </c>
      <c r="I13" s="8" t="s">
        <v>1019</v>
      </c>
    </row>
    <row r="14" customFormat="false" ht="17.15" hidden="false" customHeight="false" outlineLevel="0" collapsed="false">
      <c r="A14" s="5" t="s">
        <v>1022</v>
      </c>
      <c r="B14" s="26" t="n">
        <f aca="false">cx2027</f>
        <v>93.961</v>
      </c>
      <c r="C14" s="26" t="n">
        <f aca="false">CF!D23</f>
        <v>92.5</v>
      </c>
      <c r="D14" s="12" t="n">
        <f aca="false">C14/B14-1</f>
        <v>-0.0155490043741552</v>
      </c>
      <c r="E14" s="26" t="n">
        <f aca="false">CF!D58</f>
        <v>92.5</v>
      </c>
      <c r="F14" s="12" t="n">
        <f aca="false">E14/B14-1</f>
        <v>-0.0155490043741552</v>
      </c>
      <c r="G14" s="26" t="n">
        <f aca="false">CF!D93</f>
        <v>92.5</v>
      </c>
      <c r="H14" s="12" t="n">
        <f aca="false">G14/B14-1</f>
        <v>-0.0155490043741552</v>
      </c>
      <c r="I14" s="8" t="s">
        <v>1019</v>
      </c>
      <c r="J14" s="5" t="s">
        <v>1023</v>
      </c>
    </row>
    <row r="15" customFormat="false" ht="17.15" hidden="false" customHeight="false" outlineLevel="0" collapsed="false">
      <c r="A15" s="5" t="s">
        <v>1024</v>
      </c>
      <c r="B15" s="26" t="n">
        <f aca="false">cx2028</f>
        <v>100.962</v>
      </c>
      <c r="C15" s="26" t="n">
        <f aca="false">CF!E23</f>
        <v>86.2330259880423</v>
      </c>
      <c r="D15" s="12" t="n">
        <f aca="false">C15/B15-1</f>
        <v>-0.145886313781004</v>
      </c>
      <c r="E15" s="26" t="n">
        <f aca="false">CF!E58</f>
        <v>86.3975259880423</v>
      </c>
      <c r="F15" s="12" t="n">
        <f aca="false">E15/B15-1</f>
        <v>-0.144256987896017</v>
      </c>
      <c r="G15" s="26" t="n">
        <f aca="false">CF!E93</f>
        <v>41.1545715880423</v>
      </c>
      <c r="H15" s="12" t="n">
        <f aca="false">G15/B15-1</f>
        <v>-0.592375630553651</v>
      </c>
      <c r="I15" s="8" t="s">
        <v>1019</v>
      </c>
      <c r="J15" s="5" t="s">
        <v>1023</v>
      </c>
    </row>
    <row r="16" customFormat="false" ht="17.15" hidden="false" customHeight="false" outlineLevel="0" collapsed="false">
      <c r="A16" s="5" t="s">
        <v>1025</v>
      </c>
      <c r="B16" s="26" t="n">
        <f aca="false">cx2029</f>
        <v>84.848</v>
      </c>
      <c r="C16" s="26" t="n">
        <f aca="false">CF!F23</f>
        <v>16.6282981923621</v>
      </c>
      <c r="D16" s="12" t="n">
        <f aca="false">C16/B16-1</f>
        <v>-0.804022508575781</v>
      </c>
      <c r="E16" s="26" t="n">
        <f aca="false">CF!F58</f>
        <v>38.0055631923621</v>
      </c>
      <c r="F16" s="12" t="n">
        <f aca="false">E16/B16-1</f>
        <v>-0.552074731374197</v>
      </c>
      <c r="G16" s="26" t="n">
        <f aca="false">CF!F93</f>
        <v>39.4647925283621</v>
      </c>
      <c r="H16" s="12" t="n">
        <f aca="false">G16/B16-1</f>
        <v>-0.534876573067578</v>
      </c>
      <c r="I16" s="8" t="s">
        <v>1019</v>
      </c>
      <c r="J16" s="5" t="s">
        <v>1023</v>
      </c>
    </row>
    <row r="17" customFormat="false" ht="17.15" hidden="false" customHeight="false" outlineLevel="0" collapsed="false">
      <c r="A17" s="5" t="s">
        <v>1026</v>
      </c>
      <c r="B17" s="26" t="n">
        <f aca="false">cf2027</f>
        <v>-37.32</v>
      </c>
      <c r="C17" s="26" t="n">
        <f aca="false">CF!D24</f>
        <v>-21.446334117897</v>
      </c>
      <c r="D17" s="26" t="n">
        <f aca="false">C17-B17</f>
        <v>15.873665882103</v>
      </c>
      <c r="E17" s="26" t="n">
        <f aca="false">CF!D59</f>
        <v>-25.7529871667244</v>
      </c>
      <c r="F17" s="26" t="n">
        <f aca="false">E17-B17</f>
        <v>11.5670128332756</v>
      </c>
      <c r="G17" s="26" t="n">
        <f aca="false">CF!D94</f>
        <v>-28.3025492789278</v>
      </c>
      <c r="H17" s="26" t="n">
        <f aca="false">G17-B17</f>
        <v>9.01745072107224</v>
      </c>
      <c r="I17" s="8" t="s">
        <v>1019</v>
      </c>
    </row>
    <row r="18" customFormat="false" ht="17.15" hidden="false" customHeight="false" outlineLevel="0" collapsed="false">
      <c r="A18" s="5" t="s">
        <v>1027</v>
      </c>
      <c r="B18" s="26" t="n">
        <f aca="false">cf2028</f>
        <v>-32.56</v>
      </c>
      <c r="C18" s="26" t="n">
        <f aca="false">CF!E24</f>
        <v>-4.74694969384916</v>
      </c>
      <c r="D18" s="26" t="n">
        <f aca="false">C18-B18</f>
        <v>27.8130503061508</v>
      </c>
      <c r="E18" s="26" t="n">
        <f aca="false">CF!E59</f>
        <v>-14.18378175678</v>
      </c>
      <c r="F18" s="26" t="n">
        <f aca="false">E18-B18</f>
        <v>18.37621824322</v>
      </c>
      <c r="G18" s="26" t="n">
        <f aca="false">CF!E94</f>
        <v>4.57885941772242</v>
      </c>
      <c r="H18" s="26" t="n">
        <f aca="false">G18-B18</f>
        <v>37.1388594177224</v>
      </c>
      <c r="I18" s="8" t="s">
        <v>1019</v>
      </c>
    </row>
    <row r="19" customFormat="false" ht="17.15" hidden="false" customHeight="false" outlineLevel="0" collapsed="false">
      <c r="A19" s="5" t="s">
        <v>1028</v>
      </c>
      <c r="B19" s="26" t="n">
        <f aca="false">cf2029</f>
        <v>6.154</v>
      </c>
      <c r="C19" s="26" t="n">
        <f aca="false">CF!F24</f>
        <v>55.4879805372374</v>
      </c>
      <c r="D19" s="26" t="n">
        <f aca="false">C19-B19</f>
        <v>49.3339805372374</v>
      </c>
      <c r="E19" s="26" t="n">
        <f aca="false">CF!F59</f>
        <v>33.8264806710679</v>
      </c>
      <c r="F19" s="26" t="n">
        <f aca="false">E19-B19</f>
        <v>27.6724806710679</v>
      </c>
      <c r="G19" s="26" t="n">
        <f aca="false">CF!F94</f>
        <v>9.27602866043713</v>
      </c>
      <c r="H19" s="26" t="n">
        <f aca="false">G19-B19</f>
        <v>3.12202866043713</v>
      </c>
      <c r="I19" s="8" t="s">
        <v>1019</v>
      </c>
    </row>
    <row r="20" customFormat="false" ht="17.15" hidden="false" customHeight="false" outlineLevel="0" collapsed="false">
      <c r="A20" s="0" t="s">
        <v>1029</v>
      </c>
      <c r="B20" s="26" t="n">
        <f aca="false">g_rev27</f>
        <v>90</v>
      </c>
      <c r="C20" s="26" t="n">
        <f aca="false">PL!D21</f>
        <v>93.5160589228006</v>
      </c>
      <c r="D20" s="12" t="n">
        <f aca="false">C20/B20-1</f>
        <v>0.0390673213644508</v>
      </c>
      <c r="E20" s="26" t="n">
        <f aca="false">PL!D61</f>
        <v>87.153954635208</v>
      </c>
      <c r="F20" s="12" t="n">
        <f aca="false">E20/B20-1</f>
        <v>-0.0316227262754666</v>
      </c>
      <c r="G20" s="26" t="n">
        <f aca="false">PL!D101</f>
        <v>83.4330796269886</v>
      </c>
      <c r="H20" s="12" t="n">
        <f aca="false">G20/B20-1</f>
        <v>-0.0729657819223484</v>
      </c>
      <c r="I20" s="8" t="s">
        <v>1030</v>
      </c>
      <c r="J20" s="5" t="s">
        <v>1031</v>
      </c>
    </row>
    <row r="21" customFormat="false" ht="17.15" hidden="false" customHeight="false" outlineLevel="0" collapsed="false">
      <c r="A21" s="0" t="s">
        <v>1032</v>
      </c>
      <c r="B21" s="26" t="n">
        <f aca="false">capex_g27</f>
        <v>92.5</v>
      </c>
      <c r="C21" s="26" t="n">
        <f aca="false">CF!D23</f>
        <v>92.5</v>
      </c>
      <c r="D21" s="12" t="n">
        <f aca="false">C21/B21-1</f>
        <v>0</v>
      </c>
      <c r="E21" s="26" t="n">
        <f aca="false">CF!D58</f>
        <v>92.5</v>
      </c>
      <c r="F21" s="12" t="n">
        <f aca="false">E21/B21-1</f>
        <v>0</v>
      </c>
      <c r="G21" s="26" t="n">
        <f aca="false">CF!D93</f>
        <v>92.5</v>
      </c>
      <c r="H21" s="12" t="n">
        <f aca="false">G21/B21-1</f>
        <v>0</v>
      </c>
      <c r="I21" s="8" t="s">
        <v>1033</v>
      </c>
      <c r="J21" s="5" t="s">
        <v>1034</v>
      </c>
    </row>
    <row r="22" customFormat="false" ht="17.15" hidden="false" customHeight="false" outlineLevel="0" collapsed="false">
      <c r="A22" s="1" t="s">
        <v>1035</v>
      </c>
    </row>
    <row r="23" customFormat="false" ht="17.15" hidden="false" customHeight="false" outlineLevel="0" collapsed="false">
      <c r="A23" s="0" t="s">
        <v>1036</v>
      </c>
      <c r="B23" s="26" t="n">
        <f aca="false">go2027</f>
        <v>32</v>
      </c>
      <c r="C23" s="26" t="n">
        <f aca="false">PL!D10</f>
        <v>42.1885802174699</v>
      </c>
      <c r="D23" s="12" t="n">
        <f aca="false">C23/B23-1</f>
        <v>0.318393131795936</v>
      </c>
      <c r="E23" s="26" t="n">
        <f aca="false">PL!D50</f>
        <v>35.8264759298774</v>
      </c>
      <c r="F23" s="12" t="n">
        <f aca="false">E23/B23-1</f>
        <v>0.119577372808668</v>
      </c>
      <c r="G23" s="26" t="n">
        <f aca="false">PL!D90</f>
        <v>32.105600921658</v>
      </c>
      <c r="H23" s="12" t="n">
        <f aca="false">G23/B23-1</f>
        <v>0.00330002880181302</v>
      </c>
      <c r="I23" s="8" t="s">
        <v>1037</v>
      </c>
      <c r="J23" s="5" t="s">
        <v>1038</v>
      </c>
    </row>
    <row r="24" customFormat="false" ht="17.15" hidden="false" customHeight="false" outlineLevel="0" collapsed="false">
      <c r="A24" s="0" t="s">
        <v>1039</v>
      </c>
      <c r="B24" s="26" t="n">
        <f aca="false">go2028</f>
        <v>73</v>
      </c>
      <c r="C24" s="26" t="n">
        <f aca="false">PL!E10</f>
        <v>78.8019439034471</v>
      </c>
      <c r="D24" s="12" t="n">
        <f aca="false">C24/B24-1</f>
        <v>0.079478683608865</v>
      </c>
      <c r="E24" s="26" t="n">
        <f aca="false">PL!E50</f>
        <v>65.3431208651826</v>
      </c>
      <c r="F24" s="12" t="n">
        <f aca="false">E24/B24-1</f>
        <v>-0.104888755271472</v>
      </c>
      <c r="G24" s="26" t="n">
        <f aca="false">PL!E90</f>
        <v>43.6677344879951</v>
      </c>
      <c r="H24" s="12" t="n">
        <f aca="false">G24/B24-1</f>
        <v>-0.401811856328834</v>
      </c>
      <c r="I24" s="8" t="s">
        <v>1037</v>
      </c>
      <c r="J24" s="5" t="s">
        <v>1038</v>
      </c>
    </row>
    <row r="25" customFormat="false" ht="17.15" hidden="false" customHeight="false" outlineLevel="0" collapsed="false">
      <c r="A25" s="0" t="s">
        <v>1040</v>
      </c>
      <c r="B25" s="26" t="n">
        <f aca="false">go2029</f>
        <v>114</v>
      </c>
      <c r="C25" s="26" t="n">
        <f aca="false">PL!F10</f>
        <v>101.046154805524</v>
      </c>
      <c r="D25" s="12" t="n">
        <f aca="false">C25/B25-1</f>
        <v>-0.113630221004174</v>
      </c>
      <c r="E25" s="26" t="n">
        <f aca="false">PL!F50</f>
        <v>93.6003075427957</v>
      </c>
      <c r="F25" s="12" t="n">
        <f aca="false">E25/B25-1</f>
        <v>-0.178944670677231</v>
      </c>
      <c r="G25" s="26" t="n">
        <f aca="false">PL!F90</f>
        <v>56.5407621644448</v>
      </c>
      <c r="H25" s="12" t="n">
        <f aca="false">G25/B25-1</f>
        <v>-0.504028402066273</v>
      </c>
      <c r="I25" s="8" t="s">
        <v>1037</v>
      </c>
      <c r="J25" s="5" t="s">
        <v>1038</v>
      </c>
    </row>
    <row r="26" customFormat="false" ht="17.15" hidden="false" customHeight="false" outlineLevel="0" collapsed="false">
      <c r="A26" s="0" t="s">
        <v>1041</v>
      </c>
      <c r="B26" s="26" t="n">
        <f aca="false">go2030</f>
        <v>144</v>
      </c>
      <c r="C26" s="26" t="n">
        <f aca="false">PL!G10</f>
        <v>106.019058654566</v>
      </c>
      <c r="D26" s="12" t="n">
        <f aca="false">C26/B26-1</f>
        <v>-0.263756537121071</v>
      </c>
      <c r="E26" s="26" t="n">
        <f aca="false">PL!G50</f>
        <v>106.577336893125</v>
      </c>
      <c r="F26" s="12" t="n">
        <f aca="false">E26/B26-1</f>
        <v>-0.259879604908853</v>
      </c>
      <c r="G26" s="26" t="n">
        <f aca="false">PL!G90</f>
        <v>69.7997130695</v>
      </c>
      <c r="H26" s="12" t="n">
        <f aca="false">G26/B26-1</f>
        <v>-0.515279770350694</v>
      </c>
      <c r="I26" s="8" t="s">
        <v>1037</v>
      </c>
      <c r="J26" s="5" t="s">
        <v>1038</v>
      </c>
    </row>
    <row r="27" customFormat="false" ht="17.15" hidden="false" customHeight="false" outlineLevel="0" collapsed="false">
      <c r="A27" s="0" t="s">
        <v>1042</v>
      </c>
      <c r="C27" s="26" t="n">
        <f aca="false">PL!D13</f>
        <v>17.6068692118563</v>
      </c>
      <c r="E27" s="26" t="n">
        <f aca="false">PL!D53</f>
        <v>17.6068692118563</v>
      </c>
      <c r="G27" s="26" t="n">
        <f aca="false">PL!D93</f>
        <v>17.6068692118563</v>
      </c>
      <c r="I27" s="5" t="s">
        <v>1043</v>
      </c>
      <c r="J27" s="5" t="s">
        <v>1044</v>
      </c>
    </row>
    <row r="28" customFormat="false" ht="17.15" hidden="false" customHeight="false" outlineLevel="0" collapsed="false">
      <c r="A28" s="0" t="s">
        <v>1045</v>
      </c>
      <c r="C28" s="26" t="n">
        <f aca="false">PL!D14</f>
        <v>4.25827153227389</v>
      </c>
      <c r="E28" s="26" t="n">
        <f aca="false">PL!D54</f>
        <v>4.25827153227389</v>
      </c>
      <c r="G28" s="26" t="n">
        <f aca="false">PL!D94</f>
        <v>4.25827153227389</v>
      </c>
      <c r="I28" s="5" t="s">
        <v>1043</v>
      </c>
      <c r="J28" s="5" t="s">
        <v>1044</v>
      </c>
    </row>
    <row r="29" customFormat="false" ht="17.15" hidden="false" customHeight="false" outlineLevel="0" collapsed="false">
      <c r="A29" s="0" t="s">
        <v>1046</v>
      </c>
      <c r="C29" s="26" t="n">
        <f aca="false">PL!D15</f>
        <v>19.8676026452865</v>
      </c>
      <c r="E29" s="26" t="n">
        <f aca="false">PL!D55</f>
        <v>19.8676026452865</v>
      </c>
      <c r="G29" s="26" t="n">
        <f aca="false">PL!D95</f>
        <v>19.8676026452865</v>
      </c>
      <c r="I29" s="5" t="s">
        <v>1043</v>
      </c>
      <c r="J29" s="5" t="s">
        <v>1044</v>
      </c>
    </row>
    <row r="30" customFormat="false" ht="17.15" hidden="false" customHeight="false" outlineLevel="0" collapsed="false">
      <c r="A30" s="0" t="s">
        <v>1047</v>
      </c>
      <c r="C30" s="26" t="n">
        <f aca="false">PL!D16</f>
        <v>3.38187258556422</v>
      </c>
      <c r="E30" s="26" t="n">
        <f aca="false">PL!D56</f>
        <v>3.38187258556422</v>
      </c>
      <c r="G30" s="26" t="n">
        <f aca="false">PL!D96</f>
        <v>3.38187258556422</v>
      </c>
      <c r="I30" s="5" t="s">
        <v>1043</v>
      </c>
      <c r="J30" s="5" t="s">
        <v>1044</v>
      </c>
    </row>
    <row r="31" customFormat="false" ht="17.15" hidden="false" customHeight="false" outlineLevel="0" collapsed="false">
      <c r="A31" s="0" t="s">
        <v>1048</v>
      </c>
      <c r="C31" s="26" t="n">
        <f aca="false">PL!D17</f>
        <v>6.21286273034975</v>
      </c>
      <c r="E31" s="26" t="n">
        <f aca="false">PL!D57</f>
        <v>6.21286273034975</v>
      </c>
      <c r="G31" s="26" t="n">
        <f aca="false">PL!D97</f>
        <v>6.21286273034975</v>
      </c>
      <c r="I31" s="5" t="s">
        <v>1043</v>
      </c>
      <c r="J31" s="5" t="s">
        <v>1044</v>
      </c>
    </row>
    <row r="32" customFormat="false" ht="17.15" hidden="false" customHeight="false" outlineLevel="0" collapsed="false">
      <c r="A32" s="5" t="s">
        <v>1049</v>
      </c>
      <c r="C32" s="26" t="n">
        <f aca="false">PL!D18</f>
        <v>83.9213236068866</v>
      </c>
      <c r="E32" s="26" t="n">
        <f aca="false">PL!D58</f>
        <v>77.559219319294</v>
      </c>
      <c r="G32" s="26" t="n">
        <f aca="false">PL!D98</f>
        <v>73.8383443110747</v>
      </c>
      <c r="I32" s="5" t="s">
        <v>1043</v>
      </c>
      <c r="J32" s="5" t="s">
        <v>1050</v>
      </c>
    </row>
    <row r="33" customFormat="false" ht="17.15" hidden="false" customHeight="false" outlineLevel="0" collapsed="false">
      <c r="A33" s="5" t="s">
        <v>1051</v>
      </c>
      <c r="C33" s="26" t="n">
        <f aca="false">PL!D19</f>
        <v>3.38187258556422</v>
      </c>
      <c r="E33" s="26" t="n">
        <f aca="false">PL!D59</f>
        <v>3.38187258556422</v>
      </c>
      <c r="G33" s="26" t="n">
        <f aca="false">PL!D99</f>
        <v>3.38187258556422</v>
      </c>
      <c r="I33" s="5" t="s">
        <v>1043</v>
      </c>
      <c r="J33" s="5" t="s">
        <v>1050</v>
      </c>
    </row>
    <row r="34" customFormat="false" ht="17.15" hidden="false" customHeight="false" outlineLevel="0" collapsed="false">
      <c r="A34" s="5" t="s">
        <v>1052</v>
      </c>
      <c r="C34" s="26" t="n">
        <f aca="false">PL!D20</f>
        <v>6.21286273034975</v>
      </c>
      <c r="E34" s="26" t="n">
        <f aca="false">PL!D60</f>
        <v>6.21286273034975</v>
      </c>
      <c r="G34" s="26" t="n">
        <f aca="false">PL!D100</f>
        <v>6.21286273034975</v>
      </c>
      <c r="I34" s="5" t="s">
        <v>1043</v>
      </c>
      <c r="J34" s="5" t="s">
        <v>1050</v>
      </c>
    </row>
    <row r="35" customFormat="false" ht="17.15" hidden="false" customHeight="false" outlineLevel="0" collapsed="false">
      <c r="A35" s="1" t="s">
        <v>1053</v>
      </c>
    </row>
    <row r="36" customFormat="false" ht="17.15" hidden="false" customHeight="false" outlineLevel="0" collapsed="false">
      <c r="A36" s="0" t="s">
        <v>1054</v>
      </c>
      <c r="B36" s="12" t="n">
        <v>0.3</v>
      </c>
      <c r="C36" s="12" t="n">
        <f aca="false">Thesis!C31/q1_oci</f>
        <v>0.340474824885708</v>
      </c>
      <c r="D36" s="12" t="n">
        <f aca="false">C36-B36</f>
        <v>0.0404748248857076</v>
      </c>
      <c r="E36" s="12" t="n">
        <f aca="false">Thesis!C66/q1_oci</f>
        <v>0.340474824885708</v>
      </c>
      <c r="F36" s="12" t="n">
        <f aca="false">E36-B36</f>
        <v>0.0404748248857076</v>
      </c>
      <c r="G36" s="12" t="n">
        <f aca="false">Thesis!C101/q1_oci</f>
        <v>0.340474824885708</v>
      </c>
      <c r="H36" s="12" t="n">
        <f aca="false">G36-B36</f>
        <v>0.0404748248857076</v>
      </c>
      <c r="I36" s="8" t="s">
        <v>1055</v>
      </c>
      <c r="J36" s="5" t="s">
        <v>1056</v>
      </c>
    </row>
    <row r="37" customFormat="false" ht="17.15" hidden="false" customHeight="false" outlineLevel="0" collapsed="false">
      <c r="A37" s="0" t="s">
        <v>1057</v>
      </c>
      <c r="B37" s="12" t="n">
        <f aca="false">Q!B45</f>
        <v>0.641282835552357</v>
      </c>
      <c r="C37" s="12" t="n">
        <f aca="false">m_sw</f>
        <v>0.645219494731002</v>
      </c>
      <c r="D37" s="12" t="n">
        <f aca="false">C37-B37</f>
        <v>0.00393665917864461</v>
      </c>
      <c r="E37" s="12" t="n">
        <f aca="false">m_sw</f>
        <v>0.645219494731002</v>
      </c>
      <c r="F37" s="12" t="n">
        <f aca="false">E37-B37</f>
        <v>0.00393665917864461</v>
      </c>
      <c r="G37" s="12" t="n">
        <f aca="false">m_sw</f>
        <v>0.645219494731002</v>
      </c>
      <c r="H37" s="12" t="n">
        <f aca="false">G37-B37</f>
        <v>0.00393665917864461</v>
      </c>
      <c r="I37" s="8" t="s">
        <v>294</v>
      </c>
      <c r="J37" s="5" t="s">
        <v>1058</v>
      </c>
    </row>
    <row r="38" customFormat="false" ht="17.15" hidden="false" customHeight="false" outlineLevel="0" collapsed="false">
      <c r="A38" s="0" t="s">
        <v>1059</v>
      </c>
      <c r="B38" s="26" t="n">
        <f aca="false">oai_annual</f>
        <v>60</v>
      </c>
      <c r="C38" s="26" t="n">
        <f aca="false">Thesis!G19</f>
        <v>86.4315051368339</v>
      </c>
      <c r="D38" s="12" t="n">
        <f aca="false">C38/B38-1</f>
        <v>0.440525085613898</v>
      </c>
      <c r="E38" s="26" t="n">
        <f aca="false">Thesis!G54</f>
        <v>78.9856578741055</v>
      </c>
      <c r="F38" s="12" t="n">
        <f aca="false">E38/B38-1</f>
        <v>0.316427631235091</v>
      </c>
      <c r="G38" s="26" t="n">
        <f aca="false">Thesis!G89</f>
        <v>41.9261124957546</v>
      </c>
      <c r="H38" s="12" t="n">
        <f aca="false">G38/B38-1</f>
        <v>-0.30123145840409</v>
      </c>
      <c r="I38" s="8" t="s">
        <v>1060</v>
      </c>
    </row>
    <row r="39" customFormat="false" ht="17.15" hidden="false" customHeight="false" outlineLevel="0" collapsed="false">
      <c r="A39" s="0" t="s">
        <v>1061</v>
      </c>
      <c r="B39" s="12" t="n">
        <v>0.35</v>
      </c>
      <c r="C39" s="12" t="n">
        <f aca="false">Thesis!G30</f>
        <v>0.146711218583504</v>
      </c>
      <c r="D39" s="12" t="n">
        <f aca="false">C39-B39</f>
        <v>-0.203288781416496</v>
      </c>
      <c r="E39" s="12" t="n">
        <f aca="false">Thesis!G65</f>
        <v>0.0620754399106208</v>
      </c>
      <c r="F39" s="12" t="n">
        <f aca="false">E39-B39</f>
        <v>-0.287924560089379</v>
      </c>
      <c r="G39" s="12" t="n">
        <f aca="false">Thesis!G100</f>
        <v>-0.420834248577162</v>
      </c>
      <c r="H39" s="12" t="n">
        <f aca="false">G39-B39</f>
        <v>-0.770834248577162</v>
      </c>
      <c r="I39" s="8" t="s">
        <v>1062</v>
      </c>
      <c r="J39" s="5" t="s">
        <v>1063</v>
      </c>
    </row>
    <row r="40" customFormat="false" ht="17.15" hidden="false" customHeight="false" outlineLevel="0" collapsed="false">
      <c r="A40" s="0" t="s">
        <v>1064</v>
      </c>
      <c r="B40" s="12" t="n">
        <f aca="false">wacc</f>
        <v>0.105144131279575</v>
      </c>
      <c r="C40" s="12" t="n">
        <f aca="false">Thesis!G37</f>
        <v>0.0434648535742587</v>
      </c>
      <c r="D40" s="12" t="n">
        <f aca="false">C40-B40</f>
        <v>-0.0616792777053159</v>
      </c>
      <c r="E40" s="12" t="n">
        <f aca="false">Thesis!G72</f>
        <v>0.0167950974759817</v>
      </c>
      <c r="F40" s="12" t="n">
        <f aca="false">E40-B40</f>
        <v>-0.0883490338035929</v>
      </c>
      <c r="G40" s="12" t="n">
        <f aca="false">Thesis!G107</f>
        <v>-0.0739338935396471</v>
      </c>
      <c r="H40" s="12" t="n">
        <f aca="false">G40-B40</f>
        <v>-0.179078024819222</v>
      </c>
      <c r="I40" s="8" t="s">
        <v>1065</v>
      </c>
      <c r="J40" s="5" t="s">
        <v>1066</v>
      </c>
    </row>
    <row r="41" customFormat="false" ht="17.15" hidden="false" customHeight="false" outlineLevel="0" collapsed="false">
      <c r="A41" s="1" t="s">
        <v>1067</v>
      </c>
    </row>
    <row r="42" customFormat="false" ht="17.15" hidden="false" customHeight="false" outlineLevel="0" collapsed="false">
      <c r="A42" s="5" t="s">
        <v>1068</v>
      </c>
      <c r="C42" s="26" t="n">
        <f aca="false">Val!C70</f>
        <v>88.2263426606446</v>
      </c>
      <c r="E42" s="26" t="n">
        <f aca="false">Val!D70</f>
        <v>77.7974696360069</v>
      </c>
      <c r="G42" s="26" t="n">
        <f aca="false">Val!E70</f>
        <v>49.0763349529233</v>
      </c>
      <c r="I42" s="8" t="s">
        <v>1069</v>
      </c>
    </row>
    <row r="43" customFormat="false" ht="17.15" hidden="false" customHeight="false" outlineLevel="0" collapsed="false">
      <c r="A43" s="0" t="s">
        <v>1070</v>
      </c>
      <c r="C43" s="26" t="n">
        <f aca="false">tp_v031_hi</f>
        <v>91.9</v>
      </c>
      <c r="E43" s="26" t="n">
        <f aca="false">tp_v031</f>
        <v>84.2</v>
      </c>
      <c r="G43" s="26" t="n">
        <f aca="false">tp_v031_lo</f>
        <v>77.4</v>
      </c>
      <c r="J43" s="8" t="s">
        <v>1071</v>
      </c>
    </row>
    <row r="44" customFormat="false" ht="17.15" hidden="false" customHeight="false" outlineLevel="0" collapsed="false">
      <c r="A44" s="5" t="s">
        <v>1072</v>
      </c>
      <c r="J44" s="0" t="s">
        <v>1073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11" min="3" style="0" width="14"/>
    <col collapsed="false" customWidth="true" hidden="false" outlineLevel="0" max="12" min="12" style="0" width="30"/>
  </cols>
  <sheetData>
    <row r="1" customFormat="false" ht="17.15" hidden="false" customHeight="false" outlineLevel="0" collapsed="false">
      <c r="A1" s="0" t="s">
        <v>1074</v>
      </c>
    </row>
    <row r="2" customFormat="false" ht="17.15" hidden="false" customHeight="false" outlineLevel="0" collapsed="false">
      <c r="A2" s="5" t="s">
        <v>1075</v>
      </c>
    </row>
    <row r="3" customFormat="false" ht="17.15" hidden="false" customHeight="false" outlineLevel="0" collapsed="false">
      <c r="A3" s="6" t="s">
        <v>1076</v>
      </c>
      <c r="B3" s="6" t="s">
        <v>1077</v>
      </c>
      <c r="C3" s="6" t="s">
        <v>1078</v>
      </c>
      <c r="D3" s="6" t="s">
        <v>1079</v>
      </c>
      <c r="E3" s="6" t="s">
        <v>1080</v>
      </c>
      <c r="F3" s="6" t="s">
        <v>1081</v>
      </c>
      <c r="G3" s="6" t="s">
        <v>1082</v>
      </c>
      <c r="H3" s="6" t="s">
        <v>1083</v>
      </c>
      <c r="I3" s="6" t="s">
        <v>1084</v>
      </c>
      <c r="J3" s="6" t="s">
        <v>1085</v>
      </c>
      <c r="K3" s="6" t="s">
        <v>1086</v>
      </c>
      <c r="L3" s="6" t="s">
        <v>16</v>
      </c>
    </row>
    <row r="4" customFormat="false" ht="17.15" hidden="false" customHeight="false" outlineLevel="0" collapsed="false">
      <c r="A4" s="5" t="s">
        <v>1087</v>
      </c>
      <c r="B4" s="0" t="s">
        <v>1088</v>
      </c>
      <c r="C4" s="34" t="n">
        <v>59.978324971976</v>
      </c>
      <c r="D4" s="12" t="n">
        <f aca="false">C4/Val!$C$74-1</f>
        <v>-0.180897057344019</v>
      </c>
      <c r="E4" s="34" t="n">
        <v>100.041786278727</v>
      </c>
      <c r="F4" s="12" t="n">
        <f aca="false">E4/Val!$C$74-1</f>
        <v>0.366235578732041</v>
      </c>
      <c r="G4" s="12" t="n">
        <f aca="false">MAX(ABS(D4),ABS(F4))</f>
        <v>0.366235578732041</v>
      </c>
      <c r="H4" s="10" t="n">
        <v>-0.041837848642692</v>
      </c>
      <c r="I4" s="10" t="n">
        <v>0.21794537274059</v>
      </c>
      <c r="J4" s="35" t="n">
        <v>53.557191655543</v>
      </c>
      <c r="K4" s="35" t="n">
        <v>111.326262253846</v>
      </c>
      <c r="L4" s="8" t="s">
        <v>193</v>
      </c>
    </row>
    <row r="5" customFormat="false" ht="17.15" hidden="false" customHeight="false" outlineLevel="0" collapsed="false">
      <c r="A5" s="5" t="s">
        <v>1089</v>
      </c>
      <c r="B5" s="0" t="s">
        <v>1090</v>
      </c>
      <c r="C5" s="34" t="n">
        <v>66.2406092842689</v>
      </c>
      <c r="D5" s="12" t="n">
        <f aca="false">C5/Val!$C$74-1</f>
        <v>-0.0953752374141667</v>
      </c>
      <c r="E5" s="34" t="n">
        <v>80.2369421617225</v>
      </c>
      <c r="F5" s="12" t="n">
        <f aca="false">E5/Val!$C$74-1</f>
        <v>0.0957677705253097</v>
      </c>
      <c r="G5" s="12" t="n">
        <f aca="false">MAX(ABS(D5),ABS(F5))</f>
        <v>0.0957677705253097</v>
      </c>
      <c r="H5" s="10" t="n">
        <v>0.0101187956339645</v>
      </c>
      <c r="I5" s="10" t="n">
        <v>0.108836419759612</v>
      </c>
      <c r="J5" s="35" t="n">
        <v>62.6493421164998</v>
      </c>
      <c r="K5" s="35" t="n">
        <v>82.8910239265288</v>
      </c>
      <c r="L5" s="8" t="s">
        <v>90</v>
      </c>
    </row>
    <row r="6" customFormat="false" ht="17.15" hidden="false" customHeight="false" outlineLevel="0" collapsed="false">
      <c r="A6" s="5" t="s">
        <v>1091</v>
      </c>
      <c r="B6" s="0" t="s">
        <v>1092</v>
      </c>
      <c r="C6" s="34" t="n">
        <v>67.0233986850724</v>
      </c>
      <c r="D6" s="12" t="n">
        <f aca="false">C6/Val!$C$74-1</f>
        <v>-0.0846849571841395</v>
      </c>
      <c r="E6" s="34" t="n">
        <v>78.5963632235237</v>
      </c>
      <c r="F6" s="12" t="n">
        <f aca="false">E6/Val!$C$74-1</f>
        <v>0.073362959511232</v>
      </c>
      <c r="G6" s="12" t="n">
        <f aca="false">MAX(ABS(D6),ABS(F6))</f>
        <v>0.0846849571841395</v>
      </c>
      <c r="H6" s="10" t="n">
        <v>-0.0418186682837707</v>
      </c>
      <c r="I6" s="10" t="n">
        <v>0.148273753495968</v>
      </c>
      <c r="J6" s="35" t="n">
        <v>43.2857075865065</v>
      </c>
      <c r="K6" s="35" t="n">
        <v>102.222897328938</v>
      </c>
      <c r="L6" s="8" t="s">
        <v>1093</v>
      </c>
    </row>
    <row r="7" customFormat="false" ht="17.15" hidden="false" customHeight="false" outlineLevel="0" collapsed="false">
      <c r="A7" s="5" t="s">
        <v>1094</v>
      </c>
      <c r="B7" s="0" t="s">
        <v>1095</v>
      </c>
      <c r="C7" s="34" t="n">
        <v>71.1309070728271</v>
      </c>
      <c r="D7" s="12" t="n">
        <f aca="false">C7/Val!$C$74-1</f>
        <v>-0.0285901561211555</v>
      </c>
      <c r="E7" s="34" t="n">
        <v>74.7529153511695</v>
      </c>
      <c r="F7" s="12" t="n">
        <f aca="false">E7/Val!$C$74-1</f>
        <v>0.0208743402698455</v>
      </c>
      <c r="G7" s="12" t="n">
        <f aca="false">MAX(ABS(D7),ABS(F7))</f>
        <v>0.0285901561211555</v>
      </c>
      <c r="H7" s="10" t="n">
        <v>0.082867124075499</v>
      </c>
      <c r="I7" s="10" t="n">
        <v>0.0423945250663494</v>
      </c>
      <c r="J7" s="35" t="n">
        <v>86.1010187129191</v>
      </c>
      <c r="K7" s="35" t="n">
        <v>59.396182061652</v>
      </c>
      <c r="L7" s="8" t="s">
        <v>1096</v>
      </c>
    </row>
    <row r="8" customFormat="false" ht="17.15" hidden="false" customHeight="false" outlineLevel="0" collapsed="false">
      <c r="A8" s="5" t="s">
        <v>1097</v>
      </c>
      <c r="B8" s="5" t="s">
        <v>1098</v>
      </c>
      <c r="C8" s="34" t="n">
        <v>76.7079695079638</v>
      </c>
      <c r="D8" s="12" t="n">
        <f aca="false">C8/Val!$C$74-1</f>
        <v>0.0475738290206607</v>
      </c>
      <c r="E8" s="34" t="n">
        <v>65.4104900353031</v>
      </c>
      <c r="F8" s="12" t="n">
        <f aca="false">E8/Val!$C$74-1</f>
        <v>-0.106711884776376</v>
      </c>
      <c r="G8" s="12" t="n">
        <f aca="false">MAX(ABS(D8),ABS(F8))</f>
        <v>0.106711884776376</v>
      </c>
      <c r="H8" s="10" t="n">
        <v>0.0911989532859048</v>
      </c>
      <c r="I8" s="10" t="n">
        <v>-0.00394120276821695</v>
      </c>
      <c r="J8" s="35" t="n">
        <v>84.9435185369511</v>
      </c>
      <c r="K8" s="35" t="n">
        <v>49.0519476695308</v>
      </c>
      <c r="L8" s="8" t="s">
        <v>1099</v>
      </c>
    </row>
    <row r="9" customFormat="false" ht="17.15" hidden="false" customHeight="false" outlineLevel="0" collapsed="false">
      <c r="A9" s="0" t="s">
        <v>1100</v>
      </c>
      <c r="B9" s="0" t="s">
        <v>1101</v>
      </c>
      <c r="C9" s="34" t="n">
        <v>56.170548434727</v>
      </c>
      <c r="D9" s="12" t="n">
        <f aca="false">C9/Val!$C$74-1</f>
        <v>-0.232898525676026</v>
      </c>
      <c r="E9" s="34" t="n">
        <v>85.4012083329214</v>
      </c>
      <c r="F9" s="12" t="n">
        <f aca="false">E9/Val!$C$74-1</f>
        <v>0.166294341906958</v>
      </c>
      <c r="G9" s="12" t="n">
        <f aca="false">MAX(ABS(D9),ABS(F9))</f>
        <v>0.232898525676026</v>
      </c>
      <c r="H9" s="10" t="n">
        <v>-0.0248627812923062</v>
      </c>
      <c r="I9" s="10" t="n">
        <v>0.124174169341283</v>
      </c>
      <c r="J9" s="35" t="n">
        <v>77.2822275086876</v>
      </c>
      <c r="K9" s="35" t="n">
        <v>69.5359425548294</v>
      </c>
      <c r="L9" s="8" t="s">
        <v>161</v>
      </c>
    </row>
    <row r="10" customFormat="false" ht="17.15" hidden="false" customHeight="false" outlineLevel="0" collapsed="false">
      <c r="A10" s="0" t="s">
        <v>1102</v>
      </c>
      <c r="B10" s="0" t="s">
        <v>1092</v>
      </c>
      <c r="C10" s="34" t="n">
        <v>78.7173955661164</v>
      </c>
      <c r="D10" s="12" t="n">
        <f aca="false">C10/Val!$C$74-1</f>
        <v>0.0750158557536753</v>
      </c>
      <c r="E10" s="34" t="n">
        <v>67.7323891022072</v>
      </c>
      <c r="F10" s="12" t="n">
        <f aca="false">E10/Val!$C$74-1</f>
        <v>-0.0750025237840514</v>
      </c>
      <c r="G10" s="12" t="n">
        <f aca="false">MAX(ABS(D10),ABS(F10))</f>
        <v>0.0750158557536753</v>
      </c>
      <c r="H10" s="10" t="n">
        <v>0.101186868003531</v>
      </c>
      <c r="I10" s="10" t="n">
        <v>0.0229640118177108</v>
      </c>
      <c r="J10" s="35" t="n">
        <v>80.1486614645036</v>
      </c>
      <c r="K10" s="35" t="n">
        <v>65.3784611067036</v>
      </c>
      <c r="L10" s="8" t="s">
        <v>1103</v>
      </c>
    </row>
    <row r="11" customFormat="false" ht="17.15" hidden="false" customHeight="false" outlineLevel="0" collapsed="false">
      <c r="A11" s="5" t="s">
        <v>1104</v>
      </c>
      <c r="B11" s="0" t="s">
        <v>1105</v>
      </c>
      <c r="C11" s="34" t="n">
        <v>66.9049391605095</v>
      </c>
      <c r="D11" s="12" t="n">
        <f aca="false">C11/Val!$C$74-1</f>
        <v>-0.0863027173533412</v>
      </c>
      <c r="E11" s="34" t="n">
        <v>78.2170581622864</v>
      </c>
      <c r="F11" s="12" t="n">
        <f aca="false">E11/Val!$C$74-1</f>
        <v>0.0681829233570221</v>
      </c>
      <c r="G11" s="12" t="n">
        <f aca="false">MAX(ABS(D11),ABS(F11))</f>
        <v>0.0863027173533412</v>
      </c>
      <c r="H11" s="10" t="n">
        <v>0.0373772580945398</v>
      </c>
      <c r="I11" s="10" t="n">
        <v>0.0815740045022638</v>
      </c>
      <c r="J11" s="35" t="n">
        <v>65.6384282082249</v>
      </c>
      <c r="K11" s="35" t="n">
        <v>78.3886663466922</v>
      </c>
      <c r="L11" s="8" t="s">
        <v>213</v>
      </c>
    </row>
    <row r="12" customFormat="false" ht="17.15" hidden="false" customHeight="false" outlineLevel="0" collapsed="false">
      <c r="A12" s="0" t="s">
        <v>1106</v>
      </c>
      <c r="B12" s="0" t="s">
        <v>1107</v>
      </c>
      <c r="C12" s="34" t="n">
        <v>66.846089184111</v>
      </c>
      <c r="D12" s="12" t="n">
        <f aca="false">C12/Val!$C$74-1</f>
        <v>-0.0871064108353745</v>
      </c>
      <c r="E12" s="34" t="n">
        <v>80.3882997956128</v>
      </c>
      <c r="F12" s="12" t="n">
        <f aca="false">E12/Val!$C$74-1</f>
        <v>0.0978348086323411</v>
      </c>
      <c r="G12" s="12" t="n">
        <f aca="false">MAX(ABS(D12),ABS(F12))</f>
        <v>0.0978348086323411</v>
      </c>
      <c r="H12" s="10" t="n">
        <v>0.0620153178788128</v>
      </c>
      <c r="I12" s="10" t="n">
        <v>0.0621335373914706</v>
      </c>
      <c r="J12" s="35" t="n">
        <v>67.2375789391998</v>
      </c>
      <c r="K12" s="35" t="n">
        <v>78.9342057524712</v>
      </c>
      <c r="L12" s="8" t="s">
        <v>239</v>
      </c>
    </row>
    <row r="13" customFormat="false" ht="17.15" hidden="false" customHeight="false" outlineLevel="0" collapsed="false">
      <c r="A13" s="0" t="s">
        <v>1108</v>
      </c>
      <c r="B13" s="0" t="s">
        <v>1109</v>
      </c>
      <c r="C13" s="34" t="n">
        <v>71.1582086738448</v>
      </c>
      <c r="D13" s="12" t="n">
        <f aca="false">C13/Val!$C$74-1</f>
        <v>-0.0282173077339545</v>
      </c>
      <c r="E13" s="34" t="n">
        <v>74.6550471261778</v>
      </c>
      <c r="F13" s="12" t="n">
        <f aca="false">E13/Val!$C$74-1</f>
        <v>0.0195377882550856</v>
      </c>
      <c r="G13" s="12" t="n">
        <f aca="false">MAX(ABS(D13),ABS(F13))</f>
        <v>0.0282173077339545</v>
      </c>
      <c r="H13" s="10" t="n">
        <v>0.0620754399106208</v>
      </c>
      <c r="I13" s="10" t="n">
        <v>0.0620754399106208</v>
      </c>
      <c r="J13" s="35" t="n">
        <v>71.3873676120659</v>
      </c>
      <c r="K13" s="35" t="n">
        <v>73.7018361936561</v>
      </c>
      <c r="L13" s="8" t="s">
        <v>247</v>
      </c>
    </row>
    <row r="14" customFormat="false" ht="17.15" hidden="false" customHeight="false" outlineLevel="0" collapsed="false">
      <c r="A14" s="0" t="s">
        <v>1110</v>
      </c>
      <c r="B14" s="0" t="s">
        <v>1111</v>
      </c>
      <c r="C14" s="34" t="n">
        <v>72.1560862962438</v>
      </c>
      <c r="D14" s="12" t="n">
        <f aca="false">C14/Val!$C$74-1</f>
        <v>-0.0145896431184542</v>
      </c>
      <c r="E14" s="34" t="n">
        <v>74.3291259541351</v>
      </c>
      <c r="F14" s="12" t="n">
        <f aca="false">E14/Val!$C$74-1</f>
        <v>0.0150867971475679</v>
      </c>
      <c r="G14" s="12" t="n">
        <f aca="false">MAX(ABS(D14),ABS(F14))</f>
        <v>0.0150867971475679</v>
      </c>
      <c r="H14" s="10" t="n">
        <v>0.0620754399106208</v>
      </c>
      <c r="I14" s="10" t="n">
        <v>0.0620754399106208</v>
      </c>
      <c r="J14" s="35" t="n">
        <v>71.9205394237453</v>
      </c>
      <c r="K14" s="35" t="n">
        <v>73.6226704848867</v>
      </c>
      <c r="L14" s="8" t="s">
        <v>254</v>
      </c>
    </row>
    <row r="15" customFormat="false" ht="17.15" hidden="false" customHeight="false" outlineLevel="0" collapsed="false">
      <c r="A15" s="5" t="s">
        <v>1112</v>
      </c>
      <c r="B15" s="0" t="s">
        <v>1113</v>
      </c>
      <c r="C15" s="34" t="n">
        <v>66.4368013096959</v>
      </c>
      <c r="D15" s="12" t="n">
        <f aca="false">C15/Val!$C$74-1</f>
        <v>-0.0926959117506377</v>
      </c>
      <c r="E15" s="34" t="n">
        <v>80.0268227759638</v>
      </c>
      <c r="F15" s="12" t="n">
        <f aca="false">E15/Val!$C$74-1</f>
        <v>0.0928982437877017</v>
      </c>
      <c r="G15" s="12" t="n">
        <f aca="false">MAX(ABS(D15),ABS(F15))</f>
        <v>0.0928982437877017</v>
      </c>
      <c r="H15" s="10" t="n">
        <v>0.0620754399106208</v>
      </c>
      <c r="I15" s="10" t="n">
        <v>0.0620754399106208</v>
      </c>
      <c r="J15" s="35" t="n">
        <v>64.9411941617794</v>
      </c>
      <c r="K15" s="35" t="n">
        <v>80.5859284094278</v>
      </c>
      <c r="L15" s="8" t="s">
        <v>276</v>
      </c>
    </row>
    <row r="16" customFormat="false" ht="17.15" hidden="false" customHeight="false" outlineLevel="0" collapsed="false">
      <c r="A16" s="5" t="s">
        <v>1114</v>
      </c>
      <c r="B16" s="0" t="s">
        <v>1115</v>
      </c>
      <c r="C16" s="34" t="n">
        <v>76.2985495309124</v>
      </c>
      <c r="D16" s="12" t="n">
        <f aca="false">C16/Val!$C$74-1</f>
        <v>0.0419825240260374</v>
      </c>
      <c r="E16" s="34" t="n">
        <v>69.9750446679891</v>
      </c>
      <c r="F16" s="12" t="n">
        <f aca="false">E16/Val!$C$74-1</f>
        <v>-0.0443753634864927</v>
      </c>
      <c r="G16" s="12" t="n">
        <f aca="false">MAX(ABS(D16),ABS(F16))</f>
        <v>0.0443753634864927</v>
      </c>
      <c r="H16" s="10" t="n">
        <v>0.0620754399106208</v>
      </c>
      <c r="I16" s="10" t="n">
        <v>0.0620754399106208</v>
      </c>
      <c r="J16" s="35" t="n">
        <v>74.6914009732322</v>
      </c>
      <c r="K16" s="35" t="n">
        <v>70.7601489682382</v>
      </c>
      <c r="L16" s="8" t="s">
        <v>284</v>
      </c>
    </row>
    <row r="17" customFormat="false" ht="17.15" hidden="false" customHeight="false" outlineLevel="0" collapsed="false">
      <c r="A17" s="5" t="s">
        <v>1116</v>
      </c>
      <c r="B17" s="0" t="s">
        <v>1117</v>
      </c>
      <c r="C17" s="34" t="n">
        <v>72.4861565873861</v>
      </c>
      <c r="D17" s="12" t="n">
        <f aca="false">C17/Val!$C$74-1</f>
        <v>-0.0100819889469798</v>
      </c>
      <c r="E17" s="34" t="n">
        <v>77.774781816116</v>
      </c>
      <c r="F17" s="12" t="n">
        <f aca="false">E17/Val!$C$74-1</f>
        <v>0.0621429104559521</v>
      </c>
      <c r="G17" s="12" t="n">
        <f aca="false">MAX(ABS(D17),ABS(F17))</f>
        <v>0.0621429104559521</v>
      </c>
      <c r="H17" s="10" t="n">
        <v>0.0620754399106208</v>
      </c>
      <c r="I17" s="10" t="n">
        <v>0.0620754399106208</v>
      </c>
      <c r="J17" s="35" t="n">
        <v>70.3727440516816</v>
      </c>
      <c r="K17" s="35" t="n">
        <v>87.2223131288467</v>
      </c>
      <c r="L17" s="8" t="s">
        <v>322</v>
      </c>
    </row>
    <row r="18" customFormat="false" ht="17.15" hidden="false" customHeight="false" outlineLevel="0" collapsed="false">
      <c r="A18" s="0" t="s">
        <v>1118</v>
      </c>
      <c r="B18" s="0" t="s">
        <v>1119</v>
      </c>
      <c r="C18" s="34" t="n">
        <v>78.8820288717236</v>
      </c>
      <c r="D18" s="12" t="n">
        <f aca="false">C18/Val!$C$74-1</f>
        <v>0.0772641950519977</v>
      </c>
      <c r="E18" s="34" t="n">
        <v>65.5832010174824</v>
      </c>
      <c r="F18" s="12" t="n">
        <f aca="false">E18/Val!$C$74-1</f>
        <v>-0.104353231482904</v>
      </c>
      <c r="G18" s="12" t="n">
        <f aca="false">MAX(ABS(D18),ABS(F18))</f>
        <v>0.104353231482904</v>
      </c>
      <c r="H18" s="10" t="n">
        <v>0.0620754399106208</v>
      </c>
      <c r="I18" s="10" t="n">
        <v>0.0620754399106208</v>
      </c>
      <c r="J18" s="35" t="n">
        <v>72.7635612856036</v>
      </c>
      <c r="K18" s="35" t="n">
        <v>72.7635612856036</v>
      </c>
      <c r="L18" s="8" t="s">
        <v>427</v>
      </c>
    </row>
    <row r="19" customFormat="false" ht="17.15" hidden="false" customHeight="false" outlineLevel="0" collapsed="false">
      <c r="A19" s="0" t="s">
        <v>1120</v>
      </c>
      <c r="B19" s="0" t="s">
        <v>1121</v>
      </c>
      <c r="C19" s="34" t="n">
        <v>78.3454920854606</v>
      </c>
      <c r="D19" s="12" t="n">
        <f aca="false">C19/Val!$C$74-1</f>
        <v>0.0699369003888581</v>
      </c>
      <c r="E19" s="34" t="n">
        <v>68.9789120757913</v>
      </c>
      <c r="F19" s="12" t="n">
        <f aca="false">E19/Val!$C$74-1</f>
        <v>-0.0579791968367235</v>
      </c>
      <c r="G19" s="12" t="n">
        <f aca="false">MAX(ABS(D19),ABS(F19))</f>
        <v>0.0699369003888581</v>
      </c>
      <c r="H19" s="10" t="n">
        <v>0.0620754399106208</v>
      </c>
      <c r="I19" s="10" t="n">
        <v>0.0620754399106208</v>
      </c>
      <c r="J19" s="35" t="n">
        <v>72.7635612856036</v>
      </c>
      <c r="K19" s="35" t="n">
        <v>72.7635612856036</v>
      </c>
      <c r="L19" s="8" t="s">
        <v>437</v>
      </c>
    </row>
    <row r="20" customFormat="false" ht="17.15" hidden="false" customHeight="false" outlineLevel="0" collapsed="false">
      <c r="A20" s="5" t="s">
        <v>1122</v>
      </c>
      <c r="B20" s="0" t="s">
        <v>1123</v>
      </c>
      <c r="C20" s="34" t="n">
        <v>78.9413359901692</v>
      </c>
      <c r="D20" s="12" t="n">
        <f aca="false">C20/Val!$C$74-1</f>
        <v>0.0780741315625941</v>
      </c>
      <c r="E20" s="34" t="n">
        <v>68.4398630440447</v>
      </c>
      <c r="F20" s="12" t="n">
        <f aca="false">E20/Val!$C$74-1</f>
        <v>-0.0653408003550912</v>
      </c>
      <c r="G20" s="12" t="n">
        <f aca="false">MAX(ABS(D20),ABS(F20))</f>
        <v>0.0780741315625941</v>
      </c>
      <c r="H20" s="10" t="n">
        <v>0.0620754399106208</v>
      </c>
      <c r="I20" s="10" t="n">
        <v>0.0620754399106208</v>
      </c>
      <c r="J20" s="35" t="n">
        <v>72.7635612856036</v>
      </c>
      <c r="K20" s="35" t="n">
        <v>72.7635612856036</v>
      </c>
      <c r="L20" s="8" t="s">
        <v>431</v>
      </c>
    </row>
    <row r="21" customFormat="false" ht="17.15" hidden="false" customHeight="false" outlineLevel="0" collapsed="false">
      <c r="A21" s="5" t="s">
        <v>1124</v>
      </c>
      <c r="B21" s="0" t="s">
        <v>1125</v>
      </c>
      <c r="C21" s="34" t="n">
        <v>74.0590764980353</v>
      </c>
      <c r="D21" s="12" t="n">
        <f aca="false">C21/Val!$C$74-1</f>
        <v>0.0113988264638694</v>
      </c>
      <c r="E21" s="34" t="n">
        <v>70.9620360026868</v>
      </c>
      <c r="F21" s="12" t="n">
        <f aca="false">E21/Val!$C$74-1</f>
        <v>-0.0308963690830215</v>
      </c>
      <c r="G21" s="12" t="n">
        <f aca="false">MAX(ABS(D21),ABS(F21))</f>
        <v>0.0308963690830215</v>
      </c>
      <c r="H21" s="10" t="n">
        <v>0.0620754399106208</v>
      </c>
      <c r="I21" s="10" t="n">
        <v>0.0620754399106208</v>
      </c>
      <c r="J21" s="35" t="n">
        <v>72.7635612856036</v>
      </c>
      <c r="K21" s="35" t="n">
        <v>72.7635612856036</v>
      </c>
      <c r="L21" s="8" t="s">
        <v>433</v>
      </c>
    </row>
    <row r="22" customFormat="false" ht="17.15" hidden="false" customHeight="false" outlineLevel="0" collapsed="false">
      <c r="A22" s="5" t="s">
        <v>1126</v>
      </c>
      <c r="B22" s="5" t="s">
        <v>1127</v>
      </c>
      <c r="C22" s="34" t="n">
        <v>73.2244042213954</v>
      </c>
      <c r="D22" s="12" t="n">
        <f aca="false">C22/Val!$C$74-1</f>
        <v>0</v>
      </c>
      <c r="E22" s="34" t="n">
        <v>76.7010925261401</v>
      </c>
      <c r="F22" s="12" t="n">
        <f aca="false">E22/Val!$C$74-1</f>
        <v>0.0474799124924648</v>
      </c>
      <c r="G22" s="12" t="n">
        <f aca="false">MAX(ABS(D22),ABS(F22))</f>
        <v>0.0474799124924648</v>
      </c>
      <c r="H22" s="10" t="n">
        <v>0.0620754399106208</v>
      </c>
      <c r="I22" s="10" t="n">
        <v>0.0620754399106208</v>
      </c>
      <c r="J22" s="35" t="n">
        <v>72.7635612856036</v>
      </c>
      <c r="K22" s="35" t="n">
        <v>72.7635612856036</v>
      </c>
      <c r="L22" s="8" t="s">
        <v>440</v>
      </c>
    </row>
    <row r="23" customFormat="false" ht="17.15" hidden="false" customHeight="false" outlineLevel="0" collapsed="false">
      <c r="A23" s="5" t="s">
        <v>1128</v>
      </c>
      <c r="B23" s="0" t="s">
        <v>1129</v>
      </c>
      <c r="C23" s="34" t="n">
        <v>81.5433024248109</v>
      </c>
      <c r="D23" s="12" t="n">
        <f aca="false">C23/Val!$C$74-1</f>
        <v>0.113608274343389</v>
      </c>
      <c r="E23" s="34" t="n">
        <v>69.1170114416722</v>
      </c>
      <c r="F23" s="12" t="n">
        <f aca="false">E23/Val!$C$74-1</f>
        <v>-0.056093222244655</v>
      </c>
      <c r="G23" s="12" t="n">
        <f aca="false">MAX(ABS(D23),ABS(F23))</f>
        <v>0.113608274343389</v>
      </c>
      <c r="H23" s="10" t="n">
        <v>0.0620754399106208</v>
      </c>
      <c r="I23" s="10" t="n">
        <v>0.0620754399106208</v>
      </c>
      <c r="J23" s="35" t="n">
        <v>80.4442574152595</v>
      </c>
      <c r="K23" s="35" t="n">
        <v>68.9655221401339</v>
      </c>
      <c r="L23" s="8" t="s">
        <v>280</v>
      </c>
    </row>
    <row r="24" customFormat="false" ht="17.15" hidden="false" customHeight="false" outlineLevel="0" collapsed="false">
      <c r="A24" s="5" t="s">
        <v>1130</v>
      </c>
      <c r="B24" s="0" t="s">
        <v>1131</v>
      </c>
      <c r="C24" s="34" t="n">
        <v>70.3120670031446</v>
      </c>
      <c r="D24" s="12" t="n">
        <f aca="false">C24/Val!$C$74-1</f>
        <v>-0.0397727676888333</v>
      </c>
      <c r="E24" s="34" t="n">
        <v>77.5929100487716</v>
      </c>
      <c r="F24" s="12" t="n">
        <f aca="false">E24/Val!$C$74-1</f>
        <v>0.0596591515332505</v>
      </c>
      <c r="G24" s="12" t="n">
        <f aca="false">MAX(ABS(D24),ABS(F24))</f>
        <v>0.0596591515332505</v>
      </c>
      <c r="H24" s="10" t="n">
        <v>0.0620754399106208</v>
      </c>
      <c r="I24" s="10" t="n">
        <v>0.0620754399106208</v>
      </c>
      <c r="J24" s="35" t="n">
        <v>72.7635612856036</v>
      </c>
      <c r="K24" s="35" t="n">
        <v>72.7635612856036</v>
      </c>
      <c r="L24" s="8" t="s">
        <v>504</v>
      </c>
    </row>
    <row r="25" customFormat="false" ht="17.15" hidden="false" customHeight="false" outlineLevel="0" collapsed="false">
      <c r="A25" s="5" t="s">
        <v>1132</v>
      </c>
      <c r="B25" s="5" t="s">
        <v>1133</v>
      </c>
      <c r="C25" s="34" t="n">
        <v>73.2244042213954</v>
      </c>
      <c r="D25" s="12" t="n">
        <f aca="false">C25/Val!$C$74-1</f>
        <v>0</v>
      </c>
      <c r="E25" s="34" t="n">
        <v>68.8769554189616</v>
      </c>
      <c r="F25" s="12" t="n">
        <f aca="false">E25/Val!$C$74-1</f>
        <v>-0.0593715831307988</v>
      </c>
      <c r="G25" s="12" t="n">
        <f aca="false">MAX(ABS(D25),ABS(F25))</f>
        <v>0.0593715831307988</v>
      </c>
      <c r="H25" s="10" t="n">
        <v>0.0620754399106208</v>
      </c>
      <c r="I25" s="10" t="n">
        <v>0.0620754399106208</v>
      </c>
      <c r="J25" s="35" t="n">
        <v>72.7635612856036</v>
      </c>
      <c r="K25" s="35" t="n">
        <v>72.7635612856036</v>
      </c>
      <c r="L25" s="8" t="s">
        <v>508</v>
      </c>
    </row>
    <row r="26" customFormat="false" ht="17.15" hidden="false" customHeight="false" outlineLevel="0" collapsed="false">
      <c r="A26" s="5" t="s">
        <v>1134</v>
      </c>
      <c r="B26" s="5" t="s">
        <v>1135</v>
      </c>
      <c r="C26" s="34" t="n">
        <v>73.2244042213954</v>
      </c>
      <c r="D26" s="12" t="n">
        <f aca="false">C26/Val!$C$74-1</f>
        <v>0</v>
      </c>
      <c r="E26" s="34" t="n">
        <v>68.121533349274</v>
      </c>
      <c r="F26" s="12" t="n">
        <f aca="false">E26/Val!$C$74-1</f>
        <v>-0.0696881173207331</v>
      </c>
      <c r="G26" s="12" t="n">
        <f aca="false">MAX(ABS(D26),ABS(F26))</f>
        <v>0.0696881173207331</v>
      </c>
      <c r="H26" s="10" t="n">
        <v>0.0620754399106208</v>
      </c>
      <c r="I26" s="10" t="n">
        <v>0.0620754399106208</v>
      </c>
      <c r="J26" s="35" t="n">
        <v>72.7635612856036</v>
      </c>
      <c r="K26" s="35" t="n">
        <v>68.0445515021175</v>
      </c>
      <c r="L26" s="8" t="s">
        <v>280</v>
      </c>
    </row>
    <row r="27" customFormat="false" ht="17.15" hidden="false" customHeight="false" outlineLevel="0" collapsed="false">
      <c r="A27" s="0" t="s">
        <v>1136</v>
      </c>
      <c r="B27" s="5" t="s">
        <v>1137</v>
      </c>
      <c r="C27" s="34" t="n">
        <v>73.2244042213954</v>
      </c>
      <c r="D27" s="12" t="n">
        <f aca="false">C27/Val!$C$74-1</f>
        <v>0</v>
      </c>
      <c r="E27" s="34" t="n">
        <v>74.5458323386685</v>
      </c>
      <c r="F27" s="12" t="n">
        <f aca="false">E27/Val!$C$74-1</f>
        <v>0.018046280216603</v>
      </c>
      <c r="G27" s="12" t="n">
        <f aca="false">MAX(ABS(D27),ABS(F27))</f>
        <v>0.018046280216603</v>
      </c>
      <c r="H27" s="10" t="n">
        <v>0.0620754399106208</v>
      </c>
      <c r="I27" s="10" t="n">
        <v>0.0620754399106208</v>
      </c>
      <c r="J27" s="35" t="n">
        <v>72.7635612856036</v>
      </c>
      <c r="K27" s="35" t="n">
        <v>72.7635612856036</v>
      </c>
      <c r="L27" s="8" t="s">
        <v>514</v>
      </c>
    </row>
    <row r="28" customFormat="false" ht="17.15" hidden="false" customHeight="false" outlineLevel="0" collapsed="false">
      <c r="A28" s="5" t="s">
        <v>1138</v>
      </c>
      <c r="B28" s="0" t="s">
        <v>1139</v>
      </c>
      <c r="C28" s="34" t="n">
        <v>74.6574360953356</v>
      </c>
      <c r="D28" s="12" t="n">
        <f aca="false">C28/Val!$C$74-1</f>
        <v>0.0195704135687798</v>
      </c>
      <c r="E28" s="34" t="n">
        <v>71.7483805409629</v>
      </c>
      <c r="F28" s="12" t="n">
        <f aca="false">E28/Val!$C$74-1</f>
        <v>-0.0201575375877379</v>
      </c>
      <c r="G28" s="12" t="n">
        <f aca="false">MAX(ABS(D28),ABS(F28))</f>
        <v>0.0201575375877379</v>
      </c>
      <c r="H28" s="10" t="n">
        <v>0.0624815498432763</v>
      </c>
      <c r="I28" s="10" t="n">
        <v>0.0616693299779654</v>
      </c>
      <c r="J28" s="35" t="n">
        <v>75.9931973678471</v>
      </c>
      <c r="K28" s="35" t="n">
        <v>69.5054608437441</v>
      </c>
      <c r="L28" s="8" t="s">
        <v>454</v>
      </c>
    </row>
    <row r="29" customFormat="false" ht="17.15" hidden="false" customHeight="false" outlineLevel="0" collapsed="false">
      <c r="A29" s="5" t="s">
        <v>1140</v>
      </c>
      <c r="B29" s="0" t="s">
        <v>1092</v>
      </c>
      <c r="C29" s="34" t="n">
        <v>60.3828432465103</v>
      </c>
      <c r="D29" s="12" t="n">
        <f aca="false">C29/Val!$C$74-1</f>
        <v>-0.175372693181066</v>
      </c>
      <c r="E29" s="34" t="n">
        <v>86.0659651962805</v>
      </c>
      <c r="F29" s="12" t="n">
        <f aca="false">E29/Val!$C$74-1</f>
        <v>0.175372693181066</v>
      </c>
      <c r="G29" s="12" t="n">
        <f aca="false">MAX(ABS(D29),ABS(F29))</f>
        <v>0.175372693181066</v>
      </c>
      <c r="H29" s="10" t="n">
        <v>0.0620754399106208</v>
      </c>
      <c r="I29" s="10" t="n">
        <v>0.0620754399106208</v>
      </c>
      <c r="J29" s="35" t="n">
        <v>72.7635612856036</v>
      </c>
      <c r="K29" s="35" t="n">
        <v>72.7635612856036</v>
      </c>
      <c r="L29" s="8" t="s">
        <v>518</v>
      </c>
    </row>
    <row r="30" customFormat="false" ht="17.15" hidden="false" customHeight="false" outlineLevel="0" collapsed="false">
      <c r="A30" s="0" t="s">
        <v>1141</v>
      </c>
      <c r="B30" s="0" t="s">
        <v>1142</v>
      </c>
      <c r="C30" s="34" t="n">
        <v>85.8297318774</v>
      </c>
      <c r="D30" s="12" t="n">
        <f aca="false">C30/Val!$C$74-1</f>
        <v>0.172146537620056</v>
      </c>
      <c r="E30" s="34" t="n">
        <v>60.6190765653908</v>
      </c>
      <c r="F30" s="12" t="n">
        <f aca="false">E30/Val!$C$74-1</f>
        <v>-0.172146537620056</v>
      </c>
      <c r="G30" s="12" t="n">
        <f aca="false">MAX(ABS(D30),ABS(F30))</f>
        <v>0.172146537620056</v>
      </c>
      <c r="H30" s="10" t="n">
        <v>0.0620754399106208</v>
      </c>
      <c r="I30" s="10" t="n">
        <v>0.0620754399106208</v>
      </c>
      <c r="J30" s="35" t="n">
        <v>72.7635612856036</v>
      </c>
      <c r="K30" s="35" t="n">
        <v>72.7635612856036</v>
      </c>
      <c r="L30" s="8" t="s">
        <v>457</v>
      </c>
    </row>
    <row r="31" customFormat="false" ht="17.15" hidden="false" customHeight="false" outlineLevel="0" collapsed="false">
      <c r="A31" s="5" t="s">
        <v>1143</v>
      </c>
      <c r="B31" s="0" t="s">
        <v>1144</v>
      </c>
      <c r="C31" s="34" t="n">
        <v>75.0781373611784</v>
      </c>
      <c r="D31" s="12" t="n">
        <f aca="false">C31/Val!$C$74-1</f>
        <v>0.0253157831667461</v>
      </c>
      <c r="E31" s="34" t="n">
        <v>70.7559433405964</v>
      </c>
      <c r="F31" s="12" t="n">
        <f aca="false">E31/Val!$C$74-1</f>
        <v>-0.0337109042681392</v>
      </c>
      <c r="G31" s="12" t="n">
        <f aca="false">MAX(ABS(D31),ABS(F31))</f>
        <v>0.0337109042681392</v>
      </c>
      <c r="H31" s="10" t="n">
        <v>0.0590595288122855</v>
      </c>
      <c r="I31" s="10" t="n">
        <v>0.0660966547084012</v>
      </c>
      <c r="J31" s="35" t="n">
        <v>82.24371482089</v>
      </c>
      <c r="K31" s="35" t="n">
        <v>60.1233565718885</v>
      </c>
      <c r="L31" s="8" t="s">
        <v>313</v>
      </c>
    </row>
    <row r="32" customFormat="false" ht="17.15" hidden="false" customHeight="false" outlineLevel="0" collapsed="false">
      <c r="A32" s="0" t="s">
        <v>1145</v>
      </c>
      <c r="B32" s="0" t="s">
        <v>1146</v>
      </c>
      <c r="C32" s="34" t="n">
        <v>73.9082244667681</v>
      </c>
      <c r="D32" s="12" t="n">
        <f aca="false">C32/Val!$C$74-1</f>
        <v>0.00933869319448699</v>
      </c>
      <c r="E32" s="34" t="n">
        <v>72.541676004399</v>
      </c>
      <c r="F32" s="12" t="n">
        <f aca="false">E32/Val!$C$74-1</f>
        <v>-0.00932377974605503</v>
      </c>
      <c r="G32" s="12" t="n">
        <f aca="false">MAX(ABS(D32),ABS(F32))</f>
        <v>0.00933869319448699</v>
      </c>
      <c r="H32" s="10" t="n">
        <v>0.0673506592084177</v>
      </c>
      <c r="I32" s="10" t="n">
        <v>0.0568002206128239</v>
      </c>
      <c r="J32" s="35" t="n">
        <v>75.226340845278</v>
      </c>
      <c r="K32" s="35" t="n">
        <v>70.3007817259293</v>
      </c>
      <c r="L32" s="8" t="s">
        <v>318</v>
      </c>
    </row>
    <row r="33" customFormat="false" ht="17.15" hidden="false" customHeight="false" outlineLevel="0" collapsed="false">
      <c r="A33" s="0" t="s">
        <v>1147</v>
      </c>
      <c r="B33" s="0" t="s">
        <v>1148</v>
      </c>
      <c r="C33" s="34" t="n">
        <v>67.7037229246</v>
      </c>
      <c r="D33" s="12" t="n">
        <f aca="false">C33/Val!$C$74-1</f>
        <v>-0.0753940077150167</v>
      </c>
      <c r="E33" s="34" t="n">
        <v>86.050408810187</v>
      </c>
      <c r="F33" s="12" t="n">
        <f aca="false">E33/Val!$C$74-1</f>
        <v>0.17516024507365</v>
      </c>
      <c r="G33" s="12" t="n">
        <f aca="false">MAX(ABS(D33),ABS(F33))</f>
        <v>0.17516024507365</v>
      </c>
      <c r="H33" s="10" t="n">
        <v>0.00389755902435756</v>
      </c>
      <c r="I33" s="10" t="n">
        <v>0.15242641253811</v>
      </c>
      <c r="J33" s="35" t="n">
        <v>63.4418524871028</v>
      </c>
      <c r="K33" s="35" t="n">
        <v>93.1839326254027</v>
      </c>
      <c r="L33" s="8" t="s">
        <v>1149</v>
      </c>
    </row>
    <row r="34" customFormat="false" ht="17.15" hidden="false" customHeight="false" outlineLevel="0" collapsed="false">
      <c r="A34" s="5" t="s">
        <v>1150</v>
      </c>
      <c r="B34" s="0" t="s">
        <v>1151</v>
      </c>
      <c r="C34" s="34" t="n">
        <v>64.3982557192307</v>
      </c>
      <c r="D34" s="12" t="n">
        <f aca="false">C34/Val!$C$74-1</f>
        <v>-0.120535613720784</v>
      </c>
      <c r="E34" s="34" t="n">
        <v>107.361048765403</v>
      </c>
      <c r="F34" s="12" t="n">
        <f aca="false">E34/Val!$C$74-1</f>
        <v>0.466192178782292</v>
      </c>
      <c r="G34" s="12" t="n">
        <f aca="false">MAX(ABS(D34),ABS(F34))</f>
        <v>0.466192178782292</v>
      </c>
      <c r="H34" s="10" t="n">
        <v>-0.00460130047180511</v>
      </c>
      <c r="I34" s="10" t="n">
        <v>0.251468079229077</v>
      </c>
      <c r="J34" s="35" t="n">
        <v>59.9766431070259</v>
      </c>
      <c r="K34" s="35" t="n">
        <v>121.76566646958</v>
      </c>
      <c r="L34" s="8" t="s">
        <v>1152</v>
      </c>
    </row>
    <row r="35" customFormat="false" ht="17.15" hidden="false" customHeight="false" outlineLevel="0" collapsed="false">
      <c r="A35" s="5" t="s">
        <v>179</v>
      </c>
      <c r="B35" s="0" t="s">
        <v>1153</v>
      </c>
      <c r="C35" s="34" t="n">
        <v>60.6172634235837</v>
      </c>
      <c r="D35" s="12" t="n">
        <f aca="false">C35/Val!$C$74-1</f>
        <v>-0.172171299061632</v>
      </c>
      <c r="E35" s="34" t="n">
        <v>85.9256009026473</v>
      </c>
      <c r="F35" s="12" t="n">
        <f aca="false">E35/Val!$C$74-1</f>
        <v>0.173455787265262</v>
      </c>
      <c r="G35" s="12" t="n">
        <f aca="false">MAX(ABS(D35),ABS(F35))</f>
        <v>0.173455787265262</v>
      </c>
      <c r="H35" s="10" t="n">
        <v>-0.0362791645933689</v>
      </c>
      <c r="I35" s="10" t="n">
        <v>0.143337753493196</v>
      </c>
      <c r="J35" s="35" t="n">
        <v>54.4858207540621</v>
      </c>
      <c r="K35" s="35" t="n">
        <v>91.0846395502549</v>
      </c>
      <c r="L35" s="8" t="s">
        <v>178</v>
      </c>
    </row>
    <row r="36" customFormat="false" ht="17.15" hidden="false" customHeight="false" outlineLevel="0" collapsed="false">
      <c r="A36" s="0" t="s">
        <v>1154</v>
      </c>
      <c r="B36" s="0" t="s">
        <v>1155</v>
      </c>
      <c r="C36" s="34" t="n">
        <v>73.5642898177191</v>
      </c>
      <c r="D36" s="12" t="n">
        <f aca="false">C36/Val!$C$74-1</f>
        <v>0.00464169835094941</v>
      </c>
      <c r="E36" s="34" t="n">
        <v>72.8857166841352</v>
      </c>
      <c r="F36" s="12" t="n">
        <f aca="false">E36/Val!$C$74-1</f>
        <v>-0.00462533687861977</v>
      </c>
      <c r="G36" s="12" t="n">
        <f aca="false">MAX(ABS(D36),ABS(F36))</f>
        <v>0.00464169835094941</v>
      </c>
      <c r="H36" s="10" t="n">
        <v>0.0649407514159836</v>
      </c>
      <c r="I36" s="10" t="n">
        <v>0.0591904385401711</v>
      </c>
      <c r="J36" s="35" t="n">
        <v>79.7137228050219</v>
      </c>
      <c r="K36" s="35" t="n">
        <v>65.8139217955235</v>
      </c>
      <c r="L36" s="8" t="s">
        <v>1156</v>
      </c>
    </row>
    <row r="37" customFormat="false" ht="17.15" hidden="false" customHeight="false" outlineLevel="0" collapsed="false">
      <c r="A37" s="0" t="s">
        <v>1157</v>
      </c>
      <c r="B37" s="0" t="s">
        <v>1158</v>
      </c>
      <c r="C37" s="34" t="n">
        <v>73.2572348707276</v>
      </c>
      <c r="D37" s="12" t="n">
        <f aca="false">C37/Val!$C$74-1</f>
        <v>0.000448356660341709</v>
      </c>
      <c r="E37" s="34" t="n">
        <v>73.1819663831989</v>
      </c>
      <c r="F37" s="12" t="n">
        <f aca="false">E37/Val!$C$74-1</f>
        <v>-0.00057955866828463</v>
      </c>
      <c r="G37" s="12" t="n">
        <f aca="false">MAX(ABS(D37),ABS(F37))</f>
        <v>0.00057955866828463</v>
      </c>
      <c r="H37" s="10" t="n">
        <v>0.0670463874199249</v>
      </c>
      <c r="I37" s="10" t="n">
        <v>0.0545069944739293</v>
      </c>
      <c r="J37" s="35" t="n">
        <v>72.4513208227001</v>
      </c>
      <c r="K37" s="35" t="n">
        <v>73.2348695935073</v>
      </c>
      <c r="L37" s="8" t="s">
        <v>1159</v>
      </c>
    </row>
    <row r="38" customFormat="false" ht="17.15" hidden="false" customHeight="false" outlineLevel="0" collapsed="false">
      <c r="A38" s="0" t="s">
        <v>1160</v>
      </c>
      <c r="B38" s="0" t="s">
        <v>1161</v>
      </c>
      <c r="C38" s="34" t="n">
        <v>73.1819663831989</v>
      </c>
      <c r="D38" s="12" t="n">
        <f aca="false">C38/Val!$C$74-1</f>
        <v>-0.00057955866828463</v>
      </c>
      <c r="E38" s="34" t="n">
        <v>73.2572348707276</v>
      </c>
      <c r="F38" s="12" t="n">
        <f aca="false">E38/Val!$C$74-1</f>
        <v>0.000448356660341709</v>
      </c>
      <c r="G38" s="12" t="n">
        <f aca="false">MAX(ABS(D38),ABS(F38))</f>
        <v>0.00057955866828463</v>
      </c>
      <c r="H38" s="10" t="n">
        <v>0.0545069944739293</v>
      </c>
      <c r="I38" s="10" t="n">
        <v>0.0670463874199249</v>
      </c>
      <c r="J38" s="35" t="n">
        <v>73.2348695935073</v>
      </c>
      <c r="K38" s="35" t="n">
        <v>72.4513208227001</v>
      </c>
      <c r="L38" s="8" t="s">
        <v>1162</v>
      </c>
    </row>
    <row r="39" customFormat="false" ht="17.15" hidden="false" customHeight="false" outlineLevel="0" collapsed="false">
      <c r="A39" s="0" t="s">
        <v>1163</v>
      </c>
      <c r="B39" s="0" t="s">
        <v>1164</v>
      </c>
      <c r="C39" s="34" t="n">
        <v>75.92474423243</v>
      </c>
      <c r="D39" s="12" t="n">
        <f aca="false">C39/Val!$C$74-1</f>
        <v>0.0368775962023546</v>
      </c>
      <c r="E39" s="34" t="n">
        <v>70.523212354504</v>
      </c>
      <c r="F39" s="12" t="n">
        <f aca="false">E39/Val!$C$74-1</f>
        <v>-0.0368892296989442</v>
      </c>
      <c r="G39" s="12" t="n">
        <f aca="false">MAX(ABS(D39),ABS(F39))</f>
        <v>0.0368892296989442</v>
      </c>
      <c r="H39" s="10" t="n">
        <v>0.0698488787144882</v>
      </c>
      <c r="I39" s="10" t="n">
        <v>0.0539590285013896</v>
      </c>
      <c r="J39" s="35" t="n">
        <v>73.0535897925659</v>
      </c>
      <c r="K39" s="35" t="n">
        <v>72.4735327786413</v>
      </c>
      <c r="L39" s="8" t="s">
        <v>109</v>
      </c>
    </row>
    <row r="40" customFormat="false" ht="17.15" hidden="false" customHeight="false" outlineLevel="0" collapsed="false">
      <c r="A40" s="0" t="s">
        <v>1165</v>
      </c>
      <c r="B40" s="5" t="s">
        <v>1166</v>
      </c>
      <c r="C40" s="34" t="n">
        <v>73.2244042213954</v>
      </c>
      <c r="D40" s="12" t="n">
        <f aca="false">C40/Val!$C$74-1</f>
        <v>0</v>
      </c>
      <c r="E40" s="34" t="n">
        <v>72.2346153842335</v>
      </c>
      <c r="F40" s="12" t="n">
        <f aca="false">E40/Val!$C$74-1</f>
        <v>-0.0135171989132098</v>
      </c>
      <c r="G40" s="12" t="n">
        <f aca="false">MAX(ABS(D40),ABS(F40))</f>
        <v>0.0135171989132098</v>
      </c>
      <c r="H40" s="10" t="n">
        <v>0.0620754399106208</v>
      </c>
      <c r="I40" s="10" t="n">
        <v>0.0628989213761337</v>
      </c>
      <c r="J40" s="35" t="n">
        <v>72.7635612856036</v>
      </c>
      <c r="K40" s="35" t="n">
        <v>74.795496868012</v>
      </c>
      <c r="L40" s="8" t="s">
        <v>113</v>
      </c>
    </row>
    <row r="41" customFormat="false" ht="17.15" hidden="false" customHeight="false" outlineLevel="0" collapsed="false">
      <c r="A41" s="0" t="s">
        <v>1167</v>
      </c>
      <c r="B41" s="0" t="s">
        <v>1144</v>
      </c>
      <c r="C41" s="34" t="n">
        <v>71.8047508833448</v>
      </c>
      <c r="D41" s="12" t="n">
        <f aca="false">C41/Val!$C$74-1</f>
        <v>-0.0193877075975688</v>
      </c>
      <c r="E41" s="34" t="n">
        <v>75.2194865016526</v>
      </c>
      <c r="F41" s="12" t="n">
        <f aca="false">E41/Val!$C$74-1</f>
        <v>0.0272461387903551</v>
      </c>
      <c r="G41" s="12" t="n">
        <f aca="false">MAX(ABS(D41),ABS(F41))</f>
        <v>0.0272461387903551</v>
      </c>
      <c r="H41" s="10" t="n">
        <v>0.0620754399106208</v>
      </c>
      <c r="I41" s="10" t="n">
        <v>0.0620754399106208</v>
      </c>
      <c r="J41" s="35" t="n">
        <v>71.8278782798391</v>
      </c>
      <c r="K41" s="35" t="n">
        <v>74.0499401026311</v>
      </c>
      <c r="L41" s="8" t="s">
        <v>243</v>
      </c>
    </row>
    <row r="42" customFormat="false" ht="17.15" hidden="false" customHeight="false" outlineLevel="0" collapsed="false">
      <c r="A42" s="0" t="s">
        <v>1168</v>
      </c>
      <c r="B42" s="0" t="s">
        <v>1169</v>
      </c>
      <c r="C42" s="34" t="n">
        <v>72.9363398555149</v>
      </c>
      <c r="D42" s="12" t="n">
        <f aca="false">C42/Val!$C$74-1</f>
        <v>-0.00393399398661576</v>
      </c>
      <c r="E42" s="34" t="n">
        <v>73.4247902168029</v>
      </c>
      <c r="F42" s="12" t="n">
        <f aca="false">E42/Val!$C$74-1</f>
        <v>0.0027366012402319</v>
      </c>
      <c r="G42" s="12" t="n">
        <f aca="false">MAX(ABS(D42),ABS(F42))</f>
        <v>0.00393399398661576</v>
      </c>
      <c r="H42" s="10" t="n">
        <v>0.0620754399106208</v>
      </c>
      <c r="I42" s="10" t="n">
        <v>0.0620754399106208</v>
      </c>
      <c r="J42" s="35" t="n">
        <v>72.5295025269314</v>
      </c>
      <c r="K42" s="35" t="n">
        <v>72.9234555082879</v>
      </c>
      <c r="L42" s="8" t="s">
        <v>251</v>
      </c>
    </row>
    <row r="43" customFormat="false" ht="17.15" hidden="false" customHeight="false" outlineLevel="0" collapsed="false">
      <c r="A43" s="0" t="s">
        <v>1170</v>
      </c>
      <c r="B43" s="0" t="s">
        <v>1171</v>
      </c>
      <c r="C43" s="34" t="n">
        <v>72.9153872522452</v>
      </c>
      <c r="D43" s="12" t="n">
        <f aca="false">C43/Val!$C$74-1</f>
        <v>-0.00422013633891616</v>
      </c>
      <c r="E43" s="34" t="n">
        <v>73.5492337506037</v>
      </c>
      <c r="F43" s="12" t="n">
        <f aca="false">E43/Val!$C$74-1</f>
        <v>0.00443608292429643</v>
      </c>
      <c r="G43" s="12" t="n">
        <f aca="false">MAX(ABS(D43),ABS(F43))</f>
        <v>0.00443608292429643</v>
      </c>
      <c r="H43" s="10" t="n">
        <v>0.0620754399106208</v>
      </c>
      <c r="I43" s="10" t="n">
        <v>0.0620754399106208</v>
      </c>
      <c r="J43" s="35" t="n">
        <v>72.5234818195237</v>
      </c>
      <c r="K43" s="35" t="n">
        <v>73.0103845832838</v>
      </c>
      <c r="L43" s="8" t="s">
        <v>257</v>
      </c>
    </row>
    <row r="44" customFormat="false" ht="17.15" hidden="false" customHeight="false" outlineLevel="0" collapsed="false">
      <c r="A44" s="0" t="s">
        <v>1172</v>
      </c>
      <c r="B44" s="0" t="s">
        <v>1173</v>
      </c>
      <c r="C44" s="34" t="n">
        <v>72.9726921013232</v>
      </c>
      <c r="D44" s="12" t="n">
        <f aca="false">C44/Val!$C$74-1</f>
        <v>-0.00343754411864017</v>
      </c>
      <c r="E44" s="34" t="n">
        <v>73.3991206605225</v>
      </c>
      <c r="F44" s="12" t="n">
        <f aca="false">E44/Val!$C$74-1</f>
        <v>0.00238604111545726</v>
      </c>
      <c r="G44" s="12" t="n">
        <f aca="false">MAX(ABS(D44),ABS(F44))</f>
        <v>0.00343754411864017</v>
      </c>
      <c r="H44" s="10" t="n">
        <v>0.0620754399106208</v>
      </c>
      <c r="I44" s="10" t="n">
        <v>0.0620754399106208</v>
      </c>
      <c r="J44" s="35" t="n">
        <v>72.5891487622797</v>
      </c>
      <c r="K44" s="35" t="n">
        <v>72.8825222385415</v>
      </c>
      <c r="L44" s="8" t="s">
        <v>260</v>
      </c>
    </row>
    <row r="45" customFormat="false" ht="17.15" hidden="false" customHeight="false" outlineLevel="0" collapsed="false">
      <c r="A45" s="5" t="s">
        <v>331</v>
      </c>
      <c r="B45" s="0" t="s">
        <v>1174</v>
      </c>
      <c r="C45" s="34" t="n">
        <v>70.4304515284532</v>
      </c>
      <c r="D45" s="12" t="n">
        <f aca="false">C45/Val!$C$74-1</f>
        <v>-0.0381560317581364</v>
      </c>
      <c r="E45" s="34" t="n">
        <v>73.2244042213954</v>
      </c>
      <c r="F45" s="12" t="n">
        <f aca="false">E45/Val!$C$74-1</f>
        <v>0</v>
      </c>
      <c r="G45" s="12" t="n">
        <f aca="false">MAX(ABS(D45),ABS(F45))</f>
        <v>0.0381560317581364</v>
      </c>
      <c r="H45" s="10" t="n">
        <v>0.0620754399106208</v>
      </c>
      <c r="I45" s="10" t="n">
        <v>0.0620754399106208</v>
      </c>
      <c r="J45" s="35" t="n">
        <v>57.1959944729853</v>
      </c>
      <c r="K45" s="35" t="n">
        <v>72.7635612856036</v>
      </c>
      <c r="L45" s="8" t="s">
        <v>330</v>
      </c>
    </row>
    <row r="46" customFormat="false" ht="17.15" hidden="false" customHeight="false" outlineLevel="0" collapsed="false">
      <c r="A46" s="5" t="s">
        <v>334</v>
      </c>
      <c r="B46" s="0" t="s">
        <v>1175</v>
      </c>
      <c r="C46" s="34" t="n">
        <v>74.5789087865163</v>
      </c>
      <c r="D46" s="12" t="n">
        <f aca="false">C46/Val!$C$74-1</f>
        <v>0.0184979936610414</v>
      </c>
      <c r="E46" s="34" t="n">
        <v>72.1890947434995</v>
      </c>
      <c r="F46" s="12" t="n">
        <f aca="false">E46/Val!$C$74-1</f>
        <v>-0.0141388583342462</v>
      </c>
      <c r="G46" s="12" t="n">
        <f aca="false">MAX(ABS(D46),ABS(F46))</f>
        <v>0.0184979936610414</v>
      </c>
      <c r="H46" s="10" t="n">
        <v>0.0620754399106208</v>
      </c>
      <c r="I46" s="10" t="n">
        <v>0.0620754399106208</v>
      </c>
      <c r="J46" s="35" t="n">
        <v>76.0010811094001</v>
      </c>
      <c r="K46" s="35" t="n">
        <v>70.3112438920612</v>
      </c>
      <c r="L46" s="8" t="s">
        <v>333</v>
      </c>
    </row>
    <row r="47" customFormat="false" ht="17.15" hidden="false" customHeight="false" outlineLevel="0" collapsed="false">
      <c r="A47" s="5" t="s">
        <v>1176</v>
      </c>
      <c r="B47" s="0" t="s">
        <v>1177</v>
      </c>
      <c r="C47" s="34" t="n">
        <v>74.0590764980353</v>
      </c>
      <c r="D47" s="12" t="n">
        <f aca="false">C47/Val!$C$74-1</f>
        <v>0.0113988264638694</v>
      </c>
      <c r="E47" s="34" t="n">
        <v>70.9620360026868</v>
      </c>
      <c r="F47" s="12" t="n">
        <f aca="false">E47/Val!$C$74-1</f>
        <v>-0.0308963690830215</v>
      </c>
      <c r="G47" s="12" t="n">
        <f aca="false">MAX(ABS(D47),ABS(F47))</f>
        <v>0.0308963690830215</v>
      </c>
      <c r="H47" s="10" t="n">
        <v>0.0620754399106208</v>
      </c>
      <c r="I47" s="10" t="n">
        <v>0.0620754399106208</v>
      </c>
      <c r="J47" s="35" t="n">
        <v>73.1538192260802</v>
      </c>
      <c r="K47" s="35" t="n">
        <v>71.6366914824776</v>
      </c>
      <c r="L47" s="8" t="s">
        <v>350</v>
      </c>
    </row>
    <row r="48" customFormat="false" ht="17.15" hidden="false" customHeight="false" outlineLevel="0" collapsed="false">
      <c r="A48" s="5" t="s">
        <v>1178</v>
      </c>
      <c r="B48" s="0" t="s">
        <v>1179</v>
      </c>
      <c r="C48" s="34" t="n">
        <v>73.2126387407128</v>
      </c>
      <c r="D48" s="12" t="n">
        <f aca="false">C48/Val!$C$74-1</f>
        <v>-0.000160677042137625</v>
      </c>
      <c r="E48" s="34" t="n">
        <v>73.218232167556</v>
      </c>
      <c r="F48" s="12" t="n">
        <f aca="false">E48/Val!$C$74-1</f>
        <v>-8.4289574015961E-005</v>
      </c>
      <c r="G48" s="12" t="n">
        <f aca="false">MAX(ABS(D48),ABS(F48))</f>
        <v>0.000160677042137625</v>
      </c>
      <c r="H48" s="10" t="n">
        <v>0.0620754399106208</v>
      </c>
      <c r="I48" s="10" t="n">
        <v>0.0620754399106208</v>
      </c>
      <c r="J48" s="35" t="n">
        <v>73.4911029880227</v>
      </c>
      <c r="K48" s="35" t="n">
        <v>72.7635612856036</v>
      </c>
      <c r="L48" s="8" t="s">
        <v>373</v>
      </c>
    </row>
    <row r="49" customFormat="false" ht="17.15" hidden="false" customHeight="false" outlineLevel="0" collapsed="false">
      <c r="A49" s="5" t="s">
        <v>1180</v>
      </c>
      <c r="B49" s="0" t="s">
        <v>1181</v>
      </c>
      <c r="C49" s="34" t="n">
        <v>61.1169488700177</v>
      </c>
      <c r="D49" s="12" t="n">
        <f aca="false">C49/Val!$C$74-1</f>
        <v>-0.165347270218417</v>
      </c>
      <c r="E49" s="34" t="n">
        <v>74.8597714134061</v>
      </c>
      <c r="F49" s="12" t="n">
        <f aca="false">E49/Val!$C$74-1</f>
        <v>0.0223336360247621</v>
      </c>
      <c r="G49" s="12" t="n">
        <f aca="false">MAX(ABS(D49),ABS(F49))</f>
        <v>0.165347270218417</v>
      </c>
      <c r="H49" s="10" t="n">
        <v>0.0620754399106208</v>
      </c>
      <c r="I49" s="10" t="n">
        <v>0.0620754399106208</v>
      </c>
      <c r="J49" s="35" t="n">
        <v>72.7635612856036</v>
      </c>
      <c r="K49" s="35" t="n">
        <v>72.7635612856036</v>
      </c>
      <c r="L49" s="8" t="s">
        <v>500</v>
      </c>
    </row>
    <row r="51" customFormat="false" ht="17.15" hidden="false" customHeight="false" outlineLevel="0" collapsed="false">
      <c r="A51" s="5" t="s">
        <v>1182</v>
      </c>
      <c r="C51" s="36" t="n">
        <f aca="false">73.2244042213954-Val!C74</f>
        <v>0</v>
      </c>
    </row>
    <row r="53" customFormat="false" ht="17.15" hidden="false" customHeight="false" outlineLevel="0" collapsed="false">
      <c r="A53" s="5" t="s">
        <v>1183</v>
      </c>
    </row>
    <row r="55" customFormat="false" ht="17.15" hidden="false" customHeight="false" outlineLevel="0" collapsed="false">
      <c r="A55" s="1" t="s">
        <v>1184</v>
      </c>
    </row>
    <row r="56" customFormat="false" ht="17.15" hidden="false" customHeight="false" outlineLevel="0" collapsed="false">
      <c r="A56" s="21" t="s">
        <v>1185</v>
      </c>
      <c r="B56" s="21"/>
      <c r="C56" s="21" t="s">
        <v>1186</v>
      </c>
      <c r="D56" s="21" t="s">
        <v>1187</v>
      </c>
      <c r="E56" s="21" t="s">
        <v>1188</v>
      </c>
    </row>
    <row r="57" customFormat="false" ht="15" hidden="false" customHeight="false" outlineLevel="0" collapsed="false">
      <c r="A57" s="0" t="s">
        <v>1189</v>
      </c>
      <c r="C57" s="34" t="n">
        <v>79.8587577470958</v>
      </c>
      <c r="D57" s="34" t="n">
        <v>78.3454920854606</v>
      </c>
      <c r="E57" s="34" t="n">
        <v>76.7847870836269</v>
      </c>
    </row>
    <row r="58" customFormat="false" ht="17.15" hidden="false" customHeight="false" outlineLevel="0" collapsed="false">
      <c r="A58" s="0" t="s">
        <v>1190</v>
      </c>
      <c r="C58" s="34" t="n">
        <v>74.6574360953356</v>
      </c>
      <c r="D58" s="34" t="n">
        <v>73.2244042213954</v>
      </c>
      <c r="E58" s="34" t="n">
        <v>71.7483805409629</v>
      </c>
    </row>
    <row r="59" customFormat="false" ht="15" hidden="false" customHeight="false" outlineLevel="0" collapsed="false">
      <c r="A59" s="0" t="s">
        <v>1191</v>
      </c>
      <c r="C59" s="34" t="n">
        <v>70.3415025434889</v>
      </c>
      <c r="D59" s="34" t="n">
        <v>68.9789120757913</v>
      </c>
      <c r="E59" s="34" t="n">
        <v>67.5770408192974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110"/>
    <col collapsed="false" customWidth="true" hidden="false" outlineLevel="0" max="5" min="5" style="0" width="22"/>
  </cols>
  <sheetData>
    <row r="1" customFormat="false" ht="17.15" hidden="false" customHeight="false" outlineLevel="0" collapsed="false">
      <c r="A1" s="3" t="s">
        <v>1192</v>
      </c>
    </row>
    <row r="2" customFormat="false" ht="15" hidden="false" customHeight="false" outlineLevel="0" collapsed="false">
      <c r="A2" s="6" t="s">
        <v>1193</v>
      </c>
      <c r="B2" s="6" t="s">
        <v>1194</v>
      </c>
      <c r="C2" s="6" t="s">
        <v>446</v>
      </c>
      <c r="D2" s="6" t="s">
        <v>1195</v>
      </c>
      <c r="E2" s="6" t="s">
        <v>22</v>
      </c>
    </row>
    <row r="3" customFormat="false" ht="17.15" hidden="false" customHeight="false" outlineLevel="0" collapsed="false">
      <c r="A3" s="0" t="n">
        <v>1</v>
      </c>
      <c r="B3" s="0" t="s">
        <v>1196</v>
      </c>
      <c r="C3" s="0" t="s">
        <v>1197</v>
      </c>
      <c r="D3" s="0" t="s">
        <v>1198</v>
      </c>
      <c r="E3" s="0" t="s">
        <v>29</v>
      </c>
    </row>
    <row r="4" customFormat="false" ht="17.15" hidden="false" customHeight="false" outlineLevel="0" collapsed="false">
      <c r="A4" s="0" t="n">
        <v>2</v>
      </c>
      <c r="B4" s="0" t="s">
        <v>1199</v>
      </c>
      <c r="C4" s="0" t="s">
        <v>1200</v>
      </c>
      <c r="D4" s="0" t="s">
        <v>1201</v>
      </c>
      <c r="E4" s="0" t="s">
        <v>35</v>
      </c>
    </row>
    <row r="5" customFormat="false" ht="17.15" hidden="false" customHeight="false" outlineLevel="0" collapsed="false">
      <c r="A5" s="0" t="n">
        <v>3</v>
      </c>
      <c r="B5" s="0" t="s">
        <v>1202</v>
      </c>
      <c r="C5" s="0" t="s">
        <v>1203</v>
      </c>
      <c r="D5" s="0" t="s">
        <v>1204</v>
      </c>
      <c r="E5" s="0" t="s">
        <v>35</v>
      </c>
    </row>
    <row r="6" customFormat="false" ht="17.15" hidden="false" customHeight="false" outlineLevel="0" collapsed="false">
      <c r="A6" s="0" t="n">
        <v>4</v>
      </c>
      <c r="B6" s="0" t="s">
        <v>1205</v>
      </c>
      <c r="C6" s="0" t="s">
        <v>1206</v>
      </c>
      <c r="D6" s="0" t="s">
        <v>1207</v>
      </c>
      <c r="E6" s="0" t="s">
        <v>35</v>
      </c>
    </row>
    <row r="7" customFormat="false" ht="17.15" hidden="false" customHeight="false" outlineLevel="0" collapsed="false">
      <c r="A7" s="0" t="n">
        <v>5</v>
      </c>
      <c r="B7" s="0" t="s">
        <v>1208</v>
      </c>
      <c r="C7" s="0" t="s">
        <v>934</v>
      </c>
      <c r="D7" s="0" t="s">
        <v>1209</v>
      </c>
      <c r="E7" s="0" t="s">
        <v>1210</v>
      </c>
    </row>
    <row r="8" customFormat="false" ht="17.15" hidden="false" customHeight="false" outlineLevel="0" collapsed="false">
      <c r="A8" s="0" t="n">
        <v>6</v>
      </c>
      <c r="B8" s="0" t="s">
        <v>1211</v>
      </c>
      <c r="C8" s="0" t="s">
        <v>1212</v>
      </c>
      <c r="D8" s="0" t="s">
        <v>1213</v>
      </c>
      <c r="E8" s="0" t="s">
        <v>1210</v>
      </c>
    </row>
    <row r="9" customFormat="false" ht="17.15" hidden="false" customHeight="false" outlineLevel="0" collapsed="false">
      <c r="A9" s="0" t="n">
        <v>7</v>
      </c>
      <c r="B9" s="5" t="s">
        <v>1214</v>
      </c>
      <c r="C9" s="0" t="s">
        <v>1212</v>
      </c>
      <c r="D9" s="0" t="s">
        <v>1215</v>
      </c>
      <c r="E9" s="0" t="s">
        <v>35</v>
      </c>
    </row>
    <row r="10" customFormat="false" ht="17.15" hidden="false" customHeight="false" outlineLevel="0" collapsed="false">
      <c r="A10" s="0" t="n">
        <v>8</v>
      </c>
      <c r="B10" s="5" t="s">
        <v>1216</v>
      </c>
      <c r="C10" s="0" t="s">
        <v>1217</v>
      </c>
      <c r="D10" s="0" t="s">
        <v>1218</v>
      </c>
      <c r="E10" s="0" t="s">
        <v>29</v>
      </c>
    </row>
    <row r="11" customFormat="false" ht="17.15" hidden="false" customHeight="false" outlineLevel="0" collapsed="false">
      <c r="A11" s="0" t="n">
        <v>9</v>
      </c>
      <c r="B11" s="5" t="s">
        <v>1219</v>
      </c>
      <c r="C11" s="0" t="s">
        <v>1220</v>
      </c>
      <c r="D11" s="0" t="s">
        <v>1221</v>
      </c>
      <c r="E11" s="0" t="s">
        <v>29</v>
      </c>
    </row>
    <row r="12" customFormat="false" ht="17.15" hidden="false" customHeight="false" outlineLevel="0" collapsed="false">
      <c r="A12" s="0" t="n">
        <v>10</v>
      </c>
      <c r="B12" s="0" t="s">
        <v>1222</v>
      </c>
      <c r="C12" s="0" t="s">
        <v>1223</v>
      </c>
      <c r="D12" s="0" t="s">
        <v>1224</v>
      </c>
      <c r="E12" s="0" t="s">
        <v>40</v>
      </c>
    </row>
    <row r="13" customFormat="false" ht="17.15" hidden="false" customHeight="false" outlineLevel="0" collapsed="false">
      <c r="A13" s="0" t="n">
        <v>11</v>
      </c>
      <c r="B13" s="0" t="s">
        <v>1225</v>
      </c>
      <c r="C13" s="0" t="s">
        <v>1226</v>
      </c>
      <c r="D13" s="0" t="s">
        <v>1227</v>
      </c>
      <c r="E13" s="0" t="s">
        <v>40</v>
      </c>
    </row>
    <row r="14" customFormat="false" ht="15" hidden="false" customHeight="false" outlineLevel="0" collapsed="false">
      <c r="A14" s="0" t="n">
        <v>12</v>
      </c>
      <c r="B14" s="0" t="s">
        <v>1228</v>
      </c>
      <c r="C14" s="0" t="s">
        <v>1229</v>
      </c>
      <c r="D14" s="0" t="s">
        <v>1230</v>
      </c>
      <c r="E14" s="0" t="s">
        <v>29</v>
      </c>
    </row>
    <row r="15" customFormat="false" ht="17.15" hidden="false" customHeight="false" outlineLevel="0" collapsed="false">
      <c r="A15" s="0" t="n">
        <v>13</v>
      </c>
      <c r="B15" s="0" t="s">
        <v>1231</v>
      </c>
      <c r="C15" s="0" t="s">
        <v>1232</v>
      </c>
      <c r="D15" s="0" t="s">
        <v>1233</v>
      </c>
      <c r="E15" s="0" t="s">
        <v>35</v>
      </c>
    </row>
    <row r="16" customFormat="false" ht="17.15" hidden="false" customHeight="false" outlineLevel="0" collapsed="false">
      <c r="A16" s="0" t="n">
        <v>14</v>
      </c>
      <c r="B16" s="0" t="s">
        <v>1234</v>
      </c>
      <c r="C16" s="0" t="s">
        <v>1235</v>
      </c>
      <c r="D16" s="0" t="s">
        <v>1236</v>
      </c>
      <c r="E16" s="0" t="s">
        <v>35</v>
      </c>
    </row>
    <row r="17" customFormat="false" ht="17.15" hidden="false" customHeight="false" outlineLevel="0" collapsed="false">
      <c r="A17" s="0" t="n">
        <v>15</v>
      </c>
      <c r="B17" s="0" t="s">
        <v>1237</v>
      </c>
      <c r="C17" s="0" t="s">
        <v>934</v>
      </c>
      <c r="D17" s="0" t="s">
        <v>1238</v>
      </c>
      <c r="E17" s="0" t="s">
        <v>35</v>
      </c>
    </row>
    <row r="18" customFormat="false" ht="17.15" hidden="false" customHeight="false" outlineLevel="0" collapsed="false">
      <c r="A18" s="0" t="n">
        <v>16</v>
      </c>
      <c r="B18" s="0" t="s">
        <v>1239</v>
      </c>
      <c r="C18" s="0" t="s">
        <v>1212</v>
      </c>
      <c r="D18" s="0" t="s">
        <v>1240</v>
      </c>
      <c r="E18" s="0" t="s">
        <v>116</v>
      </c>
    </row>
    <row r="19" customFormat="false" ht="17.15" hidden="false" customHeight="false" outlineLevel="0" collapsed="false">
      <c r="A19" s="0" t="n">
        <v>17</v>
      </c>
      <c r="B19" s="5" t="s">
        <v>1241</v>
      </c>
      <c r="C19" s="0" t="s">
        <v>1217</v>
      </c>
      <c r="D19" s="5" t="s">
        <v>1242</v>
      </c>
      <c r="E19" s="0" t="s">
        <v>35</v>
      </c>
    </row>
    <row r="20" customFormat="false" ht="15" hidden="false" customHeight="false" outlineLevel="0" collapsed="false">
      <c r="A20" s="0" t="n">
        <v>18</v>
      </c>
      <c r="B20" s="0" t="s">
        <v>1243</v>
      </c>
      <c r="C20" s="0" t="s">
        <v>116</v>
      </c>
      <c r="D20" s="5" t="s">
        <v>1244</v>
      </c>
      <c r="E20" s="0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2026-10-30T03:45:56Z</dcterms:created>
  <dc:creator>openpyxl</dc:creator>
  <dc:description/>
  <dc:language>en-US</dc:language>
  <cp:lastModifiedBy/>
  <dcterms:modified xsi:type="dcterms:W3CDTF">2026-10-30T03:45:56Z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