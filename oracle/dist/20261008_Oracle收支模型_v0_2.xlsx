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導覽" sheetId="1" state="visible" r:id="rId3"/>
    <sheet name="摘要" sheetId="2" state="visible" r:id="rId4"/>
    <sheet name="輸入與假設" sheetId="3" state="visible" r:id="rId5"/>
    <sheet name="各期收支" sheetId="4" state="visible" r:id="rId6"/>
    <sheet name="季度追蹤" sheetId="5" state="visible" r:id="rId7"/>
    <sheet name="運營_產能與收入" sheetId="6" state="visible" r:id="rId8"/>
    <sheet name="運營_站點" sheetId="7" state="visible" r:id="rId9"/>
    <sheet name="資產負債_既有債務" sheetId="8" state="visible" r:id="rId10"/>
    <sheet name="資產負債_新債與新股" sheetId="9" state="visible" r:id="rId11"/>
    <sheet name="資產負債_租賃承諾" sheetId="10" state="visible" r:id="rId12"/>
    <sheet name="損益" sheetId="11" state="visible" r:id="rId13"/>
    <sheet name="評價_DCF與目標價" sheetId="12" state="visible" r:id="rId14"/>
    <sheet name="評價_反向DCF" sheetId="13" state="visible" r:id="rId15"/>
    <sheet name="評價_可比公司" sheetId="14" state="visible" r:id="rId16"/>
    <sheet name="檢查_連動" sheetId="15" state="visible" r:id="rId17"/>
    <sheet name="檢查_版本紀錄" sheetId="16" state="visible" r:id="rId18"/>
    <sheet name="來源" sheetId="17" state="visible" r:id="rId1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<sst xmlns="http://schemas.openxmlformats.org/spreadsheetml/2006/main" count="3089" uniqueCount="1859">
  <si>
    <r>
      <rPr>
        <b val="true"/>
        <sz val="14"/>
        <rFont val="Arial"/>
        <family val="0"/>
        <charset val="1"/>
      </rPr>
      <t xml:space="preserve">Oracle </t>
    </r>
    <r>
      <rPr>
        <b val="true"/>
        <sz val="14"/>
        <rFont val="Noto Sans CJK SC"/>
        <family val="2"/>
      </rPr>
      <t xml:space="preserve">收支與評價模型 — </t>
    </r>
    <r>
      <rPr>
        <b val="true"/>
        <sz val="14"/>
        <rFont val="Arial"/>
        <family val="0"/>
        <charset val="1"/>
      </rPr>
      <t xml:space="preserve">Excel </t>
    </r>
    <r>
      <rPr>
        <b val="true"/>
        <sz val="14"/>
        <rFont val="Noto Sans CJK SC"/>
        <family val="2"/>
      </rPr>
      <t xml:space="preserve">版 </t>
    </r>
    <r>
      <rPr>
        <b val="true"/>
        <sz val="14"/>
        <rFont val="Arial"/>
        <family val="0"/>
        <charset val="1"/>
      </rPr>
      <t xml:space="preserve">v0.2</t>
    </r>
    <r>
      <rPr>
        <b val="true"/>
        <sz val="14"/>
        <rFont val="Noto Sans CJK SC"/>
        <family val="2"/>
      </rPr>
      <t xml:space="preserve">（更新 </t>
    </r>
    <r>
      <rPr>
        <b val="true"/>
        <sz val="14"/>
        <rFont val="Arial"/>
        <family val="0"/>
        <charset val="1"/>
      </rPr>
      <t xml:space="preserve">2026-10-08</t>
    </r>
    <r>
      <rPr>
        <b val="true"/>
        <sz val="14"/>
        <rFont val="Noto Sans CJK SC"/>
        <family val="2"/>
      </rPr>
      <t xml:space="preserve">；與 </t>
    </r>
    <r>
      <rPr>
        <b val="true"/>
        <sz val="14"/>
        <rFont val="Arial"/>
        <family val="0"/>
        <charset val="1"/>
      </rPr>
      <t xml:space="preserve">HTML v0.2 </t>
    </r>
    <r>
      <rPr>
        <b val="true"/>
        <sz val="14"/>
        <rFont val="Noto Sans CJK SC"/>
        <family val="2"/>
      </rPr>
      <t xml:space="preserve">同步；市價截至 </t>
    </r>
    <r>
      <rPr>
        <b val="true"/>
        <sz val="14"/>
        <rFont val="Arial"/>
        <family val="0"/>
        <charset val="1"/>
      </rPr>
      <t xml:space="preserve">2026-10-06 </t>
    </r>
    <r>
      <rPr>
        <b val="true"/>
        <sz val="14"/>
        <rFont val="Noto Sans CJK SC"/>
        <family val="2"/>
      </rPr>
      <t xml:space="preserve">收盤）</t>
    </r>
  </si>
  <si>
    <t xml:space="preserve">這個活頁簿在回答什麼</t>
  </si>
  <si>
    <r>
      <rPr>
        <sz val="10"/>
        <rFont val="Noto Sans CJK SC"/>
        <family val="2"/>
      </rPr>
      <t xml:space="preserve">一句話：客戶預付與投資級債能否把 </t>
    </r>
    <r>
      <rPr>
        <sz val="10"/>
        <rFont val="Arial"/>
        <family val="0"/>
        <charset val="1"/>
      </rPr>
      <t xml:space="preserve">$664B RPO </t>
    </r>
    <r>
      <rPr>
        <sz val="10"/>
        <rFont val="Noto Sans CJK SC"/>
        <family val="2"/>
      </rPr>
      <t xml:space="preserve">變成現金、而不需再發股——</t>
    </r>
    <r>
      <rPr>
        <sz val="10"/>
        <rFont val="Arial"/>
        <family val="0"/>
        <charset val="1"/>
      </rPr>
      <t xml:space="preserve">Oracle </t>
    </r>
    <r>
      <rPr>
        <sz val="10"/>
        <rFont val="Noto Sans CJK SC"/>
        <family val="2"/>
      </rPr>
      <t xml:space="preserve">用客戶預付款支應多少擴張資本支出，剩下的缺口要靠多少債務與新股。</t>
    </r>
  </si>
  <si>
    <t xml:space="preserve">所有分頁用同一組數字，改任何一個輸入，後面全部會跟著動。</t>
  </si>
  <si>
    <t xml:space="preserve">分頁結構（依模組分組，分頁標籤顏色相同者為同一模組）</t>
  </si>
  <si>
    <t xml:space="preserve">摘要            一頁摘要：結論、與市場共識的差異、現價隱含什麼、驗證點（全部活公式）。</t>
  </si>
  <si>
    <r>
      <rPr>
        <sz val="10"/>
        <rFont val="Noto Sans CJK SC"/>
        <family val="2"/>
      </rPr>
      <t xml:space="preserve">輸入與假設      所有可調參數（</t>
    </r>
    <r>
      <rPr>
        <sz val="10"/>
        <rFont val="Arial"/>
        <family val="0"/>
        <charset val="1"/>
      </rPr>
      <t xml:space="preserve">A </t>
    </r>
    <r>
      <rPr>
        <sz val="10"/>
        <rFont val="Noto Sans CJK SC"/>
        <family val="2"/>
      </rPr>
      <t xml:space="preserve">情境 → </t>
    </r>
    <r>
      <rPr>
        <sz val="10"/>
        <rFont val="Arial"/>
        <family val="0"/>
        <charset val="1"/>
      </rPr>
      <t xml:space="preserve">B </t>
    </r>
    <r>
      <rPr>
        <sz val="10"/>
        <rFont val="Noto Sans CJK SC"/>
        <family val="2"/>
      </rPr>
      <t xml:space="preserve">產能與收入 → </t>
    </r>
    <r>
      <rPr>
        <sz val="10"/>
        <rFont val="Arial"/>
        <family val="0"/>
        <charset val="1"/>
      </rPr>
      <t xml:space="preserve">C </t>
    </r>
    <r>
      <rPr>
        <sz val="10"/>
        <rFont val="Noto Sans CJK SC"/>
        <family val="2"/>
      </rPr>
      <t xml:space="preserve">利潤率 → </t>
    </r>
    <r>
      <rPr>
        <sz val="10"/>
        <rFont val="Arial"/>
        <family val="0"/>
        <charset val="1"/>
      </rPr>
      <t xml:space="preserve">D </t>
    </r>
    <r>
      <rPr>
        <sz val="10"/>
        <rFont val="Noto Sans CJK SC"/>
        <family val="2"/>
      </rPr>
      <t xml:space="preserve">支出 → </t>
    </r>
    <r>
      <rPr>
        <sz val="10"/>
        <rFont val="Arial"/>
        <family val="0"/>
        <charset val="1"/>
      </rPr>
      <t xml:space="preserve">E </t>
    </r>
    <r>
      <rPr>
        <sz val="10"/>
        <rFont val="Noto Sans CJK SC"/>
        <family val="2"/>
      </rPr>
      <t xml:space="preserve">融資 → </t>
    </r>
    <r>
      <rPr>
        <sz val="10"/>
        <rFont val="Arial"/>
        <family val="0"/>
        <charset val="1"/>
      </rPr>
      <t xml:space="preserve">F </t>
    </r>
    <r>
      <rPr>
        <sz val="10"/>
        <rFont val="Noto Sans CJK SC"/>
        <family val="2"/>
      </rPr>
      <t xml:space="preserve">評價 → </t>
    </r>
    <r>
      <rPr>
        <sz val="10"/>
        <rFont val="Arial"/>
        <family val="0"/>
        <charset val="1"/>
      </rPr>
      <t xml:space="preserve">G 1Q </t>
    </r>
    <r>
      <rPr>
        <sz val="10"/>
        <rFont val="Noto Sans CJK SC"/>
        <family val="2"/>
      </rPr>
      <t xml:space="preserve">實際 → </t>
    </r>
    <r>
      <rPr>
        <sz val="10"/>
        <rFont val="Arial"/>
        <family val="0"/>
        <charset val="1"/>
      </rPr>
      <t xml:space="preserve">H </t>
    </r>
    <r>
      <rPr>
        <sz val="10"/>
        <rFont val="Noto Sans CJK SC"/>
        <family val="2"/>
      </rPr>
      <t xml:space="preserve">情境區間運算表 → </t>
    </r>
    <r>
      <rPr>
        <sz val="10"/>
        <rFont val="Arial"/>
        <family val="0"/>
        <charset val="1"/>
      </rPr>
      <t xml:space="preserve">I </t>
    </r>
    <r>
      <rPr>
        <sz val="10"/>
        <rFont val="Noto Sans CJK SC"/>
        <family val="2"/>
      </rPr>
      <t xml:space="preserve">市場共識 → </t>
    </r>
    <r>
      <rPr>
        <sz val="10"/>
        <rFont val="Arial"/>
        <family val="0"/>
        <charset val="1"/>
      </rPr>
      <t xml:space="preserve">J </t>
    </r>
    <r>
      <rPr>
        <sz val="10"/>
        <rFont val="Noto Sans CJK SC"/>
        <family val="2"/>
      </rPr>
      <t xml:space="preserve">季度追蹤輸入）。</t>
    </r>
  </si>
  <si>
    <t xml:space="preserve">各期收支        類現金流量：來源（含客戶預付）、用途、融資前缺口、期前融資瀑布。</t>
  </si>
  <si>
    <r>
      <rPr>
        <sz val="10"/>
        <rFont val="Noto Sans CJK SC"/>
        <family val="2"/>
      </rPr>
      <t xml:space="preserve">季度追蹤        焦點季的模型／共識／指引／實際與差距（由年度模型拆分，只用於追蹤；實際數填在輸入與假設 </t>
    </r>
    <r>
      <rPr>
        <sz val="10"/>
        <rFont val="Arial"/>
        <family val="0"/>
        <charset val="1"/>
      </rPr>
      <t xml:space="preserve">J </t>
    </r>
    <r>
      <rPr>
        <sz val="10"/>
        <rFont val="Noto Sans CJK SC"/>
        <family val="2"/>
      </rPr>
      <t xml:space="preserve">區）。</t>
    </r>
  </si>
  <si>
    <r>
      <rPr>
        <sz val="10"/>
        <rFont val="Noto Sans CJK SC"/>
        <family val="2"/>
      </rPr>
      <t xml:space="preserve">運營</t>
    </r>
    <r>
      <rPr>
        <sz val="10"/>
        <rFont val="Arial"/>
        <family val="0"/>
        <charset val="1"/>
      </rPr>
      <t xml:space="preserve">_</t>
    </r>
    <r>
      <rPr>
        <sz val="10"/>
        <rFont val="Noto Sans CJK SC"/>
        <family val="2"/>
      </rPr>
      <t xml:space="preserve">產能與收入  已連網 </t>
    </r>
    <r>
      <rPr>
        <sz val="10"/>
        <rFont val="Arial"/>
        <family val="0"/>
        <charset val="1"/>
      </rPr>
      <t xml:space="preserve">MW → </t>
    </r>
    <r>
      <rPr>
        <sz val="10"/>
        <rFont val="Noto Sans CJK SC"/>
        <family val="2"/>
      </rPr>
      <t xml:space="preserve">在役 </t>
    </r>
    <r>
      <rPr>
        <sz val="10"/>
        <rFont val="Arial"/>
        <family val="0"/>
        <charset val="1"/>
      </rPr>
      <t xml:space="preserve">MW → </t>
    </r>
    <r>
      <rPr>
        <sz val="10"/>
        <rFont val="Noto Sans CJK SC"/>
        <family val="2"/>
      </rPr>
      <t xml:space="preserve">營收（</t>
    </r>
    <r>
      <rPr>
        <sz val="10"/>
        <rFont val="Arial"/>
        <family val="0"/>
        <charset val="1"/>
      </rPr>
      <t xml:space="preserve">MW × </t>
    </r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年收入 </t>
    </r>
    <r>
      <rPr>
        <sz val="10"/>
        <rFont val="Arial"/>
        <family val="0"/>
        <charset val="1"/>
      </rPr>
      <t xml:space="preserve">× </t>
    </r>
    <r>
      <rPr>
        <sz val="10"/>
        <rFont val="Noto Sans CJK SC"/>
        <family val="2"/>
      </rPr>
      <t xml:space="preserve">利用率）；</t>
    </r>
    <r>
      <rPr>
        <sz val="10"/>
        <rFont val="Arial"/>
        <family val="0"/>
        <charset val="1"/>
      </rPr>
      <t xml:space="preserve">RPO </t>
    </r>
    <r>
      <rPr>
        <sz val="10"/>
        <rFont val="Noto Sans CJK SC"/>
        <family val="2"/>
      </rPr>
      <t xml:space="preserve">排程只作對照與產能瓶頸旗標。</t>
    </r>
  </si>
  <si>
    <r>
      <rPr>
        <sz val="10"/>
        <rFont val="Noto Sans CJK SC"/>
        <family val="2"/>
      </rPr>
      <t xml:space="preserve">資產負債</t>
    </r>
    <r>
      <rPr>
        <sz val="10"/>
        <rFont val="Arial"/>
        <family val="0"/>
        <charset val="1"/>
      </rPr>
      <t xml:space="preserve">_</t>
    </r>
    <r>
      <rPr>
        <sz val="10"/>
        <rFont val="Noto Sans CJK SC"/>
        <family val="2"/>
      </rPr>
      <t xml:space="preserve">既有債務／新債與新股／租賃承諾  類資產負債表：季報債務明細、每期現金與總債務與股數、租賃承諾。</t>
    </r>
  </si>
  <si>
    <r>
      <rPr>
        <sz val="10"/>
        <rFont val="Noto Sans CJK SC"/>
        <family val="2"/>
      </rPr>
      <t xml:space="preserve">損益            類損益表（</t>
    </r>
    <r>
      <rPr>
        <sz val="10"/>
        <rFont val="Arial"/>
        <family val="0"/>
        <charset val="1"/>
      </rPr>
      <t xml:space="preserve">FY27</t>
    </r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1Q </t>
    </r>
    <r>
      <rPr>
        <sz val="10"/>
        <rFont val="Noto Sans CJK SC"/>
        <family val="2"/>
      </rPr>
      <t xml:space="preserve">實際＋第 </t>
    </r>
    <r>
      <rPr>
        <sz val="10"/>
        <rFont val="Arial"/>
        <family val="0"/>
        <charset val="1"/>
      </rPr>
      <t xml:space="preserve">2–4 </t>
    </r>
    <r>
      <rPr>
        <sz val="10"/>
        <rFont val="Noto Sans CJK SC"/>
        <family val="2"/>
      </rPr>
      <t xml:space="preserve">季模型）。</t>
    </r>
  </si>
  <si>
    <r>
      <rPr>
        <sz val="10"/>
        <rFont val="Noto Sans CJK SC"/>
        <family val="2"/>
      </rPr>
      <t xml:space="preserve">評價</t>
    </r>
    <r>
      <rPr>
        <sz val="10"/>
        <rFont val="Arial"/>
        <family val="0"/>
        <charset val="1"/>
      </rPr>
      <t xml:space="preserve">_DCF</t>
    </r>
    <r>
      <rPr>
        <sz val="10"/>
        <rFont val="Noto Sans CJK SC"/>
        <family val="2"/>
      </rPr>
      <t xml:space="preserve">與目標價／評價</t>
    </r>
    <r>
      <rPr>
        <sz val="10"/>
        <rFont val="Arial"/>
        <family val="0"/>
        <charset val="1"/>
      </rPr>
      <t xml:space="preserve">_</t>
    </r>
    <r>
      <rPr>
        <sz val="10"/>
        <rFont val="Noto Sans CJK SC"/>
        <family val="2"/>
      </rPr>
      <t xml:space="preserve">可比公司  </t>
    </r>
    <r>
      <rPr>
        <sz val="10"/>
        <rFont val="Arial"/>
        <family val="0"/>
        <charset val="1"/>
      </rPr>
      <t xml:space="preserve">DCF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EV/EBITDA</t>
    </r>
    <r>
      <rPr>
        <sz val="10"/>
        <rFont val="Noto Sans CJK SC"/>
        <family val="2"/>
      </rPr>
      <t xml:space="preserve">、加權目標價；同業 </t>
    </r>
    <r>
      <rPr>
        <sz val="10"/>
        <rFont val="Arial"/>
        <family val="0"/>
        <charset val="1"/>
      </rPr>
      <t xml:space="preserve">EV/Sales </t>
    </r>
    <r>
      <rPr>
        <sz val="10"/>
        <rFont val="Noto Sans CJK SC"/>
        <family val="2"/>
      </rPr>
      <t xml:space="preserve">比較。</t>
    </r>
  </si>
  <si>
    <r>
      <rPr>
        <sz val="10"/>
        <rFont val="Noto Sans CJK SC"/>
        <family val="2"/>
      </rPr>
      <t xml:space="preserve">評價</t>
    </r>
    <r>
      <rPr>
        <sz val="10"/>
        <rFont val="Arial"/>
        <family val="0"/>
        <charset val="1"/>
      </rPr>
      <t xml:space="preserve">_</t>
    </r>
    <r>
      <rPr>
        <sz val="10"/>
        <rFont val="Noto Sans CJK SC"/>
        <family val="2"/>
      </rPr>
      <t xml:space="preserve">反向</t>
    </r>
    <r>
      <rPr>
        <sz val="10"/>
        <rFont val="Arial"/>
        <family val="0"/>
        <charset val="1"/>
      </rPr>
      <t xml:space="preserve">DCF    </t>
    </r>
    <r>
      <rPr>
        <sz val="10"/>
        <rFont val="Noto Sans CJK SC"/>
        <family val="2"/>
      </rPr>
      <t xml:space="preserve">現價隱含的收入與成本。</t>
    </r>
  </si>
  <si>
    <r>
      <rPr>
        <sz val="10"/>
        <rFont val="Noto Sans CJK SC"/>
        <family val="2"/>
      </rPr>
      <t xml:space="preserve">檢查</t>
    </r>
    <r>
      <rPr>
        <sz val="10"/>
        <rFont val="Arial"/>
        <family val="0"/>
        <charset val="1"/>
      </rPr>
      <t xml:space="preserve">_</t>
    </r>
    <r>
      <rPr>
        <sz val="10"/>
        <rFont val="Noto Sans CJK SC"/>
        <family val="2"/>
      </rPr>
      <t xml:space="preserve">連動／檢查</t>
    </r>
    <r>
      <rPr>
        <sz val="10"/>
        <rFont val="Arial"/>
        <family val="0"/>
        <charset val="1"/>
      </rPr>
      <t xml:space="preserve">_</t>
    </r>
    <r>
      <rPr>
        <sz val="10"/>
        <rFont val="Noto Sans CJK SC"/>
        <family val="2"/>
      </rPr>
      <t xml:space="preserve">版本紀錄  恆等式與口徑檢查；版本紀錄；來源：每個硬編碼數字的出處。</t>
    </r>
  </si>
  <si>
    <t xml:space="preserve">註：『各期收支』『資產與負債』『損益』並非會計準則的正式三表，而是對應公司實際運營的類三表呈現。</t>
  </si>
  <si>
    <t xml:space="preserve">顏色規則</t>
  </si>
  <si>
    <r>
      <rPr>
        <sz val="10"/>
        <rFont val="Noto Sans CJK SC"/>
        <family val="2"/>
      </rPr>
      <t xml:space="preserve">藍字 </t>
    </r>
    <r>
      <rPr>
        <sz val="10"/>
        <rFont val="Arial"/>
        <family val="0"/>
        <charset val="1"/>
      </rPr>
      <t xml:space="preserve">= </t>
    </r>
    <r>
      <rPr>
        <sz val="10"/>
        <rFont val="Noto Sans CJK SC"/>
        <family val="2"/>
      </rPr>
      <t xml:space="preserve">手動輸入值（可改）｜黑字 </t>
    </r>
    <r>
      <rPr>
        <sz val="10"/>
        <rFont val="Arial"/>
        <family val="0"/>
        <charset val="1"/>
      </rPr>
      <t xml:space="preserve">= </t>
    </r>
    <r>
      <rPr>
        <sz val="10"/>
        <rFont val="Noto Sans CJK SC"/>
        <family val="2"/>
      </rPr>
      <t xml:space="preserve">本頁公式｜綠字 </t>
    </r>
    <r>
      <rPr>
        <sz val="10"/>
        <rFont val="Arial"/>
        <family val="0"/>
        <charset val="1"/>
      </rPr>
      <t xml:space="preserve">= </t>
    </r>
    <r>
      <rPr>
        <sz val="10"/>
        <rFont val="Noto Sans CJK SC"/>
        <family val="2"/>
      </rPr>
      <t xml:space="preserve">跨頁連結｜黃底 </t>
    </r>
    <r>
      <rPr>
        <sz val="10"/>
        <rFont val="Arial"/>
        <family val="0"/>
        <charset val="1"/>
      </rPr>
      <t xml:space="preserve">= </t>
    </r>
    <r>
      <rPr>
        <sz val="10"/>
        <rFont val="Noto Sans CJK SC"/>
        <family val="2"/>
      </rPr>
      <t xml:space="preserve">關鍵假設｜灰字 </t>
    </r>
    <r>
      <rPr>
        <sz val="10"/>
        <rFont val="Arial"/>
        <family val="0"/>
        <charset val="1"/>
      </rPr>
      <t xml:space="preserve">= </t>
    </r>
    <r>
      <rPr>
        <sz val="10"/>
        <rFont val="Noto Sans CJK SC"/>
        <family val="2"/>
      </rPr>
      <t xml:space="preserve">說明與來源</t>
    </r>
  </si>
  <si>
    <r>
      <rPr>
        <b val="true"/>
        <sz val="10"/>
        <rFont val="Noto Sans CJK SC"/>
        <family val="2"/>
      </rPr>
      <t xml:space="preserve">■ 營收主軸：</t>
    </r>
    <r>
      <rPr>
        <b val="true"/>
        <sz val="10"/>
        <rFont val="Arial"/>
        <family val="0"/>
        <charset val="1"/>
      </rPr>
      <t xml:space="preserve">MW × </t>
    </r>
    <r>
      <rPr>
        <b val="true"/>
        <sz val="10"/>
        <rFont val="Noto Sans CJK SC"/>
        <family val="2"/>
      </rPr>
      <t xml:space="preserve">每 </t>
    </r>
    <r>
      <rPr>
        <b val="true"/>
        <sz val="10"/>
        <rFont val="Arial"/>
        <family val="0"/>
        <charset val="1"/>
      </rPr>
      <t xml:space="preserve">MW </t>
    </r>
    <r>
      <rPr>
        <b val="true"/>
        <sz val="10"/>
        <rFont val="Noto Sans CJK SC"/>
        <family val="2"/>
      </rPr>
      <t xml:space="preserve">年收入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利用率</t>
    </r>
  </si>
  <si>
    <r>
      <rPr>
        <sz val="10"/>
        <rFont val="Noto Sans CJK SC"/>
        <family val="2"/>
      </rPr>
      <t xml:space="preserve">  已連網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（情境路徑，口徑不明者 </t>
    </r>
    <r>
      <rPr>
        <sz val="10"/>
        <rFont val="Arial"/>
        <family val="0"/>
        <charset val="1"/>
      </rPr>
      <t xml:space="preserve">÷ PUE 1.2 </t>
    </r>
    <r>
      <rPr>
        <sz val="10"/>
        <rFont val="Noto Sans CJK SC"/>
        <family val="2"/>
      </rPr>
      <t xml:space="preserve">換成 </t>
    </r>
    <r>
      <rPr>
        <sz val="10"/>
        <rFont val="Arial"/>
        <family val="0"/>
        <charset val="1"/>
      </rPr>
      <t xml:space="preserve">MW-IT</t>
    </r>
    <r>
      <rPr>
        <sz val="10"/>
        <rFont val="Noto Sans CJK SC"/>
        <family val="2"/>
      </rPr>
      <t xml:space="preserve">）→ 在役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× </t>
    </r>
    <r>
      <rPr>
        <sz val="10"/>
        <rFont val="Noto Sans CJK SC"/>
        <family val="2"/>
      </rPr>
      <t xml:space="preserve">在役比例）→ 平均在役 </t>
    </r>
    <r>
      <rPr>
        <sz val="10"/>
        <rFont val="Arial"/>
        <family val="0"/>
        <charset val="1"/>
      </rPr>
      <t xml:space="preserve">MW × </t>
    </r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年收入 </t>
    </r>
    <r>
      <rPr>
        <sz val="10"/>
        <rFont val="Arial"/>
        <family val="0"/>
        <charset val="1"/>
      </rPr>
      <t xml:space="preserve">× </t>
    </r>
    <r>
      <rPr>
        <sz val="10"/>
        <rFont val="Noto Sans CJK SC"/>
        <family val="2"/>
      </rPr>
      <t xml:space="preserve">利用率 </t>
    </r>
    <r>
      <rPr>
        <sz val="10"/>
        <rFont val="Arial"/>
        <family val="0"/>
        <charset val="1"/>
      </rPr>
      <t xml:space="preserve">× </t>
    </r>
    <r>
      <rPr>
        <sz val="10"/>
        <rFont val="Noto Sans CJK SC"/>
        <family val="2"/>
      </rPr>
      <t xml:space="preserve">期間長度＝營收。</t>
    </r>
  </si>
  <si>
    <r>
      <rPr>
        <sz val="10"/>
        <rFont val="Noto Sans CJK SC"/>
        <family val="2"/>
      </rPr>
      <t xml:space="preserve">  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年收入取 </t>
    </r>
    <r>
      <rPr>
        <sz val="10"/>
        <rFont val="Arial"/>
        <family val="0"/>
        <charset val="1"/>
      </rPr>
      <t xml:space="preserve">Tokenomics </t>
    </r>
    <r>
      <rPr>
        <sz val="10"/>
        <rFont val="Noto Sans CJK SC"/>
        <family val="2"/>
      </rPr>
      <t xml:space="preserve">正向推導的三情境值（</t>
    </r>
    <r>
      <rPr>
        <sz val="10"/>
        <rFont val="Arial"/>
        <family val="0"/>
        <charset val="1"/>
      </rPr>
      <t xml:space="preserve">data/permw_tokenomics_20261007.json</t>
    </r>
    <r>
      <rPr>
        <sz val="10"/>
        <rFont val="Noto Sans CJK SC"/>
        <family val="2"/>
      </rPr>
      <t xml:space="preserve">），不用公司 </t>
    </r>
    <r>
      <rPr>
        <sz val="10"/>
        <rFont val="Arial"/>
        <family val="0"/>
        <charset val="1"/>
      </rPr>
      <t xml:space="preserve">ACV</t>
    </r>
    <r>
      <rPr>
        <sz val="10"/>
        <rFont val="Noto Sans CJK SC"/>
        <family val="2"/>
      </rPr>
      <t xml:space="preserve">（只作對照）；利用率預設 </t>
    </r>
    <r>
      <rPr>
        <sz val="10"/>
        <rFont val="Arial"/>
        <family val="0"/>
        <charset val="1"/>
      </rPr>
      <t xml:space="preserve">100%</t>
    </r>
    <r>
      <rPr>
        <sz val="10"/>
        <rFont val="Noto Sans CJK SC"/>
        <family val="2"/>
      </rPr>
      <t xml:space="preserve">，因推導值已含可計費利用率。</t>
    </r>
  </si>
  <si>
    <r>
      <rPr>
        <sz val="10"/>
        <rFont val="Arial"/>
        <family val="0"/>
        <charset val="1"/>
      </rPr>
      <t xml:space="preserve">  RPO </t>
    </r>
    <r>
      <rPr>
        <sz val="10"/>
        <rFont val="Noto Sans CJK SC"/>
        <family val="2"/>
      </rPr>
      <t xml:space="preserve">排程（季報桶分攤）只作對照：排程 </t>
    </r>
    <r>
      <rPr>
        <sz val="10"/>
        <rFont val="Arial"/>
        <family val="0"/>
        <charset val="1"/>
      </rPr>
      <t xml:space="preserve">&gt; </t>
    </r>
    <r>
      <rPr>
        <sz val="10"/>
        <rFont val="Noto Sans CJK SC"/>
        <family val="2"/>
      </rPr>
      <t xml:space="preserve">容量的部分顯示為『產能瓶頸』旗標。</t>
    </r>
  </si>
  <si>
    <t xml:space="preserve">■ 收入之後的折扣</t>
  </si>
  <si>
    <r>
      <rPr>
        <sz val="10"/>
        <rFont val="Noto Sans CJK SC"/>
        <family val="2"/>
      </rPr>
      <t xml:space="preserve">  收入 → 扣信用損失（違約率 </t>
    </r>
    <r>
      <rPr>
        <sz val="10"/>
        <rFont val="Arial"/>
        <family val="0"/>
        <charset val="1"/>
      </rPr>
      <t xml:space="preserve">× (1−</t>
    </r>
    <r>
      <rPr>
        <sz val="10"/>
        <rFont val="Noto Sans CJK SC"/>
        <family val="2"/>
      </rPr>
      <t xml:space="preserve">回收率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）→ 乘『</t>
    </r>
    <r>
      <rPr>
        <sz val="10"/>
        <rFont val="Arial"/>
        <family val="0"/>
        <charset val="1"/>
      </rPr>
      <t xml:space="preserve">EBITDAR </t>
    </r>
    <r>
      <rPr>
        <sz val="10"/>
        <rFont val="Noto Sans CJK SC"/>
        <family val="2"/>
      </rPr>
      <t xml:space="preserve">率』→ 營運現金；客戶預付另列為來源。</t>
    </r>
  </si>
  <si>
    <r>
      <rPr>
        <sz val="10"/>
        <rFont val="Arial"/>
        <family val="0"/>
        <charset val="1"/>
      </rPr>
      <t xml:space="preserve">  EBITDA </t>
    </r>
    <r>
      <rPr>
        <sz val="10"/>
        <rFont val="Noto Sans CJK SC"/>
        <family val="2"/>
      </rPr>
      <t xml:space="preserve">率路徑取可觀察 </t>
    </r>
    <r>
      <rPr>
        <sz val="10"/>
        <rFont val="Arial"/>
        <family val="0"/>
        <charset val="1"/>
      </rPr>
      <t xml:space="preserve">neocloud </t>
    </r>
    <r>
      <rPr>
        <sz val="10"/>
        <rFont val="Noto Sans CJK SC"/>
        <family val="2"/>
      </rPr>
      <t xml:space="preserve">區間（</t>
    </r>
    <r>
      <rPr>
        <sz val="10"/>
        <rFont val="Arial"/>
        <family val="0"/>
        <charset val="1"/>
      </rPr>
      <t xml:space="preserve">IREN </t>
    </r>
    <r>
      <rPr>
        <sz val="10"/>
        <rFont val="Noto Sans CJK SC"/>
        <family val="2"/>
      </rPr>
      <t xml:space="preserve">約 </t>
    </r>
    <r>
      <rPr>
        <sz val="10"/>
        <rFont val="Arial"/>
        <family val="0"/>
        <charset val="1"/>
      </rPr>
      <t xml:space="preserve">35%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CRWV </t>
    </r>
    <r>
      <rPr>
        <sz val="10"/>
        <rFont val="Noto Sans CJK SC"/>
        <family val="2"/>
      </rPr>
      <t xml:space="preserve">約 </t>
    </r>
    <r>
      <rPr>
        <sz val="10"/>
        <rFont val="Arial"/>
        <family val="0"/>
        <charset val="1"/>
      </rPr>
      <t xml:space="preserve">59%</t>
    </r>
    <r>
      <rPr>
        <sz val="10"/>
        <rFont val="Noto Sans CJK SC"/>
        <family val="2"/>
      </rPr>
      <t xml:space="preserve">），不取自每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推導的加成。</t>
    </r>
  </si>
  <si>
    <r>
      <rPr>
        <b val="true"/>
        <sz val="10"/>
        <rFont val="Noto Sans CJK SC"/>
        <family val="2"/>
      </rPr>
      <t xml:space="preserve">■ 期別口徑：</t>
    </r>
    <r>
      <rPr>
        <b val="true"/>
        <sz val="10"/>
        <rFont val="Arial"/>
        <family val="0"/>
        <charset val="1"/>
      </rPr>
      <t xml:space="preserve">FY27 </t>
    </r>
    <r>
      <rPr>
        <b val="true"/>
        <sz val="10"/>
        <rFont val="Noto Sans CJK SC"/>
        <family val="2"/>
      </rPr>
      <t xml:space="preserve">＝ </t>
    </r>
    <r>
      <rPr>
        <b val="true"/>
        <sz val="10"/>
        <rFont val="Arial"/>
        <family val="0"/>
        <charset val="1"/>
      </rPr>
      <t xml:space="preserve">1Q </t>
    </r>
    <r>
      <rPr>
        <b val="true"/>
        <sz val="10"/>
        <rFont val="Noto Sans CJK SC"/>
        <family val="2"/>
      </rPr>
      <t xml:space="preserve">實際 ＋ </t>
    </r>
    <r>
      <rPr>
        <b val="true"/>
        <sz val="10"/>
        <rFont val="Arial"/>
        <family val="0"/>
        <charset val="1"/>
      </rPr>
      <t xml:space="preserve">2Q–4Q </t>
    </r>
    <r>
      <rPr>
        <b val="true"/>
        <sz val="10"/>
        <rFont val="Noto Sans CJK SC"/>
        <family val="2"/>
      </rPr>
      <t xml:space="preserve">模型</t>
    </r>
  </si>
  <si>
    <r>
      <rPr>
        <sz val="10"/>
        <rFont val="Noto Sans CJK SC"/>
        <family val="2"/>
      </rPr>
      <t xml:space="preserve">  支出與資金頁與損益頁的 </t>
    </r>
    <r>
      <rPr>
        <sz val="10"/>
        <rFont val="Arial"/>
        <family val="0"/>
        <charset val="1"/>
      </rPr>
      <t xml:space="preserve">FY27 </t>
    </r>
    <r>
      <rPr>
        <sz val="10"/>
        <rFont val="Noto Sans CJK SC"/>
        <family val="2"/>
      </rPr>
      <t xml:space="preserve">欄，年初至今部分直接採用季報現金流量表的實際值，模型期才是模型推算，因此 </t>
    </r>
    <r>
      <rPr>
        <sz val="10"/>
        <rFont val="Arial"/>
        <family val="0"/>
        <charset val="1"/>
      </rPr>
      <t xml:space="preserve">FY27 </t>
    </r>
    <r>
      <rPr>
        <sz val="10"/>
        <rFont val="Noto Sans CJK SC"/>
        <family val="2"/>
      </rPr>
      <t xml:space="preserve">欄可直接對照公司全年指引。</t>
    </r>
  </si>
  <si>
    <r>
      <rPr>
        <sz val="10"/>
        <rFont val="Noto Sans CJK SC"/>
        <family val="2"/>
      </rPr>
      <t xml:space="preserve">  年初至今的利息與租金已包含在實際 </t>
    </r>
    <r>
      <rPr>
        <sz val="10"/>
        <rFont val="Arial"/>
        <family val="0"/>
        <charset val="1"/>
      </rPr>
      <t xml:space="preserve">CFO </t>
    </r>
    <r>
      <rPr>
        <sz val="10"/>
        <rFont val="Noto Sans CJK SC"/>
        <family val="2"/>
      </rPr>
      <t xml:space="preserve">內，所以支出頁那兩列的 </t>
    </r>
    <r>
      <rPr>
        <sz val="10"/>
        <rFont val="Arial"/>
        <family val="0"/>
        <charset val="1"/>
      </rPr>
      <t xml:space="preserve">FY27 </t>
    </r>
    <r>
      <rPr>
        <sz val="10"/>
        <rFont val="Noto Sans CJK SC"/>
        <family val="2"/>
      </rPr>
      <t xml:space="preserve">欄只有模型期金額；全年數字見「</t>
    </r>
    <r>
      <rPr>
        <sz val="10"/>
        <rFont val="Arial"/>
        <family val="0"/>
        <charset val="1"/>
      </rPr>
      <t xml:space="preserve">FY27 </t>
    </r>
    <r>
      <rPr>
        <sz val="10"/>
        <rFont val="Noto Sans CJK SC"/>
        <family val="2"/>
      </rPr>
      <t xml:space="preserve">全年備忘」區。</t>
    </r>
  </si>
  <si>
    <t xml:space="preserve">■ 現金橋（支出與資金頁最下方）</t>
  </si>
  <si>
    <t xml:space="preserve">  上年底現金 ＋ 營運缺口 ＋ 股權／可轉債 ＋ 年初至今實際借款 − 排程還本 ＋ 調節 ＋ 瀑布融資 ＝ 期末現金</t>
  </si>
  <si>
    <t xml:space="preserve">  營運缺口＝營運來源 −（用途 − 排程還本）。股權、可轉債、資產擔保融資都不算營運來源，這是刻意的：它們回答的是「誰來補」，不是「本業能不能自給」。</t>
  </si>
  <si>
    <t xml:space="preserve">■ 期前融資瀑布</t>
  </si>
  <si>
    <r>
      <rPr>
        <sz val="10"/>
        <rFont val="Noto Sans CJK SC"/>
        <family val="2"/>
      </rPr>
      <t xml:space="preserve">  缺口在需要前一期先融好，使每期末現金不低於最低現金。順序：客戶預付（營運來源）→ 現金（高於最低現金的部分）→ 未動用額度（資產擔保融資）→ 新債（總債務 ≤ 債務／</t>
    </r>
    <r>
      <rPr>
        <sz val="10"/>
        <rFont val="Arial"/>
        <family val="0"/>
        <charset val="1"/>
      </rPr>
      <t xml:space="preserve">backlog </t>
    </r>
    <r>
      <rPr>
        <sz val="10"/>
        <rFont val="Noto Sans CJK SC"/>
        <family val="2"/>
      </rPr>
      <t xml:space="preserve">上限）→ 股權（現價折價發行、每年上限）→ 高息債（溢出）。</t>
    </r>
  </si>
  <si>
    <r>
      <rPr>
        <sz val="10"/>
        <rFont val="Arial"/>
        <family val="0"/>
        <charset val="1"/>
      </rPr>
      <t xml:space="preserve">  DCF </t>
    </r>
    <r>
      <rPr>
        <sz val="10"/>
        <rFont val="Noto Sans CJK SC"/>
        <family val="2"/>
      </rPr>
      <t xml:space="preserve">以融資後股數計每股，並加回新股募得現金的現值；</t>
    </r>
    <r>
      <rPr>
        <sz val="10"/>
        <rFont val="Arial"/>
        <family val="0"/>
        <charset val="1"/>
      </rPr>
      <t xml:space="preserve">EV/EBITDA </t>
    </r>
    <r>
      <rPr>
        <sz val="10"/>
        <rFont val="Noto Sans CJK SC"/>
        <family val="2"/>
      </rPr>
      <t xml:space="preserve">用錨定年末淨負債與錨定年末股數。</t>
    </r>
  </si>
  <si>
    <t xml:space="preserve">一頁摘要 — 結論、與市場的差異、現價隱含什麼、驗證點（全部依輸入連動）</t>
  </si>
  <si>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｜結論</t>
    </r>
  </si>
  <si>
    <r>
      <rPr>
        <sz val="10"/>
        <rFont val="Noto Sans CJK SC"/>
        <family val="2"/>
      </rPr>
      <t xml:space="preserve">結論｜評等代碼（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＝買進、</t>
    </r>
    <r>
      <rPr>
        <sz val="10"/>
        <rFont val="Arial"/>
        <family val="0"/>
        <charset val="1"/>
      </rPr>
      <t xml:space="preserve">0</t>
    </r>
    <r>
      <rPr>
        <sz val="10"/>
        <rFont val="Noto Sans CJK SC"/>
        <family val="2"/>
      </rPr>
      <t xml:space="preserve">＝中立、−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＝賣出）</t>
    </r>
  </si>
  <si>
    <t xml:space="preserve">結論｜評等</t>
  </si>
  <si>
    <t xml:space="preserve">結論｜點位（加權目標價）</t>
  </si>
  <si>
    <t xml:space="preserve">US$</t>
  </si>
  <si>
    <t xml:space="preserve">結論｜現價</t>
  </si>
  <si>
    <t xml:space="preserve">結論｜空間</t>
  </si>
  <si>
    <t xml:space="preserve">%</t>
  </si>
  <si>
    <t xml:space="preserve">結論｜情境區間（下緣／上緣）</t>
  </si>
  <si>
    <t xml:space="preserve">結論｜方法區間（下緣／上緣）</t>
  </si>
  <si>
    <t xml:space="preserve">結論｜賣出門檻價</t>
  </si>
  <si>
    <t xml:space="preserve">結論｜點位 − 賣出門檻</t>
  </si>
  <si>
    <t xml:space="preserve">結論｜結論句</t>
  </si>
  <si>
    <t xml:space="preserve">結論｜情境判斷句</t>
  </si>
  <si>
    <t xml:space="preserve">結論｜投資級句</t>
  </si>
  <si>
    <t xml:space="preserve">結論｜調整後槓桿句</t>
  </si>
  <si>
    <t xml:space="preserve">結論｜延誤句</t>
  </si>
  <si>
    <r>
      <rPr>
        <b val="true"/>
        <sz val="10"/>
        <rFont val="Arial"/>
        <family val="0"/>
        <charset val="1"/>
      </rPr>
      <t xml:space="preserve">2</t>
    </r>
    <r>
      <rPr>
        <b val="true"/>
        <sz val="10"/>
        <rFont val="Noto Sans CJK SC"/>
        <family val="2"/>
      </rPr>
      <t xml:space="preserve">｜與市場的差異（模型：目前情境 </t>
    </r>
    <r>
      <rPr>
        <b val="true"/>
        <sz val="10"/>
        <rFont val="Arial"/>
        <family val="0"/>
        <charset val="1"/>
      </rPr>
      <t xml:space="preserve">vs </t>
    </r>
    <r>
      <rPr>
        <b val="true"/>
        <sz val="10"/>
        <rFont val="Noto Sans CJK SC"/>
        <family val="2"/>
      </rPr>
      <t xml:space="preserve">共識；</t>
    </r>
    <r>
      <rPr>
        <b val="true"/>
        <sz val="10"/>
        <rFont val="Arial"/>
        <family val="0"/>
        <charset val="1"/>
      </rPr>
      <t xml:space="preserve">FY27–FY29</t>
    </r>
    <r>
      <rPr>
        <b val="true"/>
        <sz val="10"/>
        <rFont val="Noto Sans CJK SC"/>
        <family val="2"/>
      </rPr>
      <t xml:space="preserve">）</t>
    </r>
  </si>
  <si>
    <t xml:space="preserve">項目</t>
  </si>
  <si>
    <t xml:space="preserve">單位</t>
  </si>
  <si>
    <t xml:space="preserve">FY27</t>
  </si>
  <si>
    <t xml:space="preserve">FY28</t>
  </si>
  <si>
    <t xml:space="preserve">FY29</t>
  </si>
  <si>
    <t xml:space="preserve">差異｜營收｜模型</t>
  </si>
  <si>
    <t xml:space="preserve">US$bn</t>
  </si>
  <si>
    <t xml:space="preserve">差異｜營收｜共識</t>
  </si>
  <si>
    <t xml:space="preserve">差異｜營收｜差距</t>
  </si>
  <si>
    <r>
      <rPr>
        <sz val="10"/>
        <rFont val="Noto Sans CJK SC"/>
        <family val="2"/>
      </rPr>
      <t xml:space="preserve">差異｜調整後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｜模型</t>
    </r>
  </si>
  <si>
    <r>
      <rPr>
        <sz val="10"/>
        <rFont val="Noto Sans CJK SC"/>
        <family val="2"/>
      </rPr>
      <t xml:space="preserve">差異｜調整後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｜共識</t>
    </r>
  </si>
  <si>
    <r>
      <rPr>
        <sz val="10"/>
        <rFont val="Noto Sans CJK SC"/>
        <family val="2"/>
      </rPr>
      <t xml:space="preserve">差異｜調整後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｜差距</t>
    </r>
  </si>
  <si>
    <r>
      <rPr>
        <sz val="9"/>
        <color rgb="FF595959"/>
        <rFont val="Arial"/>
        <family val="0"/>
        <charset val="1"/>
      </rPr>
      <t xml:space="preserve">FY27 </t>
    </r>
    <r>
      <rPr>
        <sz val="9"/>
        <color rgb="FF595959"/>
        <rFont val="Noto Sans CJK SC"/>
        <family val="2"/>
      </rPr>
      <t xml:space="preserve">模型＝</t>
    </r>
    <r>
      <rPr>
        <sz val="9"/>
        <color rgb="FF595959"/>
        <rFont val="Arial"/>
        <family val="0"/>
        <charset val="1"/>
      </rPr>
      <t xml:space="preserve">1Q </t>
    </r>
    <r>
      <rPr>
        <sz val="9"/>
        <color rgb="FF595959"/>
        <rFont val="Noto Sans CJK SC"/>
        <family val="2"/>
      </rPr>
      <t xml:space="preserve">實際調整後 </t>
    </r>
    <r>
      <rPr>
        <sz val="9"/>
        <color rgb="FF595959"/>
        <rFont val="Arial"/>
        <family val="0"/>
        <charset val="1"/>
      </rPr>
      <t xml:space="preserve">EBITDA</t>
    </r>
    <r>
      <rPr>
        <sz val="9"/>
        <color rgb="FF595959"/>
        <rFont val="Noto Sans CJK SC"/>
        <family val="2"/>
      </rPr>
      <t xml:space="preserve">（輸入與假設 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區，報導轉述 </t>
    </r>
    <r>
      <rPr>
        <sz val="9"/>
        <color rgb="FF595959"/>
        <rFont val="Arial"/>
        <family val="0"/>
        <charset val="1"/>
      </rPr>
      <t xml:space="preserve">[Verified]</t>
    </r>
    <r>
      <rPr>
        <sz val="9"/>
        <color rgb="FF595959"/>
        <rFont val="Noto Sans CJK SC"/>
        <family val="2"/>
      </rPr>
      <t xml:space="preserve">）＋</t>
    </r>
    <r>
      <rPr>
        <sz val="9"/>
        <color rgb="FF595959"/>
        <rFont val="Arial"/>
        <family val="0"/>
        <charset val="1"/>
      </rPr>
      <t xml:space="preserve">2Q–4Q </t>
    </r>
    <r>
      <rPr>
        <sz val="9"/>
        <color rgb="FF595959"/>
        <rFont val="Noto Sans CJK SC"/>
        <family val="2"/>
      </rPr>
      <t xml:space="preserve">模型</t>
    </r>
  </si>
  <si>
    <r>
      <rPr>
        <sz val="10"/>
        <rFont val="Noto Sans CJK SC"/>
        <family val="2"/>
      </rPr>
      <t xml:space="preserve">差異｜調整後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｜差距（金額）</t>
    </r>
  </si>
  <si>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HTML </t>
    </r>
    <r>
      <rPr>
        <sz val="9"/>
        <color rgb="FF595959"/>
        <rFont val="Noto Sans CJK SC"/>
        <family val="2"/>
      </rPr>
      <t xml:space="preserve">一頁摘要、市場共識分頁同一呈現；判斷門檻仍用上一列比例</t>
    </r>
  </si>
  <si>
    <r>
      <rPr>
        <sz val="10"/>
        <rFont val="Noto Sans CJK SC"/>
        <family val="2"/>
      </rPr>
      <t xml:space="preserve">差異｜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率｜模型</t>
    </r>
  </si>
  <si>
    <r>
      <rPr>
        <sz val="10"/>
        <rFont val="Noto Sans CJK SC"/>
        <family val="2"/>
      </rPr>
      <t xml:space="preserve">差異｜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率｜共識</t>
    </r>
  </si>
  <si>
    <r>
      <rPr>
        <sz val="10"/>
        <rFont val="Noto Sans CJK SC"/>
        <family val="2"/>
      </rPr>
      <t xml:space="preserve">差異｜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率｜差距（百分點）</t>
    </r>
  </si>
  <si>
    <t xml:space="preserve">pt</t>
  </si>
  <si>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Noto Sans CJK SC"/>
        <family val="2"/>
      </rPr>
      <t xml:space="preserve">率以百分點列差距，不納入判斷</t>
    </r>
  </si>
  <si>
    <r>
      <rPr>
        <sz val="10"/>
        <rFont val="Noto Sans CJK SC"/>
        <family val="2"/>
      </rPr>
      <t xml:space="preserve">差異｜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（毛額）｜模型</t>
    </r>
  </si>
  <si>
    <r>
      <rPr>
        <sz val="10"/>
        <rFont val="Noto Sans CJK SC"/>
        <family val="2"/>
      </rPr>
      <t xml:space="preserve">差異｜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（毛額）｜共識</t>
    </r>
  </si>
  <si>
    <r>
      <rPr>
        <sz val="10"/>
        <rFont val="Noto Sans CJK SC"/>
        <family val="2"/>
      </rPr>
      <t xml:space="preserve">差異｜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（毛額）｜差距</t>
    </r>
  </si>
  <si>
    <r>
      <rPr>
        <sz val="9"/>
        <color rgb="FF595959"/>
        <rFont val="Noto Sans CJK SC"/>
        <family val="2"/>
      </rPr>
      <t xml:space="preserve">共識 </t>
    </r>
    <r>
      <rPr>
        <sz val="9"/>
        <color rgb="FF595959"/>
        <rFont val="Arial"/>
        <family val="0"/>
        <charset val="1"/>
      </rPr>
      <t xml:space="preserve">CapEx </t>
    </r>
    <r>
      <rPr>
        <sz val="9"/>
        <color rgb="FF595959"/>
        <rFont val="Noto Sans CJK SC"/>
        <family val="2"/>
      </rPr>
      <t xml:space="preserve">口徑未揭露；</t>
    </r>
    <r>
      <rPr>
        <sz val="9"/>
        <color rgb="FF595959"/>
        <rFont val="Arial"/>
        <family val="0"/>
        <charset val="1"/>
      </rPr>
      <t xml:space="preserve">FY27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1Q </t>
    </r>
    <r>
      <rPr>
        <sz val="9"/>
        <color rgb="FF595959"/>
        <rFont val="Noto Sans CJK SC"/>
        <family val="2"/>
      </rPr>
      <t xml:space="preserve">實際毛額＋</t>
    </r>
    <r>
      <rPr>
        <sz val="9"/>
        <color rgb="FF595959"/>
        <rFont val="Arial"/>
        <family val="0"/>
        <charset val="1"/>
      </rPr>
      <t xml:space="preserve">2Q–4Q </t>
    </r>
    <r>
      <rPr>
        <sz val="9"/>
        <color rgb="FF595959"/>
        <rFont val="Noto Sans CJK SC"/>
        <family val="2"/>
      </rPr>
      <t xml:space="preserve">模型毛額</t>
    </r>
  </si>
  <si>
    <t xml:space="preserve">差異｜淨負債｜模型</t>
  </si>
  <si>
    <t xml:space="preserve">差異｜淨負債｜共識</t>
  </si>
  <si>
    <t xml:space="preserve">差異｜淨負債｜差距</t>
  </si>
  <si>
    <t xml:space="preserve">共識淨負債不含租賃、口徑未揭露：只列不判斷</t>
  </si>
  <si>
    <t xml:space="preserve">差異｜淨負債｜差距（金額）</t>
  </si>
  <si>
    <t xml:space="preserve">差異｜分歧項目（超過門檻者）</t>
  </si>
  <si>
    <r>
      <rPr>
        <sz val="9"/>
        <color rgb="FF595959"/>
        <rFont val="Noto Sans CJK SC"/>
        <family val="2"/>
      </rPr>
      <t xml:space="preserve">營收、</t>
    </r>
    <r>
      <rPr>
        <sz val="9"/>
        <color rgb="FF595959"/>
        <rFont val="Arial"/>
        <family val="0"/>
        <charset val="1"/>
      </rPr>
      <t xml:space="preserve">EBITDA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CapEx </t>
    </r>
    <r>
      <rPr>
        <sz val="9"/>
        <color rgb="FF595959"/>
        <rFont val="Noto Sans CJK SC"/>
        <family val="2"/>
      </rPr>
      <t xml:space="preserve">任一項差距絕對值超過門檻即列出（與 </t>
    </r>
    <r>
      <rPr>
        <sz val="9"/>
        <color rgb="FF595959"/>
        <rFont val="Arial"/>
        <family val="0"/>
        <charset val="1"/>
      </rPr>
      <t xml:space="preserve">HTML </t>
    </r>
    <r>
      <rPr>
        <sz val="9"/>
        <color rgb="FF595959"/>
        <rFont val="Noto Sans CJK SC"/>
        <family val="2"/>
      </rPr>
      <t xml:space="preserve">判斷句同一規則）</t>
    </r>
  </si>
  <si>
    <r>
      <rPr>
        <sz val="10"/>
        <rFont val="Noto Sans CJK SC"/>
        <family val="2"/>
      </rPr>
      <t xml:space="preserve">差異｜分歧起始年（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FY27…3</t>
    </r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FY29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0</t>
    </r>
    <r>
      <rPr>
        <sz val="10"/>
        <rFont val="Noto Sans CJK SC"/>
        <family val="2"/>
      </rPr>
      <t xml:space="preserve">＝無）</t>
    </r>
  </si>
  <si>
    <t xml:space="preserve">差異｜判斷句</t>
  </si>
  <si>
    <r>
      <rPr>
        <sz val="10"/>
        <rFont val="Noto Sans CJK SC"/>
        <family val="2"/>
      </rPr>
      <t xml:space="preserve">差異原因｜</t>
    </r>
    <r>
      <rPr>
        <sz val="10"/>
        <rFont val="Arial"/>
        <family val="0"/>
        <charset val="1"/>
      </rPr>
      <t xml:space="preserve">FY27</t>
    </r>
    <r>
      <rPr>
        <sz val="10"/>
        <rFont val="Noto Sans CJK SC"/>
        <family val="2"/>
      </rPr>
      <t xml:space="preserve">｜營收</t>
    </r>
  </si>
  <si>
    <r>
      <rPr>
        <sz val="9"/>
        <color rgb="FF595959"/>
        <rFont val="Arial"/>
        <family val="0"/>
        <charset val="1"/>
      </rPr>
      <t xml:space="preserve">C</t>
    </r>
    <r>
      <rPr>
        <sz val="9"/>
        <color rgb="FF595959"/>
        <rFont val="Noto Sans CJK SC"/>
        <family val="2"/>
      </rPr>
      <t xml:space="preserve">＝類型、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＝原因（需附原因時顯示；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Noto Sans CJK SC"/>
        <family val="2"/>
      </rPr>
      <t xml:space="preserve">以利潤率差、其餘以比例門檻判斷）</t>
    </r>
  </si>
  <si>
    <r>
      <rPr>
        <sz val="10"/>
        <rFont val="Noto Sans CJK SC"/>
        <family val="2"/>
      </rPr>
      <t xml:space="preserve">差異原因｜</t>
    </r>
    <r>
      <rPr>
        <sz val="10"/>
        <rFont val="Arial"/>
        <family val="0"/>
        <charset val="1"/>
      </rPr>
      <t xml:space="preserve">FY27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EBITDA</t>
    </r>
  </si>
  <si>
    <r>
      <rPr>
        <sz val="10"/>
        <rFont val="Noto Sans CJK SC"/>
        <family val="2"/>
      </rPr>
      <t xml:space="preserve">差異原因｜</t>
    </r>
    <r>
      <rPr>
        <sz val="10"/>
        <rFont val="Arial"/>
        <family val="0"/>
        <charset val="1"/>
      </rPr>
      <t xml:space="preserve">FY27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CapEx</t>
    </r>
  </si>
  <si>
    <r>
      <rPr>
        <sz val="10"/>
        <rFont val="Noto Sans CJK SC"/>
        <family val="2"/>
      </rPr>
      <t xml:space="preserve">差異原因｜</t>
    </r>
    <r>
      <rPr>
        <sz val="10"/>
        <rFont val="Arial"/>
        <family val="0"/>
        <charset val="1"/>
      </rPr>
      <t xml:space="preserve">FY27</t>
    </r>
    <r>
      <rPr>
        <sz val="10"/>
        <rFont val="Noto Sans CJK SC"/>
        <family val="2"/>
      </rPr>
      <t xml:space="preserve">｜淨負債</t>
    </r>
  </si>
  <si>
    <r>
      <rPr>
        <sz val="10"/>
        <rFont val="Noto Sans CJK SC"/>
        <family val="2"/>
      </rPr>
      <t xml:space="preserve">差異原因｜</t>
    </r>
    <r>
      <rPr>
        <sz val="10"/>
        <rFont val="Arial"/>
        <family val="0"/>
        <charset val="1"/>
      </rPr>
      <t xml:space="preserve">FY28</t>
    </r>
    <r>
      <rPr>
        <sz val="10"/>
        <rFont val="Noto Sans CJK SC"/>
        <family val="2"/>
      </rPr>
      <t xml:space="preserve">｜營收</t>
    </r>
  </si>
  <si>
    <r>
      <rPr>
        <sz val="10"/>
        <rFont val="Noto Sans CJK SC"/>
        <family val="2"/>
      </rPr>
      <t xml:space="preserve">差異原因｜</t>
    </r>
    <r>
      <rPr>
        <sz val="10"/>
        <rFont val="Arial"/>
        <family val="0"/>
        <charset val="1"/>
      </rPr>
      <t xml:space="preserve">FY28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EBITDA</t>
    </r>
  </si>
  <si>
    <r>
      <rPr>
        <sz val="10"/>
        <rFont val="Noto Sans CJK SC"/>
        <family val="2"/>
      </rPr>
      <t xml:space="preserve">差異原因｜</t>
    </r>
    <r>
      <rPr>
        <sz val="10"/>
        <rFont val="Arial"/>
        <family val="0"/>
        <charset val="1"/>
      </rPr>
      <t xml:space="preserve">FY28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CapEx</t>
    </r>
  </si>
  <si>
    <r>
      <rPr>
        <sz val="10"/>
        <rFont val="Noto Sans CJK SC"/>
        <family val="2"/>
      </rPr>
      <t xml:space="preserve">差異原因｜</t>
    </r>
    <r>
      <rPr>
        <sz val="10"/>
        <rFont val="Arial"/>
        <family val="0"/>
        <charset val="1"/>
      </rPr>
      <t xml:space="preserve">FY28</t>
    </r>
    <r>
      <rPr>
        <sz val="10"/>
        <rFont val="Noto Sans CJK SC"/>
        <family val="2"/>
      </rPr>
      <t xml:space="preserve">｜淨負債</t>
    </r>
  </si>
  <si>
    <r>
      <rPr>
        <sz val="10"/>
        <rFont val="Noto Sans CJK SC"/>
        <family val="2"/>
      </rPr>
      <t xml:space="preserve">差異原因｜</t>
    </r>
    <r>
      <rPr>
        <sz val="10"/>
        <rFont val="Arial"/>
        <family val="0"/>
        <charset val="1"/>
      </rPr>
      <t xml:space="preserve">FY29</t>
    </r>
    <r>
      <rPr>
        <sz val="10"/>
        <rFont val="Noto Sans CJK SC"/>
        <family val="2"/>
      </rPr>
      <t xml:space="preserve">｜營收</t>
    </r>
  </si>
  <si>
    <r>
      <rPr>
        <sz val="10"/>
        <rFont val="Noto Sans CJK SC"/>
        <family val="2"/>
      </rPr>
      <t xml:space="preserve">差異原因｜</t>
    </r>
    <r>
      <rPr>
        <sz val="10"/>
        <rFont val="Arial"/>
        <family val="0"/>
        <charset val="1"/>
      </rPr>
      <t xml:space="preserve">FY29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EBITDA</t>
    </r>
  </si>
  <si>
    <r>
      <rPr>
        <sz val="10"/>
        <rFont val="Noto Sans CJK SC"/>
        <family val="2"/>
      </rPr>
      <t xml:space="preserve">差異原因｜</t>
    </r>
    <r>
      <rPr>
        <sz val="10"/>
        <rFont val="Arial"/>
        <family val="0"/>
        <charset val="1"/>
      </rPr>
      <t xml:space="preserve">FY29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CapEx</t>
    </r>
  </si>
  <si>
    <r>
      <rPr>
        <sz val="10"/>
        <rFont val="Noto Sans CJK SC"/>
        <family val="2"/>
      </rPr>
      <t xml:space="preserve">差異原因｜</t>
    </r>
    <r>
      <rPr>
        <sz val="10"/>
        <rFont val="Arial"/>
        <family val="0"/>
        <charset val="1"/>
      </rPr>
      <t xml:space="preserve">FY29</t>
    </r>
    <r>
      <rPr>
        <sz val="10"/>
        <rFont val="Noto Sans CJK SC"/>
        <family val="2"/>
      </rPr>
      <t xml:space="preserve">｜淨負債</t>
    </r>
  </si>
  <si>
    <t xml:space="preserve">差異｜需附原因項數</t>
  </si>
  <si>
    <r>
      <rPr>
        <sz val="9"/>
        <color rgb="FF595959"/>
        <rFont val="Noto Sans CJK SC"/>
        <family val="2"/>
      </rPr>
      <t xml:space="preserve">營收、</t>
    </r>
    <r>
      <rPr>
        <sz val="9"/>
        <color rgb="FF595959"/>
        <rFont val="Arial"/>
        <family val="0"/>
        <charset val="1"/>
      </rPr>
      <t xml:space="preserve">EBITDA</t>
    </r>
    <r>
      <rPr>
        <sz val="9"/>
        <color rgb="FF595959"/>
        <rFont val="Noto Sans CJK SC"/>
        <family val="2"/>
      </rPr>
      <t xml:space="preserve">（利潤率差）、</t>
    </r>
    <r>
      <rPr>
        <sz val="9"/>
        <color rgb="FF595959"/>
        <rFont val="Arial"/>
        <family val="0"/>
        <charset val="1"/>
      </rPr>
      <t xml:space="preserve">CapEx</t>
    </r>
    <r>
      <rPr>
        <sz val="9"/>
        <color rgb="FF595959"/>
        <rFont val="Noto Sans CJK SC"/>
        <family val="2"/>
      </rPr>
      <t xml:space="preserve">、淨負債 </t>
    </r>
    <r>
      <rPr>
        <sz val="9"/>
        <color rgb="FF595959"/>
        <rFont val="Arial"/>
        <family val="0"/>
        <charset val="1"/>
      </rPr>
      <t xml:space="preserve">× FY27–FY29</t>
    </r>
  </si>
  <si>
    <t xml:space="preserve">差異｜差異原因摘要</t>
  </si>
  <si>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HTML </t>
    </r>
    <r>
      <rPr>
        <sz val="9"/>
        <color rgb="FF595959"/>
        <rFont val="Noto Sans CJK SC"/>
        <family val="2"/>
      </rPr>
      <t xml:space="preserve">一頁摘要同一句</t>
    </r>
  </si>
  <si>
    <r>
      <rPr>
        <b val="true"/>
        <sz val="10"/>
        <rFont val="Arial"/>
        <family val="0"/>
        <charset val="1"/>
      </rPr>
      <t xml:space="preserve">3</t>
    </r>
    <r>
      <rPr>
        <b val="true"/>
        <sz val="10"/>
        <rFont val="Noto Sans CJK SC"/>
        <family val="2"/>
      </rPr>
      <t xml:space="preserve">｜現價隱含什麼</t>
    </r>
  </si>
  <si>
    <r>
      <rPr>
        <sz val="10"/>
        <rFont val="Noto Sans CJK SC"/>
        <family val="2"/>
      </rPr>
      <t xml:space="preserve">隱含｜共識平均目標價隱含 </t>
    </r>
    <r>
      <rPr>
        <sz val="10"/>
        <rFont val="Arial"/>
        <family val="0"/>
        <charset val="1"/>
      </rPr>
      <t xml:space="preserve">FY29 EV/EBITDA</t>
    </r>
  </si>
  <si>
    <t xml:space="preserve">x</t>
  </si>
  <si>
    <r>
      <rPr>
        <sz val="9"/>
        <color rgb="FF595959"/>
        <rFont val="Noto Sans CJK SC"/>
        <family val="2"/>
      </rPr>
      <t xml:space="preserve">＝（共識平均目標價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股數＋共識 </t>
    </r>
    <r>
      <rPr>
        <sz val="9"/>
        <color rgb="FF595959"/>
        <rFont val="Arial"/>
        <family val="0"/>
        <charset val="1"/>
      </rPr>
      <t xml:space="preserve">FY29 </t>
    </r>
    <r>
      <rPr>
        <sz val="9"/>
        <color rgb="FF595959"/>
        <rFont val="Noto Sans CJK SC"/>
        <family val="2"/>
      </rPr>
      <t xml:space="preserve">淨負債）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共識 </t>
    </r>
    <r>
      <rPr>
        <sz val="9"/>
        <color rgb="FF595959"/>
        <rFont val="Arial"/>
        <family val="0"/>
        <charset val="1"/>
      </rPr>
      <t xml:space="preserve">FY29 </t>
    </r>
    <r>
      <rPr>
        <sz val="9"/>
        <color rgb="FF595959"/>
        <rFont val="Noto Sans CJK SC"/>
        <family val="2"/>
      </rPr>
      <t xml:space="preserve">調整後 </t>
    </r>
    <r>
      <rPr>
        <sz val="9"/>
        <color rgb="FF595959"/>
        <rFont val="Arial"/>
        <family val="0"/>
        <charset val="1"/>
      </rPr>
      <t xml:space="preserve">EBITDA</t>
    </r>
  </si>
  <si>
    <r>
      <rPr>
        <sz val="10"/>
        <rFont val="Noto Sans CJK SC"/>
        <family val="2"/>
      </rPr>
      <t xml:space="preserve">隱含｜現價隱含 </t>
    </r>
    <r>
      <rPr>
        <sz val="10"/>
        <rFont val="Arial"/>
        <family val="0"/>
        <charset val="1"/>
      </rPr>
      <t xml:space="preserve">FY29 EV/EBITDA</t>
    </r>
  </si>
  <si>
    <r>
      <rPr>
        <sz val="9"/>
        <color rgb="FF595959"/>
        <rFont val="Noto Sans CJK SC"/>
        <family val="2"/>
      </rPr>
      <t xml:space="preserve">同一共識 </t>
    </r>
    <r>
      <rPr>
        <sz val="9"/>
        <color rgb="FF595959"/>
        <rFont val="Arial"/>
        <family val="0"/>
        <charset val="1"/>
      </rPr>
      <t xml:space="preserve">FY29 </t>
    </r>
    <r>
      <rPr>
        <sz val="9"/>
        <color rgb="FF595959"/>
        <rFont val="Noto Sans CJK SC"/>
        <family val="2"/>
      </rPr>
      <t xml:space="preserve">數字，價格換成現價</t>
    </r>
  </si>
  <si>
    <t xml:space="preserve">隱含｜模型方法區間上緣</t>
  </si>
  <si>
    <r>
      <rPr>
        <sz val="9"/>
        <color rgb="FF595959"/>
        <rFont val="Noto Sans CJK SC"/>
        <family val="2"/>
      </rPr>
      <t xml:space="preserve">模型 </t>
    </r>
    <r>
      <rPr>
        <sz val="9"/>
        <color rgb="FF595959"/>
        <rFont val="Arial"/>
        <family val="0"/>
        <charset val="1"/>
      </rPr>
      <t xml:space="preserve">EV/EBITDA </t>
    </r>
    <r>
      <rPr>
        <sz val="9"/>
        <color rgb="FF595959"/>
        <rFont val="Noto Sans CJK SC"/>
        <family val="2"/>
      </rPr>
      <t xml:space="preserve">腿（</t>
    </r>
    <r>
      <rPr>
        <sz val="9"/>
        <color rgb="FF595959"/>
        <rFont val="Arial"/>
        <family val="0"/>
        <charset val="1"/>
      </rPr>
      <t xml:space="preserve">OCI </t>
    </r>
    <r>
      <rPr>
        <sz val="9"/>
        <color rgb="FF595959"/>
        <rFont val="Noto Sans CJK SC"/>
        <family val="2"/>
      </rPr>
      <t xml:space="preserve">倍數）錨定 </t>
    </r>
    <r>
      <rPr>
        <sz val="9"/>
        <color rgb="FF595959"/>
        <rFont val="Arial"/>
        <family val="0"/>
        <charset val="1"/>
      </rPr>
      <t xml:space="preserve">FY29 </t>
    </r>
    <r>
      <rPr>
        <sz val="9"/>
        <color rgb="FF595959"/>
        <rFont val="Noto Sans CJK SC"/>
        <family val="2"/>
      </rPr>
      <t xml:space="preserve">並折回 </t>
    </r>
    <r>
      <rPr>
        <sz val="9"/>
        <color rgb="FF595959"/>
        <rFont val="Arial"/>
        <family val="0"/>
        <charset val="1"/>
      </rPr>
      <t xml:space="preserve">2027-08-31</t>
    </r>
    <r>
      <rPr>
        <sz val="9"/>
        <color rgb="FF595959"/>
        <rFont val="Noto Sans CJK SC"/>
        <family val="2"/>
      </rPr>
      <t xml:space="preserve">，錨定年度與此不同</t>
    </r>
  </si>
  <si>
    <r>
      <rPr>
        <sz val="10"/>
        <rFont val="Noto Sans CJK SC"/>
        <family val="2"/>
      </rPr>
      <t xml:space="preserve">隱含｜模型 </t>
    </r>
    <r>
      <rPr>
        <sz val="10"/>
        <rFont val="Arial"/>
        <family val="0"/>
        <charset val="1"/>
      </rPr>
      <t xml:space="preserve">FY29 </t>
    </r>
    <r>
      <rPr>
        <sz val="10"/>
        <rFont val="Noto Sans CJK SC"/>
        <family val="2"/>
      </rPr>
      <t xml:space="preserve">傳統事業 </t>
    </r>
    <r>
      <rPr>
        <sz val="10"/>
        <rFont val="Arial"/>
        <family val="0"/>
        <charset val="1"/>
      </rPr>
      <t xml:space="preserve">EBITDA</t>
    </r>
  </si>
  <si>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傳統事業 </t>
    </r>
    <r>
      <rPr>
        <sz val="9"/>
        <color rgb="FF595959"/>
        <rFont val="Arial"/>
        <family val="0"/>
        <charset val="1"/>
      </rPr>
      <t xml:space="preserve">EV/EBITDA </t>
    </r>
    <r>
      <rPr>
        <sz val="9"/>
        <color rgb="FF595959"/>
        <rFont val="Noto Sans CJK SC"/>
        <family val="2"/>
      </rPr>
      <t xml:space="preserve">倍數，自共識隱含 </t>
    </r>
    <r>
      <rPr>
        <sz val="9"/>
        <color rgb="FF595959"/>
        <rFont val="Arial"/>
        <family val="0"/>
        <charset val="1"/>
      </rPr>
      <t xml:space="preserve">EV </t>
    </r>
    <r>
      <rPr>
        <sz val="9"/>
        <color rgb="FF595959"/>
        <rFont val="Noto Sans CJK SC"/>
        <family val="2"/>
      </rPr>
      <t xml:space="preserve">扣除</t>
    </r>
  </si>
  <si>
    <r>
      <rPr>
        <sz val="10"/>
        <rFont val="Noto Sans CJK SC"/>
        <family val="2"/>
      </rPr>
      <t xml:space="preserve">隱含｜共識平均目標價隱含 </t>
    </r>
    <r>
      <rPr>
        <sz val="10"/>
        <rFont val="Arial"/>
        <family val="0"/>
        <charset val="1"/>
      </rPr>
      <t xml:space="preserve">FY29 OCI EV/EBITDA</t>
    </r>
  </si>
  <si>
    <r>
      <rPr>
        <sz val="9"/>
        <color rgb="FF595959"/>
        <rFont val="Noto Sans CJK SC"/>
        <family val="2"/>
      </rPr>
      <t xml:space="preserve">＝（隱含 </t>
    </r>
    <r>
      <rPr>
        <sz val="9"/>
        <color rgb="FF595959"/>
        <rFont val="Arial"/>
        <family val="0"/>
        <charset val="1"/>
      </rPr>
      <t xml:space="preserve">EV − </t>
    </r>
    <r>
      <rPr>
        <sz val="9"/>
        <color rgb="FF595959"/>
        <rFont val="Noto Sans CJK SC"/>
        <family val="2"/>
      </rPr>
      <t xml:space="preserve">傳統事業 </t>
    </r>
    <r>
      <rPr>
        <sz val="9"/>
        <color rgb="FF595959"/>
        <rFont val="Arial"/>
        <family val="0"/>
        <charset val="1"/>
      </rPr>
      <t xml:space="preserve">EBITDA × </t>
    </r>
    <r>
      <rPr>
        <sz val="9"/>
        <color rgb="FF595959"/>
        <rFont val="Noto Sans CJK SC"/>
        <family val="2"/>
      </rPr>
      <t xml:space="preserve">傳統事業倍數）</t>
    </r>
    <r>
      <rPr>
        <sz val="9"/>
        <color rgb="FF595959"/>
        <rFont val="Arial"/>
        <family val="0"/>
        <charset val="1"/>
      </rPr>
      <t xml:space="preserve">÷</t>
    </r>
    <r>
      <rPr>
        <sz val="9"/>
        <color rgb="FF595959"/>
        <rFont val="Noto Sans CJK SC"/>
        <family val="2"/>
      </rPr>
      <t xml:space="preserve">（共識 </t>
    </r>
    <r>
      <rPr>
        <sz val="9"/>
        <color rgb="FF595959"/>
        <rFont val="Arial"/>
        <family val="0"/>
        <charset val="1"/>
      </rPr>
      <t xml:space="preserve">EBITDA − </t>
    </r>
    <r>
      <rPr>
        <sz val="9"/>
        <color rgb="FF595959"/>
        <rFont val="Noto Sans CJK SC"/>
        <family val="2"/>
      </rPr>
      <t xml:space="preserve">傳統事業 </t>
    </r>
    <r>
      <rPr>
        <sz val="9"/>
        <color rgb="FF595959"/>
        <rFont val="Arial"/>
        <family val="0"/>
        <charset val="1"/>
      </rPr>
      <t xml:space="preserve">EBITDA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</si>
  <si>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隱含｜現價隱含 </t>
    </r>
    <r>
      <rPr>
        <sz val="10"/>
        <rFont val="Arial"/>
        <family val="0"/>
        <charset val="1"/>
      </rPr>
      <t xml:space="preserve">FY29 OCI EV/EBITDA</t>
    </r>
  </si>
  <si>
    <t xml:space="preserve">同上，價格換成現價</t>
  </si>
  <si>
    <t xml:space="preserve">隱含｜隱含倍數句</t>
  </si>
  <si>
    <r>
      <rPr>
        <sz val="10"/>
        <rFont val="Noto Sans CJK SC"/>
        <family val="2"/>
      </rPr>
      <t xml:space="preserve">反向 </t>
    </r>
    <r>
      <rPr>
        <sz val="10"/>
        <rFont val="Arial"/>
        <family val="0"/>
        <charset val="1"/>
      </rPr>
      <t xml:space="preserve">DCF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FY31 </t>
    </r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年收入（目前／隱含／變動）</t>
    </r>
  </si>
  <si>
    <r>
      <rPr>
        <sz val="9"/>
        <color rgb="FF595959"/>
        <rFont val="Noto Sans CJK SC"/>
        <family val="2"/>
      </rPr>
      <t xml:space="preserve">快照（預設輸入）：見『評價</t>
    </r>
    <r>
      <rPr>
        <sz val="9"/>
        <color rgb="FF595959"/>
        <rFont val="Arial"/>
        <family val="0"/>
        <charset val="1"/>
      </rPr>
      <t xml:space="preserve">_</t>
    </r>
    <r>
      <rPr>
        <sz val="9"/>
        <color rgb="FF595959"/>
        <rFont val="Noto Sans CJK SC"/>
        <family val="2"/>
      </rPr>
      <t xml:space="preserve">反向</t>
    </r>
    <r>
      <rPr>
        <sz val="9"/>
        <color rgb="FF595959"/>
        <rFont val="Arial"/>
        <family val="0"/>
        <charset val="1"/>
      </rPr>
      <t xml:space="preserve">DCF</t>
    </r>
    <r>
      <rPr>
        <sz val="9"/>
        <color rgb="FF595959"/>
        <rFont val="Noto Sans CJK SC"/>
        <family val="2"/>
      </rPr>
      <t xml:space="preserve">』；改輸入後請以目標搜尋重算</t>
    </r>
  </si>
  <si>
    <r>
      <rPr>
        <sz val="10"/>
        <rFont val="Noto Sans CJK SC"/>
        <family val="2"/>
      </rPr>
      <t xml:space="preserve">反向 </t>
    </r>
    <r>
      <rPr>
        <sz val="10"/>
        <rFont val="Arial"/>
        <family val="0"/>
        <charset val="1"/>
      </rPr>
      <t xml:space="preserve">DCF</t>
    </r>
    <r>
      <rPr>
        <sz val="10"/>
        <rFont val="Noto Sans CJK SC"/>
        <family val="2"/>
      </rPr>
      <t xml:space="preserve">｜每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建置成本（目前／隱含／變動）</t>
    </r>
  </si>
  <si>
    <r>
      <rPr>
        <sz val="10"/>
        <rFont val="Noto Sans CJK SC"/>
        <family val="2"/>
      </rPr>
      <t xml:space="preserve">反向 </t>
    </r>
    <r>
      <rPr>
        <sz val="10"/>
        <rFont val="Arial"/>
        <family val="0"/>
        <charset val="1"/>
      </rPr>
      <t xml:space="preserve">DCF</t>
    </r>
    <r>
      <rPr>
        <sz val="10"/>
        <rFont val="Noto Sans CJK SC"/>
        <family val="2"/>
      </rPr>
      <t xml:space="preserve">｜穩態 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率（目前／隱含／變動 </t>
    </r>
    <r>
      <rPr>
        <sz val="10"/>
        <rFont val="Arial"/>
        <family val="0"/>
        <charset val="1"/>
      </rPr>
      <t xml:space="preserve">pt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</si>
  <si>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反向 </t>
    </r>
    <r>
      <rPr>
        <sz val="10"/>
        <rFont val="Arial"/>
        <family val="0"/>
        <charset val="1"/>
      </rPr>
      <t xml:space="preserve">DCF</t>
    </r>
    <r>
      <rPr>
        <sz val="10"/>
        <rFont val="Noto Sans CJK SC"/>
        <family val="2"/>
      </rPr>
      <t xml:space="preserve">｜加權目標價＝現價所需每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年收入（目前／隱含／變動）</t>
    </r>
  </si>
  <si>
    <r>
      <rPr>
        <b val="true"/>
        <sz val="10"/>
        <rFont val="Arial"/>
        <family val="0"/>
        <charset val="1"/>
      </rPr>
      <t xml:space="preserve">4</t>
    </r>
    <r>
      <rPr>
        <b val="true"/>
        <sz val="10"/>
        <rFont val="Noto Sans CJK SC"/>
        <family val="2"/>
      </rPr>
      <t xml:space="preserve">｜驗證點與市場看法（賣方與管理層數字標記 </t>
    </r>
    <r>
      <rPr>
        <b val="true"/>
        <sz val="10"/>
        <rFont val="Arial"/>
        <family val="0"/>
        <charset val="1"/>
      </rPr>
      <t xml:space="preserve">Interested-party</t>
    </r>
    <r>
      <rPr>
        <b val="true"/>
        <sz val="10"/>
        <rFont val="Noto Sans CJK SC"/>
        <family val="2"/>
      </rPr>
      <t xml:space="preserve">）</t>
    </r>
  </si>
  <si>
    <t xml:space="preserve">驗證｜焦點季</t>
  </si>
  <si>
    <r>
      <rPr>
        <sz val="9"/>
        <color rgb="FF595959"/>
        <rFont val="Noto Sans CJK SC"/>
        <family val="2"/>
      </rPr>
      <t xml:space="preserve">『輸入與假設』</t>
    </r>
    <r>
      <rPr>
        <sz val="9"/>
        <color rgb="FF595959"/>
        <rFont val="Arial"/>
        <family val="0"/>
        <charset val="1"/>
      </rPr>
      <t xml:space="preserve">J </t>
    </r>
    <r>
      <rPr>
        <sz val="9"/>
        <color rgb="FF595959"/>
        <rFont val="Noto Sans CJK SC"/>
        <family val="2"/>
      </rPr>
      <t xml:space="preserve">區選擇；季度層由年度模型拆分，只用於追蹤</t>
    </r>
  </si>
  <si>
    <t xml:space="preserve">驗證｜營收（模型／共識／指引低／指引高／實際）</t>
  </si>
  <si>
    <r>
      <rPr>
        <sz val="9"/>
        <color rgb="FF595959"/>
        <rFont val="Noto Sans CJK SC"/>
        <family val="2"/>
      </rPr>
      <t xml:space="preserve">共識、指引為 </t>
    </r>
    <r>
      <rPr>
        <sz val="9"/>
        <color rgb="FF595959"/>
        <rFont val="Arial"/>
        <family val="0"/>
        <charset val="1"/>
      </rPr>
      <t xml:space="preserve">Interested-party</t>
    </r>
  </si>
  <si>
    <t xml:space="preserve">驗證｜營收｜句</t>
  </si>
  <si>
    <r>
      <rPr>
        <sz val="10"/>
        <rFont val="Noto Sans CJK SC"/>
        <family val="2"/>
      </rPr>
      <t xml:space="preserve">驗證｜調整後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（模型／共識／指引低／指引高／實際）</t>
    </r>
  </si>
  <si>
    <r>
      <rPr>
        <b val="true"/>
        <sz val="10"/>
        <rFont val="Noto Sans CJK SC"/>
        <family val="2"/>
      </rPr>
      <t xml:space="preserve">驗證｜調整後 </t>
    </r>
    <r>
      <rPr>
        <b val="true"/>
        <sz val="10"/>
        <rFont val="Arial"/>
        <family val="0"/>
        <charset val="1"/>
      </rPr>
      <t xml:space="preserve">EBITDA</t>
    </r>
    <r>
      <rPr>
        <b val="true"/>
        <sz val="10"/>
        <rFont val="Noto Sans CJK SC"/>
        <family val="2"/>
      </rPr>
      <t xml:space="preserve">｜句</t>
    </r>
  </si>
  <si>
    <r>
      <rPr>
        <sz val="10"/>
        <rFont val="Noto Sans CJK SC"/>
        <family val="2"/>
      </rPr>
      <t xml:space="preserve">驗證｜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（毛額）（模型／共識／指引低／指引高／實際）</t>
    </r>
  </si>
  <si>
    <r>
      <rPr>
        <b val="true"/>
        <sz val="10"/>
        <rFont val="Noto Sans CJK SC"/>
        <family val="2"/>
      </rPr>
      <t xml:space="preserve">驗證｜</t>
    </r>
    <r>
      <rPr>
        <b val="true"/>
        <sz val="10"/>
        <rFont val="Arial"/>
        <family val="0"/>
        <charset val="1"/>
      </rPr>
      <t xml:space="preserve">CapEx</t>
    </r>
    <r>
      <rPr>
        <b val="true"/>
        <sz val="10"/>
        <rFont val="Noto Sans CJK SC"/>
        <family val="2"/>
      </rPr>
      <t xml:space="preserve">（毛額）｜句</t>
    </r>
  </si>
  <si>
    <t xml:space="preserve">驗證｜評等分布（強力買進／買進／持有／賣出／強力賣出）</t>
  </si>
  <si>
    <t xml:space="preserve">家</t>
  </si>
  <si>
    <r>
      <rPr>
        <sz val="9"/>
        <color rgb="FF595959"/>
        <rFont val="Arial"/>
        <family val="0"/>
        <charset val="1"/>
      </rPr>
      <t xml:space="preserve">2026-10</t>
    </r>
    <r>
      <rPr>
        <sz val="9"/>
        <color rgb="FF595959"/>
        <rFont val="Noto Sans CJK SC"/>
        <family val="2"/>
      </rPr>
      <t xml:space="preserve">，合計 </t>
    </r>
    <r>
      <rPr>
        <sz val="9"/>
        <color rgb="FF595959"/>
        <rFont val="Arial"/>
        <family val="0"/>
        <charset val="1"/>
      </rPr>
      <t xml:space="preserve">43 </t>
    </r>
    <r>
      <rPr>
        <sz val="9"/>
        <color rgb="FF595959"/>
        <rFont val="Noto Sans CJK SC"/>
        <family val="2"/>
      </rPr>
      <t xml:space="preserve">家 </t>
    </r>
    <r>
      <rPr>
        <sz val="9"/>
        <color rgb="FF595959"/>
        <rFont val="Arial"/>
        <family val="0"/>
        <charset val="1"/>
      </rPr>
      <t xml:space="preserve">[Interested-party]</t>
    </r>
  </si>
  <si>
    <t xml:space="preserve">驗證｜目標價（平均／中位數／最低／最高）</t>
  </si>
  <si>
    <r>
      <rPr>
        <sz val="9"/>
        <color rgb="FF595959"/>
        <rFont val="Arial"/>
        <family val="0"/>
        <charset val="1"/>
      </rPr>
      <t xml:space="preserve">43 </t>
    </r>
    <r>
      <rPr>
        <sz val="9"/>
        <color rgb="FF595959"/>
        <rFont val="Noto Sans CJK SC"/>
        <family val="2"/>
      </rPr>
      <t xml:space="preserve">家；</t>
    </r>
    <r>
      <rPr>
        <sz val="9"/>
        <color rgb="FF595959"/>
        <rFont val="Arial"/>
        <family val="0"/>
        <charset val="1"/>
      </rPr>
      <t xml:space="preserve">S&amp;P Global Market Intelligence</t>
    </r>
    <r>
      <rPr>
        <sz val="9"/>
        <color rgb="FF595959"/>
        <rFont val="Noto Sans CJK SC"/>
        <family val="2"/>
      </rPr>
      <t xml:space="preserve">（經 </t>
    </r>
    <r>
      <rPr>
        <sz val="9"/>
        <color rgb="FF595959"/>
        <rFont val="Arial"/>
        <family val="0"/>
        <charset val="1"/>
      </rPr>
      <t xml:space="preserve">StockAnalysis.com</t>
    </r>
    <r>
      <rPr>
        <sz val="9"/>
        <color rgb="FF595959"/>
        <rFont val="Noto Sans CJK SC"/>
        <family val="2"/>
      </rPr>
      <t xml:space="preserve">），擷取 </t>
    </r>
    <r>
      <rPr>
        <sz val="9"/>
        <color rgb="FF595959"/>
        <rFont val="Arial"/>
        <family val="0"/>
        <charset val="1"/>
      </rPr>
      <t xml:space="preserve">2026-10-07 [Interested-party]</t>
    </r>
  </si>
  <si>
    <r>
      <rPr>
        <sz val="9"/>
        <color rgb="FF595959"/>
        <rFont val="Noto Sans CJK SC"/>
        <family val="2"/>
      </rPr>
      <t xml:space="preserve">來源獨立性：</t>
    </r>
    <r>
      <rPr>
        <sz val="9"/>
        <color rgb="FF595959"/>
        <rFont val="Arial"/>
        <family val="0"/>
        <charset val="1"/>
      </rPr>
      <t xml:space="preserve">StockAnalysis.com </t>
    </r>
    <r>
      <rPr>
        <sz val="9"/>
        <color rgb="FF595959"/>
        <rFont val="Noto Sans CJK SC"/>
        <family val="2"/>
      </rPr>
      <t xml:space="preserve">的目標價、評等、</t>
    </r>
    <r>
      <rPr>
        <sz val="9"/>
        <color rgb="FF595959"/>
        <rFont val="Arial"/>
        <family val="0"/>
        <charset val="1"/>
      </rPr>
      <t xml:space="preserve">FY27 </t>
    </r>
    <r>
      <rPr>
        <sz val="9"/>
        <color rgb="FF595959"/>
        <rFont val="Noto Sans CJK SC"/>
        <family val="2"/>
      </rPr>
      <t xml:space="preserve">營收與 </t>
    </r>
    <r>
      <rPr>
        <sz val="9"/>
        <color rgb="FF595959"/>
        <rFont val="Arial"/>
        <family val="0"/>
        <charset val="1"/>
      </rPr>
      <t xml:space="preserve">EPS </t>
    </r>
    <r>
      <rPr>
        <sz val="9"/>
        <color rgb="FF595959"/>
        <rFont val="Noto Sans CJK SC"/>
        <family val="2"/>
      </rPr>
      <t xml:space="preserve">引用 </t>
    </r>
    <r>
      <rPr>
        <sz val="9"/>
        <color rgb="FF595959"/>
        <rFont val="Arial"/>
        <family val="0"/>
        <charset val="1"/>
      </rPr>
      <t xml:space="preserve">S&amp;P Global Market Intelligence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MarketScreener </t>
    </r>
    <r>
      <rPr>
        <sz val="9"/>
        <color rgb="FF595959"/>
        <rFont val="Noto Sans CJK SC"/>
        <family val="2"/>
      </rPr>
      <t xml:space="preserve">的年度與季度預估一般亦屬 </t>
    </r>
    <r>
      <rPr>
        <sz val="9"/>
        <color rgb="FF595959"/>
        <rFont val="Arial"/>
        <family val="0"/>
        <charset val="1"/>
      </rPr>
      <t xml:space="preserve">S&amp;P Capital IQ </t>
    </r>
    <r>
      <rPr>
        <sz val="9"/>
        <color rgb="FF595959"/>
        <rFont val="Noto Sans CJK SC"/>
        <family val="2"/>
      </rPr>
      <t xml:space="preserve">系（與 </t>
    </r>
    <r>
      <rPr>
        <sz val="9"/>
        <color rgb="FF595959"/>
        <rFont val="Arial"/>
        <family val="0"/>
        <charset val="1"/>
      </rPr>
      <t xml:space="preserve">CRWV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NBIS </t>
    </r>
    <r>
      <rPr>
        <sz val="9"/>
        <color rgb="FF595959"/>
        <rFont val="Noto Sans CJK SC"/>
        <family val="2"/>
      </rPr>
      <t xml:space="preserve">共識檔同一判斷），</t>
    </r>
    <r>
      <rPr>
        <sz val="9"/>
        <color rgb="FF595959"/>
        <rFont val="Arial"/>
        <family val="0"/>
        <charset val="1"/>
      </rPr>
      <t xml:space="preserve">FY27 </t>
    </r>
    <r>
      <rPr>
        <sz val="9"/>
        <color rgb="FF595959"/>
        <rFont val="Noto Sans CJK SC"/>
        <family val="2"/>
      </rPr>
      <t xml:space="preserve">營收 </t>
    </r>
    <r>
      <rPr>
        <sz val="9"/>
        <color rgb="FF595959"/>
        <rFont val="Arial"/>
        <family val="0"/>
        <charset val="1"/>
      </rPr>
      <t xml:space="preserve">90.45 </t>
    </r>
    <r>
      <rPr>
        <sz val="9"/>
        <color rgb="FF595959"/>
        <rFont val="Noto Sans CJK SC"/>
        <family val="2"/>
      </rPr>
      <t xml:space="preserve">對 </t>
    </r>
    <r>
      <rPr>
        <sz val="9"/>
        <color rgb="FF595959"/>
        <rFont val="Arial"/>
        <family val="0"/>
        <charset val="1"/>
      </rPr>
      <t xml:space="preserve">90.449 </t>
    </r>
    <r>
      <rPr>
        <sz val="9"/>
        <color rgb="FF595959"/>
        <rFont val="Noto Sans CJK SC"/>
        <family val="2"/>
      </rPr>
      <t xml:space="preserve">幾乎相同，視為同一底層來源的兩個呈現，不算獨立交叉驗證。</t>
    </r>
    <r>
      <rPr>
        <sz val="9"/>
        <color rgb="FF595959"/>
        <rFont val="Arial"/>
        <family val="0"/>
        <charset val="1"/>
      </rPr>
      <t xml:space="preserve">Yahoo Finance </t>
    </r>
    <r>
      <rPr>
        <sz val="9"/>
        <color rgb="FF595959"/>
        <rFont val="Noto Sans CJK SC"/>
        <family val="2"/>
      </rPr>
      <t xml:space="preserve">的營收與 </t>
    </r>
    <r>
      <rPr>
        <sz val="9"/>
        <color rgb="FF595959"/>
        <rFont val="Arial"/>
        <family val="0"/>
        <charset val="1"/>
      </rPr>
      <t xml:space="preserve">EPS </t>
    </r>
    <r>
      <rPr>
        <sz val="9"/>
        <color rgb="FF595959"/>
        <rFont val="Noto Sans CJK SC"/>
        <family val="2"/>
      </rPr>
      <t xml:space="preserve">預估來自 </t>
    </r>
    <r>
      <rPr>
        <sz val="9"/>
        <color rgb="FF595959"/>
        <rFont val="Arial"/>
        <family val="0"/>
        <charset val="1"/>
      </rPr>
      <t xml:space="preserve">LSEG</t>
    </r>
    <r>
      <rPr>
        <sz val="9"/>
        <color rgb="FF595959"/>
        <rFont val="Noto Sans CJK SC"/>
        <family val="2"/>
      </rPr>
      <t xml:space="preserve">（獨立於 </t>
    </r>
    <r>
      <rPr>
        <sz val="9"/>
        <color rgb="FF595959"/>
        <rFont val="Arial"/>
        <family val="0"/>
        <charset val="1"/>
      </rPr>
      <t xml:space="preserve">S&amp;P</t>
    </r>
    <r>
      <rPr>
        <sz val="9"/>
        <color rgb="FF595959"/>
        <rFont val="Noto Sans CJK SC"/>
        <family val="2"/>
      </rPr>
      <t xml:space="preserve">），</t>
    </r>
    <r>
      <rPr>
        <sz val="9"/>
        <color rgb="FF595959"/>
        <rFont val="Arial"/>
        <family val="0"/>
        <charset val="1"/>
      </rPr>
      <t xml:space="preserve">FY27 </t>
    </r>
    <r>
      <rPr>
        <sz val="9"/>
        <color rgb="FF595959"/>
        <rFont val="Noto Sans CJK SC"/>
        <family val="2"/>
      </rPr>
      <t xml:space="preserve">營收 </t>
    </r>
    <r>
      <rPr>
        <sz val="9"/>
        <color rgb="FF595959"/>
        <rFont val="Arial"/>
        <family val="0"/>
        <charset val="1"/>
      </rPr>
      <t xml:space="preserve">90.48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FY28 131.45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MarketScreener 90.449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131.711 </t>
    </r>
    <r>
      <rPr>
        <sz val="9"/>
        <color rgb="FF595959"/>
        <rFont val="Noto Sans CJK SC"/>
        <family val="2"/>
      </rPr>
      <t xml:space="preserve">一致，可作 </t>
    </r>
    <r>
      <rPr>
        <sz val="9"/>
        <color rgb="FF595959"/>
        <rFont val="Arial"/>
        <family val="0"/>
        <charset val="1"/>
      </rPr>
      <t xml:space="preserve">FY27–FY28 </t>
    </r>
    <r>
      <rPr>
        <sz val="9"/>
        <color rgb="FF595959"/>
        <rFont val="Noto Sans CJK SC"/>
        <family val="2"/>
      </rPr>
      <t xml:space="preserve">營收的獨立交叉。</t>
    </r>
    <r>
      <rPr>
        <sz val="9"/>
        <color rgb="FF595959"/>
        <rFont val="Arial"/>
        <family val="0"/>
        <charset val="1"/>
      </rPr>
      <t xml:space="preserve">MarketBeat </t>
    </r>
    <r>
      <rPr>
        <sz val="9"/>
        <color rgb="FF595959"/>
        <rFont val="Noto Sans CJK SC"/>
        <family val="2"/>
      </rPr>
      <t xml:space="preserve">目標價與評等為自行彙整（獨立於 </t>
    </r>
    <r>
      <rPr>
        <sz val="9"/>
        <color rgb="FF595959"/>
        <rFont val="Arial"/>
        <family val="0"/>
        <charset val="1"/>
      </rPr>
      <t xml:space="preserve">S&amp;P</t>
    </r>
    <r>
      <rPr>
        <sz val="9"/>
        <color rgb="FF595959"/>
        <rFont val="Noto Sans CJK SC"/>
        <family val="2"/>
      </rPr>
      <t xml:space="preserve">），可作目標價的獨立交叉；</t>
    </r>
    <r>
      <rPr>
        <sz val="9"/>
        <color rgb="FF595959"/>
        <rFont val="Arial"/>
        <family val="0"/>
        <charset val="1"/>
      </rPr>
      <t xml:space="preserve">Yahoo </t>
    </r>
    <r>
      <rPr>
        <sz val="9"/>
        <color rgb="FF595959"/>
        <rFont val="Noto Sans CJK SC"/>
        <family val="2"/>
      </rPr>
      <t xml:space="preserve">目標價 </t>
    </r>
    <r>
      <rPr>
        <sz val="9"/>
        <color rgb="FF595959"/>
        <rFont val="Arial"/>
        <family val="0"/>
        <charset val="1"/>
      </rPr>
      <t xml:space="preserve">237.97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S&amp;P </t>
    </r>
    <r>
      <rPr>
        <sz val="9"/>
        <color rgb="FF595959"/>
        <rFont val="Noto Sans CJK SC"/>
        <family val="2"/>
      </rPr>
      <t xml:space="preserve">完全相同，推測同源，不算獨立。</t>
    </r>
  </si>
  <si>
    <r>
      <rPr>
        <sz val="9"/>
        <color rgb="FF595959"/>
        <rFont val="Noto Sans CJK SC"/>
        <family val="2"/>
      </rPr>
      <t xml:space="preserve">共識來源：</t>
    </r>
    <r>
      <rPr>
        <sz val="9"/>
        <color rgb="FF595959"/>
        <rFont val="Arial"/>
        <family val="0"/>
        <charset val="1"/>
      </rPr>
      <t xml:space="preserve">MarketScreener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S&amp;P Capital IQ </t>
    </r>
    <r>
      <rPr>
        <sz val="9"/>
        <color rgb="FF595959"/>
        <rFont val="Noto Sans CJK SC"/>
        <family val="2"/>
      </rPr>
      <t xml:space="preserve">系共識）、</t>
    </r>
    <r>
      <rPr>
        <sz val="9"/>
        <color rgb="FF595959"/>
        <rFont val="Arial"/>
        <family val="0"/>
        <charset val="1"/>
      </rPr>
      <t xml:space="preserve">S&amp;P Global Market Intelligence</t>
    </r>
    <r>
      <rPr>
        <sz val="9"/>
        <color rgb="FF595959"/>
        <rFont val="Noto Sans CJK SC"/>
        <family val="2"/>
      </rPr>
      <t xml:space="preserve">（經 </t>
    </r>
    <r>
      <rPr>
        <sz val="9"/>
        <color rgb="FF595959"/>
        <rFont val="Arial"/>
        <family val="0"/>
        <charset val="1"/>
      </rPr>
      <t xml:space="preserve">StockAnalysis.com</t>
    </r>
    <r>
      <rPr>
        <sz val="9"/>
        <color rgb="FF595959"/>
        <rFont val="Noto Sans CJK SC"/>
        <family val="2"/>
      </rPr>
      <t xml:space="preserve">）；擷取 </t>
    </r>
    <r>
      <rPr>
        <sz val="9"/>
        <color rgb="FF595959"/>
        <rFont val="Arial"/>
        <family val="0"/>
        <charset val="1"/>
      </rPr>
      <t xml:space="preserve">2026-10-07</t>
    </r>
    <r>
      <rPr>
        <sz val="9"/>
        <color rgb="FF595959"/>
        <rFont val="Noto Sans CJK SC"/>
        <family val="2"/>
      </rPr>
      <t xml:space="preserve">。逐筆來源、日期與標記見『輸入與假設』</t>
    </r>
    <r>
      <rPr>
        <sz val="9"/>
        <color rgb="FF595959"/>
        <rFont val="Arial"/>
        <family val="0"/>
        <charset val="1"/>
      </rPr>
      <t xml:space="preserve">I </t>
    </r>
    <r>
      <rPr>
        <sz val="9"/>
        <color rgb="FF595959"/>
        <rFont val="Noto Sans CJK SC"/>
        <family val="2"/>
      </rPr>
      <t xml:space="preserve">區。</t>
    </r>
  </si>
  <si>
    <t xml:space="preserve">輸入（依類別排序；點左側 ＋／− 展開或收合。藍字可改；黃底為最關鍵假設）</t>
  </si>
  <si>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情境 → </t>
    </r>
    <r>
      <rPr>
        <sz val="9"/>
        <color rgb="FF595959"/>
        <rFont val="Arial"/>
        <family val="0"/>
        <charset val="1"/>
      </rPr>
      <t xml:space="preserve">B </t>
    </r>
    <r>
      <rPr>
        <sz val="9"/>
        <color rgb="FF595959"/>
        <rFont val="Noto Sans CJK SC"/>
        <family val="2"/>
      </rPr>
      <t xml:space="preserve">產能與收入 → </t>
    </r>
    <r>
      <rPr>
        <sz val="9"/>
        <color rgb="FF595959"/>
        <rFont val="Arial"/>
        <family val="0"/>
        <charset val="1"/>
      </rPr>
      <t xml:space="preserve">C </t>
    </r>
    <r>
      <rPr>
        <sz val="9"/>
        <color rgb="FF595959"/>
        <rFont val="Noto Sans CJK SC"/>
        <family val="2"/>
      </rPr>
      <t xml:space="preserve">利潤率 → 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支出（</t>
    </r>
    <r>
      <rPr>
        <sz val="9"/>
        <color rgb="FF595959"/>
        <rFont val="Arial"/>
        <family val="0"/>
        <charset val="1"/>
      </rPr>
      <t xml:space="preserve">CapEx</t>
    </r>
    <r>
      <rPr>
        <sz val="9"/>
        <color rgb="FF595959"/>
        <rFont val="Noto Sans CJK SC"/>
        <family val="2"/>
      </rPr>
      <t xml:space="preserve">／折舊／租賃／</t>
    </r>
    <r>
      <rPr>
        <sz val="9"/>
        <color rgb="FF595959"/>
        <rFont val="Arial"/>
        <family val="0"/>
        <charset val="1"/>
      </rPr>
      <t xml:space="preserve">JV</t>
    </r>
    <r>
      <rPr>
        <sz val="9"/>
        <color rgb="FF595959"/>
        <rFont val="Noto Sans CJK SC"/>
        <family val="2"/>
      </rPr>
      <t xml:space="preserve">）→ </t>
    </r>
    <r>
      <rPr>
        <sz val="9"/>
        <color rgb="FF595959"/>
        <rFont val="Arial"/>
        <family val="0"/>
        <charset val="1"/>
      </rPr>
      <t xml:space="preserve">E </t>
    </r>
    <r>
      <rPr>
        <sz val="9"/>
        <color rgb="FF595959"/>
        <rFont val="Noto Sans CJK SC"/>
        <family val="2"/>
      </rPr>
      <t xml:space="preserve">融資 → </t>
    </r>
    <r>
      <rPr>
        <sz val="9"/>
        <color rgb="FF595959"/>
        <rFont val="Arial"/>
        <family val="0"/>
        <charset val="1"/>
      </rPr>
      <t xml:space="preserve">F </t>
    </r>
    <r>
      <rPr>
        <sz val="9"/>
        <color rgb="FF595959"/>
        <rFont val="Noto Sans CJK SC"/>
        <family val="2"/>
      </rPr>
      <t xml:space="preserve">評價 → 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參考：</t>
    </r>
    <r>
      <rPr>
        <sz val="9"/>
        <color rgb="FF595959"/>
        <rFont val="Arial"/>
        <family val="0"/>
        <charset val="1"/>
      </rPr>
      <t xml:space="preserve">1Q27 </t>
    </r>
    <r>
      <rPr>
        <sz val="9"/>
        <color rgb="FF595959"/>
        <rFont val="Noto Sans CJK SC"/>
        <family val="2"/>
      </rPr>
      <t xml:space="preserve">實際 → </t>
    </r>
    <r>
      <rPr>
        <sz val="9"/>
        <color rgb="FF595959"/>
        <rFont val="Arial"/>
        <family val="0"/>
        <charset val="1"/>
      </rPr>
      <t xml:space="preserve">H </t>
    </r>
    <r>
      <rPr>
        <sz val="9"/>
        <color rgb="FF595959"/>
        <rFont val="Noto Sans CJK SC"/>
        <family val="2"/>
      </rPr>
      <t xml:space="preserve">情境區間運算表 → </t>
    </r>
    <r>
      <rPr>
        <sz val="9"/>
        <color rgb="FF595959"/>
        <rFont val="Arial"/>
        <family val="0"/>
        <charset val="1"/>
      </rPr>
      <t xml:space="preserve">I </t>
    </r>
    <r>
      <rPr>
        <sz val="9"/>
        <color rgb="FF595959"/>
        <rFont val="Noto Sans CJK SC"/>
        <family val="2"/>
      </rPr>
      <t xml:space="preserve">市場共識 → </t>
    </r>
    <r>
      <rPr>
        <sz val="9"/>
        <color rgb="FF595959"/>
        <rFont val="Arial"/>
        <family val="0"/>
        <charset val="1"/>
      </rPr>
      <t xml:space="preserve">J </t>
    </r>
    <r>
      <rPr>
        <sz val="9"/>
        <color rgb="FF595959"/>
        <rFont val="Noto Sans CJK SC"/>
        <family val="2"/>
      </rPr>
      <t xml:space="preserve">季度追蹤輸入。灰底『▸』為明細子區，預設收合</t>
    </r>
  </si>
  <si>
    <r>
      <rPr>
        <b val="true"/>
        <sz val="10"/>
        <rFont val="Arial"/>
        <family val="0"/>
        <charset val="1"/>
      </rPr>
      <t xml:space="preserve">A</t>
    </r>
    <r>
      <rPr>
        <b val="true"/>
        <sz val="10"/>
        <rFont val="Noto Sans CJK SC"/>
        <family val="2"/>
      </rPr>
      <t xml:space="preserve">｜情境與規模（管理層擴張力道）</t>
    </r>
  </si>
  <si>
    <r>
      <rPr>
        <b val="true"/>
        <sz val="10"/>
        <rFont val="Noto Sans CJK SC"/>
        <family val="2"/>
      </rPr>
      <t xml:space="preserve">情境選擇（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＝保守 </t>
    </r>
    <r>
      <rPr>
        <b val="true"/>
        <sz val="10"/>
        <rFont val="Arial"/>
        <family val="0"/>
        <charset val="1"/>
      </rPr>
      <t xml:space="preserve">OpenAI </t>
    </r>
    <r>
      <rPr>
        <b val="true"/>
        <sz val="10"/>
        <rFont val="Noto Sans CJK SC"/>
        <family val="2"/>
      </rPr>
      <t xml:space="preserve">相關 </t>
    </r>
    <r>
      <rPr>
        <b val="true"/>
        <sz val="10"/>
        <rFont val="Arial"/>
        <family val="0"/>
        <charset val="1"/>
      </rPr>
      <t xml:space="preserve">60%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2</t>
    </r>
    <r>
      <rPr>
        <b val="true"/>
        <sz val="10"/>
        <rFont val="Noto Sans CJK SC"/>
        <family val="2"/>
      </rPr>
      <t xml:space="preserve">＝基準 已簽約站點依 </t>
    </r>
    <r>
      <rPr>
        <b val="true"/>
        <sz val="10"/>
        <rFont val="Arial"/>
        <family val="0"/>
        <charset val="1"/>
      </rPr>
      <t xml:space="preserve">Q1 </t>
    </r>
    <r>
      <rPr>
        <b val="true"/>
        <sz val="10"/>
        <rFont val="Noto Sans CJK SC"/>
        <family val="2"/>
      </rPr>
      <t xml:space="preserve">速度、</t>
    </r>
    <r>
      <rPr>
        <b val="true"/>
        <sz val="10"/>
        <rFont val="Arial"/>
        <family val="0"/>
        <charset val="1"/>
      </rPr>
      <t xml:space="preserve">3</t>
    </r>
    <r>
      <rPr>
        <b val="true"/>
        <sz val="10"/>
        <rFont val="Noto Sans CJK SC"/>
        <family val="2"/>
      </rPr>
      <t xml:space="preserve">＝積極 依公司時程）</t>
    </r>
  </si>
  <si>
    <r>
      <rPr>
        <sz val="9"/>
        <color rgb="FF595959"/>
        <rFont val="Noto Sans CJK SC"/>
        <family val="2"/>
      </rPr>
      <t xml:space="preserve">三情境改變擴張力道（已連網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路徑）與每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年收入（</t>
    </r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Noto Sans CJK SC"/>
        <family val="2"/>
      </rPr>
      <t xml:space="preserve">正向推導三情境值）；其餘假設相同（對照表 </t>
    </r>
    <r>
      <rPr>
        <sz val="9"/>
        <color rgb="FF595959"/>
        <rFont val="Arial"/>
        <family val="0"/>
        <charset val="1"/>
      </rPr>
      <t xml:space="preserve">r1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4 </t>
    </r>
    <r>
      <rPr>
        <sz val="9"/>
        <color rgb="FF595959"/>
        <rFont val="Noto Sans CJK SC"/>
        <family val="2"/>
      </rPr>
      <t xml:space="preserve">節第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條）</t>
    </r>
  </si>
  <si>
    <r>
      <rPr>
        <b val="true"/>
        <sz val="10"/>
        <color rgb="FF1F3864"/>
        <rFont val="Noto Sans CJK SC"/>
        <family val="2"/>
      </rPr>
      <t xml:space="preserve">▸ 情境路徑明細（已連網 </t>
    </r>
    <r>
      <rPr>
        <b val="true"/>
        <sz val="10"/>
        <color rgb="FF1F3864"/>
        <rFont val="Arial"/>
        <family val="0"/>
        <charset val="1"/>
      </rPr>
      <t xml:space="preserve">MW</t>
    </r>
    <r>
      <rPr>
        <b val="true"/>
        <sz val="10"/>
        <color rgb="FF1F3864"/>
        <rFont val="Noto Sans CJK SC"/>
        <family val="2"/>
      </rPr>
      <t xml:space="preserve">、在役比例、表外租金基準）</t>
    </r>
  </si>
  <si>
    <r>
      <rPr>
        <b val="true"/>
        <sz val="11"/>
        <color rgb="FFFFFFFF"/>
        <rFont val="Noto Sans CJK SC"/>
        <family val="2"/>
      </rPr>
      <t xml:space="preserve">已連網 </t>
    </r>
    <r>
      <rPr>
        <b val="true"/>
        <sz val="11"/>
        <color rgb="FFFFFFFF"/>
        <rFont val="Arial"/>
        <family val="0"/>
        <charset val="1"/>
      </rPr>
      <t xml:space="preserve">MW </t>
    </r>
    <r>
      <rPr>
        <b val="true"/>
        <sz val="11"/>
        <color rgb="FFFFFFFF"/>
        <rFont val="Noto Sans CJK SC"/>
        <family val="2"/>
      </rPr>
      <t xml:space="preserve">路徑</t>
    </r>
  </si>
  <si>
    <t xml:space="preserve">FY30</t>
  </si>
  <si>
    <t xml:space="preserve">FY31</t>
  </si>
  <si>
    <r>
      <rPr>
        <b val="true"/>
        <sz val="11"/>
        <color rgb="FFFFFFFF"/>
        <rFont val="Arial"/>
        <family val="0"/>
        <charset val="1"/>
      </rPr>
      <t xml:space="preserve">FY31 </t>
    </r>
    <r>
      <rPr>
        <b val="true"/>
        <sz val="11"/>
        <color rgb="FFFFFFFF"/>
        <rFont val="Noto Sans CJK SC"/>
        <family val="2"/>
      </rPr>
      <t xml:space="preserve">新增 </t>
    </r>
    <r>
      <rPr>
        <b val="true"/>
        <sz val="11"/>
        <color rgb="FFFFFFFF"/>
        <rFont val="Arial"/>
        <family val="0"/>
        <charset val="1"/>
      </rPr>
      <t xml:space="preserve">MW</t>
    </r>
  </si>
  <si>
    <r>
      <rPr>
        <sz val="10"/>
        <rFont val="Noto Sans CJK SC"/>
        <family val="2"/>
      </rPr>
      <t xml:space="preserve">首期期末已連網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（三情境共用）</t>
    </r>
  </si>
  <si>
    <t xml:space="preserve">MW</t>
  </si>
  <si>
    <r>
      <rPr>
        <sz val="9"/>
        <color rgb="FF595959"/>
        <rFont val="Noto Sans CJK SC"/>
        <family val="2"/>
      </rPr>
      <t xml:space="preserve">首期期末＝評價日已連網＋首期剩餘季度依最新季交付速度；推導與來源見 </t>
    </r>
    <r>
      <rPr>
        <sz val="9"/>
        <color rgb="FF595959"/>
        <rFont val="Arial"/>
        <family val="0"/>
        <charset val="1"/>
      </rPr>
      <t xml:space="preserve">company.json → scenarios.mwPath.note [Derived]</t>
    </r>
  </si>
  <si>
    <r>
      <rPr>
        <sz val="10"/>
        <rFont val="Noto Sans CJK SC"/>
        <family val="2"/>
      </rPr>
      <t xml:space="preserve">保守 </t>
    </r>
    <r>
      <rPr>
        <sz val="10"/>
        <rFont val="Arial"/>
        <family val="0"/>
        <charset val="1"/>
      </rPr>
      <t xml:space="preserve">OpenAI </t>
    </r>
    <r>
      <rPr>
        <sz val="10"/>
        <rFont val="Noto Sans CJK SC"/>
        <family val="2"/>
      </rPr>
      <t xml:space="preserve">相關 </t>
    </r>
    <r>
      <rPr>
        <sz val="10"/>
        <rFont val="Arial"/>
        <family val="0"/>
        <charset val="1"/>
      </rPr>
      <t xml:space="preserve">60%</t>
    </r>
    <r>
      <rPr>
        <sz val="10"/>
        <rFont val="Noto Sans CJK SC"/>
        <family val="2"/>
      </rPr>
      <t xml:space="preserve">｜合約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上限</t>
    </r>
  </si>
  <si>
    <t xml:space="preserve">company.json → scenarios.mwPath.contracted</t>
  </si>
  <si>
    <r>
      <rPr>
        <sz val="10"/>
        <rFont val="Noto Sans CJK SC"/>
        <family val="2"/>
      </rPr>
      <t xml:space="preserve">保守 </t>
    </r>
    <r>
      <rPr>
        <sz val="10"/>
        <rFont val="Arial"/>
        <family val="0"/>
        <charset val="1"/>
      </rPr>
      <t xml:space="preserve">OpenAI </t>
    </r>
    <r>
      <rPr>
        <sz val="10"/>
        <rFont val="Noto Sans CJK SC"/>
        <family val="2"/>
      </rPr>
      <t xml:space="preserve">相關 </t>
    </r>
    <r>
      <rPr>
        <sz val="10"/>
        <rFont val="Arial"/>
        <family val="0"/>
        <charset val="1"/>
      </rPr>
      <t xml:space="preserve">60%</t>
    </r>
    <r>
      <rPr>
        <sz val="10"/>
        <rFont val="Noto Sans CJK SC"/>
        <family val="2"/>
      </rPr>
      <t xml:space="preserve">｜併網速度</t>
    </r>
  </si>
  <si>
    <r>
      <rPr>
        <sz val="9"/>
        <color rgb="FF595959"/>
        <rFont val="Arial"/>
        <family val="0"/>
        <charset val="1"/>
      </rPr>
      <t xml:space="preserve">MW</t>
    </r>
    <r>
      <rPr>
        <sz val="9"/>
        <color rgb="FF595959"/>
        <rFont val="Noto Sans CJK SC"/>
        <family val="2"/>
      </rPr>
      <t xml:space="preserve">／年</t>
    </r>
  </si>
  <si>
    <t xml:space="preserve">company.json → scenarios.mwPath.pace</t>
  </si>
  <si>
    <r>
      <rPr>
        <sz val="10"/>
        <rFont val="Noto Sans CJK SC"/>
        <family val="2"/>
      </rPr>
      <t xml:space="preserve">保守 </t>
    </r>
    <r>
      <rPr>
        <sz val="10"/>
        <rFont val="Arial"/>
        <family val="0"/>
        <charset val="1"/>
      </rPr>
      <t xml:space="preserve">OpenAI </t>
    </r>
    <r>
      <rPr>
        <sz val="10"/>
        <rFont val="Noto Sans CJK SC"/>
        <family val="2"/>
      </rPr>
      <t xml:space="preserve">相關 </t>
    </r>
    <r>
      <rPr>
        <sz val="10"/>
        <rFont val="Arial"/>
        <family val="0"/>
        <charset val="1"/>
      </rPr>
      <t xml:space="preserve">60%</t>
    </r>
  </si>
  <si>
    <r>
      <rPr>
        <sz val="9"/>
        <color rgb="FF595959"/>
        <rFont val="Noto Sans CJK SC"/>
        <family val="2"/>
      </rPr>
      <t xml:space="preserve">只交付已交付＋在建站點，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相關容量實現 </t>
    </r>
    <r>
      <rPr>
        <sz val="9"/>
        <color rgb="FF595959"/>
        <rFont val="Arial"/>
        <family val="0"/>
        <charset val="1"/>
      </rPr>
      <t xml:space="preserve">60%</t>
    </r>
    <r>
      <rPr>
        <sz val="9"/>
        <color rgb="FF595959"/>
        <rFont val="Noto Sans CJK SC"/>
        <family val="2"/>
      </rPr>
      <t xml:space="preserve">（上限 </t>
    </r>
    <r>
      <rPr>
        <sz val="9"/>
        <color rgb="FF595959"/>
        <rFont val="Arial"/>
        <family val="0"/>
        <charset val="1"/>
      </rPr>
      <t xml:space="preserve">6,284 MW-IT</t>
    </r>
    <r>
      <rPr>
        <sz val="9"/>
        <color rgb="FF595959"/>
        <rFont val="Noto Sans CJK SC"/>
        <family val="2"/>
      </rPr>
      <t xml:space="preserve">），依 </t>
    </r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Noto Sans CJK SC"/>
        <family val="2"/>
      </rPr>
      <t xml:space="preserve">歷史速度 </t>
    </r>
    <r>
      <rPr>
        <sz val="9"/>
        <color rgb="FF595959"/>
        <rFont val="Arial"/>
        <family val="0"/>
        <charset val="1"/>
      </rPr>
      <t xml:space="preserve">1,000 MW-IT</t>
    </r>
    <r>
      <rPr>
        <sz val="9"/>
        <color rgb="FF595959"/>
        <rFont val="Noto Sans CJK SC"/>
        <family val="2"/>
      </rPr>
      <t xml:space="preserve">／年；</t>
    </r>
    <r>
      <rPr>
        <sz val="9"/>
        <color rgb="FF595959"/>
        <rFont val="Arial"/>
        <family val="0"/>
        <charset val="1"/>
      </rPr>
      <t xml:space="preserve">I </t>
    </r>
    <r>
      <rPr>
        <sz val="9"/>
        <color rgb="FF595959"/>
        <rFont val="Noto Sans CJK SC"/>
        <family val="2"/>
      </rPr>
      <t xml:space="preserve">欄＝</t>
    </r>
    <r>
      <rPr>
        <sz val="9"/>
        <color rgb="FF595959"/>
        <rFont val="Arial"/>
        <family val="0"/>
        <charset val="1"/>
      </rPr>
      <t xml:space="preserve">FY31 </t>
    </r>
    <r>
      <rPr>
        <sz val="9"/>
        <color rgb="FF595959"/>
        <rFont val="Noto Sans CJK SC"/>
        <family val="2"/>
      </rPr>
      <t xml:space="preserve">新增 </t>
    </r>
    <r>
      <rPr>
        <sz val="9"/>
        <color rgb="FF595959"/>
        <rFont val="Arial"/>
        <family val="0"/>
        <charset val="1"/>
      </rPr>
      <t xml:space="preserve">MW</t>
    </r>
  </si>
  <si>
    <r>
      <rPr>
        <sz val="10"/>
        <rFont val="Noto Sans CJK SC"/>
        <family val="2"/>
      </rPr>
      <t xml:space="preserve">基準 已簽約站點依 </t>
    </r>
    <r>
      <rPr>
        <sz val="10"/>
        <rFont val="Arial"/>
        <family val="0"/>
        <charset val="1"/>
      </rPr>
      <t xml:space="preserve">Q1 </t>
    </r>
    <r>
      <rPr>
        <sz val="10"/>
        <rFont val="Noto Sans CJK SC"/>
        <family val="2"/>
      </rPr>
      <t xml:space="preserve">速度｜合約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上限</t>
    </r>
  </si>
  <si>
    <r>
      <rPr>
        <sz val="10"/>
        <rFont val="Noto Sans CJK SC"/>
        <family val="2"/>
      </rPr>
      <t xml:space="preserve">基準 已簽約站點依 </t>
    </r>
    <r>
      <rPr>
        <sz val="10"/>
        <rFont val="Arial"/>
        <family val="0"/>
        <charset val="1"/>
      </rPr>
      <t xml:space="preserve">Q1 </t>
    </r>
    <r>
      <rPr>
        <sz val="10"/>
        <rFont val="Noto Sans CJK SC"/>
        <family val="2"/>
      </rPr>
      <t xml:space="preserve">速度｜併網速度</t>
    </r>
  </si>
  <si>
    <r>
      <rPr>
        <sz val="10"/>
        <rFont val="Noto Sans CJK SC"/>
        <family val="2"/>
      </rPr>
      <t xml:space="preserve">基準 已簽約站點依 </t>
    </r>
    <r>
      <rPr>
        <sz val="10"/>
        <rFont val="Arial"/>
        <family val="0"/>
        <charset val="1"/>
      </rPr>
      <t xml:space="preserve">Q1 </t>
    </r>
    <r>
      <rPr>
        <sz val="10"/>
        <rFont val="Noto Sans CJK SC"/>
        <family val="2"/>
      </rPr>
      <t xml:space="preserve">速度</t>
    </r>
  </si>
  <si>
    <r>
      <rPr>
        <sz val="9"/>
        <color rgb="FF595959"/>
        <rFont val="Arial"/>
        <family val="0"/>
        <charset val="1"/>
      </rPr>
      <t xml:space="preserve">Oracle </t>
    </r>
    <r>
      <rPr>
        <sz val="9"/>
        <color rgb="FF595959"/>
        <rFont val="Noto Sans CJK SC"/>
        <family val="2"/>
      </rPr>
      <t xml:space="preserve">承租的五個 </t>
    </r>
    <r>
      <rPr>
        <sz val="9"/>
        <color rgb="FF595959"/>
        <rFont val="Arial"/>
        <family val="0"/>
        <charset val="1"/>
      </rPr>
      <t xml:space="preserve">Stargate </t>
    </r>
    <r>
      <rPr>
        <sz val="9"/>
        <color rgb="FF595959"/>
        <rFont val="Noto Sans CJK SC"/>
        <family val="2"/>
      </rPr>
      <t xml:space="preserve">站點全數實現（上限 </t>
    </r>
    <r>
      <rPr>
        <sz val="9"/>
        <color rgb="FF595959"/>
        <rFont val="Arial"/>
        <family val="0"/>
        <charset val="1"/>
      </rPr>
      <t xml:space="preserve">8,778 MW-IT</t>
    </r>
    <r>
      <rPr>
        <sz val="9"/>
        <color rgb="FF595959"/>
        <rFont val="Noto Sans CJK SC"/>
        <family val="2"/>
      </rPr>
      <t xml:space="preserve">），依 </t>
    </r>
    <r>
      <rPr>
        <sz val="9"/>
        <color rgb="FF595959"/>
        <rFont val="Arial"/>
        <family val="0"/>
        <charset val="1"/>
      </rPr>
      <t xml:space="preserve">FY27Q1 </t>
    </r>
    <r>
      <rPr>
        <sz val="9"/>
        <color rgb="FF595959"/>
        <rFont val="Noto Sans CJK SC"/>
        <family val="2"/>
      </rPr>
      <t xml:space="preserve">交付速度 </t>
    </r>
    <r>
      <rPr>
        <sz val="9"/>
        <color rgb="FF595959"/>
        <rFont val="Arial"/>
        <family val="0"/>
        <charset val="1"/>
      </rPr>
      <t xml:space="preserve">2,833 MW-IT</t>
    </r>
    <r>
      <rPr>
        <sz val="9"/>
        <color rgb="FF595959"/>
        <rFont val="Noto Sans CJK SC"/>
        <family val="2"/>
      </rPr>
      <t xml:space="preserve">／年；</t>
    </r>
    <r>
      <rPr>
        <sz val="9"/>
        <color rgb="FF595959"/>
        <rFont val="Arial"/>
        <family val="0"/>
        <charset val="1"/>
      </rPr>
      <t xml:space="preserve">I </t>
    </r>
    <r>
      <rPr>
        <sz val="9"/>
        <color rgb="FF595959"/>
        <rFont val="Noto Sans CJK SC"/>
        <family val="2"/>
      </rPr>
      <t xml:space="preserve">欄＝</t>
    </r>
    <r>
      <rPr>
        <sz val="9"/>
        <color rgb="FF595959"/>
        <rFont val="Arial"/>
        <family val="0"/>
        <charset val="1"/>
      </rPr>
      <t xml:space="preserve">FY31 </t>
    </r>
    <r>
      <rPr>
        <sz val="9"/>
        <color rgb="FF595959"/>
        <rFont val="Noto Sans CJK SC"/>
        <family val="2"/>
      </rPr>
      <t xml:space="preserve">新增 </t>
    </r>
    <r>
      <rPr>
        <sz val="9"/>
        <color rgb="FF595959"/>
        <rFont val="Arial"/>
        <family val="0"/>
        <charset val="1"/>
      </rPr>
      <t xml:space="preserve">MW</t>
    </r>
  </si>
  <si>
    <r>
      <rPr>
        <sz val="10"/>
        <rFont val="Noto Sans CJK SC"/>
        <family val="2"/>
      </rPr>
      <t xml:space="preserve">積極 依公司時程｜合約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上限</t>
    </r>
  </si>
  <si>
    <t xml:space="preserve">積極 依公司時程｜併網速度</t>
  </si>
  <si>
    <t xml:space="preserve">積極 依公司時程</t>
  </si>
  <si>
    <r>
      <rPr>
        <sz val="9"/>
        <color rgb="FF595959"/>
        <rFont val="Noto Sans CJK SC"/>
        <family val="2"/>
      </rPr>
      <t xml:space="preserve">同基準上限，依公司時程（每季約 </t>
    </r>
    <r>
      <rPr>
        <sz val="9"/>
        <color rgb="FF595959"/>
        <rFont val="Arial"/>
        <family val="0"/>
        <charset val="1"/>
      </rPr>
      <t xml:space="preserve">1 GW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3,333 MW-IT</t>
    </r>
    <r>
      <rPr>
        <sz val="9"/>
        <color rgb="FF595959"/>
        <rFont val="Noto Sans CJK SC"/>
        <family val="2"/>
      </rPr>
      <t xml:space="preserve">／年）；</t>
    </r>
    <r>
      <rPr>
        <sz val="9"/>
        <color rgb="FF595959"/>
        <rFont val="Arial"/>
        <family val="0"/>
        <charset val="1"/>
      </rPr>
      <t xml:space="preserve">I </t>
    </r>
    <r>
      <rPr>
        <sz val="9"/>
        <color rgb="FF595959"/>
        <rFont val="Noto Sans CJK SC"/>
        <family val="2"/>
      </rPr>
      <t xml:space="preserve">欄＝</t>
    </r>
    <r>
      <rPr>
        <sz val="9"/>
        <color rgb="FF595959"/>
        <rFont val="Arial"/>
        <family val="0"/>
        <charset val="1"/>
      </rPr>
      <t xml:space="preserve">FY31 </t>
    </r>
    <r>
      <rPr>
        <sz val="9"/>
        <color rgb="FF595959"/>
        <rFont val="Noto Sans CJK SC"/>
        <family val="2"/>
      </rPr>
      <t xml:space="preserve">新增 </t>
    </r>
    <r>
      <rPr>
        <sz val="9"/>
        <color rgb="FF595959"/>
        <rFont val="Arial"/>
        <family val="0"/>
        <charset val="1"/>
      </rPr>
      <t xml:space="preserve">MW</t>
    </r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</si>
  <si>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年收入｜保守 </t>
    </r>
    <r>
      <rPr>
        <sz val="10"/>
        <rFont val="Arial"/>
        <family val="0"/>
        <charset val="1"/>
      </rPr>
      <t xml:space="preserve">OpenAI </t>
    </r>
    <r>
      <rPr>
        <sz val="10"/>
        <rFont val="Noto Sans CJK SC"/>
        <family val="2"/>
      </rPr>
      <t xml:space="preserve">相關 </t>
    </r>
    <r>
      <rPr>
        <sz val="10"/>
        <rFont val="Arial"/>
        <family val="0"/>
        <charset val="1"/>
      </rPr>
      <t xml:space="preserve">60%</t>
    </r>
  </si>
  <si>
    <t xml:space="preserve">US$bn/MW</t>
  </si>
  <si>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Noto Sans CJK SC"/>
        <family val="2"/>
      </rPr>
      <t xml:space="preserve">正向推導三情境（</t>
    </r>
    <r>
      <rPr>
        <sz val="9"/>
        <color rgb="FF595959"/>
        <rFont val="Arial"/>
        <family val="0"/>
        <charset val="1"/>
      </rPr>
      <t xml:space="preserve">data/permw_tokenomics_20261007.json</t>
    </r>
    <r>
      <rPr>
        <sz val="9"/>
        <color rgb="FF595959"/>
        <rFont val="Noto Sans CJK SC"/>
        <family val="2"/>
      </rPr>
      <t xml:space="preserve">）；不用公司 </t>
    </r>
    <r>
      <rPr>
        <sz val="9"/>
        <color rgb="FF595959"/>
        <rFont val="Arial"/>
        <family val="0"/>
        <charset val="1"/>
      </rPr>
      <t xml:space="preserve">ACV [Derived]</t>
    </r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</si>
  <si>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年收入｜基準 已簽約站點依 </t>
    </r>
    <r>
      <rPr>
        <sz val="10"/>
        <rFont val="Arial"/>
        <family val="0"/>
        <charset val="1"/>
      </rPr>
      <t xml:space="preserve">Q1 </t>
    </r>
    <r>
      <rPr>
        <sz val="10"/>
        <rFont val="Noto Sans CJK SC"/>
        <family val="2"/>
      </rPr>
      <t xml:space="preserve">速度</t>
    </r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</si>
  <si>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年收入｜積極 依公司時程</t>
    </r>
  </si>
  <si>
    <r>
      <rPr>
        <sz val="10"/>
        <rFont val="Noto Sans CJK SC"/>
        <family val="2"/>
      </rPr>
      <t xml:space="preserve">在役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收斂比例（期初校準值 → 已連網）</t>
    </r>
  </si>
  <si>
    <r>
      <rPr>
        <sz val="9"/>
        <color rgb="FF595959"/>
        <rFont val="Noto Sans CJK SC"/>
        <family val="2"/>
      </rPr>
      <t xml:space="preserve">期初可計費 </t>
    </r>
    <r>
      <rPr>
        <sz val="9"/>
        <color rgb="FF595959"/>
        <rFont val="Arial"/>
        <family val="0"/>
        <charset val="1"/>
      </rPr>
      <t xml:space="preserve">MW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Q1 FY27 </t>
    </r>
    <r>
      <rPr>
        <sz val="9"/>
        <color rgb="FF595959"/>
        <rFont val="Noto Sans CJK SC"/>
        <family val="2"/>
      </rPr>
      <t xml:space="preserve">實際 </t>
    </r>
    <r>
      <rPr>
        <sz val="9"/>
        <color rgb="FF595959"/>
        <rFont val="Arial"/>
        <family val="0"/>
        <charset val="1"/>
      </rPr>
      <t xml:space="preserve">OCI </t>
    </r>
    <r>
      <rPr>
        <sz val="9"/>
        <color rgb="FF595959"/>
        <rFont val="Noto Sans CJK SC"/>
        <family val="2"/>
      </rPr>
      <t xml:space="preserve">營收 </t>
    </r>
    <r>
      <rPr>
        <sz val="9"/>
        <color rgb="FF595959"/>
        <rFont val="Arial"/>
        <family val="0"/>
        <charset val="1"/>
      </rPr>
      <t xml:space="preserve">7.388 × 4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29.552 ÷ </t>
    </r>
    <r>
      <rPr>
        <sz val="9"/>
        <color rgb="FF595959"/>
        <rFont val="Noto Sans CJK SC"/>
        <family val="2"/>
      </rPr>
      <t xml:space="preserve">各情境每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年收入（保守 </t>
    </r>
    <r>
      <rPr>
        <sz val="9"/>
        <color rgb="FF595959"/>
        <rFont val="Arial"/>
        <family val="0"/>
        <charset val="1"/>
      </rPr>
      <t xml:space="preserve">2,543</t>
    </r>
    <r>
      <rPr>
        <sz val="9"/>
        <color rgb="FF595959"/>
        <rFont val="Noto Sans CJK SC"/>
        <family val="2"/>
      </rPr>
      <t xml:space="preserve">／基準 </t>
    </r>
    <r>
      <rPr>
        <sz val="9"/>
        <color rgb="FF595959"/>
        <rFont val="Arial"/>
        <family val="0"/>
        <charset val="1"/>
      </rPr>
      <t xml:space="preserve">1,698</t>
    </r>
    <r>
      <rPr>
        <sz val="9"/>
        <color rgb="FF595959"/>
        <rFont val="Noto Sans CJK SC"/>
        <family val="2"/>
      </rPr>
      <t xml:space="preserve">／積極 </t>
    </r>
    <r>
      <rPr>
        <sz val="9"/>
        <color rgb="FF595959"/>
        <rFont val="Arial"/>
        <family val="0"/>
        <charset val="1"/>
      </rPr>
      <t xml:space="preserve">1,221 MW-IT</t>
    </r>
    <r>
      <rPr>
        <sz val="9"/>
        <color rgb="FF595959"/>
        <rFont val="Noto Sans CJK SC"/>
        <family val="2"/>
      </rPr>
      <t xml:space="preserve">），是對齊已實現實際數的校準，不是以公司預測反推參數。各期末可計費 </t>
    </r>
    <r>
      <rPr>
        <sz val="9"/>
        <color rgb="FF595959"/>
        <rFont val="Arial"/>
        <family val="0"/>
        <charset val="1"/>
      </rPr>
      <t xml:space="preserve">MW</t>
    </r>
    <r>
      <rPr>
        <sz val="9"/>
        <color rgb="FF595959"/>
        <rFont val="Noto Sans CJK SC"/>
        <family val="2"/>
      </rPr>
      <t xml:space="preserve">＝期初校準值＋</t>
    </r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Noto Sans CJK SC"/>
        <family val="2"/>
      </rPr>
      <t xml:space="preserve">已連網 − 期初校準值</t>
    </r>
    <r>
      <rPr>
        <sz val="9"/>
        <color rgb="FF595959"/>
        <rFont val="Arial"/>
        <family val="0"/>
        <charset val="1"/>
      </rPr>
      <t xml:space="preserve">)× </t>
    </r>
    <r>
      <rPr>
        <sz val="9"/>
        <color rgb="FF595959"/>
        <rFont val="Noto Sans CJK SC"/>
        <family val="2"/>
      </rPr>
      <t xml:space="preserve">收斂比例；首期 </t>
    </r>
    <r>
      <rPr>
        <sz val="9"/>
        <color rgb="FF595959"/>
        <rFont val="Arial"/>
        <family val="0"/>
        <charset val="1"/>
      </rPr>
      <t xml:space="preserve">50% </t>
    </r>
    <r>
      <rPr>
        <sz val="9"/>
        <color rgb="FF595959"/>
        <rFont val="Noto Sans CJK SC"/>
        <family val="2"/>
      </rPr>
      <t xml:space="preserve">取能讓基準 </t>
    </r>
    <r>
      <rPr>
        <sz val="9"/>
        <color rgb="FF595959"/>
        <rFont val="Arial"/>
        <family val="0"/>
        <charset val="1"/>
      </rPr>
      <t xml:space="preserve">FY27 </t>
    </r>
    <r>
      <rPr>
        <sz val="9"/>
        <color rgb="FF595959"/>
        <rFont val="Noto Sans CJK SC"/>
        <family val="2"/>
      </rPr>
      <t xml:space="preserve">營收落在公司指引 ≥</t>
    </r>
    <r>
      <rPr>
        <sz val="9"/>
        <color rgb="FF595959"/>
        <rFont val="Arial"/>
        <family val="0"/>
        <charset val="1"/>
      </rPr>
      <t xml:space="preserve">90 </t>
    </r>
    <r>
      <rPr>
        <sz val="9"/>
        <color rgb="FF595959"/>
        <rFont val="Noto Sans CJK SC"/>
        <family val="2"/>
      </rPr>
      <t xml:space="preserve">的保守值（</t>
    </r>
    <r>
      <rPr>
        <sz val="9"/>
        <color rgb="FF595959"/>
        <rFont val="Arial"/>
        <family val="0"/>
        <charset val="1"/>
      </rPr>
      <t xml:space="preserve">40% </t>
    </r>
    <r>
      <rPr>
        <sz val="9"/>
        <color rgb="FF595959"/>
        <rFont val="Noto Sans CJK SC"/>
        <family val="2"/>
      </rPr>
      <t xml:space="preserve">時基準 </t>
    </r>
    <r>
      <rPr>
        <sz val="9"/>
        <color rgb="FF595959"/>
        <rFont val="Arial"/>
        <family val="0"/>
        <charset val="1"/>
      </rPr>
      <t xml:space="preserve">FY27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89.1</t>
    </r>
    <r>
      <rPr>
        <sz val="9"/>
        <color rgb="FF595959"/>
        <rFont val="Noto Sans CJK SC"/>
        <family val="2"/>
      </rPr>
      <t xml:space="preserve">，低於指引），之後 </t>
    </r>
    <r>
      <rPr>
        <sz val="9"/>
        <color rgb="FF595959"/>
        <rFont val="Arial"/>
        <family val="0"/>
        <charset val="1"/>
      </rPr>
      <t xml:space="preserve">80%→90%</t>
    </r>
    <r>
      <rPr>
        <sz val="9"/>
        <color rgb="FF595959"/>
        <rFont val="Noto Sans CJK SC"/>
        <family val="2"/>
      </rPr>
      <t xml:space="preserve">（新產能自交付到計費約一季）</t>
    </r>
    <r>
      <rPr>
        <sz val="9"/>
        <color rgb="FF595959"/>
        <rFont val="Arial"/>
        <family val="0"/>
        <charset val="1"/>
      </rPr>
      <t xml:space="preserve">[Derived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Assumed]</t>
    </r>
    <r>
      <rPr>
        <sz val="9"/>
        <color rgb="FF595959"/>
        <rFont val="Noto Sans CJK SC"/>
        <family val="2"/>
      </rPr>
      <t xml:space="preserve">。</t>
    </r>
  </si>
  <si>
    <r>
      <rPr>
        <sz val="10"/>
        <rFont val="Noto Sans CJK SC"/>
        <family val="2"/>
      </rPr>
      <t xml:space="preserve">期初可計費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校準：</t>
    </r>
    <r>
      <rPr>
        <sz val="10"/>
        <rFont val="Arial"/>
        <family val="0"/>
        <charset val="1"/>
      </rPr>
      <t xml:space="preserve">Q1 2027 </t>
    </r>
    <r>
      <rPr>
        <sz val="10"/>
        <rFont val="Noto Sans CJK SC"/>
        <family val="2"/>
      </rPr>
      <t xml:space="preserve">實際營收年化</t>
    </r>
  </si>
  <si>
    <r>
      <rPr>
        <sz val="9"/>
        <color rgb="FF595959"/>
        <rFont val="Noto Sans CJK SC"/>
        <family val="2"/>
      </rPr>
      <t xml:space="preserve">最新季實際營收 </t>
    </r>
    <r>
      <rPr>
        <sz val="9"/>
        <color rgb="FF595959"/>
        <rFont val="Arial"/>
        <family val="0"/>
        <charset val="1"/>
      </rPr>
      <t xml:space="preserve">× 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company.json → scenarios.billableRatio.openAnnualRevenue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</si>
  <si>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Noto Sans CJK SC"/>
        <family val="2"/>
      </rPr>
      <t xml:space="preserve">期初可計費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｜保守 </t>
    </r>
    <r>
      <rPr>
        <sz val="10"/>
        <rFont val="Arial"/>
        <family val="0"/>
        <charset val="1"/>
      </rPr>
      <t xml:space="preserve">OpenAI </t>
    </r>
    <r>
      <rPr>
        <sz val="10"/>
        <rFont val="Noto Sans CJK SC"/>
        <family val="2"/>
      </rPr>
      <t xml:space="preserve">相關 </t>
    </r>
    <r>
      <rPr>
        <sz val="10"/>
        <rFont val="Arial"/>
        <family val="0"/>
        <charset val="1"/>
      </rPr>
      <t xml:space="preserve">60%</t>
    </r>
  </si>
  <si>
    <r>
      <rPr>
        <sz val="9"/>
        <color rgb="FF595959"/>
        <rFont val="Noto Sans CJK SC"/>
        <family val="2"/>
      </rPr>
      <t xml:space="preserve">＝實際營收年化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該情境每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年收入（對齊已實現實際數的校準）</t>
    </r>
  </si>
  <si>
    <r>
      <rPr>
        <sz val="10"/>
        <rFont val="Noto Sans CJK SC"/>
        <family val="2"/>
      </rPr>
      <t xml:space="preserve">期初可計費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｜基準 已簽約站點依 </t>
    </r>
    <r>
      <rPr>
        <sz val="10"/>
        <rFont val="Arial"/>
        <family val="0"/>
        <charset val="1"/>
      </rPr>
      <t xml:space="preserve">Q1 </t>
    </r>
    <r>
      <rPr>
        <sz val="10"/>
        <rFont val="Noto Sans CJK SC"/>
        <family val="2"/>
      </rPr>
      <t xml:space="preserve">速度</t>
    </r>
  </si>
  <si>
    <r>
      <rPr>
        <sz val="10"/>
        <rFont val="Noto Sans CJK SC"/>
        <family val="2"/>
      </rPr>
      <t xml:space="preserve">期初可計費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｜積極 依公司時程</t>
    </r>
  </si>
  <si>
    <t xml:space="preserve">未起租租賃總額（未折現）</t>
  </si>
  <si>
    <r>
      <rPr>
        <sz val="9"/>
        <color rgb="FF595959"/>
        <rFont val="Noto Sans CJK SC"/>
        <family val="2"/>
      </rPr>
      <t xml:space="preserve">季報附註已簽約未起租租賃（</t>
    </r>
    <r>
      <rPr>
        <sz val="9"/>
        <color rgb="FF595959"/>
        <rFont val="Arial"/>
        <family val="0"/>
        <charset val="1"/>
      </rPr>
      <t xml:space="preserve">company.json → leases.facts.notCommenced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[Interested-party]</t>
    </r>
  </si>
  <si>
    <r>
      <rPr>
        <sz val="10"/>
        <rFont val="Noto Sans CJK SC"/>
        <family val="2"/>
      </rPr>
      <t xml:space="preserve">未起租：評價日後第幾季開始起租（</t>
    </r>
    <r>
      <rPr>
        <sz val="10"/>
        <rFont val="Arial"/>
        <family val="0"/>
        <charset val="1"/>
      </rPr>
      <t xml:space="preserve">0</t>
    </r>
    <r>
      <rPr>
        <sz val="10"/>
        <rFont val="Noto Sans CJK SC"/>
        <family val="2"/>
      </rPr>
      <t xml:space="preserve">＝首期第一季）</t>
    </r>
  </si>
  <si>
    <t xml:space="preserve">季</t>
  </si>
  <si>
    <t xml:space="preserve">company.json → leases.uncommenced.startQ</t>
  </si>
  <si>
    <t xml:space="preserve">未起租：平均分攤起租的季數</t>
  </si>
  <si>
    <r>
      <rPr>
        <sz val="9"/>
        <color rgb="FF595959"/>
        <rFont val="Noto Sans CJK SC"/>
        <family val="2"/>
      </rPr>
      <t xml:space="preserve">季報：</t>
    </r>
    <r>
      <rPr>
        <sz val="9"/>
        <color rgb="FF595959"/>
        <rFont val="Arial"/>
        <family val="0"/>
        <charset val="1"/>
      </rPr>
      <t xml:space="preserve">FY27Q2 </t>
    </r>
    <r>
      <rPr>
        <sz val="9"/>
        <color rgb="FF595959"/>
        <rFont val="Noto Sans CJK SC"/>
        <family val="2"/>
      </rPr>
      <t xml:space="preserve">至 </t>
    </r>
    <r>
      <rPr>
        <sz val="9"/>
        <color rgb="FF595959"/>
        <rFont val="Arial"/>
        <family val="0"/>
        <charset val="1"/>
      </rPr>
      <t xml:space="preserve">FY2029 </t>
    </r>
    <r>
      <rPr>
        <sz val="9"/>
        <color rgb="FF595959"/>
        <rFont val="Noto Sans CJK SC"/>
        <family val="2"/>
      </rPr>
      <t xml:space="preserve">起租 → </t>
    </r>
    <r>
      <rPr>
        <sz val="9"/>
        <color rgb="FF595959"/>
        <rFont val="Arial"/>
        <family val="0"/>
        <charset val="1"/>
      </rPr>
      <t xml:space="preserve">11 </t>
    </r>
    <r>
      <rPr>
        <sz val="9"/>
        <color rgb="FF595959"/>
        <rFont val="Noto Sans CJK SC"/>
        <family val="2"/>
      </rPr>
      <t xml:space="preserve">季 </t>
    </r>
    <r>
      <rPr>
        <sz val="9"/>
        <color rgb="FF595959"/>
        <rFont val="Arial"/>
        <family val="0"/>
        <charset val="1"/>
      </rPr>
      <t xml:space="preserve">[Assumed]</t>
    </r>
  </si>
  <si>
    <t xml:space="preserve">未起租：每筆租期</t>
  </si>
  <si>
    <t xml:space="preserve">年</t>
  </si>
  <si>
    <r>
      <rPr>
        <sz val="9"/>
        <color rgb="FF595959"/>
        <rFont val="Noto Sans CJK SC"/>
        <family val="2"/>
      </rPr>
      <t xml:space="preserve">季報 </t>
    </r>
    <r>
      <rPr>
        <sz val="9"/>
        <color rgb="FF595959"/>
        <rFont val="Arial"/>
        <family val="0"/>
        <charset val="1"/>
      </rPr>
      <t xml:space="preserve">15–19 </t>
    </r>
    <r>
      <rPr>
        <sz val="9"/>
        <color rgb="FF595959"/>
        <rFont val="Noto Sans CJK SC"/>
        <family val="2"/>
      </rPr>
      <t xml:space="preserve">年取中點；敏感度 </t>
    </r>
    <r>
      <rPr>
        <sz val="9"/>
        <color rgb="FF595959"/>
        <rFont val="Arial"/>
        <family val="0"/>
        <charset val="1"/>
      </rPr>
      <t xml:space="preserve">15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19 </t>
    </r>
    <r>
      <rPr>
        <sz val="9"/>
        <color rgb="FF595959"/>
        <rFont val="Noto Sans CJK SC"/>
        <family val="2"/>
      </rPr>
      <t xml:space="preserve">年見報告 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</si>
  <si>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b val="true"/>
        <sz val="10"/>
        <rFont val="Arial"/>
        <family val="0"/>
        <charset val="1"/>
      </rPr>
      <t xml:space="preserve">B</t>
    </r>
    <r>
      <rPr>
        <b val="true"/>
        <sz val="10"/>
        <rFont val="Noto Sans CJK SC"/>
        <family val="2"/>
      </rPr>
      <t xml:space="preserve">｜產能與收入（</t>
    </r>
    <r>
      <rPr>
        <b val="true"/>
        <sz val="10"/>
        <rFont val="Arial"/>
        <family val="0"/>
        <charset val="1"/>
      </rPr>
      <t xml:space="preserve">MW</t>
    </r>
    <r>
      <rPr>
        <b val="true"/>
        <sz val="10"/>
        <rFont val="Noto Sans CJK SC"/>
        <family val="2"/>
      </rPr>
      <t xml:space="preserve">、每 </t>
    </r>
    <r>
      <rPr>
        <b val="true"/>
        <sz val="10"/>
        <rFont val="Arial"/>
        <family val="0"/>
        <charset val="1"/>
      </rPr>
      <t xml:space="preserve">MW </t>
    </r>
    <r>
      <rPr>
        <b val="true"/>
        <sz val="10"/>
        <rFont val="Noto Sans CJK SC"/>
        <family val="2"/>
      </rPr>
      <t xml:space="preserve">年收入、利用率、信用；</t>
    </r>
    <r>
      <rPr>
        <b val="true"/>
        <sz val="10"/>
        <rFont val="Arial"/>
        <family val="0"/>
        <charset val="1"/>
      </rPr>
      <t xml:space="preserve">RPO </t>
    </r>
    <r>
      <rPr>
        <b val="true"/>
        <sz val="10"/>
        <rFont val="Noto Sans CJK SC"/>
        <family val="2"/>
      </rPr>
      <t xml:space="preserve">只作對照）</t>
    </r>
  </si>
  <si>
    <t xml:space="preserve">8/31 RPO</t>
  </si>
  <si>
    <r>
      <rPr>
        <sz val="9"/>
        <color rgb="FF595959"/>
        <rFont val="Noto Sans CJK SC"/>
        <family val="2"/>
      </rPr>
      <t xml:space="preserve">季報 </t>
    </r>
    <r>
      <rPr>
        <sz val="9"/>
        <color rgb="FF595959"/>
        <rFont val="Arial"/>
        <family val="0"/>
        <charset val="1"/>
      </rPr>
      <t xml:space="preserve">RPO 664.0</t>
    </r>
    <r>
      <rPr>
        <sz val="9"/>
        <color rgb="FF595959"/>
        <rFont val="Noto Sans CJK SC"/>
        <family val="2"/>
      </rPr>
      <t xml:space="preserve">（只作對照與債務上限的 </t>
    </r>
    <r>
      <rPr>
        <sz val="9"/>
        <color rgb="FF595959"/>
        <rFont val="Arial"/>
        <family val="0"/>
        <charset val="1"/>
      </rPr>
      <t xml:space="preserve">backlog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[Interested-party]</t>
    </r>
  </si>
  <si>
    <t xml:space="preserve">評價日後新增承諾</t>
  </si>
  <si>
    <r>
      <rPr>
        <sz val="9"/>
        <color rgb="FF595959"/>
        <rFont val="Noto Sans CJK SC"/>
        <family val="2"/>
      </rPr>
      <t xml:space="preserve">評價日後新簽、尚未進 </t>
    </r>
    <r>
      <rPr>
        <sz val="9"/>
        <color rgb="FF595959"/>
        <rFont val="Arial"/>
        <family val="0"/>
        <charset val="1"/>
      </rPr>
      <t xml:space="preserve">RPO </t>
    </r>
    <r>
      <rPr>
        <sz val="9"/>
        <color rgb="FF595959"/>
        <rFont val="Noto Sans CJK SC"/>
        <family val="2"/>
      </rPr>
      <t xml:space="preserve">的承諾；未揭露，取 </t>
    </r>
    <r>
      <rPr>
        <sz val="9"/>
        <color rgb="FF595959"/>
        <rFont val="Arial"/>
        <family val="0"/>
        <charset val="1"/>
      </rPr>
      <t xml:space="preserve">0 [Assumed]</t>
    </r>
  </si>
  <si>
    <r>
      <rPr>
        <sz val="10"/>
        <rFont val="Noto Sans CJK SC"/>
        <family val="2"/>
      </rPr>
      <t xml:space="preserve">五期認列比例（至 </t>
    </r>
    <r>
      <rPr>
        <sz val="10"/>
        <rFont val="Arial"/>
        <family val="0"/>
        <charset val="1"/>
      </rPr>
      <t xml:space="preserve">2030 </t>
    </r>
    <r>
      <rPr>
        <sz val="10"/>
        <rFont val="Noto Sans CJK SC"/>
        <family val="2"/>
      </rPr>
      <t xml:space="preserve">末）</t>
    </r>
  </si>
  <si>
    <r>
      <rPr>
        <sz val="9"/>
        <color rgb="FF595959"/>
        <rFont val="Noto Sans CJK SC"/>
        <family val="2"/>
      </rPr>
      <t xml:space="preserve">季報 </t>
    </r>
    <r>
      <rPr>
        <sz val="9"/>
        <color rgb="FF595959"/>
        <rFont val="Arial"/>
        <family val="0"/>
        <charset val="1"/>
      </rPr>
      <t xml:space="preserve">RPO </t>
    </r>
    <r>
      <rPr>
        <sz val="9"/>
        <color rgb="FF595959"/>
        <rFont val="Noto Sans CJK SC"/>
        <family val="2"/>
      </rPr>
      <t xml:space="preserve">桶線性分攤後五期合計 </t>
    </r>
    <r>
      <rPr>
        <sz val="9"/>
        <color rgb="FF595959"/>
        <rFont val="Arial"/>
        <family val="0"/>
        <charset val="1"/>
      </rPr>
      <t xml:space="preserve">79.75% [Derived]</t>
    </r>
  </si>
  <si>
    <r>
      <rPr>
        <sz val="10"/>
        <rFont val="Arial"/>
        <family val="0"/>
        <charset val="1"/>
      </rPr>
      <t xml:space="preserve">RPO </t>
    </r>
    <r>
      <rPr>
        <sz val="10"/>
        <rFont val="Noto Sans CJK SC"/>
        <family val="2"/>
      </rPr>
      <t xml:space="preserve">桶權重合計</t>
    </r>
  </si>
  <si>
    <t xml:space="preserve">下方權重列的合計，用於歸一化</t>
  </si>
  <si>
    <r>
      <rPr>
        <sz val="10"/>
        <rFont val="Arial"/>
        <family val="0"/>
        <charset val="1"/>
      </rPr>
      <t xml:space="preserve">2026-05-31 </t>
    </r>
    <r>
      <rPr>
        <sz val="10"/>
        <rFont val="Noto Sans CJK SC"/>
        <family val="2"/>
      </rPr>
      <t xml:space="preserve">主動電力</t>
    </r>
  </si>
  <si>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Noto Sans CJK SC"/>
        <family val="2"/>
      </rPr>
      <t xml:space="preserve">年底已連網 </t>
    </r>
    <r>
      <rPr>
        <sz val="9"/>
        <color rgb="FF595959"/>
        <rFont val="Arial"/>
        <family val="0"/>
        <charset val="1"/>
      </rPr>
      <t xml:space="preserve">MW-IT </t>
    </r>
    <r>
      <rPr>
        <sz val="9"/>
        <color rgb="FF595959"/>
        <rFont val="Noto Sans CJK SC"/>
        <family val="2"/>
      </rPr>
      <t xml:space="preserve">未揭露：以各情境校準可計費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的最大值（保守 </t>
    </r>
    <r>
      <rPr>
        <sz val="9"/>
        <color rgb="FF595959"/>
        <rFont val="Arial"/>
        <family val="0"/>
        <charset val="1"/>
      </rPr>
      <t xml:space="preserve">2,543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Q1 OCI </t>
    </r>
    <r>
      <rPr>
        <sz val="9"/>
        <color rgb="FF595959"/>
        <rFont val="Noto Sans CJK SC"/>
        <family val="2"/>
      </rPr>
      <t xml:space="preserve">年化 </t>
    </r>
    <r>
      <rPr>
        <sz val="9"/>
        <color rgb="FF595959"/>
        <rFont val="Arial"/>
        <family val="0"/>
        <charset val="1"/>
      </rPr>
      <t xml:space="preserve">29.552 ÷ 11.62</t>
    </r>
    <r>
      <rPr>
        <sz val="9"/>
        <color rgb="FF595959"/>
        <rFont val="Noto Sans CJK SC"/>
        <family val="2"/>
      </rPr>
      <t xml:space="preserve">）減 </t>
    </r>
    <r>
      <rPr>
        <sz val="9"/>
        <color rgb="FF595959"/>
        <rFont val="Arial"/>
        <family val="0"/>
        <charset val="1"/>
      </rPr>
      <t xml:space="preserve">Q1 </t>
    </r>
    <r>
      <rPr>
        <sz val="9"/>
        <color rgb="FF595959"/>
        <rFont val="Noto Sans CJK SC"/>
        <family val="2"/>
      </rPr>
      <t xml:space="preserve">交付 </t>
    </r>
    <r>
      <rPr>
        <sz val="9"/>
        <color rgb="FF595959"/>
        <rFont val="Arial"/>
        <family val="0"/>
        <charset val="1"/>
      </rPr>
      <t xml:space="preserve">708 </t>
    </r>
    <r>
      <rPr>
        <sz val="9"/>
        <color rgb="FF595959"/>
        <rFont val="Noto Sans CJK SC"/>
        <family val="2"/>
      </rPr>
      <t xml:space="preserve">推得 </t>
    </r>
    <r>
      <rPr>
        <sz val="9"/>
        <color rgb="FF595959"/>
        <rFont val="Arial"/>
        <family val="0"/>
        <charset val="1"/>
      </rPr>
      <t xml:space="preserve">1,835</t>
    </r>
    <r>
      <rPr>
        <sz val="9"/>
        <color rgb="FF595959"/>
        <rFont val="Noto Sans CJK SC"/>
        <family val="2"/>
      </rPr>
      <t xml:space="preserve">，使各情境期初可計費不超過已連網 </t>
    </r>
    <r>
      <rPr>
        <sz val="9"/>
        <color rgb="FF595959"/>
        <rFont val="Arial"/>
        <family val="0"/>
        <charset val="1"/>
      </rPr>
      <t xml:space="preserve">[Derived]</t>
    </r>
  </si>
  <si>
    <t xml:space="preserve">8/31 Billable MW</t>
  </si>
  <si>
    <r>
      <rPr>
        <sz val="9"/>
        <color rgb="FF595959"/>
        <rFont val="Noto Sans CJK SC"/>
        <family val="2"/>
      </rPr>
      <t xml:space="preserve">＝依 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區情境選擇器（以實際營收校準）</t>
    </r>
  </si>
  <si>
    <r>
      <rPr>
        <sz val="10"/>
        <rFont val="Noto Sans CJK SC"/>
        <family val="2"/>
      </rPr>
      <t xml:space="preserve">收入用平均在役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1=</t>
    </r>
    <r>
      <rPr>
        <sz val="10"/>
        <rFont val="Noto Sans CJK SC"/>
        <family val="2"/>
      </rPr>
      <t xml:space="preserve">是）</t>
    </r>
  </si>
  <si>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＝用期末存量全期化；建議 </t>
    </r>
    <r>
      <rPr>
        <sz val="9"/>
        <color rgb="FF595959"/>
        <rFont val="Arial"/>
        <family val="0"/>
        <charset val="1"/>
      </rPr>
      <t xml:space="preserve">1</t>
    </r>
  </si>
  <si>
    <r>
      <rPr>
        <sz val="10"/>
        <rFont val="Noto Sans CJK SC"/>
        <family val="2"/>
      </rPr>
      <t xml:space="preserve">營收驅動（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MW × </t>
    </r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年收入；</t>
    </r>
    <r>
      <rPr>
        <sz val="10"/>
        <rFont val="Arial"/>
        <family val="0"/>
        <charset val="1"/>
      </rPr>
      <t xml:space="preserve">rpo</t>
    </r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RPO </t>
    </r>
    <r>
      <rPr>
        <sz val="10"/>
        <rFont val="Noto Sans CJK SC"/>
        <family val="2"/>
      </rPr>
      <t xml:space="preserve">排程）</t>
    </r>
  </si>
  <si>
    <t xml:space="preserve">mw</t>
  </si>
  <si>
    <r>
      <rPr>
        <sz val="9"/>
        <color rgb="FF595959"/>
        <rFont val="Arial"/>
        <family val="0"/>
        <charset val="1"/>
      </rPr>
      <t xml:space="preserve">mw</t>
    </r>
    <r>
      <rPr>
        <sz val="9"/>
        <color rgb="FF595959"/>
        <rFont val="Noto Sans CJK SC"/>
        <family val="2"/>
      </rPr>
      <t xml:space="preserve">：新產能簽約率固定 </t>
    </r>
    <r>
      <rPr>
        <sz val="9"/>
        <color rgb="FF595959"/>
        <rFont val="Arial"/>
        <family val="0"/>
        <charset val="1"/>
      </rPr>
      <t xml:space="preserve">100%</t>
    </r>
    <r>
      <rPr>
        <sz val="9"/>
        <color rgb="FF595959"/>
        <rFont val="Noto Sans CJK SC"/>
        <family val="2"/>
      </rPr>
      <t xml:space="preserve">，營收＝容量上限；</t>
    </r>
    <r>
      <rPr>
        <sz val="9"/>
        <color rgb="FF595959"/>
        <rFont val="Arial"/>
        <family val="0"/>
        <charset val="1"/>
      </rPr>
      <t xml:space="preserve">RPO </t>
    </r>
    <r>
      <rPr>
        <sz val="9"/>
        <color rgb="FF595959"/>
        <rFont val="Noto Sans CJK SC"/>
        <family val="2"/>
      </rPr>
      <t xml:space="preserve">只作對照與產能瓶頸旗標（</t>
    </r>
    <r>
      <rPr>
        <sz val="9"/>
        <color rgb="FF595959"/>
        <rFont val="Arial"/>
        <family val="0"/>
        <charset val="1"/>
      </rPr>
      <t xml:space="preserve">company.json → defaults.revenueDriver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</si>
  <si>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年收入倍數（整體）</t>
    </r>
  </si>
  <si>
    <r>
      <rPr>
        <sz val="9"/>
        <color rgb="FF595959"/>
        <rFont val="Noto Sans CJK SC"/>
        <family val="2"/>
      </rPr>
      <t xml:space="preserve">反向 </t>
    </r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Noto Sans CJK SC"/>
        <family val="2"/>
      </rPr>
      <t xml:space="preserve">與壓力測試用；預設 </t>
    </r>
    <r>
      <rPr>
        <sz val="9"/>
        <color rgb="FF595959"/>
        <rFont val="Arial"/>
        <family val="0"/>
        <charset val="1"/>
      </rPr>
      <t xml:space="preserve">100%</t>
    </r>
    <r>
      <rPr>
        <sz val="9"/>
        <color rgb="FF595959"/>
        <rFont val="Noto Sans CJK SC"/>
        <family val="2"/>
      </rPr>
      <t xml:space="preserve">。以『目標搜尋』調整此格即可反解市價隱含單價</t>
    </r>
  </si>
  <si>
    <t xml:space="preserve">來源／標籤</t>
  </si>
  <si>
    <t xml:space="preserve">模型期長度（年）</t>
  </si>
  <si>
    <r>
      <rPr>
        <sz val="9"/>
        <color rgb="FF595959"/>
        <rFont val="Noto Sans CJK SC"/>
        <family val="2"/>
      </rPr>
      <t xml:space="preserve">勿改。由 </t>
    </r>
    <r>
      <rPr>
        <sz val="9"/>
        <color rgb="FF595959"/>
        <rFont val="Arial"/>
        <family val="0"/>
        <charset val="1"/>
      </rPr>
      <t xml:space="preserve">calendar_q.py </t>
    </r>
    <r>
      <rPr>
        <sz val="9"/>
        <color rgb="FF595959"/>
        <rFont val="Noto Sans CJK SC"/>
        <family val="2"/>
      </rPr>
      <t xml:space="preserve">推算；只用於容量上限、電力、維護等年率換算 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</si>
  <si>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Arial"/>
        <family val="0"/>
        <charset val="1"/>
      </rPr>
      <t xml:space="preserve">RPO </t>
    </r>
    <r>
      <rPr>
        <sz val="10"/>
        <rFont val="Noto Sans CJK SC"/>
        <family val="2"/>
      </rPr>
      <t xml:space="preserve">桶權重</t>
    </r>
  </si>
  <si>
    <r>
      <rPr>
        <sz val="9"/>
        <color rgb="FF595959"/>
        <rFont val="Noto Sans CJK SC"/>
        <family val="2"/>
      </rPr>
      <t xml:space="preserve">季報 </t>
    </r>
    <r>
      <rPr>
        <sz val="9"/>
        <color rgb="FF595959"/>
        <rFont val="Arial"/>
        <family val="0"/>
        <charset val="1"/>
      </rPr>
      <t xml:space="preserve">RPO </t>
    </r>
    <r>
      <rPr>
        <sz val="9"/>
        <color rgb="FF595959"/>
        <rFont val="Noto Sans CJK SC"/>
        <family val="2"/>
      </rPr>
      <t xml:space="preserve">桶（</t>
    </r>
    <r>
      <rPr>
        <sz val="9"/>
        <color rgb="FF595959"/>
        <rFont val="Arial"/>
        <family val="0"/>
        <charset val="1"/>
      </rPr>
      <t xml:space="preserve">12 </t>
    </r>
    <r>
      <rPr>
        <sz val="9"/>
        <color rgb="FF595959"/>
        <rFont val="Noto Sans CJK SC"/>
        <family val="2"/>
      </rPr>
      <t xml:space="preserve">個月內 </t>
    </r>
    <r>
      <rPr>
        <sz val="9"/>
        <color rgb="FF595959"/>
        <rFont val="Arial"/>
        <family val="0"/>
        <charset val="1"/>
      </rPr>
      <t xml:space="preserve">13%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36 </t>
    </r>
    <r>
      <rPr>
        <sz val="9"/>
        <color rgb="FF595959"/>
        <rFont val="Noto Sans CJK SC"/>
        <family val="2"/>
      </rPr>
      <t xml:space="preserve">個月內合計 </t>
    </r>
    <r>
      <rPr>
        <sz val="9"/>
        <color rgb="FF595959"/>
        <rFont val="Arial"/>
        <family val="0"/>
        <charset val="1"/>
      </rPr>
      <t xml:space="preserve">50%</t>
    </r>
    <r>
      <rPr>
        <sz val="9"/>
        <color rgb="FF595959"/>
        <rFont val="Noto Sans CJK SC"/>
        <family val="2"/>
      </rPr>
      <t xml:space="preserve">；其餘假設 </t>
    </r>
    <r>
      <rPr>
        <sz val="9"/>
        <color rgb="FF595959"/>
        <rFont val="Arial"/>
        <family val="0"/>
        <charset val="1"/>
      </rPr>
      <t xml:space="preserve">61–84 </t>
    </r>
    <r>
      <rPr>
        <sz val="9"/>
        <color rgb="FF595959"/>
        <rFont val="Noto Sans CJK SC"/>
        <family val="2"/>
      </rPr>
      <t xml:space="preserve">個月；含傳統事業 </t>
    </r>
    <r>
      <rPr>
        <sz val="9"/>
        <color rgb="FF595959"/>
        <rFont val="Arial"/>
        <family val="0"/>
        <charset val="1"/>
      </rPr>
      <t xml:space="preserve">RPO</t>
    </r>
    <r>
      <rPr>
        <sz val="9"/>
        <color rgb="FF595959"/>
        <rFont val="Noto Sans CJK SC"/>
        <family val="2"/>
      </rPr>
      <t xml:space="preserve">，只作對照）桶內線性分攤 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</si>
  <si>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Arial"/>
        <family val="0"/>
        <charset val="1"/>
      </rPr>
      <t xml:space="preserve">Accepted MW</t>
    </r>
    <r>
      <rPr>
        <sz val="10"/>
        <rFont val="Noto Sans CJK SC"/>
        <family val="2"/>
      </rPr>
      <t xml:space="preserve">（期末主動電力）</t>
    </r>
  </si>
  <si>
    <r>
      <rPr>
        <sz val="9"/>
        <color rgb="FF595959"/>
        <rFont val="Noto Sans CJK SC"/>
        <family val="2"/>
      </rPr>
      <t xml:space="preserve">＝依 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區情境選擇器（已連網 </t>
    </r>
    <r>
      <rPr>
        <sz val="9"/>
        <color rgb="FF595959"/>
        <rFont val="Arial"/>
        <family val="0"/>
        <charset val="1"/>
      </rPr>
      <t xml:space="preserve">MW-IT</t>
    </r>
    <r>
      <rPr>
        <sz val="9"/>
        <color rgb="FF595959"/>
        <rFont val="Noto Sans CJK SC"/>
        <family val="2"/>
      </rPr>
      <t xml:space="preserve">）</t>
    </r>
  </si>
  <si>
    <t xml:space="preserve">Billable MW</t>
  </si>
  <si>
    <r>
      <rPr>
        <sz val="9"/>
        <color rgb="FF595959"/>
        <rFont val="Noto Sans CJK SC"/>
        <family val="2"/>
      </rPr>
      <t xml:space="preserve">＝期初校準值＋</t>
    </r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Noto Sans CJK SC"/>
        <family val="2"/>
      </rPr>
      <t xml:space="preserve">已連網 − 期初校準值</t>
    </r>
    <r>
      <rPr>
        <sz val="9"/>
        <color rgb="FF595959"/>
        <rFont val="Arial"/>
        <family val="0"/>
        <charset val="1"/>
      </rPr>
      <t xml:space="preserve">)× </t>
    </r>
    <r>
      <rPr>
        <sz val="9"/>
        <color rgb="FF595959"/>
        <rFont val="Noto Sans CJK SC"/>
        <family val="2"/>
      </rPr>
      <t xml:space="preserve">收斂比例（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區）</t>
    </r>
  </si>
  <si>
    <t xml:space="preserve">利用率</t>
  </si>
  <si>
    <r>
      <rPr>
        <sz val="9"/>
        <color rgb="FF595959"/>
        <rFont val="Arial"/>
        <family val="0"/>
        <charset val="1"/>
      </rPr>
      <t xml:space="preserve">100%</t>
    </r>
    <r>
      <rPr>
        <sz val="9"/>
        <color rgb="FF595959"/>
        <rFont val="Noto Sans CJK SC"/>
        <family val="2"/>
      </rPr>
      <t xml:space="preserve">：每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年收入已含可計費利用率（路徑 </t>
    </r>
    <r>
      <rPr>
        <sz val="9"/>
        <color rgb="FF595959"/>
        <rFont val="Arial"/>
        <family val="0"/>
        <charset val="1"/>
      </rPr>
      <t xml:space="preserve">B 80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85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90%</t>
    </r>
    <r>
      <rPr>
        <sz val="9"/>
        <color rgb="FF595959"/>
        <rFont val="Noto Sans CJK SC"/>
        <family val="2"/>
      </rPr>
      <t xml:space="preserve">），不重複扣除 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</si>
  <si>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年收入</t>
    </r>
  </si>
  <si>
    <r>
      <rPr>
        <sz val="9"/>
        <color rgb="FF595959"/>
        <rFont val="Noto Sans CJK SC"/>
        <family val="2"/>
      </rPr>
      <t xml:space="preserve">＝依 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區情境選擇器（</t>
    </r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Noto Sans CJK SC"/>
        <family val="2"/>
      </rPr>
      <t xml:space="preserve">正向推導三情境）</t>
    </r>
  </si>
  <si>
    <t xml:space="preserve">新產能簽約率</t>
  </si>
  <si>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驅動：</t>
    </r>
    <r>
      <rPr>
        <sz val="9"/>
        <color rgb="FF595959"/>
        <rFont val="Arial"/>
        <family val="0"/>
        <charset val="1"/>
      </rPr>
      <t xml:space="preserve">100%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RPO </t>
    </r>
    <r>
      <rPr>
        <sz val="9"/>
        <color rgb="FF595959"/>
        <rFont val="Noto Sans CJK SC"/>
        <family val="2"/>
      </rPr>
      <t xml:space="preserve">只作對照）</t>
    </r>
  </si>
  <si>
    <t xml:space="preserve">客戶違約率</t>
  </si>
  <si>
    <r>
      <rPr>
        <sz val="9"/>
        <color rgb="FF595959"/>
        <rFont val="Noto Sans CJK SC"/>
        <family val="2"/>
      </rPr>
      <t xml:space="preserve">前三大客戶約 </t>
    </r>
    <r>
      <rPr>
        <sz val="9"/>
        <color rgb="FF595959"/>
        <rFont val="Arial"/>
        <family val="0"/>
        <charset val="1"/>
      </rPr>
      <t xml:space="preserve">59% </t>
    </r>
    <r>
      <rPr>
        <sz val="9"/>
        <color rgb="FF595959"/>
        <rFont val="Noto Sans CJK SC"/>
        <family val="2"/>
      </rPr>
      <t xml:space="preserve">營收的定價，非預測 </t>
    </r>
    <r>
      <rPr>
        <sz val="9"/>
        <color rgb="FF595959"/>
        <rFont val="Arial"/>
        <family val="0"/>
        <charset val="1"/>
      </rPr>
      <t xml:space="preserve">[Assumed]</t>
    </r>
  </si>
  <si>
    <t xml:space="preserve">回收率</t>
  </si>
  <si>
    <t xml:space="preserve">[Assumed]</t>
  </si>
  <si>
    <t xml:space="preserve">非算力服務營收</t>
  </si>
  <si>
    <r>
      <rPr>
        <sz val="9"/>
        <color rgb="FF595959"/>
        <rFont val="Noto Sans CJK SC"/>
        <family val="2"/>
      </rPr>
      <t xml:space="preserve">預設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AI cloud </t>
    </r>
    <r>
      <rPr>
        <sz val="9"/>
        <color rgb="FF595959"/>
        <rFont val="Noto Sans CJK SC"/>
        <family val="2"/>
      </rPr>
      <t xml:space="preserve">軟體已含在每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年收入；其他事業另列 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</si>
  <si>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sz val="10"/>
        <rFont val="Noto Sans CJK SC"/>
        <family val="2"/>
      </rPr>
      <t xml:space="preserve">其他事業 </t>
    </r>
    <r>
      <rPr>
        <sz val="10"/>
        <rFont val="Arial"/>
        <family val="0"/>
        <charset val="1"/>
      </rPr>
      <t xml:space="preserve">EBITDA</t>
    </r>
  </si>
  <si>
    <r>
      <rPr>
        <sz val="9"/>
        <color rgb="FF595959"/>
        <rFont val="Noto Sans CJK SC"/>
        <family val="2"/>
      </rPr>
      <t xml:space="preserve">不適用（</t>
    </r>
    <r>
      <rPr>
        <sz val="9"/>
        <color rgb="FF595959"/>
        <rFont val="Arial"/>
        <family val="0"/>
        <charset val="1"/>
      </rPr>
      <t xml:space="preserve">Oracle </t>
    </r>
    <r>
      <rPr>
        <sz val="9"/>
        <color rgb="FF595959"/>
        <rFont val="Noto Sans CJK SC"/>
        <family val="2"/>
      </rPr>
      <t xml:space="preserve">無需另列的非核心事業燒錢；傳統事業另列於 </t>
    </r>
    <r>
      <rPr>
        <sz val="9"/>
        <color rgb="FF595959"/>
        <rFont val="Arial"/>
        <family val="0"/>
        <charset val="1"/>
      </rPr>
      <t xml:space="preserve">defaults.legacyBiz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v0.1b </t>
    </r>
    <r>
      <rPr>
        <sz val="9"/>
        <color rgb="FF595959"/>
        <rFont val="Noto Sans CJK SC"/>
        <family val="2"/>
      </rPr>
      <t xml:space="preserve">步驟 </t>
    </r>
    <r>
      <rPr>
        <sz val="9"/>
        <color rgb="FF595959"/>
        <rFont val="Arial"/>
        <family val="0"/>
        <charset val="1"/>
      </rPr>
      <t xml:space="preserve">3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</si>
  <si>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color rgb="FF1F3864"/>
        <rFont val="Arial"/>
        <family val="0"/>
        <charset val="1"/>
      </rPr>
      <t xml:space="preserve">▸ B2</t>
    </r>
    <r>
      <rPr>
        <b val="true"/>
        <sz val="10"/>
        <color rgb="FF1F3864"/>
        <rFont val="Noto Sans CJK SC"/>
        <family val="2"/>
      </rPr>
      <t xml:space="preserve">｜傳統事業（各線全年營收＝上一財年 </t>
    </r>
    <r>
      <rPr>
        <b val="true"/>
        <sz val="10"/>
        <color rgb="FF1F3864"/>
        <rFont val="Arial"/>
        <family val="0"/>
        <charset val="1"/>
      </rPr>
      <t xml:space="preserve">×(1</t>
    </r>
    <r>
      <rPr>
        <b val="true"/>
        <sz val="10"/>
        <color rgb="FF1F3864"/>
        <rFont val="Noto Sans CJK SC"/>
        <family val="2"/>
      </rPr>
      <t xml:space="preserve">＋年增率</t>
    </r>
    <r>
      <rPr>
        <b val="true"/>
        <sz val="10"/>
        <color rgb="FF1F3864"/>
        <rFont val="Arial"/>
        <family val="0"/>
        <charset val="1"/>
      </rPr>
      <t xml:space="preserve">)</t>
    </r>
    <r>
      <rPr>
        <b val="true"/>
        <sz val="10"/>
        <color rgb="FF1F3864"/>
        <rFont val="Noto Sans CJK SC"/>
        <family val="2"/>
      </rPr>
      <t xml:space="preserve">，年增率自起點線性收斂到長期值；</t>
    </r>
    <r>
      <rPr>
        <b val="true"/>
        <sz val="10"/>
        <color rgb="FF1F3864"/>
        <rFont val="Arial"/>
        <family val="0"/>
        <charset val="1"/>
      </rPr>
      <t xml:space="preserve">FY27 </t>
    </r>
    <r>
      <rPr>
        <b val="true"/>
        <sz val="10"/>
        <color rgb="FF1F3864"/>
        <rFont val="Noto Sans CJK SC"/>
        <family val="2"/>
      </rPr>
      <t xml:space="preserve">模型期＝全年 − </t>
    </r>
    <r>
      <rPr>
        <b val="true"/>
        <sz val="10"/>
        <color rgb="FF1F3864"/>
        <rFont val="Arial"/>
        <family val="0"/>
        <charset val="1"/>
      </rPr>
      <t xml:space="preserve">1Q </t>
    </r>
    <r>
      <rPr>
        <b val="true"/>
        <sz val="10"/>
        <color rgb="FF1F3864"/>
        <rFont val="Noto Sans CJK SC"/>
        <family val="2"/>
      </rPr>
      <t xml:space="preserve">實際）</t>
    </r>
  </si>
  <si>
    <r>
      <rPr>
        <sz val="10"/>
        <rFont val="Noto Sans CJK SC"/>
        <family val="2"/>
      </rPr>
      <t xml:space="preserve">傳統事業｜</t>
    </r>
    <r>
      <rPr>
        <sz val="10"/>
        <rFont val="Arial"/>
        <family val="0"/>
        <charset val="1"/>
      </rPr>
      <t xml:space="preserve">SaaS</t>
    </r>
    <r>
      <rPr>
        <sz val="10"/>
        <rFont val="Noto Sans CJK SC"/>
        <family val="2"/>
      </rPr>
      <t xml:space="preserve">（雲端應用）｜上一財年實際</t>
    </r>
  </si>
  <si>
    <r>
      <rPr>
        <sz val="9"/>
        <color rgb="FF595959"/>
        <rFont val="Noto Sans CJK SC"/>
        <family val="2"/>
      </rPr>
      <t xml:space="preserve">上一財年經查核營收（</t>
    </r>
    <r>
      <rPr>
        <sz val="9"/>
        <color rgb="FF595959"/>
        <rFont val="Arial"/>
        <family val="0"/>
        <charset val="1"/>
      </rPr>
      <t xml:space="preserve">company.json → defaults.legacyBiz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[Verified]</t>
    </r>
  </si>
  <si>
    <r>
      <rPr>
        <sz val="10"/>
        <rFont val="Noto Sans CJK SC"/>
        <family val="2"/>
      </rPr>
      <t xml:space="preserve">傳統事業｜</t>
    </r>
    <r>
      <rPr>
        <sz val="10"/>
        <rFont val="Arial"/>
        <family val="0"/>
        <charset val="1"/>
      </rPr>
      <t xml:space="preserve">SaaS</t>
    </r>
    <r>
      <rPr>
        <sz val="10"/>
        <rFont val="Noto Sans CJK SC"/>
        <family val="2"/>
      </rPr>
      <t xml:space="preserve">（雲端應用）｜</t>
    </r>
    <r>
      <rPr>
        <sz val="10"/>
        <rFont val="Arial"/>
        <family val="0"/>
        <charset val="1"/>
      </rPr>
      <t xml:space="preserve">1Q </t>
    </r>
    <r>
      <rPr>
        <sz val="10"/>
        <rFont val="Noto Sans CJK SC"/>
        <family val="2"/>
      </rPr>
      <t xml:space="preserve">實際</t>
    </r>
  </si>
  <si>
    <r>
      <rPr>
        <sz val="9"/>
        <color rgb="FF595959"/>
        <rFont val="Noto Sans CJK SC"/>
        <family val="2"/>
      </rPr>
      <t xml:space="preserve">年初至今實際營收（</t>
    </r>
    <r>
      <rPr>
        <sz val="9"/>
        <color rgb="FF595959"/>
        <rFont val="Arial"/>
        <family val="0"/>
        <charset val="1"/>
      </rPr>
      <t xml:space="preserve">10-Q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[Interested-party]</t>
    </r>
  </si>
  <si>
    <r>
      <rPr>
        <sz val="10"/>
        <rFont val="Noto Sans CJK SC"/>
        <family val="2"/>
      </rPr>
      <t xml:space="preserve">傳統事業｜</t>
    </r>
    <r>
      <rPr>
        <sz val="10"/>
        <rFont val="Arial"/>
        <family val="0"/>
        <charset val="1"/>
      </rPr>
      <t xml:space="preserve">SaaS</t>
    </r>
    <r>
      <rPr>
        <sz val="10"/>
        <rFont val="Noto Sans CJK SC"/>
        <family val="2"/>
      </rPr>
      <t xml:space="preserve">（雲端應用）｜起始年增率</t>
    </r>
  </si>
  <si>
    <r>
      <rPr>
        <sz val="9"/>
        <color rgb="FF595959"/>
        <rFont val="Noto Sans CJK SC"/>
        <family val="2"/>
      </rPr>
      <t xml:space="preserve">近四季對前四季年增率 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</si>
  <si>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Noto Sans CJK SC"/>
        <family val="2"/>
      </rPr>
      <t xml:space="preserve">傳統事業｜</t>
    </r>
    <r>
      <rPr>
        <sz val="10"/>
        <rFont val="Arial"/>
        <family val="0"/>
        <charset val="1"/>
      </rPr>
      <t xml:space="preserve">SaaS</t>
    </r>
    <r>
      <rPr>
        <sz val="10"/>
        <rFont val="Noto Sans CJK SC"/>
        <family val="2"/>
      </rPr>
      <t xml:space="preserve">（雲端應用）｜長期年增率</t>
    </r>
  </si>
  <si>
    <r>
      <rPr>
        <sz val="9"/>
        <color rgb="FF595959"/>
        <rFont val="Noto Sans CJK SC"/>
        <family val="2"/>
      </rPr>
      <t xml:space="preserve">長期值 </t>
    </r>
    <r>
      <rPr>
        <sz val="9"/>
        <color rgb="FF595959"/>
        <rFont val="Arial"/>
        <family val="0"/>
        <charset val="1"/>
      </rPr>
      <t xml:space="preserve">[Assumed]</t>
    </r>
    <r>
      <rPr>
        <sz val="9"/>
        <color rgb="FF595959"/>
        <rFont val="Noto Sans CJK SC"/>
        <family val="2"/>
      </rPr>
      <t xml:space="preserve">（區間見 </t>
    </r>
    <r>
      <rPr>
        <sz val="9"/>
        <color rgb="FF595959"/>
        <rFont val="Arial"/>
        <family val="0"/>
        <charset val="1"/>
      </rPr>
      <t xml:space="preserve">company.json → defaults.legacyBiz.note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</si>
  <si>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傳統事業｜</t>
    </r>
    <r>
      <rPr>
        <sz val="10"/>
        <rFont val="Arial"/>
        <family val="0"/>
        <charset val="1"/>
      </rPr>
      <t xml:space="preserve">SaaS</t>
    </r>
    <r>
      <rPr>
        <sz val="10"/>
        <rFont val="Noto Sans CJK SC"/>
        <family val="2"/>
      </rPr>
      <t xml:space="preserve">（雲端應用）｜年增率</t>
    </r>
  </si>
  <si>
    <r>
      <rPr>
        <sz val="9"/>
        <color rgb="FF595959"/>
        <rFont val="Noto Sans CJK SC"/>
        <family val="2"/>
      </rPr>
      <t xml:space="preserve">＝起始＋</t>
    </r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Noto Sans CJK SC"/>
        <family val="2"/>
      </rPr>
      <t xml:space="preserve">長期 − 起始</t>
    </r>
    <r>
      <rPr>
        <sz val="9"/>
        <color rgb="FF595959"/>
        <rFont val="Arial"/>
        <family val="0"/>
        <charset val="1"/>
      </rPr>
      <t xml:space="preserve">)×</t>
    </r>
    <r>
      <rPr>
        <sz val="9"/>
        <color rgb="FF595959"/>
        <rFont val="Noto Sans CJK SC"/>
        <family val="2"/>
      </rPr>
      <t xml:space="preserve">期數</t>
    </r>
    <r>
      <rPr>
        <sz val="9"/>
        <color rgb="FF595959"/>
        <rFont val="Arial"/>
        <family val="0"/>
        <charset val="1"/>
      </rPr>
      <t xml:space="preserve">÷4</t>
    </r>
  </si>
  <si>
    <r>
      <rPr>
        <sz val="10"/>
        <rFont val="Noto Sans CJK SC"/>
        <family val="2"/>
      </rPr>
      <t xml:space="preserve">傳統事業｜</t>
    </r>
    <r>
      <rPr>
        <sz val="10"/>
        <rFont val="Arial"/>
        <family val="0"/>
        <charset val="1"/>
      </rPr>
      <t xml:space="preserve">SaaS</t>
    </r>
    <r>
      <rPr>
        <sz val="10"/>
        <rFont val="Noto Sans CJK SC"/>
        <family val="2"/>
      </rPr>
      <t xml:space="preserve">（雲端應用）｜全年營收</t>
    </r>
  </si>
  <si>
    <r>
      <rPr>
        <sz val="9"/>
        <color rgb="FF595959"/>
        <rFont val="Noto Sans CJK SC"/>
        <family val="2"/>
      </rPr>
      <t xml:space="preserve">＝前一年 </t>
    </r>
    <r>
      <rPr>
        <sz val="9"/>
        <color rgb="FF595959"/>
        <rFont val="Arial"/>
        <family val="0"/>
        <charset val="1"/>
      </rPr>
      <t xml:space="preserve">×(1</t>
    </r>
    <r>
      <rPr>
        <sz val="9"/>
        <color rgb="FF595959"/>
        <rFont val="Noto Sans CJK SC"/>
        <family val="2"/>
      </rPr>
      <t xml:space="preserve">＋年增率</t>
    </r>
    <r>
      <rPr>
        <sz val="9"/>
        <color rgb="FF595959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</si>
  <si>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傳統事業｜</t>
    </r>
    <r>
      <rPr>
        <sz val="10"/>
        <rFont val="Arial"/>
        <family val="0"/>
        <charset val="1"/>
      </rPr>
      <t xml:space="preserve">SaaS</t>
    </r>
    <r>
      <rPr>
        <sz val="10"/>
        <rFont val="Noto Sans CJK SC"/>
        <family val="2"/>
      </rPr>
      <t xml:space="preserve">（雲端應用）｜模型期營收</t>
    </r>
  </si>
  <si>
    <r>
      <rPr>
        <sz val="9"/>
        <color rgb="FF595959"/>
        <rFont val="Arial"/>
        <family val="0"/>
        <charset val="1"/>
      </rPr>
      <t xml:space="preserve">FY27</t>
    </r>
    <r>
      <rPr>
        <sz val="9"/>
        <color rgb="FF595959"/>
        <rFont val="Noto Sans CJK SC"/>
        <family val="2"/>
      </rPr>
      <t xml:space="preserve">＝全年 − </t>
    </r>
    <r>
      <rPr>
        <sz val="9"/>
        <color rgb="FF595959"/>
        <rFont val="Arial"/>
        <family val="0"/>
        <charset val="1"/>
      </rPr>
      <t xml:space="preserve">1Q </t>
    </r>
    <r>
      <rPr>
        <sz val="9"/>
        <color rgb="FF595959"/>
        <rFont val="Noto Sans CJK SC"/>
        <family val="2"/>
      </rPr>
      <t xml:space="preserve">實際</t>
    </r>
  </si>
  <si>
    <t xml:space="preserve">傳統事業｜軟體（授權＋支援）｜上一財年實際</t>
  </si>
  <si>
    <r>
      <rPr>
        <sz val="10"/>
        <rFont val="Noto Sans CJK SC"/>
        <family val="2"/>
      </rPr>
      <t xml:space="preserve">傳統事業｜軟體（授權＋支援）｜</t>
    </r>
    <r>
      <rPr>
        <sz val="10"/>
        <rFont val="Arial"/>
        <family val="0"/>
        <charset val="1"/>
      </rPr>
      <t xml:space="preserve">1Q </t>
    </r>
    <r>
      <rPr>
        <sz val="10"/>
        <rFont val="Noto Sans CJK SC"/>
        <family val="2"/>
      </rPr>
      <t xml:space="preserve">實際</t>
    </r>
  </si>
  <si>
    <t xml:space="preserve">傳統事業｜軟體（授權＋支援）｜起始年增率</t>
  </si>
  <si>
    <t xml:space="preserve">傳統事業｜軟體（授權＋支援）｜長期年增率</t>
  </si>
  <si>
    <t xml:space="preserve">傳統事業｜軟體（授權＋支援）｜年增率</t>
  </si>
  <si>
    <t xml:space="preserve">傳統事業｜軟體（授權＋支援）｜全年營收</t>
  </si>
  <si>
    <t xml:space="preserve">傳統事業｜軟體（授權＋支援）｜模型期營收</t>
  </si>
  <si>
    <t xml:space="preserve">傳統事業｜硬體｜上一財年實際</t>
  </si>
  <si>
    <r>
      <rPr>
        <sz val="10"/>
        <rFont val="Noto Sans CJK SC"/>
        <family val="2"/>
      </rPr>
      <t xml:space="preserve">傳統事業｜硬體｜</t>
    </r>
    <r>
      <rPr>
        <sz val="10"/>
        <rFont val="Arial"/>
        <family val="0"/>
        <charset val="1"/>
      </rPr>
      <t xml:space="preserve">1Q </t>
    </r>
    <r>
      <rPr>
        <sz val="10"/>
        <rFont val="Noto Sans CJK SC"/>
        <family val="2"/>
      </rPr>
      <t xml:space="preserve">實際</t>
    </r>
  </si>
  <si>
    <t xml:space="preserve">傳統事業｜硬體｜起始年增率</t>
  </si>
  <si>
    <t xml:space="preserve">傳統事業｜硬體｜長期年增率</t>
  </si>
  <si>
    <t xml:space="preserve">傳統事業｜硬體｜年增率</t>
  </si>
  <si>
    <t xml:space="preserve">傳統事業｜硬體｜全年營收</t>
  </si>
  <si>
    <t xml:space="preserve">傳統事業｜硬體｜模型期營收</t>
  </si>
  <si>
    <t xml:space="preserve">傳統事業｜服務｜上一財年實際</t>
  </si>
  <si>
    <r>
      <rPr>
        <sz val="10"/>
        <rFont val="Noto Sans CJK SC"/>
        <family val="2"/>
      </rPr>
      <t xml:space="preserve">傳統事業｜服務｜</t>
    </r>
    <r>
      <rPr>
        <sz val="10"/>
        <rFont val="Arial"/>
        <family val="0"/>
        <charset val="1"/>
      </rPr>
      <t xml:space="preserve">1Q </t>
    </r>
    <r>
      <rPr>
        <sz val="10"/>
        <rFont val="Noto Sans CJK SC"/>
        <family val="2"/>
      </rPr>
      <t xml:space="preserve">實際</t>
    </r>
  </si>
  <si>
    <t xml:space="preserve">傳統事業｜服務｜起始年增率</t>
  </si>
  <si>
    <t xml:space="preserve">傳統事業｜服務｜長期年增率</t>
  </si>
  <si>
    <t xml:space="preserve">傳統事業｜服務｜年增率</t>
  </si>
  <si>
    <t xml:space="preserve">傳統事業｜服務｜全年營收</t>
  </si>
  <si>
    <t xml:space="preserve">傳統事業｜服務｜模型期營收</t>
  </si>
  <si>
    <t xml:space="preserve">傳統事業營收（模型期）</t>
  </si>
  <si>
    <t xml:space="preserve">四線合計（下游引用此列）</t>
  </si>
  <si>
    <r>
      <rPr>
        <sz val="10"/>
        <rFont val="Noto Sans CJK SC"/>
        <family val="2"/>
      </rPr>
      <t xml:space="preserve">傳統事業 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</t>
    </r>
  </si>
  <si>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Noto Sans CJK SC"/>
        <family val="2"/>
      </rPr>
      <t xml:space="preserve">合併 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Noto Sans CJK SC"/>
        <family val="2"/>
      </rPr>
      <t xml:space="preserve">率＝非 </t>
    </r>
    <r>
      <rPr>
        <sz val="9"/>
        <color rgb="FF595959"/>
        <rFont val="Arial"/>
        <family val="0"/>
        <charset val="1"/>
      </rPr>
      <t xml:space="preserve">GAAP </t>
    </r>
    <r>
      <rPr>
        <sz val="9"/>
        <color rgb="FF595959"/>
        <rFont val="Noto Sans CJK SC"/>
        <family val="2"/>
      </rPr>
      <t xml:space="preserve">營業利益＋折舊，</t>
    </r>
    <r>
      <rPr>
        <sz val="9"/>
        <color rgb="FF595959"/>
        <rFont val="Arial"/>
        <family val="0"/>
        <charset val="1"/>
      </rPr>
      <t xml:space="preserve">OCI </t>
    </r>
    <r>
      <rPr>
        <sz val="9"/>
        <color rgb="FF595959"/>
        <rFont val="Noto Sans CJK SC"/>
        <family val="2"/>
      </rPr>
      <t xml:space="preserve">無分部揭露無法拆分 </t>
    </r>
    <r>
      <rPr>
        <sz val="9"/>
        <color rgb="FF595959"/>
        <rFont val="Arial"/>
        <family val="0"/>
        <charset val="1"/>
      </rPr>
      <t xml:space="preserve">[Derived]</t>
    </r>
    <r>
      <rPr>
        <sz val="9"/>
        <color rgb="FF595959"/>
        <rFont val="Noto Sans CJK SC"/>
        <family val="2"/>
      </rPr>
      <t xml:space="preserve">；不加無形資產攤銷，因非 </t>
    </r>
    <r>
      <rPr>
        <sz val="9"/>
        <color rgb="FF595959"/>
        <rFont val="Arial"/>
        <family val="0"/>
        <charset val="1"/>
      </rPr>
      <t xml:space="preserve">GAAP </t>
    </r>
    <r>
      <rPr>
        <sz val="9"/>
        <color rgb="FF595959"/>
        <rFont val="Noto Sans CJK SC"/>
        <family val="2"/>
      </rPr>
      <t xml:space="preserve">營業利益已排除攤銷</t>
    </r>
  </si>
  <si>
    <r>
      <rPr>
        <sz val="10"/>
        <rFont val="Noto Sans CJK SC"/>
        <family val="2"/>
      </rPr>
      <t xml:space="preserve">傳統事業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（模型期）</t>
    </r>
  </si>
  <si>
    <r>
      <rPr>
        <sz val="9"/>
        <color rgb="FF595959"/>
        <rFont val="Noto Sans CJK SC"/>
        <family val="2"/>
      </rPr>
      <t xml:space="preserve">＝營收 </t>
    </r>
    <r>
      <rPr>
        <sz val="9"/>
        <color rgb="FF595959"/>
        <rFont val="Arial"/>
        <family val="0"/>
        <charset val="1"/>
      </rPr>
      <t xml:space="preserve">× EBITDA </t>
    </r>
    <r>
      <rPr>
        <sz val="9"/>
        <color rgb="FF595959"/>
        <rFont val="Noto Sans CJK SC"/>
        <family val="2"/>
      </rPr>
      <t xml:space="preserve">率；同時進入損益 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Noto Sans CJK SC"/>
        <family val="2"/>
      </rPr>
      <t xml:space="preserve">與營運來源（現金稅另列）</t>
    </r>
  </si>
  <si>
    <r>
      <rPr>
        <sz val="10"/>
        <rFont val="Noto Sans CJK SC"/>
        <family val="2"/>
      </rPr>
      <t xml:space="preserve">傳統事業｜</t>
    </r>
    <r>
      <rPr>
        <sz val="10"/>
        <rFont val="Arial"/>
        <family val="0"/>
        <charset val="1"/>
      </rPr>
      <t xml:space="preserve">FY27 </t>
    </r>
    <r>
      <rPr>
        <sz val="10"/>
        <rFont val="Noto Sans CJK SC"/>
        <family val="2"/>
      </rPr>
      <t xml:space="preserve">核對（</t>
    </r>
    <r>
      <rPr>
        <sz val="10"/>
        <rFont val="Arial"/>
        <family val="0"/>
        <charset val="1"/>
      </rPr>
      <t xml:space="preserve">1Q</t>
    </r>
    <r>
      <rPr>
        <sz val="10"/>
        <rFont val="Noto Sans CJK SC"/>
        <family val="2"/>
      </rPr>
      <t xml:space="preserve">＋模型期 − 全年）</t>
    </r>
  </si>
  <si>
    <r>
      <rPr>
        <sz val="9"/>
        <color rgb="FF595959"/>
        <rFont val="Noto Sans CJK SC"/>
        <family val="2"/>
      </rPr>
      <t xml:space="preserve">應為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：首期年初至今實際＋模型期＝首期全年（各線合計）</t>
    </r>
  </si>
  <si>
    <r>
      <rPr>
        <b val="true"/>
        <sz val="10"/>
        <rFont val="Arial"/>
        <family val="0"/>
        <charset val="1"/>
      </rPr>
      <t xml:space="preserve">C</t>
    </r>
    <r>
      <rPr>
        <b val="true"/>
        <sz val="10"/>
        <rFont val="Noto Sans CJK SC"/>
        <family val="2"/>
      </rPr>
      <t xml:space="preserve">｜利潤率（</t>
    </r>
    <r>
      <rPr>
        <b val="true"/>
        <sz val="10"/>
        <rFont val="Arial"/>
        <family val="0"/>
        <charset val="1"/>
      </rPr>
      <t xml:space="preserve">EBITDA </t>
    </r>
    <r>
      <rPr>
        <b val="true"/>
        <sz val="10"/>
        <rFont val="Noto Sans CJK SC"/>
        <family val="2"/>
      </rPr>
      <t xml:space="preserve">率單一來源；損益與資金共用）</t>
    </r>
  </si>
  <si>
    <r>
      <rPr>
        <sz val="10"/>
        <rFont val="Noto Sans CJK SC"/>
        <family val="2"/>
      </rPr>
      <t xml:space="preserve">起始 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率（</t>
    </r>
    <r>
      <rPr>
        <sz val="10"/>
        <rFont val="Arial"/>
        <family val="0"/>
        <charset val="1"/>
      </rPr>
      <t xml:space="preserve">FY27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</si>
  <si>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FY27Q1 </t>
    </r>
    <r>
      <rPr>
        <sz val="9"/>
        <color rgb="FF595959"/>
        <rFont val="Noto Sans CJK SC"/>
        <family val="2"/>
      </rPr>
      <t xml:space="preserve">合併 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Noto Sans CJK SC"/>
        <family val="2"/>
      </rPr>
      <t xml:space="preserve">扣除傳統事業後拆推的 </t>
    </r>
    <r>
      <rPr>
        <sz val="9"/>
        <color rgb="FF595959"/>
        <rFont val="Arial"/>
        <family val="0"/>
        <charset val="1"/>
      </rPr>
      <t xml:space="preserve">OCI EBITDA </t>
    </r>
    <r>
      <rPr>
        <sz val="9"/>
        <color rgb="FF595959"/>
        <rFont val="Noto Sans CJK SC"/>
        <family val="2"/>
      </rPr>
      <t xml:space="preserve">率 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</si>
  <si>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Noto Sans CJK SC"/>
        <family val="2"/>
      </rPr>
      <t xml:space="preserve">穩態 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率（</t>
    </r>
    <r>
      <rPr>
        <sz val="10"/>
        <rFont val="Arial"/>
        <family val="0"/>
        <charset val="1"/>
      </rPr>
      <t xml:space="preserve">FY31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</si>
  <si>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可觀察 </t>
    </r>
    <r>
      <rPr>
        <sz val="9"/>
        <color rgb="FF595959"/>
        <rFont val="Arial"/>
        <family val="0"/>
        <charset val="1"/>
      </rPr>
      <t xml:space="preserve">neocloud </t>
    </r>
    <r>
      <rPr>
        <sz val="9"/>
        <color rgb="FF595959"/>
        <rFont val="Noto Sans CJK SC"/>
        <family val="2"/>
      </rPr>
      <t xml:space="preserve">區間 </t>
    </r>
    <r>
      <rPr>
        <sz val="9"/>
        <color rgb="FF595959"/>
        <rFont val="Arial"/>
        <family val="0"/>
        <charset val="1"/>
      </rPr>
      <t xml:space="preserve">IREN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35%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CRWV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59% </t>
    </r>
    <r>
      <rPr>
        <sz val="9"/>
        <color rgb="FF595959"/>
        <rFont val="Noto Sans CJK SC"/>
        <family val="2"/>
      </rPr>
      <t xml:space="preserve">的中點 </t>
    </r>
    <r>
      <rPr>
        <sz val="9"/>
        <color rgb="FF595959"/>
        <rFont val="Arial"/>
        <family val="0"/>
        <charset val="1"/>
      </rPr>
      <t xml:space="preserve">47%</t>
    </r>
    <r>
      <rPr>
        <sz val="9"/>
        <color rgb="FF595959"/>
        <rFont val="Noto Sans CJK SC"/>
        <family val="2"/>
      </rPr>
      <t xml:space="preserve">；不取自每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推導路徑 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的加成 </t>
    </r>
    <r>
      <rPr>
        <sz val="9"/>
        <color rgb="FF595959"/>
        <rFont val="Arial"/>
        <family val="0"/>
        <charset val="1"/>
      </rPr>
      <t xml:space="preserve">[Analogy]</t>
    </r>
  </si>
  <si>
    <r>
      <rPr>
        <sz val="10"/>
        <rFont val="Noto Sans CJK SC"/>
        <family val="2"/>
      </rPr>
      <t xml:space="preserve">基準情境租金占 </t>
    </r>
    <r>
      <rPr>
        <sz val="10"/>
        <rFont val="Arial"/>
        <family val="0"/>
        <charset val="1"/>
      </rPr>
      <t xml:space="preserve">OCI </t>
    </r>
    <r>
      <rPr>
        <sz val="10"/>
        <rFont val="Noto Sans CJK SC"/>
        <family val="2"/>
      </rPr>
      <t xml:space="preserve">營收（</t>
    </r>
    <r>
      <rPr>
        <sz val="10"/>
        <rFont val="Arial"/>
        <family val="0"/>
        <charset val="1"/>
      </rPr>
      <t xml:space="preserve">FY27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</si>
  <si>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EBITDAR </t>
    </r>
    <r>
      <rPr>
        <sz val="9"/>
        <color rgb="FF595959"/>
        <rFont val="Noto Sans CJK SC"/>
        <family val="2"/>
      </rPr>
      <t xml:space="preserve">率校準：基準情境首期租金 </t>
    </r>
    <r>
      <rPr>
        <sz val="9"/>
        <color rgb="FF595959"/>
        <rFont val="Arial"/>
        <family val="0"/>
        <charset val="1"/>
      </rPr>
      <t xml:space="preserve">÷ OCI </t>
    </r>
    <r>
      <rPr>
        <sz val="9"/>
        <color rgb="FF595959"/>
        <rFont val="Noto Sans CJK SC"/>
        <family val="2"/>
      </rPr>
      <t xml:space="preserve">營收，使基準情境起始 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Noto Sans CJK SC"/>
        <family val="2"/>
      </rPr>
      <t xml:space="preserve">率維持上列值；</t>
    </r>
    <r>
      <rPr>
        <sz val="9"/>
        <color rgb="FF595959"/>
        <rFont val="Arial"/>
        <family val="0"/>
        <charset val="1"/>
      </rPr>
      <t xml:space="preserve">scripts/calib_ebitdar.js </t>
    </r>
    <r>
      <rPr>
        <sz val="9"/>
        <color rgb="FF595959"/>
        <rFont val="Noto Sans CJK SC"/>
        <family val="2"/>
      </rPr>
      <t xml:space="preserve">自基準情境計算（</t>
    </r>
    <r>
      <rPr>
        <sz val="9"/>
        <color rgb="FF595959"/>
        <rFont val="Arial"/>
        <family val="0"/>
        <charset val="1"/>
      </rPr>
      <t xml:space="preserve">verify.sh </t>
    </r>
    <r>
      <rPr>
        <sz val="9"/>
        <color rgb="FF595959"/>
        <rFont val="Noto Sans CJK SC"/>
        <family val="2"/>
      </rPr>
      <t xml:space="preserve">檢查）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</si>
  <si>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Noto Sans CJK SC"/>
        <family val="2"/>
      </rPr>
      <t xml:space="preserve">基準情境租金占 </t>
    </r>
    <r>
      <rPr>
        <sz val="10"/>
        <rFont val="Arial"/>
        <family val="0"/>
        <charset val="1"/>
      </rPr>
      <t xml:space="preserve">OCI </t>
    </r>
    <r>
      <rPr>
        <sz val="10"/>
        <rFont val="Noto Sans CJK SC"/>
        <family val="2"/>
      </rPr>
      <t xml:space="preserve">營收（</t>
    </r>
    <r>
      <rPr>
        <sz val="10"/>
        <rFont val="Arial"/>
        <family val="0"/>
        <charset val="1"/>
      </rPr>
      <t xml:space="preserve">FY31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</si>
  <si>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同上，基準情境末期；保守與積極用同一 </t>
    </r>
    <r>
      <rPr>
        <sz val="9"/>
        <color rgb="FF595959"/>
        <rFont val="Arial"/>
        <family val="0"/>
        <charset val="1"/>
      </rPr>
      <t xml:space="preserve">EBITDAR </t>
    </r>
    <r>
      <rPr>
        <sz val="9"/>
        <color rgb="FF595959"/>
        <rFont val="Noto Sans CJK SC"/>
        <family val="2"/>
      </rPr>
      <t xml:space="preserve">率，因而承擔固定租金 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</si>
  <si>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Arial"/>
        <family val="0"/>
        <charset val="1"/>
      </rPr>
      <t xml:space="preserve">EBITDAR </t>
    </r>
    <r>
      <rPr>
        <sz val="10"/>
        <rFont val="Noto Sans CJK SC"/>
        <family val="2"/>
      </rPr>
      <t xml:space="preserve">率（路徑）</t>
    </r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</si>
  <si>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Noto Sans CJK SC"/>
        <family val="2"/>
      </rPr>
      <t xml:space="preserve">起始 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Noto Sans CJK SC"/>
        <family val="2"/>
      </rPr>
      <t xml:space="preserve">率＋基準起點租金比</t>
    </r>
    <r>
      <rPr>
        <sz val="9"/>
        <color rgb="FF595959"/>
        <rFont val="Arial"/>
        <family val="0"/>
        <charset val="1"/>
      </rPr>
      <t xml:space="preserve">)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[(</t>
    </r>
    <r>
      <rPr>
        <sz val="9"/>
        <color rgb="FF595959"/>
        <rFont val="Noto Sans CJK SC"/>
        <family val="2"/>
      </rPr>
      <t xml:space="preserve">穩態＋基準穩態租金比</t>
    </r>
    <r>
      <rPr>
        <sz val="9"/>
        <color rgb="FF595959"/>
        <rFont val="Arial"/>
        <family val="0"/>
        <charset val="1"/>
      </rPr>
      <t xml:space="preserve">)−(</t>
    </r>
    <r>
      <rPr>
        <sz val="9"/>
        <color rgb="FF595959"/>
        <rFont val="Noto Sans CJK SC"/>
        <family val="2"/>
      </rPr>
      <t xml:space="preserve">起始＋基準起點租金比</t>
    </r>
    <r>
      <rPr>
        <sz val="9"/>
        <color rgb="FF595959"/>
        <rFont val="Arial"/>
        <family val="0"/>
        <charset val="1"/>
      </rPr>
      <t xml:space="preserve">)]×</t>
    </r>
    <r>
      <rPr>
        <sz val="9"/>
        <color rgb="FF595959"/>
        <rFont val="Noto Sans CJK SC"/>
        <family val="2"/>
      </rPr>
      <t xml:space="preserve">期數</t>
    </r>
    <r>
      <rPr>
        <sz val="9"/>
        <color rgb="FF595959"/>
        <rFont val="Arial"/>
        <family val="0"/>
        <charset val="1"/>
      </rPr>
      <t xml:space="preserve">÷4</t>
    </r>
    <r>
      <rPr>
        <sz val="9"/>
        <color rgb="FF595959"/>
        <rFont val="Noto Sans CJK SC"/>
        <family val="2"/>
      </rPr>
      <t xml:space="preserve">（公式）</t>
    </r>
  </si>
  <si>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</t>
    </r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</si>
  <si>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EBITDAR </t>
    </r>
    <r>
      <rPr>
        <sz val="9"/>
        <color rgb="FF595959"/>
        <rFont val="Noto Sans CJK SC"/>
        <family val="2"/>
      </rPr>
      <t xml:space="preserve">率 − 租金合計 </t>
    </r>
    <r>
      <rPr>
        <sz val="9"/>
        <color rgb="FF595959"/>
        <rFont val="Arial"/>
        <family val="0"/>
        <charset val="1"/>
      </rPr>
      <t xml:space="preserve">÷ OCI </t>
    </r>
    <r>
      <rPr>
        <sz val="9"/>
        <color rgb="FF595959"/>
        <rFont val="Noto Sans CJK SC"/>
        <family val="2"/>
      </rPr>
      <t xml:space="preserve">營收（公式；租金為固定成本，低營收情境 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Noto Sans CJK SC"/>
        <family val="2"/>
      </rPr>
      <t xml:space="preserve">率較低）</t>
    </r>
  </si>
  <si>
    <t xml:space="preserve">非算力服務現金</t>
  </si>
  <si>
    <r>
      <rPr>
        <sz val="9"/>
        <color rgb="FF595959"/>
        <rFont val="Noto Sans CJK SC"/>
        <family val="2"/>
      </rPr>
      <t xml:space="preserve">＝服務營收 </t>
    </r>
    <r>
      <rPr>
        <sz val="9"/>
        <color rgb="FF595959"/>
        <rFont val="Arial"/>
        <family val="0"/>
        <charset val="1"/>
      </rPr>
      <t xml:space="preserve">× EBITDAR </t>
    </r>
    <r>
      <rPr>
        <sz val="9"/>
        <color rgb="FF595959"/>
        <rFont val="Noto Sans CJK SC"/>
        <family val="2"/>
      </rPr>
      <t xml:space="preserve">率（公式）</t>
    </r>
  </si>
  <si>
    <r>
      <rPr>
        <b val="true"/>
        <sz val="10"/>
        <color rgb="FF1F3864"/>
        <rFont val="Noto Sans CJK SC"/>
        <family val="2"/>
      </rPr>
      <t xml:space="preserve">▸ 電力／維護 </t>
    </r>
    <r>
      <rPr>
        <b val="true"/>
        <sz val="10"/>
        <color rgb="FF1F3864"/>
        <rFont val="Arial"/>
        <family val="0"/>
        <charset val="1"/>
      </rPr>
      <t xml:space="preserve">overlay</t>
    </r>
    <r>
      <rPr>
        <b val="true"/>
        <sz val="10"/>
        <color rgb="FF1F3864"/>
        <rFont val="Noto Sans CJK SC"/>
        <family val="2"/>
      </rPr>
      <t xml:space="preserve">（預設關閉；</t>
    </r>
    <r>
      <rPr>
        <b val="true"/>
        <sz val="10"/>
        <color rgb="FF1F3864"/>
        <rFont val="Arial"/>
        <family val="0"/>
        <charset val="1"/>
      </rPr>
      <t xml:space="preserve">EBITDA </t>
    </r>
    <r>
      <rPr>
        <b val="true"/>
        <sz val="10"/>
        <color rgb="FF1F3864"/>
        <rFont val="Noto Sans CJK SC"/>
        <family val="2"/>
      </rPr>
      <t xml:space="preserve">已含電費）</t>
    </r>
  </si>
  <si>
    <r>
      <rPr>
        <sz val="10"/>
        <rFont val="Noto Sans CJK SC"/>
        <family val="2"/>
      </rPr>
      <t xml:space="preserve">電力／維護 </t>
    </r>
    <r>
      <rPr>
        <sz val="10"/>
        <rFont val="Arial"/>
        <family val="0"/>
        <charset val="1"/>
      </rPr>
      <t xml:space="preserve">overlay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1=</t>
    </r>
    <r>
      <rPr>
        <sz val="10"/>
        <rFont val="Noto Sans CJK SC"/>
        <family val="2"/>
      </rPr>
      <t xml:space="preserve">開）</t>
    </r>
  </si>
  <si>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Noto Sans CJK SC"/>
        <family val="2"/>
      </rPr>
      <t xml:space="preserve">率已含電費，開啟會重複扣除，僅供壓力測試</t>
    </r>
  </si>
  <si>
    <t xml:space="preserve">電價</t>
  </si>
  <si>
    <t xml:space="preserve">$/MWh</t>
  </si>
  <si>
    <r>
      <rPr>
        <sz val="9"/>
        <color rgb="FF595959"/>
        <rFont val="Arial"/>
        <family val="0"/>
        <charset val="1"/>
      </rPr>
      <t xml:space="preserve">overlay </t>
    </r>
    <r>
      <rPr>
        <sz val="9"/>
        <color rgb="FF595959"/>
        <rFont val="Noto Sans CJK SC"/>
        <family val="2"/>
      </rPr>
      <t xml:space="preserve">用 </t>
    </r>
    <r>
      <rPr>
        <sz val="9"/>
        <color rgb="FF595959"/>
        <rFont val="Arial"/>
        <family val="0"/>
        <charset val="1"/>
      </rPr>
      <t xml:space="preserve">[Assumed]</t>
    </r>
  </si>
  <si>
    <t xml:space="preserve">PUE</t>
  </si>
  <si>
    <t xml:space="preserve">維護成本</t>
  </si>
  <si>
    <t xml:space="preserve">US$m/MW</t>
  </si>
  <si>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Noto Sans CJK SC"/>
        <family val="2"/>
      </rPr>
      <t xml:space="preserve">｜支出（</t>
    </r>
    <r>
      <rPr>
        <b val="true"/>
        <sz val="10"/>
        <rFont val="Arial"/>
        <family val="0"/>
        <charset val="1"/>
      </rPr>
      <t xml:space="preserve">CapEx</t>
    </r>
    <r>
      <rPr>
        <b val="true"/>
        <sz val="10"/>
        <rFont val="Noto Sans CJK SC"/>
        <family val="2"/>
      </rPr>
      <t xml:space="preserve">、車隊折舊、租賃、</t>
    </r>
    <r>
      <rPr>
        <b val="true"/>
        <sz val="10"/>
        <rFont val="Arial"/>
        <family val="0"/>
        <charset val="1"/>
      </rPr>
      <t xml:space="preserve">JV</t>
    </r>
    <r>
      <rPr>
        <b val="true"/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</si>
  <si>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提前支出比例 </t>
    </r>
    <r>
      <rPr>
        <sz val="10"/>
        <rFont val="Arial"/>
        <family val="0"/>
        <charset val="1"/>
      </rPr>
      <t xml:space="preserve">λ</t>
    </r>
  </si>
  <si>
    <r>
      <rPr>
        <sz val="9"/>
        <color rgb="FF595959"/>
        <rFont val="Noto Sans CJK SC"/>
        <family val="2"/>
      </rPr>
      <t xml:space="preserve">次年才上線的 </t>
    </r>
    <r>
      <rPr>
        <sz val="9"/>
        <color rgb="FF595959"/>
        <rFont val="Arial"/>
        <family val="0"/>
        <charset val="1"/>
      </rPr>
      <t xml:space="preserve">MW</t>
    </r>
    <r>
      <rPr>
        <sz val="9"/>
        <color rgb="FF595959"/>
        <rFont val="Noto Sans CJK SC"/>
        <family val="2"/>
      </rPr>
      <t xml:space="preserve">，其建置支出落在前一年的比例 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</si>
  <si>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sz val="10"/>
        <rFont val="Arial"/>
        <family val="0"/>
        <charset val="1"/>
      </rPr>
      <t xml:space="preserve">FY31 </t>
    </r>
    <r>
      <rPr>
        <sz val="10"/>
        <rFont val="Noto Sans CJK SC"/>
        <family val="2"/>
      </rPr>
      <t xml:space="preserve">新增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FY30 </t>
    </r>
    <r>
      <rPr>
        <sz val="10"/>
        <rFont val="Noto Sans CJK SC"/>
        <family val="2"/>
      </rPr>
      <t xml:space="preserve">預建用）</t>
    </r>
  </si>
  <si>
    <r>
      <rPr>
        <sz val="9"/>
        <color rgb="FF595959"/>
        <rFont val="Noto Sans CJK SC"/>
        <family val="2"/>
      </rPr>
      <t xml:space="preserve">隨情境：保守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／基準 </t>
    </r>
    <r>
      <rPr>
        <sz val="9"/>
        <color rgb="FF595959"/>
        <rFont val="Arial"/>
        <family val="0"/>
        <charset val="1"/>
      </rPr>
      <t xml:space="preserve">500</t>
    </r>
    <r>
      <rPr>
        <sz val="9"/>
        <color rgb="FF595959"/>
        <rFont val="Noto Sans CJK SC"/>
        <family val="2"/>
      </rPr>
      <t xml:space="preserve">／積極 </t>
    </r>
    <r>
      <rPr>
        <sz val="9"/>
        <color rgb="FF595959"/>
        <rFont val="Arial"/>
        <family val="0"/>
        <charset val="1"/>
      </rPr>
      <t xml:space="preserve">1,000 [Assumed]</t>
    </r>
  </si>
  <si>
    <r>
      <rPr>
        <sz val="10"/>
        <rFont val="Arial"/>
        <family val="0"/>
        <charset val="1"/>
      </rPr>
      <t xml:space="preserve">FY27 CapEx </t>
    </r>
    <r>
      <rPr>
        <sz val="10"/>
        <rFont val="Noto Sans CJK SC"/>
        <family val="2"/>
      </rPr>
      <t xml:space="preserve">下限（已承諾）</t>
    </r>
  </si>
  <si>
    <r>
      <rPr>
        <sz val="9"/>
        <color rgb="FF595959"/>
        <rFont val="Noto Sans CJK SC"/>
        <family val="2"/>
      </rPr>
      <t xml:space="preserve">全年指引下緣（法說會二手逐字稿；新聞稿與 </t>
    </r>
    <r>
      <rPr>
        <sz val="9"/>
        <color rgb="FF595959"/>
        <rFont val="Arial"/>
        <family val="0"/>
        <charset val="1"/>
      </rPr>
      <t xml:space="preserve">10-Q </t>
    </r>
    <r>
      <rPr>
        <sz val="9"/>
        <color rgb="FF595959"/>
        <rFont val="Noto Sans CJK SC"/>
        <family val="2"/>
      </rPr>
      <t xml:space="preserve">未列 </t>
    </r>
    <r>
      <rPr>
        <sz val="9"/>
        <color rgb="FF595959"/>
        <rFont val="Arial"/>
        <family val="0"/>
        <charset val="1"/>
      </rPr>
      <t xml:space="preserve">[Interested-party]</t>
    </r>
    <r>
      <rPr>
        <sz val="9"/>
        <color rgb="FF595959"/>
        <rFont val="Noto Sans CJK SC"/>
        <family val="2"/>
      </rPr>
      <t xml:space="preserve">）：當年支出多已下單</t>
    </r>
  </si>
  <si>
    <r>
      <rPr>
        <sz val="10"/>
        <rFont val="Arial"/>
        <family val="0"/>
        <charset val="1"/>
      </rPr>
      <t xml:space="preserve">GPU </t>
    </r>
    <r>
      <rPr>
        <sz val="10"/>
        <rFont val="Noto Sans CJK SC"/>
        <family val="2"/>
      </rPr>
      <t xml:space="preserve">經濟壽命（年）</t>
    </r>
  </si>
  <si>
    <r>
      <rPr>
        <sz val="9"/>
        <color rgb="FF595959"/>
        <rFont val="Noto Sans CJK SC"/>
        <family val="2"/>
      </rPr>
      <t xml:space="preserve">公司伺服器與網通設備耐用年限 </t>
    </r>
    <r>
      <rPr>
        <sz val="9"/>
        <color rgb="FF595959"/>
        <rFont val="Arial"/>
        <family val="0"/>
        <charset val="1"/>
      </rPr>
      <t xml:space="preserve">6 </t>
    </r>
    <r>
      <rPr>
        <sz val="9"/>
        <color rgb="FF595959"/>
        <rFont val="Noto Sans CJK SC"/>
        <family val="2"/>
      </rPr>
      <t xml:space="preserve">年（</t>
    </r>
    <r>
      <rPr>
        <sz val="9"/>
        <color rgb="FF595959"/>
        <rFont val="Arial"/>
        <family val="0"/>
        <charset val="1"/>
      </rPr>
      <t xml:space="preserve">10-K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Tokenomics 6 </t>
    </r>
    <r>
      <rPr>
        <sz val="9"/>
        <color rgb="FF595959"/>
        <rFont val="Noto Sans CJK SC"/>
        <family val="2"/>
      </rPr>
      <t xml:space="preserve">年 </t>
    </r>
    <r>
      <rPr>
        <sz val="9"/>
        <color rgb="FF595959"/>
        <rFont val="Arial"/>
        <family val="0"/>
        <charset val="1"/>
      </rPr>
      <t xml:space="preserve">[Interested-party]</t>
    </r>
  </si>
  <si>
    <r>
      <rPr>
        <sz val="10"/>
        <rFont val="Arial"/>
        <family val="0"/>
        <charset val="1"/>
      </rPr>
      <t xml:space="preserve">8/31 </t>
    </r>
    <r>
      <rPr>
        <sz val="10"/>
        <rFont val="Noto Sans CJK SC"/>
        <family val="2"/>
      </rPr>
      <t xml:space="preserve">期初 </t>
    </r>
    <r>
      <rPr>
        <sz val="10"/>
        <rFont val="Arial"/>
        <family val="0"/>
        <charset val="1"/>
      </rPr>
      <t xml:space="preserve">PP&amp;E </t>
    </r>
    <r>
      <rPr>
        <sz val="10"/>
        <rFont val="Noto Sans CJK SC"/>
        <family val="2"/>
      </rPr>
      <t xml:space="preserve">基礎</t>
    </r>
  </si>
  <si>
    <r>
      <rPr>
        <sz val="9"/>
        <color rgb="FF595959"/>
        <rFont val="Noto Sans CJK SC"/>
        <family val="2"/>
      </rPr>
      <t xml:space="preserve">以 </t>
    </r>
    <r>
      <rPr>
        <sz val="9"/>
        <color rgb="FF595959"/>
        <rFont val="Arial"/>
        <family val="0"/>
        <charset val="1"/>
      </rPr>
      <t xml:space="preserve">FY27Q1 </t>
    </r>
    <r>
      <rPr>
        <sz val="9"/>
        <color rgb="FF595959"/>
        <rFont val="Noto Sans CJK SC"/>
        <family val="2"/>
      </rPr>
      <t xml:space="preserve">實際折舊 </t>
    </r>
    <r>
      <rPr>
        <sz val="9"/>
        <color rgb="FF595959"/>
        <rFont val="Arial"/>
        <family val="0"/>
        <charset val="1"/>
      </rPr>
      <t xml:space="preserve">3.156 × 4 × </t>
    </r>
    <r>
      <rPr>
        <sz val="9"/>
        <color rgb="FF595959"/>
        <rFont val="Noto Sans CJK SC"/>
        <family val="2"/>
      </rPr>
      <t xml:space="preserve">壽命 </t>
    </r>
    <r>
      <rPr>
        <sz val="9"/>
        <color rgb="FF595959"/>
        <rFont val="Arial"/>
        <family val="0"/>
        <charset val="1"/>
      </rPr>
      <t xml:space="preserve">6 </t>
    </r>
    <r>
      <rPr>
        <sz val="9"/>
        <color rgb="FF595959"/>
        <rFont val="Noto Sans CJK SC"/>
        <family val="2"/>
      </rPr>
      <t xml:space="preserve">年校準（對齊已實現實際數；評價日 </t>
    </r>
    <r>
      <rPr>
        <sz val="9"/>
        <color rgb="FF595959"/>
        <rFont val="Arial"/>
        <family val="0"/>
        <charset val="1"/>
      </rPr>
      <t xml:space="preserve">PP&amp;E </t>
    </r>
    <r>
      <rPr>
        <sz val="9"/>
        <color rgb="FF595959"/>
        <rFont val="Noto Sans CJK SC"/>
        <family val="2"/>
      </rPr>
      <t xml:space="preserve">淨額 </t>
    </r>
    <r>
      <rPr>
        <sz val="9"/>
        <color rgb="FF595959"/>
        <rFont val="Arial"/>
        <family val="0"/>
        <charset val="1"/>
      </rPr>
      <t xml:space="preserve">127.8 </t>
    </r>
    <r>
      <rPr>
        <sz val="9"/>
        <color rgb="FF595959"/>
        <rFont val="Noto Sans CJK SC"/>
        <family val="2"/>
      </rPr>
      <t xml:space="preserve">含在建 </t>
    </r>
    <r>
      <rPr>
        <sz val="9"/>
        <color rgb="FF595959"/>
        <rFont val="Arial"/>
        <family val="0"/>
        <charset val="1"/>
      </rPr>
      <t xml:space="preserve">48.5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</si>
  <si>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建置成本倍數（整體）</t>
    </r>
  </si>
  <si>
    <r>
      <rPr>
        <sz val="9"/>
        <color rgb="FF595959"/>
        <rFont val="Noto Sans CJK SC"/>
        <family val="2"/>
      </rPr>
      <t xml:space="preserve">同時影響 </t>
    </r>
    <r>
      <rPr>
        <sz val="9"/>
        <color rgb="FF595959"/>
        <rFont val="Arial"/>
        <family val="0"/>
        <charset val="1"/>
      </rPr>
      <t xml:space="preserve">CapEx</t>
    </r>
    <r>
      <rPr>
        <sz val="9"/>
        <color rgb="FF595959"/>
        <rFont val="Noto Sans CJK SC"/>
        <family val="2"/>
      </rPr>
      <t xml:space="preserve">、汰換與車隊折舊；反向 </t>
    </r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Noto Sans CJK SC"/>
        <family val="2"/>
      </rPr>
      <t xml:space="preserve">用；預設 </t>
    </r>
    <r>
      <rPr>
        <sz val="9"/>
        <color rgb="FF595959"/>
        <rFont val="Arial"/>
        <family val="0"/>
        <charset val="1"/>
      </rPr>
      <t xml:space="preserve">100%</t>
    </r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</si>
  <si>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建置成本</t>
    </r>
  </si>
  <si>
    <r>
      <rPr>
        <sz val="9"/>
        <color rgb="FF595959"/>
        <rFont val="Arial"/>
        <family val="0"/>
        <charset val="1"/>
      </rPr>
      <t xml:space="preserve">Tokenomics IF_CapexIT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GB300 37.45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VR200 37.59 US$m/MW-IT</t>
    </r>
    <r>
      <rPr>
        <sz val="9"/>
        <color rgb="FF595959"/>
        <rFont val="Noto Sans CJK SC"/>
        <family val="2"/>
      </rPr>
      <t xml:space="preserve">；只含 </t>
    </r>
    <r>
      <rPr>
        <sz val="9"/>
        <color rgb="FF595959"/>
        <rFont val="Arial"/>
        <family val="0"/>
        <charset val="1"/>
      </rPr>
      <t xml:space="preserve">IT</t>
    </r>
    <r>
      <rPr>
        <sz val="9"/>
        <color rgb="FF595959"/>
        <rFont val="Noto Sans CJK SC"/>
        <family val="2"/>
      </rPr>
      <t xml:space="preserve">，機房由開發商建、</t>
    </r>
    <r>
      <rPr>
        <sz val="9"/>
        <color rgb="FF595959"/>
        <rFont val="Arial"/>
        <family val="0"/>
        <charset val="1"/>
      </rPr>
      <t xml:space="preserve">Oracle </t>
    </r>
    <r>
      <rPr>
        <sz val="9"/>
        <color rgb="FF595959"/>
        <rFont val="Noto Sans CJK SC"/>
        <family val="2"/>
      </rPr>
      <t xml:space="preserve">以租賃取得）</t>
    </r>
    <r>
      <rPr>
        <sz val="9"/>
        <color rgb="FF595959"/>
        <rFont val="Arial"/>
        <family val="0"/>
        <charset val="1"/>
      </rPr>
      <t xml:space="preserve">[Derived]</t>
    </r>
  </si>
  <si>
    <t xml:space="preserve">有預付的合約比例</t>
  </si>
  <si>
    <r>
      <rPr>
        <sz val="9"/>
        <color rgb="FF595959"/>
        <rFont val="Noto Sans CJK SC"/>
        <family val="2"/>
      </rPr>
      <t xml:space="preserve">覆蓋比已是整體口徑時為 </t>
    </r>
    <r>
      <rPr>
        <sz val="9"/>
        <color rgb="FF595959"/>
        <rFont val="Arial"/>
        <family val="0"/>
        <charset val="1"/>
      </rPr>
      <t xml:space="preserve">100%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company.json → defaults.prepay</t>
    </r>
    <r>
      <rPr>
        <sz val="9"/>
        <color rgb="FF595959"/>
        <rFont val="Noto Sans CJK SC"/>
        <family val="2"/>
      </rPr>
      <t xml:space="preserve">）</t>
    </r>
  </si>
  <si>
    <t xml:space="preserve">預付占相關資本支出比</t>
  </si>
  <si>
    <r>
      <rPr>
        <sz val="9"/>
        <color rgb="FF595959"/>
        <rFont val="Arial"/>
        <family val="0"/>
        <charset val="1"/>
      </rPr>
      <t xml:space="preserve">Oracle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FY27 </t>
    </r>
    <r>
      <rPr>
        <sz val="9"/>
        <color rgb="FF595959"/>
        <rFont val="Noto Sans CJK SC"/>
        <family val="2"/>
      </rPr>
      <t xml:space="preserve">指引隱含客戶出資覆蓋比 </t>
    </r>
    <r>
      <rPr>
        <sz val="9"/>
        <color rgb="FF595959"/>
        <rFont val="Arial"/>
        <family val="0"/>
        <charset val="1"/>
      </rPr>
      <t xml:space="preserve">24.3%</t>
    </r>
    <r>
      <rPr>
        <sz val="9"/>
        <color rgb="FF595959"/>
        <rFont val="Noto Sans CJK SC"/>
        <family val="2"/>
      </rPr>
      <t xml:space="preserve">（區間 </t>
    </r>
    <r>
      <rPr>
        <sz val="9"/>
        <color rgb="FF595959"/>
        <rFont val="Arial"/>
        <family val="0"/>
        <charset val="1"/>
      </rPr>
      <t xml:space="preserve">22.2%–26.3%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Q1 </t>
    </r>
    <r>
      <rPr>
        <sz val="9"/>
        <color rgb="FF595959"/>
        <rFont val="Noto Sans CJK SC"/>
        <family val="2"/>
      </rPr>
      <t xml:space="preserve">實際 </t>
    </r>
    <r>
      <rPr>
        <sz val="9"/>
        <color rgb="FF595959"/>
        <rFont val="Arial"/>
        <family val="0"/>
        <charset val="1"/>
      </rPr>
      <t xml:space="preserve">37.0% </t>
    </r>
    <r>
      <rPr>
        <sz val="9"/>
        <color rgb="FF595959"/>
        <rFont val="Noto Sans CJK SC"/>
        <family val="2"/>
      </rPr>
      <t xml:space="preserve">只作敏感度 </t>
    </r>
    <r>
      <rPr>
        <sz val="9"/>
        <color rgb="FF595959"/>
        <rFont val="Arial"/>
        <family val="0"/>
        <charset val="1"/>
      </rPr>
      <t xml:space="preserve">[Derived]</t>
    </r>
  </si>
  <si>
    <t xml:space="preserve">預付認列年數</t>
  </si>
  <si>
    <r>
      <rPr>
        <sz val="9"/>
        <color rgb="FF595959"/>
        <rFont val="Noto Sans CJK SC"/>
        <family val="2"/>
      </rPr>
      <t xml:space="preserve">依</t>
    </r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Noto Sans CJK SC"/>
        <family val="2"/>
      </rPr>
      <t xml:space="preserve">期初合約負債＋本期累積利息</t>
    </r>
    <r>
      <rPr>
        <sz val="9"/>
        <color rgb="FF595959"/>
        <rFont val="Arial"/>
        <family val="0"/>
        <charset val="1"/>
      </rPr>
      <t xml:space="preserve">)</t>
    </r>
    <r>
      <rPr>
        <sz val="9"/>
        <color rgb="FF595959"/>
        <rFont val="Noto Sans CJK SC"/>
        <family val="2"/>
      </rPr>
      <t xml:space="preserve">直線認列為營收（非現金）</t>
    </r>
    <r>
      <rPr>
        <sz val="9"/>
        <color rgb="FF595959"/>
        <rFont val="Arial"/>
        <family val="0"/>
        <charset val="1"/>
      </rPr>
      <t xml:space="preserve">[Assumed]</t>
    </r>
    <r>
      <rPr>
        <sz val="9"/>
        <color rgb="FF595959"/>
        <rFont val="Noto Sans CJK SC"/>
        <family val="2"/>
      </rPr>
      <t xml:space="preserve">；完整說明見 </t>
    </r>
    <r>
      <rPr>
        <sz val="9"/>
        <color rgb="FF595959"/>
        <rFont val="Arial"/>
        <family val="0"/>
        <charset val="1"/>
      </rPr>
      <t xml:space="preserve">company.json → defaults.prepay.note</t>
    </r>
  </si>
  <si>
    <r>
      <rPr>
        <sz val="10"/>
        <rFont val="Arial"/>
        <family val="0"/>
        <charset val="1"/>
      </rPr>
      <t xml:space="preserve">8/31 </t>
    </r>
    <r>
      <rPr>
        <sz val="10"/>
        <rFont val="Noto Sans CJK SC"/>
        <family val="2"/>
      </rPr>
      <t xml:space="preserve">合約負債（客戶預付餘額）</t>
    </r>
  </si>
  <si>
    <r>
      <rPr>
        <sz val="9"/>
        <color rgb="FF595959"/>
        <rFont val="Noto Sans CJK SC"/>
        <family val="2"/>
      </rPr>
      <t xml:space="preserve">客戶預付（重大財務組成）累計現金 </t>
    </r>
    <r>
      <rPr>
        <sz val="9"/>
        <color rgb="FF595959"/>
        <rFont val="Arial"/>
        <family val="0"/>
        <charset val="1"/>
      </rPr>
      <t xml:space="preserve">15.955</t>
    </r>
    <r>
      <rPr>
        <sz val="9"/>
        <color rgb="FF595959"/>
        <rFont val="Noto Sans CJK SC"/>
        <family val="2"/>
      </rPr>
      <t xml:space="preserve">，非全部遞延營收</t>
    </r>
  </si>
  <si>
    <t xml:space="preserve">預付隱含利率（重大財務組成）</t>
  </si>
  <si>
    <r>
      <rPr>
        <sz val="9"/>
        <color rgb="FF595959"/>
        <rFont val="Noto Sans CJK SC"/>
        <family val="2"/>
      </rPr>
      <t xml:space="preserve">合約負債以此利率累積非現金利息，認列時轉營收（自營運現金扣除）、利息進損益不進現金；預設＝稅前債務成本，替代 </t>
    </r>
    <r>
      <rPr>
        <sz val="9"/>
        <color rgb="FF595959"/>
        <rFont val="Arial"/>
        <family val="0"/>
        <charset val="1"/>
      </rPr>
      <t xml:space="preserve">0%</t>
    </r>
  </si>
  <si>
    <r>
      <rPr>
        <sz val="10"/>
        <rFont val="Noto Sans CJK SC"/>
        <family val="2"/>
      </rPr>
      <t xml:space="preserve">客戶預付占毛 </t>
    </r>
    <r>
      <rPr>
        <sz val="10"/>
        <rFont val="Arial"/>
        <family val="0"/>
        <charset val="1"/>
      </rPr>
      <t xml:space="preserve">CapEx</t>
    </r>
  </si>
  <si>
    <r>
      <rPr>
        <sz val="9"/>
        <color rgb="FF595959"/>
        <rFont val="Noto Sans CJK SC"/>
        <family val="2"/>
      </rPr>
      <t xml:space="preserve">＝有預付的合約比例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預付占相關資本支出比；乘成長型 </t>
    </r>
    <r>
      <rPr>
        <sz val="9"/>
        <color rgb="FF595959"/>
        <rFont val="Arial"/>
        <family val="0"/>
        <charset val="1"/>
      </rPr>
      <t xml:space="preserve">CapEx </t>
    </r>
    <r>
      <rPr>
        <sz val="9"/>
        <color rgb="FF595959"/>
        <rFont val="Noto Sans CJK SC"/>
        <family val="2"/>
      </rPr>
      <t xml:space="preserve">得預付流入</t>
    </r>
  </si>
  <si>
    <t xml:space="preserve">在帳現金租金（季報到期表）</t>
  </si>
  <si>
    <r>
      <rPr>
        <sz val="9"/>
        <color rgb="FF595959"/>
        <rFont val="Noto Sans CJK SC"/>
        <family val="2"/>
      </rPr>
      <t xml:space="preserve">營業＋融資租賃未折現付款；</t>
    </r>
    <r>
      <rPr>
        <sz val="9"/>
        <color rgb="FF595959"/>
        <rFont val="Arial"/>
        <family val="0"/>
        <charset val="1"/>
      </rPr>
      <t xml:space="preserve">2031 </t>
    </r>
    <r>
      <rPr>
        <sz val="9"/>
        <color rgb="FF595959"/>
        <rFont val="Noto Sans CJK SC"/>
        <family val="2"/>
      </rPr>
      <t xml:space="preserve">後尚有 </t>
    </r>
    <r>
      <rPr>
        <sz val="9"/>
        <color rgb="FF595959"/>
        <rFont val="Arial"/>
        <family val="0"/>
        <charset val="1"/>
      </rPr>
      <t xml:space="preserve">39.283 [Verified]</t>
    </r>
  </si>
  <si>
    <t xml:space="preserve">未起租：期末累計季數（評價日起）</t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</si>
  <si>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4 × </t>
    </r>
    <r>
      <rPr>
        <sz val="9"/>
        <color rgb="FF595959"/>
        <rFont val="Noto Sans CJK SC"/>
        <family val="2"/>
      </rPr>
      <t xml:space="preserve">累計期間長度；用於起租排程</t>
    </r>
  </si>
  <si>
    <t xml:space="preserve">表外現金租金（未起租）</t>
  </si>
  <si>
    <r>
      <rPr>
        <sz val="9"/>
        <color rgb="FF595959"/>
        <rFont val="Noto Sans CJK SC"/>
        <family val="2"/>
      </rPr>
      <t xml:space="preserve">＝每筆季租（總額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季數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租期 </t>
    </r>
    <r>
      <rPr>
        <sz val="9"/>
        <color rgb="FF595959"/>
        <rFont val="Arial"/>
        <family val="0"/>
        <charset val="1"/>
      </rPr>
      <t xml:space="preserve">÷ 4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×(</t>
    </r>
    <r>
      <rPr>
        <sz val="9"/>
        <color rgb="FF595959"/>
        <rFont val="Noto Sans CJK SC"/>
        <family val="2"/>
      </rPr>
      <t xml:space="preserve">期末 − 期初累計已起租筆季數</t>
    </r>
    <r>
      <rPr>
        <sz val="9"/>
        <color rgb="FF595959"/>
        <rFont val="Arial"/>
        <family val="0"/>
        <charset val="1"/>
      </rPr>
      <t xml:space="preserve">)</t>
    </r>
    <r>
      <rPr>
        <sz val="9"/>
        <color rgb="FF595959"/>
        <rFont val="Noto Sans CJK SC"/>
        <family val="2"/>
      </rPr>
      <t xml:space="preserve">；三情境相同 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</si>
  <si>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Arial"/>
        <family val="0"/>
        <charset val="1"/>
      </rPr>
      <t xml:space="preserve">JV </t>
    </r>
    <r>
      <rPr>
        <sz val="10"/>
        <rFont val="Noto Sans CJK SC"/>
        <family val="2"/>
      </rPr>
      <t xml:space="preserve">已承諾餘額出資</t>
    </r>
  </si>
  <si>
    <r>
      <rPr>
        <sz val="9"/>
        <color rgb="FF595959"/>
        <rFont val="Noto Sans CJK SC"/>
        <family val="2"/>
      </rPr>
      <t xml:space="preserve">季報未揭露 </t>
    </r>
    <r>
      <rPr>
        <sz val="9"/>
        <color rgb="FF595959"/>
        <rFont val="Arial"/>
        <family val="0"/>
        <charset val="1"/>
      </rPr>
      <t xml:space="preserve">JV </t>
    </r>
    <r>
      <rPr>
        <sz val="9"/>
        <color rgb="FF595959"/>
        <rFont val="Noto Sans CJK SC"/>
        <family val="2"/>
      </rPr>
      <t xml:space="preserve">出資承諾（不適用）</t>
    </r>
  </si>
  <si>
    <r>
      <rPr>
        <sz val="10"/>
        <rFont val="Arial"/>
        <family val="0"/>
        <charset val="1"/>
      </rPr>
      <t xml:space="preserve">JV </t>
    </r>
    <r>
      <rPr>
        <sz val="10"/>
        <rFont val="Noto Sans CJK SC"/>
        <family val="2"/>
      </rPr>
      <t xml:space="preserve">後續增資＋策略投資</t>
    </r>
  </si>
  <si>
    <r>
      <rPr>
        <sz val="9"/>
        <color rgb="FF595959"/>
        <rFont val="Noto Sans CJK SC"/>
        <family val="2"/>
      </rPr>
      <t xml:space="preserve">收購與策略投資，未揭露計畫 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</si>
  <si>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sz val="10"/>
        <rFont val="Arial"/>
        <family val="0"/>
        <charset val="1"/>
      </rPr>
      <t xml:space="preserve">JV</t>
    </r>
    <r>
      <rPr>
        <sz val="10"/>
        <rFont val="Noto Sans CJK SC"/>
        <family val="2"/>
      </rPr>
      <t xml:space="preserve">／策略投資出資</t>
    </r>
  </si>
  <si>
    <t xml:space="preserve">＝已承諾餘額＋後續增資</t>
  </si>
  <si>
    <r>
      <rPr>
        <b val="true"/>
        <sz val="10"/>
        <color rgb="FF1F3864"/>
        <rFont val="Arial"/>
        <family val="0"/>
        <charset val="1"/>
      </rPr>
      <t xml:space="preserve">▸ CapEx </t>
    </r>
    <r>
      <rPr>
        <b val="true"/>
        <sz val="10"/>
        <color rgb="FF1F3864"/>
        <rFont val="Noto Sans CJK SC"/>
        <family val="2"/>
      </rPr>
      <t xml:space="preserve">推導明細（由 </t>
    </r>
    <r>
      <rPr>
        <b val="true"/>
        <sz val="10"/>
        <color rgb="FF1F3864"/>
        <rFont val="Arial"/>
        <family val="0"/>
        <charset val="1"/>
      </rPr>
      <t xml:space="preserve">Accepted MW </t>
    </r>
    <r>
      <rPr>
        <b val="true"/>
        <sz val="10"/>
        <color rgb="FF1F3864"/>
        <rFont val="Noto Sans CJK SC"/>
        <family val="2"/>
      </rPr>
      <t xml:space="preserve">連動）</t>
    </r>
  </si>
  <si>
    <t xml:space="preserve">期初主動電力</t>
  </si>
  <si>
    <r>
      <rPr>
        <sz val="9"/>
        <color rgb="FF595959"/>
        <rFont val="Arial"/>
        <family val="0"/>
        <charset val="1"/>
      </rPr>
      <t xml:space="preserve">FY27 </t>
    </r>
    <r>
      <rPr>
        <sz val="9"/>
        <color rgb="FF595959"/>
        <rFont val="Noto Sans CJK SC"/>
        <family val="2"/>
      </rPr>
      <t xml:space="preserve">期初＝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年底 </t>
    </r>
    <r>
      <rPr>
        <sz val="9"/>
        <color rgb="FF595959"/>
        <rFont val="Arial"/>
        <family val="0"/>
        <charset val="1"/>
      </rPr>
      <t xml:space="preserve">1835 MW</t>
    </r>
  </si>
  <si>
    <r>
      <rPr>
        <sz val="10"/>
        <rFont val="Noto Sans CJK SC"/>
        <family val="2"/>
      </rPr>
      <t xml:space="preserve">本期新增 </t>
    </r>
    <r>
      <rPr>
        <sz val="10"/>
        <rFont val="Arial"/>
        <family val="0"/>
        <charset val="1"/>
      </rPr>
      <t xml:space="preserve">MW</t>
    </r>
  </si>
  <si>
    <r>
      <rPr>
        <sz val="10"/>
        <rFont val="Noto Sans CJK SC"/>
        <family val="2"/>
      </rPr>
      <t xml:space="preserve">次期新增 </t>
    </r>
    <r>
      <rPr>
        <sz val="10"/>
        <rFont val="Arial"/>
        <family val="0"/>
        <charset val="1"/>
      </rPr>
      <t xml:space="preserve">MW</t>
    </r>
  </si>
  <si>
    <r>
      <rPr>
        <sz val="10"/>
        <rFont val="Noto Sans CJK SC"/>
        <family val="2"/>
      </rPr>
      <t xml:space="preserve">全年毛 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（公式）</t>
    </r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</si>
  <si>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Noto Sans CJK SC"/>
        <family val="2"/>
      </rPr>
      <t xml:space="preserve">本期新增</t>
    </r>
    <r>
      <rPr>
        <sz val="9"/>
        <color rgb="FF595959"/>
        <rFont val="Arial"/>
        <family val="0"/>
        <charset val="1"/>
      </rPr>
      <t xml:space="preserve">×(1−λ)</t>
    </r>
    <r>
      <rPr>
        <sz val="9"/>
        <color rgb="FF595959"/>
        <rFont val="Noto Sans CJK SC"/>
        <family val="2"/>
      </rPr>
      <t xml:space="preserve">＋次期新增</t>
    </r>
    <r>
      <rPr>
        <sz val="9"/>
        <color rgb="FF595959"/>
        <rFont val="Arial"/>
        <family val="0"/>
        <charset val="1"/>
      </rPr>
      <t xml:space="preserve">×λ)×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成本</t>
    </r>
  </si>
  <si>
    <r>
      <rPr>
        <sz val="10"/>
        <rFont val="Noto Sans CJK SC"/>
        <family val="2"/>
      </rPr>
      <t xml:space="preserve">成長型 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（模型期）</t>
    </r>
  </si>
  <si>
    <r>
      <rPr>
        <sz val="9"/>
        <color rgb="FF595959"/>
        <rFont val="Arial"/>
        <family val="0"/>
        <charset val="1"/>
      </rPr>
      <t xml:space="preserve">FY27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MAX(</t>
    </r>
    <r>
      <rPr>
        <sz val="9"/>
        <color rgb="FF595959"/>
        <rFont val="Noto Sans CJK SC"/>
        <family val="2"/>
      </rPr>
      <t xml:space="preserve">全年公式</t>
    </r>
    <r>
      <rPr>
        <sz val="9"/>
        <color rgb="FF595959"/>
        <rFont val="Arial"/>
        <family val="0"/>
        <charset val="1"/>
      </rPr>
      <t xml:space="preserve">, </t>
    </r>
    <r>
      <rPr>
        <sz val="9"/>
        <color rgb="FF595959"/>
        <rFont val="Noto Sans CJK SC"/>
        <family val="2"/>
      </rPr>
      <t xml:space="preserve">下限</t>
    </r>
    <r>
      <rPr>
        <sz val="9"/>
        <color rgb="FF595959"/>
        <rFont val="Arial"/>
        <family val="0"/>
        <charset val="1"/>
      </rPr>
      <t xml:space="preserve">) − 1Q </t>
    </r>
    <r>
      <rPr>
        <sz val="9"/>
        <color rgb="FF595959"/>
        <rFont val="Noto Sans CJK SC"/>
        <family val="2"/>
      </rPr>
      <t xml:space="preserve">已認列 </t>
    </r>
    <r>
      <rPr>
        <sz val="9"/>
        <color rgb="FF595959"/>
        <rFont val="Arial"/>
        <family val="0"/>
        <charset val="1"/>
      </rPr>
      <t xml:space="preserve">28.499</t>
    </r>
  </si>
  <si>
    <r>
      <rPr>
        <sz val="10"/>
        <rFont val="Noto Sans CJK SC"/>
        <family val="2"/>
      </rPr>
      <t xml:space="preserve">批次汰換 </t>
    </r>
    <r>
      <rPr>
        <sz val="10"/>
        <rFont val="Arial"/>
        <family val="0"/>
        <charset val="1"/>
      </rPr>
      <t xml:space="preserve">CapEx</t>
    </r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</si>
  <si>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Noto Sans CJK SC"/>
        <family val="2"/>
      </rPr>
      <t xml:space="preserve">本年 − 壽命</t>
    </r>
    <r>
      <rPr>
        <sz val="9"/>
        <color rgb="FF595959"/>
        <rFont val="Arial"/>
        <family val="0"/>
        <charset val="1"/>
      </rPr>
      <t xml:space="preserve">) </t>
    </r>
    <r>
      <rPr>
        <sz val="9"/>
        <color rgb="FF595959"/>
        <rFont val="Noto Sans CJK SC"/>
        <family val="2"/>
      </rPr>
      <t xml:space="preserve">那年新增的 </t>
    </r>
    <r>
      <rPr>
        <sz val="9"/>
        <color rgb="FF595959"/>
        <rFont val="Arial"/>
        <family val="0"/>
        <charset val="1"/>
      </rPr>
      <t xml:space="preserve">MW × 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成本；取代已折舊完的設備（批次落在模型期之後則為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</si>
  <si>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穩態汰換 </t>
    </r>
    <r>
      <rPr>
        <sz val="10"/>
        <rFont val="Arial"/>
        <family val="0"/>
        <charset val="1"/>
      </rPr>
      <t xml:space="preserve">CapEx</t>
    </r>
  </si>
  <si>
    <r>
      <rPr>
        <sz val="9"/>
        <color rgb="FF595959"/>
        <rFont val="Noto Sans CJK SC"/>
        <family val="2"/>
      </rPr>
      <t xml:space="preserve">＝期間平均已連網 </t>
    </r>
    <r>
      <rPr>
        <sz val="9"/>
        <color rgb="FF595959"/>
        <rFont val="Arial"/>
        <family val="0"/>
        <charset val="1"/>
      </rPr>
      <t xml:space="preserve">MW × 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MW GPU </t>
    </r>
    <r>
      <rPr>
        <sz val="9"/>
        <color rgb="FF595959"/>
        <rFont val="Noto Sans CJK SC"/>
        <family val="2"/>
      </rPr>
      <t xml:space="preserve">資本支出（只含 </t>
    </r>
    <r>
      <rPr>
        <sz val="9"/>
        <color rgb="FF595959"/>
        <rFont val="Arial"/>
        <family val="0"/>
        <charset val="1"/>
      </rPr>
      <t xml:space="preserve">IT</t>
    </r>
    <r>
      <rPr>
        <sz val="9"/>
        <color rgb="FF595959"/>
        <rFont val="Noto Sans CJK SC"/>
        <family val="2"/>
      </rPr>
      <t xml:space="preserve">；建築與電力屬租賃不計）</t>
    </r>
    <r>
      <rPr>
        <sz val="9"/>
        <color rgb="FF595959"/>
        <rFont val="Arial"/>
        <family val="0"/>
        <charset val="1"/>
      </rPr>
      <t xml:space="preserve">÷ GPU </t>
    </r>
    <r>
      <rPr>
        <sz val="9"/>
        <color rgb="FF595959"/>
        <rFont val="Noto Sans CJK SC"/>
        <family val="2"/>
      </rPr>
      <t xml:space="preserve">經濟壽命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期間長度</t>
    </r>
  </si>
  <si>
    <r>
      <rPr>
        <sz val="10"/>
        <rFont val="Noto Sans CJK SC"/>
        <family val="2"/>
      </rPr>
      <t xml:space="preserve">穩態汰換旗標（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＝已連網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不再增加或終值年）</t>
    </r>
  </si>
  <si>
    <r>
      <rPr>
        <sz val="9"/>
        <color rgb="FF595959"/>
        <rFont val="Noto Sans CJK SC"/>
        <family val="2"/>
      </rPr>
      <t xml:space="preserve">觸頂後（本期新增 </t>
    </r>
    <r>
      <rPr>
        <sz val="9"/>
        <color rgb="FF595959"/>
        <rFont val="Arial"/>
        <family val="0"/>
        <charset val="1"/>
      </rPr>
      <t xml:space="preserve">MW ≤ 0</t>
    </r>
    <r>
      <rPr>
        <sz val="9"/>
        <color rgb="FF595959"/>
        <rFont val="Noto Sans CJK SC"/>
        <family val="2"/>
      </rPr>
      <t xml:space="preserve">）及終值年（</t>
    </r>
    <r>
      <rPr>
        <sz val="9"/>
        <color rgb="FF595959"/>
        <rFont val="Arial"/>
        <family val="0"/>
        <charset val="1"/>
      </rPr>
      <t xml:space="preserve">FY31</t>
    </r>
    <r>
      <rPr>
        <sz val="9"/>
        <color rgb="FF595959"/>
        <rFont val="Noto Sans CJK SC"/>
        <family val="2"/>
      </rPr>
      <t xml:space="preserve">）採穩態汰換，其餘採批次汰換</t>
    </r>
  </si>
  <si>
    <r>
      <rPr>
        <sz val="10"/>
        <rFont val="Arial"/>
        <family val="0"/>
        <charset val="1"/>
      </rPr>
      <t xml:space="preserve">GPU </t>
    </r>
    <r>
      <rPr>
        <sz val="10"/>
        <rFont val="Noto Sans CJK SC"/>
        <family val="2"/>
      </rPr>
      <t xml:space="preserve">汰換 </t>
    </r>
    <r>
      <rPr>
        <sz val="10"/>
        <rFont val="Arial"/>
        <family val="0"/>
        <charset val="1"/>
      </rPr>
      <t xml:space="preserve">CapEx</t>
    </r>
  </si>
  <si>
    <r>
      <rPr>
        <sz val="9"/>
        <color rgb="FF595959"/>
        <rFont val="Noto Sans CJK SC"/>
        <family val="2"/>
      </rPr>
      <t xml:space="preserve">＝旗標為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時取穩態汰換，否則取批次汰換；汰換不增加折舊基礎</t>
    </r>
  </si>
  <si>
    <r>
      <rPr>
        <sz val="10"/>
        <rFont val="Noto Sans CJK SC"/>
        <family val="2"/>
      </rPr>
      <t xml:space="preserve">期初毛 </t>
    </r>
    <r>
      <rPr>
        <sz val="10"/>
        <rFont val="Arial"/>
        <family val="0"/>
        <charset val="1"/>
      </rPr>
      <t xml:space="preserve">PP&amp;E</t>
    </r>
  </si>
  <si>
    <r>
      <rPr>
        <sz val="9"/>
        <color rgb="FF595959"/>
        <rFont val="Noto Sans CJK SC"/>
        <family val="2"/>
      </rPr>
      <t xml:space="preserve">之後＝前期期初＋前期成長型 </t>
    </r>
    <r>
      <rPr>
        <sz val="9"/>
        <color rgb="FF595959"/>
        <rFont val="Arial"/>
        <family val="0"/>
        <charset val="1"/>
      </rPr>
      <t xml:space="preserve">CapEx</t>
    </r>
    <r>
      <rPr>
        <sz val="9"/>
        <color rgb="FF595959"/>
        <rFont val="Noto Sans CJK SC"/>
        <family val="2"/>
      </rPr>
      <t xml:space="preserve">（汰換不增加基礎）</t>
    </r>
  </si>
  <si>
    <r>
      <rPr>
        <b val="true"/>
        <sz val="10"/>
        <color rgb="FF1F3864"/>
        <rFont val="Arial"/>
        <family val="0"/>
        <charset val="1"/>
      </rPr>
      <t xml:space="preserve">▸ CapEx </t>
    </r>
    <r>
      <rPr>
        <b val="true"/>
        <sz val="10"/>
        <color rgb="FF1F3864"/>
        <rFont val="Noto Sans CJK SC"/>
        <family val="2"/>
      </rPr>
      <t xml:space="preserve">與折舊（結果；下游引用）</t>
    </r>
  </si>
  <si>
    <r>
      <rPr>
        <sz val="10"/>
        <rFont val="Noto Sans CJK SC"/>
        <family val="2"/>
      </rPr>
      <t xml:space="preserve">毛 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（模型期，下游引用此列）</t>
    </r>
  </si>
  <si>
    <t xml:space="preserve">＝成長型＋汰換</t>
  </si>
  <si>
    <r>
      <rPr>
        <sz val="10"/>
        <rFont val="Arial"/>
        <family val="0"/>
        <charset val="1"/>
      </rPr>
      <t xml:space="preserve">D&amp;A</t>
    </r>
    <r>
      <rPr>
        <sz val="10"/>
        <rFont val="Noto Sans CJK SC"/>
        <family val="2"/>
      </rPr>
      <t xml:space="preserve">（車隊折舊）</t>
    </r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</si>
  <si>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Noto Sans CJK SC"/>
        <family val="2"/>
      </rPr>
      <t xml:space="preserve">期初毛 </t>
    </r>
    <r>
      <rPr>
        <sz val="9"/>
        <color rgb="FF595959"/>
        <rFont val="Arial"/>
        <family val="0"/>
        <charset val="1"/>
      </rPr>
      <t xml:space="preserve">PP&amp;E</t>
    </r>
    <r>
      <rPr>
        <sz val="9"/>
        <color rgb="FF595959"/>
        <rFont val="Noto Sans CJK SC"/>
        <family val="2"/>
      </rPr>
      <t xml:space="preserve">＋本期成長型</t>
    </r>
    <r>
      <rPr>
        <sz val="9"/>
        <color rgb="FF595959"/>
        <rFont val="Arial"/>
        <family val="0"/>
        <charset val="1"/>
      </rPr>
      <t xml:space="preserve">×½)÷</t>
    </r>
    <r>
      <rPr>
        <sz val="9"/>
        <color rgb="FF595959"/>
        <rFont val="Noto Sans CJK SC"/>
        <family val="2"/>
      </rPr>
      <t xml:space="preserve">壽命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期間長度</t>
    </r>
  </si>
  <si>
    <r>
      <rPr>
        <b val="true"/>
        <sz val="10"/>
        <rFont val="Arial"/>
        <family val="0"/>
        <charset val="1"/>
      </rPr>
      <t xml:space="preserve">E</t>
    </r>
    <r>
      <rPr>
        <b val="true"/>
        <sz val="10"/>
        <rFont val="Noto Sans CJK SC"/>
        <family val="2"/>
      </rPr>
      <t xml:space="preserve">｜融資（期初現金、既有債務、瀑布參數）</t>
    </r>
  </si>
  <si>
    <r>
      <rPr>
        <sz val="10"/>
        <rFont val="Noto Sans CJK SC"/>
        <family val="2"/>
      </rPr>
      <t xml:space="preserve">期初現金（</t>
    </r>
    <r>
      <rPr>
        <sz val="10"/>
        <rFont val="Arial"/>
        <family val="0"/>
        <charset val="1"/>
      </rPr>
      <t xml:space="preserve">2026-08-31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</si>
  <si>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季報現金 </t>
    </r>
    <r>
      <rPr>
        <sz val="9"/>
        <color rgb="FF595959"/>
        <rFont val="Arial"/>
        <family val="0"/>
        <charset val="1"/>
      </rPr>
      <t xml:space="preserve">36.369</t>
    </r>
    <r>
      <rPr>
        <sz val="9"/>
        <color rgb="FF595959"/>
        <rFont val="Noto Sans CJK SC"/>
        <family val="2"/>
      </rPr>
      <t xml:space="preserve">；受限現金 </t>
    </r>
    <r>
      <rPr>
        <sz val="9"/>
        <color rgb="FF595959"/>
        <rFont val="Arial"/>
        <family val="0"/>
        <charset val="1"/>
      </rPr>
      <t xml:space="preserve">2.6 </t>
    </r>
    <r>
      <rPr>
        <sz val="9"/>
        <color rgb="FF595959"/>
        <rFont val="Noto Sans CJK SC"/>
        <family val="2"/>
      </rPr>
      <t xml:space="preserve">與有價證券 </t>
    </r>
    <r>
      <rPr>
        <sz val="9"/>
        <color rgb="FF595959"/>
        <rFont val="Arial"/>
        <family val="0"/>
        <charset val="1"/>
      </rPr>
      <t xml:space="preserve">0.708 </t>
    </r>
    <r>
      <rPr>
        <sz val="9"/>
        <color rgb="FF595959"/>
        <rFont val="Noto Sans CJK SC"/>
        <family val="2"/>
      </rPr>
      <t xml:space="preserve">不計 </t>
    </r>
    <r>
      <rPr>
        <sz val="9"/>
        <color rgb="FF595959"/>
        <rFont val="Arial"/>
        <family val="0"/>
        <charset val="1"/>
      </rPr>
      <t xml:space="preserve">[Interested-party]</t>
    </r>
  </si>
  <si>
    <t xml:space="preserve">股權／可轉債金額</t>
  </si>
  <si>
    <r>
      <rPr>
        <sz val="9"/>
        <color rgb="FF595959"/>
        <rFont val="Noto Sans CJK SC"/>
        <family val="2"/>
      </rPr>
      <t xml:space="preserve">評價日後已完成的股權／可轉債淨額（</t>
    </r>
    <r>
      <rPr>
        <sz val="9"/>
        <color rgb="FF595959"/>
        <rFont val="Arial"/>
        <family val="0"/>
        <charset val="1"/>
      </rPr>
      <t xml:space="preserve">company.json → defaults.atm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</si>
  <si>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計入股權／可轉債（</t>
    </r>
    <r>
      <rPr>
        <sz val="10"/>
        <rFont val="Arial"/>
        <family val="0"/>
        <charset val="1"/>
      </rPr>
      <t xml:space="preserve">1=</t>
    </r>
    <r>
      <rPr>
        <sz val="10"/>
        <rFont val="Noto Sans CJK SC"/>
        <family val="2"/>
      </rPr>
      <t xml:space="preserve">是）</t>
    </r>
  </si>
  <si>
    <r>
      <rPr>
        <sz val="9"/>
        <color rgb="FF595959"/>
        <rFont val="Noto Sans CJK SC"/>
        <family val="2"/>
      </rPr>
      <t xml:space="preserve">關閉則首期少 </t>
    </r>
    <r>
      <rPr>
        <sz val="9"/>
        <color rgb="FF595959"/>
        <rFont val="Arial"/>
        <family val="0"/>
        <charset val="1"/>
      </rPr>
      <t xml:space="preserve">0.0bn </t>
    </r>
    <r>
      <rPr>
        <sz val="9"/>
        <color rgb="FF595959"/>
        <rFont val="Noto Sans CJK SC"/>
        <family val="2"/>
      </rPr>
      <t xml:space="preserve">來源</t>
    </r>
  </si>
  <si>
    <t xml:space="preserve">未動用信用額度</t>
  </si>
  <si>
    <r>
      <rPr>
        <sz val="9"/>
        <color rgb="FF595959"/>
        <rFont val="Noto Sans CJK SC"/>
        <family val="2"/>
      </rPr>
      <t xml:space="preserve">循環信用額度，未動用 </t>
    </r>
    <r>
      <rPr>
        <sz val="9"/>
        <color rgb="FF595959"/>
        <rFont val="Arial"/>
        <family val="0"/>
        <charset val="1"/>
      </rPr>
      <t xml:space="preserve">[Interested-party]</t>
    </r>
  </si>
  <si>
    <r>
      <rPr>
        <sz val="10"/>
        <rFont val="Noto Sans CJK SC"/>
        <family val="2"/>
      </rPr>
      <t xml:space="preserve">瀑布可動用未動用額度（</t>
    </r>
    <r>
      <rPr>
        <sz val="10"/>
        <rFont val="Arial"/>
        <family val="0"/>
        <charset val="1"/>
      </rPr>
      <t xml:space="preserve">1=</t>
    </r>
    <r>
      <rPr>
        <sz val="10"/>
        <rFont val="Noto Sans CJK SC"/>
        <family val="2"/>
      </rPr>
      <t xml:space="preserve">是）</t>
    </r>
  </si>
  <si>
    <r>
      <rPr>
        <sz val="9"/>
        <color rgb="FF595959"/>
        <rFont val="Noto Sans CJK SC"/>
        <family val="2"/>
      </rPr>
      <t xml:space="preserve">瀑布第一順位；已承諾額度，不受 債務／</t>
    </r>
    <r>
      <rPr>
        <sz val="9"/>
        <color rgb="FF595959"/>
        <rFont val="Arial"/>
        <family val="0"/>
        <charset val="1"/>
      </rPr>
      <t xml:space="preserve">backlog </t>
    </r>
    <r>
      <rPr>
        <sz val="9"/>
        <color rgb="FF595959"/>
        <rFont val="Noto Sans CJK SC"/>
        <family val="2"/>
      </rPr>
      <t xml:space="preserve">上限限制</t>
    </r>
  </si>
  <si>
    <r>
      <rPr>
        <sz val="10"/>
        <rFont val="Noto Sans CJK SC"/>
        <family val="2"/>
      </rPr>
      <t xml:space="preserve">債務排程攤還（</t>
    </r>
    <r>
      <rPr>
        <sz val="10"/>
        <rFont val="Arial"/>
        <family val="0"/>
        <charset val="1"/>
      </rPr>
      <t xml:space="preserve">1=</t>
    </r>
    <r>
      <rPr>
        <sz val="10"/>
        <rFont val="Noto Sans CJK SC"/>
        <family val="2"/>
      </rPr>
      <t xml:space="preserve">開）</t>
    </r>
  </si>
  <si>
    <t xml:space="preserve">季報到期表；關閉＝假設全額再融資</t>
  </si>
  <si>
    <r>
      <rPr>
        <sz val="10"/>
        <rFont val="Noto Sans CJK SC"/>
        <family val="2"/>
      </rPr>
      <t xml:space="preserve">債務／</t>
    </r>
    <r>
      <rPr>
        <sz val="10"/>
        <rFont val="Arial"/>
        <family val="0"/>
        <charset val="1"/>
      </rPr>
      <t xml:space="preserve">backlog </t>
    </r>
    <r>
      <rPr>
        <sz val="10"/>
        <rFont val="Noto Sans CJK SC"/>
        <family val="2"/>
      </rPr>
      <t xml:space="preserve">上限</t>
    </r>
  </si>
  <si>
    <r>
      <rPr>
        <sz val="9"/>
        <color rgb="FF595959"/>
        <rFont val="Noto Sans CJK SC"/>
        <family val="2"/>
      </rPr>
      <t xml:space="preserve">資產擔保融資容量：總債務 ≤ 此倍數 </t>
    </r>
    <r>
      <rPr>
        <sz val="9"/>
        <color rgb="FF595959"/>
        <rFont val="Arial"/>
        <family val="0"/>
        <charset val="1"/>
      </rPr>
      <t xml:space="preserve">× backlog</t>
    </r>
    <r>
      <rPr>
        <sz val="9"/>
        <color rgb="FF595959"/>
        <rFont val="Noto Sans CJK SC"/>
        <family val="2"/>
      </rPr>
      <t xml:space="preserve">；評價日實際約 </t>
    </r>
    <r>
      <rPr>
        <sz val="9"/>
        <color rgb="FF595959"/>
        <rFont val="Arial"/>
        <family val="0"/>
        <charset val="1"/>
      </rPr>
      <t xml:space="preserve">0.27x</t>
    </r>
    <r>
      <rPr>
        <sz val="9"/>
        <color rgb="FF595959"/>
        <rFont val="Noto Sans CJK SC"/>
        <family val="2"/>
      </rPr>
      <t xml:space="preserve">，預設 </t>
    </r>
    <r>
      <rPr>
        <sz val="9"/>
        <color rgb="FF595959"/>
        <rFont val="Arial"/>
        <family val="0"/>
        <charset val="1"/>
      </rPr>
      <t xml:space="preserve">0.5x [Assumed]</t>
    </r>
  </si>
  <si>
    <r>
      <rPr>
        <sz val="10"/>
        <rFont val="Noto Sans CJK SC"/>
        <family val="2"/>
      </rPr>
      <t xml:space="preserve">債務上限基準（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＝總債務 </t>
    </r>
    <r>
      <rPr>
        <sz val="10"/>
        <rFont val="Arial"/>
        <family val="0"/>
        <charset val="1"/>
      </rPr>
      <t xml:space="preserve">÷ EBITDA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backlog</t>
    </r>
    <r>
      <rPr>
        <sz val="10"/>
        <rFont val="Noto Sans CJK SC"/>
        <family val="2"/>
      </rPr>
      <t xml:space="preserve">＝債務 </t>
    </r>
    <r>
      <rPr>
        <sz val="10"/>
        <rFont val="Arial"/>
        <family val="0"/>
        <charset val="1"/>
      </rPr>
      <t xml:space="preserve">÷ backlog</t>
    </r>
    <r>
      <rPr>
        <sz val="10"/>
        <rFont val="Noto Sans CJK SC"/>
        <family val="2"/>
      </rPr>
      <t xml:space="preserve">）</t>
    </r>
  </si>
  <si>
    <t xml:space="preserve">leaseAdj</t>
  </si>
  <si>
    <r>
      <rPr>
        <sz val="9"/>
        <color rgb="FF595959"/>
        <rFont val="Arial"/>
        <family val="0"/>
        <charset val="1"/>
      </rPr>
      <t xml:space="preserve">v0.2</t>
    </r>
    <r>
      <rPr>
        <sz val="9"/>
        <color rgb="FF595959"/>
        <rFont val="Noto Sans CJK SC"/>
        <family val="2"/>
      </rPr>
      <t xml:space="preserve">：另有 </t>
    </r>
    <r>
      <rPr>
        <sz val="9"/>
        <color rgb="FF595959"/>
        <rFont val="Arial"/>
        <family val="0"/>
        <charset val="1"/>
      </rPr>
      <t xml:space="preserve">leaseAdj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Noto Sans CJK SC"/>
        <family val="2"/>
      </rPr>
      <t xml:space="preserve">債務＋租賃負債</t>
    </r>
    <r>
      <rPr>
        <sz val="9"/>
        <color rgb="FF595959"/>
        <rFont val="Arial"/>
        <family val="0"/>
        <charset val="1"/>
      </rPr>
      <t xml:space="preserve">) ÷ (EBITDA</t>
    </r>
    <r>
      <rPr>
        <sz val="9"/>
        <color rgb="FF595959"/>
        <rFont val="Noto Sans CJK SC"/>
        <family val="2"/>
      </rPr>
      <t xml:space="preserve">＋租金</t>
    </r>
    <r>
      <rPr>
        <sz val="9"/>
        <color rgb="FF595959"/>
        <rFont val="Arial"/>
        <family val="0"/>
        <charset val="1"/>
      </rPr>
      <t xml:space="preserve">)</t>
    </r>
    <r>
      <rPr>
        <sz val="9"/>
        <color rgb="FF595959"/>
        <rFont val="Noto Sans CJK SC"/>
        <family val="2"/>
      </rPr>
      <t xml:space="preserve">（租賃調整後槓桿，</t>
    </r>
    <r>
      <rPr>
        <sz val="9"/>
        <color rgb="FF595959"/>
        <rFont val="Arial"/>
        <family val="0"/>
        <charset val="1"/>
      </rPr>
      <t xml:space="preserve">S&amp;P </t>
    </r>
    <r>
      <rPr>
        <sz val="9"/>
        <color rgb="FF595959"/>
        <rFont val="Noto Sans CJK SC"/>
        <family val="2"/>
      </rPr>
      <t xml:space="preserve">口徑近似；租賃負債見『各期收支』）。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欄名稱沿用 </t>
    </r>
    <r>
      <rPr>
        <sz val="9"/>
        <color rgb="FF595959"/>
        <rFont val="Arial"/>
        <family val="0"/>
        <charset val="1"/>
      </rPr>
      <t xml:space="preserve">v0.1</t>
    </r>
    <r>
      <rPr>
        <sz val="9"/>
        <color rgb="FF595959"/>
        <rFont val="Noto Sans CJK SC"/>
        <family val="2"/>
      </rPr>
      <t xml:space="preserve">（本頁 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區既有重複表頭，改 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欄會使 </t>
    </r>
    <r>
      <rPr>
        <sz val="9"/>
        <color rgb="FF595959"/>
        <rFont val="Arial"/>
        <family val="0"/>
        <charset val="1"/>
      </rPr>
      <t xml:space="preserve">--vs-dist </t>
    </r>
    <r>
      <rPr>
        <sz val="9"/>
        <color rgb="FF595959"/>
        <rFont val="Noto Sans CJK SC"/>
        <family val="2"/>
      </rPr>
      <t xml:space="preserve">無法配對）；</t>
    </r>
    <r>
      <rPr>
        <sz val="9"/>
        <color rgb="FF595959"/>
        <rFont val="Arial"/>
        <family val="0"/>
        <charset val="1"/>
      </rPr>
      <t xml:space="preserve">company.json → defaults.debtCapBasis</t>
    </r>
  </si>
  <si>
    <r>
      <rPr>
        <sz val="10"/>
        <rFont val="Noto Sans CJK SC"/>
        <family val="2"/>
      </rPr>
      <t xml:space="preserve">投資級上限（總債務 </t>
    </r>
    <r>
      <rPr>
        <sz val="10"/>
        <rFont val="Arial"/>
        <family val="0"/>
        <charset val="1"/>
      </rPr>
      <t xml:space="preserve">÷ </t>
    </r>
    <r>
      <rPr>
        <sz val="10"/>
        <rFont val="Noto Sans CJK SC"/>
        <family val="2"/>
      </rPr>
      <t xml:space="preserve">當期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</si>
  <si>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v0.2</t>
    </r>
    <r>
      <rPr>
        <sz val="9"/>
        <color rgb="FF595959"/>
        <rFont val="Noto Sans CJK SC"/>
        <family val="2"/>
      </rPr>
      <t xml:space="preserve">：基準為 </t>
    </r>
    <r>
      <rPr>
        <sz val="9"/>
        <color rgb="FF595959"/>
        <rFont val="Arial"/>
        <family val="0"/>
        <charset val="1"/>
      </rPr>
      <t xml:space="preserve">leaseAdj </t>
    </r>
    <r>
      <rPr>
        <sz val="9"/>
        <color rgb="FF595959"/>
        <rFont val="Noto Sans CJK SC"/>
        <family val="2"/>
      </rPr>
      <t xml:space="preserve">時本格＝調整後槓桿 </t>
    </r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Noto Sans CJK SC"/>
        <family val="2"/>
      </rPr>
      <t xml:space="preserve">債務＋租賃負債</t>
    </r>
    <r>
      <rPr>
        <sz val="9"/>
        <color rgb="FF595959"/>
        <rFont val="Arial"/>
        <family val="0"/>
        <charset val="1"/>
      </rPr>
      <t xml:space="preserve">) ÷ (EBITDA</t>
    </r>
    <r>
      <rPr>
        <sz val="9"/>
        <color rgb="FF595959"/>
        <rFont val="Noto Sans CJK SC"/>
        <family val="2"/>
      </rPr>
      <t xml:space="preserve">＋租金</t>
    </r>
    <r>
      <rPr>
        <sz val="9"/>
        <color rgb="FF595959"/>
        <rFont val="Arial"/>
        <family val="0"/>
        <charset val="1"/>
      </rPr>
      <t xml:space="preserve">) </t>
    </r>
    <r>
      <rPr>
        <sz val="9"/>
        <color rgb="FF595959"/>
        <rFont val="Noto Sans CJK SC"/>
        <family val="2"/>
      </rPr>
      <t xml:space="preserve">的上限。</t>
    </r>
    <r>
      <rPr>
        <sz val="9"/>
        <color rgb="FF595959"/>
        <rFont val="Arial"/>
        <family val="0"/>
        <charset val="1"/>
      </rPr>
      <t xml:space="preserve">S&amp;P BBB- </t>
    </r>
    <r>
      <rPr>
        <sz val="9"/>
        <color rgb="FF595959"/>
        <rFont val="Noto Sans CJK SC"/>
        <family val="2"/>
      </rPr>
      <t xml:space="preserve">降評門檻：調整後槓桿持續 </t>
    </r>
    <r>
      <rPr>
        <sz val="9"/>
        <color rgb="FF595959"/>
        <rFont val="Arial"/>
        <family val="0"/>
        <charset val="1"/>
      </rPr>
      <t xml:space="preserve">&gt;4.5×</t>
    </r>
    <r>
      <rPr>
        <sz val="9"/>
        <color rgb="FF595959"/>
        <rFont val="Noto Sans CJK SC"/>
        <family val="2"/>
      </rPr>
      <t xml:space="preserve">（事實總帳 </t>
    </r>
    <r>
      <rPr>
        <sz val="9"/>
        <color rgb="FF595959"/>
        <rFont val="Arial"/>
        <family val="0"/>
        <charset val="1"/>
      </rPr>
      <t xml:space="preserve">rating.sp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[Interested-party] </t>
    </r>
    <r>
      <rPr>
        <sz val="9"/>
        <color rgb="FF595959"/>
        <rFont val="Noto Sans CJK SC"/>
        <family val="2"/>
      </rPr>
      <t xml:space="preserve">二手轉述）；敏感度 </t>
    </r>
    <r>
      <rPr>
        <sz val="9"/>
        <color rgb="FF595959"/>
        <rFont val="Arial"/>
        <family val="0"/>
        <charset val="1"/>
      </rPr>
      <t xml:space="preserve">4.0×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5.0×</t>
    </r>
    <r>
      <rPr>
        <sz val="9"/>
        <color rgb="FF595959"/>
        <rFont val="Noto Sans CJK SC"/>
        <family val="2"/>
      </rPr>
      <t xml:space="preserve">；超過部分走股權再走高息債</t>
    </r>
  </si>
  <si>
    <t xml:space="preserve">新簽合約年期</t>
  </si>
  <si>
    <r>
      <rPr>
        <sz val="9"/>
        <color rgb="FF595959"/>
        <rFont val="Arial"/>
        <family val="0"/>
        <charset val="1"/>
      </rPr>
      <t xml:space="preserve">backlog </t>
    </r>
    <r>
      <rPr>
        <sz val="9"/>
        <color rgb="FF595959"/>
        <rFont val="Noto Sans CJK SC"/>
        <family val="2"/>
      </rPr>
      <t xml:space="preserve">上限模式用：新簽約以此年期補入 </t>
    </r>
    <r>
      <rPr>
        <sz val="9"/>
        <color rgb="FF595959"/>
        <rFont val="Arial"/>
        <family val="0"/>
        <charset val="1"/>
      </rPr>
      <t xml:space="preserve">backlog [Assumed]</t>
    </r>
  </si>
  <si>
    <t xml:space="preserve">普通股股利（每股每季）</t>
  </si>
  <si>
    <r>
      <rPr>
        <sz val="9"/>
        <color rgb="FF595959"/>
        <rFont val="Noto Sans CJK SC"/>
        <family val="2"/>
      </rPr>
      <t xml:space="preserve">每季 </t>
    </r>
    <r>
      <rPr>
        <sz val="9"/>
        <color rgb="FF595959"/>
        <rFont val="Arial"/>
        <family val="0"/>
        <charset val="1"/>
      </rPr>
      <t xml:space="preserve">$0.50 [Interested-party]</t>
    </r>
    <r>
      <rPr>
        <sz val="9"/>
        <color rgb="FF595959"/>
        <rFont val="Noto Sans CJK SC"/>
        <family val="2"/>
      </rPr>
      <t xml:space="preserve">；不回購（</t>
    </r>
    <r>
      <rPr>
        <sz val="9"/>
        <color rgb="FF595959"/>
        <rFont val="Arial"/>
        <family val="0"/>
        <charset val="1"/>
      </rPr>
      <t xml:space="preserve">company.json → defaults.dividend</t>
    </r>
    <r>
      <rPr>
        <sz val="9"/>
        <color rgb="FF595959"/>
        <rFont val="Noto Sans CJK SC"/>
        <family val="2"/>
      </rPr>
      <t xml:space="preserve">）</t>
    </r>
  </si>
  <si>
    <t xml:space="preserve">股利基礎股數</t>
  </si>
  <si>
    <t xml:space="preserve">bn</t>
  </si>
  <si>
    <t xml:space="preserve">最新流通股；另加前期累計瀑布新股與已強制轉換的特別股</t>
  </si>
  <si>
    <t xml:space="preserve">最低現金</t>
  </si>
  <si>
    <r>
      <rPr>
        <sz val="9"/>
        <color rgb="FF595959"/>
        <rFont val="Noto Sans CJK SC"/>
        <family val="2"/>
      </rPr>
      <t xml:space="preserve">期前融資的現金底線 </t>
    </r>
    <r>
      <rPr>
        <sz val="9"/>
        <color rgb="FF595959"/>
        <rFont val="Arial"/>
        <family val="0"/>
        <charset val="1"/>
      </rPr>
      <t xml:space="preserve">[Assumed]</t>
    </r>
  </si>
  <si>
    <t xml:space="preserve">股權發行價</t>
  </si>
  <si>
    <r>
      <rPr>
        <sz val="9"/>
        <color rgb="FF595959"/>
        <rFont val="Noto Sans CJK SC"/>
        <family val="2"/>
      </rPr>
      <t xml:space="preserve">預設＝現價（</t>
    </r>
    <r>
      <rPr>
        <sz val="9"/>
        <color rgb="FF595959"/>
        <rFont val="Arial"/>
        <family val="0"/>
        <charset val="1"/>
      </rPr>
      <t xml:space="preserve">2026-10-06 </t>
    </r>
    <r>
      <rPr>
        <sz val="9"/>
        <color rgb="FF595959"/>
        <rFont val="Noto Sans CJK SC"/>
        <family val="2"/>
      </rPr>
      <t xml:space="preserve">收盤）</t>
    </r>
    <r>
      <rPr>
        <sz val="9"/>
        <color rgb="FF595959"/>
        <rFont val="Arial"/>
        <family val="0"/>
        <charset val="1"/>
      </rPr>
      <t xml:space="preserve">[Verified]</t>
    </r>
  </si>
  <si>
    <t xml:space="preserve">股權發行折價</t>
  </si>
  <si>
    <r>
      <rPr>
        <sz val="9"/>
        <color rgb="FF595959"/>
        <rFont val="Noto Sans CJK SC"/>
        <family val="2"/>
      </rPr>
      <t xml:space="preserve">大額增資的折讓 </t>
    </r>
    <r>
      <rPr>
        <sz val="9"/>
        <color rgb="FF595959"/>
        <rFont val="Arial"/>
        <family val="0"/>
        <charset val="1"/>
      </rPr>
      <t xml:space="preserve">[Assumed]</t>
    </r>
  </si>
  <si>
    <t xml:space="preserve">每年股權吸收上限（占現市值）</t>
  </si>
  <si>
    <r>
      <rPr>
        <sz val="9"/>
        <color rgb="FF595959"/>
        <rFont val="Noto Sans CJK SC"/>
        <family val="2"/>
      </rPr>
      <t xml:space="preserve">沿用模板 </t>
    </r>
    <r>
      <rPr>
        <sz val="9"/>
        <color rgb="FF595959"/>
        <rFont val="Arial"/>
        <family val="0"/>
        <charset val="1"/>
      </rPr>
      <t xml:space="preserve">20%</t>
    </r>
    <r>
      <rPr>
        <sz val="9"/>
        <color rgb="FF595959"/>
        <rFont val="Noto Sans CJK SC"/>
        <family val="2"/>
      </rPr>
      <t xml:space="preserve">；輸入 ≥</t>
    </r>
    <r>
      <rPr>
        <sz val="9"/>
        <color rgb="FF595959"/>
        <rFont val="Arial"/>
        <family val="0"/>
        <charset val="1"/>
      </rPr>
      <t xml:space="preserve">900% </t>
    </r>
    <r>
      <rPr>
        <sz val="9"/>
        <color rgb="FF595959"/>
        <rFont val="Noto Sans CJK SC"/>
        <family val="2"/>
      </rPr>
      <t xml:space="preserve">視為無上限 </t>
    </r>
    <r>
      <rPr>
        <sz val="9"/>
        <color rgb="FF595959"/>
        <rFont val="Arial"/>
        <family val="0"/>
        <charset val="1"/>
      </rPr>
      <t xml:space="preserve">[Assumed]</t>
    </r>
  </si>
  <si>
    <t xml:space="preserve">股權上限的股數基礎</t>
  </si>
  <si>
    <r>
      <rPr>
        <sz val="9"/>
        <color rgb="FF595959"/>
        <rFont val="Noto Sans CJK SC"/>
        <family val="2"/>
      </rPr>
      <t xml:space="preserve">現市值＝發行參考價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此股數（</t>
    </r>
    <r>
      <rPr>
        <sz val="9"/>
        <color rgb="FF595959"/>
        <rFont val="Arial"/>
        <family val="0"/>
        <charset val="1"/>
      </rPr>
      <t xml:space="preserve">company.json → defaults.eqCapShares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</si>
  <si>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可轉債年發行上限｜保守 </t>
    </r>
    <r>
      <rPr>
        <sz val="10"/>
        <rFont val="Arial"/>
        <family val="0"/>
        <charset val="1"/>
      </rPr>
      <t xml:space="preserve">OpenAI </t>
    </r>
    <r>
      <rPr>
        <sz val="10"/>
        <rFont val="Noto Sans CJK SC"/>
        <family val="2"/>
      </rPr>
      <t xml:space="preserve">相關 </t>
    </r>
    <r>
      <rPr>
        <sz val="10"/>
        <rFont val="Arial"/>
        <family val="0"/>
        <charset val="1"/>
      </rPr>
      <t xml:space="preserve">60%</t>
    </r>
  </si>
  <si>
    <r>
      <rPr>
        <sz val="9"/>
        <color rgb="FF595959"/>
        <rFont val="Arial"/>
        <family val="0"/>
        <charset val="1"/>
      </rPr>
      <t xml:space="preserve">US$bn</t>
    </r>
    <r>
      <rPr>
        <sz val="9"/>
        <color rgb="FF595959"/>
        <rFont val="Noto Sans CJK SC"/>
        <family val="2"/>
      </rPr>
      <t xml:space="preserve">／年</t>
    </r>
  </si>
  <si>
    <r>
      <rPr>
        <sz val="9"/>
        <color rgb="FF595959"/>
        <rFont val="Noto Sans CJK SC"/>
        <family val="2"/>
      </rPr>
      <t xml:space="preserve">瀑布可轉債步驟每年上限（</t>
    </r>
    <r>
      <rPr>
        <sz val="9"/>
        <color rgb="FF595959"/>
        <rFont val="Arial"/>
        <family val="0"/>
        <charset val="1"/>
      </rPr>
      <t xml:space="preserve">company.json → scenarios.convCap</t>
    </r>
    <r>
      <rPr>
        <sz val="9"/>
        <color rgb="FF595959"/>
        <rFont val="Noto Sans CJK SC"/>
        <family val="2"/>
      </rPr>
      <t xml:space="preserve">）；保守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＝不新發 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</si>
  <si>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sz val="10"/>
        <rFont val="Noto Sans CJK SC"/>
        <family val="2"/>
      </rPr>
      <t xml:space="preserve">可轉債年發行上限｜基準 已簽約站點依 </t>
    </r>
    <r>
      <rPr>
        <sz val="10"/>
        <rFont val="Arial"/>
        <family val="0"/>
        <charset val="1"/>
      </rPr>
      <t xml:space="preserve">Q1 </t>
    </r>
    <r>
      <rPr>
        <sz val="10"/>
        <rFont val="Noto Sans CJK SC"/>
        <family val="2"/>
      </rPr>
      <t xml:space="preserve">速度</t>
    </r>
  </si>
  <si>
    <t xml:space="preserve">可轉債年發行上限｜積極 依公司時程</t>
  </si>
  <si>
    <t xml:space="preserve">可轉債年發行上限（目前情境）</t>
  </si>
  <si>
    <r>
      <rPr>
        <sz val="9"/>
        <color rgb="FF595959"/>
        <rFont val="Noto Sans CJK SC"/>
        <family val="2"/>
      </rPr>
      <t xml:space="preserve">＝依 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區情境選擇器</t>
    </r>
  </si>
  <si>
    <t xml:space="preserve">瀑布新發可轉債票息</t>
  </si>
  <si>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年兩次發行四檔加權約 </t>
    </r>
    <r>
      <rPr>
        <sz val="9"/>
        <color rgb="FF595959"/>
        <rFont val="Arial"/>
        <family val="0"/>
        <charset val="1"/>
      </rPr>
      <t xml:space="preserve">2.1% [Derived]</t>
    </r>
  </si>
  <si>
    <t xml:space="preserve">瀑布新發可轉債轉換溢價</t>
  </si>
  <si>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年發行溢價 </t>
    </r>
    <r>
      <rPr>
        <sz val="9"/>
        <color rgb="FF595959"/>
        <rFont val="Arial"/>
        <family val="0"/>
        <charset val="1"/>
      </rPr>
      <t xml:space="preserve">40–57.5% </t>
    </r>
    <r>
      <rPr>
        <sz val="9"/>
        <color rgb="FF595959"/>
        <rFont val="Noto Sans CJK SC"/>
        <family val="2"/>
      </rPr>
      <t xml:space="preserve">取 </t>
    </r>
    <r>
      <rPr>
        <sz val="9"/>
        <color rgb="FF595959"/>
        <rFont val="Arial"/>
        <family val="0"/>
        <charset val="1"/>
      </rPr>
      <t xml:space="preserve">45%</t>
    </r>
    <r>
      <rPr>
        <sz val="9"/>
        <color rgb="FF595959"/>
        <rFont val="Noto Sans CJK SC"/>
        <family val="2"/>
      </rPr>
      <t xml:space="preserve">；只用於潛在股數揭露 </t>
    </r>
    <r>
      <rPr>
        <sz val="9"/>
        <color rgb="FF595959"/>
        <rFont val="Arial"/>
        <family val="0"/>
        <charset val="1"/>
      </rPr>
      <t xml:space="preserve">[Derived]</t>
    </r>
  </si>
  <si>
    <t xml:space="preserve">高息債利率（股權上限溢出）</t>
  </si>
  <si>
    <r>
      <rPr>
        <sz val="9"/>
        <color rgb="FF595959"/>
        <rFont val="Noto Sans CJK SC"/>
        <family val="2"/>
      </rPr>
      <t xml:space="preserve">沿用模板 </t>
    </r>
    <r>
      <rPr>
        <sz val="9"/>
        <color rgb="FF595959"/>
        <rFont val="Arial"/>
        <family val="0"/>
        <charset val="1"/>
      </rPr>
      <t xml:space="preserve">12% [Assumed]</t>
    </r>
  </si>
  <si>
    <t xml:space="preserve">現金稅率（類現金流量）</t>
  </si>
  <si>
    <r>
      <rPr>
        <sz val="9"/>
        <color rgb="FF595959"/>
        <rFont val="Noto Sans CJK SC"/>
        <family val="2"/>
      </rPr>
      <t xml:space="preserve">現金稅＝稅率 </t>
    </r>
    <r>
      <rPr>
        <sz val="9"/>
        <color rgb="FF595959"/>
        <rFont val="Arial"/>
        <family val="0"/>
        <charset val="1"/>
      </rPr>
      <t xml:space="preserve">× MAX(0, </t>
    </r>
    <r>
      <rPr>
        <sz val="9"/>
        <color rgb="FF595959"/>
        <rFont val="Noto Sans CJK SC"/>
        <family val="2"/>
      </rPr>
      <t xml:space="preserve">損益 </t>
    </r>
    <r>
      <rPr>
        <sz val="9"/>
        <color rgb="FF595959"/>
        <rFont val="Arial"/>
        <family val="0"/>
        <charset val="1"/>
      </rPr>
      <t xml:space="preserve">EBITDA − </t>
    </r>
    <r>
      <rPr>
        <sz val="9"/>
        <color rgb="FF595959"/>
        <rFont val="Noto Sans CJK SC"/>
        <family val="2"/>
      </rPr>
      <t xml:space="preserve">車隊 </t>
    </r>
    <r>
      <rPr>
        <sz val="9"/>
        <color rgb="FF595959"/>
        <rFont val="Arial"/>
        <family val="0"/>
        <charset val="1"/>
      </rPr>
      <t xml:space="preserve">D&amp;A − </t>
    </r>
    <r>
      <rPr>
        <sz val="9"/>
        <color rgb="FF595959"/>
        <rFont val="Noto Sans CJK SC"/>
        <family val="2"/>
      </rPr>
      <t xml:space="preserve">存量利息</t>
    </r>
    <r>
      <rPr>
        <sz val="9"/>
        <color rgb="FF595959"/>
        <rFont val="Arial"/>
        <family val="0"/>
        <charset val="1"/>
      </rPr>
      <t xml:space="preserve">)</t>
    </r>
    <r>
      <rPr>
        <sz val="9"/>
        <color rgb="FF595959"/>
        <rFont val="Noto Sans CJK SC"/>
        <family val="2"/>
      </rPr>
      <t xml:space="preserve">；不含瀑布新債利息以避免循環（偏保守）；</t>
    </r>
    <r>
      <rPr>
        <sz val="9"/>
        <color rgb="FF595959"/>
        <rFont val="Arial"/>
        <family val="0"/>
        <charset val="1"/>
      </rPr>
      <t xml:space="preserve">company.json → defaults.cashTaxRate</t>
    </r>
  </si>
  <si>
    <r>
      <rPr>
        <sz val="10"/>
        <rFont val="Arial"/>
        <family val="0"/>
        <charset val="1"/>
      </rPr>
      <t xml:space="preserve">CDS </t>
    </r>
    <r>
      <rPr>
        <sz val="10"/>
        <rFont val="Noto Sans CJK SC"/>
        <family val="2"/>
      </rPr>
      <t xml:space="preserve">中價</t>
    </r>
  </si>
  <si>
    <t xml:space="preserve">bps</t>
  </si>
  <si>
    <r>
      <rPr>
        <sz val="9"/>
        <color rgb="FF595959"/>
        <rFont val="Noto Sans CJK SC"/>
        <family val="2"/>
      </rPr>
      <t xml:space="preserve">不適用（</t>
    </r>
    <r>
      <rPr>
        <sz val="9"/>
        <color rgb="FF595959"/>
        <rFont val="Arial"/>
        <family val="0"/>
        <charset val="1"/>
      </rPr>
      <t xml:space="preserve">ORCL CDS </t>
    </r>
    <r>
      <rPr>
        <sz val="9"/>
        <color rgb="FF595959"/>
        <rFont val="Noto Sans CJK SC"/>
        <family val="2"/>
      </rPr>
      <t xml:space="preserve">無可引用的一手報價）</t>
    </r>
  </si>
  <si>
    <r>
      <rPr>
        <sz val="10"/>
        <rFont val="Arial"/>
        <family val="0"/>
        <charset val="1"/>
      </rPr>
      <t xml:space="preserve">CDS </t>
    </r>
    <r>
      <rPr>
        <sz val="10"/>
        <rFont val="Noto Sans CJK SC"/>
        <family val="2"/>
      </rPr>
      <t xml:space="preserve">傳入新債利率（</t>
    </r>
    <r>
      <rPr>
        <sz val="10"/>
        <rFont val="Arial"/>
        <family val="0"/>
        <charset val="1"/>
      </rPr>
      <t xml:space="preserve">1=</t>
    </r>
    <r>
      <rPr>
        <sz val="10"/>
        <rFont val="Noto Sans CJK SC"/>
        <family val="2"/>
      </rPr>
      <t xml:space="preserve">開）</t>
    </r>
  </si>
  <si>
    <r>
      <rPr>
        <sz val="9"/>
        <color rgb="FF595959"/>
        <rFont val="Noto Sans CJK SC"/>
        <family val="2"/>
      </rPr>
      <t xml:space="preserve">開啟：新債利率＋</t>
    </r>
    <r>
      <rPr>
        <sz val="9"/>
        <color rgb="FF595959"/>
        <rFont val="Arial"/>
        <family val="0"/>
        <charset val="1"/>
      </rPr>
      <t xml:space="preserve">MAX(0,CDS−450)×0.4/100</t>
    </r>
    <r>
      <rPr>
        <sz val="9"/>
        <color rgb="FF595959"/>
        <rFont val="Noto Sans CJK SC"/>
        <family val="2"/>
      </rPr>
      <t xml:space="preserve">。預設關閉</t>
    </r>
  </si>
  <si>
    <r>
      <rPr>
        <sz val="10"/>
        <rFont val="Arial"/>
        <family val="0"/>
        <charset val="1"/>
      </rPr>
      <t xml:space="preserve">CDS </t>
    </r>
    <r>
      <rPr>
        <sz val="10"/>
        <rFont val="Noto Sans CJK SC"/>
        <family val="2"/>
      </rPr>
      <t xml:space="preserve">傳入門檻</t>
    </r>
  </si>
  <si>
    <r>
      <rPr>
        <sz val="9"/>
        <color rgb="FF595959"/>
        <rFont val="Arial"/>
        <family val="0"/>
        <charset val="1"/>
      </rPr>
      <t xml:space="preserve">CDS </t>
    </r>
    <r>
      <rPr>
        <sz val="9"/>
        <color rgb="FF595959"/>
        <rFont val="Noto Sans CJK SC"/>
        <family val="2"/>
      </rPr>
      <t xml:space="preserve">超過此值的部分才傳入新債利率 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</si>
  <si>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sz val="10"/>
        <rFont val="Arial"/>
        <family val="0"/>
        <charset val="1"/>
      </rPr>
      <t xml:space="preserve">CDS </t>
    </r>
    <r>
      <rPr>
        <sz val="10"/>
        <rFont val="Noto Sans CJK SC"/>
        <family val="2"/>
      </rPr>
      <t xml:space="preserve">傳入比例</t>
    </r>
  </si>
  <si>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1bp CDS </t>
    </r>
    <r>
      <rPr>
        <sz val="9"/>
        <color rgb="FF595959"/>
        <rFont val="Noto Sans CJK SC"/>
        <family val="2"/>
      </rPr>
      <t xml:space="preserve">超額傳入新債利率的比例 </t>
    </r>
    <r>
      <rPr>
        <sz val="9"/>
        <color rgb="FF595959"/>
        <rFont val="Arial"/>
        <family val="0"/>
        <charset val="1"/>
      </rPr>
      <t xml:space="preserve">[Assumed]</t>
    </r>
  </si>
  <si>
    <t xml:space="preserve">特別股股利</t>
  </si>
  <si>
    <r>
      <rPr>
        <sz val="9"/>
        <color rgb="FF595959"/>
        <rFont val="Noto Sans CJK SC"/>
        <family val="2"/>
      </rPr>
      <t xml:space="preserve">強制轉換前的特別股股利（</t>
    </r>
    <r>
      <rPr>
        <sz val="9"/>
        <color rgb="FF595959"/>
        <rFont val="Arial"/>
        <family val="0"/>
        <charset val="1"/>
      </rPr>
      <t xml:space="preserve">company.json → defaults.dividend.preferred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[Derived]</t>
    </r>
  </si>
  <si>
    <t xml:space="preserve">排程還本（季報到期表）</t>
  </si>
  <si>
    <r>
      <rPr>
        <sz val="9"/>
        <color rgb="FF595959"/>
        <rFont val="Noto Sans CJK SC"/>
        <family val="2"/>
      </rPr>
      <t xml:space="preserve">可轉債到期累積本金與其他借款；其後 </t>
    </r>
    <r>
      <rPr>
        <sz val="9"/>
        <color rgb="FF595959"/>
        <rFont val="Arial"/>
        <family val="0"/>
        <charset val="1"/>
      </rPr>
      <t xml:space="preserve">90.25 [Interested-party]</t>
    </r>
  </si>
  <si>
    <t xml:space="preserve">新債利率</t>
  </si>
  <si>
    <r>
      <rPr>
        <sz val="9"/>
        <color rgb="FF595959"/>
        <rFont val="Noto Sans CJK SC"/>
        <family val="2"/>
      </rPr>
      <t xml:space="preserve">瀑布新債利率取 </t>
    </r>
    <r>
      <rPr>
        <sz val="9"/>
        <color rgb="FF595959"/>
        <rFont val="Arial"/>
        <family val="0"/>
        <charset val="1"/>
      </rPr>
      <t xml:space="preserve">2026-02 </t>
    </r>
    <r>
      <rPr>
        <sz val="9"/>
        <color rgb="FF595959"/>
        <rFont val="Noto Sans CJK SC"/>
        <family val="2"/>
      </rPr>
      <t xml:space="preserve">一次性投資級無擔保債八檔加權票面約 </t>
    </r>
    <r>
      <rPr>
        <sz val="9"/>
        <color rgb="FF595959"/>
        <rFont val="Arial"/>
        <family val="0"/>
        <charset val="1"/>
      </rPr>
      <t xml:space="preserve">5.8% [Derived]</t>
    </r>
    <r>
      <rPr>
        <sz val="9"/>
        <color rgb="FF595959"/>
        <rFont val="Noto Sans CJK SC"/>
        <family val="2"/>
      </rPr>
      <t xml:space="preserve">；長天期次級市場殖利率約 </t>
    </r>
    <r>
      <rPr>
        <sz val="9"/>
        <color rgb="FF595959"/>
        <rFont val="Arial"/>
        <family val="0"/>
        <charset val="1"/>
      </rPr>
      <t xml:space="preserve">8.1%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2046 </t>
    </r>
    <r>
      <rPr>
        <sz val="9"/>
        <color rgb="FF595959"/>
        <rFont val="Noto Sans CJK SC"/>
        <family val="2"/>
      </rPr>
      <t xml:space="preserve">票據）</t>
    </r>
  </si>
  <si>
    <t xml:space="preserve">存量債務利息（下游引用此列）</t>
  </si>
  <si>
    <r>
      <rPr>
        <sz val="9"/>
        <color rgb="FF595959"/>
        <rFont val="Noto Sans CJK SC"/>
        <family val="2"/>
      </rPr>
      <t xml:space="preserve">＝債務明細頁：平均本金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加權有效利率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期間長度＋可轉債利息＋</t>
    </r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Noto Sans CJK SC"/>
        <family val="2"/>
      </rPr>
      <t xml:space="preserve">校準</t>
    </r>
  </si>
  <si>
    <r>
      <rPr>
        <b val="true"/>
        <sz val="10"/>
        <rFont val="Arial"/>
        <family val="0"/>
        <charset val="1"/>
      </rPr>
      <t xml:space="preserve">F</t>
    </r>
    <r>
      <rPr>
        <b val="true"/>
        <sz val="10"/>
        <rFont val="Noto Sans CJK SC"/>
        <family val="2"/>
      </rPr>
      <t xml:space="preserve">｜評價（價格、股數、折現、倍數、權重）</t>
    </r>
  </si>
  <si>
    <r>
      <rPr>
        <sz val="10"/>
        <rFont val="Noto Sans CJK SC"/>
        <family val="2"/>
      </rPr>
      <t xml:space="preserve">現價（</t>
    </r>
    <r>
      <rPr>
        <sz val="10"/>
        <rFont val="Arial"/>
        <family val="0"/>
        <charset val="1"/>
      </rPr>
      <t xml:space="preserve">2026-10-06 </t>
    </r>
    <r>
      <rPr>
        <sz val="10"/>
        <rFont val="Noto Sans CJK SC"/>
        <family val="2"/>
      </rPr>
      <t xml:space="preserve">收盤）</t>
    </r>
  </si>
  <si>
    <r>
      <rPr>
        <sz val="9"/>
        <color rgb="FF595959"/>
        <rFont val="Arial"/>
        <family val="0"/>
        <charset val="1"/>
      </rPr>
      <t xml:space="preserve">StockAnalysis.com</t>
    </r>
    <r>
      <rPr>
        <sz val="9"/>
        <color rgb="FF595959"/>
        <rFont val="Noto Sans CJK SC"/>
        <family val="2"/>
      </rPr>
      <t xml:space="preserve">（歷史股價）（</t>
    </r>
    <r>
      <rPr>
        <sz val="9"/>
        <color rgb="FF595959"/>
        <rFont val="Arial"/>
        <family val="0"/>
        <charset val="1"/>
      </rPr>
      <t xml:space="preserve">https://stockanalysis.com/stocks/orcl/history/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[Verified]</t>
    </r>
  </si>
  <si>
    <r>
      <rPr>
        <sz val="10"/>
        <rFont val="Noto Sans CJK SC"/>
        <family val="2"/>
      </rPr>
      <t xml:space="preserve">股數（含 </t>
    </r>
    <r>
      <rPr>
        <sz val="10"/>
        <rFont val="Arial"/>
        <family val="0"/>
        <charset val="1"/>
      </rPr>
      <t xml:space="preserve">ATM </t>
    </r>
    <r>
      <rPr>
        <sz val="10"/>
        <rFont val="Noto Sans CJK SC"/>
        <family val="2"/>
      </rPr>
      <t xml:space="preserve">上限）</t>
    </r>
  </si>
  <si>
    <r>
      <rPr>
        <sz val="9"/>
        <color rgb="FF595959"/>
        <rFont val="Noto Sans CJK SC"/>
        <family val="2"/>
      </rPr>
      <t xml:space="preserve">季末流通 </t>
    </r>
    <r>
      <rPr>
        <sz val="9"/>
        <color rgb="FF595959"/>
        <rFont val="Arial"/>
        <family val="0"/>
        <charset val="1"/>
      </rPr>
      <t xml:space="preserve">3.023736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RSU </t>
    </r>
    <r>
      <rPr>
        <sz val="9"/>
        <color rgb="FF595959"/>
        <rFont val="Noto Sans CJK SC"/>
        <family val="2"/>
      </rPr>
      <t xml:space="preserve">與選擇權（稀釋與基本加權股數差 </t>
    </r>
    <r>
      <rPr>
        <sz val="9"/>
        <color rgb="FF595959"/>
        <rFont val="Arial"/>
        <family val="0"/>
        <charset val="1"/>
      </rPr>
      <t xml:space="preserve">0.034bn</t>
    </r>
    <r>
      <rPr>
        <sz val="9"/>
        <color rgb="FF595959"/>
        <rFont val="Noto Sans CJK SC"/>
        <family val="2"/>
      </rPr>
      <t xml:space="preserve">） </t>
    </r>
    <r>
      <rPr>
        <sz val="9"/>
        <color rgb="FF595959"/>
        <rFont val="Arial"/>
        <family val="0"/>
        <charset val="1"/>
      </rPr>
      <t xml:space="preserve">[Derived]</t>
    </r>
  </si>
  <si>
    <t xml:space="preserve">淨負債（不含可轉債）</t>
  </si>
  <si>
    <r>
      <rPr>
        <sz val="9"/>
        <color rgb="FF595959"/>
        <rFont val="Noto Sans CJK SC"/>
        <family val="2"/>
      </rPr>
      <t xml:space="preserve">其他借款 − 現金（含期後股權／可轉債募得淨額）；可轉債依稀釋判斷另計（見『評價</t>
    </r>
    <r>
      <rPr>
        <sz val="9"/>
        <color rgb="FF595959"/>
        <rFont val="Arial"/>
        <family val="0"/>
        <charset val="1"/>
      </rPr>
      <t xml:space="preserve">_DCF</t>
    </r>
    <r>
      <rPr>
        <sz val="9"/>
        <color rgb="FF595959"/>
        <rFont val="Noto Sans CJK SC"/>
        <family val="2"/>
      </rPr>
      <t xml:space="preserve">與目標價』可轉債區）</t>
    </r>
    <r>
      <rPr>
        <sz val="9"/>
        <color rgb="FF595959"/>
        <rFont val="Arial"/>
        <family val="0"/>
        <charset val="1"/>
      </rPr>
      <t xml:space="preserve">[Derived]</t>
    </r>
  </si>
  <si>
    <t xml:space="preserve">持股折價（流動性、少數股權）</t>
  </si>
  <si>
    <r>
      <rPr>
        <sz val="9"/>
        <color rgb="FF595959"/>
        <rFont val="Noto Sans CJK SC"/>
        <family val="2"/>
      </rPr>
      <t xml:space="preserve">非上市少數股權折價 </t>
    </r>
    <r>
      <rPr>
        <sz val="9"/>
        <color rgb="FF595959"/>
        <rFont val="Arial"/>
        <family val="0"/>
        <charset val="1"/>
      </rPr>
      <t xml:space="preserve">[Assumed]</t>
    </r>
    <r>
      <rPr>
        <sz val="9"/>
        <color rgb="FF595959"/>
        <rFont val="Noto Sans CJK SC"/>
        <family val="2"/>
      </rPr>
      <t xml:space="preserve">；敏感度見報告（</t>
    </r>
    <r>
      <rPr>
        <sz val="9"/>
        <color rgb="FF595959"/>
        <rFont val="Arial"/>
        <family val="0"/>
        <charset val="1"/>
      </rPr>
      <t xml:space="preserve">20%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40%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</si>
  <si>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淨負債調整項（類債 − 持股 </t>
    </r>
    <r>
      <rPr>
        <sz val="10"/>
        <rFont val="Arial"/>
        <family val="0"/>
        <charset val="1"/>
      </rPr>
      <t xml:space="preserve">×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1 − </t>
    </r>
    <r>
      <rPr>
        <sz val="10"/>
        <rFont val="Noto Sans CJK SC"/>
        <family val="2"/>
      </rPr>
      <t xml:space="preserve">折價））</t>
    </r>
  </si>
  <si>
    <t xml:space="preserve">正值＝增加淨負債；評價淨負債與錨定年末淨負債同加</t>
  </si>
  <si>
    <t xml:space="preserve">稅率</t>
  </si>
  <si>
    <r>
      <rPr>
        <sz val="9"/>
        <color rgb="FF595959"/>
        <rFont val="Arial"/>
        <family val="0"/>
        <charset val="1"/>
      </rPr>
      <t xml:space="preserve">FY27Q1 </t>
    </r>
    <r>
      <rPr>
        <sz val="9"/>
        <color rgb="FF595959"/>
        <rFont val="Noto Sans CJK SC"/>
        <family val="2"/>
      </rPr>
      <t xml:space="preserve">有效稅率（</t>
    </r>
    <r>
      <rPr>
        <sz val="9"/>
        <color rgb="FF595959"/>
        <rFont val="Arial"/>
        <family val="0"/>
        <charset val="1"/>
      </rPr>
      <t xml:space="preserve">10-Q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12.6%</t>
    </r>
    <r>
      <rPr>
        <sz val="9"/>
        <color rgb="FF595959"/>
        <rFont val="Noto Sans CJK SC"/>
        <family val="2"/>
      </rPr>
      <t xml:space="preserve">（含出售利益） </t>
    </r>
    <r>
      <rPr>
        <sz val="9"/>
        <color rgb="FF595959"/>
        <rFont val="Arial"/>
        <family val="0"/>
        <charset val="1"/>
      </rPr>
      <t xml:space="preserve">[Interested-party]</t>
    </r>
  </si>
  <si>
    <t xml:space="preserve">無風險利率</t>
  </si>
  <si>
    <r>
      <rPr>
        <sz val="9"/>
        <color rgb="FF595959"/>
        <rFont val="Arial"/>
        <family val="0"/>
        <charset val="1"/>
      </rPr>
      <t xml:space="preserve">10 </t>
    </r>
    <r>
      <rPr>
        <sz val="9"/>
        <color rgb="FF595959"/>
        <rFont val="Noto Sans CJK SC"/>
        <family val="2"/>
      </rPr>
      <t xml:space="preserve">年期美債（</t>
    </r>
    <r>
      <rPr>
        <sz val="9"/>
        <color rgb="FF595959"/>
        <rFont val="Arial"/>
        <family val="0"/>
        <charset val="1"/>
      </rPr>
      <t xml:space="preserve">CAPM </t>
    </r>
    <r>
      <rPr>
        <sz val="9"/>
        <color rgb="FF595959"/>
        <rFont val="Noto Sans CJK SC"/>
        <family val="2"/>
      </rPr>
      <t xml:space="preserve">與選擇權法共用）</t>
    </r>
    <r>
      <rPr>
        <sz val="9"/>
        <color rgb="FF595959"/>
        <rFont val="Arial"/>
        <family val="0"/>
        <charset val="1"/>
      </rPr>
      <t xml:space="preserve">[Verified]</t>
    </r>
  </si>
  <si>
    <r>
      <rPr>
        <sz val="10"/>
        <rFont val="Arial"/>
        <family val="0"/>
        <charset val="1"/>
      </rPr>
      <t xml:space="preserve">CAPM</t>
    </r>
    <r>
      <rPr>
        <sz val="10"/>
        <rFont val="Noto Sans CJK SC"/>
        <family val="2"/>
      </rPr>
      <t xml:space="preserve">：</t>
    </r>
    <r>
      <rPr>
        <sz val="10"/>
        <rFont val="Arial"/>
        <family val="0"/>
        <charset val="1"/>
      </rPr>
      <t xml:space="preserve">β</t>
    </r>
  </si>
  <si>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Noto Sans CJK SC"/>
        <family val="2"/>
      </rPr>
      <t xml:space="preserve">年月報酬 </t>
    </r>
    <r>
      <rPr>
        <sz val="9"/>
        <color rgb="FF595959"/>
        <rFont val="Arial"/>
        <family val="0"/>
        <charset val="1"/>
      </rPr>
      <t xml:space="preserve">β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StockAnalysis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Yahoo</t>
    </r>
    <r>
      <rPr>
        <sz val="9"/>
        <color rgb="FF595959"/>
        <rFont val="Noto Sans CJK SC"/>
        <family val="2"/>
      </rPr>
      <t xml:space="preserve">，同值）；敏感度 </t>
    </r>
    <r>
      <rPr>
        <sz val="9"/>
        <color rgb="FF595959"/>
        <rFont val="Arial"/>
        <family val="0"/>
        <charset val="1"/>
      </rPr>
      <t xml:space="preserve">1.2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1.5 </t>
    </r>
    <r>
      <rPr>
        <sz val="9"/>
        <color rgb="FF595959"/>
        <rFont val="Noto Sans CJK SC"/>
        <family val="2"/>
      </rPr>
      <t xml:space="preserve">見報告 </t>
    </r>
    <r>
      <rPr>
        <sz val="9"/>
        <color rgb="FF595959"/>
        <rFont val="Arial"/>
        <family val="0"/>
        <charset val="1"/>
      </rPr>
      <t xml:space="preserve">[Verified]</t>
    </r>
  </si>
  <si>
    <r>
      <rPr>
        <sz val="10"/>
        <rFont val="Arial"/>
        <family val="0"/>
        <charset val="1"/>
      </rPr>
      <t xml:space="preserve">CAPM</t>
    </r>
    <r>
      <rPr>
        <sz val="10"/>
        <rFont val="Noto Sans CJK SC"/>
        <family val="2"/>
      </rPr>
      <t xml:space="preserve">：股權風險溢酬</t>
    </r>
  </si>
  <si>
    <r>
      <rPr>
        <sz val="9"/>
        <color rgb="FF595959"/>
        <rFont val="Arial"/>
        <family val="0"/>
        <charset val="1"/>
      </rPr>
      <t xml:space="preserve">[Assumed]</t>
    </r>
    <r>
      <rPr>
        <sz val="9"/>
        <color rgb="FF595959"/>
        <rFont val="Noto Sans CJK SC"/>
        <family val="2"/>
      </rPr>
      <t xml:space="preserve">（區間 </t>
    </r>
    <r>
      <rPr>
        <sz val="9"/>
        <color rgb="FF595959"/>
        <rFont val="Arial"/>
        <family val="0"/>
        <charset val="1"/>
      </rPr>
      <t xml:space="preserve">4.5%–6%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</si>
  <si>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股權成本 </t>
    </r>
    <r>
      <rPr>
        <sz val="10"/>
        <rFont val="Arial"/>
        <family val="0"/>
        <charset val="1"/>
      </rPr>
      <t xml:space="preserve">ke</t>
    </r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rf</t>
    </r>
    <r>
      <rPr>
        <sz val="10"/>
        <rFont val="Noto Sans CJK SC"/>
        <family val="2"/>
      </rPr>
      <t xml:space="preserve">＋</t>
    </r>
    <r>
      <rPr>
        <sz val="10"/>
        <rFont val="Arial"/>
        <family val="0"/>
        <charset val="1"/>
      </rPr>
      <t xml:space="preserve">β × ERP</t>
    </r>
  </si>
  <si>
    <t xml:space="preserve">CAPM</t>
  </si>
  <si>
    <r>
      <rPr>
        <sz val="10"/>
        <rFont val="Noto Sans CJK SC"/>
        <family val="2"/>
      </rPr>
      <t xml:space="preserve">稅前債務成本 </t>
    </r>
    <r>
      <rPr>
        <sz val="10"/>
        <rFont val="Arial"/>
        <family val="0"/>
        <charset val="1"/>
      </rPr>
      <t xml:space="preserve">kd</t>
    </r>
  </si>
  <si>
    <r>
      <rPr>
        <sz val="9"/>
        <color rgb="FF595959"/>
        <rFont val="Arial"/>
        <family val="0"/>
        <charset val="1"/>
      </rPr>
      <t xml:space="preserve">2046 </t>
    </r>
    <r>
      <rPr>
        <sz val="9"/>
        <color rgb="FF595959"/>
        <rFont val="Noto Sans CJK SC"/>
        <family val="2"/>
      </rPr>
      <t xml:space="preserve">票據殖利率（市場邊際成本）</t>
    </r>
    <r>
      <rPr>
        <sz val="9"/>
        <color rgb="FF595959"/>
        <rFont val="Arial"/>
        <family val="0"/>
        <charset val="1"/>
      </rPr>
      <t xml:space="preserve">[Verified]</t>
    </r>
  </si>
  <si>
    <r>
      <rPr>
        <sz val="10"/>
        <rFont val="Noto Sans CJK SC"/>
        <family val="2"/>
      </rPr>
      <t xml:space="preserve">股權市值 </t>
    </r>
    <r>
      <rPr>
        <sz val="10"/>
        <rFont val="Arial"/>
        <family val="0"/>
        <charset val="1"/>
      </rPr>
      <t xml:space="preserve">E</t>
    </r>
    <r>
      <rPr>
        <sz val="10"/>
        <rFont val="Noto Sans CJK SC"/>
        <family val="2"/>
      </rPr>
      <t xml:space="preserve">（現價 </t>
    </r>
    <r>
      <rPr>
        <sz val="10"/>
        <rFont val="Arial"/>
        <family val="0"/>
        <charset val="1"/>
      </rPr>
      <t xml:space="preserve">× </t>
    </r>
    <r>
      <rPr>
        <sz val="10"/>
        <rFont val="Noto Sans CJK SC"/>
        <family val="2"/>
      </rPr>
      <t xml:space="preserve">季末流通股數）</t>
    </r>
  </si>
  <si>
    <r>
      <rPr>
        <sz val="9"/>
        <color rgb="FF595959"/>
        <rFont val="Noto Sans CJK SC"/>
        <family val="2"/>
      </rPr>
      <t xml:space="preserve">季末流通 </t>
    </r>
    <r>
      <rPr>
        <sz val="9"/>
        <color rgb="FF595959"/>
        <rFont val="Arial"/>
        <family val="0"/>
        <charset val="1"/>
      </rPr>
      <t xml:space="preserve">3.023736bn </t>
    </r>
    <r>
      <rPr>
        <sz val="9"/>
        <color rgb="FF595959"/>
        <rFont val="Noto Sans CJK SC"/>
        <family val="2"/>
      </rPr>
      <t xml:space="preserve">股</t>
    </r>
  </si>
  <si>
    <r>
      <rPr>
        <sz val="10"/>
        <rFont val="Noto Sans CJK SC"/>
        <family val="2"/>
      </rPr>
      <t xml:space="preserve">債務 </t>
    </r>
    <r>
      <rPr>
        <sz val="10"/>
        <rFont val="Arial"/>
        <family val="0"/>
        <charset val="1"/>
      </rPr>
      <t xml:space="preserve">D</t>
    </r>
    <r>
      <rPr>
        <sz val="10"/>
        <rFont val="Noto Sans CJK SC"/>
        <family val="2"/>
      </rPr>
      <t xml:space="preserve">（評價日債務本金）</t>
    </r>
  </si>
  <si>
    <r>
      <rPr>
        <sz val="9"/>
        <color rgb="FF595959"/>
        <rFont val="Noto Sans CJK SC"/>
        <family val="2"/>
      </rPr>
      <t xml:space="preserve">強制轉換特別股視為股權，不計入 </t>
    </r>
    <r>
      <rPr>
        <sz val="9"/>
        <color rgb="FF595959"/>
        <rFont val="Arial"/>
        <family val="0"/>
        <charset val="1"/>
      </rPr>
      <t xml:space="preserve">[Interested-party]</t>
    </r>
  </si>
  <si>
    <r>
      <rPr>
        <sz val="10"/>
        <rFont val="Arial"/>
        <family val="0"/>
        <charset val="1"/>
      </rPr>
      <t xml:space="preserve">WACC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CAPM</t>
    </r>
    <r>
      <rPr>
        <sz val="10"/>
        <rFont val="Noto Sans CJK SC"/>
        <family val="2"/>
      </rPr>
      <t xml:space="preserve">）＝</t>
    </r>
    <r>
      <rPr>
        <sz val="10"/>
        <rFont val="Arial"/>
        <family val="0"/>
        <charset val="1"/>
      </rPr>
      <t xml:space="preserve">E/(D+E) × ke</t>
    </r>
    <r>
      <rPr>
        <sz val="10"/>
        <rFont val="Noto Sans CJK SC"/>
        <family val="2"/>
      </rPr>
      <t xml:space="preserve">＋</t>
    </r>
    <r>
      <rPr>
        <sz val="10"/>
        <rFont val="Arial"/>
        <family val="0"/>
        <charset val="1"/>
      </rPr>
      <t xml:space="preserve">D/(D+E) × kd ×(1 − </t>
    </r>
    <r>
      <rPr>
        <sz val="10"/>
        <rFont val="Noto Sans CJK SC"/>
        <family val="2"/>
      </rPr>
      <t xml:space="preserve">稅率</t>
    </r>
    <r>
      <rPr>
        <sz val="10"/>
        <rFont val="Arial"/>
        <family val="0"/>
        <charset val="1"/>
      </rPr>
      <t xml:space="preserve">)</t>
    </r>
  </si>
  <si>
    <t xml:space="preserve">[Derived]</t>
  </si>
  <si>
    <r>
      <rPr>
        <sz val="10"/>
        <rFont val="Arial"/>
        <family val="0"/>
        <charset val="1"/>
      </rPr>
      <t xml:space="preserve">WACC </t>
    </r>
    <r>
      <rPr>
        <sz val="10"/>
        <rFont val="Noto Sans CJK SC"/>
        <family val="2"/>
      </rPr>
      <t xml:space="preserve">手動覆蓋（空白＝採 </t>
    </r>
    <r>
      <rPr>
        <sz val="10"/>
        <rFont val="Arial"/>
        <family val="0"/>
        <charset val="1"/>
      </rPr>
      <t xml:space="preserve">CAPM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</si>
  <si>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company.json → valuation.wacc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null</t>
    </r>
    <r>
      <rPr>
        <sz val="9"/>
        <color rgb="FF595959"/>
        <rFont val="Noto Sans CJK SC"/>
        <family val="2"/>
      </rPr>
      <t xml:space="preserve">＝空白）</t>
    </r>
  </si>
  <si>
    <t xml:space="preserve">WACC</t>
  </si>
  <si>
    <r>
      <rPr>
        <sz val="9"/>
        <color rgb="FF595959"/>
        <rFont val="Noto Sans CJK SC"/>
        <family val="2"/>
      </rPr>
      <t xml:space="preserve">＝手動覆蓋，空白時採 </t>
    </r>
    <r>
      <rPr>
        <sz val="9"/>
        <color rgb="FF595959"/>
        <rFont val="Arial"/>
        <family val="0"/>
        <charset val="1"/>
      </rPr>
      <t xml:space="preserve">CAPM</t>
    </r>
  </si>
  <si>
    <r>
      <rPr>
        <sz val="10"/>
        <rFont val="Noto Sans CJK SC"/>
        <family val="2"/>
      </rPr>
      <t xml:space="preserve">永續成長 </t>
    </r>
    <r>
      <rPr>
        <sz val="10"/>
        <rFont val="Arial"/>
        <family val="0"/>
        <charset val="1"/>
      </rPr>
      <t xml:space="preserve">g</t>
    </r>
  </si>
  <si>
    <r>
      <rPr>
        <sz val="10"/>
        <rFont val="Noto Sans CJK SC"/>
        <family val="2"/>
      </rPr>
      <t xml:space="preserve">終值維持性 </t>
    </r>
    <r>
      <rPr>
        <sz val="10"/>
        <rFont val="Arial"/>
        <family val="0"/>
        <charset val="1"/>
      </rPr>
      <t xml:space="preserve">CapEx </t>
    </r>
    <r>
      <rPr>
        <sz val="10"/>
        <rFont val="Noto Sans CJK SC"/>
        <family val="2"/>
      </rPr>
      <t xml:space="preserve">占 </t>
    </r>
    <r>
      <rPr>
        <sz val="10"/>
        <rFont val="Arial"/>
        <family val="0"/>
        <charset val="1"/>
      </rPr>
      <t xml:space="preserve">D&amp;A</t>
    </r>
  </si>
  <si>
    <r>
      <rPr>
        <sz val="9"/>
        <color rgb="FF595959"/>
        <rFont val="Arial"/>
        <family val="0"/>
        <charset val="1"/>
      </rPr>
      <t xml:space="preserve">v0.1c</t>
    </r>
    <r>
      <rPr>
        <sz val="9"/>
        <color rgb="FF595959"/>
        <rFont val="Noto Sans CJK SC"/>
        <family val="2"/>
      </rPr>
      <t xml:space="preserve">：終值改以末期 </t>
    </r>
    <r>
      <rPr>
        <sz val="9"/>
        <color rgb="FF595959"/>
        <rFont val="Arial"/>
        <family val="0"/>
        <charset val="1"/>
      </rPr>
      <t xml:space="preserve">UFCF</t>
    </r>
    <r>
      <rPr>
        <sz val="9"/>
        <color rgb="FF595959"/>
        <rFont val="Noto Sans CJK SC"/>
        <family val="2"/>
      </rPr>
      <t xml:space="preserve">（含穩態汰換 </t>
    </r>
    <r>
      <rPr>
        <sz val="9"/>
        <color rgb="FF595959"/>
        <rFont val="Arial"/>
        <family val="0"/>
        <charset val="1"/>
      </rPr>
      <t xml:space="preserve">CapEx</t>
    </r>
    <r>
      <rPr>
        <sz val="9"/>
        <color rgb="FF595959"/>
        <rFont val="Noto Sans CJK SC"/>
        <family val="2"/>
      </rPr>
      <t xml:space="preserve">）為基準（</t>
    </r>
    <r>
      <rPr>
        <sz val="9"/>
        <color rgb="FF595959"/>
        <rFont val="Arial"/>
        <family val="0"/>
        <charset val="1"/>
      </rPr>
      <t xml:space="preserve">valuation.tvBasis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ufcf</t>
    </r>
    <r>
      <rPr>
        <sz val="9"/>
        <color rgb="FF595959"/>
        <rFont val="Noto Sans CJK SC"/>
        <family val="2"/>
      </rPr>
      <t xml:space="preserve">），此比例不使用</t>
    </r>
  </si>
  <si>
    <r>
      <rPr>
        <sz val="10"/>
        <rFont val="Noto Sans CJK SC"/>
        <family val="2"/>
      </rPr>
      <t xml:space="preserve">期初 </t>
    </r>
    <r>
      <rPr>
        <sz val="10"/>
        <rFont val="Arial"/>
        <family val="0"/>
        <charset val="1"/>
      </rPr>
      <t xml:space="preserve">NOL</t>
    </r>
    <r>
      <rPr>
        <sz val="10"/>
        <rFont val="Noto Sans CJK SC"/>
        <family val="2"/>
      </rPr>
      <t xml:space="preserve">（虧損扣抵）</t>
    </r>
  </si>
  <si>
    <r>
      <rPr>
        <sz val="9"/>
        <color rgb="FF595959"/>
        <rFont val="Arial"/>
        <family val="0"/>
        <charset val="1"/>
      </rPr>
      <t xml:space="preserve">8/31 </t>
    </r>
    <r>
      <rPr>
        <sz val="9"/>
        <color rgb="FF595959"/>
        <rFont val="Noto Sans CJK SC"/>
        <family val="2"/>
      </rPr>
      <t xml:space="preserve">累積虧損約 </t>
    </r>
    <r>
      <rPr>
        <sz val="9"/>
        <color rgb="FF595959"/>
        <rFont val="Arial"/>
        <family val="0"/>
        <charset val="1"/>
      </rPr>
      <t xml:space="preserve">0.0</t>
    </r>
    <r>
      <rPr>
        <sz val="9"/>
        <color rgb="FF595959"/>
        <rFont val="Noto Sans CJK SC"/>
        <family val="2"/>
      </rPr>
      <t xml:space="preserve">；抵扣上限為應稅所得 </t>
    </r>
    <r>
      <rPr>
        <sz val="9"/>
        <color rgb="FF595959"/>
        <rFont val="Arial"/>
        <family val="0"/>
        <charset val="1"/>
      </rPr>
      <t xml:space="preserve">80% [Derived]</t>
    </r>
  </si>
  <si>
    <r>
      <rPr>
        <sz val="10"/>
        <rFont val="Arial"/>
        <family val="0"/>
        <charset val="1"/>
      </rPr>
      <t xml:space="preserve">NOL </t>
    </r>
    <r>
      <rPr>
        <sz val="10"/>
        <rFont val="Noto Sans CJK SC"/>
        <family val="2"/>
      </rPr>
      <t xml:space="preserve">每年可抵用比例</t>
    </r>
  </si>
  <si>
    <r>
      <rPr>
        <sz val="9"/>
        <color rgb="FF595959"/>
        <rFont val="Noto Sans CJK SC"/>
        <family val="2"/>
      </rPr>
      <t xml:space="preserve">抵扣上限占應稅所得的比例 </t>
    </r>
    <r>
      <rPr>
        <sz val="9"/>
        <color rgb="FF595959"/>
        <rFont val="Arial"/>
        <family val="0"/>
        <charset val="1"/>
      </rPr>
      <t xml:space="preserve">[Assumed]</t>
    </r>
  </si>
  <si>
    <t xml:space="preserve">營運資金占營收增量</t>
  </si>
  <si>
    <r>
      <rPr>
        <sz val="9"/>
        <color rgb="FF595959"/>
        <rFont val="Noto Sans CJK SC"/>
        <family val="2"/>
      </rPr>
      <t xml:space="preserve">營運資金變動＝營收增量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此比例 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</si>
  <si>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sz val="10"/>
        <rFont val="Arial"/>
        <family val="0"/>
        <charset val="1"/>
      </rPr>
      <t xml:space="preserve">EV/EBITDA </t>
    </r>
    <r>
      <rPr>
        <sz val="10"/>
        <rFont val="Noto Sans CJK SC"/>
        <family val="2"/>
      </rPr>
      <t xml:space="preserve">倍數</t>
    </r>
  </si>
  <si>
    <r>
      <rPr>
        <sz val="9"/>
        <color rgb="FF595959"/>
        <rFont val="Arial"/>
        <family val="0"/>
        <charset val="1"/>
      </rPr>
      <t xml:space="preserve">OCI</t>
    </r>
    <r>
      <rPr>
        <sz val="9"/>
        <color rgb="FF595959"/>
        <rFont val="Noto Sans CJK SC"/>
        <family val="2"/>
      </rPr>
      <t xml:space="preserve">（算力）部分：可觀察 </t>
    </r>
    <r>
      <rPr>
        <sz val="9"/>
        <color rgb="FF595959"/>
        <rFont val="Arial"/>
        <family val="0"/>
        <charset val="1"/>
      </rPr>
      <t xml:space="preserve">neocloud </t>
    </r>
    <r>
      <rPr>
        <sz val="9"/>
        <color rgb="FF595959"/>
        <rFont val="Noto Sans CJK SC"/>
        <family val="2"/>
      </rPr>
      <t xml:space="preserve">穩態合理倍數約 </t>
    </r>
    <r>
      <rPr>
        <sz val="9"/>
        <color rgb="FF595959"/>
        <rFont val="Arial"/>
        <family val="0"/>
        <charset val="1"/>
      </rPr>
      <t xml:space="preserve">5–6x</t>
    </r>
    <r>
      <rPr>
        <sz val="9"/>
        <color rgb="FF595959"/>
        <rFont val="Noto Sans CJK SC"/>
        <family val="2"/>
      </rPr>
      <t xml:space="preserve">（轉換率 </t>
    </r>
    <r>
      <rPr>
        <sz val="9"/>
        <color rgb="FF595959"/>
        <rFont val="Arial"/>
        <family val="0"/>
        <charset val="1"/>
      </rPr>
      <t xml:space="preserve">÷ (WACC − g)</t>
    </r>
    <r>
      <rPr>
        <sz val="9"/>
        <color rgb="FF595959"/>
        <rFont val="Noto Sans CJK SC"/>
        <family val="2"/>
      </rPr>
      <t xml:space="preserve">），</t>
    </r>
    <r>
      <rPr>
        <sz val="9"/>
        <color rgb="FF595959"/>
        <rFont val="Arial"/>
        <family val="0"/>
        <charset val="1"/>
      </rPr>
      <t xml:space="preserve">6x </t>
    </r>
    <r>
      <rPr>
        <sz val="9"/>
        <color rgb="FF595959"/>
        <rFont val="Noto Sans CJK SC"/>
        <family val="2"/>
      </rPr>
      <t xml:space="preserve">為上緣 </t>
    </r>
    <r>
      <rPr>
        <sz val="9"/>
        <color rgb="FF595959"/>
        <rFont val="Arial"/>
        <family val="0"/>
        <charset val="1"/>
      </rPr>
      <t xml:space="preserve">[Assumed]</t>
    </r>
    <r>
      <rPr>
        <sz val="9"/>
        <color rgb="FF595959"/>
        <rFont val="Noto Sans CJK SC"/>
        <family val="2"/>
      </rPr>
      <t xml:space="preserve">；傳統事業另用軟體同業倍數（分部加總）</t>
    </r>
  </si>
  <si>
    <r>
      <rPr>
        <sz val="10"/>
        <rFont val="Noto Sans CJK SC"/>
        <family val="2"/>
      </rPr>
      <t xml:space="preserve">軟體同業 </t>
    </r>
    <r>
      <rPr>
        <sz val="10"/>
        <rFont val="Arial"/>
        <family val="0"/>
        <charset val="1"/>
      </rPr>
      <t xml:space="preserve">NTM EV/EBITDA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MSFT</t>
    </r>
  </si>
  <si>
    <r>
      <rPr>
        <sz val="9"/>
        <color rgb="FF595959"/>
        <rFont val="Arial"/>
        <family val="0"/>
        <charset val="1"/>
      </rPr>
      <t xml:space="preserve">Microsoft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data/oracle_facts val.peer.msft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</si>
  <si>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Noto Sans CJK SC"/>
        <family val="2"/>
      </rPr>
      <t xml:space="preserve">軟體同業 </t>
    </r>
    <r>
      <rPr>
        <sz val="10"/>
        <rFont val="Arial"/>
        <family val="0"/>
        <charset val="1"/>
      </rPr>
      <t xml:space="preserve">NTM EV/EBITDA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SAP</t>
    </r>
  </si>
  <si>
    <r>
      <rPr>
        <sz val="9"/>
        <color rgb="FF595959"/>
        <rFont val="Arial"/>
        <family val="0"/>
        <charset val="1"/>
      </rPr>
      <t xml:space="preserve">SAP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data/oracle_facts val.peer.sap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</si>
  <si>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Noto Sans CJK SC"/>
        <family val="2"/>
      </rPr>
      <t xml:space="preserve">軟體同業 </t>
    </r>
    <r>
      <rPr>
        <sz val="10"/>
        <rFont val="Arial"/>
        <family val="0"/>
        <charset val="1"/>
      </rPr>
      <t xml:space="preserve">NTM EV/EBITDA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CRM</t>
    </r>
  </si>
  <si>
    <r>
      <rPr>
        <sz val="9"/>
        <color rgb="FF595959"/>
        <rFont val="Arial"/>
        <family val="0"/>
        <charset val="1"/>
      </rPr>
      <t xml:space="preserve">Salesforce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data/oracle_facts val.peer.crm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</si>
  <si>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Noto Sans CJK SC"/>
        <family val="2"/>
      </rPr>
      <t xml:space="preserve">軟體同業 </t>
    </r>
    <r>
      <rPr>
        <sz val="10"/>
        <rFont val="Arial"/>
        <family val="0"/>
        <charset val="1"/>
      </rPr>
      <t xml:space="preserve">NTM EV/EBITDA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ADBE</t>
    </r>
  </si>
  <si>
    <r>
      <rPr>
        <sz val="9"/>
        <color rgb="FF595959"/>
        <rFont val="Arial"/>
        <family val="0"/>
        <charset val="1"/>
      </rPr>
      <t xml:space="preserve">Adobe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data/oracle_facts val.peer.adbe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</si>
  <si>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Noto Sans CJK SC"/>
        <family val="2"/>
      </rPr>
      <t xml:space="preserve">軟體同業 </t>
    </r>
    <r>
      <rPr>
        <sz val="10"/>
        <rFont val="Arial"/>
        <family val="0"/>
        <charset val="1"/>
      </rPr>
      <t xml:space="preserve">NTM EV/EBITDA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NOW</t>
    </r>
  </si>
  <si>
    <r>
      <rPr>
        <sz val="9"/>
        <color rgb="FF595959"/>
        <rFont val="Arial"/>
        <family val="0"/>
        <charset val="1"/>
      </rPr>
      <t xml:space="preserve">ServiceNow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data/oracle_facts val.peer.now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</si>
  <si>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Noto Sans CJK SC"/>
        <family val="2"/>
      </rPr>
      <t xml:space="preserve">軟體同業 </t>
    </r>
    <r>
      <rPr>
        <sz val="10"/>
        <rFont val="Arial"/>
        <family val="0"/>
        <charset val="1"/>
      </rPr>
      <t xml:space="preserve">NTM EV/EBITDA </t>
    </r>
    <r>
      <rPr>
        <sz val="10"/>
        <rFont val="Noto Sans CJK SC"/>
        <family val="2"/>
      </rPr>
      <t xml:space="preserve">中位數</t>
    </r>
  </si>
  <si>
    <r>
      <rPr>
        <sz val="9"/>
        <color rgb="FF595959"/>
        <rFont val="Noto Sans CJK SC"/>
        <family val="2"/>
      </rPr>
      <t xml:space="preserve">軟體同業 </t>
    </r>
    <r>
      <rPr>
        <sz val="9"/>
        <color rgb="FF595959"/>
        <rFont val="Arial"/>
        <family val="0"/>
        <charset val="1"/>
      </rPr>
      <t xml:space="preserve">NTM EV/EBITDA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EV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StockAnalysis 2026-10-07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NTM EBITDA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MarketScreener </t>
    </r>
    <r>
      <rPr>
        <sz val="9"/>
        <color rgb="FF595959"/>
        <rFont val="Noto Sans CJK SC"/>
        <family val="2"/>
      </rPr>
      <t xml:space="preserve">共識依財年時間加權）；中位數用於傳統事業倍數 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</si>
  <si>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Noto Sans CJK SC"/>
        <family val="2"/>
      </rPr>
      <t xml:space="preserve">傳統事業 </t>
    </r>
    <r>
      <rPr>
        <sz val="10"/>
        <rFont val="Arial"/>
        <family val="0"/>
        <charset val="1"/>
      </rPr>
      <t xml:space="preserve">EV/EBITDA </t>
    </r>
    <r>
      <rPr>
        <sz val="10"/>
        <rFont val="Noto Sans CJK SC"/>
        <family val="2"/>
      </rPr>
      <t xml:space="preserve">手動覆蓋（空白＝同業中位數）</t>
    </r>
  </si>
  <si>
    <r>
      <rPr>
        <sz val="9"/>
        <color rgb="FF595959"/>
        <rFont val="Arial"/>
        <family val="0"/>
        <charset val="1"/>
      </rPr>
      <t xml:space="preserve">company.json → valuation.legacyEvEbitda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null</t>
    </r>
    <r>
      <rPr>
        <sz val="9"/>
        <color rgb="FF595959"/>
        <rFont val="Noto Sans CJK SC"/>
        <family val="2"/>
      </rPr>
      <t xml:space="preserve">＝空白）</t>
    </r>
  </si>
  <si>
    <r>
      <rPr>
        <sz val="10"/>
        <rFont val="Noto Sans CJK SC"/>
        <family val="2"/>
      </rPr>
      <t xml:space="preserve">傳統事業 </t>
    </r>
    <r>
      <rPr>
        <sz val="10"/>
        <rFont val="Arial"/>
        <family val="0"/>
        <charset val="1"/>
      </rPr>
      <t xml:space="preserve">EV/EBITDA </t>
    </r>
    <r>
      <rPr>
        <sz val="10"/>
        <rFont val="Noto Sans CJK SC"/>
        <family val="2"/>
      </rPr>
      <t xml:space="preserve">倍數</t>
    </r>
  </si>
  <si>
    <r>
      <rPr>
        <sz val="9"/>
        <color rgb="FF595959"/>
        <rFont val="Noto Sans CJK SC"/>
        <family val="2"/>
      </rPr>
      <t xml:space="preserve">分部加總：</t>
    </r>
    <r>
      <rPr>
        <sz val="9"/>
        <color rgb="FF595959"/>
        <rFont val="Arial"/>
        <family val="0"/>
        <charset val="1"/>
      </rPr>
      <t xml:space="preserve">EV</t>
    </r>
    <r>
      <rPr>
        <sz val="9"/>
        <color rgb="FF595959"/>
        <rFont val="Noto Sans CJK SC"/>
        <family val="2"/>
      </rPr>
      <t xml:space="preserve">＝傳統事業 </t>
    </r>
    <r>
      <rPr>
        <sz val="9"/>
        <color rgb="FF595959"/>
        <rFont val="Arial"/>
        <family val="0"/>
        <charset val="1"/>
      </rPr>
      <t xml:space="preserve">EBITDA × </t>
    </r>
    <r>
      <rPr>
        <sz val="9"/>
        <color rgb="FF595959"/>
        <rFont val="Noto Sans CJK SC"/>
        <family val="2"/>
      </rPr>
      <t xml:space="preserve">此倍數＋</t>
    </r>
    <r>
      <rPr>
        <sz val="9"/>
        <color rgb="FF595959"/>
        <rFont val="Arial"/>
        <family val="0"/>
        <charset val="1"/>
      </rPr>
      <t xml:space="preserve">OCI EBITDA × EV/EBITDA </t>
    </r>
    <r>
      <rPr>
        <sz val="9"/>
        <color rgb="FF595959"/>
        <rFont val="Noto Sans CJK SC"/>
        <family val="2"/>
      </rPr>
      <t xml:space="preserve">倍數</t>
    </r>
  </si>
  <si>
    <r>
      <rPr>
        <sz val="10"/>
        <rFont val="Arial"/>
        <family val="0"/>
        <charset val="1"/>
      </rPr>
      <t xml:space="preserve">EV/EBITDA </t>
    </r>
    <r>
      <rPr>
        <sz val="10"/>
        <rFont val="Noto Sans CJK SC"/>
        <family val="2"/>
      </rPr>
      <t xml:space="preserve">錨定年度（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FY28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FY29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FY30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4</t>
    </r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FY31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</si>
  <si>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以 </t>
    </r>
    <r>
      <rPr>
        <sz val="9"/>
        <color rgb="FF595959"/>
        <rFont val="Arial"/>
        <family val="0"/>
        <charset val="1"/>
      </rPr>
      <t xml:space="preserve">WACC </t>
    </r>
    <r>
      <rPr>
        <sz val="9"/>
        <color rgb="FF595959"/>
        <rFont val="Noto Sans CJK SC"/>
        <family val="2"/>
      </rPr>
      <t xml:space="preserve">折回 </t>
    </r>
    <r>
      <rPr>
        <sz val="9"/>
        <color rgb="FF595959"/>
        <rFont val="Arial"/>
        <family val="0"/>
        <charset val="1"/>
      </rPr>
      <t xml:space="preserve">2027-08-31</t>
    </r>
    <r>
      <rPr>
        <sz val="9"/>
        <color rgb="FF595959"/>
        <rFont val="Noto Sans CJK SC"/>
        <family val="2"/>
      </rPr>
      <t xml:space="preserve">（目標價時點）；預設 </t>
    </r>
    <r>
      <rPr>
        <sz val="9"/>
        <color rgb="FF595959"/>
        <rFont val="Arial"/>
        <family val="0"/>
        <charset val="1"/>
      </rPr>
      <t xml:space="preserve">FY29</t>
    </r>
    <r>
      <rPr>
        <sz val="9"/>
        <color rgb="FF595959"/>
        <rFont val="Noto Sans CJK SC"/>
        <family val="2"/>
      </rPr>
      <t xml:space="preserve">：接近穩態利潤率，與穩態倍數一致 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</si>
  <si>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sz val="10"/>
        <rFont val="Noto Sans CJK SC"/>
        <family val="2"/>
      </rPr>
      <t xml:space="preserve">權重：</t>
    </r>
    <r>
      <rPr>
        <sz val="10"/>
        <rFont val="Arial"/>
        <family val="0"/>
        <charset val="1"/>
      </rPr>
      <t xml:space="preserve">DCF</t>
    </r>
  </si>
  <si>
    <r>
      <rPr>
        <sz val="10"/>
        <rFont val="Noto Sans CJK SC"/>
        <family val="2"/>
      </rPr>
      <t xml:space="preserve">權重：</t>
    </r>
    <r>
      <rPr>
        <sz val="10"/>
        <rFont val="Arial"/>
        <family val="0"/>
        <charset val="1"/>
      </rPr>
      <t xml:space="preserve">EV/EBITDA</t>
    </r>
  </si>
  <si>
    <t xml:space="preserve">方法區間倍數：下端</t>
  </si>
  <si>
    <r>
      <rPr>
        <sz val="9"/>
        <color rgb="FF595959"/>
        <rFont val="Arial"/>
        <family val="0"/>
        <charset val="1"/>
      </rPr>
      <t xml:space="preserve">v4.1 </t>
    </r>
    <r>
      <rPr>
        <sz val="9"/>
        <color rgb="FF595959"/>
        <rFont val="Noto Sans CJK SC"/>
        <family val="2"/>
      </rPr>
      <t xml:space="preserve">方法區間：目前輸入、</t>
    </r>
    <r>
      <rPr>
        <sz val="9"/>
        <color rgb="FF595959"/>
        <rFont val="Arial"/>
        <family val="0"/>
        <charset val="1"/>
      </rPr>
      <t xml:space="preserve">EV/EBITDA </t>
    </r>
    <r>
      <rPr>
        <sz val="9"/>
        <color rgb="FF595959"/>
        <rFont val="Noto Sans CJK SC"/>
        <family val="2"/>
      </rPr>
      <t xml:space="preserve">倍數換成兩端；</t>
    </r>
    <r>
      <rPr>
        <sz val="9"/>
        <color rgb="FF595959"/>
        <rFont val="Arial"/>
        <family val="0"/>
        <charset val="1"/>
      </rPr>
      <t xml:space="preserve">6x </t>
    </r>
    <r>
      <rPr>
        <sz val="9"/>
        <color rgb="FF595959"/>
        <rFont val="Noto Sans CJK SC"/>
        <family val="2"/>
      </rPr>
      <t xml:space="preserve">為穩態倍數上緣 </t>
    </r>
    <r>
      <rPr>
        <sz val="9"/>
        <color rgb="FF595959"/>
        <rFont val="Arial"/>
        <family val="0"/>
        <charset val="1"/>
      </rPr>
      <t xml:space="preserve">[Assumed]</t>
    </r>
  </si>
  <si>
    <t xml:space="preserve">方法區間倍數：上端</t>
  </si>
  <si>
    <r>
      <rPr>
        <sz val="10"/>
        <rFont val="Noto Sans CJK SC"/>
        <family val="2"/>
      </rPr>
      <t xml:space="preserve">股數年增（</t>
    </r>
    <r>
      <rPr>
        <sz val="10"/>
        <rFont val="Arial"/>
        <family val="0"/>
        <charset val="1"/>
      </rPr>
      <t xml:space="preserve">SBC </t>
    </r>
    <r>
      <rPr>
        <sz val="10"/>
        <rFont val="Noto Sans CJK SC"/>
        <family val="2"/>
      </rPr>
      <t xml:space="preserve">稀釋）</t>
    </r>
  </si>
  <si>
    <r>
      <rPr>
        <sz val="9"/>
        <color rgb="FF595959"/>
        <rFont val="Noto Sans CJK SC"/>
        <family val="2"/>
      </rPr>
      <t xml:space="preserve">模板固定 </t>
    </r>
    <r>
      <rPr>
        <sz val="9"/>
        <color rgb="FF595959"/>
        <rFont val="Arial"/>
        <family val="0"/>
        <charset val="1"/>
      </rPr>
      <t xml:space="preserve">1%</t>
    </r>
    <r>
      <rPr>
        <sz val="9"/>
        <color rgb="FF595959"/>
        <rFont val="Noto Sans CJK SC"/>
        <family val="2"/>
      </rPr>
      <t xml:space="preserve">／年（</t>
    </r>
    <r>
      <rPr>
        <sz val="9"/>
        <color rgb="FF595959"/>
        <rFont val="Arial"/>
        <family val="0"/>
        <charset val="1"/>
      </rPr>
      <t xml:space="preserve">SBC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0.13bn ÷ </t>
    </r>
    <r>
      <rPr>
        <sz val="9"/>
        <color rgb="FF595959"/>
        <rFont val="Noto Sans CJK SC"/>
        <family val="2"/>
      </rPr>
      <t xml:space="preserve">現市值約 </t>
    </r>
    <r>
      <rPr>
        <sz val="9"/>
        <color rgb="FF595959"/>
        <rFont val="Arial"/>
        <family val="0"/>
        <charset val="1"/>
      </rPr>
      <t xml:space="preserve">0.2%</t>
    </r>
    <r>
      <rPr>
        <sz val="9"/>
        <color rgb="FF595959"/>
        <rFont val="Noto Sans CJK SC"/>
        <family val="2"/>
      </rPr>
      <t xml:space="preserve">，偏保守）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</si>
  <si>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sz val="10"/>
        <rFont val="Noto Sans CJK SC"/>
        <family val="2"/>
      </rPr>
      <t xml:space="preserve">年度 </t>
    </r>
    <r>
      <rPr>
        <sz val="10"/>
        <rFont val="Arial"/>
        <family val="0"/>
        <charset val="1"/>
      </rPr>
      <t xml:space="preserve">SBC</t>
    </r>
  </si>
  <si>
    <r>
      <rPr>
        <sz val="9"/>
        <color rgb="FF595959"/>
        <rFont val="Arial"/>
        <family val="0"/>
        <charset val="1"/>
      </rPr>
      <t xml:space="preserve">1Q SBC 1.127 </t>
    </r>
    <r>
      <rPr>
        <sz val="9"/>
        <color rgb="FF595959"/>
        <rFont val="Noto Sans CJK SC"/>
        <family val="2"/>
      </rPr>
      <t xml:space="preserve">年化 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</si>
  <si>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b val="true"/>
        <sz val="10"/>
        <color rgb="FF1F3864"/>
        <rFont val="Arial"/>
        <family val="0"/>
        <charset val="1"/>
      </rPr>
      <t xml:space="preserve">▸ DCF </t>
    </r>
    <r>
      <rPr>
        <b val="true"/>
        <sz val="10"/>
        <color rgb="FF1F3864"/>
        <rFont val="Noto Sans CJK SC"/>
        <family val="2"/>
      </rPr>
      <t xml:space="preserve">股權為負時的處理（</t>
    </r>
    <r>
      <rPr>
        <b val="true"/>
        <sz val="10"/>
        <color rgb="FF1F3864"/>
        <rFont val="Arial"/>
        <family val="0"/>
        <charset val="1"/>
      </rPr>
      <t xml:space="preserve">0 </t>
    </r>
    <r>
      <rPr>
        <b val="true"/>
        <sz val="10"/>
        <color rgb="FF1F3864"/>
        <rFont val="Noto Sans CJK SC"/>
        <family val="2"/>
      </rPr>
      <t xml:space="preserve">截斷／選擇權）</t>
    </r>
  </si>
  <si>
    <r>
      <rPr>
        <sz val="10"/>
        <rFont val="Arial"/>
        <family val="0"/>
        <charset val="1"/>
      </rPr>
      <t xml:space="preserve">DCF </t>
    </r>
    <r>
      <rPr>
        <sz val="10"/>
        <rFont val="Noto Sans CJK SC"/>
        <family val="2"/>
      </rPr>
      <t xml:space="preserve">下限方式（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0 </t>
    </r>
    <r>
      <rPr>
        <sz val="10"/>
        <rFont val="Noto Sans CJK SC"/>
        <family val="2"/>
      </rPr>
      <t xml:space="preserve">截斷、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＝選擇權）</t>
    </r>
  </si>
  <si>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截斷：</t>
    </r>
    <r>
      <rPr>
        <sz val="9"/>
        <color rgb="FF595959"/>
        <rFont val="Arial"/>
        <family val="0"/>
        <charset val="1"/>
      </rPr>
      <t xml:space="preserve">MAX(0, </t>
    </r>
    <r>
      <rPr>
        <sz val="9"/>
        <color rgb="FF595959"/>
        <rFont val="Noto Sans CJK SC"/>
        <family val="2"/>
      </rPr>
      <t xml:space="preserve">股權價值</t>
    </r>
    <r>
      <rPr>
        <sz val="9"/>
        <color rgb="FF595959"/>
        <rFont val="Arial"/>
        <family val="0"/>
        <charset val="1"/>
      </rPr>
      <t xml:space="preserve">)</t>
    </r>
    <r>
      <rPr>
        <sz val="9"/>
        <color rgb="FF595959"/>
        <rFont val="Noto Sans CJK SC"/>
        <family val="2"/>
      </rPr>
      <t xml:space="preserve">；選擇權：</t>
    </r>
    <r>
      <rPr>
        <sz val="9"/>
        <color rgb="FF595959"/>
        <rFont val="Arial"/>
        <family val="0"/>
        <charset val="1"/>
      </rPr>
      <t xml:space="preserve">Merton</t>
    </r>
    <r>
      <rPr>
        <sz val="9"/>
        <color rgb="FF595959"/>
        <rFont val="Noto Sans CJK SC"/>
        <family val="2"/>
      </rPr>
      <t xml:space="preserve">，股權＝以企業價值為標的、淨負債為履約價的買權</t>
    </r>
  </si>
  <si>
    <r>
      <rPr>
        <sz val="10"/>
        <rFont val="Noto Sans CJK SC"/>
        <family val="2"/>
      </rPr>
      <t xml:space="preserve">企業價值波動率 </t>
    </r>
    <r>
      <rPr>
        <sz val="10"/>
        <rFont val="Arial"/>
        <family val="0"/>
        <charset val="1"/>
      </rPr>
      <t xml:space="preserve">σ</t>
    </r>
  </si>
  <si>
    <r>
      <rPr>
        <sz val="9"/>
        <color rgb="FF595959"/>
        <rFont val="Noto Sans CJK SC"/>
        <family val="2"/>
      </rPr>
      <t xml:space="preserve">選擇權法用 </t>
    </r>
    <r>
      <rPr>
        <sz val="9"/>
        <color rgb="FF595959"/>
        <rFont val="Arial"/>
        <family val="0"/>
        <charset val="1"/>
      </rPr>
      <t xml:space="preserve">[Assumed]</t>
    </r>
  </si>
  <si>
    <t xml:space="preserve">選擇權期間（年）</t>
  </si>
  <si>
    <r>
      <rPr>
        <sz val="9"/>
        <color rgb="FF595959"/>
        <rFont val="Noto Sans CJK SC"/>
        <family val="2"/>
      </rPr>
      <t xml:space="preserve">至 </t>
    </r>
    <r>
      <rPr>
        <sz val="9"/>
        <color rgb="FF595959"/>
        <rFont val="Arial"/>
        <family val="0"/>
        <charset val="1"/>
      </rPr>
      <t xml:space="preserve">FY30 </t>
    </r>
    <r>
      <rPr>
        <sz val="9"/>
        <color rgb="FF595959"/>
        <rFont val="Noto Sans CJK SC"/>
        <family val="2"/>
      </rPr>
      <t xml:space="preserve">末</t>
    </r>
  </si>
  <si>
    <r>
      <rPr>
        <b val="true"/>
        <sz val="10"/>
        <color rgb="FF1F3864"/>
        <rFont val="Noto Sans CJK SC"/>
        <family val="2"/>
      </rPr>
      <t xml:space="preserve">▸ 期間與日期（</t>
    </r>
    <r>
      <rPr>
        <b val="true"/>
        <sz val="10"/>
        <color rgb="FF1F3864"/>
        <rFont val="Arial"/>
        <family val="0"/>
        <charset val="1"/>
      </rPr>
      <t xml:space="preserve">company.json → calendar </t>
    </r>
    <r>
      <rPr>
        <b val="true"/>
        <sz val="10"/>
        <color rgb="FF1F3864"/>
        <rFont val="Noto Sans CJK SC"/>
        <family val="2"/>
      </rPr>
      <t xml:space="preserve">推算；勿手改）</t>
    </r>
  </si>
  <si>
    <t xml:space="preserve">財年結束月份</t>
  </si>
  <si>
    <t xml:space="preserve">月</t>
  </si>
  <si>
    <t xml:space="preserve">calendar.fiscalYearEndMonth</t>
  </si>
  <si>
    <t xml:space="preserve">最新已申報季度（年度首期依此滾動）</t>
  </si>
  <si>
    <t xml:space="preserve">FY27Q1</t>
  </si>
  <si>
    <r>
      <rPr>
        <sz val="9"/>
        <color rgb="FF595959"/>
        <rFont val="Arial"/>
        <family val="0"/>
        <charset val="1"/>
      </rPr>
      <t xml:space="preserve">calendar.latestQuarterFiled</t>
    </r>
    <r>
      <rPr>
        <sz val="9"/>
        <color rgb="FF595959"/>
        <rFont val="Noto Sans CJK SC"/>
        <family val="2"/>
      </rPr>
      <t xml:space="preserve">；財報新聞稿只更新季度層，</t>
    </r>
    <r>
      <rPr>
        <sz val="9"/>
        <color rgb="FF595959"/>
        <rFont val="Arial"/>
        <family val="0"/>
        <charset val="1"/>
      </rPr>
      <t xml:space="preserve">10-Q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10-K </t>
    </r>
    <r>
      <rPr>
        <sz val="9"/>
        <color rgb="FF595959"/>
        <rFont val="Noto Sans CJK SC"/>
        <family val="2"/>
      </rPr>
      <t xml:space="preserve">申報後年度首期才滾動</t>
    </r>
  </si>
  <si>
    <t xml:space="preserve">評價日（已申報季度的季末）</t>
  </si>
  <si>
    <t xml:space="preserve">2026-08-31</t>
  </si>
  <si>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Noto Sans CJK SC"/>
        <family val="2"/>
      </rPr>
      <t xml:space="preserve">折現、淨負債與股數的基準日</t>
    </r>
  </si>
  <si>
    <t xml:space="preserve">目標價時點</t>
  </si>
  <si>
    <t xml:space="preserve">2027-08-31</t>
  </si>
  <si>
    <r>
      <rPr>
        <sz val="9"/>
        <color rgb="FF595959"/>
        <rFont val="Noto Sans CJK SC"/>
        <family val="2"/>
      </rPr>
      <t xml:space="preserve">評價日＋</t>
    </r>
    <r>
      <rPr>
        <sz val="9"/>
        <color rgb="FF595959"/>
        <rFont val="Arial"/>
        <family val="0"/>
        <charset val="1"/>
      </rPr>
      <t xml:space="preserve">12 </t>
    </r>
    <r>
      <rPr>
        <sz val="9"/>
        <color rgb="FF595959"/>
        <rFont val="Noto Sans CJK SC"/>
        <family val="2"/>
      </rPr>
      <t xml:space="preserve">個月</t>
    </r>
  </si>
  <si>
    <t xml:space="preserve">目標價時點距評價日</t>
  </si>
  <si>
    <t xml:space="preserve">模型期間</t>
  </si>
  <si>
    <t xml:space="preserve">FY27–FY31</t>
  </si>
  <si>
    <r>
      <rPr>
        <sz val="9"/>
        <color rgb="FF595959"/>
        <rFont val="Noto Sans CJK SC"/>
        <family val="2"/>
      </rPr>
      <t xml:space="preserve">首期＋</t>
    </r>
    <r>
      <rPr>
        <sz val="9"/>
        <color rgb="FF595959"/>
        <rFont val="Arial"/>
        <family val="0"/>
        <charset val="1"/>
      </rPr>
      <t xml:space="preserve">4 </t>
    </r>
    <r>
      <rPr>
        <sz val="9"/>
        <color rgb="FF595959"/>
        <rFont val="Noto Sans CJK SC"/>
        <family val="2"/>
      </rPr>
      <t xml:space="preserve">個完整財年（</t>
    </r>
    <r>
      <rPr>
        <sz val="9"/>
        <color rgb="FF595959"/>
        <rFont val="Arial"/>
        <family val="0"/>
        <charset val="1"/>
      </rPr>
      <t xml:space="preserve">calendar.modelYears</t>
    </r>
    <r>
      <rPr>
        <sz val="9"/>
        <color rgb="FF595959"/>
        <rFont val="Noto Sans CJK SC"/>
        <family val="2"/>
      </rPr>
      <t xml:space="preserve">）</t>
    </r>
  </si>
  <si>
    <t xml:space="preserve">資料更新日</t>
  </si>
  <si>
    <t xml:space="preserve">2026-10-08</t>
  </si>
  <si>
    <t xml:space="preserve">company.json → meta.updateDate</t>
  </si>
  <si>
    <t xml:space="preserve">現價日（收盤）</t>
  </si>
  <si>
    <t xml:space="preserve">2026-10-06</t>
  </si>
  <si>
    <t xml:space="preserve">company.json → meta.priceDate</t>
  </si>
  <si>
    <t xml:space="preserve">錨定期折回年數調整（目標價時點 − 首期長度）</t>
  </si>
  <si>
    <r>
      <rPr>
        <sz val="9"/>
        <color rgb="FF595959"/>
        <rFont val="Arial"/>
        <family val="0"/>
        <charset val="1"/>
      </rPr>
      <t xml:space="preserve">EV/EBITDA </t>
    </r>
    <r>
      <rPr>
        <sz val="9"/>
        <color rgb="FF595959"/>
        <rFont val="Noto Sans CJK SC"/>
        <family val="2"/>
      </rPr>
      <t xml:space="preserve">腿：錨定期 </t>
    </r>
    <r>
      <rPr>
        <sz val="9"/>
        <color rgb="FF595959"/>
        <rFont val="Arial"/>
        <family val="0"/>
        <charset val="1"/>
      </rPr>
      <t xml:space="preserve">k </t>
    </r>
    <r>
      <rPr>
        <sz val="9"/>
        <color rgb="FF595959"/>
        <rFont val="Noto Sans CJK SC"/>
        <family val="2"/>
      </rPr>
      <t xml:space="preserve">的期末折回目標價時點的年數＝</t>
    </r>
    <r>
      <rPr>
        <sz val="9"/>
        <color rgb="FF595959"/>
        <rFont val="Arial"/>
        <family val="0"/>
        <charset val="1"/>
      </rPr>
      <t xml:space="preserve">k − </t>
    </r>
    <r>
      <rPr>
        <sz val="9"/>
        <color rgb="FF595959"/>
        <rFont val="Noto Sans CJK SC"/>
        <family val="2"/>
      </rPr>
      <t xml:space="preserve">此值</t>
    </r>
  </si>
  <si>
    <t xml:space="preserve">期間與日期</t>
  </si>
  <si>
    <t xml:space="preserve">期末日</t>
  </si>
  <si>
    <t xml:space="preserve">2027-05-31</t>
  </si>
  <si>
    <t xml:space="preserve">2028-05-31</t>
  </si>
  <si>
    <t xml:space="preserve">2029-05-31</t>
  </si>
  <si>
    <t xml:space="preserve">2030-05-31</t>
  </si>
  <si>
    <t xml:space="preserve">2031-05-31</t>
  </si>
  <si>
    <r>
      <rPr>
        <sz val="9"/>
        <color rgb="FF595959"/>
        <rFont val="Noto Sans CJK SC"/>
        <family val="2"/>
      </rPr>
      <t xml:space="preserve">月數 </t>
    </r>
    <r>
      <rPr>
        <sz val="9"/>
        <color rgb="FF595959"/>
        <rFont val="Arial"/>
        <family val="0"/>
        <charset val="1"/>
      </rPr>
      <t xml:space="preserve">÷ 12</t>
    </r>
  </si>
  <si>
    <t xml:space="preserve">折現年數：評價日 → 期末</t>
  </si>
  <si>
    <t xml:space="preserve">折現年數：評價日 → 期初</t>
  </si>
  <si>
    <r>
      <rPr>
        <b val="true"/>
        <sz val="10"/>
        <color rgb="FF1F3864"/>
        <rFont val="Noto Sans CJK SC"/>
        <family val="2"/>
      </rPr>
      <t xml:space="preserve">▸ 評等門檻（空間＝加權目標價 </t>
    </r>
    <r>
      <rPr>
        <b val="true"/>
        <sz val="10"/>
        <color rgb="FF1F3864"/>
        <rFont val="Arial"/>
        <family val="0"/>
        <charset val="1"/>
      </rPr>
      <t xml:space="preserve">÷ </t>
    </r>
    <r>
      <rPr>
        <b val="true"/>
        <sz val="10"/>
        <color rgb="FF1F3864"/>
        <rFont val="Noto Sans CJK SC"/>
        <family val="2"/>
      </rPr>
      <t xml:space="preserve">現價 − </t>
    </r>
    <r>
      <rPr>
        <b val="true"/>
        <sz val="10"/>
        <color rgb="FF1F3864"/>
        <rFont val="Arial"/>
        <family val="0"/>
        <charset val="1"/>
      </rPr>
      <t xml:space="preserve">1</t>
    </r>
    <r>
      <rPr>
        <b val="true"/>
        <sz val="10"/>
        <color rgb="FF1F3864"/>
        <rFont val="Noto Sans CJK SC"/>
        <family val="2"/>
      </rPr>
      <t xml:space="preserve">）</t>
    </r>
  </si>
  <si>
    <t xml:space="preserve">買進：空間下限</t>
  </si>
  <si>
    <r>
      <rPr>
        <sz val="9"/>
        <color rgb="FF595959"/>
        <rFont val="Noto Sans CJK SC"/>
        <family val="2"/>
      </rPr>
      <t xml:space="preserve">空間 ≥ 此值、終值占比 </t>
    </r>
    <r>
      <rPr>
        <sz val="9"/>
        <color rgb="FF595959"/>
        <rFont val="Arial"/>
        <family val="0"/>
        <charset val="1"/>
      </rPr>
      <t xml:space="preserve">&lt; </t>
    </r>
    <r>
      <rPr>
        <sz val="9"/>
        <color rgb="FF595959"/>
        <rFont val="Noto Sans CJK SC"/>
        <family val="2"/>
      </rPr>
      <t xml:space="preserve">上限，且股權募資未超標 → 買進 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</si>
  <si>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sz val="10"/>
        <rFont val="Noto Sans CJK SC"/>
        <family val="2"/>
      </rPr>
      <t xml:space="preserve">買進：終值占 </t>
    </r>
    <r>
      <rPr>
        <sz val="10"/>
        <rFont val="Arial"/>
        <family val="0"/>
        <charset val="1"/>
      </rPr>
      <t xml:space="preserve">EV </t>
    </r>
    <r>
      <rPr>
        <sz val="10"/>
        <rFont val="Noto Sans CJK SC"/>
        <family val="2"/>
      </rPr>
      <t xml:space="preserve">上限</t>
    </r>
  </si>
  <si>
    <r>
      <rPr>
        <sz val="9"/>
        <color rgb="FF595959"/>
        <rFont val="Noto Sans CJK SC"/>
        <family val="2"/>
      </rPr>
      <t xml:space="preserve">終值占比達此值以上不給買進 </t>
    </r>
    <r>
      <rPr>
        <sz val="9"/>
        <color rgb="FF595959"/>
        <rFont val="Arial"/>
        <family val="0"/>
        <charset val="1"/>
      </rPr>
      <t xml:space="preserve">[Assumed]</t>
    </r>
  </si>
  <si>
    <t xml:space="preserve">賣出：空間上限</t>
  </si>
  <si>
    <r>
      <rPr>
        <sz val="9"/>
        <color rgb="FF595959"/>
        <rFont val="Noto Sans CJK SC"/>
        <family val="2"/>
      </rPr>
      <t xml:space="preserve">空間 ≤ 此值 → 賣出；賣出門檻價＝現價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＋ 此值） 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</si>
  <si>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sz val="10"/>
        <rFont val="Noto Sans CJK SC"/>
        <family val="2"/>
      </rPr>
      <t xml:space="preserve">股權募資上限（</t>
    </r>
    <r>
      <rPr>
        <sz val="10"/>
        <rFont val="Arial"/>
        <family val="0"/>
        <charset val="1"/>
      </rPr>
      <t xml:space="preserve">÷ </t>
    </r>
    <r>
      <rPr>
        <sz val="10"/>
        <rFont val="Noto Sans CJK SC"/>
        <family val="2"/>
      </rPr>
      <t xml:space="preserve">現市值）</t>
    </r>
  </si>
  <si>
    <r>
      <rPr>
        <sz val="9"/>
        <color rgb="FF595959"/>
        <rFont val="Noto Sans CJK SC"/>
        <family val="2"/>
      </rPr>
      <t xml:space="preserve">五期股權募資超過現市值的此倍數：市場吸收能力存疑，禁止買進 </t>
    </r>
    <r>
      <rPr>
        <sz val="9"/>
        <color rgb="FF595959"/>
        <rFont val="Arial"/>
        <family val="0"/>
        <charset val="1"/>
      </rPr>
      <t xml:space="preserve">[Assumed]</t>
    </r>
  </si>
  <si>
    <t xml:space="preserve">股權募資超標時的賣出：空間上限</t>
  </si>
  <si>
    <r>
      <rPr>
        <sz val="9"/>
        <color rgb="FF595959"/>
        <rFont val="Noto Sans CJK SC"/>
        <family val="2"/>
      </rPr>
      <t xml:space="preserve">股權募資超標且空間 ≤ 此值 → 賣出 </t>
    </r>
    <r>
      <rPr>
        <sz val="9"/>
        <color rgb="FF595959"/>
        <rFont val="Arial"/>
        <family val="0"/>
        <charset val="1"/>
      </rPr>
      <t xml:space="preserve">[Assumed]</t>
    </r>
  </si>
  <si>
    <t xml:space="preserve">判斷句：距賣出門檻揭露（占現價）</t>
  </si>
  <si>
    <r>
      <rPr>
        <sz val="9"/>
        <color rgb="FF595959"/>
        <rFont val="Noto Sans CJK SC"/>
        <family val="2"/>
      </rPr>
      <t xml:space="preserve">任一情境與賣出門檻的距離小於現價的此比例時，判斷句揭露該距離 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</si>
  <si>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sz val="10"/>
        <rFont val="Noto Sans CJK SC"/>
        <family val="2"/>
      </rPr>
      <t xml:space="preserve">終值占 </t>
    </r>
    <r>
      <rPr>
        <sz val="10"/>
        <rFont val="Arial"/>
        <family val="0"/>
        <charset val="1"/>
      </rPr>
      <t xml:space="preserve">EV </t>
    </r>
    <r>
      <rPr>
        <sz val="10"/>
        <rFont val="Noto Sans CJK SC"/>
        <family val="2"/>
      </rPr>
      <t xml:space="preserve">警示</t>
    </r>
  </si>
  <si>
    <r>
      <rPr>
        <sz val="9"/>
        <color rgb="FF595959"/>
        <rFont val="Noto Sans CJK SC"/>
        <family val="2"/>
      </rPr>
      <t xml:space="preserve">超過此值表示結論由終值假設決定（「檢查」頁與 </t>
    </r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Noto Sans CJK SC"/>
        <family val="2"/>
      </rPr>
      <t xml:space="preserve">說明） 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</si>
  <si>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b val="true"/>
        <sz val="10"/>
        <rFont val="Arial"/>
        <family val="0"/>
        <charset val="1"/>
      </rPr>
      <t xml:space="preserve">G</t>
    </r>
    <r>
      <rPr>
        <b val="true"/>
        <sz val="10"/>
        <rFont val="Noto Sans CJK SC"/>
        <family val="2"/>
      </rPr>
      <t xml:space="preserve">｜參考：</t>
    </r>
    <r>
      <rPr>
        <b val="true"/>
        <sz val="10"/>
        <rFont val="Arial"/>
        <family val="0"/>
        <charset val="1"/>
      </rPr>
      <t xml:space="preserve">1Q27 </t>
    </r>
    <r>
      <rPr>
        <b val="true"/>
        <sz val="10"/>
        <rFont val="Noto Sans CJK SC"/>
        <family val="2"/>
      </rPr>
      <t xml:space="preserve">實際（季報，</t>
    </r>
    <r>
      <rPr>
        <b val="true"/>
        <sz val="10"/>
        <rFont val="Arial"/>
        <family val="0"/>
        <charset val="1"/>
      </rPr>
      <t xml:space="preserve">2026-06-01 </t>
    </r>
    <r>
      <rPr>
        <b val="true"/>
        <sz val="10"/>
        <rFont val="Noto Sans CJK SC"/>
        <family val="2"/>
      </rPr>
      <t xml:space="preserve">至 </t>
    </r>
    <r>
      <rPr>
        <b val="true"/>
        <sz val="10"/>
        <rFont val="Arial"/>
        <family val="0"/>
        <charset val="1"/>
      </rPr>
      <t xml:space="preserve">08-31</t>
    </r>
    <r>
      <rPr>
        <b val="true"/>
        <sz val="10"/>
        <rFont val="Noto Sans CJK SC"/>
        <family val="2"/>
      </rPr>
      <t xml:space="preserve">；硬編碼，勿改）</t>
    </r>
  </si>
  <si>
    <r>
      <rPr>
        <sz val="10"/>
        <rFont val="Arial"/>
        <family val="0"/>
        <charset val="1"/>
      </rPr>
      <t xml:space="preserve">2026-05-31 </t>
    </r>
    <r>
      <rPr>
        <sz val="10"/>
        <rFont val="Noto Sans CJK SC"/>
        <family val="2"/>
      </rPr>
      <t xml:space="preserve">現金</t>
    </r>
  </si>
  <si>
    <r>
      <rPr>
        <sz val="9"/>
        <color rgb="FF595959"/>
        <rFont val="Noto Sans CJK SC"/>
        <family val="2"/>
      </rPr>
      <t xml:space="preserve">上一財年底（</t>
    </r>
    <r>
      <rPr>
        <sz val="9"/>
        <color rgb="FF595959"/>
        <rFont val="Arial"/>
        <family val="0"/>
        <charset val="1"/>
      </rPr>
      <t xml:space="preserve">2026-05-31</t>
    </r>
    <r>
      <rPr>
        <sz val="9"/>
        <color rgb="FF595959"/>
        <rFont val="Noto Sans CJK SC"/>
        <family val="2"/>
      </rPr>
      <t xml:space="preserve">）現金與約當現金 </t>
    </r>
    <r>
      <rPr>
        <sz val="9"/>
        <color rgb="FF595959"/>
        <rFont val="Arial"/>
        <family val="0"/>
        <charset val="1"/>
      </rPr>
      <t xml:space="preserve">31,289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10-K </t>
    </r>
    <r>
      <rPr>
        <sz val="9"/>
        <color rgb="FF595959"/>
        <rFont val="Noto Sans CJK SC"/>
        <family val="2"/>
      </rPr>
      <t xml:space="preserve">經查核；另有價證券 </t>
    </r>
    <r>
      <rPr>
        <sz val="9"/>
        <color rgb="FF595959"/>
        <rFont val="Arial"/>
        <family val="0"/>
        <charset val="1"/>
      </rPr>
      <t xml:space="preserve">605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[Verified]</t>
    </r>
  </si>
  <si>
    <r>
      <rPr>
        <sz val="10"/>
        <rFont val="Noto Sans CJK SC"/>
        <family val="2"/>
      </rPr>
      <t xml:space="preserve">營運現金流 </t>
    </r>
    <r>
      <rPr>
        <sz val="10"/>
        <rFont val="Arial"/>
        <family val="0"/>
        <charset val="1"/>
      </rPr>
      <t xml:space="preserve">CFO</t>
    </r>
  </si>
  <si>
    <r>
      <rPr>
        <sz val="9"/>
        <color rgb="FF595959"/>
        <rFont val="Arial"/>
        <family val="0"/>
        <charset val="1"/>
      </rPr>
      <t xml:space="preserve">10-Q </t>
    </r>
    <r>
      <rPr>
        <sz val="9"/>
        <color rgb="FF595959"/>
        <rFont val="Noto Sans CJK SC"/>
        <family val="2"/>
      </rPr>
      <t xml:space="preserve">現金流量表 </t>
    </r>
    <r>
      <rPr>
        <sz val="9"/>
        <color rgb="FF595959"/>
        <rFont val="Arial"/>
        <family val="0"/>
        <charset val="1"/>
      </rPr>
      <t xml:space="preserve">23,103</t>
    </r>
    <r>
      <rPr>
        <sz val="9"/>
        <color rgb="FF595959"/>
        <rFont val="Noto Sans CJK SC"/>
        <family val="2"/>
      </rPr>
      <t xml:space="preserve">；含客戶預付（重大財務組成）</t>
    </r>
    <r>
      <rPr>
        <sz val="9"/>
        <color rgb="FF595959"/>
        <rFont val="Arial"/>
        <family val="0"/>
        <charset val="1"/>
      </rPr>
      <t xml:space="preserve">11,363 [Interested-party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10-Q </t>
    </r>
    <r>
      <rPr>
        <sz val="9"/>
        <color rgb="FF595959"/>
        <rFont val="Noto Sans CJK SC"/>
        <family val="2"/>
      </rPr>
      <t xml:space="preserve">核閱數）</t>
    </r>
    <r>
      <rPr>
        <sz val="9"/>
        <color rgb="FF595959"/>
        <rFont val="Arial"/>
        <family val="0"/>
        <charset val="1"/>
      </rPr>
      <t xml:space="preserve">]</t>
    </r>
  </si>
  <si>
    <r>
      <rPr>
        <sz val="10"/>
        <rFont val="Noto Sans CJK SC"/>
        <family val="2"/>
      </rPr>
      <t xml:space="preserve">現金購置 </t>
    </r>
    <r>
      <rPr>
        <sz val="10"/>
        <rFont val="Arial"/>
        <family val="0"/>
        <charset val="1"/>
      </rPr>
      <t xml:space="preserve">PP&amp;E</t>
    </r>
  </si>
  <si>
    <r>
      <rPr>
        <sz val="9"/>
        <color rgb="FF595959"/>
        <rFont val="Arial"/>
        <family val="0"/>
        <charset val="1"/>
      </rPr>
      <t xml:space="preserve">10-Q </t>
    </r>
    <r>
      <rPr>
        <sz val="9"/>
        <color rgb="FF595959"/>
        <rFont val="Noto Sans CJK SC"/>
        <family val="2"/>
      </rPr>
      <t xml:space="preserve">購置不動產、廠房及設備 </t>
    </r>
    <r>
      <rPr>
        <sz val="9"/>
        <color rgb="FF595959"/>
        <rFont val="Arial"/>
        <family val="0"/>
        <charset val="1"/>
      </rPr>
      <t xml:space="preserve">28,499 [Interested-party]</t>
    </r>
  </si>
  <si>
    <r>
      <rPr>
        <sz val="10"/>
        <rFont val="Arial"/>
        <family val="0"/>
        <charset val="1"/>
      </rPr>
      <t xml:space="preserve">CapEx </t>
    </r>
    <r>
      <rPr>
        <sz val="10"/>
        <rFont val="Noto Sans CJK SC"/>
        <family val="2"/>
      </rPr>
      <t xml:space="preserve">認列（含 </t>
    </r>
    <r>
      <rPr>
        <sz val="10"/>
        <rFont val="Arial"/>
        <family val="0"/>
        <charset val="1"/>
      </rPr>
      <t xml:space="preserve">OEM </t>
    </r>
    <r>
      <rPr>
        <sz val="10"/>
        <rFont val="Noto Sans CJK SC"/>
        <family val="2"/>
      </rPr>
      <t xml:space="preserve">融資）</t>
    </r>
  </si>
  <si>
    <r>
      <rPr>
        <sz val="9"/>
        <color rgb="FF595959"/>
        <rFont val="Noto Sans CJK SC"/>
        <family val="2"/>
      </rPr>
      <t xml:space="preserve">應計口徑未揭露，以現金口徑代替（與現金購置同值）</t>
    </r>
    <r>
      <rPr>
        <sz val="9"/>
        <color rgb="FF595959"/>
        <rFont val="Arial"/>
        <family val="0"/>
        <charset val="1"/>
      </rPr>
      <t xml:space="preserve">[Interested-party]</t>
    </r>
  </si>
  <si>
    <r>
      <rPr>
        <sz val="10"/>
        <rFont val="Arial"/>
        <family val="0"/>
        <charset val="1"/>
      </rPr>
      <t xml:space="preserve">JV</t>
    </r>
    <r>
      <rPr>
        <sz val="10"/>
        <rFont val="Noto Sans CJK SC"/>
        <family val="2"/>
      </rPr>
      <t xml:space="preserve">＋策略投資出資</t>
    </r>
  </si>
  <si>
    <t xml:space="preserve">其他投資活動未逐項列入（不適用，差額進其他／受限現金調節）</t>
  </si>
  <si>
    <t xml:space="preserve">借款</t>
  </si>
  <si>
    <r>
      <rPr>
        <sz val="9"/>
        <color rgb="FF595959"/>
        <rFont val="Arial"/>
        <family val="0"/>
        <charset val="1"/>
      </rPr>
      <t xml:space="preserve">FY27Q1 </t>
    </r>
    <r>
      <rPr>
        <sz val="9"/>
        <color rgb="FF595959"/>
        <rFont val="Noto Sans CJK SC"/>
        <family val="2"/>
      </rPr>
      <t xml:space="preserve">未新增長期借款 </t>
    </r>
    <r>
      <rPr>
        <sz val="9"/>
        <color rgb="FF595959"/>
        <rFont val="Arial"/>
        <family val="0"/>
        <charset val="1"/>
      </rPr>
      <t xml:space="preserve">[Interested-party]</t>
    </r>
  </si>
  <si>
    <t xml:space="preserve">還款</t>
  </si>
  <si>
    <r>
      <rPr>
        <sz val="9"/>
        <color rgb="FF595959"/>
        <rFont val="Noto Sans CJK SC"/>
        <family val="2"/>
      </rPr>
      <t xml:space="preserve">票據、定期貸款與其他借款償還 </t>
    </r>
    <r>
      <rPr>
        <sz val="9"/>
        <color rgb="FF595959"/>
        <rFont val="Arial"/>
        <family val="0"/>
        <charset val="1"/>
      </rPr>
      <t xml:space="preserve">4,202</t>
    </r>
    <r>
      <rPr>
        <sz val="9"/>
        <color rgb="FF595959"/>
        <rFont val="Noto Sans CJK SC"/>
        <family val="2"/>
      </rPr>
      <t xml:space="preserve">（含商業本票約 </t>
    </r>
    <r>
      <rPr>
        <sz val="9"/>
        <color rgb="FF595959"/>
        <rFont val="Arial"/>
        <family val="0"/>
        <charset val="1"/>
      </rPr>
      <t xml:space="preserve">1,100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10-Q MD&amp;A</t>
    </r>
    <r>
      <rPr>
        <sz val="9"/>
        <color rgb="FF595959"/>
        <rFont val="Noto Sans CJK SC"/>
        <family val="2"/>
      </rPr>
      <t xml:space="preserve">）；資本支出相關短期融資淨流出 </t>
    </r>
    <r>
      <rPr>
        <sz val="9"/>
        <color rgb="FF595959"/>
        <rFont val="Arial"/>
        <family val="0"/>
        <charset val="1"/>
      </rPr>
      <t xml:space="preserve">830 </t>
    </r>
    <r>
      <rPr>
        <sz val="9"/>
        <color rgb="FF595959"/>
        <rFont val="Noto Sans CJK SC"/>
        <family val="2"/>
      </rPr>
      <t xml:space="preserve">列於調節 </t>
    </r>
    <r>
      <rPr>
        <sz val="9"/>
        <color rgb="FF595959"/>
        <rFont val="Arial"/>
        <family val="0"/>
        <charset val="1"/>
      </rPr>
      <t xml:space="preserve">[Interested-party]</t>
    </r>
  </si>
  <si>
    <r>
      <rPr>
        <sz val="10"/>
        <rFont val="Arial"/>
        <family val="0"/>
        <charset val="1"/>
      </rPr>
      <t xml:space="preserve">capped call </t>
    </r>
    <r>
      <rPr>
        <sz val="10"/>
        <rFont val="Noto Sans CJK SC"/>
        <family val="2"/>
      </rPr>
      <t xml:space="preserve">支出</t>
    </r>
  </si>
  <si>
    <t xml:space="preserve">不適用</t>
  </si>
  <si>
    <t xml:space="preserve">私募股權</t>
  </si>
  <si>
    <r>
      <rPr>
        <sz val="9"/>
        <color rgb="FF595959"/>
        <rFont val="Arial"/>
        <family val="0"/>
        <charset val="1"/>
      </rPr>
      <t xml:space="preserve">ATM </t>
    </r>
    <r>
      <rPr>
        <sz val="9"/>
        <color rgb="FF595959"/>
        <rFont val="Noto Sans CJK SC"/>
        <family val="2"/>
      </rPr>
      <t xml:space="preserve">淨收入 </t>
    </r>
    <r>
      <rPr>
        <sz val="9"/>
        <color rgb="FF595959"/>
        <rFont val="Arial"/>
        <family val="0"/>
        <charset val="1"/>
      </rPr>
      <t xml:space="preserve">19,909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141m </t>
    </r>
    <r>
      <rPr>
        <sz val="9"/>
        <color rgb="FF595959"/>
        <rFont val="Noto Sans CJK SC"/>
        <family val="2"/>
      </rPr>
      <t xml:space="preserve">股、毛額均價約 </t>
    </r>
    <r>
      <rPr>
        <sz val="9"/>
        <color rgb="FF595959"/>
        <rFont val="Arial"/>
        <family val="0"/>
        <charset val="1"/>
      </rPr>
      <t xml:space="preserve">$141.84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[Interested-party]</t>
    </r>
  </si>
  <si>
    <t xml:space="preserve">利息費用</t>
  </si>
  <si>
    <r>
      <rPr>
        <sz val="9"/>
        <color rgb="FF595959"/>
        <rFont val="Arial"/>
        <family val="0"/>
        <charset val="1"/>
      </rPr>
      <t xml:space="preserve">10-Q </t>
    </r>
    <r>
      <rPr>
        <sz val="9"/>
        <color rgb="FF595959"/>
        <rFont val="Noto Sans CJK SC"/>
        <family val="2"/>
      </rPr>
      <t xml:space="preserve">利息費用 </t>
    </r>
    <r>
      <rPr>
        <sz val="9"/>
        <color rgb="FF595959"/>
        <rFont val="Arial"/>
        <family val="0"/>
        <charset val="1"/>
      </rPr>
      <t xml:space="preserve">1,428 [Interested-party]</t>
    </r>
  </si>
  <si>
    <t xml:space="preserve">租賃現金支付</t>
  </si>
  <si>
    <r>
      <rPr>
        <sz val="9"/>
        <color rgb="FF595959"/>
        <rFont val="Noto Sans CJK SC"/>
        <family val="2"/>
      </rPr>
      <t xml:space="preserve">營業租賃現金 </t>
    </r>
    <r>
      <rPr>
        <sz val="9"/>
        <color rgb="FF595959"/>
        <rFont val="Arial"/>
        <family val="0"/>
        <charset val="1"/>
      </rPr>
      <t xml:space="preserve">950</t>
    </r>
    <r>
      <rPr>
        <sz val="9"/>
        <color rgb="FF595959"/>
        <rFont val="Noto Sans CJK SC"/>
        <family val="2"/>
      </rPr>
      <t xml:space="preserve">＋融資租賃 </t>
    </r>
    <r>
      <rPr>
        <sz val="9"/>
        <color rgb="FF595959"/>
        <rFont val="Arial"/>
        <family val="0"/>
        <charset val="1"/>
      </rPr>
      <t xml:space="preserve">186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10-Q </t>
    </r>
    <r>
      <rPr>
        <sz val="9"/>
        <color rgb="FF595959"/>
        <rFont val="Noto Sans CJK SC"/>
        <family val="2"/>
      </rPr>
      <t xml:space="preserve">附註 </t>
    </r>
    <r>
      <rPr>
        <sz val="9"/>
        <color rgb="FF595959"/>
        <rFont val="Arial"/>
        <family val="0"/>
        <charset val="1"/>
      </rPr>
      <t xml:space="preserve">6</t>
    </r>
    <r>
      <rPr>
        <sz val="9"/>
        <color rgb="FF595959"/>
        <rFont val="Noto Sans CJK SC"/>
        <family val="2"/>
      </rPr>
      <t xml:space="preserve">）；已含在 </t>
    </r>
    <r>
      <rPr>
        <sz val="9"/>
        <color rgb="FF595959"/>
        <rFont val="Arial"/>
        <family val="0"/>
        <charset val="1"/>
      </rPr>
      <t xml:space="preserve">CFO </t>
    </r>
    <r>
      <rPr>
        <sz val="9"/>
        <color rgb="FF595959"/>
        <rFont val="Noto Sans CJK SC"/>
        <family val="2"/>
      </rPr>
      <t xml:space="preserve">內，僅供對照</t>
    </r>
  </si>
  <si>
    <t xml:space="preserve">營收</t>
  </si>
  <si>
    <r>
      <rPr>
        <sz val="9"/>
        <color rgb="FF595959"/>
        <rFont val="Arial"/>
        <family val="0"/>
        <charset val="1"/>
      </rPr>
      <t xml:space="preserve">OCI 7,388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SaaS 4,219</t>
    </r>
    <r>
      <rPr>
        <sz val="9"/>
        <color rgb="FF595959"/>
        <rFont val="Noto Sans CJK SC"/>
        <family val="2"/>
      </rPr>
      <t xml:space="preserve">＋軟體 </t>
    </r>
    <r>
      <rPr>
        <sz val="9"/>
        <color rgb="FF595959"/>
        <rFont val="Arial"/>
        <family val="0"/>
        <charset val="1"/>
      </rPr>
      <t xml:space="preserve">5,550</t>
    </r>
    <r>
      <rPr>
        <sz val="9"/>
        <color rgb="FF595959"/>
        <rFont val="Noto Sans CJK SC"/>
        <family val="2"/>
      </rPr>
      <t xml:space="preserve">＋硬體 </t>
    </r>
    <r>
      <rPr>
        <sz val="9"/>
        <color rgb="FF595959"/>
        <rFont val="Arial"/>
        <family val="0"/>
        <charset val="1"/>
      </rPr>
      <t xml:space="preserve">774</t>
    </r>
    <r>
      <rPr>
        <sz val="9"/>
        <color rgb="FF595959"/>
        <rFont val="Noto Sans CJK SC"/>
        <family val="2"/>
      </rPr>
      <t xml:space="preserve">＋服務 </t>
    </r>
    <r>
      <rPr>
        <sz val="9"/>
        <color rgb="FF595959"/>
        <rFont val="Arial"/>
        <family val="0"/>
        <charset val="1"/>
      </rPr>
      <t xml:space="preserve">1,414 [Interested-party]</t>
    </r>
  </si>
  <si>
    <r>
      <rPr>
        <sz val="10"/>
        <rFont val="Arial"/>
        <family val="0"/>
        <charset val="1"/>
      </rPr>
      <t xml:space="preserve">GAAP </t>
    </r>
    <r>
      <rPr>
        <sz val="10"/>
        <rFont val="Noto Sans CJK SC"/>
        <family val="2"/>
      </rPr>
      <t xml:space="preserve">營業損益</t>
    </r>
  </si>
  <si>
    <r>
      <rPr>
        <sz val="9"/>
        <color rgb="FF595959"/>
        <rFont val="Arial"/>
        <family val="0"/>
        <charset val="1"/>
      </rPr>
      <t xml:space="preserve">GAAP </t>
    </r>
    <r>
      <rPr>
        <sz val="9"/>
        <color rgb="FF595959"/>
        <rFont val="Noto Sans CJK SC"/>
        <family val="2"/>
      </rPr>
      <t xml:space="preserve">營業利益 </t>
    </r>
    <r>
      <rPr>
        <sz val="9"/>
        <color rgb="FF595959"/>
        <rFont val="Arial"/>
        <family val="0"/>
        <charset val="1"/>
      </rPr>
      <t xml:space="preserve">6,728</t>
    </r>
    <r>
      <rPr>
        <sz val="9"/>
        <color rgb="FF595959"/>
        <rFont val="Noto Sans CJK SC"/>
        <family val="2"/>
      </rPr>
      <t xml:space="preserve">（非 </t>
    </r>
    <r>
      <rPr>
        <sz val="9"/>
        <color rgb="FF595959"/>
        <rFont val="Arial"/>
        <family val="0"/>
        <charset val="1"/>
      </rPr>
      <t xml:space="preserve">GAAP 8,151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[Interested-party]</t>
    </r>
  </si>
  <si>
    <t xml:space="preserve">淨損</t>
  </si>
  <si>
    <r>
      <rPr>
        <sz val="9"/>
        <color rgb="FF595959"/>
        <rFont val="Noto Sans CJK SC"/>
        <family val="2"/>
      </rPr>
      <t xml:space="preserve">淨利 </t>
    </r>
    <r>
      <rPr>
        <sz val="9"/>
        <color rgb="FF595959"/>
        <rFont val="Arial"/>
        <family val="0"/>
        <charset val="1"/>
      </rPr>
      <t xml:space="preserve">4,760</t>
    </r>
    <r>
      <rPr>
        <sz val="9"/>
        <color rgb="FF595959"/>
        <rFont val="Noto Sans CJK SC"/>
        <family val="2"/>
      </rPr>
      <t xml:space="preserve">（歸屬普通股 </t>
    </r>
    <r>
      <rPr>
        <sz val="9"/>
        <color rgb="FF595959"/>
        <rFont val="Arial"/>
        <family val="0"/>
        <charset val="1"/>
      </rPr>
      <t xml:space="preserve">4,679</t>
    </r>
    <r>
      <rPr>
        <sz val="9"/>
        <color rgb="FF595959"/>
        <rFont val="Noto Sans CJK SC"/>
        <family val="2"/>
      </rPr>
      <t xml:space="preserve">，扣特別股股利 </t>
    </r>
    <r>
      <rPr>
        <sz val="9"/>
        <color rgb="FF595959"/>
        <rFont val="Arial"/>
        <family val="0"/>
        <charset val="1"/>
      </rPr>
      <t xml:space="preserve">81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[Interested-party]</t>
    </r>
  </si>
  <si>
    <t xml:space="preserve">遞延收入淨流入</t>
  </si>
  <si>
    <r>
      <rPr>
        <sz val="9"/>
        <color rgb="FF595959"/>
        <rFont val="Noto Sans CJK SC"/>
        <family val="2"/>
      </rPr>
      <t xml:space="preserve">客戶預付（重大財務組成）流入 </t>
    </r>
    <r>
      <rPr>
        <sz val="9"/>
        <color rgb="FF595959"/>
        <rFont val="Arial"/>
        <family val="0"/>
        <charset val="1"/>
      </rPr>
      <t xml:space="preserve">11,363</t>
    </r>
    <r>
      <rPr>
        <sz val="9"/>
        <color rgb="FF595959"/>
        <rFont val="Noto Sans CJK SC"/>
        <family val="2"/>
      </rPr>
      <t xml:space="preserve">；已含在 </t>
    </r>
    <r>
      <rPr>
        <sz val="9"/>
        <color rgb="FF595959"/>
        <rFont val="Arial"/>
        <family val="0"/>
        <charset val="1"/>
      </rPr>
      <t xml:space="preserve">CFO </t>
    </r>
    <r>
      <rPr>
        <sz val="9"/>
        <color rgb="FF595959"/>
        <rFont val="Noto Sans CJK SC"/>
        <family val="2"/>
      </rPr>
      <t xml:space="preserve">內，僅供對照 </t>
    </r>
    <r>
      <rPr>
        <sz val="9"/>
        <color rgb="FF595959"/>
        <rFont val="Arial"/>
        <family val="0"/>
        <charset val="1"/>
      </rPr>
      <t xml:space="preserve">[Interested-party]</t>
    </r>
  </si>
  <si>
    <t xml:space="preserve">D&amp;A</t>
  </si>
  <si>
    <r>
      <rPr>
        <sz val="9"/>
        <color rgb="FF595959"/>
        <rFont val="Noto Sans CJK SC"/>
        <family val="2"/>
      </rPr>
      <t xml:space="preserve">折舊 </t>
    </r>
    <r>
      <rPr>
        <sz val="9"/>
        <color rgb="FF595959"/>
        <rFont val="Arial"/>
        <family val="0"/>
        <charset val="1"/>
      </rPr>
      <t xml:space="preserve">3,156</t>
    </r>
    <r>
      <rPr>
        <sz val="9"/>
        <color rgb="FF595959"/>
        <rFont val="Noto Sans CJK SC"/>
        <family val="2"/>
      </rPr>
      <t xml:space="preserve">＋無形資產攤銷 </t>
    </r>
    <r>
      <rPr>
        <sz val="9"/>
        <color rgb="FF595959"/>
        <rFont val="Arial"/>
        <family val="0"/>
        <charset val="1"/>
      </rPr>
      <t xml:space="preserve">202 [Interested-party]</t>
    </r>
  </si>
  <si>
    <t xml:space="preserve">SBC</t>
  </si>
  <si>
    <r>
      <rPr>
        <sz val="9"/>
        <color rgb="FF595959"/>
        <rFont val="Noto Sans CJK SC"/>
        <family val="2"/>
      </rPr>
      <t xml:space="preserve">股份基礎給付 </t>
    </r>
    <r>
      <rPr>
        <sz val="9"/>
        <color rgb="FF595959"/>
        <rFont val="Arial"/>
        <family val="0"/>
        <charset val="1"/>
      </rPr>
      <t xml:space="preserve">1,127 [Interested-party]</t>
    </r>
  </si>
  <si>
    <t xml:space="preserve">GAAP EPS</t>
  </si>
  <si>
    <r>
      <rPr>
        <sz val="9"/>
        <color rgb="FF595959"/>
        <rFont val="Arial"/>
        <family val="0"/>
        <charset val="1"/>
      </rPr>
      <t xml:space="preserve">GAAP </t>
    </r>
    <r>
      <rPr>
        <sz val="9"/>
        <color rgb="FF595959"/>
        <rFont val="Noto Sans CJK SC"/>
        <family val="2"/>
      </rPr>
      <t xml:space="preserve">稀釋 </t>
    </r>
    <r>
      <rPr>
        <sz val="9"/>
        <color rgb="FF595959"/>
        <rFont val="Arial"/>
        <family val="0"/>
        <charset val="1"/>
      </rPr>
      <t xml:space="preserve">EPS 1.56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10-Q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[Interested-party]</t>
    </r>
  </si>
  <si>
    <r>
      <rPr>
        <sz val="10"/>
        <rFont val="Arial"/>
        <family val="0"/>
        <charset val="1"/>
      </rPr>
      <t xml:space="preserve">EPS</t>
    </r>
    <r>
      <rPr>
        <sz val="10"/>
        <rFont val="Noto Sans CJK SC"/>
        <family val="2"/>
      </rPr>
      <t xml:space="preserve">（加回 </t>
    </r>
    <r>
      <rPr>
        <sz val="10"/>
        <rFont val="Arial"/>
        <family val="0"/>
        <charset val="1"/>
      </rPr>
      <t xml:space="preserve">SBC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</si>
  <si>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Noto Sans CJK SC"/>
        <family val="2"/>
      </rPr>
      <t xml:space="preserve">淨利 </t>
    </r>
    <r>
      <rPr>
        <sz val="9"/>
        <color rgb="FF595959"/>
        <rFont val="Arial"/>
        <family val="0"/>
        <charset val="1"/>
      </rPr>
      <t xml:space="preserve">4,760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SBC 1,127)÷</t>
    </r>
    <r>
      <rPr>
        <sz val="9"/>
        <color rgb="FF595959"/>
        <rFont val="Noto Sans CJK SC"/>
        <family val="2"/>
      </rPr>
      <t xml:space="preserve">稀釋加權股數 </t>
    </r>
    <r>
      <rPr>
        <sz val="9"/>
        <color rgb="FF595959"/>
        <rFont val="Arial"/>
        <family val="0"/>
        <charset val="1"/>
      </rPr>
      <t xml:space="preserve">3,000m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1.96 [Derived]</t>
    </r>
    <r>
      <rPr>
        <sz val="9"/>
        <color rgb="FF595959"/>
        <rFont val="Noto Sans CJK SC"/>
        <family val="2"/>
      </rPr>
      <t xml:space="preserve">（公司非 </t>
    </r>
    <r>
      <rPr>
        <sz val="9"/>
        <color rgb="FF595959"/>
        <rFont val="Arial"/>
        <family val="0"/>
        <charset val="1"/>
      </rPr>
      <t xml:space="preserve">GAAP EPS 1.92</t>
    </r>
    <r>
      <rPr>
        <sz val="9"/>
        <color rgb="FF595959"/>
        <rFont val="Noto Sans CJK SC"/>
        <family val="2"/>
      </rPr>
      <t xml:space="preserve">，口徑不同）</t>
    </r>
  </si>
  <si>
    <t xml:space="preserve">股利支付（普通股＋特別股）</t>
  </si>
  <si>
    <r>
      <rPr>
        <sz val="9"/>
        <color rgb="FF595959"/>
        <rFont val="Noto Sans CJK SC"/>
        <family val="2"/>
      </rPr>
      <t xml:space="preserve">股利支付 </t>
    </r>
    <r>
      <rPr>
        <sz val="9"/>
        <color rgb="FF595959"/>
        <rFont val="Arial"/>
        <family val="0"/>
        <charset val="1"/>
      </rPr>
      <t xml:space="preserve">1,565</t>
    </r>
    <r>
      <rPr>
        <sz val="9"/>
        <color rgb="FF595959"/>
        <rFont val="Noto Sans CJK SC"/>
        <family val="2"/>
      </rPr>
      <t xml:space="preserve">（普通股＋特別股；</t>
    </r>
    <r>
      <rPr>
        <sz val="9"/>
        <color rgb="FF595959"/>
        <rFont val="Arial"/>
        <family val="0"/>
        <charset val="1"/>
      </rPr>
      <t xml:space="preserve">10-Q </t>
    </r>
    <r>
      <rPr>
        <sz val="9"/>
        <color rgb="FF595959"/>
        <rFont val="Noto Sans CJK SC"/>
        <family val="2"/>
      </rPr>
      <t xml:space="preserve">現金流量表）</t>
    </r>
    <r>
      <rPr>
        <sz val="9"/>
        <color rgb="FF595959"/>
        <rFont val="Arial"/>
        <family val="0"/>
        <charset val="1"/>
      </rPr>
      <t xml:space="preserve">[Interested-party]</t>
    </r>
  </si>
  <si>
    <r>
      <rPr>
        <sz val="10"/>
        <rFont val="Noto Sans CJK SC"/>
        <family val="2"/>
      </rPr>
      <t xml:space="preserve">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Q1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</si>
  <si>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Q1 11.307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Q1 Q1 FY27 </t>
    </r>
    <r>
      <rPr>
        <sz val="9"/>
        <color rgb="FF595959"/>
        <rFont val="Noto Sans CJK SC"/>
        <family val="2"/>
      </rPr>
      <t xml:space="preserve">財報新聞稿（</t>
    </r>
    <r>
      <rPr>
        <sz val="9"/>
        <color rgb="FF595959"/>
        <rFont val="Arial"/>
        <family val="0"/>
        <charset val="1"/>
      </rPr>
      <t xml:space="preserve">8-K </t>
    </r>
    <r>
      <rPr>
        <sz val="9"/>
        <color rgb="FF595959"/>
        <rFont val="Noto Sans CJK SC"/>
        <family val="2"/>
      </rPr>
      <t xml:space="preserve">附件 </t>
    </r>
    <r>
      <rPr>
        <sz val="9"/>
        <color rgb="FF595959"/>
        <rFont val="Arial"/>
        <family val="0"/>
        <charset val="1"/>
      </rPr>
      <t xml:space="preserve">99.1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2026-09-10</t>
    </r>
    <r>
      <rPr>
        <sz val="9"/>
        <color rgb="FF595959"/>
        <rFont val="Noto Sans CJK SC"/>
        <family val="2"/>
      </rPr>
      <t xml:space="preserve">）＋</t>
    </r>
    <r>
      <rPr>
        <sz val="9"/>
        <color rgb="FF595959"/>
        <rFont val="Arial"/>
        <family val="0"/>
        <charset val="1"/>
      </rPr>
      <t xml:space="preserve">10-Q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2026-09-11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MarketScreener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Noto Sans CJK SC"/>
        <family val="2"/>
      </rPr>
      <t xml:space="preserve">口徑＝非 </t>
    </r>
    <r>
      <rPr>
        <sz val="9"/>
        <color rgb="FF595959"/>
        <rFont val="Arial"/>
        <family val="0"/>
        <charset val="1"/>
      </rPr>
      <t xml:space="preserve">GAAP </t>
    </r>
    <r>
      <rPr>
        <sz val="9"/>
        <color rgb="FF595959"/>
        <rFont val="Noto Sans CJK SC"/>
        <family val="2"/>
      </rPr>
      <t xml:space="preserve">營業利益＋折舊（</t>
    </r>
    <r>
      <rPr>
        <sz val="9"/>
        <color rgb="FF595959"/>
        <rFont val="Arial"/>
        <family val="0"/>
        <charset val="1"/>
      </rPr>
      <t xml:space="preserve">FY26 36.549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28.926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7.623</t>
    </r>
    <r>
      <rPr>
        <sz val="9"/>
        <color rgb="FF595959"/>
        <rFont val="Noto Sans CJK SC"/>
        <family val="2"/>
      </rPr>
      <t xml:space="preserve">），本列同口徑。非 </t>
    </r>
    <r>
      <rPr>
        <sz val="9"/>
        <color rgb="FF595959"/>
        <rFont val="Arial"/>
        <family val="0"/>
        <charset val="1"/>
      </rPr>
      <t xml:space="preserve">GAAP </t>
    </r>
    <r>
      <rPr>
        <sz val="9"/>
        <color rgb="FF595959"/>
        <rFont val="Noto Sans CJK SC"/>
        <family val="2"/>
      </rPr>
      <t xml:space="preserve">營業利益 </t>
    </r>
    <r>
      <rPr>
        <sz val="9"/>
        <color rgb="FF595959"/>
        <rFont val="Arial"/>
        <family val="0"/>
        <charset val="1"/>
      </rPr>
      <t xml:space="preserve">8.151</t>
    </r>
    <r>
      <rPr>
        <sz val="9"/>
        <color rgb="FF595959"/>
        <rFont val="Noto Sans CJK SC"/>
        <family val="2"/>
      </rPr>
      <t xml:space="preserve">（新聞稿）＋折舊 </t>
    </r>
    <r>
      <rPr>
        <sz val="9"/>
        <color rgb="FF595959"/>
        <rFont val="Arial"/>
        <family val="0"/>
        <charset val="1"/>
      </rPr>
      <t xml:space="preserve">3.156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10-Q</t>
    </r>
    <r>
      <rPr>
        <sz val="9"/>
        <color rgb="FF595959"/>
        <rFont val="Noto Sans CJK SC"/>
        <family val="2"/>
      </rPr>
      <t xml:space="preserve">；不含無形資產攤銷 </t>
    </r>
    <r>
      <rPr>
        <sz val="9"/>
        <color rgb="FF595959"/>
        <rFont val="Arial"/>
        <family val="0"/>
        <charset val="1"/>
      </rPr>
      <t xml:space="preserve">0.202</t>
    </r>
    <r>
      <rPr>
        <sz val="9"/>
        <color rgb="FF595959"/>
        <rFont val="Noto Sans CJK SC"/>
        <family val="2"/>
      </rPr>
      <t xml:space="preserve">）＝</t>
    </r>
    <r>
      <rPr>
        <sz val="9"/>
        <color rgb="FF595959"/>
        <rFont val="Arial"/>
        <family val="0"/>
        <charset val="1"/>
      </rPr>
      <t xml:space="preserve">11.307 [Derived] [Interested-party]</t>
    </r>
  </si>
  <si>
    <r>
      <rPr>
        <b val="true"/>
        <sz val="10"/>
        <rFont val="Arial"/>
        <family val="0"/>
        <charset val="1"/>
      </rPr>
      <t xml:space="preserve">H</t>
    </r>
    <r>
      <rPr>
        <b val="true"/>
        <sz val="10"/>
        <rFont val="Noto Sans CJK SC"/>
        <family val="2"/>
      </rPr>
      <t xml:space="preserve">｜情境區間運算表（模擬運算表；由 </t>
    </r>
    <r>
      <rPr>
        <b val="true"/>
        <sz val="10"/>
        <rFont val="Arial"/>
        <family val="0"/>
        <charset val="1"/>
      </rPr>
      <t xml:space="preserve">Excel </t>
    </r>
    <r>
      <rPr>
        <b val="true"/>
        <sz val="10"/>
        <rFont val="Noto Sans CJK SC"/>
        <family val="2"/>
      </rPr>
      <t xml:space="preserve">自動計算，勿手動輸入）</t>
    </r>
  </si>
  <si>
    <r>
      <rPr>
        <sz val="9"/>
        <color rgb="FF595959"/>
        <rFont val="Noto Sans CJK SC"/>
        <family val="2"/>
      </rPr>
      <t xml:space="preserve">保守與積極情境的加權目標價（情境區間）；其餘手動輸入保留。資料表公式：</t>
    </r>
    <r>
      <rPr>
        <sz val="9"/>
        <color rgb="FF595959"/>
        <rFont val="Arial"/>
        <family val="0"/>
        <charset val="1"/>
      </rPr>
      <t xml:space="preserve">{=TABLE(,</t>
    </r>
    <r>
      <rPr>
        <sz val="9"/>
        <color rgb="FF595959"/>
        <rFont val="Noto Sans CJK SC"/>
        <family val="2"/>
      </rPr>
      <t xml:space="preserve">情境選擇</t>
    </r>
    <r>
      <rPr>
        <sz val="9"/>
        <color rgb="FF595959"/>
        <rFont val="Arial"/>
        <family val="0"/>
        <charset val="1"/>
      </rPr>
      <t xml:space="preserve">)}</t>
    </r>
  </si>
  <si>
    <t xml:space="preserve">情境區間運算表｜公式列（加權目標價／評等代碼）</t>
  </si>
  <si>
    <r>
      <rPr>
        <sz val="10"/>
        <rFont val="Noto Sans CJK SC"/>
        <family val="2"/>
      </rPr>
      <t xml:space="preserve">情境區間運算表｜保守 </t>
    </r>
    <r>
      <rPr>
        <sz val="10"/>
        <rFont val="Arial"/>
        <family val="0"/>
        <charset val="1"/>
      </rPr>
      <t xml:space="preserve">OpenAI </t>
    </r>
    <r>
      <rPr>
        <sz val="10"/>
        <rFont val="Noto Sans CJK SC"/>
        <family val="2"/>
      </rPr>
      <t xml:space="preserve">相關 </t>
    </r>
    <r>
      <rPr>
        <sz val="10"/>
        <rFont val="Arial"/>
        <family val="0"/>
        <charset val="1"/>
      </rPr>
      <t xml:space="preserve">60%</t>
    </r>
  </si>
  <si>
    <r>
      <rPr>
        <sz val="10"/>
        <rFont val="Noto Sans CJK SC"/>
        <family val="2"/>
      </rPr>
      <t xml:space="preserve">情境區間運算表｜基準 已簽約站點依 </t>
    </r>
    <r>
      <rPr>
        <sz val="10"/>
        <rFont val="Arial"/>
        <family val="0"/>
        <charset val="1"/>
      </rPr>
      <t xml:space="preserve">Q1 </t>
    </r>
    <r>
      <rPr>
        <sz val="10"/>
        <rFont val="Noto Sans CJK SC"/>
        <family val="2"/>
      </rPr>
      <t xml:space="preserve">速度</t>
    </r>
  </si>
  <si>
    <t xml:space="preserve">情境區間運算表｜積極 依公司時程</t>
  </si>
  <si>
    <r>
      <rPr>
        <b val="true"/>
        <sz val="10"/>
        <rFont val="Arial"/>
        <family val="0"/>
        <charset val="1"/>
      </rPr>
      <t xml:space="preserve">I</t>
    </r>
    <r>
      <rPr>
        <b val="true"/>
        <sz val="10"/>
        <rFont val="Noto Sans CJK SC"/>
        <family val="2"/>
      </rPr>
      <t xml:space="preserve">｜市場共識（</t>
    </r>
    <r>
      <rPr>
        <b val="true"/>
        <sz val="10"/>
        <rFont val="Arial"/>
        <family val="0"/>
        <charset val="1"/>
      </rPr>
      <t xml:space="preserve">data/consensus_orcl_20261007.json</t>
    </r>
    <r>
      <rPr>
        <b val="true"/>
        <sz val="10"/>
        <rFont val="Noto Sans CJK SC"/>
        <family val="2"/>
      </rPr>
      <t xml:space="preserve">；只讀，不增補數字；下游只引用本區）</t>
    </r>
  </si>
  <si>
    <r>
      <rPr>
        <sz val="9"/>
        <color rgb="FF595959"/>
        <rFont val="Noto Sans CJK SC"/>
        <family val="2"/>
      </rPr>
      <t xml:space="preserve">標記：</t>
    </r>
    <r>
      <rPr>
        <sz val="9"/>
        <color rgb="FF595959"/>
        <rFont val="Arial"/>
        <family val="0"/>
        <charset val="1"/>
      </rPr>
      <t xml:space="preserve">Verified</t>
    </r>
    <r>
      <rPr>
        <sz val="9"/>
        <color rgb="FF595959"/>
        <rFont val="Noto Sans CJK SC"/>
        <family val="2"/>
      </rPr>
      <t xml:space="preserve">＝可公開查證的事實（例如公司實際公布數字、收盤價）；</t>
    </r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＝賣方分析師預估：有利益關係（投行業務、承銷、偏多傾向），數字本身是意見而非事實；『共識是多少』可查證，但共識內容屬利害關係人觀點</t>
    </r>
  </si>
  <si>
    <t xml:space="preserve">價格與目標價</t>
  </si>
  <si>
    <t xml:space="preserve">數值</t>
  </si>
  <si>
    <t xml:space="preserve">擷取日期</t>
  </si>
  <si>
    <t xml:space="preserve">標記</t>
  </si>
  <si>
    <t xml:space="preserve">來源</t>
  </si>
  <si>
    <t xml:space="preserve">備註</t>
  </si>
  <si>
    <t xml:space="preserve">共識｜現價參考（收盤）</t>
  </si>
  <si>
    <t xml:space="preserve">Verified</t>
  </si>
  <si>
    <r>
      <rPr>
        <sz val="9"/>
        <color rgb="FF595959"/>
        <rFont val="Arial"/>
        <family val="0"/>
        <charset val="1"/>
      </rPr>
      <t xml:space="preserve">StockAnalysis.com</t>
    </r>
    <r>
      <rPr>
        <sz val="9"/>
        <color rgb="FF595959"/>
        <rFont val="Noto Sans CJK SC"/>
        <family val="2"/>
      </rPr>
      <t xml:space="preserve">（歷史股價）｜</t>
    </r>
    <r>
      <rPr>
        <sz val="9"/>
        <color rgb="FF595959"/>
        <rFont val="Arial"/>
        <family val="0"/>
        <charset val="1"/>
      </rPr>
      <t xml:space="preserve">https://stockanalysis.com/stocks/orcl/history/</t>
    </r>
  </si>
  <si>
    <r>
      <rPr>
        <sz val="9"/>
        <color rgb="FF595959"/>
        <rFont val="Noto Sans CJK SC"/>
        <family val="2"/>
      </rPr>
      <t xml:space="preserve">收盤日 </t>
    </r>
    <r>
      <rPr>
        <sz val="9"/>
        <color rgb="FF595959"/>
        <rFont val="Arial"/>
        <family val="0"/>
        <charset val="1"/>
      </rPr>
      <t xml:space="preserve">2026-10-06</t>
    </r>
  </si>
  <si>
    <t xml:space="preserve">共識｜目標價｜平均</t>
  </si>
  <si>
    <t xml:space="preserve">2026-10-07</t>
  </si>
  <si>
    <t xml:space="preserve">Interested-party</t>
  </si>
  <si>
    <r>
      <rPr>
        <sz val="9"/>
        <color rgb="FF595959"/>
        <rFont val="Arial"/>
        <family val="0"/>
        <charset val="1"/>
      </rPr>
      <t xml:space="preserve">S&amp;P Global Market Intelligence</t>
    </r>
    <r>
      <rPr>
        <sz val="9"/>
        <color rgb="FF595959"/>
        <rFont val="Noto Sans CJK SC"/>
        <family val="2"/>
      </rPr>
      <t xml:space="preserve">（經 </t>
    </r>
    <r>
      <rPr>
        <sz val="9"/>
        <color rgb="FF595959"/>
        <rFont val="Arial"/>
        <family val="0"/>
        <charset val="1"/>
      </rPr>
      <t xml:space="preserve">StockAnalysis.com</t>
    </r>
    <r>
      <rPr>
        <sz val="9"/>
        <color rgb="FF595959"/>
        <rFont val="Noto Sans CJK SC"/>
        <family val="2"/>
      </rPr>
      <t xml:space="preserve">）｜</t>
    </r>
    <r>
      <rPr>
        <sz val="9"/>
        <color rgb="FF595959"/>
        <rFont val="Arial"/>
        <family val="0"/>
        <charset val="1"/>
      </rPr>
      <t xml:space="preserve">https://stockanalysis.com/stocks/orcl/forecast/</t>
    </r>
  </si>
  <si>
    <t xml:space="preserve">共識｜目標價｜中位數</t>
  </si>
  <si>
    <t xml:space="preserve">共識｜目標價｜最低</t>
  </si>
  <si>
    <t xml:space="preserve">共識｜目標價｜最高</t>
  </si>
  <si>
    <t xml:space="preserve">共識｜目標價｜分析師家數</t>
  </si>
  <si>
    <t xml:space="preserve">共識｜目標價｜共識評等</t>
  </si>
  <si>
    <t xml:space="preserve">Buy</t>
  </si>
  <si>
    <r>
      <rPr>
        <sz val="10"/>
        <rFont val="Noto Sans CJK SC"/>
        <family val="2"/>
      </rPr>
      <t xml:space="preserve">共識｜目標價｜</t>
    </r>
    <r>
      <rPr>
        <sz val="10"/>
        <rFont val="Arial"/>
        <family val="0"/>
        <charset val="1"/>
      </rPr>
      <t xml:space="preserve">MarketBeat </t>
    </r>
    <r>
      <rPr>
        <sz val="10"/>
        <rFont val="Noto Sans CJK SC"/>
        <family val="2"/>
      </rPr>
      <t xml:space="preserve">對照平均</t>
    </r>
  </si>
  <si>
    <r>
      <rPr>
        <sz val="9"/>
        <color rgb="FF595959"/>
        <rFont val="Arial"/>
        <family val="0"/>
        <charset val="1"/>
      </rPr>
      <t xml:space="preserve">MarketBeat</t>
    </r>
    <r>
      <rPr>
        <sz val="9"/>
        <color rgb="FF595959"/>
        <rFont val="Noto Sans CJK SC"/>
        <family val="2"/>
      </rPr>
      <t xml:space="preserve">（自行彙整，獨立於 </t>
    </r>
    <r>
      <rPr>
        <sz val="9"/>
        <color rgb="FF595959"/>
        <rFont val="Arial"/>
        <family val="0"/>
        <charset val="1"/>
      </rPr>
      <t xml:space="preserve">S&amp;P</t>
    </r>
    <r>
      <rPr>
        <sz val="9"/>
        <color rgb="FF595959"/>
        <rFont val="Noto Sans CJK SC"/>
        <family val="2"/>
      </rPr>
      <t xml:space="preserve">）｜</t>
    </r>
    <r>
      <rPr>
        <sz val="9"/>
        <color rgb="FF595959"/>
        <rFont val="Arial"/>
        <family val="0"/>
        <charset val="1"/>
      </rPr>
      <t xml:space="preserve">https://www.marketbeat.com/stocks/NYSE/ORCL/forecast/</t>
    </r>
  </si>
  <si>
    <r>
      <rPr>
        <sz val="10"/>
        <rFont val="Noto Sans CJK SC"/>
        <family val="2"/>
      </rPr>
      <t xml:space="preserve">共識｜目標價｜</t>
    </r>
    <r>
      <rPr>
        <sz val="10"/>
        <rFont val="Arial"/>
        <family val="0"/>
        <charset val="1"/>
      </rPr>
      <t xml:space="preserve">MarketBeat </t>
    </r>
    <r>
      <rPr>
        <sz val="10"/>
        <rFont val="Noto Sans CJK SC"/>
        <family val="2"/>
      </rPr>
      <t xml:space="preserve">對照家數</t>
    </r>
  </si>
  <si>
    <r>
      <rPr>
        <sz val="10"/>
        <rFont val="Noto Sans CJK SC"/>
        <family val="2"/>
      </rPr>
      <t xml:space="preserve">共識｜目標價｜</t>
    </r>
    <r>
      <rPr>
        <sz val="10"/>
        <rFont val="Arial"/>
        <family val="0"/>
        <charset val="1"/>
      </rPr>
      <t xml:space="preserve">MarketBeat </t>
    </r>
    <r>
      <rPr>
        <sz val="10"/>
        <rFont val="Noto Sans CJK SC"/>
        <family val="2"/>
      </rPr>
      <t xml:space="preserve">對照評等</t>
    </r>
  </si>
  <si>
    <t xml:space="preserve">Moderate Buy</t>
  </si>
  <si>
    <r>
      <rPr>
        <sz val="10"/>
        <rFont val="Noto Sans CJK SC"/>
        <family val="2"/>
      </rPr>
      <t xml:space="preserve">共識｜目標價｜</t>
    </r>
    <r>
      <rPr>
        <sz val="10"/>
        <rFont val="Arial"/>
        <family val="0"/>
        <charset val="1"/>
      </rPr>
      <t xml:space="preserve">Yahoo Finance </t>
    </r>
    <r>
      <rPr>
        <sz val="10"/>
        <rFont val="Noto Sans CJK SC"/>
        <family val="2"/>
      </rPr>
      <t xml:space="preserve">對照平均</t>
    </r>
  </si>
  <si>
    <r>
      <rPr>
        <sz val="9"/>
        <color rgb="FF595959"/>
        <rFont val="Arial"/>
        <family val="0"/>
        <charset val="1"/>
      </rPr>
      <t xml:space="preserve">Yahoo Finance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1y Target Est</t>
    </r>
    <r>
      <rPr>
        <sz val="9"/>
        <color rgb="FF595959"/>
        <rFont val="Noto Sans CJK SC"/>
        <family val="2"/>
      </rPr>
      <t xml:space="preserve">；與 </t>
    </r>
    <r>
      <rPr>
        <sz val="9"/>
        <color rgb="FF595959"/>
        <rFont val="Arial"/>
        <family val="0"/>
        <charset val="1"/>
      </rPr>
      <t xml:space="preserve">S&amp;P </t>
    </r>
    <r>
      <rPr>
        <sz val="9"/>
        <color rgb="FF595959"/>
        <rFont val="Noto Sans CJK SC"/>
        <family val="2"/>
      </rPr>
      <t xml:space="preserve">同值，推測同源）｜</t>
    </r>
    <r>
      <rPr>
        <sz val="9"/>
        <color rgb="FF595959"/>
        <rFont val="Arial"/>
        <family val="0"/>
        <charset val="1"/>
      </rPr>
      <t xml:space="preserve">https://finance.yahoo.com/quote/ORCL/</t>
    </r>
  </si>
  <si>
    <r>
      <rPr>
        <b val="true"/>
        <sz val="11"/>
        <color rgb="FFFFFFFF"/>
        <rFont val="Noto Sans CJK SC"/>
        <family val="2"/>
      </rPr>
      <t xml:space="preserve">評等分布（</t>
    </r>
    <r>
      <rPr>
        <b val="true"/>
        <sz val="11"/>
        <color rgb="FFFFFFFF"/>
        <rFont val="Arial"/>
        <family val="0"/>
        <charset val="1"/>
      </rPr>
      <t xml:space="preserve">2026-10</t>
    </r>
    <r>
      <rPr>
        <b val="true"/>
        <sz val="11"/>
        <color rgb="FFFFFFFF"/>
        <rFont val="Noto Sans CJK SC"/>
        <family val="2"/>
      </rPr>
      <t xml:space="preserve">）</t>
    </r>
  </si>
  <si>
    <t xml:space="preserve">共識｜評等分布｜強力買進</t>
  </si>
  <si>
    <t xml:space="preserve">共識｜評等分布｜買進</t>
  </si>
  <si>
    <t xml:space="preserve">共識｜評等分布｜持有</t>
  </si>
  <si>
    <t xml:space="preserve">共識｜評等分布｜賣出</t>
  </si>
  <si>
    <t xml:space="preserve">共識｜評等分布｜強力賣出</t>
  </si>
  <si>
    <t xml:space="preserve">共識｜評等分布｜合計</t>
  </si>
  <si>
    <r>
      <rPr>
        <b val="true"/>
        <sz val="11"/>
        <color rgb="FFFFFFFF"/>
        <rFont val="Noto Sans CJK SC"/>
        <family val="2"/>
      </rPr>
      <t xml:space="preserve">年度共識（</t>
    </r>
    <r>
      <rPr>
        <b val="true"/>
        <sz val="11"/>
        <color rgb="FFFFFFFF"/>
        <rFont val="Arial"/>
        <family val="0"/>
        <charset val="1"/>
      </rPr>
      <t xml:space="preserve">FY27</t>
    </r>
    <r>
      <rPr>
        <b val="true"/>
        <sz val="11"/>
        <color rgb="FFFFFFFF"/>
        <rFont val="Noto Sans CJK SC"/>
        <family val="2"/>
      </rPr>
      <t xml:space="preserve">／</t>
    </r>
    <r>
      <rPr>
        <b val="true"/>
        <sz val="11"/>
        <color rgb="FFFFFFFF"/>
        <rFont val="Arial"/>
        <family val="0"/>
        <charset val="1"/>
      </rPr>
      <t xml:space="preserve">FY28</t>
    </r>
    <r>
      <rPr>
        <b val="true"/>
        <sz val="11"/>
        <color rgb="FFFFFFFF"/>
        <rFont val="Noto Sans CJK SC"/>
        <family val="2"/>
      </rPr>
      <t xml:space="preserve">／</t>
    </r>
    <r>
      <rPr>
        <b val="true"/>
        <sz val="11"/>
        <color rgb="FFFFFFFF"/>
        <rFont val="Arial"/>
        <family val="0"/>
        <charset val="1"/>
      </rPr>
      <t xml:space="preserve">FY29</t>
    </r>
    <r>
      <rPr>
        <b val="true"/>
        <sz val="11"/>
        <color rgb="FFFFFFFF"/>
        <rFont val="Noto Sans CJK SC"/>
        <family val="2"/>
      </rPr>
      <t xml:space="preserve">）</t>
    </r>
  </si>
  <si>
    <t xml:space="preserve">共識｜年度｜營收</t>
  </si>
  <si>
    <r>
      <rPr>
        <sz val="9"/>
        <color rgb="FF595959"/>
        <rFont val="Arial"/>
        <family val="0"/>
        <charset val="1"/>
      </rPr>
      <t xml:space="preserve">MarketScreener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S&amp;P Capital IQ </t>
    </r>
    <r>
      <rPr>
        <sz val="9"/>
        <color rgb="FF595959"/>
        <rFont val="Noto Sans CJK SC"/>
        <family val="2"/>
      </rPr>
      <t xml:space="preserve">系共識）｜</t>
    </r>
    <r>
      <rPr>
        <sz val="9"/>
        <color rgb="FF595959"/>
        <rFont val="Arial"/>
        <family val="0"/>
        <charset val="1"/>
      </rPr>
      <t xml:space="preserve">https://www.marketscreener.com/quote/stock/ORACLE-CORPORATION-13620698/finances/</t>
    </r>
  </si>
  <si>
    <r>
      <rPr>
        <sz val="10"/>
        <rFont val="Noto Sans CJK SC"/>
        <family val="2"/>
      </rPr>
      <t xml:space="preserve">共識｜年度｜調整後 </t>
    </r>
    <r>
      <rPr>
        <sz val="10"/>
        <rFont val="Arial"/>
        <family val="0"/>
        <charset val="1"/>
      </rPr>
      <t xml:space="preserve">EBITDA</t>
    </r>
  </si>
  <si>
    <r>
      <rPr>
        <sz val="10"/>
        <rFont val="Noto Sans CJK SC"/>
        <family val="2"/>
      </rPr>
      <t xml:space="preserve">共識｜年度｜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</t>
    </r>
  </si>
  <si>
    <r>
      <rPr>
        <sz val="10"/>
        <rFont val="Noto Sans CJK SC"/>
        <family val="2"/>
      </rPr>
      <t xml:space="preserve">共識｜年度｜非 </t>
    </r>
    <r>
      <rPr>
        <sz val="10"/>
        <rFont val="Arial"/>
        <family val="0"/>
        <charset val="1"/>
      </rPr>
      <t xml:space="preserve">GAAP </t>
    </r>
    <r>
      <rPr>
        <sz val="10"/>
        <rFont val="Noto Sans CJK SC"/>
        <family val="2"/>
      </rPr>
      <t xml:space="preserve">營業利益</t>
    </r>
  </si>
  <si>
    <t xml:space="preserve">共識｜年度｜利息支付</t>
  </si>
  <si>
    <t xml:space="preserve">共識｜年度｜淨利</t>
  </si>
  <si>
    <r>
      <rPr>
        <sz val="10"/>
        <rFont val="Noto Sans CJK SC"/>
        <family val="2"/>
      </rPr>
      <t xml:space="preserve">共識｜年度｜</t>
    </r>
    <r>
      <rPr>
        <sz val="10"/>
        <rFont val="Arial"/>
        <family val="0"/>
        <charset val="1"/>
      </rPr>
      <t xml:space="preserve">GAAP EPS</t>
    </r>
  </si>
  <si>
    <r>
      <rPr>
        <sz val="10"/>
        <rFont val="Noto Sans CJK SC"/>
        <family val="2"/>
      </rPr>
      <t xml:space="preserve">共識｜年度｜</t>
    </r>
    <r>
      <rPr>
        <sz val="10"/>
        <rFont val="Arial"/>
        <family val="0"/>
        <charset val="1"/>
      </rPr>
      <t xml:space="preserve">CapEx</t>
    </r>
  </si>
  <si>
    <t xml:space="preserve">共識｜年度｜自由現金流</t>
  </si>
  <si>
    <t xml:space="preserve">共識｜年度｜淨負債</t>
  </si>
  <si>
    <t xml:space="preserve">共識｜年度｜每股股利</t>
  </si>
  <si>
    <t xml:space="preserve">共識｜年度｜口徑說明</t>
  </si>
  <si>
    <r>
      <rPr>
        <sz val="10"/>
        <rFont val="Arial"/>
        <family val="0"/>
        <charset val="1"/>
      </rPr>
      <t xml:space="preserve">EBIT </t>
    </r>
    <r>
      <rPr>
        <sz val="10"/>
        <rFont val="Noto Sans CJK SC"/>
        <family val="2"/>
      </rPr>
      <t xml:space="preserve">為非 </t>
    </r>
    <r>
      <rPr>
        <sz val="10"/>
        <rFont val="Arial"/>
        <family val="0"/>
        <charset val="1"/>
      </rPr>
      <t xml:space="preserve">GAAP </t>
    </r>
    <r>
      <rPr>
        <sz val="10"/>
        <rFont val="Noto Sans CJK SC"/>
        <family val="2"/>
      </rPr>
      <t xml:space="preserve">營業利益口徑（</t>
    </r>
    <r>
      <rPr>
        <sz val="10"/>
        <rFont val="Arial"/>
        <family val="0"/>
        <charset val="1"/>
      </rPr>
      <t xml:space="preserve">MarketScreener FY26 </t>
    </r>
    <r>
      <rPr>
        <sz val="10"/>
        <rFont val="Noto Sans CJK SC"/>
        <family val="2"/>
      </rPr>
      <t xml:space="preserve">實際 </t>
    </r>
    <r>
      <rPr>
        <sz val="10"/>
        <rFont val="Arial"/>
        <family val="0"/>
        <charset val="1"/>
      </rPr>
      <t xml:space="preserve">EBIT 28.926 </t>
    </r>
    <r>
      <rPr>
        <sz val="10"/>
        <rFont val="Noto Sans CJK SC"/>
        <family val="2"/>
      </rPr>
      <t xml:space="preserve">與公司非 </t>
    </r>
    <r>
      <rPr>
        <sz val="10"/>
        <rFont val="Arial"/>
        <family val="0"/>
        <charset val="1"/>
      </rPr>
      <t xml:space="preserve">GAAP </t>
    </r>
    <r>
      <rPr>
        <sz val="10"/>
        <rFont val="Noto Sans CJK SC"/>
        <family val="2"/>
      </rPr>
      <t xml:space="preserve">營業利益 </t>
    </r>
    <r>
      <rPr>
        <sz val="10"/>
        <rFont val="Arial"/>
        <family val="0"/>
        <charset val="1"/>
      </rPr>
      <t xml:space="preserve">28.926 </t>
    </r>
    <r>
      <rPr>
        <sz val="10"/>
        <rFont val="Noto Sans CJK SC"/>
        <family val="2"/>
      </rPr>
      <t xml:space="preserve">相同）；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＝非 </t>
    </r>
    <r>
      <rPr>
        <sz val="10"/>
        <rFont val="Arial"/>
        <family val="0"/>
        <charset val="1"/>
      </rPr>
      <t xml:space="preserve">GAAP </t>
    </r>
    <r>
      <rPr>
        <sz val="10"/>
        <rFont val="Noto Sans CJK SC"/>
        <family val="2"/>
      </rPr>
      <t xml:space="preserve">營業利益＋折舊（</t>
    </r>
    <r>
      <rPr>
        <sz val="10"/>
        <rFont val="Arial"/>
        <family val="0"/>
        <charset val="1"/>
      </rPr>
      <t xml:space="preserve">FY26 36.549</t>
    </r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28.926</t>
    </r>
    <r>
      <rPr>
        <sz val="10"/>
        <rFont val="Noto Sans CJK SC"/>
        <family val="2"/>
      </rPr>
      <t xml:space="preserve">＋</t>
    </r>
    <r>
      <rPr>
        <sz val="10"/>
        <rFont val="Arial"/>
        <family val="0"/>
        <charset val="1"/>
      </rPr>
      <t xml:space="preserve">7.623</t>
    </r>
    <r>
      <rPr>
        <sz val="10"/>
        <rFont val="Noto Sans CJK SC"/>
        <family val="2"/>
      </rPr>
      <t xml:space="preserve">）；</t>
    </r>
    <r>
      <rPr>
        <sz val="10"/>
        <rFont val="Arial"/>
        <family val="0"/>
        <charset val="1"/>
      </rPr>
      <t xml:space="preserve">EPS </t>
    </r>
    <r>
      <rPr>
        <sz val="10"/>
        <rFont val="Noto Sans CJK SC"/>
        <family val="2"/>
      </rPr>
      <t xml:space="preserve">為 </t>
    </r>
    <r>
      <rPr>
        <sz val="10"/>
        <rFont val="Arial"/>
        <family val="0"/>
        <charset val="1"/>
      </rPr>
      <t xml:space="preserve">GAAP </t>
    </r>
    <r>
      <rPr>
        <sz val="10"/>
        <rFont val="Noto Sans CJK SC"/>
        <family val="2"/>
      </rPr>
      <t xml:space="preserve">口徑（</t>
    </r>
    <r>
      <rPr>
        <sz val="10"/>
        <rFont val="Arial"/>
        <family val="0"/>
        <charset val="1"/>
      </rPr>
      <t xml:space="preserve">FY26 </t>
    </r>
    <r>
      <rPr>
        <sz val="10"/>
        <rFont val="Noto Sans CJK SC"/>
        <family val="2"/>
      </rPr>
      <t xml:space="preserve">實際 </t>
    </r>
    <r>
      <rPr>
        <sz val="10"/>
        <rFont val="Arial"/>
        <family val="0"/>
        <charset val="1"/>
      </rPr>
      <t xml:space="preserve">5.83</t>
    </r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GAAP </t>
    </r>
    <r>
      <rPr>
        <sz val="10"/>
        <rFont val="Noto Sans CJK SC"/>
        <family val="2"/>
      </rPr>
      <t xml:space="preserve">稀釋 </t>
    </r>
    <r>
      <rPr>
        <sz val="10"/>
        <rFont val="Arial"/>
        <family val="0"/>
        <charset val="1"/>
      </rPr>
      <t xml:space="preserve">EPS</t>
    </r>
    <r>
      <rPr>
        <sz val="10"/>
        <rFont val="Noto Sans CJK SC"/>
        <family val="2"/>
      </rPr>
      <t xml:space="preserve">）；淨負債是否含租賃負債未揭露（</t>
    </r>
    <r>
      <rPr>
        <sz val="10"/>
        <rFont val="Arial"/>
        <family val="0"/>
        <charset val="1"/>
      </rPr>
      <t xml:space="preserve">FY26 </t>
    </r>
    <r>
      <rPr>
        <sz val="10"/>
        <rFont val="Noto Sans CJK SC"/>
        <family val="2"/>
      </rPr>
      <t xml:space="preserve">實際 </t>
    </r>
    <r>
      <rPr>
        <sz val="10"/>
        <rFont val="Arial"/>
        <family val="0"/>
        <charset val="1"/>
      </rPr>
      <t xml:space="preserve">97.647 ≈ </t>
    </r>
    <r>
      <rPr>
        <sz val="10"/>
        <rFont val="Noto Sans CJK SC"/>
        <family val="2"/>
      </rPr>
      <t xml:space="preserve">帳面借款 </t>
    </r>
    <r>
      <rPr>
        <sz val="10"/>
        <rFont val="Arial"/>
        <family val="0"/>
        <charset val="1"/>
      </rPr>
      <t xml:space="preserve">129.541 − </t>
    </r>
    <r>
      <rPr>
        <sz val="10"/>
        <rFont val="Noto Sans CJK SC"/>
        <family val="2"/>
      </rPr>
      <t xml:space="preserve">現金及有價證券 </t>
    </r>
    <r>
      <rPr>
        <sz val="10"/>
        <rFont val="Arial"/>
        <family val="0"/>
        <charset val="1"/>
      </rPr>
      <t xml:space="preserve">31.894</t>
    </r>
    <r>
      <rPr>
        <sz val="10"/>
        <rFont val="Noto Sans CJK SC"/>
        <family val="2"/>
      </rPr>
      <t xml:space="preserve">，即不含租賃）。</t>
    </r>
  </si>
  <si>
    <r>
      <rPr>
        <b val="true"/>
        <sz val="11"/>
        <color rgb="FFFFFFFF"/>
        <rFont val="Arial"/>
        <family val="0"/>
        <charset val="1"/>
      </rPr>
      <t xml:space="preserve">S&amp;P </t>
    </r>
    <r>
      <rPr>
        <b val="true"/>
        <sz val="11"/>
        <color rgb="FFFFFFFF"/>
        <rFont val="Noto Sans CJK SC"/>
        <family val="2"/>
      </rPr>
      <t xml:space="preserve">對照（經 </t>
    </r>
    <r>
      <rPr>
        <b val="true"/>
        <sz val="11"/>
        <color rgb="FFFFFFFF"/>
        <rFont val="Arial"/>
        <family val="0"/>
        <charset val="1"/>
      </rPr>
      <t xml:space="preserve">StockAnalysis.com</t>
    </r>
    <r>
      <rPr>
        <b val="true"/>
        <sz val="11"/>
        <color rgb="FFFFFFFF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</si>
  <si>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共識｜</t>
    </r>
    <r>
      <rPr>
        <sz val="10"/>
        <rFont val="Arial"/>
        <family val="0"/>
        <charset val="1"/>
      </rPr>
      <t xml:space="preserve">S&amp;P </t>
    </r>
    <r>
      <rPr>
        <sz val="10"/>
        <rFont val="Noto Sans CJK SC"/>
        <family val="2"/>
      </rPr>
      <t xml:space="preserve">對照｜營收（</t>
    </r>
    <r>
      <rPr>
        <sz val="10"/>
        <rFont val="Arial"/>
        <family val="0"/>
        <charset val="1"/>
      </rPr>
      <t xml:space="preserve">FY27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</si>
  <si>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共識｜</t>
    </r>
    <r>
      <rPr>
        <sz val="10"/>
        <rFont val="Arial"/>
        <family val="0"/>
        <charset val="1"/>
      </rPr>
      <t xml:space="preserve">S&amp;P </t>
    </r>
    <r>
      <rPr>
        <sz val="10"/>
        <rFont val="Noto Sans CJK SC"/>
        <family val="2"/>
      </rPr>
      <t xml:space="preserve">對照｜調整後 </t>
    </r>
    <r>
      <rPr>
        <sz val="10"/>
        <rFont val="Arial"/>
        <family val="0"/>
        <charset val="1"/>
      </rPr>
      <t xml:space="preserve">EPS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FY27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</si>
  <si>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S&amp;P </t>
    </r>
    <r>
      <rPr>
        <sz val="9"/>
        <color rgb="FF595959"/>
        <rFont val="Noto Sans CJK SC"/>
        <family val="2"/>
      </rPr>
      <t xml:space="preserve">經 </t>
    </r>
    <r>
      <rPr>
        <sz val="9"/>
        <color rgb="FF595959"/>
        <rFont val="Arial"/>
        <family val="0"/>
        <charset val="1"/>
      </rPr>
      <t xml:space="preserve">StockAnalysis </t>
    </r>
    <r>
      <rPr>
        <sz val="9"/>
        <color rgb="FF595959"/>
        <rFont val="Noto Sans CJK SC"/>
        <family val="2"/>
      </rPr>
      <t xml:space="preserve">免費只提供 </t>
    </r>
    <r>
      <rPr>
        <sz val="9"/>
        <color rgb="FF595959"/>
        <rFont val="Arial"/>
        <family val="0"/>
        <charset val="1"/>
      </rPr>
      <t xml:space="preserve">FY27 </t>
    </r>
    <r>
      <rPr>
        <sz val="9"/>
        <color rgb="FF595959"/>
        <rFont val="Noto Sans CJK SC"/>
        <family val="2"/>
      </rPr>
      <t xml:space="preserve">營收與 </t>
    </r>
    <r>
      <rPr>
        <sz val="9"/>
        <color rgb="FF595959"/>
        <rFont val="Arial"/>
        <family val="0"/>
        <charset val="1"/>
      </rPr>
      <t xml:space="preserve">EPS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EPS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non-GAAP </t>
    </r>
    <r>
      <rPr>
        <sz val="9"/>
        <color rgb="FF595959"/>
        <rFont val="Noto Sans CJK SC"/>
        <family val="2"/>
      </rPr>
      <t xml:space="preserve">調整後口徑，與上表 </t>
    </r>
    <r>
      <rPr>
        <sz val="9"/>
        <color rgb="FF595959"/>
        <rFont val="Arial"/>
        <family val="0"/>
        <charset val="1"/>
      </rPr>
      <t xml:space="preserve">GAAP EPS </t>
    </r>
    <r>
      <rPr>
        <sz val="9"/>
        <color rgb="FF595959"/>
        <rFont val="Noto Sans CJK SC"/>
        <family val="2"/>
      </rPr>
      <t xml:space="preserve">不同，不可混用）；</t>
    </r>
    <r>
      <rPr>
        <sz val="9"/>
        <color rgb="FF595959"/>
        <rFont val="Arial"/>
        <family val="0"/>
        <charset val="1"/>
      </rPr>
      <t xml:space="preserve">FY28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FY29 </t>
    </r>
    <r>
      <rPr>
        <sz val="9"/>
        <color rgb="FF595959"/>
        <rFont val="Noto Sans CJK SC"/>
        <family val="2"/>
      </rPr>
      <t xml:space="preserve">需付費。</t>
    </r>
    <r>
      <rPr>
        <sz val="9"/>
        <color rgb="FF595959"/>
        <rFont val="Arial"/>
        <family val="0"/>
        <charset val="1"/>
      </rPr>
      <t xml:space="preserve">LSEG </t>
    </r>
    <r>
      <rPr>
        <sz val="9"/>
        <color rgb="FF595959"/>
        <rFont val="Noto Sans CJK SC"/>
        <family val="2"/>
      </rPr>
      <t xml:space="preserve">經 </t>
    </r>
    <r>
      <rPr>
        <sz val="9"/>
        <color rgb="FF595959"/>
        <rFont val="Arial"/>
        <family val="0"/>
        <charset val="1"/>
      </rPr>
      <t xml:space="preserve">Yahoo </t>
    </r>
    <r>
      <rPr>
        <sz val="9"/>
        <color rgb="FF595959"/>
        <rFont val="Noto Sans CJK SC"/>
        <family val="2"/>
      </rPr>
      <t xml:space="preserve">提供 </t>
    </r>
    <r>
      <rPr>
        <sz val="9"/>
        <color rgb="FF595959"/>
        <rFont val="Arial"/>
        <family val="0"/>
        <charset val="1"/>
      </rPr>
      <t xml:space="preserve">FY27–FY28</t>
    </r>
    <r>
      <rPr>
        <sz val="9"/>
        <color rgb="FF595959"/>
        <rFont val="Noto Sans CJK SC"/>
        <family val="2"/>
      </rPr>
      <t xml:space="preserve">（獨立來源）。</t>
    </r>
  </si>
  <si>
    <r>
      <rPr>
        <b val="true"/>
        <sz val="11"/>
        <color rgb="FFFFFFFF"/>
        <rFont val="Noto Sans CJK SC"/>
        <family val="2"/>
      </rPr>
      <t xml:space="preserve">季度共識（</t>
    </r>
    <r>
      <rPr>
        <b val="true"/>
        <sz val="11"/>
        <color rgb="FFFFFFFF"/>
        <rFont val="Arial"/>
        <family val="0"/>
        <charset val="1"/>
      </rPr>
      <t xml:space="preserve">FY27Q2</t>
    </r>
    <r>
      <rPr>
        <b val="true"/>
        <sz val="11"/>
        <color rgb="FFFFFFFF"/>
        <rFont val="Noto Sans CJK SC"/>
        <family val="2"/>
      </rPr>
      <t xml:space="preserve">／</t>
    </r>
    <r>
      <rPr>
        <b val="true"/>
        <sz val="11"/>
        <color rgb="FFFFFFFF"/>
        <rFont val="Arial"/>
        <family val="0"/>
        <charset val="1"/>
      </rPr>
      <t xml:space="preserve">FY27Q3</t>
    </r>
    <r>
      <rPr>
        <b val="true"/>
        <sz val="11"/>
        <color rgb="FFFFFFFF"/>
        <rFont val="Noto Sans CJK SC"/>
        <family val="2"/>
      </rPr>
      <t xml:space="preserve">）</t>
    </r>
  </si>
  <si>
    <t xml:space="preserve">共識｜季度｜營收</t>
  </si>
  <si>
    <r>
      <rPr>
        <sz val="10"/>
        <rFont val="Noto Sans CJK SC"/>
        <family val="2"/>
      </rPr>
      <t xml:space="preserve">共識｜季度｜</t>
    </r>
    <r>
      <rPr>
        <sz val="10"/>
        <rFont val="Arial"/>
        <family val="0"/>
        <charset val="1"/>
      </rPr>
      <t xml:space="preserve">EBITDA</t>
    </r>
  </si>
  <si>
    <r>
      <rPr>
        <sz val="10"/>
        <rFont val="Noto Sans CJK SC"/>
        <family val="2"/>
      </rPr>
      <t xml:space="preserve">共識｜季度｜非 </t>
    </r>
    <r>
      <rPr>
        <sz val="10"/>
        <rFont val="Arial"/>
        <family val="0"/>
        <charset val="1"/>
      </rPr>
      <t xml:space="preserve">GAAP </t>
    </r>
    <r>
      <rPr>
        <sz val="10"/>
        <rFont val="Noto Sans CJK SC"/>
        <family val="2"/>
      </rPr>
      <t xml:space="preserve">營業利益</t>
    </r>
  </si>
  <si>
    <t xml:space="preserve">共識｜季度｜淨利</t>
  </si>
  <si>
    <t xml:space="preserve">共識｜季度｜說明</t>
  </si>
  <si>
    <r>
      <rPr>
        <sz val="10"/>
        <rFont val="Arial"/>
        <family val="0"/>
        <charset val="1"/>
      </rPr>
      <t xml:space="preserve">Q2 FY27</t>
    </r>
    <r>
      <rPr>
        <sz val="10"/>
        <rFont val="Noto Sans CJK SC"/>
        <family val="2"/>
      </rPr>
      <t xml:space="preserve">（季末 </t>
    </r>
    <r>
      <rPr>
        <sz val="10"/>
        <rFont val="Arial"/>
        <family val="0"/>
        <charset val="1"/>
      </rPr>
      <t xml:space="preserve">2026-11-30</t>
    </r>
    <r>
      <rPr>
        <sz val="10"/>
        <rFont val="Noto Sans CJK SC"/>
        <family val="2"/>
      </rPr>
      <t xml:space="preserve">）共識營收 </t>
    </r>
    <r>
      <rPr>
        <sz val="10"/>
        <rFont val="Arial"/>
        <family val="0"/>
        <charset val="1"/>
      </rPr>
      <t xml:space="preserve">21.322 </t>
    </r>
    <r>
      <rPr>
        <sz val="10"/>
        <rFont val="Noto Sans CJK SC"/>
        <family val="2"/>
      </rPr>
      <t xml:space="preserve">＝ 去年同季 </t>
    </r>
    <r>
      <rPr>
        <sz val="10"/>
        <rFont val="Arial"/>
        <family val="0"/>
        <charset val="1"/>
      </rPr>
      <t xml:space="preserve">16.058 × 1.328</t>
    </r>
    <r>
      <rPr>
        <sz val="10"/>
        <rFont val="Noto Sans CJK SC"/>
        <family val="2"/>
      </rPr>
      <t xml:space="preserve">，落在公司指引年增 </t>
    </r>
    <r>
      <rPr>
        <sz val="10"/>
        <rFont val="Arial"/>
        <family val="0"/>
        <charset val="1"/>
      </rPr>
      <t xml:space="preserve">30%–34%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20.875–21.518</t>
    </r>
    <r>
      <rPr>
        <sz val="10"/>
        <rFont val="Noto Sans CJK SC"/>
        <family val="2"/>
      </rPr>
      <t xml:space="preserve">）區間內</t>
    </r>
  </si>
  <si>
    <t xml:space="preserve">公司指引（管理層預估）</t>
  </si>
  <si>
    <r>
      <rPr>
        <sz val="10"/>
        <rFont val="Noto Sans CJK SC"/>
        <family val="2"/>
      </rPr>
      <t xml:space="preserve">共識｜公司指引｜</t>
    </r>
    <r>
      <rPr>
        <sz val="10"/>
        <rFont val="Arial"/>
        <family val="0"/>
        <charset val="1"/>
      </rPr>
      <t xml:space="preserve">FY27 </t>
    </r>
    <r>
      <rPr>
        <sz val="10"/>
        <rFont val="Noto Sans CJK SC"/>
        <family val="2"/>
      </rPr>
      <t xml:space="preserve">營收（下限）</t>
    </r>
  </si>
  <si>
    <t xml:space="preserve">未列</t>
  </si>
  <si>
    <r>
      <rPr>
        <sz val="9"/>
        <color rgb="FF595959"/>
        <rFont val="Arial"/>
        <family val="0"/>
        <charset val="1"/>
      </rPr>
      <t xml:space="preserve">Q1 FY27 </t>
    </r>
    <r>
      <rPr>
        <sz val="9"/>
        <color rgb="FF595959"/>
        <rFont val="Noto Sans CJK SC"/>
        <family val="2"/>
      </rPr>
      <t xml:space="preserve">財報新聞稿（</t>
    </r>
    <r>
      <rPr>
        <sz val="9"/>
        <color rgb="FF595959"/>
        <rFont val="Arial"/>
        <family val="0"/>
        <charset val="1"/>
      </rPr>
      <t xml:space="preserve">8-K </t>
    </r>
    <r>
      <rPr>
        <sz val="9"/>
        <color rgb="FF595959"/>
        <rFont val="Noto Sans CJK SC"/>
        <family val="2"/>
      </rPr>
      <t xml:space="preserve">附件 </t>
    </r>
    <r>
      <rPr>
        <sz val="9"/>
        <color rgb="FF595959"/>
        <rFont val="Arial"/>
        <family val="0"/>
        <charset val="1"/>
      </rPr>
      <t xml:space="preserve">99.1</t>
    </r>
    <r>
      <rPr>
        <sz val="9"/>
        <color rgb="FF595959"/>
        <rFont val="Noto Sans CJK SC"/>
        <family val="2"/>
      </rPr>
      <t xml:space="preserve">）；資本支出與淨現金資本支出為法說會口述（二手逐字稿），融資額為 </t>
    </r>
    <r>
      <rPr>
        <sz val="9"/>
        <color rgb="FF595959"/>
        <rFont val="Arial"/>
        <family val="0"/>
        <charset val="1"/>
      </rPr>
      <t xml:space="preserve">Q4 FY26 </t>
    </r>
    <r>
      <rPr>
        <sz val="9"/>
        <color rgb="FF595959"/>
        <rFont val="Noto Sans CJK SC"/>
        <family val="2"/>
      </rPr>
      <t xml:space="preserve">新聞稿與簡報｜</t>
    </r>
    <r>
      <rPr>
        <sz val="9"/>
        <color rgb="FF595959"/>
        <rFont val="Arial"/>
        <family val="0"/>
        <charset val="1"/>
      </rPr>
      <t xml:space="preserve">https://www.sec.gov/Archives/edgar/data/1341439/000119312526387905/orcl-ex99_1.htm</t>
    </r>
  </si>
  <si>
    <r>
      <rPr>
        <sz val="10"/>
        <rFont val="Noto Sans CJK SC"/>
        <family val="2"/>
      </rPr>
      <t xml:space="preserve">共識｜公司指引｜</t>
    </r>
    <r>
      <rPr>
        <sz val="10"/>
        <rFont val="Arial"/>
        <family val="0"/>
        <charset val="1"/>
      </rPr>
      <t xml:space="preserve">FY27 CapEx</t>
    </r>
    <r>
      <rPr>
        <sz val="10"/>
        <rFont val="Noto Sans CJK SC"/>
        <family val="2"/>
      </rPr>
      <t xml:space="preserve">（低／高）</t>
    </r>
  </si>
  <si>
    <r>
      <rPr>
        <sz val="10"/>
        <rFont val="Noto Sans CJK SC"/>
        <family val="2"/>
      </rPr>
      <t xml:space="preserve">共識｜公司指引｜</t>
    </r>
    <r>
      <rPr>
        <sz val="10"/>
        <rFont val="Arial"/>
        <family val="0"/>
        <charset val="1"/>
      </rPr>
      <t xml:space="preserve">FY27 </t>
    </r>
    <r>
      <rPr>
        <sz val="10"/>
        <rFont val="Noto Sans CJK SC"/>
        <family val="2"/>
      </rPr>
      <t xml:space="preserve">淨現金 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（上限）</t>
    </r>
  </si>
  <si>
    <r>
      <rPr>
        <sz val="10"/>
        <rFont val="Noto Sans CJK SC"/>
        <family val="2"/>
      </rPr>
      <t xml:space="preserve">共識｜公司指引｜</t>
    </r>
    <r>
      <rPr>
        <sz val="10"/>
        <rFont val="Arial"/>
        <family val="0"/>
        <charset val="1"/>
      </rPr>
      <t xml:space="preserve">FY27 </t>
    </r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GAAP EPS</t>
    </r>
  </si>
  <si>
    <r>
      <rPr>
        <sz val="10"/>
        <rFont val="Noto Sans CJK SC"/>
        <family val="2"/>
      </rPr>
      <t xml:space="preserve">共識｜公司指引｜</t>
    </r>
    <r>
      <rPr>
        <sz val="10"/>
        <rFont val="Arial"/>
        <family val="0"/>
        <charset val="1"/>
      </rPr>
      <t xml:space="preserve">FY27 </t>
    </r>
    <r>
      <rPr>
        <sz val="10"/>
        <rFont val="Noto Sans CJK SC"/>
        <family val="2"/>
      </rPr>
      <t xml:space="preserve">資本市場融資</t>
    </r>
  </si>
  <si>
    <r>
      <rPr>
        <sz val="9"/>
        <color rgb="FF595959"/>
        <rFont val="Noto Sans CJK SC"/>
        <family val="2"/>
      </rPr>
      <t xml:space="preserve">公司指引屬利害關係人（管理層）預估；營收與 </t>
    </r>
    <r>
      <rPr>
        <sz val="9"/>
        <color rgb="FF595959"/>
        <rFont val="Arial"/>
        <family val="0"/>
        <charset val="1"/>
      </rPr>
      <t xml:space="preserve">EPS </t>
    </r>
    <r>
      <rPr>
        <sz val="9"/>
        <color rgb="FF595959"/>
        <rFont val="Noto Sans CJK SC"/>
        <family val="2"/>
      </rPr>
      <t xml:space="preserve">為新聞稿正式文字；</t>
    </r>
    <r>
      <rPr>
        <sz val="9"/>
        <color rgb="FF595959"/>
        <rFont val="Arial"/>
        <family val="0"/>
        <charset val="1"/>
      </rPr>
      <t xml:space="preserve">FY27 </t>
    </r>
    <r>
      <rPr>
        <sz val="9"/>
        <color rgb="FF595959"/>
        <rFont val="Noto Sans CJK SC"/>
        <family val="2"/>
      </rPr>
      <t xml:space="preserve">資本支出 </t>
    </r>
    <r>
      <rPr>
        <sz val="9"/>
        <color rgb="FF595959"/>
        <rFont val="Arial"/>
        <family val="0"/>
        <charset val="1"/>
      </rPr>
      <t xml:space="preserve">90–95 </t>
    </r>
    <r>
      <rPr>
        <sz val="9"/>
        <color rgb="FF595959"/>
        <rFont val="Noto Sans CJK SC"/>
        <family val="2"/>
      </rPr>
      <t xml:space="preserve">只見於法說（見事實總帳 </t>
    </r>
    <r>
      <rPr>
        <sz val="9"/>
        <color rgb="FF595959"/>
        <rFont val="Arial"/>
        <family val="0"/>
        <charset val="1"/>
      </rPr>
      <t xml:space="preserve">guide.fy27.capex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</si>
  <si>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1"/>
        <color rgb="FFFFFFFF"/>
        <rFont val="Noto Sans CJK SC"/>
        <family val="2"/>
      </rPr>
      <t xml:space="preserve">獨立對照（</t>
    </r>
    <r>
      <rPr>
        <b val="true"/>
        <sz val="11"/>
        <color rgb="FFFFFFFF"/>
        <rFont val="Arial"/>
        <family val="0"/>
        <charset val="1"/>
      </rPr>
      <t xml:space="preserve">LSEG</t>
    </r>
    <r>
      <rPr>
        <b val="true"/>
        <sz val="11"/>
        <color rgb="FFFFFFFF"/>
        <rFont val="Noto Sans CJK SC"/>
        <family val="2"/>
      </rPr>
      <t xml:space="preserve">（經 </t>
    </r>
    <r>
      <rPr>
        <b val="true"/>
        <sz val="11"/>
        <color rgb="FFFFFFFF"/>
        <rFont val="Arial"/>
        <family val="0"/>
        <charset val="1"/>
      </rPr>
      <t xml:space="preserve">Yahoo Finance</t>
    </r>
    <r>
      <rPr>
        <b val="true"/>
        <sz val="11"/>
        <color rgb="FFFFFFFF"/>
        <rFont val="Noto Sans CJK SC"/>
        <family val="2"/>
      </rPr>
      <t xml:space="preserve">））</t>
    </r>
  </si>
  <si>
    <r>
      <rPr>
        <sz val="10"/>
        <rFont val="Noto Sans CJK SC"/>
        <family val="2"/>
      </rPr>
      <t xml:space="preserve">共識｜</t>
    </r>
    <r>
      <rPr>
        <sz val="10"/>
        <rFont val="Arial"/>
        <family val="0"/>
        <charset val="1"/>
      </rPr>
      <t xml:space="preserve">LSEG</t>
    </r>
    <r>
      <rPr>
        <sz val="10"/>
        <rFont val="Noto Sans CJK SC"/>
        <family val="2"/>
      </rPr>
      <t xml:space="preserve">（經 </t>
    </r>
    <r>
      <rPr>
        <sz val="10"/>
        <rFont val="Arial"/>
        <family val="0"/>
        <charset val="1"/>
      </rPr>
      <t xml:space="preserve">Yahoo Finance</t>
    </r>
    <r>
      <rPr>
        <sz val="10"/>
        <rFont val="Noto Sans CJK SC"/>
        <family val="2"/>
      </rPr>
      <t xml:space="preserve">） 對照｜</t>
    </r>
    <r>
      <rPr>
        <sz val="10"/>
        <rFont val="Arial"/>
        <family val="0"/>
        <charset val="1"/>
      </rPr>
      <t xml:space="preserve">FY27 </t>
    </r>
    <r>
      <rPr>
        <sz val="10"/>
        <rFont val="Noto Sans CJK SC"/>
        <family val="2"/>
      </rPr>
      <t xml:space="preserve">營收</t>
    </r>
  </si>
  <si>
    <r>
      <rPr>
        <sz val="9"/>
        <color rgb="FF595959"/>
        <rFont val="Arial"/>
        <family val="0"/>
        <charset val="1"/>
      </rPr>
      <t xml:space="preserve">LSEG</t>
    </r>
    <r>
      <rPr>
        <sz val="9"/>
        <color rgb="FF595959"/>
        <rFont val="Noto Sans CJK SC"/>
        <family val="2"/>
      </rPr>
      <t xml:space="preserve">（經 </t>
    </r>
    <r>
      <rPr>
        <sz val="9"/>
        <color rgb="FF595959"/>
        <rFont val="Arial"/>
        <family val="0"/>
        <charset val="1"/>
      </rPr>
      <t xml:space="preserve">Yahoo Finance</t>
    </r>
    <r>
      <rPr>
        <sz val="9"/>
        <color rgb="FF595959"/>
        <rFont val="Noto Sans CJK SC"/>
        <family val="2"/>
      </rPr>
      <t xml:space="preserve">）（經 </t>
    </r>
    <r>
      <rPr>
        <sz val="9"/>
        <color rgb="FF595959"/>
        <rFont val="Arial"/>
        <family val="0"/>
        <charset val="1"/>
      </rPr>
      <t xml:space="preserve">Yahoo Finance Analysis</t>
    </r>
    <r>
      <rPr>
        <sz val="9"/>
        <color rgb="FF595959"/>
        <rFont val="Noto Sans CJK SC"/>
        <family val="2"/>
      </rPr>
      <t xml:space="preserve">）｜</t>
    </r>
    <r>
      <rPr>
        <sz val="9"/>
        <color rgb="FF595959"/>
        <rFont val="Arial"/>
        <family val="0"/>
        <charset val="1"/>
      </rPr>
      <t xml:space="preserve">https://finance.yahoo.com/quote/ORCL/analysis/</t>
    </r>
  </si>
  <si>
    <r>
      <rPr>
        <sz val="10"/>
        <rFont val="Noto Sans CJK SC"/>
        <family val="2"/>
      </rPr>
      <t xml:space="preserve">共識｜</t>
    </r>
    <r>
      <rPr>
        <sz val="10"/>
        <rFont val="Arial"/>
        <family val="0"/>
        <charset val="1"/>
      </rPr>
      <t xml:space="preserve">LSEG</t>
    </r>
    <r>
      <rPr>
        <sz val="10"/>
        <rFont val="Noto Sans CJK SC"/>
        <family val="2"/>
      </rPr>
      <t xml:space="preserve">（經 </t>
    </r>
    <r>
      <rPr>
        <sz val="10"/>
        <rFont val="Arial"/>
        <family val="0"/>
        <charset val="1"/>
      </rPr>
      <t xml:space="preserve">Yahoo Finance</t>
    </r>
    <r>
      <rPr>
        <sz val="10"/>
        <rFont val="Noto Sans CJK SC"/>
        <family val="2"/>
      </rPr>
      <t xml:space="preserve">） 對照｜</t>
    </r>
    <r>
      <rPr>
        <sz val="10"/>
        <rFont val="Arial"/>
        <family val="0"/>
        <charset val="1"/>
      </rPr>
      <t xml:space="preserve">FY28 </t>
    </r>
    <r>
      <rPr>
        <sz val="10"/>
        <rFont val="Noto Sans CJK SC"/>
        <family val="2"/>
      </rPr>
      <t xml:space="preserve">營收</t>
    </r>
  </si>
  <si>
    <r>
      <rPr>
        <sz val="10"/>
        <rFont val="Noto Sans CJK SC"/>
        <family val="2"/>
      </rPr>
      <t xml:space="preserve">共識｜</t>
    </r>
    <r>
      <rPr>
        <sz val="10"/>
        <rFont val="Arial"/>
        <family val="0"/>
        <charset val="1"/>
      </rPr>
      <t xml:space="preserve">LSEG</t>
    </r>
    <r>
      <rPr>
        <sz val="10"/>
        <rFont val="Noto Sans CJK SC"/>
        <family val="2"/>
      </rPr>
      <t xml:space="preserve">（經 </t>
    </r>
    <r>
      <rPr>
        <sz val="10"/>
        <rFont val="Arial"/>
        <family val="0"/>
        <charset val="1"/>
      </rPr>
      <t xml:space="preserve">Yahoo Finance</t>
    </r>
    <r>
      <rPr>
        <sz val="10"/>
        <rFont val="Noto Sans CJK SC"/>
        <family val="2"/>
      </rPr>
      <t xml:space="preserve">） 對照｜</t>
    </r>
    <r>
      <rPr>
        <sz val="10"/>
        <rFont val="Arial"/>
        <family val="0"/>
        <charset val="1"/>
      </rPr>
      <t xml:space="preserve">FY27 </t>
    </r>
    <r>
      <rPr>
        <sz val="10"/>
        <rFont val="Noto Sans CJK SC"/>
        <family val="2"/>
      </rPr>
      <t xml:space="preserve">調整後 </t>
    </r>
    <r>
      <rPr>
        <sz val="10"/>
        <rFont val="Arial"/>
        <family val="0"/>
        <charset val="1"/>
      </rPr>
      <t xml:space="preserve">EPS</t>
    </r>
  </si>
  <si>
    <r>
      <rPr>
        <sz val="10"/>
        <rFont val="Noto Sans CJK SC"/>
        <family val="2"/>
      </rPr>
      <t xml:space="preserve">共識｜</t>
    </r>
    <r>
      <rPr>
        <sz val="10"/>
        <rFont val="Arial"/>
        <family val="0"/>
        <charset val="1"/>
      </rPr>
      <t xml:space="preserve">LSEG</t>
    </r>
    <r>
      <rPr>
        <sz val="10"/>
        <rFont val="Noto Sans CJK SC"/>
        <family val="2"/>
      </rPr>
      <t xml:space="preserve">（經 </t>
    </r>
    <r>
      <rPr>
        <sz val="10"/>
        <rFont val="Arial"/>
        <family val="0"/>
        <charset val="1"/>
      </rPr>
      <t xml:space="preserve">Yahoo Finance</t>
    </r>
    <r>
      <rPr>
        <sz val="10"/>
        <rFont val="Noto Sans CJK SC"/>
        <family val="2"/>
      </rPr>
      <t xml:space="preserve">） 對照｜</t>
    </r>
    <r>
      <rPr>
        <sz val="10"/>
        <rFont val="Arial"/>
        <family val="0"/>
        <charset val="1"/>
      </rPr>
      <t xml:space="preserve">FY28 </t>
    </r>
    <r>
      <rPr>
        <sz val="10"/>
        <rFont val="Noto Sans CJK SC"/>
        <family val="2"/>
      </rPr>
      <t xml:space="preserve">調整後 </t>
    </r>
    <r>
      <rPr>
        <sz val="10"/>
        <rFont val="Arial"/>
        <family val="0"/>
        <charset val="1"/>
      </rPr>
      <t xml:space="preserve">EPS</t>
    </r>
  </si>
  <si>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MarketScreener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S&amp;P </t>
    </r>
    <r>
      <rPr>
        <sz val="9"/>
        <color rgb="FF595959"/>
        <rFont val="Noto Sans CJK SC"/>
        <family val="2"/>
      </rPr>
      <t xml:space="preserve">系）</t>
    </r>
    <r>
      <rPr>
        <sz val="9"/>
        <color rgb="FF595959"/>
        <rFont val="Arial"/>
        <family val="0"/>
        <charset val="1"/>
      </rPr>
      <t xml:space="preserve">FY27 90.449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FY28 131.711 </t>
    </r>
    <r>
      <rPr>
        <sz val="9"/>
        <color rgb="FF595959"/>
        <rFont val="Noto Sans CJK SC"/>
        <family val="2"/>
      </rPr>
      <t xml:space="preserve">差異 </t>
    </r>
    <r>
      <rPr>
        <sz val="9"/>
        <color rgb="FF595959"/>
        <rFont val="Arial"/>
        <family val="0"/>
        <charset val="1"/>
      </rPr>
      <t xml:space="preserve">&lt;0.3%</t>
    </r>
    <r>
      <rPr>
        <sz val="9"/>
        <color rgb="FF595959"/>
        <rFont val="Noto Sans CJK SC"/>
        <family val="2"/>
      </rPr>
      <t xml:space="preserve">，兩個獨立供應商一致</t>
    </r>
  </si>
  <si>
    <t xml:space="preserve">最新分析師動作</t>
  </si>
  <si>
    <r>
      <rPr>
        <sz val="10"/>
        <rFont val="Noto Sans CJK SC"/>
        <family val="2"/>
      </rPr>
      <t xml:space="preserve">共識｜分析師動作｜</t>
    </r>
    <r>
      <rPr>
        <sz val="10"/>
        <rFont val="Arial"/>
        <family val="0"/>
        <charset val="1"/>
      </rPr>
      <t xml:space="preserve">2026-10-07 Yorkville Ives &amp; Co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Daniel Ives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</si>
  <si>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TipRanks</t>
    </r>
    <r>
      <rPr>
        <sz val="9"/>
        <color rgb="FF595959"/>
        <rFont val="Noto Sans CJK SC"/>
        <family val="2"/>
      </rPr>
      <t xml:space="preserve">（經 </t>
    </r>
    <r>
      <rPr>
        <sz val="9"/>
        <color rgb="FF595959"/>
        <rFont val="Arial"/>
        <family val="0"/>
        <charset val="1"/>
      </rPr>
      <t xml:space="preserve">StockAnalysis.com</t>
    </r>
    <r>
      <rPr>
        <sz val="9"/>
        <color rgb="FF595959"/>
        <rFont val="Noto Sans CJK SC"/>
        <family val="2"/>
      </rPr>
      <t xml:space="preserve">）｜</t>
    </r>
    <r>
      <rPr>
        <sz val="9"/>
        <color rgb="FF595959"/>
        <rFont val="Arial"/>
        <family val="0"/>
        <charset val="1"/>
      </rPr>
      <t xml:space="preserve">https://stockanalysis.com/stocks/orcl/forecast/</t>
    </r>
  </si>
  <si>
    <r>
      <rPr>
        <sz val="9"/>
        <color rgb="FF595959"/>
        <rFont val="Arial"/>
        <family val="0"/>
        <charset val="1"/>
      </rPr>
      <t xml:space="preserve">Hold</t>
    </r>
    <r>
      <rPr>
        <sz val="9"/>
        <color rgb="FF595959"/>
        <rFont val="Noto Sans CJK SC"/>
        <family val="2"/>
      </rPr>
      <t xml:space="preserve">（首次評等）</t>
    </r>
  </si>
  <si>
    <r>
      <rPr>
        <sz val="10"/>
        <rFont val="Noto Sans CJK SC"/>
        <family val="2"/>
      </rPr>
      <t xml:space="preserve">共識｜分析師動作｜</t>
    </r>
    <r>
      <rPr>
        <sz val="10"/>
        <rFont val="Arial"/>
        <family val="0"/>
        <charset val="1"/>
      </rPr>
      <t xml:space="preserve">2026-09-25 Bernstein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Mark Moerdler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</si>
  <si>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Buy</t>
    </r>
    <r>
      <rPr>
        <sz val="9"/>
        <color rgb="FF595959"/>
        <rFont val="Noto Sans CJK SC"/>
        <family val="2"/>
      </rPr>
      <t xml:space="preserve">（維持）</t>
    </r>
  </si>
  <si>
    <r>
      <rPr>
        <sz val="10"/>
        <rFont val="Noto Sans CJK SC"/>
        <family val="2"/>
      </rPr>
      <t xml:space="preserve">共識｜分析師動作｜</t>
    </r>
    <r>
      <rPr>
        <sz val="10"/>
        <rFont val="Arial"/>
        <family val="0"/>
        <charset val="1"/>
      </rPr>
      <t xml:space="preserve">2026-09-25 Stifel Nicolaus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Brad Reback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</si>
  <si>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共識｜分析師動作｜</t>
    </r>
    <r>
      <rPr>
        <sz val="10"/>
        <rFont val="Arial"/>
        <family val="0"/>
        <charset val="1"/>
      </rPr>
      <t xml:space="preserve">2026-09-24 Evercore ISI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Kirk Materne</t>
    </r>
    <r>
      <rPr>
        <sz val="10"/>
        <rFont val="Noto Sans CJK SC"/>
        <family val="2"/>
      </rPr>
      <t xml:space="preserve">）</t>
    </r>
  </si>
  <si>
    <t xml:space="preserve">目標價未列</t>
  </si>
  <si>
    <r>
      <rPr>
        <sz val="10"/>
        <rFont val="Noto Sans CJK SC"/>
        <family val="2"/>
      </rPr>
      <t xml:space="preserve">共識｜分析師動作｜</t>
    </r>
    <r>
      <rPr>
        <sz val="10"/>
        <rFont val="Arial"/>
        <family val="0"/>
        <charset val="1"/>
      </rPr>
      <t xml:space="preserve">2026-09-24 William Blair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Sebastien Naji</t>
    </r>
    <r>
      <rPr>
        <sz val="10"/>
        <rFont val="Noto Sans CJK SC"/>
        <family val="2"/>
      </rPr>
      <t xml:space="preserve">）</t>
    </r>
  </si>
  <si>
    <t xml:space="preserve">來源與限制</t>
  </si>
  <si>
    <t xml:space="preserve">共識｜來源獨立性</t>
  </si>
  <si>
    <r>
      <rPr>
        <sz val="10"/>
        <rFont val="Arial"/>
        <family val="0"/>
        <charset val="1"/>
      </rPr>
      <t xml:space="preserve">StockAnalysis.com </t>
    </r>
    <r>
      <rPr>
        <sz val="10"/>
        <rFont val="Noto Sans CJK SC"/>
        <family val="2"/>
      </rPr>
      <t xml:space="preserve">的目標價、評等、</t>
    </r>
    <r>
      <rPr>
        <sz val="10"/>
        <rFont val="Arial"/>
        <family val="0"/>
        <charset val="1"/>
      </rPr>
      <t xml:space="preserve">FY27 </t>
    </r>
    <r>
      <rPr>
        <sz val="10"/>
        <rFont val="Noto Sans CJK SC"/>
        <family val="2"/>
      </rPr>
      <t xml:space="preserve">營收與 </t>
    </r>
    <r>
      <rPr>
        <sz val="10"/>
        <rFont val="Arial"/>
        <family val="0"/>
        <charset val="1"/>
      </rPr>
      <t xml:space="preserve">EPS </t>
    </r>
    <r>
      <rPr>
        <sz val="10"/>
        <rFont val="Noto Sans CJK SC"/>
        <family val="2"/>
      </rPr>
      <t xml:space="preserve">引用 </t>
    </r>
    <r>
      <rPr>
        <sz val="10"/>
        <rFont val="Arial"/>
        <family val="0"/>
        <charset val="1"/>
      </rPr>
      <t xml:space="preserve">S&amp;P Global Market Intelligence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MarketScreener </t>
    </r>
    <r>
      <rPr>
        <sz val="10"/>
        <rFont val="Noto Sans CJK SC"/>
        <family val="2"/>
      </rPr>
      <t xml:space="preserve">的年度與季度預估一般亦屬 </t>
    </r>
    <r>
      <rPr>
        <sz val="10"/>
        <rFont val="Arial"/>
        <family val="0"/>
        <charset val="1"/>
      </rPr>
      <t xml:space="preserve">S&amp;P Capital IQ </t>
    </r>
    <r>
      <rPr>
        <sz val="10"/>
        <rFont val="Noto Sans CJK SC"/>
        <family val="2"/>
      </rPr>
      <t xml:space="preserve">系（與 </t>
    </r>
    <r>
      <rPr>
        <sz val="10"/>
        <rFont val="Arial"/>
        <family val="0"/>
        <charset val="1"/>
      </rPr>
      <t xml:space="preserve">CRWV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NBIS </t>
    </r>
    <r>
      <rPr>
        <sz val="10"/>
        <rFont val="Noto Sans CJK SC"/>
        <family val="2"/>
      </rPr>
      <t xml:space="preserve">共識檔同一判斷），</t>
    </r>
    <r>
      <rPr>
        <sz val="10"/>
        <rFont val="Arial"/>
        <family val="0"/>
        <charset val="1"/>
      </rPr>
      <t xml:space="preserve">FY27 </t>
    </r>
    <r>
      <rPr>
        <sz val="10"/>
        <rFont val="Noto Sans CJK SC"/>
        <family val="2"/>
      </rPr>
      <t xml:space="preserve">營收 </t>
    </r>
    <r>
      <rPr>
        <sz val="10"/>
        <rFont val="Arial"/>
        <family val="0"/>
        <charset val="1"/>
      </rPr>
      <t xml:space="preserve">90.45 </t>
    </r>
    <r>
      <rPr>
        <sz val="10"/>
        <rFont val="Noto Sans CJK SC"/>
        <family val="2"/>
      </rPr>
      <t xml:space="preserve">對 </t>
    </r>
    <r>
      <rPr>
        <sz val="10"/>
        <rFont val="Arial"/>
        <family val="0"/>
        <charset val="1"/>
      </rPr>
      <t xml:space="preserve">90.449 </t>
    </r>
    <r>
      <rPr>
        <sz val="10"/>
        <rFont val="Noto Sans CJK SC"/>
        <family val="2"/>
      </rPr>
      <t xml:space="preserve">幾乎相同，視為同一底層來源的兩個呈現，不算獨立交叉驗證。</t>
    </r>
    <r>
      <rPr>
        <sz val="10"/>
        <rFont val="Arial"/>
        <family val="0"/>
        <charset val="1"/>
      </rPr>
      <t xml:space="preserve">Yahoo Finance </t>
    </r>
    <r>
      <rPr>
        <sz val="10"/>
        <rFont val="Noto Sans CJK SC"/>
        <family val="2"/>
      </rPr>
      <t xml:space="preserve">的營收與 </t>
    </r>
    <r>
      <rPr>
        <sz val="10"/>
        <rFont val="Arial"/>
        <family val="0"/>
        <charset val="1"/>
      </rPr>
      <t xml:space="preserve">EPS </t>
    </r>
    <r>
      <rPr>
        <sz val="10"/>
        <rFont val="Noto Sans CJK SC"/>
        <family val="2"/>
      </rPr>
      <t xml:space="preserve">預估來自 </t>
    </r>
    <r>
      <rPr>
        <sz val="10"/>
        <rFont val="Arial"/>
        <family val="0"/>
        <charset val="1"/>
      </rPr>
      <t xml:space="preserve">LSEG</t>
    </r>
    <r>
      <rPr>
        <sz val="10"/>
        <rFont val="Noto Sans CJK SC"/>
        <family val="2"/>
      </rPr>
      <t xml:space="preserve">（獨立於 </t>
    </r>
    <r>
      <rPr>
        <sz val="10"/>
        <rFont val="Arial"/>
        <family val="0"/>
        <charset val="1"/>
      </rPr>
      <t xml:space="preserve">S&amp;P</t>
    </r>
    <r>
      <rPr>
        <sz val="10"/>
        <rFont val="Noto Sans CJK SC"/>
        <family val="2"/>
      </rPr>
      <t xml:space="preserve">），</t>
    </r>
    <r>
      <rPr>
        <sz val="10"/>
        <rFont val="Arial"/>
        <family val="0"/>
        <charset val="1"/>
      </rPr>
      <t xml:space="preserve">FY27 </t>
    </r>
    <r>
      <rPr>
        <sz val="10"/>
        <rFont val="Noto Sans CJK SC"/>
        <family val="2"/>
      </rPr>
      <t xml:space="preserve">營收 </t>
    </r>
    <r>
      <rPr>
        <sz val="10"/>
        <rFont val="Arial"/>
        <family val="0"/>
        <charset val="1"/>
      </rPr>
      <t xml:space="preserve">90.48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FY28 131.45 </t>
    </r>
    <r>
      <rPr>
        <sz val="10"/>
        <rFont val="Noto Sans CJK SC"/>
        <family val="2"/>
      </rPr>
      <t xml:space="preserve">與 </t>
    </r>
    <r>
      <rPr>
        <sz val="10"/>
        <rFont val="Arial"/>
        <family val="0"/>
        <charset val="1"/>
      </rPr>
      <t xml:space="preserve">MarketScreener 90.449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131.711 </t>
    </r>
    <r>
      <rPr>
        <sz val="10"/>
        <rFont val="Noto Sans CJK SC"/>
        <family val="2"/>
      </rPr>
      <t xml:space="preserve">一致，可作 </t>
    </r>
    <r>
      <rPr>
        <sz val="10"/>
        <rFont val="Arial"/>
        <family val="0"/>
        <charset val="1"/>
      </rPr>
      <t xml:space="preserve">FY27–FY28 </t>
    </r>
    <r>
      <rPr>
        <sz val="10"/>
        <rFont val="Noto Sans CJK SC"/>
        <family val="2"/>
      </rPr>
      <t xml:space="preserve">營收的獨立交叉。</t>
    </r>
    <r>
      <rPr>
        <sz val="10"/>
        <rFont val="Arial"/>
        <family val="0"/>
        <charset val="1"/>
      </rPr>
      <t xml:space="preserve">MarketBeat </t>
    </r>
    <r>
      <rPr>
        <sz val="10"/>
        <rFont val="Noto Sans CJK SC"/>
        <family val="2"/>
      </rPr>
      <t xml:space="preserve">目標價與評等為自行彙整（獨立於 </t>
    </r>
    <r>
      <rPr>
        <sz val="10"/>
        <rFont val="Arial"/>
        <family val="0"/>
        <charset val="1"/>
      </rPr>
      <t xml:space="preserve">S&amp;P</t>
    </r>
    <r>
      <rPr>
        <sz val="10"/>
        <rFont val="Noto Sans CJK SC"/>
        <family val="2"/>
      </rPr>
      <t xml:space="preserve">），可作目標價的獨立交叉；</t>
    </r>
    <r>
      <rPr>
        <sz val="10"/>
        <rFont val="Arial"/>
        <family val="0"/>
        <charset val="1"/>
      </rPr>
      <t xml:space="preserve">Yahoo </t>
    </r>
    <r>
      <rPr>
        <sz val="10"/>
        <rFont val="Noto Sans CJK SC"/>
        <family val="2"/>
      </rPr>
      <t xml:space="preserve">目標價 </t>
    </r>
    <r>
      <rPr>
        <sz val="10"/>
        <rFont val="Arial"/>
        <family val="0"/>
        <charset val="1"/>
      </rPr>
      <t xml:space="preserve">237.97 </t>
    </r>
    <r>
      <rPr>
        <sz val="10"/>
        <rFont val="Noto Sans CJK SC"/>
        <family val="2"/>
      </rPr>
      <t xml:space="preserve">與 </t>
    </r>
    <r>
      <rPr>
        <sz val="10"/>
        <rFont val="Arial"/>
        <family val="0"/>
        <charset val="1"/>
      </rPr>
      <t xml:space="preserve">S&amp;P </t>
    </r>
    <r>
      <rPr>
        <sz val="10"/>
        <rFont val="Noto Sans CJK SC"/>
        <family val="2"/>
      </rPr>
      <t xml:space="preserve">完全相同，推測同源，不算獨立。</t>
    </r>
  </si>
  <si>
    <t xml:space="preserve">資料檔說明</t>
  </si>
  <si>
    <r>
      <rPr>
        <sz val="10"/>
        <rFont val="Noto Sans CJK SC"/>
        <family val="2"/>
      </rPr>
      <t xml:space="preserve">共識｜未取得｜</t>
    </r>
    <r>
      <rPr>
        <sz val="10"/>
        <rFont val="Arial"/>
        <family val="0"/>
        <charset val="1"/>
      </rPr>
      <t xml:space="preserve">1</t>
    </r>
  </si>
  <si>
    <r>
      <rPr>
        <sz val="10"/>
        <rFont val="Arial"/>
        <family val="0"/>
        <charset val="1"/>
      </rPr>
      <t xml:space="preserve">FY29 </t>
    </r>
    <r>
      <rPr>
        <sz val="10"/>
        <rFont val="Noto Sans CJK SC"/>
        <family val="2"/>
      </rPr>
      <t xml:space="preserve">營收與 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的第二個獨立來源（</t>
    </r>
    <r>
      <rPr>
        <sz val="10"/>
        <rFont val="Arial"/>
        <family val="0"/>
        <charset val="1"/>
      </rPr>
      <t xml:space="preserve">S&amp;P </t>
    </r>
    <r>
      <rPr>
        <sz val="10"/>
        <rFont val="Noto Sans CJK SC"/>
        <family val="2"/>
      </rPr>
      <t xml:space="preserve">經 </t>
    </r>
    <r>
      <rPr>
        <sz val="10"/>
        <rFont val="Arial"/>
        <family val="0"/>
        <charset val="1"/>
      </rPr>
      <t xml:space="preserve">StockAnalysis </t>
    </r>
    <r>
      <rPr>
        <sz val="10"/>
        <rFont val="Noto Sans CJK SC"/>
        <family val="2"/>
      </rPr>
      <t xml:space="preserve">需付費；</t>
    </r>
    <r>
      <rPr>
        <sz val="10"/>
        <rFont val="Arial"/>
        <family val="0"/>
        <charset val="1"/>
      </rPr>
      <t xml:space="preserve">LSEG </t>
    </r>
    <r>
      <rPr>
        <sz val="10"/>
        <rFont val="Noto Sans CJK SC"/>
        <family val="2"/>
      </rPr>
      <t xml:space="preserve">經 </t>
    </r>
    <r>
      <rPr>
        <sz val="10"/>
        <rFont val="Arial"/>
        <family val="0"/>
        <charset val="1"/>
      </rPr>
      <t xml:space="preserve">Yahoo </t>
    </r>
    <r>
      <rPr>
        <sz val="10"/>
        <rFont val="Noto Sans CJK SC"/>
        <family val="2"/>
      </rPr>
      <t xml:space="preserve">只到 </t>
    </r>
    <r>
      <rPr>
        <sz val="10"/>
        <rFont val="Arial"/>
        <family val="0"/>
        <charset val="1"/>
      </rPr>
      <t xml:space="preserve">FY28</t>
    </r>
    <r>
      <rPr>
        <sz val="10"/>
        <rFont val="Noto Sans CJK SC"/>
        <family val="2"/>
      </rPr>
      <t xml:space="preserve">）——「找不到」，非不存在</t>
    </r>
  </si>
  <si>
    <r>
      <rPr>
        <sz val="10"/>
        <rFont val="Noto Sans CJK SC"/>
        <family val="2"/>
      </rPr>
      <t xml:space="preserve">共識｜未取得｜</t>
    </r>
    <r>
      <rPr>
        <sz val="10"/>
        <rFont val="Arial"/>
        <family val="0"/>
        <charset val="1"/>
      </rPr>
      <t xml:space="preserve">2</t>
    </r>
  </si>
  <si>
    <r>
      <rPr>
        <sz val="10"/>
        <rFont val="Arial"/>
        <family val="0"/>
        <charset val="1"/>
      </rPr>
      <t xml:space="preserve">FY30 </t>
    </r>
    <r>
      <rPr>
        <sz val="10"/>
        <rFont val="Noto Sans CJK SC"/>
        <family val="2"/>
      </rPr>
      <t xml:space="preserve">以後共識：公開來源只到 </t>
    </r>
    <r>
      <rPr>
        <sz val="10"/>
        <rFont val="Arial"/>
        <family val="0"/>
        <charset val="1"/>
      </rPr>
      <t xml:space="preserve">FY29</t>
    </r>
  </si>
  <si>
    <r>
      <rPr>
        <sz val="10"/>
        <rFont val="Noto Sans CJK SC"/>
        <family val="2"/>
      </rPr>
      <t xml:space="preserve">共識｜未取得｜</t>
    </r>
    <r>
      <rPr>
        <sz val="10"/>
        <rFont val="Arial"/>
        <family val="0"/>
        <charset val="1"/>
      </rPr>
      <t xml:space="preserve">3</t>
    </r>
  </si>
  <si>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共識的高低區間：未公開</t>
    </r>
  </si>
  <si>
    <r>
      <rPr>
        <sz val="10"/>
        <rFont val="Noto Sans CJK SC"/>
        <family val="2"/>
      </rPr>
      <t xml:space="preserve">共識｜未取得｜</t>
    </r>
    <r>
      <rPr>
        <sz val="10"/>
        <rFont val="Arial"/>
        <family val="0"/>
        <charset val="1"/>
      </rPr>
      <t xml:space="preserve">4</t>
    </r>
  </si>
  <si>
    <r>
      <rPr>
        <sz val="10"/>
        <rFont val="Noto Sans CJK SC"/>
        <family val="2"/>
      </rPr>
      <t xml:space="preserve">目標價的時間分布（多少目標價是 </t>
    </r>
    <r>
      <rPr>
        <sz val="10"/>
        <rFont val="Arial"/>
        <family val="0"/>
        <charset val="1"/>
      </rPr>
      <t xml:space="preserve">Q1 FY27 </t>
    </r>
    <r>
      <rPr>
        <sz val="10"/>
        <rFont val="Noto Sans CJK SC"/>
        <family val="2"/>
      </rPr>
      <t xml:space="preserve">財報後更新）：未公開</t>
    </r>
  </si>
  <si>
    <r>
      <rPr>
        <sz val="10"/>
        <rFont val="Noto Sans CJK SC"/>
        <family val="2"/>
      </rPr>
      <t xml:space="preserve">判斷句門檻：與共識差距（營收、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</si>
  <si>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任一項差距絕對值超過此比例即視為分歧（</t>
    </r>
    <r>
      <rPr>
        <sz val="9"/>
        <color rgb="FF595959"/>
        <rFont val="Arial"/>
        <family val="0"/>
        <charset val="1"/>
      </rPr>
      <t xml:space="preserve">company.json → methodology.consensusGapTol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[Assumed]</t>
    </r>
  </si>
  <si>
    <t xml:space="preserve">差異原因門檻：利潤類利潤率差（百分點）</t>
  </si>
  <si>
    <r>
      <rPr>
        <sz val="9"/>
        <color rgb="FF595959"/>
        <rFont val="Noto Sans CJK SC"/>
        <family val="2"/>
      </rPr>
      <t xml:space="preserve">利潤類（調整後 </t>
    </r>
    <r>
      <rPr>
        <sz val="9"/>
        <color rgb="FF595959"/>
        <rFont val="Arial"/>
        <family val="0"/>
        <charset val="1"/>
      </rPr>
      <t xml:space="preserve">EBITDA</t>
    </r>
    <r>
      <rPr>
        <sz val="9"/>
        <color rgb="FF595959"/>
        <rFont val="Noto Sans CJK SC"/>
        <family val="2"/>
      </rPr>
      <t xml:space="preserve">、調整後營業利益）利潤率差超過此值須附差異原因；營收、</t>
    </r>
    <r>
      <rPr>
        <sz val="9"/>
        <color rgb="FF595959"/>
        <rFont val="Arial"/>
        <family val="0"/>
        <charset val="1"/>
      </rPr>
      <t xml:space="preserve">CapEx</t>
    </r>
    <r>
      <rPr>
        <sz val="9"/>
        <color rgb="FF595959"/>
        <rFont val="Noto Sans CJK SC"/>
        <family val="2"/>
      </rPr>
      <t xml:space="preserve">、淨負債、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用上一格（</t>
    </r>
    <r>
      <rPr>
        <sz val="9"/>
        <color rgb="FF595959"/>
        <rFont val="Arial"/>
        <family val="0"/>
        <charset val="1"/>
      </rPr>
      <t xml:space="preserve">company.json → methodology.profitMarginTolPt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</si>
  <si>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b val="true"/>
        <sz val="10"/>
        <rFont val="Arial"/>
        <family val="0"/>
        <charset val="1"/>
      </rPr>
      <t xml:space="preserve">J</t>
    </r>
    <r>
      <rPr>
        <b val="true"/>
        <sz val="10"/>
        <rFont val="Noto Sans CJK SC"/>
        <family val="2"/>
      </rPr>
      <t xml:space="preserve">｜季度追蹤：實際數、指引與拆分設定（</t>
    </r>
    <r>
      <rPr>
        <b val="true"/>
        <sz val="10"/>
        <rFont val="Arial"/>
        <family val="0"/>
        <charset val="1"/>
      </rPr>
      <t xml:space="preserve">company.json → quarterly</t>
    </r>
    <r>
      <rPr>
        <b val="true"/>
        <sz val="10"/>
        <rFont val="Noto Sans CJK SC"/>
        <family val="2"/>
      </rPr>
      <t xml:space="preserve">；實際數預設空白，財報公布後填入藍字格）</t>
    </r>
  </si>
  <si>
    <t xml:space="preserve">季度</t>
  </si>
  <si>
    <t xml:space="preserve">Q2 FY27</t>
  </si>
  <si>
    <t xml:space="preserve">Q3 FY27</t>
  </si>
  <si>
    <t xml:space="preserve">Q4 FY27</t>
  </si>
  <si>
    <t xml:space="preserve">Q1 FY28</t>
  </si>
  <si>
    <t xml:space="preserve">Q2 FY28</t>
  </si>
  <si>
    <t xml:space="preserve">Q3 FY28</t>
  </si>
  <si>
    <t xml:space="preserve">說明</t>
  </si>
  <si>
    <r>
      <rPr>
        <sz val="10"/>
        <rFont val="Noto Sans CJK SC"/>
        <family val="2"/>
      </rPr>
      <t xml:space="preserve">季度｜所屬期間（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2Q–4Q27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FY28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</si>
  <si>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由 </t>
    </r>
    <r>
      <rPr>
        <sz val="9"/>
        <color rgb="FF595959"/>
        <rFont val="Arial"/>
        <family val="0"/>
        <charset val="1"/>
      </rPr>
      <t xml:space="preserve">company.json </t>
    </r>
    <r>
      <rPr>
        <sz val="9"/>
        <color rgb="FF595959"/>
        <rFont val="Noto Sans CJK SC"/>
        <family val="2"/>
      </rPr>
      <t xml:space="preserve">設定；拆分公式依此建置（改動需重建）</t>
    </r>
  </si>
  <si>
    <r>
      <rPr>
        <sz val="10"/>
        <rFont val="Noto Sans CJK SC"/>
        <family val="2"/>
      </rPr>
      <t xml:space="preserve">季度｜焦點季（</t>
    </r>
    <r>
      <rPr>
        <sz val="10"/>
        <rFont val="Arial"/>
        <family val="0"/>
        <charset val="1"/>
      </rPr>
      <t xml:space="preserve">1–6</t>
    </r>
    <r>
      <rPr>
        <sz val="10"/>
        <rFont val="Noto Sans CJK SC"/>
        <family val="2"/>
      </rPr>
      <t xml:space="preserve">）</t>
    </r>
  </si>
  <si>
    <t xml:space="preserve">「季度追蹤」分頁第一屏與「摘要」驗證點顯示的季度；財報公布後改為下一季</t>
  </si>
  <si>
    <r>
      <rPr>
        <sz val="10"/>
        <rFont val="Noto Sans CJK SC"/>
        <family val="2"/>
      </rPr>
      <t xml:space="preserve">季度｜營收起點（</t>
    </r>
    <r>
      <rPr>
        <sz val="10"/>
        <rFont val="Arial"/>
        <family val="0"/>
        <charset val="1"/>
      </rPr>
      <t xml:space="preserve">Q1 FY27 </t>
    </r>
    <r>
      <rPr>
        <sz val="10"/>
        <rFont val="Noto Sans CJK SC"/>
        <family val="2"/>
      </rPr>
      <t xml:space="preserve">實際營收）</t>
    </r>
  </si>
  <si>
    <r>
      <rPr>
        <sz val="9"/>
        <color rgb="FF595959"/>
        <rFont val="Noto Sans CJK SC"/>
        <family val="2"/>
      </rPr>
      <t xml:space="preserve">營收拆分 </t>
    </r>
    <r>
      <rPr>
        <sz val="9"/>
        <color rgb="FF595959"/>
        <rFont val="Arial"/>
        <family val="0"/>
        <charset val="1"/>
      </rPr>
      <t xml:space="preserve">anchor </t>
    </r>
    <r>
      <rPr>
        <sz val="9"/>
        <color rgb="FF595959"/>
        <rFont val="Noto Sans CJK SC"/>
        <family val="2"/>
      </rPr>
      <t xml:space="preserve">用：從此值逐季線性爬升 </t>
    </r>
    <r>
      <rPr>
        <sz val="9"/>
        <color rgb="FF595959"/>
        <rFont val="Arial"/>
        <family val="0"/>
        <charset val="1"/>
      </rPr>
      <t xml:space="preserve">[Interested-party]</t>
    </r>
  </si>
  <si>
    <r>
      <rPr>
        <sz val="10"/>
        <rFont val="Noto Sans CJK SC"/>
        <family val="2"/>
      </rPr>
      <t xml:space="preserve">季度｜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起點（第 </t>
    </r>
    <r>
      <rPr>
        <sz val="10"/>
        <rFont val="Arial"/>
        <family val="0"/>
        <charset val="1"/>
      </rPr>
      <t xml:space="preserve">1 </t>
    </r>
    <r>
      <rPr>
        <sz val="10"/>
        <rFont val="Noto Sans CJK SC"/>
        <family val="2"/>
      </rPr>
      <t xml:space="preserve">期期初 </t>
    </r>
    <r>
      <rPr>
        <sz val="10"/>
        <rFont val="Arial"/>
        <family val="0"/>
        <charset val="1"/>
      </rPr>
      <t xml:space="preserve">Accepted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</si>
  <si>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評價日（</t>
    </r>
    <r>
      <rPr>
        <sz val="9"/>
        <color rgb="FF595959"/>
        <rFont val="Arial"/>
        <family val="0"/>
        <charset val="1"/>
      </rPr>
      <t xml:space="preserve">2026-08-31</t>
    </r>
    <r>
      <rPr>
        <sz val="9"/>
        <color rgb="FF595959"/>
        <rFont val="Noto Sans CJK SC"/>
        <family val="2"/>
      </rPr>
      <t xml:space="preserve">）已連網 </t>
    </r>
    <r>
      <rPr>
        <sz val="9"/>
        <color rgb="FF595959"/>
        <rFont val="Arial"/>
        <family val="0"/>
        <charset val="1"/>
      </rPr>
      <t xml:space="preserve">MW-IT </t>
    </r>
    <r>
      <rPr>
        <sz val="9"/>
        <color rgb="FF595959"/>
        <rFont val="Noto Sans CJK SC"/>
        <family val="2"/>
      </rPr>
      <t xml:space="preserve">未揭露：以 </t>
    </r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Noto Sans CJK SC"/>
        <family val="2"/>
      </rPr>
      <t xml:space="preserve">年底 </t>
    </r>
    <r>
      <rPr>
        <sz val="9"/>
        <color rgb="FF595959"/>
        <rFont val="Arial"/>
        <family val="0"/>
        <charset val="1"/>
      </rPr>
      <t xml:space="preserve">1,835 MW-IT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defaults.mwYearEnd</t>
    </r>
    <r>
      <rPr>
        <sz val="9"/>
        <color rgb="FF595959"/>
        <rFont val="Noto Sans CJK SC"/>
        <family val="2"/>
      </rPr>
      <t xml:space="preserve">）＋</t>
    </r>
    <r>
      <rPr>
        <sz val="9"/>
        <color rgb="FF595959"/>
        <rFont val="Arial"/>
        <family val="0"/>
        <charset val="1"/>
      </rPr>
      <t xml:space="preserve">Q1 </t>
    </r>
    <r>
      <rPr>
        <sz val="9"/>
        <color rgb="FF595959"/>
        <rFont val="Noto Sans CJK SC"/>
        <family val="2"/>
      </rPr>
      <t xml:space="preserve">交付 </t>
    </r>
    <r>
      <rPr>
        <sz val="9"/>
        <color rgb="FF595959"/>
        <rFont val="Arial"/>
        <family val="0"/>
        <charset val="1"/>
      </rPr>
      <t xml:space="preserve">850 MW ÷ 1.2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708 </t>
    </r>
    <r>
      <rPr>
        <sz val="9"/>
        <color rgb="FF595959"/>
        <rFont val="Noto Sans CJK SC"/>
        <family val="2"/>
      </rPr>
      <t xml:space="preserve">推得 </t>
    </r>
    <r>
      <rPr>
        <sz val="9"/>
        <color rgb="FF595959"/>
        <rFont val="Arial"/>
        <family val="0"/>
        <charset val="1"/>
      </rPr>
      <t xml:space="preserve">2,543 [Derived]</t>
    </r>
  </si>
  <si>
    <t xml:space="preserve">季度實際｜營收</t>
  </si>
  <si>
    <t xml:space="preserve">實際數（公司公布）；空白＝待公布</t>
  </si>
  <si>
    <r>
      <rPr>
        <sz val="10"/>
        <rFont val="Noto Sans CJK SC"/>
        <family val="2"/>
      </rPr>
      <t xml:space="preserve">季度實際｜調整後 </t>
    </r>
    <r>
      <rPr>
        <sz val="10"/>
        <rFont val="Arial"/>
        <family val="0"/>
        <charset val="1"/>
      </rPr>
      <t xml:space="preserve">EBITDA</t>
    </r>
  </si>
  <si>
    <t xml:space="preserve">季度實際｜調整後營業利益</t>
  </si>
  <si>
    <r>
      <rPr>
        <sz val="10"/>
        <rFont val="Noto Sans CJK SC"/>
        <family val="2"/>
      </rPr>
      <t xml:space="preserve">季度實際｜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（毛額）</t>
    </r>
  </si>
  <si>
    <r>
      <rPr>
        <sz val="10"/>
        <rFont val="Noto Sans CJK SC"/>
        <family val="2"/>
      </rPr>
      <t xml:space="preserve">季度實際｜季末已交付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（口徑不明）</t>
    </r>
  </si>
  <si>
    <t xml:space="preserve">季度實際｜來源</t>
  </si>
  <si>
    <t xml:space="preserve">季度實際｜日期</t>
  </si>
  <si>
    <t xml:space="preserve">季度實際｜標記</t>
  </si>
  <si>
    <t xml:space="preserve">季度指引｜營收（低）</t>
  </si>
  <si>
    <r>
      <rPr>
        <sz val="9"/>
        <color rgb="FF595959"/>
        <rFont val="Arial"/>
        <family val="0"/>
        <charset val="1"/>
      </rPr>
      <t xml:space="preserve">Q1 FY27 </t>
    </r>
    <r>
      <rPr>
        <sz val="9"/>
        <color rgb="FF595959"/>
        <rFont val="Noto Sans CJK SC"/>
        <family val="2"/>
      </rPr>
      <t xml:space="preserve">財報新聞稿：</t>
    </r>
    <r>
      <rPr>
        <sz val="9"/>
        <color rgb="FF595959"/>
        <rFont val="Arial"/>
        <family val="0"/>
        <charset val="1"/>
      </rPr>
      <t xml:space="preserve">Q2 </t>
    </r>
    <r>
      <rPr>
        <sz val="9"/>
        <color rgb="FF595959"/>
        <rFont val="Noto Sans CJK SC"/>
        <family val="2"/>
      </rPr>
      <t xml:space="preserve">營收年增 </t>
    </r>
    <r>
      <rPr>
        <sz val="9"/>
        <color rgb="FF595959"/>
        <rFont val="Arial"/>
        <family val="0"/>
        <charset val="1"/>
      </rPr>
      <t xml:space="preserve">30%–34%</t>
    </r>
    <r>
      <rPr>
        <sz val="9"/>
        <color rgb="FF595959"/>
        <rFont val="Noto Sans CJK SC"/>
        <family val="2"/>
      </rPr>
      <t xml:space="preserve">（美元）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去年同季 </t>
    </r>
    <r>
      <rPr>
        <sz val="9"/>
        <color rgb="FF595959"/>
        <rFont val="Arial"/>
        <family val="0"/>
        <charset val="1"/>
      </rPr>
      <t xml:space="preserve">16.058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20.875–21.518 [Derived] [Interested-party]</t>
    </r>
  </si>
  <si>
    <t xml:space="preserve">季度指引｜營收（高）</t>
  </si>
  <si>
    <r>
      <rPr>
        <sz val="10"/>
        <rFont val="Noto Sans CJK SC"/>
        <family val="2"/>
      </rPr>
      <t xml:space="preserve">期間指引｜</t>
    </r>
    <r>
      <rPr>
        <sz val="10"/>
        <rFont val="Arial"/>
        <family val="0"/>
        <charset val="1"/>
      </rPr>
      <t xml:space="preserve">2Q–4Q27 </t>
    </r>
    <r>
      <rPr>
        <sz val="10"/>
        <rFont val="Noto Sans CJK SC"/>
        <family val="2"/>
      </rPr>
      <t xml:space="preserve">營收（全年低／全年高／扣除 </t>
    </r>
    <r>
      <rPr>
        <sz val="10"/>
        <rFont val="Arial"/>
        <family val="0"/>
        <charset val="1"/>
      </rPr>
      <t xml:space="preserve">1Q </t>
    </r>
    <r>
      <rPr>
        <sz val="10"/>
        <rFont val="Noto Sans CJK SC"/>
        <family val="2"/>
      </rPr>
      <t xml:space="preserve">實際）</t>
    </r>
  </si>
  <si>
    <r>
      <rPr>
        <sz val="9"/>
        <color rgb="FF595959"/>
        <rFont val="Noto Sans CJK SC"/>
        <family val="2"/>
      </rPr>
      <t xml:space="preserve">全年指引 − </t>
    </r>
    <r>
      <rPr>
        <sz val="9"/>
        <color rgb="FF595959"/>
        <rFont val="Arial"/>
        <family val="0"/>
        <charset val="1"/>
      </rPr>
      <t xml:space="preserve">1Q </t>
    </r>
    <r>
      <rPr>
        <sz val="9"/>
        <color rgb="FF595959"/>
        <rFont val="Noto Sans CJK SC"/>
        <family val="2"/>
      </rPr>
      <t xml:space="preserve">實際＝</t>
    </r>
    <r>
      <rPr>
        <sz val="9"/>
        <color rgb="FF595959"/>
        <rFont val="Arial"/>
        <family val="0"/>
        <charset val="1"/>
      </rPr>
      <t xml:space="preserve">2Q–4Q </t>
    </r>
    <r>
      <rPr>
        <sz val="9"/>
        <color rgb="FF595959"/>
        <rFont val="Noto Sans CJK SC"/>
        <family val="2"/>
      </rPr>
      <t xml:space="preserve">隱含指引 </t>
    </r>
    <r>
      <rPr>
        <sz val="9"/>
        <color rgb="FF595959"/>
        <rFont val="Arial"/>
        <family val="0"/>
        <charset val="1"/>
      </rPr>
      <t xml:space="preserve">[Derived]</t>
    </r>
    <r>
      <rPr>
        <sz val="9"/>
        <color rgb="FF595959"/>
        <rFont val="Noto Sans CJK SC"/>
        <family val="2"/>
      </rPr>
      <t xml:space="preserve">；營收指引為下限（≥</t>
    </r>
    <r>
      <rPr>
        <sz val="9"/>
        <color rgb="FF595959"/>
        <rFont val="Arial"/>
        <family val="0"/>
        <charset val="1"/>
      </rPr>
      <t xml:space="preserve">90</t>
    </r>
    <r>
      <rPr>
        <sz val="9"/>
        <color rgb="FF595959"/>
        <rFont val="Noto Sans CJK SC"/>
        <family val="2"/>
      </rPr>
      <t xml:space="preserve">），以下限作比較基準；只用於判斷季度差距是否為「拆法」</t>
    </r>
  </si>
  <si>
    <r>
      <rPr>
        <sz val="10"/>
        <rFont val="Noto Sans CJK SC"/>
        <family val="2"/>
      </rPr>
      <t xml:space="preserve">期間指引｜</t>
    </r>
    <r>
      <rPr>
        <sz val="10"/>
        <rFont val="Arial"/>
        <family val="0"/>
        <charset val="1"/>
      </rPr>
      <t xml:space="preserve">2Q–4Q27 CapEx</t>
    </r>
    <r>
      <rPr>
        <sz val="10"/>
        <rFont val="Noto Sans CJK SC"/>
        <family val="2"/>
      </rPr>
      <t xml:space="preserve">（毛額）（全年低／全年高／扣除 </t>
    </r>
    <r>
      <rPr>
        <sz val="10"/>
        <rFont val="Arial"/>
        <family val="0"/>
        <charset val="1"/>
      </rPr>
      <t xml:space="preserve">1Q </t>
    </r>
    <r>
      <rPr>
        <sz val="10"/>
        <rFont val="Noto Sans CJK SC"/>
        <family val="2"/>
      </rPr>
      <t xml:space="preserve">實際）</t>
    </r>
  </si>
  <si>
    <t xml:space="preserve">支出與資金 — 五層支出、四層來源、現金橋</t>
  </si>
  <si>
    <r>
      <rPr>
        <sz val="9"/>
        <color rgb="FF595959"/>
        <rFont val="Arial"/>
        <family val="0"/>
        <charset val="1"/>
      </rPr>
      <t xml:space="preserve">FY27 </t>
    </r>
    <r>
      <rPr>
        <sz val="9"/>
        <color rgb="FF595959"/>
        <rFont val="Noto Sans CJK SC"/>
        <family val="2"/>
      </rPr>
      <t xml:space="preserve">欄＝</t>
    </r>
    <r>
      <rPr>
        <sz val="9"/>
        <color rgb="FF595959"/>
        <rFont val="Arial"/>
        <family val="0"/>
        <charset val="1"/>
      </rPr>
      <t xml:space="preserve">1Q </t>
    </r>
    <r>
      <rPr>
        <sz val="9"/>
        <color rgb="FF595959"/>
        <rFont val="Noto Sans CJK SC"/>
        <family val="2"/>
      </rPr>
      <t xml:space="preserve">實際（季報現金流量表口徑）＋第 </t>
    </r>
    <r>
      <rPr>
        <sz val="9"/>
        <color rgb="FF595959"/>
        <rFont val="Arial"/>
        <family val="0"/>
        <charset val="1"/>
      </rPr>
      <t xml:space="preserve">2–4 </t>
    </r>
    <r>
      <rPr>
        <sz val="9"/>
        <color rgb="FF595959"/>
        <rFont val="Noto Sans CJK SC"/>
        <family val="2"/>
      </rPr>
      <t xml:space="preserve">季模型；</t>
    </r>
    <r>
      <rPr>
        <sz val="9"/>
        <color rgb="FF595959"/>
        <rFont val="Arial"/>
        <family val="0"/>
        <charset val="1"/>
      </rPr>
      <t xml:space="preserve">FY28 </t>
    </r>
    <r>
      <rPr>
        <sz val="9"/>
        <color rgb="FF595959"/>
        <rFont val="Noto Sans CJK SC"/>
        <family val="2"/>
      </rPr>
      <t xml:space="preserve">以後為純模型。瀑布以「融資前現金」決定需求並直接由各支出列加總，因此沒有循環參照</t>
    </r>
  </si>
  <si>
    <t xml:space="preserve">公式／來源說明</t>
  </si>
  <si>
    <t xml:space="preserve">支出（五層）</t>
  </si>
  <si>
    <r>
      <rPr>
        <sz val="10"/>
        <rFont val="Noto Sans CJK SC"/>
        <family val="2"/>
      </rPr>
      <t xml:space="preserve">① 毛 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（認列，備忘）</t>
    </r>
  </si>
  <si>
    <r>
      <rPr>
        <sz val="9"/>
        <color rgb="FF595959"/>
        <rFont val="Arial"/>
        <family val="0"/>
        <charset val="1"/>
      </rPr>
      <t xml:space="preserve">FY27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1Q </t>
    </r>
    <r>
      <rPr>
        <sz val="9"/>
        <color rgb="FF595959"/>
        <rFont val="Noto Sans CJK SC"/>
        <family val="2"/>
      </rPr>
      <t xml:space="preserve">實際認列 </t>
    </r>
    <r>
      <rPr>
        <sz val="9"/>
        <color rgb="FF595959"/>
        <rFont val="Arial"/>
        <family val="0"/>
        <charset val="1"/>
      </rPr>
      <t xml:space="preserve">28.499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2Q–4Q </t>
    </r>
    <r>
      <rPr>
        <sz val="9"/>
        <color rgb="FF595959"/>
        <rFont val="Noto Sans CJK SC"/>
        <family val="2"/>
      </rPr>
      <t xml:space="preserve">模型；對照公司全年指引 </t>
    </r>
    <r>
      <rPr>
        <sz val="9"/>
        <color rgb="FF595959"/>
        <rFont val="Arial"/>
        <family val="0"/>
        <charset val="1"/>
      </rPr>
      <t xml:space="preserve">90–95</t>
    </r>
    <r>
      <rPr>
        <sz val="9"/>
        <color rgb="FF595959"/>
        <rFont val="Noto Sans CJK SC"/>
        <family val="2"/>
      </rPr>
      <t xml:space="preserve">。備忘列：用途合計採現金口徑，不用這一列</t>
    </r>
  </si>
  <si>
    <t xml:space="preserve">　客戶預付率</t>
  </si>
  <si>
    <r>
      <rPr>
        <sz val="10"/>
        <rFont val="Noto Sans CJK SC"/>
        <family val="2"/>
      </rPr>
      <t xml:space="preserve">　客戶預付金額（抵減，</t>
    </r>
    <r>
      <rPr>
        <sz val="10"/>
        <rFont val="Arial"/>
        <family val="0"/>
        <charset val="1"/>
      </rPr>
      <t xml:space="preserve">2Q–4Q </t>
    </r>
    <r>
      <rPr>
        <sz val="10"/>
        <rFont val="Noto Sans CJK SC"/>
        <family val="2"/>
      </rPr>
      <t xml:space="preserve">起）</t>
    </r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</si>
  <si>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Noto Sans CJK SC"/>
        <family val="2"/>
      </rPr>
      <t xml:space="preserve">成長型＋汰換 </t>
    </r>
    <r>
      <rPr>
        <sz val="9"/>
        <color rgb="FF595959"/>
        <rFont val="Arial"/>
        <family val="0"/>
        <charset val="1"/>
      </rPr>
      <t xml:space="preserve">CapEx)× </t>
    </r>
    <r>
      <rPr>
        <sz val="9"/>
        <color rgb="FF595959"/>
        <rFont val="Noto Sans CJK SC"/>
        <family val="2"/>
      </rPr>
      <t xml:space="preserve">預付比率（</t>
    </r>
    <r>
      <rPr>
        <sz val="9"/>
        <color rgb="FF595959"/>
        <rFont val="Arial"/>
        <family val="0"/>
        <charset val="1"/>
      </rPr>
      <t xml:space="preserve">v0.1c</t>
    </r>
    <r>
      <rPr>
        <sz val="9"/>
        <color rgb="FF595959"/>
        <rFont val="Noto Sans CJK SC"/>
        <family val="2"/>
      </rPr>
      <t xml:space="preserve">：汰換同樣適用覆蓋比）；</t>
    </r>
    <r>
      <rPr>
        <sz val="9"/>
        <color rgb="FF595959"/>
        <rFont val="Arial"/>
        <family val="0"/>
        <charset val="1"/>
      </rPr>
      <t xml:space="preserve">1Q </t>
    </r>
    <r>
      <rPr>
        <sz val="9"/>
        <color rgb="FF595959"/>
        <rFont val="Noto Sans CJK SC"/>
        <family val="2"/>
      </rPr>
      <t xml:space="preserve">的預付已含在實際 </t>
    </r>
    <r>
      <rPr>
        <sz val="9"/>
        <color rgb="FF595959"/>
        <rFont val="Arial"/>
        <family val="0"/>
        <charset val="1"/>
      </rPr>
      <t xml:space="preserve">CFO </t>
    </r>
    <r>
      <rPr>
        <sz val="9"/>
        <color rgb="FF595959"/>
        <rFont val="Noto Sans CJK SC"/>
        <family val="2"/>
      </rPr>
      <t xml:space="preserve">內，不重複計入</t>
    </r>
  </si>
  <si>
    <t xml:space="preserve">　合約負債期初（客戶預付餘額）</t>
  </si>
  <si>
    <r>
      <rPr>
        <sz val="9"/>
        <color rgb="FF595959"/>
        <rFont val="Arial"/>
        <family val="0"/>
        <charset val="1"/>
      </rPr>
      <t xml:space="preserve">FY27 </t>
    </r>
    <r>
      <rPr>
        <sz val="9"/>
        <color rgb="FF595959"/>
        <rFont val="Noto Sans CJK SC"/>
        <family val="2"/>
      </rPr>
      <t xml:space="preserve">期初＝</t>
    </r>
    <r>
      <rPr>
        <sz val="9"/>
        <color rgb="FF595959"/>
        <rFont val="Arial"/>
        <family val="0"/>
        <charset val="1"/>
      </rPr>
      <t xml:space="preserve">8/31 </t>
    </r>
    <r>
      <rPr>
        <sz val="9"/>
        <color rgb="FF595959"/>
        <rFont val="Noto Sans CJK SC"/>
        <family val="2"/>
      </rPr>
      <t xml:space="preserve">季報遞延營收</t>
    </r>
  </si>
  <si>
    <t xml:space="preserve">　合約負債利息累積（重大財務組成，非現金）</t>
  </si>
  <si>
    <r>
      <rPr>
        <sz val="9"/>
        <color rgb="FF595959"/>
        <rFont val="Noto Sans CJK SC"/>
        <family val="2"/>
      </rPr>
      <t xml:space="preserve">＝隱含利率 </t>
    </r>
    <r>
      <rPr>
        <sz val="9"/>
        <color rgb="FF595959"/>
        <rFont val="Arial"/>
        <family val="0"/>
        <charset val="1"/>
      </rPr>
      <t xml:space="preserve">×(</t>
    </r>
    <r>
      <rPr>
        <sz val="9"/>
        <color rgb="FF595959"/>
        <rFont val="Noto Sans CJK SC"/>
        <family val="2"/>
      </rPr>
      <t xml:space="preserve">期初合約負債＋本期預付流入 </t>
    </r>
    <r>
      <rPr>
        <sz val="9"/>
        <color rgb="FF595959"/>
        <rFont val="Arial"/>
        <family val="0"/>
        <charset val="1"/>
      </rPr>
      <t xml:space="preserve">× ½)× </t>
    </r>
    <r>
      <rPr>
        <sz val="9"/>
        <color rgb="FF595959"/>
        <rFont val="Noto Sans CJK SC"/>
        <family val="2"/>
      </rPr>
      <t xml:space="preserve">期間長度；進損益利息、不進現金（</t>
    </r>
    <r>
      <rPr>
        <sz val="9"/>
        <color rgb="FF595959"/>
        <rFont val="Arial"/>
        <family val="0"/>
        <charset val="1"/>
      </rPr>
      <t xml:space="preserve">v0.1b</t>
    </r>
    <r>
      <rPr>
        <sz val="9"/>
        <color rgb="FF595959"/>
        <rFont val="Noto Sans CJK SC"/>
        <family val="2"/>
      </rPr>
      <t xml:space="preserve">）</t>
    </r>
  </si>
  <si>
    <t xml:space="preserve">　預付認列（非現金營收）</t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</si>
  <si>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Noto Sans CJK SC"/>
        <family val="2"/>
      </rPr>
      <t xml:space="preserve">期初合約負債＋累積利息</t>
    </r>
    <r>
      <rPr>
        <sz val="9"/>
        <color rgb="FF595959"/>
        <rFont val="Arial"/>
        <family val="0"/>
        <charset val="1"/>
      </rPr>
      <t xml:space="preserve">) ÷ </t>
    </r>
    <r>
      <rPr>
        <sz val="9"/>
        <color rgb="FF595959"/>
        <rFont val="Noto Sans CJK SC"/>
        <family val="2"/>
      </rPr>
      <t xml:space="preserve">認列年數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期間長度；這部分營收已在預付時收現，自營運來源扣除</t>
    </r>
  </si>
  <si>
    <t xml:space="preserve">　合約負債期末</t>
  </si>
  <si>
    <t xml:space="preserve">＝期初＋預付流入＋累積利息−認列</t>
  </si>
  <si>
    <r>
      <rPr>
        <sz val="10"/>
        <rFont val="Arial"/>
        <family val="0"/>
        <charset val="1"/>
      </rPr>
      <t xml:space="preserve">① CapEx</t>
    </r>
    <r>
      <rPr>
        <sz val="10"/>
        <rFont val="Noto Sans CJK SC"/>
        <family val="2"/>
      </rPr>
      <t xml:space="preserve">（用途用：</t>
    </r>
    <r>
      <rPr>
        <sz val="10"/>
        <rFont val="Arial"/>
        <family val="0"/>
        <charset val="1"/>
      </rPr>
      <t xml:space="preserve">1Q </t>
    </r>
    <r>
      <rPr>
        <sz val="10"/>
        <rFont val="Noto Sans CJK SC"/>
        <family val="2"/>
      </rPr>
      <t xml:space="preserve">現金／</t>
    </r>
    <r>
      <rPr>
        <sz val="10"/>
        <rFont val="Arial"/>
        <family val="0"/>
        <charset val="1"/>
      </rPr>
      <t xml:space="preserve">2Q–4Q </t>
    </r>
    <r>
      <rPr>
        <sz val="10"/>
        <rFont val="Noto Sans CJK SC"/>
        <family val="2"/>
      </rPr>
      <t xml:space="preserve">毛額）</t>
    </r>
  </si>
  <si>
    <r>
      <rPr>
        <sz val="9"/>
        <color rgb="FF595959"/>
        <rFont val="Arial"/>
        <family val="0"/>
        <charset val="1"/>
      </rPr>
      <t xml:space="preserve">1Q </t>
    </r>
    <r>
      <rPr>
        <sz val="9"/>
        <color rgb="FF595959"/>
        <rFont val="Noto Sans CJK SC"/>
        <family val="2"/>
      </rPr>
      <t xml:space="preserve">採現金流量表的現金購置 </t>
    </r>
    <r>
      <rPr>
        <sz val="9"/>
        <color rgb="FF595959"/>
        <rFont val="Arial"/>
        <family val="0"/>
        <charset val="1"/>
      </rPr>
      <t xml:space="preserve">28.499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2Q–4Q </t>
    </r>
    <r>
      <rPr>
        <sz val="9"/>
        <color rgb="FF595959"/>
        <rFont val="Noto Sans CJK SC"/>
        <family val="2"/>
      </rPr>
      <t xml:space="preserve">起採毛額，客戶預付在來源端抵回（避免重複計入）</t>
    </r>
  </si>
  <si>
    <r>
      <rPr>
        <sz val="10"/>
        <rFont val="Noto Sans CJK SC"/>
        <family val="2"/>
      </rPr>
      <t xml:space="preserve">② 在帳現金租金（備忘，</t>
    </r>
    <r>
      <rPr>
        <sz val="10"/>
        <rFont val="Arial"/>
        <family val="0"/>
        <charset val="1"/>
      </rPr>
      <t xml:space="preserve">1Q </t>
    </r>
    <r>
      <rPr>
        <sz val="10"/>
        <rFont val="Noto Sans CJK SC"/>
        <family val="2"/>
      </rPr>
      <t xml:space="preserve">已含在 </t>
    </r>
    <r>
      <rPr>
        <sz val="10"/>
        <rFont val="Arial"/>
        <family val="0"/>
        <charset val="1"/>
      </rPr>
      <t xml:space="preserve">CFO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</si>
  <si>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見『租賃與承諾』頁；</t>
    </r>
    <r>
      <rPr>
        <sz val="9"/>
        <color rgb="FF595959"/>
        <rFont val="Arial"/>
        <family val="0"/>
        <charset val="1"/>
      </rPr>
      <t xml:space="preserve">2031 </t>
    </r>
    <r>
      <rPr>
        <sz val="9"/>
        <color rgb="FF595959"/>
        <rFont val="Noto Sans CJK SC"/>
        <family val="2"/>
      </rPr>
      <t xml:space="preserve">後尚有 </t>
    </r>
    <r>
      <rPr>
        <sz val="9"/>
        <color rgb="FF595959"/>
        <rFont val="Arial"/>
        <family val="0"/>
        <charset val="1"/>
      </rPr>
      <t xml:space="preserve">39.283</t>
    </r>
    <r>
      <rPr>
        <sz val="9"/>
        <color rgb="FF595959"/>
        <rFont val="Noto Sans CJK SC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FY27 </t>
    </r>
    <r>
      <rPr>
        <sz val="9"/>
        <color rgb="FF595959"/>
        <rFont val="Noto Sans CJK SC"/>
        <family val="2"/>
      </rPr>
      <t xml:space="preserve">欄僅 </t>
    </r>
    <r>
      <rPr>
        <sz val="9"/>
        <color rgb="FF595959"/>
        <rFont val="Arial"/>
        <family val="0"/>
        <charset val="1"/>
      </rPr>
      <t xml:space="preserve">2Q–4Q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1Q </t>
    </r>
    <r>
      <rPr>
        <sz val="9"/>
        <color rgb="FF595959"/>
        <rFont val="Noto Sans CJK SC"/>
        <family val="2"/>
      </rPr>
      <t xml:space="preserve">租金 </t>
    </r>
    <r>
      <rPr>
        <sz val="9"/>
        <color rgb="FF595959"/>
        <rFont val="Arial"/>
        <family val="0"/>
        <charset val="1"/>
      </rPr>
      <t xml:space="preserve">1.136 </t>
    </r>
    <r>
      <rPr>
        <sz val="9"/>
        <color rgb="FF595959"/>
        <rFont val="Noto Sans CJK SC"/>
        <family val="2"/>
      </rPr>
      <t xml:space="preserve">已含在實際 </t>
    </r>
    <r>
      <rPr>
        <sz val="9"/>
        <color rgb="FF595959"/>
        <rFont val="Arial"/>
        <family val="0"/>
        <charset val="1"/>
      </rPr>
      <t xml:space="preserve">CFO </t>
    </r>
    <r>
      <rPr>
        <sz val="9"/>
        <color rgb="FF595959"/>
        <rFont val="Noto Sans CJK SC"/>
        <family val="2"/>
      </rPr>
      <t xml:space="preserve">內</t>
    </r>
  </si>
  <si>
    <t xml:space="preserve">② 表外現金租金（未起租）</t>
  </si>
  <si>
    <r>
      <rPr>
        <sz val="9"/>
        <color rgb="FF595959"/>
        <rFont val="Noto Sans CJK SC"/>
        <family val="2"/>
      </rPr>
      <t xml:space="preserve">已簽約未起租租賃 </t>
    </r>
    <r>
      <rPr>
        <sz val="9"/>
        <color rgb="FF595959"/>
        <rFont val="Arial"/>
        <family val="0"/>
        <charset val="1"/>
      </rPr>
      <t xml:space="preserve">288.0 </t>
    </r>
    <r>
      <rPr>
        <sz val="9"/>
        <color rgb="FF595959"/>
        <rFont val="Noto Sans CJK SC"/>
        <family val="2"/>
      </rPr>
      <t xml:space="preserve">的現金路徑</t>
    </r>
  </si>
  <si>
    <t xml:space="preserve">　租金合計</t>
  </si>
  <si>
    <r>
      <rPr>
        <sz val="9"/>
        <color rgb="FF595959"/>
        <rFont val="Noto Sans CJK SC"/>
        <family val="2"/>
      </rPr>
      <t xml:space="preserve">租金已含在 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Noto Sans CJK SC"/>
        <family val="2"/>
      </rPr>
      <t xml:space="preserve">率內（</t>
    </r>
    <r>
      <rPr>
        <sz val="9"/>
        <color rgb="FF595959"/>
        <rFont val="Arial"/>
        <family val="0"/>
        <charset val="1"/>
      </rPr>
      <t xml:space="preserve">GAAP </t>
    </r>
    <r>
      <rPr>
        <sz val="9"/>
        <color rgb="FF595959"/>
        <rFont val="Noto Sans CJK SC"/>
        <family val="2"/>
      </rPr>
      <t xml:space="preserve">營業租賃費用屬營業費用）：營運來源以 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Noto Sans CJK SC"/>
        <family val="2"/>
      </rPr>
      <t xml:space="preserve">率＋租金</t>
    </r>
    <r>
      <rPr>
        <sz val="9"/>
        <color rgb="FF595959"/>
        <rFont val="Arial"/>
        <family val="0"/>
        <charset val="1"/>
      </rPr>
      <t xml:space="preserve">÷</t>
    </r>
    <r>
      <rPr>
        <sz val="9"/>
        <color rgb="FF595959"/>
        <rFont val="Noto Sans CJK SC"/>
        <family val="2"/>
      </rPr>
      <t xml:space="preserve">營收計（租前），此列再扣，淨效果中性</t>
    </r>
  </si>
  <si>
    <r>
      <rPr>
        <sz val="10"/>
        <rFont val="Noto Sans CJK SC"/>
        <family val="2"/>
      </rPr>
      <t xml:space="preserve">③ 存量債務利息（備忘，</t>
    </r>
    <r>
      <rPr>
        <sz val="10"/>
        <rFont val="Arial"/>
        <family val="0"/>
        <charset val="1"/>
      </rPr>
      <t xml:space="preserve">1Q </t>
    </r>
    <r>
      <rPr>
        <sz val="10"/>
        <rFont val="Noto Sans CJK SC"/>
        <family val="2"/>
      </rPr>
      <t xml:space="preserve">已含在 </t>
    </r>
    <r>
      <rPr>
        <sz val="10"/>
        <rFont val="Arial"/>
        <family val="0"/>
        <charset val="1"/>
      </rPr>
      <t xml:space="preserve">CFO</t>
    </r>
    <r>
      <rPr>
        <sz val="10"/>
        <rFont val="Noto Sans CJK SC"/>
        <family val="2"/>
      </rPr>
      <t xml:space="preserve">）</t>
    </r>
  </si>
  <si>
    <t xml:space="preserve">　期初累積現金</t>
  </si>
  <si>
    <r>
      <rPr>
        <sz val="9"/>
        <color rgb="FF595959"/>
        <rFont val="Arial"/>
        <family val="0"/>
        <charset val="1"/>
      </rPr>
      <t xml:space="preserve">FY27 </t>
    </r>
    <r>
      <rPr>
        <sz val="9"/>
        <color rgb="FF595959"/>
        <rFont val="Noto Sans CJK SC"/>
        <family val="2"/>
      </rPr>
      <t xml:space="preserve">自 </t>
    </r>
    <r>
      <rPr>
        <sz val="9"/>
        <color rgb="FF595959"/>
        <rFont val="Arial"/>
        <family val="0"/>
        <charset val="1"/>
      </rPr>
      <t xml:space="preserve">2026-05-31 </t>
    </r>
    <r>
      <rPr>
        <sz val="9"/>
        <color rgb="FF595959"/>
        <rFont val="Noto Sans CJK SC"/>
        <family val="2"/>
      </rPr>
      <t xml:space="preserve">起算；之後＝前期期末累積現金</t>
    </r>
  </si>
  <si>
    <t xml:space="preserve">　新債利率</t>
  </si>
  <si>
    <r>
      <rPr>
        <sz val="9"/>
        <color rgb="FF595959"/>
        <rFont val="Arial"/>
        <family val="0"/>
        <charset val="1"/>
      </rPr>
      <t xml:space="preserve">CDS </t>
    </r>
    <r>
      <rPr>
        <sz val="9"/>
        <color rgb="FF595959"/>
        <rFont val="Noto Sans CJK SC"/>
        <family val="2"/>
      </rPr>
      <t xml:space="preserve">開關：＋</t>
    </r>
    <r>
      <rPr>
        <sz val="9"/>
        <color rgb="FF595959"/>
        <rFont val="Arial"/>
        <family val="0"/>
        <charset val="1"/>
      </rPr>
      <t xml:space="preserve">MAX(0,CDS−450)×0.4bp/bp</t>
    </r>
  </si>
  <si>
    <t xml:space="preserve">③ 新債利息（瀑布）</t>
  </si>
  <si>
    <r>
      <rPr>
        <sz val="9"/>
        <color rgb="FF595959"/>
        <rFont val="Noto Sans CJK SC"/>
        <family val="2"/>
      </rPr>
      <t xml:space="preserve">＝新債利率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期間長度</t>
    </r>
    <r>
      <rPr>
        <sz val="9"/>
        <color rgb="FF595959"/>
        <rFont val="Arial"/>
        <family val="0"/>
        <charset val="1"/>
      </rPr>
      <t xml:space="preserve">×(</t>
    </r>
    <r>
      <rPr>
        <sz val="9"/>
        <color rgb="FF595959"/>
        <rFont val="Noto Sans CJK SC"/>
        <family val="2"/>
      </rPr>
      <t xml:space="preserve">期初新債＋本期舉借</t>
    </r>
    <r>
      <rPr>
        <sz val="9"/>
        <color rgb="FF595959"/>
        <rFont val="Arial"/>
        <family val="0"/>
        <charset val="1"/>
      </rPr>
      <t xml:space="preserve">)</t>
    </r>
    <r>
      <rPr>
        <sz val="9"/>
        <color rgb="FF595959"/>
        <rFont val="Noto Sans CJK SC"/>
        <family val="2"/>
      </rPr>
      <t xml:space="preserve">；見下方「期前融資瀑布」</t>
    </r>
  </si>
  <si>
    <t xml:space="preserve">　利息合計</t>
  </si>
  <si>
    <r>
      <rPr>
        <sz val="10"/>
        <rFont val="Arial"/>
        <family val="0"/>
        <charset val="1"/>
      </rPr>
      <t xml:space="preserve">④ JV</t>
    </r>
    <r>
      <rPr>
        <sz val="10"/>
        <rFont val="Noto Sans CJK SC"/>
        <family val="2"/>
      </rPr>
      <t xml:space="preserve">／策略投資出資</t>
    </r>
  </si>
  <si>
    <r>
      <rPr>
        <sz val="9"/>
        <color rgb="FF595959"/>
        <rFont val="Arial"/>
        <family val="0"/>
        <charset val="1"/>
      </rPr>
      <t xml:space="preserve">FY27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1Q </t>
    </r>
    <r>
      <rPr>
        <sz val="9"/>
        <color rgb="FF595959"/>
        <rFont val="Noto Sans CJK SC"/>
        <family val="2"/>
      </rPr>
      <t xml:space="preserve">實際 </t>
    </r>
    <r>
      <rPr>
        <sz val="9"/>
        <color rgb="FF595959"/>
        <rFont val="Arial"/>
        <family val="0"/>
        <charset val="1"/>
      </rPr>
      <t xml:space="preserve">0.0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JV 0.000</t>
    </r>
    <r>
      <rPr>
        <sz val="9"/>
        <color rgb="FF595959"/>
        <rFont val="Noto Sans CJK SC"/>
        <family val="2"/>
      </rPr>
      <t xml:space="preserve">＋策略投資 </t>
    </r>
    <r>
      <rPr>
        <sz val="9"/>
        <color rgb="FF595959"/>
        <rFont val="Arial"/>
        <family val="0"/>
        <charset val="1"/>
      </rPr>
      <t xml:space="preserve">0.000</t>
    </r>
    <r>
      <rPr>
        <sz val="9"/>
        <color rgb="FF595959"/>
        <rFont val="Noto Sans CJK SC"/>
        <family val="2"/>
      </rPr>
      <t xml:space="preserve">）＋</t>
    </r>
    <r>
      <rPr>
        <sz val="9"/>
        <color rgb="FF595959"/>
        <rFont val="Arial"/>
        <family val="0"/>
        <charset val="1"/>
      </rPr>
      <t xml:space="preserve">2Q–4Q </t>
    </r>
    <r>
      <rPr>
        <sz val="9"/>
        <color rgb="FF595959"/>
        <rFont val="Noto Sans CJK SC"/>
        <family val="2"/>
      </rPr>
      <t xml:space="preserve">模型。</t>
    </r>
    <r>
      <rPr>
        <sz val="9"/>
        <color rgb="FF595959"/>
        <rFont val="Arial"/>
        <family val="0"/>
        <charset val="1"/>
      </rPr>
      <t xml:space="preserve">ORCL </t>
    </r>
    <r>
      <rPr>
        <sz val="9"/>
        <color rgb="FF595959"/>
        <rFont val="Noto Sans CJK SC"/>
        <family val="2"/>
      </rPr>
      <t xml:space="preserve">不發股息</t>
    </r>
  </si>
  <si>
    <t xml:space="preserve">⑧ 股利（普通股＋特別股）</t>
  </si>
  <si>
    <r>
      <rPr>
        <sz val="9"/>
        <color rgb="FF595959"/>
        <rFont val="Noto Sans CJK SC"/>
        <family val="2"/>
      </rPr>
      <t xml:space="preserve">普通股＝每股每季 </t>
    </r>
    <r>
      <rPr>
        <sz val="9"/>
        <color rgb="FF595959"/>
        <rFont val="Arial"/>
        <family val="0"/>
        <charset val="1"/>
      </rPr>
      <t xml:space="preserve">× 4 × </t>
    </r>
    <r>
      <rPr>
        <sz val="9"/>
        <color rgb="FF595959"/>
        <rFont val="Noto Sans CJK SC"/>
        <family val="2"/>
      </rPr>
      <t xml:space="preserve">期間長度 </t>
    </r>
    <r>
      <rPr>
        <sz val="9"/>
        <color rgb="FF595959"/>
        <rFont val="Arial"/>
        <family val="0"/>
        <charset val="1"/>
      </rPr>
      <t xml:space="preserve">×(</t>
    </r>
    <r>
      <rPr>
        <sz val="9"/>
        <color rgb="FF595959"/>
        <rFont val="Noto Sans CJK SC"/>
        <family val="2"/>
      </rPr>
      <t xml:space="preserve">基礎股數＋前期累計瀑布新股＋已強制轉換特別股</t>
    </r>
    <r>
      <rPr>
        <sz val="9"/>
        <color rgb="FF595959"/>
        <rFont val="Arial"/>
        <family val="0"/>
        <charset val="1"/>
      </rPr>
      <t xml:space="preserve">)</t>
    </r>
    <r>
      <rPr>
        <sz val="9"/>
        <color rgb="FF595959"/>
        <rFont val="Noto Sans CJK SC"/>
        <family val="2"/>
      </rPr>
      <t xml:space="preserve">＋特別股股利；</t>
    </r>
    <r>
      <rPr>
        <sz val="9"/>
        <color rgb="FF595959"/>
        <rFont val="Arial"/>
        <family val="0"/>
        <charset val="1"/>
      </rPr>
      <t xml:space="preserve">FY27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1Q </t>
    </r>
    <r>
      <rPr>
        <sz val="9"/>
        <color rgb="FF595959"/>
        <rFont val="Noto Sans CJK SC"/>
        <family val="2"/>
      </rPr>
      <t xml:space="preserve">實際＋</t>
    </r>
    <r>
      <rPr>
        <sz val="9"/>
        <color rgb="FF595959"/>
        <rFont val="Arial"/>
        <family val="0"/>
        <charset val="1"/>
      </rPr>
      <t xml:space="preserve">2Q–4Q </t>
    </r>
    <r>
      <rPr>
        <sz val="9"/>
        <color rgb="FF595959"/>
        <rFont val="Noto Sans CJK SC"/>
        <family val="2"/>
      </rPr>
      <t xml:space="preserve">模型（</t>
    </r>
    <r>
      <rPr>
        <sz val="9"/>
        <color rgb="FF595959"/>
        <rFont val="Arial"/>
        <family val="0"/>
        <charset val="1"/>
      </rPr>
      <t xml:space="preserve">v0.1b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</si>
  <si>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　電力（</t>
    </r>
    <r>
      <rPr>
        <sz val="10"/>
        <rFont val="Arial"/>
        <family val="0"/>
        <charset val="1"/>
      </rPr>
      <t xml:space="preserve">overlay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</si>
  <si>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＝已連網 </t>
    </r>
    <r>
      <rPr>
        <sz val="9"/>
        <color rgb="FF595959"/>
        <rFont val="Arial"/>
        <family val="0"/>
        <charset val="1"/>
      </rPr>
      <t xml:space="preserve">MW×8760×PUE×</t>
    </r>
    <r>
      <rPr>
        <sz val="9"/>
        <color rgb="FF595959"/>
        <rFont val="Noto Sans CJK SC"/>
        <family val="2"/>
      </rPr>
      <t xml:space="preserve">電價</t>
    </r>
    <r>
      <rPr>
        <sz val="9"/>
        <color rgb="FF595959"/>
        <rFont val="Arial"/>
        <family val="0"/>
        <charset val="1"/>
      </rPr>
      <t xml:space="preserve">÷1e9×</t>
    </r>
    <r>
      <rPr>
        <sz val="9"/>
        <color rgb="FF595959"/>
        <rFont val="Noto Sans CJK SC"/>
        <family val="2"/>
      </rPr>
      <t xml:space="preserve">期間係數。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Noto Sans CJK SC"/>
        <family val="2"/>
      </rPr>
      <t xml:space="preserve">率已含電費，預設關閉</t>
    </r>
  </si>
  <si>
    <r>
      <rPr>
        <sz val="10"/>
        <rFont val="Noto Sans CJK SC"/>
        <family val="2"/>
      </rPr>
      <t xml:space="preserve">　維護（</t>
    </r>
    <r>
      <rPr>
        <sz val="10"/>
        <rFont val="Arial"/>
        <family val="0"/>
        <charset val="1"/>
      </rPr>
      <t xml:space="preserve">overlay</t>
    </r>
    <r>
      <rPr>
        <sz val="10"/>
        <rFont val="Noto Sans CJK SC"/>
        <family val="2"/>
      </rPr>
      <t xml:space="preserve">）</t>
    </r>
  </si>
  <si>
    <t xml:space="preserve">⑤ 排程還本（季報到期表）</t>
  </si>
  <si>
    <r>
      <rPr>
        <sz val="9"/>
        <color rgb="FF595959"/>
        <rFont val="Arial"/>
        <family val="0"/>
        <charset val="1"/>
      </rPr>
      <t xml:space="preserve">FY27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1Q </t>
    </r>
    <r>
      <rPr>
        <sz val="9"/>
        <color rgb="FF595959"/>
        <rFont val="Noto Sans CJK SC"/>
        <family val="2"/>
      </rPr>
      <t xml:space="preserve">實際還款 </t>
    </r>
    <r>
      <rPr>
        <sz val="9"/>
        <color rgb="FF595959"/>
        <rFont val="Arial"/>
        <family val="0"/>
        <charset val="1"/>
      </rPr>
      <t xml:space="preserve">4.202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2Q–4Q </t>
    </r>
    <r>
      <rPr>
        <sz val="9"/>
        <color rgb="FF595959"/>
        <rFont val="Noto Sans CJK SC"/>
        <family val="2"/>
      </rPr>
      <t xml:space="preserve">到期表 </t>
    </r>
    <r>
      <rPr>
        <sz val="9"/>
        <color rgb="FF595959"/>
        <rFont val="Arial"/>
        <family val="0"/>
        <charset val="1"/>
      </rPr>
      <t xml:space="preserve">3.007</t>
    </r>
  </si>
  <si>
    <r>
      <rPr>
        <sz val="10"/>
        <rFont val="Arial"/>
        <family val="0"/>
        <charset val="1"/>
      </rPr>
      <t xml:space="preserve">⑥ capped call </t>
    </r>
    <r>
      <rPr>
        <sz val="10"/>
        <rFont val="Noto Sans CJK SC"/>
        <family val="2"/>
      </rPr>
      <t xml:space="preserve">支出（</t>
    </r>
    <r>
      <rPr>
        <sz val="10"/>
        <rFont val="Arial"/>
        <family val="0"/>
        <charset val="1"/>
      </rPr>
      <t xml:space="preserve">1Q </t>
    </r>
    <r>
      <rPr>
        <sz val="10"/>
        <rFont val="Noto Sans CJK SC"/>
        <family val="2"/>
      </rPr>
      <t xml:space="preserve">實際）</t>
    </r>
  </si>
  <si>
    <r>
      <rPr>
        <sz val="9"/>
        <color rgb="FF595959"/>
        <rFont val="Noto Sans CJK SC"/>
        <family val="2"/>
      </rPr>
      <t xml:space="preserve">可轉債配套 </t>
    </r>
    <r>
      <rPr>
        <sz val="9"/>
        <color rgb="FF595959"/>
        <rFont val="Arial"/>
        <family val="0"/>
        <charset val="1"/>
      </rPr>
      <t xml:space="preserve">capped call </t>
    </r>
    <r>
      <rPr>
        <sz val="9"/>
        <color rgb="FF595959"/>
        <rFont val="Noto Sans CJK SC"/>
        <family val="2"/>
      </rPr>
      <t xml:space="preserve">現金支出（未見揭露，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</si>
  <si>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⑦ 現金稅（</t>
    </r>
    <r>
      <rPr>
        <sz val="10"/>
        <rFont val="Arial"/>
        <family val="0"/>
        <charset val="1"/>
      </rPr>
      <t xml:space="preserve">2Q–4Q </t>
    </r>
    <r>
      <rPr>
        <sz val="10"/>
        <rFont val="Noto Sans CJK SC"/>
        <family val="2"/>
      </rPr>
      <t xml:space="preserve">起）</t>
    </r>
  </si>
  <si>
    <r>
      <rPr>
        <sz val="9"/>
        <color rgb="FF595959"/>
        <rFont val="Noto Sans CJK SC"/>
        <family val="2"/>
      </rPr>
      <t xml:space="preserve">＝稅率 </t>
    </r>
    <r>
      <rPr>
        <sz val="9"/>
        <color rgb="FF595959"/>
        <rFont val="Arial"/>
        <family val="0"/>
        <charset val="1"/>
      </rPr>
      <t xml:space="preserve">× MAX(0, </t>
    </r>
    <r>
      <rPr>
        <sz val="9"/>
        <color rgb="FF595959"/>
        <rFont val="Noto Sans CJK SC"/>
        <family val="2"/>
      </rPr>
      <t xml:space="preserve">損益 </t>
    </r>
    <r>
      <rPr>
        <sz val="9"/>
        <color rgb="FF595959"/>
        <rFont val="Arial"/>
        <family val="0"/>
        <charset val="1"/>
      </rPr>
      <t xml:space="preserve">EBITDA − </t>
    </r>
    <r>
      <rPr>
        <sz val="9"/>
        <color rgb="FF595959"/>
        <rFont val="Noto Sans CJK SC"/>
        <family val="2"/>
      </rPr>
      <t xml:space="preserve">車隊 </t>
    </r>
    <r>
      <rPr>
        <sz val="9"/>
        <color rgb="FF595959"/>
        <rFont val="Arial"/>
        <family val="0"/>
        <charset val="1"/>
      </rPr>
      <t xml:space="preserve">D&amp;A − </t>
    </r>
    <r>
      <rPr>
        <sz val="9"/>
        <color rgb="FF595959"/>
        <rFont val="Noto Sans CJK SC"/>
        <family val="2"/>
      </rPr>
      <t xml:space="preserve">存量利息</t>
    </r>
    <r>
      <rPr>
        <sz val="9"/>
        <color rgb="FF595959"/>
        <rFont val="Arial"/>
        <family val="0"/>
        <charset val="1"/>
      </rPr>
      <t xml:space="preserve">)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1Q </t>
    </r>
    <r>
      <rPr>
        <sz val="9"/>
        <color rgb="FF595959"/>
        <rFont val="Noto Sans CJK SC"/>
        <family val="2"/>
      </rPr>
      <t xml:space="preserve">的稅已含在 </t>
    </r>
    <r>
      <rPr>
        <sz val="9"/>
        <color rgb="FF595959"/>
        <rFont val="Arial"/>
        <family val="0"/>
        <charset val="1"/>
      </rPr>
      <t xml:space="preserve">CFO </t>
    </r>
    <r>
      <rPr>
        <sz val="9"/>
        <color rgb="FF595959"/>
        <rFont val="Noto Sans CJK SC"/>
        <family val="2"/>
      </rPr>
      <t xml:space="preserve">內（</t>
    </r>
    <r>
      <rPr>
        <sz val="9"/>
        <color rgb="FF595959"/>
        <rFont val="Arial"/>
        <family val="0"/>
        <charset val="1"/>
      </rPr>
      <t xml:space="preserve">v0.1b</t>
    </r>
    <r>
      <rPr>
        <sz val="9"/>
        <color rgb="FF595959"/>
        <rFont val="Noto Sans CJK SC"/>
        <family val="2"/>
      </rPr>
      <t xml:space="preserve">）</t>
    </r>
  </si>
  <si>
    <t xml:space="preserve">用途合計（現金口徑）</t>
  </si>
  <si>
    <r>
      <rPr>
        <sz val="9"/>
        <color rgb="FF595959"/>
        <rFont val="Arial"/>
        <family val="0"/>
        <charset val="1"/>
      </rPr>
      <t xml:space="preserve">FY27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1Q </t>
    </r>
    <r>
      <rPr>
        <sz val="9"/>
        <color rgb="FF595959"/>
        <rFont val="Noto Sans CJK SC"/>
        <family val="2"/>
      </rPr>
      <t xml:space="preserve">部分採季報現金流量表口徑（現金購置、還款、</t>
    </r>
    <r>
      <rPr>
        <sz val="9"/>
        <color rgb="FF595959"/>
        <rFont val="Arial"/>
        <family val="0"/>
        <charset val="1"/>
      </rPr>
      <t xml:space="preserve">JV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capped call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1Q </t>
    </r>
    <r>
      <rPr>
        <sz val="9"/>
        <color rgb="FF595959"/>
        <rFont val="Noto Sans CJK SC"/>
        <family val="2"/>
      </rPr>
      <t xml:space="preserve">的利息與租金已含在 </t>
    </r>
    <r>
      <rPr>
        <sz val="9"/>
        <color rgb="FF595959"/>
        <rFont val="Arial"/>
        <family val="0"/>
        <charset val="1"/>
      </rPr>
      <t xml:space="preserve">CFO </t>
    </r>
    <r>
      <rPr>
        <sz val="9"/>
        <color rgb="FF595959"/>
        <rFont val="Noto Sans CJK SC"/>
        <family val="2"/>
      </rPr>
      <t xml:space="preserve">內，不重複列</t>
    </r>
  </si>
  <si>
    <t xml:space="preserve">來源（四層）</t>
  </si>
  <si>
    <r>
      <rPr>
        <sz val="10"/>
        <rFont val="Arial"/>
        <family val="0"/>
        <charset val="1"/>
      </rPr>
      <t xml:space="preserve">Ⓐ0 1Q27 </t>
    </r>
    <r>
      <rPr>
        <sz val="10"/>
        <rFont val="Noto Sans CJK SC"/>
        <family val="2"/>
      </rPr>
      <t xml:space="preserve">實際營運現金流（</t>
    </r>
    <r>
      <rPr>
        <sz val="10"/>
        <rFont val="Arial"/>
        <family val="0"/>
        <charset val="1"/>
      </rPr>
      <t xml:space="preserve">CFO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</si>
  <si>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季報實際值，取代模型推算；已含 </t>
    </r>
    <r>
      <rPr>
        <sz val="9"/>
        <color rgb="FF595959"/>
        <rFont val="Arial"/>
        <family val="0"/>
        <charset val="1"/>
      </rPr>
      <t xml:space="preserve">1Q </t>
    </r>
    <r>
      <rPr>
        <sz val="9"/>
        <color rgb="FF595959"/>
        <rFont val="Noto Sans CJK SC"/>
        <family val="2"/>
      </rPr>
      <t xml:space="preserve">的利息、租金與客戶預付</t>
    </r>
  </si>
  <si>
    <r>
      <rPr>
        <sz val="10"/>
        <rFont val="Arial"/>
        <family val="0"/>
        <charset val="1"/>
      </rPr>
      <t xml:space="preserve">Ⓐ RPO </t>
    </r>
    <r>
      <rPr>
        <sz val="10"/>
        <rFont val="Noto Sans CJK SC"/>
        <family val="2"/>
      </rPr>
      <t xml:space="preserve">現金（</t>
    </r>
    <r>
      <rPr>
        <sz val="10"/>
        <rFont val="Arial"/>
        <family val="0"/>
        <charset val="1"/>
      </rPr>
      <t xml:space="preserve">2Q–4Q </t>
    </r>
    <r>
      <rPr>
        <sz val="10"/>
        <rFont val="Noto Sans CJK SC"/>
        <family val="2"/>
      </rPr>
      <t xml:space="preserve">起）</t>
    </r>
  </si>
  <si>
    <t xml:space="preserve">Ⓑ 新簽約現金</t>
  </si>
  <si>
    <t xml:space="preserve">Ⓒ 非算力服務現金</t>
  </si>
  <si>
    <r>
      <rPr>
        <sz val="10"/>
        <rFont val="Arial"/>
        <family val="0"/>
        <charset val="1"/>
      </rPr>
      <t xml:space="preserve">Ⓒ2 </t>
    </r>
    <r>
      <rPr>
        <sz val="10"/>
        <rFont val="Noto Sans CJK SC"/>
        <family val="2"/>
      </rPr>
      <t xml:space="preserve">其他事業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2Q–4Q </t>
    </r>
    <r>
      <rPr>
        <sz val="10"/>
        <rFont val="Noto Sans CJK SC"/>
        <family val="2"/>
      </rPr>
      <t xml:space="preserve">起）</t>
    </r>
  </si>
  <si>
    <r>
      <rPr>
        <sz val="9"/>
        <color rgb="FF595959"/>
        <rFont val="Noto Sans CJK SC"/>
        <family val="2"/>
      </rPr>
      <t xml:space="preserve">非核心事業 </t>
    </r>
    <r>
      <rPr>
        <sz val="9"/>
        <color rgb="FF595959"/>
        <rFont val="Arial"/>
        <family val="0"/>
        <charset val="1"/>
      </rPr>
      <t xml:space="preserve">EBITDA</t>
    </r>
    <r>
      <rPr>
        <sz val="9"/>
        <color rgb="FF595959"/>
        <rFont val="Noto Sans CJK SC"/>
        <family val="2"/>
      </rPr>
      <t xml:space="preserve">（負值＝燒錢），視為現金（</t>
    </r>
    <r>
      <rPr>
        <sz val="9"/>
        <color rgb="FF595959"/>
        <rFont val="Arial"/>
        <family val="0"/>
        <charset val="1"/>
      </rPr>
      <t xml:space="preserve">v0.1b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</si>
  <si>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Arial"/>
        <family val="0"/>
        <charset val="1"/>
      </rPr>
      <t xml:space="preserve">Ⓒ3 </t>
    </r>
    <r>
      <rPr>
        <sz val="10"/>
        <rFont val="Noto Sans CJK SC"/>
        <family val="2"/>
      </rPr>
      <t xml:space="preserve">傳統事業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2Q–4Q </t>
    </r>
    <r>
      <rPr>
        <sz val="10"/>
        <rFont val="Noto Sans CJK SC"/>
        <family val="2"/>
      </rPr>
      <t xml:space="preserve">起）</t>
    </r>
  </si>
  <si>
    <r>
      <rPr>
        <sz val="9"/>
        <color rgb="FF595959"/>
        <rFont val="Arial"/>
        <family val="0"/>
        <charset val="1"/>
      </rPr>
      <t xml:space="preserve">SaaS</t>
    </r>
    <r>
      <rPr>
        <sz val="9"/>
        <color rgb="FF595959"/>
        <rFont val="Noto Sans CJK SC"/>
        <family val="2"/>
      </rPr>
      <t xml:space="preserve">、軟體、硬體、服務四線 </t>
    </r>
    <r>
      <rPr>
        <sz val="9"/>
        <color rgb="FF595959"/>
        <rFont val="Arial"/>
        <family val="0"/>
        <charset val="1"/>
      </rPr>
      <t xml:space="preserve">EBITDA</t>
    </r>
    <r>
      <rPr>
        <sz val="9"/>
        <color rgb="FF595959"/>
        <rFont val="Noto Sans CJK SC"/>
        <family val="2"/>
      </rPr>
      <t xml:space="preserve">，視為現金（現金稅另列於用途；</t>
    </r>
    <r>
      <rPr>
        <sz val="9"/>
        <color rgb="FF595959"/>
        <rFont val="Arial"/>
        <family val="0"/>
        <charset val="1"/>
      </rPr>
      <t xml:space="preserve">v0.1b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</si>
  <si>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Arial"/>
        <family val="0"/>
        <charset val="1"/>
      </rPr>
      <t xml:space="preserve">Ⓒ4 </t>
    </r>
    <r>
      <rPr>
        <sz val="10"/>
        <rFont val="Noto Sans CJK SC"/>
        <family val="2"/>
      </rPr>
      <t xml:space="preserve">減：延誤罰則（營業費用）</t>
    </r>
  </si>
  <si>
    <r>
      <rPr>
        <sz val="9"/>
        <color rgb="FF595959"/>
        <rFont val="Noto Sans CJK SC"/>
        <family val="2"/>
      </rPr>
      <t xml:space="preserve">建設延誤期間應計費而未計費營收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罰則比例（預設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v0.2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</si>
  <si>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Ⓓ 客戶預付（</t>
    </r>
    <r>
      <rPr>
        <sz val="10"/>
        <rFont val="Arial"/>
        <family val="0"/>
        <charset val="1"/>
      </rPr>
      <t xml:space="preserve">2Q–4Q </t>
    </r>
    <r>
      <rPr>
        <sz val="10"/>
        <rFont val="Noto Sans CJK SC"/>
        <family val="2"/>
      </rPr>
      <t xml:space="preserve">起）</t>
    </r>
  </si>
  <si>
    <r>
      <rPr>
        <sz val="10"/>
        <rFont val="Arial"/>
        <family val="0"/>
        <charset val="1"/>
      </rPr>
      <t xml:space="preserve">Ⓓ2 </t>
    </r>
    <r>
      <rPr>
        <sz val="10"/>
        <rFont val="Noto Sans CJK SC"/>
        <family val="2"/>
      </rPr>
      <t xml:space="preserve">減：預付認列（非現金營收）</t>
    </r>
  </si>
  <si>
    <r>
      <rPr>
        <sz val="9"/>
        <color rgb="FF595959"/>
        <rFont val="Noto Sans CJK SC"/>
        <family val="2"/>
      </rPr>
      <t xml:space="preserve">營收中由合約負債轉入的部分已在預付時收現，不重複計入服務現金（</t>
    </r>
    <r>
      <rPr>
        <sz val="9"/>
        <color rgb="FF595959"/>
        <rFont val="Arial"/>
        <family val="0"/>
        <charset val="1"/>
      </rPr>
      <t xml:space="preserve">v0.1b</t>
    </r>
    <r>
      <rPr>
        <sz val="9"/>
        <color rgb="FF595959"/>
        <rFont val="Noto Sans CJK SC"/>
        <family val="2"/>
      </rPr>
      <t xml:space="preserve">）</t>
    </r>
  </si>
  <si>
    <t xml:space="preserve">營運來源合計</t>
  </si>
  <si>
    <t xml:space="preserve">Ⓔ 股權／可轉債（融資）</t>
  </si>
  <si>
    <r>
      <rPr>
        <sz val="9"/>
        <color rgb="FF595959"/>
        <rFont val="Arial"/>
        <family val="0"/>
        <charset val="1"/>
      </rPr>
      <t xml:space="preserve">FY27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1Q ATM </t>
    </r>
    <r>
      <rPr>
        <sz val="9"/>
        <color rgb="FF595959"/>
        <rFont val="Noto Sans CJK SC"/>
        <family val="2"/>
      </rPr>
      <t xml:space="preserve">淨收入 </t>
    </r>
    <r>
      <rPr>
        <sz val="9"/>
        <color rgb="FF595959"/>
        <rFont val="Arial"/>
        <family val="0"/>
        <charset val="1"/>
      </rPr>
      <t xml:space="preserve">19.909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141m </t>
    </r>
    <r>
      <rPr>
        <sz val="9"/>
        <color rgb="FF595959"/>
        <rFont val="Noto Sans CJK SC"/>
        <family val="2"/>
      </rPr>
      <t xml:space="preserve">股、均價約 </t>
    </r>
    <r>
      <rPr>
        <sz val="9"/>
        <color rgb="FF595959"/>
        <rFont val="Arial"/>
        <family val="0"/>
        <charset val="1"/>
      </rPr>
      <t xml:space="preserve">$141.84</t>
    </r>
    <r>
      <rPr>
        <sz val="9"/>
        <color rgb="FF595959"/>
        <rFont val="Noto Sans CJK SC"/>
        <family val="2"/>
      </rPr>
      <t xml:space="preserve">）＋</t>
    </r>
    <r>
      <rPr>
        <sz val="9"/>
        <color rgb="FF595959"/>
        <rFont val="Arial"/>
        <family val="0"/>
        <charset val="1"/>
      </rPr>
      <t xml:space="preserve">2Q–4Q </t>
    </r>
    <r>
      <rPr>
        <sz val="9"/>
        <color rgb="FF595959"/>
        <rFont val="Noto Sans CJK SC"/>
        <family val="2"/>
      </rPr>
      <t xml:space="preserve">期後股權 </t>
    </r>
    <r>
      <rPr>
        <sz val="9"/>
        <color rgb="FF595959"/>
        <rFont val="Arial"/>
        <family val="0"/>
        <charset val="1"/>
      </rPr>
      <t xml:space="preserve">0</t>
    </r>
  </si>
  <si>
    <r>
      <rPr>
        <sz val="10"/>
        <rFont val="Arial"/>
        <family val="0"/>
        <charset val="1"/>
      </rPr>
      <t xml:space="preserve">Ⓕ 1Q27 </t>
    </r>
    <r>
      <rPr>
        <sz val="10"/>
        <rFont val="Noto Sans CJK SC"/>
        <family val="2"/>
      </rPr>
      <t xml:space="preserve">實際借款（融資）</t>
    </r>
  </si>
  <si>
    <r>
      <rPr>
        <sz val="9"/>
        <color rgb="FF595959"/>
        <rFont val="Noto Sans CJK SC"/>
        <family val="2"/>
      </rPr>
      <t xml:space="preserve">季報：</t>
    </r>
    <r>
      <rPr>
        <sz val="9"/>
        <color rgb="FF595959"/>
        <rFont val="Arial"/>
        <family val="0"/>
        <charset val="1"/>
      </rPr>
      <t xml:space="preserve">Q1 </t>
    </r>
    <r>
      <rPr>
        <sz val="9"/>
        <color rgb="FF595959"/>
        <rFont val="Noto Sans CJK SC"/>
        <family val="2"/>
      </rPr>
      <t xml:space="preserve">借款 </t>
    </r>
    <r>
      <rPr>
        <sz val="9"/>
        <color rgb="FF595959"/>
        <rFont val="Arial"/>
        <family val="0"/>
        <charset val="1"/>
      </rPr>
      <t xml:space="preserve">0.0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2026-03 </t>
    </r>
    <r>
      <rPr>
        <sz val="9"/>
        <color rgb="FF595959"/>
        <rFont val="Noto Sans CJK SC"/>
        <family val="2"/>
      </rPr>
      <t xml:space="preserve">可轉債）</t>
    </r>
  </si>
  <si>
    <t xml:space="preserve">Ⓖ 瀑布：新債（額度＋資產層）</t>
  </si>
  <si>
    <t xml:space="preserve">見下方「期前融資瀑布」</t>
  </si>
  <si>
    <r>
      <rPr>
        <sz val="10"/>
        <rFont val="Arial"/>
        <family val="0"/>
        <charset val="1"/>
      </rPr>
      <t xml:space="preserve">Ⓖ2 </t>
    </r>
    <r>
      <rPr>
        <sz val="10"/>
        <rFont val="Noto Sans CJK SC"/>
        <family val="2"/>
      </rPr>
      <t xml:space="preserve">瀑布：可轉債</t>
    </r>
  </si>
  <si>
    <r>
      <rPr>
        <sz val="9"/>
        <color rgb="FF595959"/>
        <rFont val="Noto Sans CJK SC"/>
        <family val="2"/>
      </rPr>
      <t xml:space="preserve">資產擔保融資用罄後、股權之前；每年不超過可轉債上限（</t>
    </r>
    <r>
      <rPr>
        <sz val="9"/>
        <color rgb="FF595959"/>
        <rFont val="Arial"/>
        <family val="0"/>
        <charset val="1"/>
      </rPr>
      <t xml:space="preserve">v0.1b</t>
    </r>
    <r>
      <rPr>
        <sz val="9"/>
        <color rgb="FF595959"/>
        <rFont val="Noto Sans CJK SC"/>
        <family val="2"/>
      </rPr>
      <t xml:space="preserve">）</t>
    </r>
  </si>
  <si>
    <t xml:space="preserve">Ⓗ 瀑布：股權募資</t>
  </si>
  <si>
    <t xml:space="preserve">債務與可轉債用罄後的殘差；每年不超過股權吸收上限</t>
  </si>
  <si>
    <t xml:space="preserve">Ⓘ 瀑布：高息債（股權上限溢出）</t>
  </si>
  <si>
    <r>
      <rPr>
        <sz val="9"/>
        <color rgb="FF595959"/>
        <rFont val="Noto Sans CJK SC"/>
        <family val="2"/>
      </rPr>
      <t xml:space="preserve">股權超過每年上限的部分；不受 </t>
    </r>
    <r>
      <rPr>
        <sz val="9"/>
        <color rgb="FF595959"/>
        <rFont val="Arial"/>
        <family val="0"/>
        <charset val="1"/>
      </rPr>
      <t xml:space="preserve">backlog </t>
    </r>
    <r>
      <rPr>
        <sz val="9"/>
        <color rgb="FF595959"/>
        <rFont val="Noto Sans CJK SC"/>
        <family val="2"/>
      </rPr>
      <t xml:space="preserve">上限約束</t>
    </r>
  </si>
  <si>
    <t xml:space="preserve">總來源（含融資）</t>
  </si>
  <si>
    <t xml:space="preserve">缺口與現金橋</t>
  </si>
  <si>
    <r>
      <rPr>
        <sz val="10"/>
        <rFont val="Noto Sans CJK SC"/>
        <family val="2"/>
      </rPr>
      <t xml:space="preserve">　</t>
    </r>
    <r>
      <rPr>
        <sz val="10"/>
        <rFont val="Arial"/>
        <family val="0"/>
        <charset val="1"/>
      </rPr>
      <t xml:space="preserve">1Q </t>
    </r>
    <r>
      <rPr>
        <sz val="10"/>
        <rFont val="Noto Sans CJK SC"/>
        <family val="2"/>
      </rPr>
      <t xml:space="preserve">其他／受限現金調節</t>
    </r>
  </si>
  <si>
    <r>
      <rPr>
        <sz val="9"/>
        <color rgb="FF595959"/>
        <rFont val="Noto Sans CJK SC"/>
        <family val="2"/>
      </rPr>
      <t xml:space="preserve">使 </t>
    </r>
    <r>
      <rPr>
        <sz val="9"/>
        <color rgb="FF595959"/>
        <rFont val="Arial"/>
        <family val="0"/>
        <charset val="1"/>
      </rPr>
      <t xml:space="preserve">1Q </t>
    </r>
    <r>
      <rPr>
        <sz val="9"/>
        <color rgb="FF595959"/>
        <rFont val="Noto Sans CJK SC"/>
        <family val="2"/>
      </rPr>
      <t xml:space="preserve">實際流量接回 </t>
    </r>
    <r>
      <rPr>
        <sz val="9"/>
        <color rgb="FF595959"/>
        <rFont val="Arial"/>
        <family val="0"/>
        <charset val="1"/>
      </rPr>
      <t xml:space="preserve">8/31 </t>
    </r>
    <r>
      <rPr>
        <sz val="9"/>
        <color rgb="FF595959"/>
        <rFont val="Noto Sans CJK SC"/>
        <family val="2"/>
      </rPr>
      <t xml:space="preserve">現金餘額；差額來自受限現金重分類與未逐項列出的項目</t>
    </r>
  </si>
  <si>
    <t xml:space="preserve">營運缺口（不含融資、不含還本）</t>
  </si>
  <si>
    <r>
      <rPr>
        <sz val="9"/>
        <color rgb="FF595959"/>
        <rFont val="Noto Sans CJK SC"/>
        <family val="2"/>
      </rPr>
      <t xml:space="preserve">本業能不能自給：營運來源 −（用途 − 排程還本 − </t>
    </r>
    <r>
      <rPr>
        <sz val="9"/>
        <color rgb="FF595959"/>
        <rFont val="Arial"/>
        <family val="0"/>
        <charset val="1"/>
      </rPr>
      <t xml:space="preserve">capped call</t>
    </r>
    <r>
      <rPr>
        <sz val="9"/>
        <color rgb="FF595959"/>
        <rFont val="Noto Sans CJK SC"/>
        <family val="2"/>
      </rPr>
      <t xml:space="preserve">）</t>
    </r>
  </si>
  <si>
    <t xml:space="preserve">期間缺口（含融資）</t>
  </si>
  <si>
    <t xml:space="preserve">期末累積現金</t>
  </si>
  <si>
    <t xml:space="preserve">期前融資：每期末不低於最低現金</t>
  </si>
  <si>
    <r>
      <rPr>
        <b val="true"/>
        <sz val="10"/>
        <rFont val="Noto Sans CJK SC"/>
        <family val="2"/>
      </rPr>
      <t xml:space="preserve">租賃負債（期末剩餘租金現值；調整後槓桿用，</t>
    </r>
    <r>
      <rPr>
        <b val="true"/>
        <sz val="10"/>
        <rFont val="Arial"/>
        <family val="0"/>
        <charset val="1"/>
      </rPr>
      <t xml:space="preserve">v0.2</t>
    </r>
    <r>
      <rPr>
        <b val="true"/>
        <sz val="10"/>
        <rFont val="Noto Sans CJK SC"/>
        <family val="2"/>
      </rPr>
      <t xml:space="preserve">）</t>
    </r>
  </si>
  <si>
    <t xml:space="preserve">租賃折現率（加權平均）</t>
  </si>
  <si>
    <r>
      <rPr>
        <sz val="9"/>
        <color rgb="FF595959"/>
        <rFont val="Arial"/>
        <family val="0"/>
        <charset val="1"/>
      </rPr>
      <t xml:space="preserve">10-K FY2026 </t>
    </r>
    <r>
      <rPr>
        <sz val="9"/>
        <color rgb="FF595959"/>
        <rFont val="Noto Sans CJK SC"/>
        <family val="2"/>
      </rPr>
      <t xml:space="preserve">營業／融資租賃加權平均折現率（事實總帳 </t>
    </r>
    <r>
      <rPr>
        <sz val="9"/>
        <color rgb="FF595959"/>
        <rFont val="Arial"/>
        <family val="0"/>
        <charset val="1"/>
      </rPr>
      <t xml:space="preserve">lease.discRate.fy26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[Verified]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company.json → leases.liability.discRate</t>
    </r>
  </si>
  <si>
    <t xml:space="preserve">在帳租約：模型期後尾端年數</t>
  </si>
  <si>
    <r>
      <rPr>
        <sz val="9"/>
        <color rgb="FF595959"/>
        <rFont val="Noto Sans CJK SC"/>
        <family val="2"/>
      </rPr>
      <t xml:space="preserve">到期表 </t>
    </r>
    <r>
      <rPr>
        <sz val="9"/>
        <color rgb="FF595959"/>
        <rFont val="Arial"/>
        <family val="0"/>
        <charset val="1"/>
      </rPr>
      <t xml:space="preserve">2031 </t>
    </r>
    <r>
      <rPr>
        <sz val="9"/>
        <color rgb="FF595959"/>
        <rFont val="Noto Sans CJK SC"/>
        <family val="2"/>
      </rPr>
      <t xml:space="preserve">後的未折現付款平均分攤年數（</t>
    </r>
    <r>
      <rPr>
        <sz val="9"/>
        <color rgb="FF595959"/>
        <rFont val="Arial"/>
        <family val="0"/>
        <charset val="1"/>
      </rPr>
      <t xml:space="preserve">10-K </t>
    </r>
    <r>
      <rPr>
        <sz val="9"/>
        <color rgb="FF595959"/>
        <rFont val="Noto Sans CJK SC"/>
        <family val="2"/>
      </rPr>
      <t xml:space="preserve">營業租賃加權平均剩餘期限 </t>
    </r>
    <r>
      <rPr>
        <sz val="9"/>
        <color rgb="FF595959"/>
        <rFont val="Arial"/>
        <family val="0"/>
        <charset val="1"/>
      </rPr>
      <t xml:space="preserve">12 </t>
    </r>
    <r>
      <rPr>
        <sz val="9"/>
        <color rgb="FF595959"/>
        <rFont val="Noto Sans CJK SC"/>
        <family val="2"/>
      </rPr>
      <t xml:space="preserve">年）</t>
    </r>
    <r>
      <rPr>
        <sz val="9"/>
        <color rgb="FF595959"/>
        <rFont val="Arial"/>
        <family val="0"/>
        <charset val="1"/>
      </rPr>
      <t xml:space="preserve">[Derived]</t>
    </r>
  </si>
  <si>
    <t xml:space="preserve">在帳租賃負債（期末）</t>
  </si>
  <si>
    <r>
      <rPr>
        <sz val="9"/>
        <color rgb="FF595959"/>
        <rFont val="Noto Sans CJK SC"/>
        <family val="2"/>
      </rPr>
      <t xml:space="preserve">＝期末之後各期到期表現金（期中付款）＋模型期後尾端 </t>
    </r>
    <r>
      <rPr>
        <sz val="9"/>
        <color rgb="FF595959"/>
        <rFont val="Arial"/>
        <family val="0"/>
        <charset val="1"/>
      </rPr>
      <t xml:space="preserve">39.283</t>
    </r>
    <r>
      <rPr>
        <sz val="9"/>
        <color rgb="FF595959"/>
        <rFont val="Noto Sans CJK SC"/>
        <family val="2"/>
      </rPr>
      <t xml:space="preserve">（平均分攤、年中付款）的現值</t>
    </r>
  </si>
  <si>
    <t xml:space="preserve">未起租租約已起租部分的租賃負債（期末）</t>
  </si>
  <si>
    <r>
      <rPr>
        <sz val="9"/>
        <color rgb="FF595959"/>
        <rFont val="Noto Sans CJK SC"/>
        <family val="2"/>
      </rPr>
      <t xml:space="preserve">每季起租 總額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季數、每筆季末付租：已起租各筆剩餘租金現值合計（延誤連動部分起算季延後 延誤月數 </t>
    </r>
    <r>
      <rPr>
        <sz val="9"/>
        <color rgb="FF595959"/>
        <rFont val="Arial"/>
        <family val="0"/>
        <charset val="1"/>
      </rPr>
      <t xml:space="preserve">÷ 3</t>
    </r>
    <r>
      <rPr>
        <sz val="9"/>
        <color rgb="FF595959"/>
        <rFont val="Noto Sans CJK SC"/>
        <family val="2"/>
      </rPr>
      <t xml:space="preserve">）</t>
    </r>
  </si>
  <si>
    <t xml:space="preserve">租賃負債合計（期末）</t>
  </si>
  <si>
    <t xml:space="preserve">期前融資瀑布（缺口在需要前一期先融好：額度 → 資產層新債 → 股權）</t>
  </si>
  <si>
    <t xml:space="preserve">用途（不含新債利息）</t>
  </si>
  <si>
    <t xml:space="preserve">避免循環參照：直接由各支出列加總</t>
  </si>
  <si>
    <t xml:space="preserve">新債期初餘額</t>
  </si>
  <si>
    <r>
      <rPr>
        <sz val="10"/>
        <rFont val="Noto Sans CJK SC"/>
        <family val="2"/>
      </rPr>
      <t xml:space="preserve">新債利率 </t>
    </r>
    <r>
      <rPr>
        <sz val="10"/>
        <rFont val="Arial"/>
        <family val="0"/>
        <charset val="1"/>
      </rPr>
      <t xml:space="preserve">× </t>
    </r>
    <r>
      <rPr>
        <sz val="10"/>
        <rFont val="Noto Sans CJK SC"/>
        <family val="2"/>
      </rPr>
      <t xml:space="preserve">期間長度</t>
    </r>
  </si>
  <si>
    <t xml:space="preserve">高息債期初餘額</t>
  </si>
  <si>
    <t xml:space="preserve">可轉債（瀑布）期初餘額</t>
  </si>
  <si>
    <r>
      <rPr>
        <sz val="10"/>
        <rFont val="Noto Sans CJK SC"/>
        <family val="2"/>
      </rPr>
      <t xml:space="preserve">可轉債票息 </t>
    </r>
    <r>
      <rPr>
        <sz val="10"/>
        <rFont val="Arial"/>
        <family val="0"/>
        <charset val="1"/>
      </rPr>
      <t xml:space="preserve">× </t>
    </r>
    <r>
      <rPr>
        <sz val="10"/>
        <rFont val="Noto Sans CJK SC"/>
        <family val="2"/>
      </rPr>
      <t xml:space="preserve">期間長度</t>
    </r>
  </si>
  <si>
    <r>
      <rPr>
        <sz val="10"/>
        <rFont val="Noto Sans CJK SC"/>
        <family val="2"/>
      </rPr>
      <t xml:space="preserve">高息債利率 </t>
    </r>
    <r>
      <rPr>
        <sz val="10"/>
        <rFont val="Arial"/>
        <family val="0"/>
        <charset val="1"/>
      </rPr>
      <t xml:space="preserve">× </t>
    </r>
    <r>
      <rPr>
        <sz val="10"/>
        <rFont val="Noto Sans CJK SC"/>
        <family val="2"/>
      </rPr>
      <t xml:space="preserve">期間長度</t>
    </r>
  </si>
  <si>
    <t xml:space="preserve">融資前現金（扣既有新債利息）</t>
  </si>
  <si>
    <t xml:space="preserve">融資需求（補足至最低現金）</t>
  </si>
  <si>
    <r>
      <rPr>
        <sz val="10"/>
        <rFont val="Noto Sans CJK SC"/>
        <family val="2"/>
      </rPr>
      <t xml:space="preserve">期初 </t>
    </r>
    <r>
      <rPr>
        <sz val="10"/>
        <rFont val="Arial"/>
        <family val="0"/>
        <charset val="1"/>
      </rPr>
      <t xml:space="preserve">backlog</t>
    </r>
  </si>
  <si>
    <r>
      <rPr>
        <sz val="9"/>
        <color rgb="FF595959"/>
        <rFont val="Arial"/>
        <family val="0"/>
        <charset val="1"/>
      </rPr>
      <t xml:space="preserve">FY27 </t>
    </r>
    <r>
      <rPr>
        <sz val="9"/>
        <color rgb="FF595959"/>
        <rFont val="Noto Sans CJK SC"/>
        <family val="2"/>
      </rPr>
      <t xml:space="preserve">期初＝</t>
    </r>
    <r>
      <rPr>
        <sz val="9"/>
        <color rgb="FF595959"/>
        <rFont val="Arial"/>
        <family val="0"/>
        <charset val="1"/>
      </rPr>
      <t xml:space="preserve">8/31 RPO 664.0</t>
    </r>
    <r>
      <rPr>
        <sz val="9"/>
        <color rgb="FF595959"/>
        <rFont val="Noto Sans CJK SC"/>
        <family val="2"/>
      </rPr>
      <t xml:space="preserve">＋期後新增 </t>
    </r>
    <r>
      <rPr>
        <sz val="9"/>
        <color rgb="FF595959"/>
        <rFont val="Arial"/>
        <family val="0"/>
        <charset val="1"/>
      </rPr>
      <t xml:space="preserve">0.0</t>
    </r>
  </si>
  <si>
    <r>
      <rPr>
        <sz val="10"/>
        <rFont val="Noto Sans CJK SC"/>
        <family val="2"/>
      </rPr>
      <t xml:space="preserve">　新簽合約增量（年化增量</t>
    </r>
    <r>
      <rPr>
        <sz val="10"/>
        <rFont val="Arial"/>
        <family val="0"/>
        <charset val="1"/>
      </rPr>
      <t xml:space="preserve">×</t>
    </r>
    <r>
      <rPr>
        <sz val="10"/>
        <rFont val="Noto Sans CJK SC"/>
        <family val="2"/>
      </rPr>
      <t xml:space="preserve">年期）</t>
    </r>
  </si>
  <si>
    <r>
      <rPr>
        <sz val="10"/>
        <rFont val="Noto Sans CJK SC"/>
        <family val="2"/>
      </rPr>
      <t xml:space="preserve">期末 </t>
    </r>
    <r>
      <rPr>
        <sz val="10"/>
        <rFont val="Arial"/>
        <family val="0"/>
        <charset val="1"/>
      </rPr>
      <t xml:space="preserve">backlog</t>
    </r>
  </si>
  <si>
    <t xml:space="preserve">＝期初 − 排程認列 − 新簽約認列 ＋ 新簽合約增量</t>
  </si>
  <si>
    <t xml:space="preserve">既有債務＋期後可轉債（期末）</t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</si>
  <si>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Noto Sans CJK SC"/>
        <family val="2"/>
      </rPr>
      <t xml:space="preserve">依到期表遞減的既有本金，若關閉攤還則維持 </t>
    </r>
    <r>
      <rPr>
        <sz val="9"/>
        <color rgb="FF595959"/>
        <rFont val="Arial"/>
        <family val="0"/>
        <charset val="1"/>
      </rPr>
      <t xml:space="preserve">125.904)</t>
    </r>
    <r>
      <rPr>
        <sz val="9"/>
        <color rgb="FF595959"/>
        <rFont val="Noto Sans CJK SC"/>
        <family val="2"/>
      </rPr>
      <t xml:space="preserve">＋期後新發可轉債 </t>
    </r>
    <r>
      <rPr>
        <sz val="9"/>
        <color rgb="FF595959"/>
        <rFont val="Arial"/>
        <family val="0"/>
        <charset val="1"/>
      </rPr>
      <t xml:space="preserve">0</t>
    </r>
  </si>
  <si>
    <r>
      <rPr>
        <sz val="10"/>
        <rFont val="Noto Sans CJK SC"/>
        <family val="2"/>
      </rPr>
      <t xml:space="preserve">債務上限（投資級：倍數 </t>
    </r>
    <r>
      <rPr>
        <sz val="10"/>
        <rFont val="Arial"/>
        <family val="0"/>
        <charset val="1"/>
      </rPr>
      <t xml:space="preserve">× </t>
    </r>
    <r>
      <rPr>
        <sz val="10"/>
        <rFont val="Noto Sans CJK SC"/>
        <family val="2"/>
      </rPr>
      <t xml:space="preserve">當期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；或債務／</t>
    </r>
    <r>
      <rPr>
        <sz val="10"/>
        <rFont val="Arial"/>
        <family val="0"/>
        <charset val="1"/>
      </rPr>
      <t xml:space="preserve">backlog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</si>
  <si>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leaseAdj</t>
    </r>
    <r>
      <rPr>
        <sz val="9"/>
        <color rgb="FF595959"/>
        <rFont val="Noto Sans CJK SC"/>
        <family val="2"/>
      </rPr>
      <t xml:space="preserve">：總債務 ≤ 倍數 </t>
    </r>
    <r>
      <rPr>
        <sz val="9"/>
        <color rgb="FF595959"/>
        <rFont val="Arial"/>
        <family val="0"/>
        <charset val="1"/>
      </rPr>
      <t xml:space="preserve">×(</t>
    </r>
    <r>
      <rPr>
        <sz val="9"/>
        <color rgb="FF595959"/>
        <rFont val="Noto Sans CJK SC"/>
        <family val="2"/>
      </rPr>
      <t xml:space="preserve">損益 </t>
    </r>
    <r>
      <rPr>
        <sz val="9"/>
        <color rgb="FF595959"/>
        <rFont val="Arial"/>
        <family val="0"/>
        <charset val="1"/>
      </rPr>
      <t xml:space="preserve">EBITDA</t>
    </r>
    <r>
      <rPr>
        <sz val="9"/>
        <color rgb="FF595959"/>
        <rFont val="Noto Sans CJK SC"/>
        <family val="2"/>
      </rPr>
      <t xml:space="preserve">＋租金</t>
    </r>
    <r>
      <rPr>
        <sz val="9"/>
        <color rgb="FF595959"/>
        <rFont val="Arial"/>
        <family val="0"/>
        <charset val="1"/>
      </rPr>
      <t xml:space="preserve">)</t>
    </r>
    <r>
      <rPr>
        <sz val="9"/>
        <color rgb="FF595959"/>
        <rFont val="Noto Sans CJK SC"/>
        <family val="2"/>
      </rPr>
      <t xml:space="preserve">（年化）− 租賃負債（</t>
    </r>
    <r>
      <rPr>
        <sz val="9"/>
        <color rgb="FF595959"/>
        <rFont val="Arial"/>
        <family val="0"/>
        <charset val="1"/>
      </rPr>
      <t xml:space="preserve">v0.2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ebitda</t>
    </r>
    <r>
      <rPr>
        <sz val="9"/>
        <color rgb="FF595959"/>
        <rFont val="Noto Sans CJK SC"/>
        <family val="2"/>
      </rPr>
      <t xml:space="preserve">：總債務 ≤ 倍數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損益 </t>
    </r>
    <r>
      <rPr>
        <sz val="9"/>
        <color rgb="FF595959"/>
        <rFont val="Arial"/>
        <family val="0"/>
        <charset val="1"/>
      </rPr>
      <t xml:space="preserve">EBITDA</t>
    </r>
    <r>
      <rPr>
        <sz val="9"/>
        <color rgb="FF595959"/>
        <rFont val="Noto Sans CJK SC"/>
        <family val="2"/>
      </rPr>
      <t xml:space="preserve">（年化）；</t>
    </r>
    <r>
      <rPr>
        <sz val="9"/>
        <color rgb="FF595959"/>
        <rFont val="Arial"/>
        <family val="0"/>
        <charset val="1"/>
      </rPr>
      <t xml:space="preserve">backlog</t>
    </r>
    <r>
      <rPr>
        <sz val="9"/>
        <color rgb="FF595959"/>
        <rFont val="Noto Sans CJK SC"/>
        <family val="2"/>
      </rPr>
      <t xml:space="preserve">：總債務 ≤ 倍數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期末 </t>
    </r>
    <r>
      <rPr>
        <sz val="9"/>
        <color rgb="FF595959"/>
        <rFont val="Arial"/>
        <family val="0"/>
        <charset val="1"/>
      </rPr>
      <t xml:space="preserve">backlog</t>
    </r>
    <r>
      <rPr>
        <sz val="9"/>
        <color rgb="FF595959"/>
        <rFont val="Noto Sans CJK SC"/>
        <family val="2"/>
      </rPr>
      <t xml:space="preserve">（模板）</t>
    </r>
  </si>
  <si>
    <t xml:space="preserve">未動用額度（期初）</t>
  </si>
  <si>
    <t xml:space="preserve">新債可借上限</t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</si>
  <si>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MAX(</t>
    </r>
    <r>
      <rPr>
        <sz val="9"/>
        <color rgb="FF595959"/>
        <rFont val="Noto Sans CJK SC"/>
        <family val="2"/>
      </rPr>
      <t xml:space="preserve">上限 − 既有債務 − 期初新債 − 期初瀑布可轉債</t>
    </r>
    <r>
      <rPr>
        <sz val="9"/>
        <color rgb="FF595959"/>
        <rFont val="Arial"/>
        <family val="0"/>
        <charset val="1"/>
      </rPr>
      <t xml:space="preserve">, </t>
    </r>
    <r>
      <rPr>
        <sz val="9"/>
        <color rgb="FF595959"/>
        <rFont val="Noto Sans CJK SC"/>
        <family val="2"/>
      </rPr>
      <t xml:space="preserve">未動用額度</t>
    </r>
    <r>
      <rPr>
        <sz val="9"/>
        <color rgb="FF595959"/>
        <rFont val="Arial"/>
        <family val="0"/>
        <charset val="1"/>
      </rPr>
      <t xml:space="preserve">)</t>
    </r>
  </si>
  <si>
    <t xml:space="preserve">新債舉借</t>
  </si>
  <si>
    <r>
      <rPr>
        <sz val="9"/>
        <color rgb="FF595959"/>
        <rFont val="Noto Sans CJK SC"/>
        <family val="2"/>
      </rPr>
      <t xml:space="preserve">期前融資：期初到位，當期全額計息，所以需求要除以 </t>
    </r>
    <r>
      <rPr>
        <sz val="9"/>
        <color rgb="FF595959"/>
        <rFont val="Arial"/>
        <family val="0"/>
        <charset val="1"/>
      </rPr>
      <t xml:space="preserve">(1−</t>
    </r>
    <r>
      <rPr>
        <sz val="9"/>
        <color rgb="FF595959"/>
        <rFont val="Noto Sans CJK SC"/>
        <family val="2"/>
      </rPr>
      <t xml:space="preserve">利率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期間</t>
    </r>
    <r>
      <rPr>
        <sz val="9"/>
        <color rgb="FF595959"/>
        <rFont val="Arial"/>
        <family val="0"/>
        <charset val="1"/>
      </rPr>
      <t xml:space="preserve">)</t>
    </r>
  </si>
  <si>
    <t xml:space="preserve">債務後剩餘需求</t>
  </si>
  <si>
    <t xml:space="preserve">可轉債可發行上限</t>
  </si>
  <si>
    <r>
      <rPr>
        <sz val="9"/>
        <color rgb="FF595959"/>
        <rFont val="Noto Sans CJK SC"/>
        <family val="2"/>
      </rPr>
      <t xml:space="preserve">＝每年上限（隨情境）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期間長度</t>
    </r>
  </si>
  <si>
    <t xml:space="preserve">可轉債發行</t>
  </si>
  <si>
    <t xml:space="preserve">期前融資：期初到位、當期全額計息</t>
  </si>
  <si>
    <t xml:space="preserve">可轉債後剩餘需求</t>
  </si>
  <si>
    <t xml:space="preserve">每年股權吸收上限</t>
  </si>
  <si>
    <r>
      <rPr>
        <sz val="9"/>
        <color rgb="FF595959"/>
        <rFont val="Noto Sans CJK SC"/>
        <family val="2"/>
      </rPr>
      <t xml:space="preserve">＝現市值（發行參考價 </t>
    </r>
    <r>
      <rPr>
        <sz val="9"/>
        <color rgb="FF595959"/>
        <rFont val="Arial"/>
        <family val="0"/>
        <charset val="1"/>
      </rPr>
      <t xml:space="preserve">× 3.02374bn </t>
    </r>
    <r>
      <rPr>
        <sz val="9"/>
        <color rgb="FF595959"/>
        <rFont val="Noto Sans CJK SC"/>
        <family val="2"/>
      </rPr>
      <t xml:space="preserve">股）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上限 </t>
    </r>
    <r>
      <rPr>
        <sz val="9"/>
        <color rgb="FF595959"/>
        <rFont val="Arial"/>
        <family val="0"/>
        <charset val="1"/>
      </rPr>
      <t xml:space="preserve">% × </t>
    </r>
    <r>
      <rPr>
        <sz val="9"/>
        <color rgb="FF595959"/>
        <rFont val="Noto Sans CJK SC"/>
        <family val="2"/>
      </rPr>
      <t xml:space="preserve">期間長度</t>
    </r>
  </si>
  <si>
    <t xml:space="preserve">股權募資</t>
  </si>
  <si>
    <t xml:space="preserve">高息債舉借（溢出）</t>
  </si>
  <si>
    <t xml:space="preserve">新債＋高息債利息（期初餘額＋本期舉借）</t>
  </si>
  <si>
    <r>
      <rPr>
        <sz val="9"/>
        <color rgb="FF595959"/>
        <rFont val="Noto Sans CJK SC"/>
        <family val="2"/>
      </rPr>
      <t xml:space="preserve">含瀑布可轉債票息（</t>
    </r>
    <r>
      <rPr>
        <sz val="9"/>
        <color rgb="FF595959"/>
        <rFont val="Arial"/>
        <family val="0"/>
        <charset val="1"/>
      </rPr>
      <t xml:space="preserve">v0.1b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</si>
  <si>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發行價（現價</t>
    </r>
    <r>
      <rPr>
        <sz val="10"/>
        <rFont val="Arial"/>
        <family val="0"/>
        <charset val="1"/>
      </rPr>
      <t xml:space="preserve">×(1−</t>
    </r>
    <r>
      <rPr>
        <sz val="10"/>
        <rFont val="Noto Sans CJK SC"/>
        <family val="2"/>
      </rPr>
      <t xml:space="preserve">折價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）</t>
    </r>
  </si>
  <si>
    <t xml:space="preserve">新發行股數</t>
  </si>
  <si>
    <t xml:space="preserve">累計新股</t>
  </si>
  <si>
    <t xml:space="preserve">新債期末餘額</t>
  </si>
  <si>
    <t xml:space="preserve">未動用額度（期末）</t>
  </si>
  <si>
    <t xml:space="preserve">高息債期末餘額</t>
  </si>
  <si>
    <t xml:space="preserve">可轉債（瀑布）期末餘額</t>
  </si>
  <si>
    <t xml:space="preserve">期末總債務（既有＋可轉債＋新債＋高息債）</t>
  </si>
  <si>
    <t xml:space="preserve">融資前累積現金</t>
  </si>
  <si>
    <t xml:space="preserve">若不做任何新融資的累積現金；負值＝外部資金需求</t>
  </si>
  <si>
    <t xml:space="preserve">四層橋（驗算）</t>
  </si>
  <si>
    <r>
      <rPr>
        <sz val="10"/>
        <rFont val="Noto Sans CJK SC"/>
        <family val="2"/>
      </rPr>
      <t xml:space="preserve">期初現金（</t>
    </r>
    <r>
      <rPr>
        <sz val="10"/>
        <rFont val="Arial"/>
        <family val="0"/>
        <charset val="1"/>
      </rPr>
      <t xml:space="preserve">2026-05-31</t>
    </r>
    <r>
      <rPr>
        <sz val="10"/>
        <rFont val="Noto Sans CJK SC"/>
        <family val="2"/>
      </rPr>
      <t xml:space="preserve">）</t>
    </r>
  </si>
  <si>
    <t xml:space="preserve">＋ 營運缺口合計</t>
  </si>
  <si>
    <t xml:space="preserve">＋ 股權／可轉債合計</t>
  </si>
  <si>
    <r>
      <rPr>
        <sz val="10"/>
        <rFont val="Noto Sans CJK SC"/>
        <family val="2"/>
      </rPr>
      <t xml:space="preserve">＋ </t>
    </r>
    <r>
      <rPr>
        <sz val="10"/>
        <rFont val="Arial"/>
        <family val="0"/>
        <charset val="1"/>
      </rPr>
      <t xml:space="preserve">1Q </t>
    </r>
    <r>
      <rPr>
        <sz val="10"/>
        <rFont val="Noto Sans CJK SC"/>
        <family val="2"/>
      </rPr>
      <t xml:space="preserve">實際借款</t>
    </r>
  </si>
  <si>
    <r>
      <rPr>
        <sz val="10"/>
        <rFont val="Arial"/>
        <family val="0"/>
        <charset val="1"/>
      </rPr>
      <t xml:space="preserve">− capped call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1Q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</si>
  <si>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＋ </t>
    </r>
    <r>
      <rPr>
        <sz val="10"/>
        <rFont val="Arial"/>
        <family val="0"/>
        <charset val="1"/>
      </rPr>
      <t xml:space="preserve">1Q </t>
    </r>
    <r>
      <rPr>
        <sz val="10"/>
        <rFont val="Noto Sans CJK SC"/>
        <family val="2"/>
      </rPr>
      <t xml:space="preserve">其他／受限現金調節</t>
    </r>
  </si>
  <si>
    <t xml:space="preserve">＋ 瀑布新債＋可轉債＋股權＋高息債合計</t>
  </si>
  <si>
    <t xml:space="preserve">− 排程還本合計</t>
  </si>
  <si>
    <t xml:space="preserve">＝ 期末現金（橋算）</t>
  </si>
  <si>
    <t xml:space="preserve">對照：期末累積現金（表算）</t>
  </si>
  <si>
    <r>
      <rPr>
        <b val="true"/>
        <sz val="10"/>
        <rFont val="Noto Sans CJK SC"/>
        <family val="2"/>
      </rPr>
      <t xml:space="preserve">差異（應為 </t>
    </r>
    <r>
      <rPr>
        <b val="true"/>
        <sz val="10"/>
        <rFont val="Arial"/>
        <family val="0"/>
        <charset val="1"/>
      </rPr>
      <t xml:space="preserve">0</t>
    </r>
    <r>
      <rPr>
        <b val="true"/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</si>
  <si>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若不為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，表示公式鏈被改壞</t>
    </r>
  </si>
  <si>
    <r>
      <rPr>
        <b val="true"/>
        <sz val="10"/>
        <rFont val="Arial"/>
        <family val="0"/>
        <charset val="1"/>
      </rPr>
      <t xml:space="preserve">FY27 </t>
    </r>
    <r>
      <rPr>
        <b val="true"/>
        <sz val="10"/>
        <rFont val="Noto Sans CJK SC"/>
        <family val="2"/>
      </rPr>
      <t xml:space="preserve">全年備忘（對照公司指引）</t>
    </r>
  </si>
  <si>
    <r>
      <rPr>
        <sz val="10"/>
        <rFont val="Arial"/>
        <family val="0"/>
        <charset val="1"/>
      </rPr>
      <t xml:space="preserve">FY27 </t>
    </r>
    <r>
      <rPr>
        <sz val="10"/>
        <rFont val="Noto Sans CJK SC"/>
        <family val="2"/>
      </rPr>
      <t xml:space="preserve">總營收（</t>
    </r>
    <r>
      <rPr>
        <sz val="10"/>
        <rFont val="Arial"/>
        <family val="0"/>
        <charset val="1"/>
      </rPr>
      <t xml:space="preserve">1Q </t>
    </r>
    <r>
      <rPr>
        <sz val="10"/>
        <rFont val="Noto Sans CJK SC"/>
        <family val="2"/>
      </rPr>
      <t xml:space="preserve">實際＋</t>
    </r>
    <r>
      <rPr>
        <sz val="10"/>
        <rFont val="Arial"/>
        <family val="0"/>
        <charset val="1"/>
      </rPr>
      <t xml:space="preserve">2Q–4Q </t>
    </r>
    <r>
      <rPr>
        <sz val="10"/>
        <rFont val="Noto Sans CJK SC"/>
        <family val="2"/>
      </rPr>
      <t xml:space="preserve">模型）</t>
    </r>
  </si>
  <si>
    <r>
      <rPr>
        <sz val="9"/>
        <color rgb="FF595959"/>
        <rFont val="Noto Sans CJK SC"/>
        <family val="2"/>
      </rPr>
      <t xml:space="preserve">公司指引 ≥</t>
    </r>
    <r>
      <rPr>
        <sz val="9"/>
        <color rgb="FF595959"/>
        <rFont val="Arial"/>
        <family val="0"/>
        <charset val="1"/>
      </rPr>
      <t xml:space="preserve">90</t>
    </r>
  </si>
  <si>
    <r>
      <rPr>
        <sz val="10"/>
        <rFont val="Arial"/>
        <family val="0"/>
        <charset val="1"/>
      </rPr>
      <t xml:space="preserve">FY27 CapEx </t>
    </r>
    <r>
      <rPr>
        <sz val="10"/>
        <rFont val="Noto Sans CJK SC"/>
        <family val="2"/>
      </rPr>
      <t xml:space="preserve">認列（</t>
    </r>
    <r>
      <rPr>
        <sz val="10"/>
        <rFont val="Arial"/>
        <family val="0"/>
        <charset val="1"/>
      </rPr>
      <t xml:space="preserve">1Q</t>
    </r>
    <r>
      <rPr>
        <sz val="10"/>
        <rFont val="Noto Sans CJK SC"/>
        <family val="2"/>
      </rPr>
      <t xml:space="preserve">＋</t>
    </r>
    <r>
      <rPr>
        <sz val="10"/>
        <rFont val="Arial"/>
        <family val="0"/>
        <charset val="1"/>
      </rPr>
      <t xml:space="preserve">2Q–4Q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</si>
  <si>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公司指引 </t>
    </r>
    <r>
      <rPr>
        <sz val="9"/>
        <color rgb="FF595959"/>
        <rFont val="Arial"/>
        <family val="0"/>
        <charset val="1"/>
      </rPr>
      <t xml:space="preserve">90–95</t>
    </r>
    <r>
      <rPr>
        <sz val="9"/>
        <color rgb="FF595959"/>
        <rFont val="Noto Sans CJK SC"/>
        <family val="2"/>
      </rPr>
      <t xml:space="preserve">（法說會二手逐字稿；新聞稿與 </t>
    </r>
    <r>
      <rPr>
        <sz val="9"/>
        <color rgb="FF595959"/>
        <rFont val="Arial"/>
        <family val="0"/>
        <charset val="1"/>
      </rPr>
      <t xml:space="preserve">10-Q </t>
    </r>
    <r>
      <rPr>
        <sz val="9"/>
        <color rgb="FF595959"/>
        <rFont val="Noto Sans CJK SC"/>
        <family val="2"/>
      </rPr>
      <t xml:space="preserve">未列 </t>
    </r>
    <r>
      <rPr>
        <sz val="9"/>
        <color rgb="FF595959"/>
        <rFont val="Arial"/>
        <family val="0"/>
        <charset val="1"/>
      </rPr>
      <t xml:space="preserve">[Interested-party]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</si>
  <si>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Arial"/>
        <family val="0"/>
        <charset val="1"/>
      </rPr>
      <t xml:space="preserve">FY27 </t>
    </r>
    <r>
      <rPr>
        <sz val="10"/>
        <rFont val="Noto Sans CJK SC"/>
        <family val="2"/>
      </rPr>
      <t xml:space="preserve">利息（</t>
    </r>
    <r>
      <rPr>
        <sz val="10"/>
        <rFont val="Arial"/>
        <family val="0"/>
        <charset val="1"/>
      </rPr>
      <t xml:space="preserve">1Q </t>
    </r>
    <r>
      <rPr>
        <sz val="10"/>
        <rFont val="Noto Sans CJK SC"/>
        <family val="2"/>
      </rPr>
      <t xml:space="preserve">實際＋</t>
    </r>
    <r>
      <rPr>
        <sz val="10"/>
        <rFont val="Arial"/>
        <family val="0"/>
        <charset val="1"/>
      </rPr>
      <t xml:space="preserve">2Q–4Q </t>
    </r>
    <r>
      <rPr>
        <sz val="10"/>
        <rFont val="Noto Sans CJK SC"/>
        <family val="2"/>
      </rPr>
      <t xml:space="preserve">模型）</t>
    </r>
  </si>
  <si>
    <t xml:space="preserve">公司未提供季度利息指引</t>
  </si>
  <si>
    <r>
      <rPr>
        <sz val="10"/>
        <rFont val="Arial"/>
        <family val="0"/>
        <charset val="1"/>
      </rPr>
      <t xml:space="preserve">FY27 </t>
    </r>
    <r>
      <rPr>
        <sz val="10"/>
        <rFont val="Noto Sans CJK SC"/>
        <family val="2"/>
      </rPr>
      <t xml:space="preserve">租賃現金（</t>
    </r>
    <r>
      <rPr>
        <sz val="10"/>
        <rFont val="Arial"/>
        <family val="0"/>
        <charset val="1"/>
      </rPr>
      <t xml:space="preserve">1Q </t>
    </r>
    <r>
      <rPr>
        <sz val="10"/>
        <rFont val="Noto Sans CJK SC"/>
        <family val="2"/>
      </rPr>
      <t xml:space="preserve">實際＋</t>
    </r>
    <r>
      <rPr>
        <sz val="10"/>
        <rFont val="Arial"/>
        <family val="0"/>
        <charset val="1"/>
      </rPr>
      <t xml:space="preserve">2Q–4Q </t>
    </r>
    <r>
      <rPr>
        <sz val="10"/>
        <rFont val="Noto Sans CJK SC"/>
        <family val="2"/>
      </rPr>
      <t xml:space="preserve">模型）</t>
    </r>
  </si>
  <si>
    <r>
      <rPr>
        <sz val="9"/>
        <color rgb="FF595959"/>
        <rFont val="Arial"/>
        <family val="0"/>
        <charset val="1"/>
      </rPr>
      <t xml:space="preserve">1Q </t>
    </r>
    <r>
      <rPr>
        <sz val="9"/>
        <color rgb="FF595959"/>
        <rFont val="Noto Sans CJK SC"/>
        <family val="2"/>
      </rPr>
      <t xml:space="preserve">實際支付 </t>
    </r>
    <r>
      <rPr>
        <sz val="9"/>
        <color rgb="FF595959"/>
        <rFont val="Arial"/>
        <family val="0"/>
        <charset val="1"/>
      </rPr>
      <t xml:space="preserve">1.136</t>
    </r>
  </si>
  <si>
    <r>
      <rPr>
        <sz val="10"/>
        <rFont val="Arial"/>
        <family val="0"/>
        <charset val="1"/>
      </rPr>
      <t xml:space="preserve">FY27 </t>
    </r>
    <r>
      <rPr>
        <sz val="10"/>
        <rFont val="Noto Sans CJK SC"/>
        <family val="2"/>
      </rPr>
      <t xml:space="preserve">排程還本（</t>
    </r>
    <r>
      <rPr>
        <sz val="10"/>
        <rFont val="Arial"/>
        <family val="0"/>
        <charset val="1"/>
      </rPr>
      <t xml:space="preserve">1Q </t>
    </r>
    <r>
      <rPr>
        <sz val="10"/>
        <rFont val="Noto Sans CJK SC"/>
        <family val="2"/>
      </rPr>
      <t xml:space="preserve">實際＋</t>
    </r>
    <r>
      <rPr>
        <sz val="10"/>
        <rFont val="Arial"/>
        <family val="0"/>
        <charset val="1"/>
      </rPr>
      <t xml:space="preserve">2Q–4Q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</si>
  <si>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1Q </t>
    </r>
    <r>
      <rPr>
        <sz val="9"/>
        <color rgb="FF595959"/>
        <rFont val="Noto Sans CJK SC"/>
        <family val="2"/>
      </rPr>
      <t xml:space="preserve">實際還款 </t>
    </r>
    <r>
      <rPr>
        <sz val="9"/>
        <color rgb="FF595959"/>
        <rFont val="Arial"/>
        <family val="0"/>
        <charset val="1"/>
      </rPr>
      <t xml:space="preserve">4.202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2Q–4Q </t>
    </r>
    <r>
      <rPr>
        <sz val="9"/>
        <color rgb="FF595959"/>
        <rFont val="Noto Sans CJK SC"/>
        <family val="2"/>
      </rPr>
      <t xml:space="preserve">到期表 </t>
    </r>
    <r>
      <rPr>
        <sz val="9"/>
        <color rgb="FF595959"/>
        <rFont val="Arial"/>
        <family val="0"/>
        <charset val="1"/>
      </rPr>
      <t xml:space="preserve">3.007</t>
    </r>
  </si>
  <si>
    <t xml:space="preserve">季度追蹤 — 焦點季的模型／共識／指引／實際與差距（由年度模型拆分；只用於追蹤，不影響年度數字與目標價）</t>
  </si>
  <si>
    <r>
      <rPr>
        <sz val="9"/>
        <color rgb="FF595959"/>
        <rFont val="Noto Sans CJK SC"/>
        <family val="2"/>
      </rPr>
      <t xml:space="preserve">設定與實際數在『輸入與假設』</t>
    </r>
    <r>
      <rPr>
        <sz val="9"/>
        <color rgb="FF595959"/>
        <rFont val="Arial"/>
        <family val="0"/>
        <charset val="1"/>
      </rPr>
      <t xml:space="preserve">J </t>
    </r>
    <r>
      <rPr>
        <sz val="9"/>
        <color rgb="FF595959"/>
        <rFont val="Noto Sans CJK SC"/>
        <family val="2"/>
      </rPr>
      <t xml:space="preserve">區，共識在 </t>
    </r>
    <r>
      <rPr>
        <sz val="9"/>
        <color rgb="FF595959"/>
        <rFont val="Arial"/>
        <family val="0"/>
        <charset val="1"/>
      </rPr>
      <t xml:space="preserve">I </t>
    </r>
    <r>
      <rPr>
        <sz val="9"/>
        <color rgb="FF595959"/>
        <rFont val="Noto Sans CJK SC"/>
        <family val="2"/>
      </rPr>
      <t xml:space="preserve">區；缺資料顯示「不適用」，實際數空白＝待公布。差距超過門檻的項目附差異原因（拆法＝所屬期間合計差距在門檻內）。第 </t>
    </r>
    <r>
      <rPr>
        <sz val="9"/>
        <color rgb="FF595959"/>
        <rFont val="Arial"/>
        <family val="0"/>
        <charset val="1"/>
      </rPr>
      <t xml:space="preserve">2 </t>
    </r>
    <r>
      <rPr>
        <sz val="9"/>
        <color rgb="FF595959"/>
        <rFont val="Noto Sans CJK SC"/>
        <family val="2"/>
      </rPr>
      <t xml:space="preserve">區為 </t>
    </r>
    <r>
      <rPr>
        <sz val="9"/>
        <color rgb="FF595959"/>
        <rFont val="Arial"/>
        <family val="0"/>
        <charset val="1"/>
      </rPr>
      <t xml:space="preserve">6 </t>
    </r>
    <r>
      <rPr>
        <sz val="9"/>
        <color rgb="FF595959"/>
        <rFont val="Noto Sans CJK SC"/>
        <family val="2"/>
      </rPr>
      <t xml:space="preserve">季路徑與拆分明細（預設收合）。</t>
    </r>
  </si>
  <si>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｜焦點季（『輸入與假設』</t>
    </r>
    <r>
      <rPr>
        <b val="true"/>
        <sz val="10"/>
        <rFont val="Arial"/>
        <family val="0"/>
        <charset val="1"/>
      </rPr>
      <t xml:space="preserve">J </t>
    </r>
    <r>
      <rPr>
        <b val="true"/>
        <sz val="10"/>
        <rFont val="Noto Sans CJK SC"/>
        <family val="2"/>
      </rPr>
      <t xml:space="preserve">區選擇）：模型／共識／指引／實際與差距</t>
    </r>
  </si>
  <si>
    <t xml:space="preserve">指標</t>
  </si>
  <si>
    <t xml:space="preserve">模型</t>
  </si>
  <si>
    <t xml:space="preserve">共識</t>
  </si>
  <si>
    <r>
      <rPr>
        <b val="true"/>
        <sz val="11"/>
        <color rgb="FFFFFFFF"/>
        <rFont val="Noto Sans CJK SC"/>
        <family val="2"/>
      </rPr>
      <t xml:space="preserve">模型 </t>
    </r>
    <r>
      <rPr>
        <b val="true"/>
        <sz val="11"/>
        <color rgb="FFFFFFFF"/>
        <rFont val="Arial"/>
        <family val="0"/>
        <charset val="1"/>
      </rPr>
      <t xml:space="preserve">vs </t>
    </r>
    <r>
      <rPr>
        <b val="true"/>
        <sz val="11"/>
        <color rgb="FFFFFFFF"/>
        <rFont val="Noto Sans CJK SC"/>
        <family val="2"/>
      </rPr>
      <t xml:space="preserve">共識</t>
    </r>
  </si>
  <si>
    <t xml:space="preserve">指引（低）</t>
  </si>
  <si>
    <t xml:space="preserve">指引（高）</t>
  </si>
  <si>
    <r>
      <rPr>
        <b val="true"/>
        <sz val="11"/>
        <color rgb="FFFFFFFF"/>
        <rFont val="Noto Sans CJK SC"/>
        <family val="2"/>
      </rPr>
      <t xml:space="preserve">模型 </t>
    </r>
    <r>
      <rPr>
        <b val="true"/>
        <sz val="11"/>
        <color rgb="FFFFFFFF"/>
        <rFont val="Arial"/>
        <family val="0"/>
        <charset val="1"/>
      </rPr>
      <t xml:space="preserve">vs </t>
    </r>
    <r>
      <rPr>
        <b val="true"/>
        <sz val="11"/>
        <color rgb="FFFFFFFF"/>
        <rFont val="Noto Sans CJK SC"/>
        <family val="2"/>
      </rPr>
      <t xml:space="preserve">指引中點</t>
    </r>
  </si>
  <si>
    <t xml:space="preserve">實際</t>
  </si>
  <si>
    <r>
      <rPr>
        <b val="true"/>
        <sz val="11"/>
        <color rgb="FFFFFFFF"/>
        <rFont val="Noto Sans CJK SC"/>
        <family val="2"/>
      </rPr>
      <t xml:space="preserve">實際 </t>
    </r>
    <r>
      <rPr>
        <b val="true"/>
        <sz val="11"/>
        <color rgb="FFFFFFFF"/>
        <rFont val="Arial"/>
        <family val="0"/>
        <charset val="1"/>
      </rPr>
      <t xml:space="preserve">vs </t>
    </r>
    <r>
      <rPr>
        <b val="true"/>
        <sz val="11"/>
        <color rgb="FFFFFFFF"/>
        <rFont val="Noto Sans CJK SC"/>
        <family val="2"/>
      </rPr>
      <t xml:space="preserve">模型</t>
    </r>
  </si>
  <si>
    <r>
      <rPr>
        <b val="true"/>
        <sz val="11"/>
        <color rgb="FFFFFFFF"/>
        <rFont val="Noto Sans CJK SC"/>
        <family val="2"/>
      </rPr>
      <t xml:space="preserve">實際 </t>
    </r>
    <r>
      <rPr>
        <b val="true"/>
        <sz val="11"/>
        <color rgb="FFFFFFFF"/>
        <rFont val="Arial"/>
        <family val="0"/>
        <charset val="1"/>
      </rPr>
      <t xml:space="preserve">vs </t>
    </r>
    <r>
      <rPr>
        <b val="true"/>
        <sz val="11"/>
        <color rgb="FFFFFFFF"/>
        <rFont val="Noto Sans CJK SC"/>
        <family val="2"/>
      </rPr>
      <t xml:space="preserve">共識</t>
    </r>
  </si>
  <si>
    <r>
      <rPr>
        <b val="true"/>
        <sz val="11"/>
        <color rgb="FFFFFFFF"/>
        <rFont val="Noto Sans CJK SC"/>
        <family val="2"/>
      </rPr>
      <t xml:space="preserve">實際 </t>
    </r>
    <r>
      <rPr>
        <b val="true"/>
        <sz val="11"/>
        <color rgb="FFFFFFFF"/>
        <rFont val="Arial"/>
        <family val="0"/>
        <charset val="1"/>
      </rPr>
      <t xml:space="preserve">vs </t>
    </r>
    <r>
      <rPr>
        <b val="true"/>
        <sz val="11"/>
        <color rgb="FFFFFFFF"/>
        <rFont val="Noto Sans CJK SC"/>
        <family val="2"/>
      </rPr>
      <t xml:space="preserve">指引中點</t>
    </r>
  </si>
  <si>
    <r>
      <rPr>
        <b val="true"/>
        <sz val="11"/>
        <color rgb="FFFFFFFF"/>
        <rFont val="Noto Sans CJK SC"/>
        <family val="2"/>
      </rPr>
      <t xml:space="preserve">利潤率 </t>
    </r>
    <r>
      <rPr>
        <b val="true"/>
        <sz val="11"/>
        <color rgb="FFFFFFFF"/>
        <rFont val="Arial"/>
        <family val="0"/>
        <charset val="1"/>
      </rPr>
      <t xml:space="preserve">pt</t>
    </r>
    <r>
      <rPr>
        <b val="true"/>
        <sz val="11"/>
        <color rgb="FFFFFFFF"/>
        <rFont val="Noto Sans CJK SC"/>
        <family val="2"/>
      </rPr>
      <t xml:space="preserve">：模型 </t>
    </r>
    <r>
      <rPr>
        <b val="true"/>
        <sz val="11"/>
        <color rgb="FFFFFFFF"/>
        <rFont val="Arial"/>
        <family val="0"/>
        <charset val="1"/>
      </rPr>
      <t xml:space="preserve">vs </t>
    </r>
    <r>
      <rPr>
        <b val="true"/>
        <sz val="11"/>
        <color rgb="FFFFFFFF"/>
        <rFont val="Noto Sans CJK SC"/>
        <family val="2"/>
      </rPr>
      <t xml:space="preserve">共識</t>
    </r>
  </si>
  <si>
    <r>
      <rPr>
        <b val="true"/>
        <sz val="11"/>
        <color rgb="FFFFFFFF"/>
        <rFont val="Noto Sans CJK SC"/>
        <family val="2"/>
      </rPr>
      <t xml:space="preserve">模型 </t>
    </r>
    <r>
      <rPr>
        <b val="true"/>
        <sz val="11"/>
        <color rgb="FFFFFFFF"/>
        <rFont val="Arial"/>
        <family val="0"/>
        <charset val="1"/>
      </rPr>
      <t xml:space="preserve">vs </t>
    </r>
    <r>
      <rPr>
        <b val="true"/>
        <sz val="11"/>
        <color rgb="FFFFFFFF"/>
        <rFont val="Noto Sans CJK SC"/>
        <family val="2"/>
      </rPr>
      <t xml:space="preserve">指引</t>
    </r>
  </si>
  <si>
    <r>
      <rPr>
        <b val="true"/>
        <sz val="11"/>
        <color rgb="FFFFFFFF"/>
        <rFont val="Noto Sans CJK SC"/>
        <family val="2"/>
      </rPr>
      <t xml:space="preserve">實際 </t>
    </r>
    <r>
      <rPr>
        <b val="true"/>
        <sz val="11"/>
        <color rgb="FFFFFFFF"/>
        <rFont val="Arial"/>
        <family val="0"/>
        <charset val="1"/>
      </rPr>
      <t xml:space="preserve">vs </t>
    </r>
    <r>
      <rPr>
        <b val="true"/>
        <sz val="11"/>
        <color rgb="FFFFFFFF"/>
        <rFont val="Noto Sans CJK SC"/>
        <family val="2"/>
      </rPr>
      <t xml:space="preserve">指引</t>
    </r>
  </si>
  <si>
    <t xml:space="preserve">焦點｜營收</t>
  </si>
  <si>
    <r>
      <rPr>
        <sz val="10"/>
        <rFont val="Noto Sans CJK SC"/>
        <family val="2"/>
      </rPr>
      <t xml:space="preserve">焦點｜調整後 </t>
    </r>
    <r>
      <rPr>
        <sz val="10"/>
        <rFont val="Arial"/>
        <family val="0"/>
        <charset val="1"/>
      </rPr>
      <t xml:space="preserve">EBITDA</t>
    </r>
  </si>
  <si>
    <r>
      <rPr>
        <sz val="10"/>
        <rFont val="Noto Sans CJK SC"/>
        <family val="2"/>
      </rPr>
      <t xml:space="preserve">焦點｜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</t>
    </r>
  </si>
  <si>
    <t xml:space="preserve">焦點｜調整後營業利益</t>
  </si>
  <si>
    <r>
      <rPr>
        <sz val="10"/>
        <rFont val="Noto Sans CJK SC"/>
        <family val="2"/>
      </rPr>
      <t xml:space="preserve">焦點｜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（毛額）</t>
    </r>
  </si>
  <si>
    <r>
      <rPr>
        <sz val="10"/>
        <rFont val="Noto Sans CJK SC"/>
        <family val="2"/>
      </rPr>
      <t xml:space="preserve">焦點｜季末已連網 </t>
    </r>
    <r>
      <rPr>
        <sz val="10"/>
        <rFont val="Arial"/>
        <family val="0"/>
        <charset val="1"/>
      </rPr>
      <t xml:space="preserve">MW-IT</t>
    </r>
  </si>
  <si>
    <t xml:space="preserve">焦點｜季度</t>
  </si>
  <si>
    <t xml:space="preserve">焦點｜差異原因</t>
  </si>
  <si>
    <r>
      <rPr>
        <b val="true"/>
        <sz val="10"/>
        <rFont val="Arial"/>
        <family val="0"/>
        <charset val="1"/>
      </rPr>
      <t xml:space="preserve">2</t>
    </r>
    <r>
      <rPr>
        <b val="true"/>
        <sz val="10"/>
        <rFont val="Noto Sans CJK SC"/>
        <family val="2"/>
      </rPr>
      <t xml:space="preserve">｜</t>
    </r>
    <r>
      <rPr>
        <b val="true"/>
        <sz val="10"/>
        <rFont val="Arial"/>
        <family val="0"/>
        <charset val="1"/>
      </rPr>
      <t xml:space="preserve">6 </t>
    </r>
    <r>
      <rPr>
        <b val="true"/>
        <sz val="10"/>
        <rFont val="Noto Sans CJK SC"/>
        <family val="2"/>
      </rPr>
      <t xml:space="preserve">季路徑、共識、指引、實際與差距（明細；第 </t>
    </r>
    <r>
      <rPr>
        <b val="true"/>
        <sz val="10"/>
        <rFont val="Arial"/>
        <family val="0"/>
        <charset val="1"/>
      </rPr>
      <t xml:space="preserve">1 </t>
    </r>
    <r>
      <rPr>
        <b val="true"/>
        <sz val="10"/>
        <rFont val="Noto Sans CJK SC"/>
        <family val="2"/>
      </rPr>
      <t xml:space="preserve">區以焦點季引用本區）</t>
    </r>
  </si>
  <si>
    <t xml:space="preserve">所屬期間</t>
  </si>
  <si>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2Q–4Q27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FY28</t>
    </r>
  </si>
  <si>
    <t xml:space="preserve">季序</t>
  </si>
  <si>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Noto Sans CJK SC"/>
        <family val="2"/>
      </rPr>
      <t xml:space="preserve">率直線的 </t>
    </r>
    <r>
      <rPr>
        <sz val="9"/>
        <color rgb="FF595959"/>
        <rFont val="Arial"/>
        <family val="0"/>
        <charset val="1"/>
      </rPr>
      <t xml:space="preserve">x </t>
    </r>
    <r>
      <rPr>
        <sz val="9"/>
        <color rgb="FF595959"/>
        <rFont val="Noto Sans CJK SC"/>
        <family val="2"/>
      </rPr>
      <t xml:space="preserve">軸</t>
    </r>
  </si>
  <si>
    <r>
      <rPr>
        <sz val="10"/>
        <rFont val="Noto Sans CJK SC"/>
        <family val="2"/>
      </rPr>
      <t xml:space="preserve">季末已連網 </t>
    </r>
    <r>
      <rPr>
        <sz val="10"/>
        <rFont val="Arial"/>
        <family val="0"/>
        <charset val="1"/>
      </rPr>
      <t xml:space="preserve">MW-IT</t>
    </r>
    <r>
      <rPr>
        <sz val="10"/>
        <rFont val="Noto Sans CJK SC"/>
        <family val="2"/>
      </rPr>
      <t xml:space="preserve">（模型）</t>
    </r>
  </si>
  <si>
    <r>
      <rPr>
        <sz val="9"/>
        <color rgb="FF595959"/>
        <rFont val="Noto Sans CJK SC"/>
        <family val="2"/>
      </rPr>
      <t xml:space="preserve">期初與期末 </t>
    </r>
    <r>
      <rPr>
        <sz val="9"/>
        <color rgb="FF595959"/>
        <rFont val="Arial"/>
        <family val="0"/>
        <charset val="1"/>
      </rPr>
      <t xml:space="preserve">Accepted </t>
    </r>
    <r>
      <rPr>
        <sz val="9"/>
        <color rgb="FF595959"/>
        <rFont val="Noto Sans CJK SC"/>
        <family val="2"/>
      </rPr>
      <t xml:space="preserve">之間線性內插；第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期起點見 </t>
    </r>
    <r>
      <rPr>
        <sz val="9"/>
        <color rgb="FF595959"/>
        <rFont val="Arial"/>
        <family val="0"/>
        <charset val="1"/>
      </rPr>
      <t xml:space="preserve">J </t>
    </r>
    <r>
      <rPr>
        <sz val="9"/>
        <color rgb="FF595959"/>
        <rFont val="Noto Sans CJK SC"/>
        <family val="2"/>
      </rPr>
      <t xml:space="preserve">區</t>
    </r>
  </si>
  <si>
    <r>
      <rPr>
        <sz val="10"/>
        <rFont val="Noto Sans CJK SC"/>
        <family val="2"/>
      </rPr>
      <t xml:space="preserve">平均在役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Billable</t>
    </r>
    <r>
      <rPr>
        <sz val="10"/>
        <rFont val="Noto Sans CJK SC"/>
        <family val="2"/>
      </rPr>
      <t xml:space="preserve">，拆分依據）</t>
    </r>
  </si>
  <si>
    <r>
      <rPr>
        <sz val="9"/>
        <color rgb="FF595959"/>
        <rFont val="Noto Sans CJK SC"/>
        <family val="2"/>
      </rPr>
      <t xml:space="preserve">期初與期末 </t>
    </r>
    <r>
      <rPr>
        <sz val="9"/>
        <color rgb="FF595959"/>
        <rFont val="Arial"/>
        <family val="0"/>
        <charset val="1"/>
      </rPr>
      <t xml:space="preserve">Billable </t>
    </r>
    <r>
      <rPr>
        <sz val="9"/>
        <color rgb="FF595959"/>
        <rFont val="Noto Sans CJK SC"/>
        <family val="2"/>
      </rPr>
      <t xml:space="preserve">之間線性內插的季平均</t>
    </r>
  </si>
  <si>
    <r>
      <rPr>
        <sz val="10"/>
        <rFont val="Noto Sans CJK SC"/>
        <family val="2"/>
      </rPr>
      <t xml:space="preserve">季內新增 </t>
    </r>
    <r>
      <rPr>
        <sz val="10"/>
        <rFont val="Arial"/>
        <family val="0"/>
        <charset val="1"/>
      </rPr>
      <t xml:space="preserve">Accepted MW</t>
    </r>
  </si>
  <si>
    <r>
      <rPr>
        <sz val="9"/>
        <color rgb="FF595959"/>
        <rFont val="Arial"/>
        <family val="0"/>
        <charset val="1"/>
      </rPr>
      <t xml:space="preserve">CapEx </t>
    </r>
    <r>
      <rPr>
        <sz val="9"/>
        <color rgb="FF595959"/>
        <rFont val="Noto Sans CJK SC"/>
        <family val="2"/>
      </rPr>
      <t xml:space="preserve">拆分依據</t>
    </r>
  </si>
  <si>
    <t xml:space="preserve">營收（模型）</t>
  </si>
  <si>
    <r>
      <rPr>
        <sz val="9"/>
        <color rgb="FF595959"/>
        <rFont val="Noto Sans CJK SC"/>
        <family val="2"/>
      </rPr>
      <t xml:space="preserve">拆分方法見『輸入與假設』</t>
    </r>
    <r>
      <rPr>
        <sz val="9"/>
        <color rgb="FF595959"/>
        <rFont val="Arial"/>
        <family val="0"/>
        <charset val="1"/>
      </rPr>
      <t xml:space="preserve">J </t>
    </r>
    <r>
      <rPr>
        <sz val="9"/>
        <color rgb="FF595959"/>
        <rFont val="Noto Sans CJK SC"/>
        <family val="2"/>
      </rPr>
      <t xml:space="preserve">區與 </t>
    </r>
    <r>
      <rPr>
        <sz val="9"/>
        <color rgb="FF595959"/>
        <rFont val="Arial"/>
        <family val="0"/>
        <charset val="1"/>
      </rPr>
      <t xml:space="preserve">HTML</t>
    </r>
    <r>
      <rPr>
        <sz val="9"/>
        <color rgb="FF595959"/>
        <rFont val="Noto Sans CJK SC"/>
        <family val="2"/>
      </rPr>
      <t xml:space="preserve">「拆分方法」</t>
    </r>
  </si>
  <si>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率直線｜各期營收合計 </t>
    </r>
    <r>
      <rPr>
        <sz val="10"/>
        <rFont val="Arial"/>
        <family val="0"/>
        <charset val="1"/>
      </rPr>
      <t xml:space="preserve">S</t>
    </r>
  </si>
  <si>
    <r>
      <rPr>
        <sz val="9"/>
        <color rgb="FF595959"/>
        <rFont val="Noto Sans CJK SC"/>
        <family val="2"/>
      </rPr>
      <t xml:space="preserve">欄＝期間（</t>
    </r>
    <r>
      <rPr>
        <sz val="9"/>
        <color rgb="FF595959"/>
        <rFont val="Arial"/>
        <family val="0"/>
        <charset val="1"/>
      </rPr>
      <t xml:space="preserve">2Q–4Q27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FY28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</si>
  <si>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率直線｜營收 </t>
    </r>
    <r>
      <rPr>
        <sz val="10"/>
        <rFont val="Arial"/>
        <family val="0"/>
        <charset val="1"/>
      </rPr>
      <t xml:space="preserve">× </t>
    </r>
    <r>
      <rPr>
        <sz val="10"/>
        <rFont val="Noto Sans CJK SC"/>
        <family val="2"/>
      </rPr>
      <t xml:space="preserve">季序合計 </t>
    </r>
    <r>
      <rPr>
        <sz val="10"/>
        <rFont val="Arial"/>
        <family val="0"/>
        <charset val="1"/>
      </rPr>
      <t xml:space="preserve">T</t>
    </r>
  </si>
  <si>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率直線｜年度 </t>
    </r>
    <r>
      <rPr>
        <sz val="10"/>
        <rFont val="Arial"/>
        <family val="0"/>
        <charset val="1"/>
      </rPr>
      <t xml:space="preserve">EBITDA E</t>
    </r>
  </si>
  <si>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率直線｜截距 </t>
    </r>
    <r>
      <rPr>
        <sz val="10"/>
        <rFont val="Arial"/>
        <family val="0"/>
        <charset val="1"/>
      </rPr>
      <t xml:space="preserve">a</t>
    </r>
    <r>
      <rPr>
        <sz val="10"/>
        <rFont val="Noto Sans CJK SC"/>
        <family val="2"/>
      </rPr>
      <t xml:space="preserve">／斜率 </t>
    </r>
    <r>
      <rPr>
        <sz val="10"/>
        <rFont val="Arial"/>
        <family val="0"/>
        <charset val="1"/>
      </rPr>
      <t xml:space="preserve">b</t>
    </r>
  </si>
  <si>
    <r>
      <rPr>
        <sz val="9"/>
        <color rgb="FF595959"/>
        <rFont val="Noto Sans CJK SC"/>
        <family val="2"/>
      </rPr>
      <t xml:space="preserve">解兩式：</t>
    </r>
    <r>
      <rPr>
        <sz val="9"/>
        <color rgb="FF595959"/>
        <rFont val="Arial"/>
        <family val="0"/>
        <charset val="1"/>
      </rPr>
      <t xml:space="preserve">Σ</t>
    </r>
    <r>
      <rPr>
        <sz val="9"/>
        <color rgb="FF595959"/>
        <rFont val="Noto Sans CJK SC"/>
        <family val="2"/>
      </rPr>
      <t xml:space="preserve">營收</t>
    </r>
    <r>
      <rPr>
        <sz val="9"/>
        <color rgb="FF595959"/>
        <rFont val="Arial"/>
        <family val="0"/>
        <charset val="1"/>
      </rPr>
      <t xml:space="preserve">×(a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b×</t>
    </r>
    <r>
      <rPr>
        <sz val="9"/>
        <color rgb="FF595959"/>
        <rFont val="Noto Sans CJK SC"/>
        <family val="2"/>
      </rPr>
      <t xml:space="preserve">季序</t>
    </r>
    <r>
      <rPr>
        <sz val="9"/>
        <color rgb="FF595959"/>
        <rFont val="Arial"/>
        <family val="0"/>
        <charset val="1"/>
      </rPr>
      <t xml:space="preserve">)</t>
    </r>
    <r>
      <rPr>
        <sz val="9"/>
        <color rgb="FF595959"/>
        <rFont val="Noto Sans CJK SC"/>
        <family val="2"/>
      </rPr>
      <t xml:space="preserve">＝各期年度 </t>
    </r>
    <r>
      <rPr>
        <sz val="9"/>
        <color rgb="FF595959"/>
        <rFont val="Arial"/>
        <family val="0"/>
        <charset val="1"/>
      </rPr>
      <t xml:space="preserve">EBITDA</t>
    </r>
  </si>
  <si>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率（模型）</t>
    </r>
  </si>
  <si>
    <r>
      <rPr>
        <sz val="9"/>
        <color rgb="FF595959"/>
        <rFont val="Noto Sans CJK SC"/>
        <family val="2"/>
      </rPr>
      <t xml:space="preserve">跨季一條直線，季度 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Noto Sans CJK SC"/>
        <family val="2"/>
      </rPr>
      <t xml:space="preserve">加總＝年度</t>
    </r>
  </si>
  <si>
    <r>
      <rPr>
        <sz val="10"/>
        <rFont val="Noto Sans CJK SC"/>
        <family val="2"/>
      </rPr>
      <t xml:space="preserve">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（模型）</t>
    </r>
  </si>
  <si>
    <t xml:space="preserve">車隊折舊（模型）</t>
  </si>
  <si>
    <r>
      <rPr>
        <sz val="9"/>
        <color rgb="FF595959"/>
        <rFont val="Noto Sans CJK SC"/>
        <family val="2"/>
      </rPr>
      <t xml:space="preserve">依期內平均 </t>
    </r>
    <r>
      <rPr>
        <sz val="9"/>
        <color rgb="FF595959"/>
        <rFont val="Arial"/>
        <family val="0"/>
        <charset val="1"/>
      </rPr>
      <t xml:space="preserve">PP&amp;E</t>
    </r>
    <r>
      <rPr>
        <sz val="9"/>
        <color rgb="FF595959"/>
        <rFont val="Noto Sans CJK SC"/>
        <family val="2"/>
      </rPr>
      <t xml:space="preserve">（與年度車隊折舊公式相同）</t>
    </r>
  </si>
  <si>
    <t xml:space="preserve">調整後營業利益（模型）</t>
  </si>
  <si>
    <r>
      <rPr>
        <sz val="9"/>
        <color rgb="FF595959"/>
        <rFont val="Noto Sans CJK SC"/>
        <family val="2"/>
      </rPr>
      <t xml:space="preserve">＝調整後 </t>
    </r>
    <r>
      <rPr>
        <sz val="9"/>
        <color rgb="FF595959"/>
        <rFont val="Arial"/>
        <family val="0"/>
        <charset val="1"/>
      </rPr>
      <t xml:space="preserve">EBITDA − </t>
    </r>
    <r>
      <rPr>
        <sz val="9"/>
        <color rgb="FF595959"/>
        <rFont val="Noto Sans CJK SC"/>
        <family val="2"/>
      </rPr>
      <t xml:space="preserve">車隊折舊（未扣 </t>
    </r>
    <r>
      <rPr>
        <sz val="9"/>
        <color rgb="FF595959"/>
        <rFont val="Arial"/>
        <family val="0"/>
        <charset val="1"/>
      </rPr>
      <t xml:space="preserve">SBC</t>
    </r>
    <r>
      <rPr>
        <sz val="9"/>
        <color rgb="FF595959"/>
        <rFont val="Noto Sans CJK SC"/>
        <family val="2"/>
      </rPr>
      <t xml:space="preserve">）</t>
    </r>
  </si>
  <si>
    <t xml:space="preserve">指引｜營收（低）</t>
  </si>
  <si>
    <t xml:space="preserve">指引｜營收（高）</t>
  </si>
  <si>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（毛額）（模型）</t>
    </r>
  </si>
  <si>
    <r>
      <rPr>
        <sz val="9"/>
        <color rgb="FF595959"/>
        <rFont val="Noto Sans CJK SC"/>
        <family val="2"/>
      </rPr>
      <t xml:space="preserve">依季內新增 </t>
    </r>
    <r>
      <rPr>
        <sz val="9"/>
        <color rgb="FF595959"/>
        <rFont val="Arial"/>
        <family val="0"/>
        <charset val="1"/>
      </rPr>
      <t xml:space="preserve">Accepted MW</t>
    </r>
  </si>
  <si>
    <t xml:space="preserve">共識｜營收</t>
  </si>
  <si>
    <r>
      <rPr>
        <sz val="9"/>
        <color rgb="FF595959"/>
        <rFont val="Arial"/>
        <family val="0"/>
        <charset val="1"/>
      </rPr>
      <t xml:space="preserve">I </t>
    </r>
    <r>
      <rPr>
        <sz val="9"/>
        <color rgb="FF595959"/>
        <rFont val="Noto Sans CJK SC"/>
        <family val="2"/>
      </rPr>
      <t xml:space="preserve">區季度共識 </t>
    </r>
    <r>
      <rPr>
        <sz val="9"/>
        <color rgb="FF595959"/>
        <rFont val="Arial"/>
        <family val="0"/>
        <charset val="1"/>
      </rPr>
      <t xml:space="preserve">[Interested-party]</t>
    </r>
  </si>
  <si>
    <r>
      <rPr>
        <sz val="10"/>
        <rFont val="Noto Sans CJK SC"/>
        <family val="2"/>
      </rPr>
      <t xml:space="preserve">共識｜調整後 </t>
    </r>
    <r>
      <rPr>
        <sz val="10"/>
        <rFont val="Arial"/>
        <family val="0"/>
        <charset val="1"/>
      </rPr>
      <t xml:space="preserve">EBITDA</t>
    </r>
  </si>
  <si>
    <r>
      <rPr>
        <sz val="10"/>
        <rFont val="Noto Sans CJK SC"/>
        <family val="2"/>
      </rPr>
      <t xml:space="preserve">共識｜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 </t>
    </r>
    <r>
      <rPr>
        <sz val="10"/>
        <rFont val="Arial"/>
        <family val="0"/>
        <charset val="1"/>
      </rPr>
      <t xml:space="preserve">[Derived]</t>
    </r>
  </si>
  <si>
    <r>
      <rPr>
        <sz val="9"/>
        <color rgb="FF595959"/>
        <rFont val="Noto Sans CJK SC"/>
        <family val="2"/>
      </rPr>
      <t xml:space="preserve">＝共識 </t>
    </r>
    <r>
      <rPr>
        <sz val="9"/>
        <color rgb="FF595959"/>
        <rFont val="Arial"/>
        <family val="0"/>
        <charset val="1"/>
      </rPr>
      <t xml:space="preserve">EBITDA ÷ </t>
    </r>
    <r>
      <rPr>
        <sz val="9"/>
        <color rgb="FF595959"/>
        <rFont val="Noto Sans CJK SC"/>
        <family val="2"/>
      </rPr>
      <t xml:space="preserve">共識營收</t>
    </r>
  </si>
  <si>
    <r>
      <rPr>
        <sz val="10"/>
        <rFont val="Noto Sans CJK SC"/>
        <family val="2"/>
      </rPr>
      <t xml:space="preserve">共識非 </t>
    </r>
    <r>
      <rPr>
        <sz val="10"/>
        <rFont val="Arial"/>
        <family val="0"/>
        <charset val="1"/>
      </rPr>
      <t xml:space="preserve">GAAP </t>
    </r>
    <r>
      <rPr>
        <sz val="10"/>
        <rFont val="Noto Sans CJK SC"/>
        <family val="2"/>
      </rPr>
      <t xml:space="preserve">營業利益（含 </t>
    </r>
    <r>
      <rPr>
        <sz val="10"/>
        <rFont val="Arial"/>
        <family val="0"/>
        <charset val="1"/>
      </rPr>
      <t xml:space="preserve">SBC </t>
    </r>
    <r>
      <rPr>
        <sz val="10"/>
        <rFont val="Noto Sans CJK SC"/>
        <family val="2"/>
      </rPr>
      <t xml:space="preserve">調整，口徑不同）</t>
    </r>
  </si>
  <si>
    <t xml:space="preserve">口徑未揭露：只列不比較</t>
  </si>
  <si>
    <t xml:space="preserve">實際｜營收</t>
  </si>
  <si>
    <r>
      <rPr>
        <sz val="10"/>
        <rFont val="Noto Sans CJK SC"/>
        <family val="2"/>
      </rPr>
      <t xml:space="preserve">實際｜調整後 </t>
    </r>
    <r>
      <rPr>
        <sz val="10"/>
        <rFont val="Arial"/>
        <family val="0"/>
        <charset val="1"/>
      </rPr>
      <t xml:space="preserve">EBITDA</t>
    </r>
  </si>
  <si>
    <r>
      <rPr>
        <sz val="10"/>
        <rFont val="Noto Sans CJK SC"/>
        <family val="2"/>
      </rPr>
      <t xml:space="preserve">實際｜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</t>
    </r>
  </si>
  <si>
    <r>
      <rPr>
        <sz val="9"/>
        <color rgb="FF595959"/>
        <rFont val="Noto Sans CJK SC"/>
        <family val="2"/>
      </rPr>
      <t xml:space="preserve">＝實際 </t>
    </r>
    <r>
      <rPr>
        <sz val="9"/>
        <color rgb="FF595959"/>
        <rFont val="Arial"/>
        <family val="0"/>
        <charset val="1"/>
      </rPr>
      <t xml:space="preserve">EBITDA ÷ </t>
    </r>
    <r>
      <rPr>
        <sz val="9"/>
        <color rgb="FF595959"/>
        <rFont val="Noto Sans CJK SC"/>
        <family val="2"/>
      </rPr>
      <t xml:space="preserve">實際營收</t>
    </r>
  </si>
  <si>
    <t xml:space="preserve">實際｜調整後營業利益</t>
  </si>
  <si>
    <r>
      <rPr>
        <sz val="10"/>
        <rFont val="Noto Sans CJK SC"/>
        <family val="2"/>
      </rPr>
      <t xml:space="preserve">實際｜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（毛額）</t>
    </r>
  </si>
  <si>
    <r>
      <rPr>
        <sz val="10"/>
        <rFont val="Noto Sans CJK SC"/>
        <family val="2"/>
      </rPr>
      <t xml:space="preserve">實際｜季末已交付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（口徑不明）</t>
    </r>
  </si>
  <si>
    <r>
      <rPr>
        <sz val="10"/>
        <rFont val="Noto Sans CJK SC"/>
        <family val="2"/>
      </rPr>
      <t xml:space="preserve">差距｜營收｜模型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</t>
    </r>
  </si>
  <si>
    <r>
      <rPr>
        <sz val="10"/>
        <rFont val="Noto Sans CJK SC"/>
        <family val="2"/>
      </rPr>
      <t xml:space="preserve">差距｜營收｜模型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</t>
    </r>
  </si>
  <si>
    <r>
      <rPr>
        <sz val="10"/>
        <rFont val="Noto Sans CJK SC"/>
        <family val="2"/>
      </rPr>
      <t xml:space="preserve">差距｜營收｜實際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模型</t>
    </r>
  </si>
  <si>
    <r>
      <rPr>
        <sz val="10"/>
        <rFont val="Noto Sans CJK SC"/>
        <family val="2"/>
      </rPr>
      <t xml:space="preserve">差距｜營收｜實際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</t>
    </r>
  </si>
  <si>
    <r>
      <rPr>
        <sz val="10"/>
        <rFont val="Noto Sans CJK SC"/>
        <family val="2"/>
      </rPr>
      <t xml:space="preserve">差距｜營收｜實際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</t>
    </r>
  </si>
  <si>
    <r>
      <rPr>
        <sz val="10"/>
        <rFont val="Noto Sans CJK SC"/>
        <family val="2"/>
      </rPr>
      <t xml:space="preserve">差距｜調整後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｜模型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</t>
    </r>
  </si>
  <si>
    <r>
      <rPr>
        <sz val="10"/>
        <rFont val="Noto Sans CJK SC"/>
        <family val="2"/>
      </rPr>
      <t xml:space="preserve">差距｜調整後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｜模型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</t>
    </r>
  </si>
  <si>
    <r>
      <rPr>
        <sz val="10"/>
        <rFont val="Noto Sans CJK SC"/>
        <family val="2"/>
      </rPr>
      <t xml:space="preserve">差距｜調整後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模型</t>
    </r>
  </si>
  <si>
    <r>
      <rPr>
        <sz val="10"/>
        <rFont val="Noto Sans CJK SC"/>
        <family val="2"/>
      </rPr>
      <t xml:space="preserve">差距｜調整後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</t>
    </r>
  </si>
  <si>
    <r>
      <rPr>
        <sz val="10"/>
        <rFont val="Noto Sans CJK SC"/>
        <family val="2"/>
      </rPr>
      <t xml:space="preserve">差距｜調整後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</t>
    </r>
  </si>
  <si>
    <r>
      <rPr>
        <sz val="10"/>
        <rFont val="Noto Sans CJK SC"/>
        <family val="2"/>
      </rPr>
      <t xml:space="preserve">差距｜調整後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｜模型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共識（利潤率 </t>
    </r>
    <r>
      <rPr>
        <sz val="10"/>
        <rFont val="Arial"/>
        <family val="0"/>
        <charset val="1"/>
      </rPr>
      <t xml:space="preserve">pt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</si>
  <si>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差距｜調整後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｜模型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指引中點（利潤率 </t>
    </r>
    <r>
      <rPr>
        <sz val="10"/>
        <rFont val="Arial"/>
        <family val="0"/>
        <charset val="1"/>
      </rPr>
      <t xml:space="preserve">pt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</si>
  <si>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差距｜調整後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模型（利潤率 </t>
    </r>
    <r>
      <rPr>
        <sz val="10"/>
        <rFont val="Arial"/>
        <family val="0"/>
        <charset val="1"/>
      </rPr>
      <t xml:space="preserve">pt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</si>
  <si>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差距｜調整後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共識（利潤率 </t>
    </r>
    <r>
      <rPr>
        <sz val="10"/>
        <rFont val="Arial"/>
        <family val="0"/>
        <charset val="1"/>
      </rPr>
      <t xml:space="preserve">pt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</si>
  <si>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差距｜調整後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指引中點（利潤率 </t>
    </r>
    <r>
      <rPr>
        <sz val="10"/>
        <rFont val="Arial"/>
        <family val="0"/>
        <charset val="1"/>
      </rPr>
      <t xml:space="preserve">pt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</si>
  <si>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差距｜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率｜模型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</t>
    </r>
  </si>
  <si>
    <r>
      <rPr>
        <sz val="10"/>
        <rFont val="Noto Sans CJK SC"/>
        <family val="2"/>
      </rPr>
      <t xml:space="preserve">差距｜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率｜模型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</t>
    </r>
  </si>
  <si>
    <r>
      <rPr>
        <sz val="10"/>
        <rFont val="Noto Sans CJK SC"/>
        <family val="2"/>
      </rPr>
      <t xml:space="preserve">差距｜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模型</t>
    </r>
  </si>
  <si>
    <r>
      <rPr>
        <sz val="10"/>
        <rFont val="Noto Sans CJK SC"/>
        <family val="2"/>
      </rPr>
      <t xml:space="preserve">差距｜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</t>
    </r>
  </si>
  <si>
    <r>
      <rPr>
        <sz val="10"/>
        <rFont val="Noto Sans CJK SC"/>
        <family val="2"/>
      </rPr>
      <t xml:space="preserve">差距｜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</t>
    </r>
  </si>
  <si>
    <r>
      <rPr>
        <sz val="10"/>
        <rFont val="Noto Sans CJK SC"/>
        <family val="2"/>
      </rPr>
      <t xml:space="preserve">差距｜調整後營業利益｜模型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</t>
    </r>
  </si>
  <si>
    <r>
      <rPr>
        <sz val="10"/>
        <rFont val="Noto Sans CJK SC"/>
        <family val="2"/>
      </rPr>
      <t xml:space="preserve">差距｜調整後營業利益｜模型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</t>
    </r>
  </si>
  <si>
    <r>
      <rPr>
        <sz val="10"/>
        <rFont val="Noto Sans CJK SC"/>
        <family val="2"/>
      </rPr>
      <t xml:space="preserve">差距｜調整後營業利益｜實際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模型</t>
    </r>
  </si>
  <si>
    <r>
      <rPr>
        <sz val="10"/>
        <rFont val="Noto Sans CJK SC"/>
        <family val="2"/>
      </rPr>
      <t xml:space="preserve">差距｜調整後營業利益｜實際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</t>
    </r>
  </si>
  <si>
    <r>
      <rPr>
        <sz val="10"/>
        <rFont val="Noto Sans CJK SC"/>
        <family val="2"/>
      </rPr>
      <t xml:space="preserve">差距｜調整後營業利益｜實際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</t>
    </r>
  </si>
  <si>
    <r>
      <rPr>
        <sz val="10"/>
        <rFont val="Noto Sans CJK SC"/>
        <family val="2"/>
      </rPr>
      <t xml:space="preserve">差距｜調整後營業利益｜模型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共識（利潤率 </t>
    </r>
    <r>
      <rPr>
        <sz val="10"/>
        <rFont val="Arial"/>
        <family val="0"/>
        <charset val="1"/>
      </rPr>
      <t xml:space="preserve">pt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</si>
  <si>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差距｜調整後營業利益｜模型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指引中點（利潤率 </t>
    </r>
    <r>
      <rPr>
        <sz val="10"/>
        <rFont val="Arial"/>
        <family val="0"/>
        <charset val="1"/>
      </rPr>
      <t xml:space="preserve">pt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</si>
  <si>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差距｜調整後營業利益｜實際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模型（利潤率 </t>
    </r>
    <r>
      <rPr>
        <sz val="10"/>
        <rFont val="Arial"/>
        <family val="0"/>
        <charset val="1"/>
      </rPr>
      <t xml:space="preserve">pt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</si>
  <si>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差距｜調整後營業利益｜實際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共識（利潤率 </t>
    </r>
    <r>
      <rPr>
        <sz val="10"/>
        <rFont val="Arial"/>
        <family val="0"/>
        <charset val="1"/>
      </rPr>
      <t xml:space="preserve">pt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</si>
  <si>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差距｜調整後營業利益｜實際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指引中點（利潤率 </t>
    </r>
    <r>
      <rPr>
        <sz val="10"/>
        <rFont val="Arial"/>
        <family val="0"/>
        <charset val="1"/>
      </rPr>
      <t xml:space="preserve">pt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</si>
  <si>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差距｜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（毛額）｜模型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</t>
    </r>
  </si>
  <si>
    <r>
      <rPr>
        <sz val="10"/>
        <rFont val="Noto Sans CJK SC"/>
        <family val="2"/>
      </rPr>
      <t xml:space="preserve">差距｜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（毛額）｜模型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</t>
    </r>
  </si>
  <si>
    <r>
      <rPr>
        <sz val="10"/>
        <rFont val="Noto Sans CJK SC"/>
        <family val="2"/>
      </rPr>
      <t xml:space="preserve">差距｜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（毛額）｜實際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模型</t>
    </r>
  </si>
  <si>
    <r>
      <rPr>
        <sz val="10"/>
        <rFont val="Noto Sans CJK SC"/>
        <family val="2"/>
      </rPr>
      <t xml:space="preserve">差距｜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（毛額）｜實際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</t>
    </r>
  </si>
  <si>
    <r>
      <rPr>
        <sz val="10"/>
        <rFont val="Noto Sans CJK SC"/>
        <family val="2"/>
      </rPr>
      <t xml:space="preserve">差距｜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（毛額）｜實際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</t>
    </r>
  </si>
  <si>
    <r>
      <rPr>
        <sz val="10"/>
        <rFont val="Noto Sans CJK SC"/>
        <family val="2"/>
      </rPr>
      <t xml:space="preserve">差距｜季末已連網 </t>
    </r>
    <r>
      <rPr>
        <sz val="10"/>
        <rFont val="Arial"/>
        <family val="0"/>
        <charset val="1"/>
      </rPr>
      <t xml:space="preserve">MW-IT</t>
    </r>
    <r>
      <rPr>
        <sz val="10"/>
        <rFont val="Noto Sans CJK SC"/>
        <family val="2"/>
      </rPr>
      <t xml:space="preserve">｜模型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</t>
    </r>
  </si>
  <si>
    <r>
      <rPr>
        <sz val="10"/>
        <rFont val="Noto Sans CJK SC"/>
        <family val="2"/>
      </rPr>
      <t xml:space="preserve">差距｜季末已連網 </t>
    </r>
    <r>
      <rPr>
        <sz val="10"/>
        <rFont val="Arial"/>
        <family val="0"/>
        <charset val="1"/>
      </rPr>
      <t xml:space="preserve">MW-IT</t>
    </r>
    <r>
      <rPr>
        <sz val="10"/>
        <rFont val="Noto Sans CJK SC"/>
        <family val="2"/>
      </rPr>
      <t xml:space="preserve">｜模型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</t>
    </r>
  </si>
  <si>
    <r>
      <rPr>
        <sz val="10"/>
        <rFont val="Noto Sans CJK SC"/>
        <family val="2"/>
      </rPr>
      <t xml:space="preserve">差距｜季末已連網 </t>
    </r>
    <r>
      <rPr>
        <sz val="10"/>
        <rFont val="Arial"/>
        <family val="0"/>
        <charset val="1"/>
      </rPr>
      <t xml:space="preserve">MW-IT</t>
    </r>
    <r>
      <rPr>
        <sz val="10"/>
        <rFont val="Noto Sans CJK SC"/>
        <family val="2"/>
      </rPr>
      <t xml:space="preserve">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模型</t>
    </r>
  </si>
  <si>
    <r>
      <rPr>
        <sz val="10"/>
        <rFont val="Noto Sans CJK SC"/>
        <family val="2"/>
      </rPr>
      <t xml:space="preserve">差距｜季末已連網 </t>
    </r>
    <r>
      <rPr>
        <sz val="10"/>
        <rFont val="Arial"/>
        <family val="0"/>
        <charset val="1"/>
      </rPr>
      <t xml:space="preserve">MW-IT</t>
    </r>
    <r>
      <rPr>
        <sz val="10"/>
        <rFont val="Noto Sans CJK SC"/>
        <family val="2"/>
      </rPr>
      <t xml:space="preserve">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</t>
    </r>
  </si>
  <si>
    <r>
      <rPr>
        <sz val="10"/>
        <rFont val="Noto Sans CJK SC"/>
        <family val="2"/>
      </rPr>
      <t xml:space="preserve">差距｜季末已連網 </t>
    </r>
    <r>
      <rPr>
        <sz val="10"/>
        <rFont val="Arial"/>
        <family val="0"/>
        <charset val="1"/>
      </rPr>
      <t xml:space="preserve">MW-IT</t>
    </r>
    <r>
      <rPr>
        <sz val="10"/>
        <rFont val="Noto Sans CJK SC"/>
        <family val="2"/>
      </rPr>
      <t xml:space="preserve">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</t>
    </r>
  </si>
  <si>
    <r>
      <rPr>
        <sz val="10"/>
        <rFont val="Noto Sans CJK SC"/>
        <family val="2"/>
      </rPr>
      <t xml:space="preserve">合計基準｜營收｜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</t>
    </r>
  </si>
  <si>
    <t xml:space="preserve">所屬期間的季度共識合計</t>
  </si>
  <si>
    <r>
      <rPr>
        <sz val="10"/>
        <rFont val="Noto Sans CJK SC"/>
        <family val="2"/>
      </rPr>
      <t xml:space="preserve">拆解｜營收｜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共識｜水準</t>
    </r>
  </si>
  <si>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Noto Sans CJK SC"/>
        <family val="2"/>
      </rPr>
      <t xml:space="preserve">模型期間 − 比較期間</t>
    </r>
    <r>
      <rPr>
        <sz val="9"/>
        <color rgb="FF595959"/>
        <rFont val="Arial"/>
        <family val="0"/>
        <charset val="1"/>
      </rPr>
      <t xml:space="preserve">) × </t>
    </r>
    <r>
      <rPr>
        <sz val="9"/>
        <color rgb="FF595959"/>
        <rFont val="Noto Sans CJK SC"/>
        <family val="2"/>
      </rPr>
      <t xml:space="preserve">比較的季占比</t>
    </r>
  </si>
  <si>
    <r>
      <rPr>
        <sz val="10"/>
        <rFont val="Noto Sans CJK SC"/>
        <family val="2"/>
      </rPr>
      <t xml:space="preserve">拆解｜營收｜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共識｜分配</t>
    </r>
  </si>
  <si>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Noto Sans CJK SC"/>
        <family val="2"/>
      </rPr>
      <t xml:space="preserve">模型季占比 − 比較季占比</t>
    </r>
    <r>
      <rPr>
        <sz val="9"/>
        <color rgb="FF595959"/>
        <rFont val="Arial"/>
        <family val="0"/>
        <charset val="1"/>
      </rPr>
      <t xml:space="preserve">) × </t>
    </r>
    <r>
      <rPr>
        <sz val="9"/>
        <color rgb="FF595959"/>
        <rFont val="Noto Sans CJK SC"/>
        <family val="2"/>
      </rPr>
      <t xml:space="preserve">模型期間；水準＋分配＝季度差距</t>
    </r>
  </si>
  <si>
    <r>
      <rPr>
        <sz val="10"/>
        <rFont val="Noto Sans CJK SC"/>
        <family val="2"/>
      </rPr>
      <t xml:space="preserve">合計基準｜營收｜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</t>
    </r>
  </si>
  <si>
    <r>
      <rPr>
        <sz val="9"/>
        <color rgb="FF595959"/>
        <rFont val="Noto Sans CJK SC"/>
        <family val="2"/>
      </rPr>
      <t xml:space="preserve">所屬期間的隱含指引中點（全年指引中點 − </t>
    </r>
    <r>
      <rPr>
        <sz val="9"/>
        <color rgb="FF595959"/>
        <rFont val="Arial"/>
        <family val="0"/>
        <charset val="1"/>
      </rPr>
      <t xml:space="preserve">1Q </t>
    </r>
    <r>
      <rPr>
        <sz val="9"/>
        <color rgb="FF595959"/>
        <rFont val="Noto Sans CJK SC"/>
        <family val="2"/>
      </rPr>
      <t xml:space="preserve">實際）</t>
    </r>
  </si>
  <si>
    <r>
      <rPr>
        <sz val="10"/>
        <rFont val="Noto Sans CJK SC"/>
        <family val="2"/>
      </rPr>
      <t xml:space="preserve">拆解｜營收｜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指引｜水準</t>
    </r>
  </si>
  <si>
    <r>
      <rPr>
        <sz val="10"/>
        <rFont val="Noto Sans CJK SC"/>
        <family val="2"/>
      </rPr>
      <t xml:space="preserve">拆解｜營收｜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指引｜分配</t>
    </r>
  </si>
  <si>
    <r>
      <rPr>
        <sz val="10"/>
        <rFont val="Noto Sans CJK SC"/>
        <family val="2"/>
      </rPr>
      <t xml:space="preserve">原因｜營收｜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</t>
    </r>
  </si>
  <si>
    <r>
      <rPr>
        <sz val="10"/>
        <rFont val="Noto Sans CJK SC"/>
        <family val="2"/>
      </rPr>
      <t xml:space="preserve">原因類型｜營收｜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</t>
    </r>
  </si>
  <si>
    <r>
      <rPr>
        <sz val="10"/>
        <rFont val="Noto Sans CJK SC"/>
        <family val="2"/>
      </rPr>
      <t xml:space="preserve">原因｜營收｜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</t>
    </r>
  </si>
  <si>
    <r>
      <rPr>
        <sz val="10"/>
        <rFont val="Noto Sans CJK SC"/>
        <family val="2"/>
      </rPr>
      <t xml:space="preserve">原因類型｜營收｜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</t>
    </r>
  </si>
  <si>
    <r>
      <rPr>
        <sz val="10"/>
        <rFont val="Noto Sans CJK SC"/>
        <family val="2"/>
      </rPr>
      <t xml:space="preserve">原因｜營收｜實際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模型</t>
    </r>
  </si>
  <si>
    <r>
      <rPr>
        <sz val="10"/>
        <rFont val="Noto Sans CJK SC"/>
        <family val="2"/>
      </rPr>
      <t xml:space="preserve">原因類型｜營收｜實際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模型</t>
    </r>
  </si>
  <si>
    <r>
      <rPr>
        <sz val="10"/>
        <rFont val="Noto Sans CJK SC"/>
        <family val="2"/>
      </rPr>
      <t xml:space="preserve">合計基準｜調整後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</t>
    </r>
  </si>
  <si>
    <r>
      <rPr>
        <sz val="10"/>
        <rFont val="Noto Sans CJK SC"/>
        <family val="2"/>
      </rPr>
      <t xml:space="preserve">拆解｜調整後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共識｜水準</t>
    </r>
  </si>
  <si>
    <r>
      <rPr>
        <sz val="10"/>
        <rFont val="Noto Sans CJK SC"/>
        <family val="2"/>
      </rPr>
      <t xml:space="preserve">拆解｜調整後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共識｜分配</t>
    </r>
  </si>
  <si>
    <r>
      <rPr>
        <sz val="10"/>
        <rFont val="Noto Sans CJK SC"/>
        <family val="2"/>
      </rPr>
      <t xml:space="preserve">原因｜調整後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</t>
    </r>
  </si>
  <si>
    <r>
      <rPr>
        <sz val="10"/>
        <rFont val="Noto Sans CJK SC"/>
        <family val="2"/>
      </rPr>
      <t xml:space="preserve">原因類型｜調整後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</t>
    </r>
  </si>
  <si>
    <r>
      <rPr>
        <sz val="10"/>
        <rFont val="Noto Sans CJK SC"/>
        <family val="2"/>
      </rPr>
      <t xml:space="preserve">原因｜調整後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</t>
    </r>
  </si>
  <si>
    <r>
      <rPr>
        <sz val="10"/>
        <rFont val="Noto Sans CJK SC"/>
        <family val="2"/>
      </rPr>
      <t xml:space="preserve">原因類型｜調整後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</t>
    </r>
  </si>
  <si>
    <r>
      <rPr>
        <sz val="10"/>
        <rFont val="Noto Sans CJK SC"/>
        <family val="2"/>
      </rPr>
      <t xml:space="preserve">原因｜調整後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模型</t>
    </r>
  </si>
  <si>
    <r>
      <rPr>
        <sz val="10"/>
        <rFont val="Noto Sans CJK SC"/>
        <family val="2"/>
      </rPr>
      <t xml:space="preserve">原因類型｜調整後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模型</t>
    </r>
  </si>
  <si>
    <r>
      <rPr>
        <sz val="10"/>
        <rFont val="Noto Sans CJK SC"/>
        <family val="2"/>
      </rPr>
      <t xml:space="preserve">原因｜調整後營業利益｜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</t>
    </r>
  </si>
  <si>
    <r>
      <rPr>
        <sz val="10"/>
        <rFont val="Noto Sans CJK SC"/>
        <family val="2"/>
      </rPr>
      <t xml:space="preserve">原因類型｜調整後營業利益｜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</t>
    </r>
  </si>
  <si>
    <r>
      <rPr>
        <sz val="10"/>
        <rFont val="Noto Sans CJK SC"/>
        <family val="2"/>
      </rPr>
      <t xml:space="preserve">原因｜調整後營業利益｜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</t>
    </r>
  </si>
  <si>
    <r>
      <rPr>
        <sz val="10"/>
        <rFont val="Noto Sans CJK SC"/>
        <family val="2"/>
      </rPr>
      <t xml:space="preserve">原因類型｜調整後營業利益｜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</t>
    </r>
  </si>
  <si>
    <r>
      <rPr>
        <sz val="10"/>
        <rFont val="Noto Sans CJK SC"/>
        <family val="2"/>
      </rPr>
      <t xml:space="preserve">原因｜調整後營業利益｜實際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模型</t>
    </r>
  </si>
  <si>
    <r>
      <rPr>
        <sz val="10"/>
        <rFont val="Noto Sans CJK SC"/>
        <family val="2"/>
      </rPr>
      <t xml:space="preserve">原因類型｜調整後營業利益｜實際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模型</t>
    </r>
  </si>
  <si>
    <r>
      <rPr>
        <sz val="10"/>
        <rFont val="Noto Sans CJK SC"/>
        <family val="2"/>
      </rPr>
      <t xml:space="preserve">原因｜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（毛額）｜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</t>
    </r>
  </si>
  <si>
    <r>
      <rPr>
        <sz val="10"/>
        <rFont val="Noto Sans CJK SC"/>
        <family val="2"/>
      </rPr>
      <t xml:space="preserve">原因類型｜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（毛額）｜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</t>
    </r>
  </si>
  <si>
    <r>
      <rPr>
        <sz val="10"/>
        <rFont val="Noto Sans CJK SC"/>
        <family val="2"/>
      </rPr>
      <t xml:space="preserve">原因｜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（毛額）｜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</t>
    </r>
  </si>
  <si>
    <r>
      <rPr>
        <sz val="10"/>
        <rFont val="Noto Sans CJK SC"/>
        <family val="2"/>
      </rPr>
      <t xml:space="preserve">原因類型｜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（毛額）｜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</t>
    </r>
  </si>
  <si>
    <r>
      <rPr>
        <sz val="10"/>
        <rFont val="Noto Sans CJK SC"/>
        <family val="2"/>
      </rPr>
      <t xml:space="preserve">原因｜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（毛額）｜實際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模型</t>
    </r>
  </si>
  <si>
    <r>
      <rPr>
        <sz val="10"/>
        <rFont val="Noto Sans CJK SC"/>
        <family val="2"/>
      </rPr>
      <t xml:space="preserve">原因類型｜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（毛額）｜實際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模型</t>
    </r>
  </si>
  <si>
    <r>
      <rPr>
        <sz val="10"/>
        <rFont val="Noto Sans CJK SC"/>
        <family val="2"/>
      </rPr>
      <t xml:space="preserve">原因｜季末已連網 </t>
    </r>
    <r>
      <rPr>
        <sz val="10"/>
        <rFont val="Arial"/>
        <family val="0"/>
        <charset val="1"/>
      </rPr>
      <t xml:space="preserve">MW-IT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</t>
    </r>
  </si>
  <si>
    <r>
      <rPr>
        <sz val="10"/>
        <rFont val="Noto Sans CJK SC"/>
        <family val="2"/>
      </rPr>
      <t xml:space="preserve">原因類型｜季末已連網 </t>
    </r>
    <r>
      <rPr>
        <sz val="10"/>
        <rFont val="Arial"/>
        <family val="0"/>
        <charset val="1"/>
      </rPr>
      <t xml:space="preserve">MW-IT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</t>
    </r>
  </si>
  <si>
    <r>
      <rPr>
        <sz val="10"/>
        <rFont val="Noto Sans CJK SC"/>
        <family val="2"/>
      </rPr>
      <t xml:space="preserve">原因｜季末已連網 </t>
    </r>
    <r>
      <rPr>
        <sz val="10"/>
        <rFont val="Arial"/>
        <family val="0"/>
        <charset val="1"/>
      </rPr>
      <t xml:space="preserve">MW-IT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</t>
    </r>
  </si>
  <si>
    <r>
      <rPr>
        <sz val="10"/>
        <rFont val="Noto Sans CJK SC"/>
        <family val="2"/>
      </rPr>
      <t xml:space="preserve">原因類型｜季末已連網 </t>
    </r>
    <r>
      <rPr>
        <sz val="10"/>
        <rFont val="Arial"/>
        <family val="0"/>
        <charset val="1"/>
      </rPr>
      <t xml:space="preserve">MW-IT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</t>
    </r>
  </si>
  <si>
    <r>
      <rPr>
        <sz val="10"/>
        <rFont val="Noto Sans CJK SC"/>
        <family val="2"/>
      </rPr>
      <t xml:space="preserve">原因｜季末已連網 </t>
    </r>
    <r>
      <rPr>
        <sz val="10"/>
        <rFont val="Arial"/>
        <family val="0"/>
        <charset val="1"/>
      </rPr>
      <t xml:space="preserve">MW-IT</t>
    </r>
    <r>
      <rPr>
        <sz val="10"/>
        <rFont val="Noto Sans CJK SC"/>
        <family val="2"/>
      </rPr>
      <t xml:space="preserve">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模型</t>
    </r>
  </si>
  <si>
    <r>
      <rPr>
        <sz val="10"/>
        <rFont val="Noto Sans CJK SC"/>
        <family val="2"/>
      </rPr>
      <t xml:space="preserve">原因類型｜季末已連網 </t>
    </r>
    <r>
      <rPr>
        <sz val="10"/>
        <rFont val="Arial"/>
        <family val="0"/>
        <charset val="1"/>
      </rPr>
      <t xml:space="preserve">MW-IT</t>
    </r>
    <r>
      <rPr>
        <sz val="10"/>
        <rFont val="Noto Sans CJK SC"/>
        <family val="2"/>
      </rPr>
      <t xml:space="preserve">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模型</t>
    </r>
  </si>
  <si>
    <t xml:space="preserve">差異原因（一行）</t>
  </si>
  <si>
    <t xml:space="preserve">原因標籤｜營收</t>
  </si>
  <si>
    <r>
      <rPr>
        <sz val="10"/>
        <rFont val="Noto Sans CJK SC"/>
        <family val="2"/>
      </rPr>
      <t xml:space="preserve">原因標籤｜調整後 </t>
    </r>
    <r>
      <rPr>
        <sz val="10"/>
        <rFont val="Arial"/>
        <family val="0"/>
        <charset val="1"/>
      </rPr>
      <t xml:space="preserve">EBITDA</t>
    </r>
  </si>
  <si>
    <t xml:space="preserve">原因標籤｜調整後營業利益</t>
  </si>
  <si>
    <r>
      <rPr>
        <sz val="10"/>
        <rFont val="Noto Sans CJK SC"/>
        <family val="2"/>
      </rPr>
      <t xml:space="preserve">原因標籤｜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（毛額）</t>
    </r>
  </si>
  <si>
    <r>
      <rPr>
        <sz val="10"/>
        <rFont val="Noto Sans CJK SC"/>
        <family val="2"/>
      </rPr>
      <t xml:space="preserve">原因標籤｜季末已連網 </t>
    </r>
    <r>
      <rPr>
        <sz val="10"/>
        <rFont val="Arial"/>
        <family val="0"/>
        <charset val="1"/>
      </rPr>
      <t xml:space="preserve">MW-IT</t>
    </r>
  </si>
  <si>
    <t xml:space="preserve">句｜營收</t>
  </si>
  <si>
    <r>
      <rPr>
        <sz val="10"/>
        <rFont val="Noto Sans CJK SC"/>
        <family val="2"/>
      </rPr>
      <t xml:space="preserve">句｜調整後 </t>
    </r>
    <r>
      <rPr>
        <sz val="10"/>
        <rFont val="Arial"/>
        <family val="0"/>
        <charset val="1"/>
      </rPr>
      <t xml:space="preserve">EBITDA</t>
    </r>
  </si>
  <si>
    <r>
      <rPr>
        <sz val="10"/>
        <rFont val="Noto Sans CJK SC"/>
        <family val="2"/>
      </rPr>
      <t xml:space="preserve">句｜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</t>
    </r>
  </si>
  <si>
    <t xml:space="preserve">句｜調整後營業利益</t>
  </si>
  <si>
    <r>
      <rPr>
        <sz val="10"/>
        <rFont val="Noto Sans CJK SC"/>
        <family val="2"/>
      </rPr>
      <t xml:space="preserve">句｜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（毛額）</t>
    </r>
  </si>
  <si>
    <r>
      <rPr>
        <sz val="10"/>
        <rFont val="Noto Sans CJK SC"/>
        <family val="2"/>
      </rPr>
      <t xml:space="preserve">句｜季末已連網 </t>
    </r>
    <r>
      <rPr>
        <sz val="10"/>
        <rFont val="Arial"/>
        <family val="0"/>
        <charset val="1"/>
      </rPr>
      <t xml:space="preserve">MW-IT</t>
    </r>
  </si>
  <si>
    <r>
      <rPr>
        <b val="true"/>
        <sz val="10"/>
        <rFont val="Noto Sans CJK SC"/>
        <family val="2"/>
      </rPr>
      <t xml:space="preserve">核對｜季度加總 − 年度模型（應為 </t>
    </r>
    <r>
      <rPr>
        <b val="true"/>
        <sz val="10"/>
        <rFont val="Arial"/>
        <family val="0"/>
        <charset val="1"/>
      </rPr>
      <t xml:space="preserve">0</t>
    </r>
    <r>
      <rPr>
        <b val="true"/>
        <sz val="10"/>
        <rFont val="Noto Sans CJK SC"/>
        <family val="2"/>
      </rPr>
      <t xml:space="preserve">；欄＝期間 </t>
    </r>
    <r>
      <rPr>
        <b val="true"/>
        <sz val="10"/>
        <rFont val="Arial"/>
        <family val="0"/>
        <charset val="1"/>
      </rPr>
      <t xml:space="preserve">2Q–4Q27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FY28</t>
    </r>
    <r>
      <rPr>
        <b val="true"/>
        <sz val="10"/>
        <rFont val="Noto Sans CJK SC"/>
        <family val="2"/>
      </rPr>
      <t xml:space="preserve">）</t>
    </r>
  </si>
  <si>
    <t xml:space="preserve">核對｜營收</t>
  </si>
  <si>
    <r>
      <rPr>
        <sz val="10"/>
        <rFont val="Noto Sans CJK SC"/>
        <family val="2"/>
      </rPr>
      <t xml:space="preserve">核對｜調整後 </t>
    </r>
    <r>
      <rPr>
        <sz val="10"/>
        <rFont val="Arial"/>
        <family val="0"/>
        <charset val="1"/>
      </rPr>
      <t xml:space="preserve">EBITDA</t>
    </r>
  </si>
  <si>
    <t xml:space="preserve">核對｜調整後營業利益</t>
  </si>
  <si>
    <r>
      <rPr>
        <sz val="10"/>
        <rFont val="Noto Sans CJK SC"/>
        <family val="2"/>
      </rPr>
      <t xml:space="preserve">核對｜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（毛額）</t>
    </r>
  </si>
  <si>
    <t xml:space="preserve">核對｜車隊折舊</t>
  </si>
  <si>
    <r>
      <rPr>
        <b val="true"/>
        <sz val="14"/>
        <rFont val="Noto Sans CJK SC"/>
        <family val="2"/>
      </rPr>
      <t xml:space="preserve">產能與收入 — 合約排程 </t>
    </r>
    <r>
      <rPr>
        <b val="true"/>
        <sz val="14"/>
        <rFont val="Arial"/>
        <family val="0"/>
        <charset val="1"/>
      </rPr>
      <t xml:space="preserve">vs </t>
    </r>
    <r>
      <rPr>
        <b val="true"/>
        <sz val="14"/>
        <rFont val="Noto Sans CJK SC"/>
        <family val="2"/>
      </rPr>
      <t xml:space="preserve">機房產能</t>
    </r>
  </si>
  <si>
    <r>
      <rPr>
        <sz val="9"/>
        <color rgb="FF595959"/>
        <rFont val="Noto Sans CJK SC"/>
        <family val="2"/>
      </rPr>
      <t xml:space="preserve">兩條線獨立產生後相減：排程</t>
    </r>
    <r>
      <rPr>
        <sz val="9"/>
        <color rgb="FF595959"/>
        <rFont val="Arial"/>
        <family val="0"/>
        <charset val="1"/>
      </rPr>
      <t xml:space="preserve">&gt;</t>
    </r>
    <r>
      <rPr>
        <sz val="9"/>
        <color rgb="FF595959"/>
        <rFont val="Noto Sans CJK SC"/>
        <family val="2"/>
      </rPr>
      <t xml:space="preserve">容量→瓶頸（收不到）；容量</t>
    </r>
    <r>
      <rPr>
        <sz val="9"/>
        <color rgb="FF595959"/>
        <rFont val="Arial"/>
        <family val="0"/>
        <charset val="1"/>
      </rPr>
      <t xml:space="preserve">&gt;</t>
    </r>
    <r>
      <rPr>
        <sz val="9"/>
        <color rgb="FF595959"/>
        <rFont val="Noto Sans CJK SC"/>
        <family val="2"/>
      </rPr>
      <t xml:space="preserve">排程→剩餘產能（要靠新簽約賣掉）</t>
    </r>
  </si>
  <si>
    <r>
      <rPr>
        <sz val="9"/>
        <color rgb="FF595959"/>
        <rFont val="Arial"/>
        <family val="0"/>
        <charset val="1"/>
      </rPr>
      <t xml:space="preserve">FY27 </t>
    </r>
    <r>
      <rPr>
        <sz val="9"/>
        <color rgb="FF595959"/>
        <rFont val="Noto Sans CJK SC"/>
        <family val="2"/>
      </rPr>
      <t xml:space="preserve">欄口徑：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為年底存量；標示「（模型期）」的收入列只含 </t>
    </r>
    <r>
      <rPr>
        <sz val="9"/>
        <color rgb="FF595959"/>
        <rFont val="Arial"/>
        <family val="0"/>
        <charset val="1"/>
      </rPr>
      <t xml:space="preserve">2027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2–4 </t>
    </r>
    <r>
      <rPr>
        <sz val="9"/>
        <color rgb="FF595959"/>
        <rFont val="Noto Sans CJK SC"/>
        <family val="2"/>
      </rPr>
      <t xml:space="preserve">季——</t>
    </r>
    <r>
      <rPr>
        <sz val="9"/>
        <color rgb="FF595959"/>
        <rFont val="Arial"/>
        <family val="0"/>
        <charset val="1"/>
      </rPr>
      <t xml:space="preserve">RPO </t>
    </r>
    <r>
      <rPr>
        <sz val="9"/>
        <color rgb="FF595959"/>
        <rFont val="Noto Sans CJK SC"/>
        <family val="2"/>
      </rPr>
      <t xml:space="preserve">桶自 </t>
    </r>
    <r>
      <rPr>
        <sz val="9"/>
        <color rgb="FF595959"/>
        <rFont val="Arial"/>
        <family val="0"/>
        <charset val="1"/>
      </rPr>
      <t xml:space="preserve">2026-08-31 </t>
    </r>
    <r>
      <rPr>
        <sz val="9"/>
        <color rgb="FF595959"/>
        <rFont val="Noto Sans CJK SC"/>
        <family val="2"/>
      </rPr>
      <t xml:space="preserve">起算，</t>
    </r>
    <r>
      <rPr>
        <sz val="9"/>
        <color rgb="FF595959"/>
        <rFont val="Arial"/>
        <family val="0"/>
        <charset val="1"/>
      </rPr>
      <t xml:space="preserve">1Q </t>
    </r>
    <r>
      <rPr>
        <sz val="9"/>
        <color rgb="FF595959"/>
        <rFont val="Noto Sans CJK SC"/>
        <family val="2"/>
      </rPr>
      <t xml:space="preserve">收入已實現、不再受產能約束。</t>
    </r>
    <r>
      <rPr>
        <sz val="9"/>
        <color rgb="FF595959"/>
        <rFont val="Arial"/>
        <family val="0"/>
        <charset val="1"/>
      </rPr>
      <t xml:space="preserve">1Q </t>
    </r>
    <r>
      <rPr>
        <sz val="9"/>
        <color rgb="FF595959"/>
        <rFont val="Noto Sans CJK SC"/>
        <family val="2"/>
      </rPr>
      <t xml:space="preserve">實際單列，兩者相加即 </t>
    </r>
    <r>
      <rPr>
        <sz val="9"/>
        <color rgb="FF595959"/>
        <rFont val="Arial"/>
        <family val="0"/>
        <charset val="1"/>
      </rPr>
      <t xml:space="preserve">FY27 </t>
    </r>
    <r>
      <rPr>
        <sz val="9"/>
        <color rgb="FF595959"/>
        <rFont val="Noto Sans CJK SC"/>
        <family val="2"/>
      </rPr>
      <t xml:space="preserve">全年（見本頁「</t>
    </r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Noto Sans CJK SC"/>
        <family val="2"/>
      </rPr>
      <t xml:space="preserve">全年」列）。</t>
    </r>
  </si>
  <si>
    <r>
      <rPr>
        <sz val="9"/>
        <color rgb="FF595959"/>
        <rFont val="Arial"/>
        <family val="0"/>
        <charset val="1"/>
      </rPr>
      <t xml:space="preserve">FY27 </t>
    </r>
    <r>
      <rPr>
        <sz val="9"/>
        <color rgb="FF595959"/>
        <rFont val="Noto Sans CJK SC"/>
        <family val="2"/>
      </rPr>
      <t xml:space="preserve">的模型期只有第 </t>
    </r>
    <r>
      <rPr>
        <sz val="9"/>
        <color rgb="FF595959"/>
        <rFont val="Arial"/>
        <family val="0"/>
        <charset val="1"/>
      </rPr>
      <t xml:space="preserve">2–4 </t>
    </r>
    <r>
      <rPr>
        <sz val="9"/>
        <color rgb="FF595959"/>
        <rFont val="Noto Sans CJK SC"/>
        <family val="2"/>
      </rPr>
      <t xml:space="preserve">季；</t>
    </r>
    <r>
      <rPr>
        <sz val="9"/>
        <color rgb="FF595959"/>
        <rFont val="Arial"/>
        <family val="0"/>
        <charset val="1"/>
      </rPr>
      <t xml:space="preserve">1Q </t>
    </r>
    <r>
      <rPr>
        <sz val="9"/>
        <color rgb="FF595959"/>
        <rFont val="Noto Sans CJK SC"/>
        <family val="2"/>
      </rPr>
      <t xml:space="preserve">已實現的營收單列於下方</t>
    </r>
  </si>
  <si>
    <t xml:space="preserve">只用於下方三處：容量上限、電力、維護——把年率換算成該期金額</t>
  </si>
  <si>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A</t>
    </r>
    <r>
      <rPr>
        <b val="true"/>
        <sz val="10"/>
        <rFont val="Noto Sans CJK SC"/>
        <family val="2"/>
      </rPr>
      <t xml:space="preserve">）機房：容量上限</t>
    </r>
  </si>
  <si>
    <r>
      <rPr>
        <sz val="10"/>
        <rFont val="Arial"/>
        <family val="0"/>
        <charset val="1"/>
      </rPr>
      <t xml:space="preserve">Accepted MW</t>
    </r>
    <r>
      <rPr>
        <sz val="10"/>
        <rFont val="Noto Sans CJK SC"/>
        <family val="2"/>
      </rPr>
      <t xml:space="preserve">（已驗收，單調不減）</t>
    </r>
  </si>
  <si>
    <t xml:space="preserve">引擎規則：不得低於前期（產能不會消失）</t>
  </si>
  <si>
    <r>
      <rPr>
        <sz val="10"/>
        <rFont val="Arial"/>
        <family val="0"/>
        <charset val="1"/>
      </rPr>
      <t xml:space="preserve">Billable MW</t>
    </r>
    <r>
      <rPr>
        <sz val="10"/>
        <rFont val="Noto Sans CJK SC"/>
        <family val="2"/>
      </rPr>
      <t xml:space="preserve">（上限為 </t>
    </r>
    <r>
      <rPr>
        <sz val="10"/>
        <rFont val="Arial"/>
        <family val="0"/>
        <charset val="1"/>
      </rPr>
      <t xml:space="preserve">Accepted</t>
    </r>
    <r>
      <rPr>
        <sz val="10"/>
        <rFont val="Noto Sans CJK SC"/>
        <family val="2"/>
      </rPr>
      <t xml:space="preserve">）</t>
    </r>
  </si>
  <si>
    <t xml:space="preserve">引擎規則：可計費不得超過已驗收</t>
  </si>
  <si>
    <r>
      <rPr>
        <sz val="10"/>
        <rFont val="Arial"/>
        <family val="0"/>
        <charset val="1"/>
      </rPr>
      <t xml:space="preserve">Billable MW</t>
    </r>
    <r>
      <rPr>
        <sz val="10"/>
        <rFont val="Noto Sans CJK SC"/>
        <family val="2"/>
      </rPr>
      <t xml:space="preserve">（延誤後，計費用）</t>
    </r>
  </si>
  <si>
    <r>
      <rPr>
        <sz val="9"/>
        <color rgb="FF595959"/>
        <rFont val="Noto Sans CJK SC"/>
        <family val="2"/>
      </rPr>
      <t xml:space="preserve">＝上列往後平移建設延誤月數（以期間長度線性內插；評價日之前取期初校準值）；延誤 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時＝上列；見（</t>
    </r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Noto Sans CJK SC"/>
        <family val="2"/>
      </rPr>
      <t xml:space="preserve">）區（</t>
    </r>
    <r>
      <rPr>
        <sz val="9"/>
        <color rgb="FF595959"/>
        <rFont val="Arial"/>
        <family val="0"/>
        <charset val="1"/>
      </rPr>
      <t xml:space="preserve">v0.2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</si>
  <si>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期初在役 </t>
    </r>
    <r>
      <rPr>
        <sz val="10"/>
        <rFont val="Arial"/>
        <family val="0"/>
        <charset val="1"/>
      </rPr>
      <t xml:space="preserve">MW</t>
    </r>
  </si>
  <si>
    <t xml:space="preserve">前期期末＝本期期初（延誤後）</t>
  </si>
  <si>
    <r>
      <rPr>
        <sz val="10"/>
        <rFont val="Noto Sans CJK SC"/>
        <family val="2"/>
      </rPr>
      <t xml:space="preserve">平均在役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FY27 </t>
    </r>
    <r>
      <rPr>
        <sz val="10"/>
        <rFont val="Noto Sans CJK SC"/>
        <family val="2"/>
      </rPr>
      <t xml:space="preserve">欄為第 </t>
    </r>
    <r>
      <rPr>
        <sz val="10"/>
        <rFont val="Arial"/>
        <family val="0"/>
        <charset val="1"/>
      </rPr>
      <t xml:space="preserve">2–4 </t>
    </r>
    <r>
      <rPr>
        <sz val="10"/>
        <rFont val="Noto Sans CJK SC"/>
        <family val="2"/>
      </rPr>
      <t xml:space="preserve">季平均）</t>
    </r>
  </si>
  <si>
    <r>
      <rPr>
        <sz val="9"/>
        <color rgb="FF595959"/>
        <rFont val="Noto Sans CJK SC"/>
        <family val="2"/>
      </rPr>
      <t xml:space="preserve">開關在輸入頁：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Noto Sans CJK SC"/>
        <family val="2"/>
      </rPr>
      <t xml:space="preserve">期初</t>
    </r>
    <r>
      <rPr>
        <sz val="9"/>
        <color rgb="FF595959"/>
        <rFont val="Arial"/>
        <family val="0"/>
        <charset val="1"/>
      </rPr>
      <t xml:space="preserve">+</t>
    </r>
    <r>
      <rPr>
        <sz val="9"/>
        <color rgb="FF595959"/>
        <rFont val="Noto Sans CJK SC"/>
        <family val="2"/>
      </rPr>
      <t xml:space="preserve">期末</t>
    </r>
    <r>
      <rPr>
        <sz val="9"/>
        <color rgb="FF595959"/>
        <rFont val="Arial"/>
        <family val="0"/>
        <charset val="1"/>
      </rPr>
      <t xml:space="preserve">)/2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＝期末全期化</t>
    </r>
  </si>
  <si>
    <t xml:space="preserve">容量上限（模型期最多能交付的收入）</t>
  </si>
  <si>
    <r>
      <rPr>
        <sz val="9"/>
        <color rgb="FF595959"/>
        <rFont val="Noto Sans CJK SC"/>
        <family val="2"/>
      </rPr>
      <t xml:space="preserve">＝平均在役 </t>
    </r>
    <r>
      <rPr>
        <sz val="9"/>
        <color rgb="FF595959"/>
        <rFont val="Arial"/>
        <family val="0"/>
        <charset val="1"/>
      </rPr>
      <t xml:space="preserve">MW × 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年收入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利用率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期間係數。只看機房，不看合約</t>
    </r>
  </si>
  <si>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B</t>
    </r>
    <r>
      <rPr>
        <b val="true"/>
        <sz val="10"/>
        <rFont val="Noto Sans CJK SC"/>
        <family val="2"/>
      </rPr>
      <t xml:space="preserve">）合約：排程 </t>
    </r>
    <r>
      <rPr>
        <b val="true"/>
        <sz val="10"/>
        <rFont val="Arial"/>
        <family val="0"/>
        <charset val="1"/>
      </rPr>
      <t xml:space="preserve">RPO</t>
    </r>
  </si>
  <si>
    <r>
      <rPr>
        <sz val="10"/>
        <rFont val="Noto Sans CJK SC"/>
        <family val="2"/>
      </rPr>
      <t xml:space="preserve">排程 </t>
    </r>
    <r>
      <rPr>
        <sz val="10"/>
        <rFont val="Arial"/>
        <family val="0"/>
        <charset val="1"/>
      </rPr>
      <t xml:space="preserve">RPO</t>
    </r>
    <r>
      <rPr>
        <sz val="10"/>
        <rFont val="Noto Sans CJK SC"/>
        <family val="2"/>
      </rPr>
      <t xml:space="preserve">（模型期，依季報桶分攤）</t>
    </r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</si>
  <si>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(8/31 RPO</t>
    </r>
    <r>
      <rPr>
        <sz val="9"/>
        <color rgb="FF595959"/>
        <rFont val="Noto Sans CJK SC"/>
        <family val="2"/>
      </rPr>
      <t xml:space="preserve">＋評價日後新增</t>
    </r>
    <r>
      <rPr>
        <sz val="9"/>
        <color rgb="FF595959"/>
        <rFont val="Arial"/>
        <family val="0"/>
        <charset val="1"/>
      </rPr>
      <t xml:space="preserve">)×</t>
    </r>
    <r>
      <rPr>
        <sz val="9"/>
        <color rgb="FF595959"/>
        <rFont val="Noto Sans CJK SC"/>
        <family val="2"/>
      </rPr>
      <t xml:space="preserve">本期權重</t>
    </r>
    <r>
      <rPr>
        <sz val="9"/>
        <color rgb="FF595959"/>
        <rFont val="Arial"/>
        <family val="0"/>
        <charset val="1"/>
      </rPr>
      <t xml:space="preserve">÷</t>
    </r>
    <r>
      <rPr>
        <sz val="9"/>
        <color rgb="FF595959"/>
        <rFont val="Noto Sans CJK SC"/>
        <family val="2"/>
      </rPr>
      <t xml:space="preserve">權重合計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五期認列比例。只看合約，不看機房</t>
    </r>
  </si>
  <si>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C</t>
    </r>
    <r>
      <rPr>
        <b val="true"/>
        <sz val="10"/>
        <rFont val="Noto Sans CJK SC"/>
        <family val="2"/>
      </rPr>
      <t xml:space="preserve">）兩條線相減</t>
    </r>
  </si>
  <si>
    <t xml:space="preserve">產能瓶頸（模型期：排程 − 容量）</t>
  </si>
  <si>
    <t xml:space="preserve">合約有、機房沒有 → 本期收不到，且不遞延到下期（保守處理）</t>
  </si>
  <si>
    <r>
      <rPr>
        <sz val="10"/>
        <rFont val="Noto Sans CJK SC"/>
        <family val="2"/>
      </rPr>
      <t xml:space="preserve">期初 </t>
    </r>
    <r>
      <rPr>
        <sz val="10"/>
        <rFont val="Arial"/>
        <family val="0"/>
        <charset val="1"/>
      </rPr>
      <t xml:space="preserve">RPO </t>
    </r>
    <r>
      <rPr>
        <sz val="10"/>
        <rFont val="Noto Sans CJK SC"/>
        <family val="2"/>
      </rPr>
      <t xml:space="preserve">轉換收入（模型期）</t>
    </r>
  </si>
  <si>
    <r>
      <rPr>
        <sz val="9"/>
        <color rgb="FF595959"/>
        <rFont val="Noto Sans CJK SC"/>
        <family val="2"/>
      </rPr>
      <t xml:space="preserve">＝排程 − 瓶頸。當瓶頸</t>
    </r>
    <r>
      <rPr>
        <sz val="9"/>
        <color rgb="FF595959"/>
        <rFont val="Arial"/>
        <family val="0"/>
        <charset val="1"/>
      </rPr>
      <t xml:space="preserve">&gt;0 </t>
    </r>
    <r>
      <rPr>
        <sz val="9"/>
        <color rgb="FF595959"/>
        <rFont val="Noto Sans CJK SC"/>
        <family val="2"/>
      </rPr>
      <t xml:space="preserve">時，此值恆等於容量上限</t>
    </r>
  </si>
  <si>
    <r>
      <rPr>
        <sz val="10"/>
        <rFont val="Noto Sans CJK SC"/>
        <family val="2"/>
      </rPr>
      <t xml:space="preserve">未被期初 </t>
    </r>
    <r>
      <rPr>
        <sz val="10"/>
        <rFont val="Arial"/>
        <family val="0"/>
        <charset val="1"/>
      </rPr>
      <t xml:space="preserve">RPO </t>
    </r>
    <r>
      <rPr>
        <sz val="10"/>
        <rFont val="Noto Sans CJK SC"/>
        <family val="2"/>
      </rPr>
      <t xml:space="preserve">占用的產能</t>
    </r>
  </si>
  <si>
    <t xml:space="preserve">容量 − 排程。機房有、期初合約沒占滿 → 要靠新簽約</t>
  </si>
  <si>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驅動時固定 </t>
    </r>
    <r>
      <rPr>
        <sz val="9"/>
        <color rgb="FF595959"/>
        <rFont val="Arial"/>
        <family val="0"/>
        <charset val="1"/>
      </rPr>
      <t xml:space="preserve">100%</t>
    </r>
  </si>
  <si>
    <t xml:space="preserve">新簽約收入</t>
  </si>
  <si>
    <r>
      <rPr>
        <sz val="9"/>
        <color rgb="FF595959"/>
        <rFont val="Noto Sans CJK SC"/>
        <family val="2"/>
      </rPr>
      <t xml:space="preserve">超出期初 </t>
    </r>
    <r>
      <rPr>
        <sz val="9"/>
        <color rgb="FF595959"/>
        <rFont val="Arial"/>
        <family val="0"/>
        <charset val="1"/>
      </rPr>
      <t xml:space="preserve">RPO </t>
    </r>
    <r>
      <rPr>
        <sz val="9"/>
        <color rgb="FF595959"/>
        <rFont val="Noto Sans CJK SC"/>
        <family val="2"/>
      </rPr>
      <t xml:space="preserve">的產能收入（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驅動，簽約率 </t>
    </r>
    <r>
      <rPr>
        <sz val="9"/>
        <color rgb="FF595959"/>
        <rFont val="Arial"/>
        <family val="0"/>
        <charset val="1"/>
      </rPr>
      <t xml:space="preserve">100%</t>
    </r>
    <r>
      <rPr>
        <sz val="9"/>
        <color rgb="FF595959"/>
        <rFont val="Noto Sans CJK SC"/>
        <family val="2"/>
      </rPr>
      <t xml:space="preserve">）</t>
    </r>
  </si>
  <si>
    <t xml:space="preserve">未售產能（浪費）</t>
  </si>
  <si>
    <r>
      <rPr>
        <sz val="9"/>
        <color rgb="FF595959"/>
        <rFont val="Noto Sans CJK SC"/>
        <family val="2"/>
      </rPr>
      <t xml:space="preserve">蓋好但賣不掉（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驅動時為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</si>
  <si>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損益用算力收入（模型期＝</t>
    </r>
    <r>
      <rPr>
        <sz val="10"/>
        <rFont val="Arial"/>
        <family val="0"/>
        <charset val="1"/>
      </rPr>
      <t xml:space="preserve">RPO </t>
    </r>
    <r>
      <rPr>
        <sz val="10"/>
        <rFont val="Noto Sans CJK SC"/>
        <family val="2"/>
      </rPr>
      <t xml:space="preserve">轉換＋新簽約）</t>
    </r>
  </si>
  <si>
    <t xml:space="preserve">損益與評價頁的算力收入由此連結，確保現金與損益同一組數字</t>
  </si>
  <si>
    <r>
      <rPr>
        <sz val="10"/>
        <rFont val="Noto Sans CJK SC"/>
        <family val="2"/>
      </rPr>
      <t xml:space="preserve">核對：算力收入 − 平均在役 </t>
    </r>
    <r>
      <rPr>
        <sz val="10"/>
        <rFont val="Arial"/>
        <family val="0"/>
        <charset val="1"/>
      </rPr>
      <t xml:space="preserve">MW × </t>
    </r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× </t>
    </r>
    <r>
      <rPr>
        <sz val="10"/>
        <rFont val="Noto Sans CJK SC"/>
        <family val="2"/>
      </rPr>
      <t xml:space="preserve">利用率 </t>
    </r>
    <r>
      <rPr>
        <sz val="10"/>
        <rFont val="Arial"/>
        <family val="0"/>
        <charset val="1"/>
      </rPr>
      <t xml:space="preserve">× </t>
    </r>
    <r>
      <rPr>
        <sz val="10"/>
        <rFont val="Noto Sans CJK SC"/>
        <family val="2"/>
      </rPr>
      <t xml:space="preserve">期間</t>
    </r>
  </si>
  <si>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驅動時應為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：營收可追溯為 </t>
    </r>
    <r>
      <rPr>
        <sz val="9"/>
        <color rgb="FF595959"/>
        <rFont val="Arial"/>
        <family val="0"/>
        <charset val="1"/>
      </rPr>
      <t xml:space="preserve">MW × 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年收入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利用率（</t>
    </r>
    <r>
      <rPr>
        <sz val="9"/>
        <color rgb="FF595959"/>
        <rFont val="Arial"/>
        <family val="0"/>
        <charset val="1"/>
      </rPr>
      <t xml:space="preserve">v0.1b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</si>
  <si>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對照：評價日起 </t>
    </r>
    <r>
      <rPr>
        <sz val="10"/>
        <rFont val="Arial"/>
        <family val="0"/>
        <charset val="1"/>
      </rPr>
      <t xml:space="preserve">36 </t>
    </r>
    <r>
      <rPr>
        <sz val="10"/>
        <rFont val="Noto Sans CJK SC"/>
        <family val="2"/>
      </rPr>
      <t xml:space="preserve">個月營收權重</t>
    </r>
  </si>
  <si>
    <r>
      <rPr>
        <sz val="9"/>
        <color rgb="FF595959"/>
        <rFont val="Arial"/>
        <family val="0"/>
        <charset val="1"/>
      </rPr>
      <t xml:space="preserve">RPO 36 </t>
    </r>
    <r>
      <rPr>
        <sz val="9"/>
        <color rgb="FF595959"/>
        <rFont val="Noto Sans CJK SC"/>
        <family val="2"/>
      </rPr>
      <t xml:space="preserve">個月內轉換的對照用（只作對照，不驅動營收）</t>
    </r>
  </si>
  <si>
    <r>
      <rPr>
        <sz val="10"/>
        <rFont val="Noto Sans CJK SC"/>
        <family val="2"/>
      </rPr>
      <t xml:space="preserve">對照：評價日起 </t>
    </r>
    <r>
      <rPr>
        <sz val="10"/>
        <rFont val="Arial"/>
        <family val="0"/>
        <charset val="1"/>
      </rPr>
      <t xml:space="preserve">36 </t>
    </r>
    <r>
      <rPr>
        <sz val="10"/>
        <rFont val="Noto Sans CJK SC"/>
        <family val="2"/>
      </rPr>
      <t xml:space="preserve">個月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驅動營收</t>
    </r>
  </si>
  <si>
    <r>
      <rPr>
        <sz val="9"/>
        <color rgb="FF595959"/>
        <rFont val="Noto Sans CJK SC"/>
        <family val="2"/>
      </rPr>
      <t xml:space="preserve">合計對照季報 </t>
    </r>
    <r>
      <rPr>
        <sz val="9"/>
        <color rgb="FF595959"/>
        <rFont val="Arial"/>
        <family val="0"/>
        <charset val="1"/>
      </rPr>
      <t xml:space="preserve">RPO 664 × 36 </t>
    </r>
    <r>
      <rPr>
        <sz val="9"/>
        <color rgb="FF595959"/>
        <rFont val="Noto Sans CJK SC"/>
        <family val="2"/>
      </rPr>
      <t xml:space="preserve">個月內 </t>
    </r>
    <r>
      <rPr>
        <sz val="9"/>
        <color rgb="FF595959"/>
        <rFont val="Arial"/>
        <family val="0"/>
        <charset val="1"/>
      </rPr>
      <t xml:space="preserve">50%</t>
    </r>
    <r>
      <rPr>
        <sz val="9"/>
        <color rgb="FF595959"/>
        <rFont val="Noto Sans CJK SC"/>
        <family val="2"/>
      </rPr>
      <t xml:space="preserve">（含傳統事業 </t>
    </r>
    <r>
      <rPr>
        <sz val="9"/>
        <color rgb="FF595959"/>
        <rFont val="Arial"/>
        <family val="0"/>
        <charset val="1"/>
      </rPr>
      <t xml:space="preserve">RPO</t>
    </r>
    <r>
      <rPr>
        <sz val="9"/>
        <color rgb="FF595959"/>
        <rFont val="Noto Sans CJK SC"/>
        <family val="2"/>
      </rPr>
      <t xml:space="preserve">）；差額不回推每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單價</t>
    </r>
  </si>
  <si>
    <r>
      <rPr>
        <sz val="10"/>
        <rFont val="Arial"/>
        <family val="0"/>
        <charset val="1"/>
      </rPr>
      <t xml:space="preserve">1Q27 </t>
    </r>
    <r>
      <rPr>
        <sz val="10"/>
        <rFont val="Noto Sans CJK SC"/>
        <family val="2"/>
      </rPr>
      <t xml:space="preserve">實際營收（季報，已實現）</t>
    </r>
  </si>
  <si>
    <r>
      <rPr>
        <sz val="9"/>
        <color rgb="FF595959"/>
        <rFont val="Arial"/>
        <family val="0"/>
        <charset val="1"/>
      </rPr>
      <t xml:space="preserve">2026-06-01 </t>
    </r>
    <r>
      <rPr>
        <sz val="9"/>
        <color rgb="FF595959"/>
        <rFont val="Noto Sans CJK SC"/>
        <family val="2"/>
      </rPr>
      <t xml:space="preserve">至 </t>
    </r>
    <r>
      <rPr>
        <sz val="9"/>
        <color rgb="FF595959"/>
        <rFont val="Arial"/>
        <family val="0"/>
        <charset val="1"/>
      </rPr>
      <t xml:space="preserve">08-31 </t>
    </r>
    <r>
      <rPr>
        <sz val="9"/>
        <color rgb="FF595959"/>
        <rFont val="Noto Sans CJK SC"/>
        <family val="2"/>
      </rPr>
      <t xml:space="preserve">已認列營收。已實現，不受第 </t>
    </r>
    <r>
      <rPr>
        <sz val="9"/>
        <color rgb="FF595959"/>
        <rFont val="Arial"/>
        <family val="0"/>
        <charset val="1"/>
      </rPr>
      <t xml:space="preserve">2–4 </t>
    </r>
    <r>
      <rPr>
        <sz val="9"/>
        <color rgb="FF595959"/>
        <rFont val="Noto Sans CJK SC"/>
        <family val="2"/>
      </rPr>
      <t xml:space="preserve">季產能約束，故不進入上方的瓶頸計算</t>
    </r>
  </si>
  <si>
    <r>
      <rPr>
        <sz val="10"/>
        <rFont val="Arial"/>
        <family val="0"/>
        <charset val="1"/>
      </rPr>
      <t xml:space="preserve">FY27 </t>
    </r>
    <r>
      <rPr>
        <sz val="10"/>
        <rFont val="Noto Sans CJK SC"/>
        <family val="2"/>
      </rPr>
      <t xml:space="preserve">全年總營收（</t>
    </r>
    <r>
      <rPr>
        <sz val="10"/>
        <rFont val="Arial"/>
        <family val="0"/>
        <charset val="1"/>
      </rPr>
      <t xml:space="preserve">1Q </t>
    </r>
    <r>
      <rPr>
        <sz val="10"/>
        <rFont val="Noto Sans CJK SC"/>
        <family val="2"/>
      </rPr>
      <t xml:space="preserve">實際＋模型期算力＋服務＋傳統事業）</t>
    </r>
  </si>
  <si>
    <r>
      <rPr>
        <sz val="9"/>
        <color rgb="FF595959"/>
        <rFont val="Arial"/>
        <family val="0"/>
        <charset val="1"/>
      </rPr>
      <t xml:space="preserve">FY27 </t>
    </r>
    <r>
      <rPr>
        <sz val="9"/>
        <color rgb="FF595959"/>
        <rFont val="Noto Sans CJK SC"/>
        <family val="2"/>
      </rPr>
      <t xml:space="preserve">欄對照公司全年指引 ≥</t>
    </r>
    <r>
      <rPr>
        <sz val="9"/>
        <color rgb="FF595959"/>
        <rFont val="Arial"/>
        <family val="0"/>
        <charset val="1"/>
      </rPr>
      <t xml:space="preserve">90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FY28 </t>
    </r>
    <r>
      <rPr>
        <sz val="9"/>
        <color rgb="FF595959"/>
        <rFont val="Noto Sans CJK SC"/>
        <family val="2"/>
      </rPr>
      <t xml:space="preserve">以後即為該年度總營收</t>
    </r>
  </si>
  <si>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Noto Sans CJK SC"/>
        <family val="2"/>
      </rPr>
      <t xml:space="preserve">）收入 → 現金：三道折扣</t>
    </r>
  </si>
  <si>
    <r>
      <rPr>
        <sz val="10"/>
        <rFont val="Noto Sans CJK SC"/>
        <family val="2"/>
      </rPr>
      <t xml:space="preserve">信用損失（期初 </t>
    </r>
    <r>
      <rPr>
        <sz val="10"/>
        <rFont val="Arial"/>
        <family val="0"/>
        <charset val="1"/>
      </rPr>
      <t xml:space="preserve">RPO </t>
    </r>
    <r>
      <rPr>
        <sz val="10"/>
        <rFont val="Noto Sans CJK SC"/>
        <family val="2"/>
      </rPr>
      <t xml:space="preserve">部分）</t>
    </r>
  </si>
  <si>
    <r>
      <rPr>
        <sz val="9"/>
        <color rgb="FF595959"/>
        <rFont val="Noto Sans CJK SC"/>
        <family val="2"/>
      </rPr>
      <t xml:space="preserve">＝收入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違約率 </t>
    </r>
    <r>
      <rPr>
        <sz val="9"/>
        <color rgb="FF595959"/>
        <rFont val="Arial"/>
        <family val="0"/>
        <charset val="1"/>
      </rPr>
      <t xml:space="preserve">× (1−</t>
    </r>
    <r>
      <rPr>
        <sz val="9"/>
        <color rgb="FF595959"/>
        <rFont val="Noto Sans CJK SC"/>
        <family val="2"/>
      </rPr>
      <t xml:space="preserve">回收率</t>
    </r>
    <r>
      <rPr>
        <sz val="9"/>
        <color rgb="FF595959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</si>
  <si>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收現（期初 </t>
    </r>
    <r>
      <rPr>
        <sz val="10"/>
        <rFont val="Arial"/>
        <family val="0"/>
        <charset val="1"/>
      </rPr>
      <t xml:space="preserve">RPO </t>
    </r>
    <r>
      <rPr>
        <sz val="10"/>
        <rFont val="Noto Sans CJK SC"/>
        <family val="2"/>
      </rPr>
      <t xml:space="preserve">部分）</t>
    </r>
  </si>
  <si>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率（損益與資金共用）</t>
    </r>
  </si>
  <si>
    <t xml:space="preserve">起始→穩態線性爬升</t>
  </si>
  <si>
    <t xml:space="preserve">模型期總營收（算力＋服務）</t>
  </si>
  <si>
    <r>
      <rPr>
        <sz val="10"/>
        <rFont val="Arial"/>
        <family val="0"/>
        <charset val="1"/>
      </rPr>
      <t xml:space="preserve">EBITDAR </t>
    </r>
    <r>
      <rPr>
        <sz val="10"/>
        <rFont val="Noto Sans CJK SC"/>
        <family val="2"/>
      </rPr>
      <t xml:space="preserve">率（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率＋租金</t>
    </r>
    <r>
      <rPr>
        <sz val="10"/>
        <rFont val="Arial"/>
        <family val="0"/>
        <charset val="1"/>
      </rPr>
      <t xml:space="preserve">÷</t>
    </r>
    <r>
      <rPr>
        <sz val="10"/>
        <rFont val="Noto Sans CJK SC"/>
        <family val="2"/>
      </rPr>
      <t xml:space="preserve">營收）</t>
    </r>
  </si>
  <si>
    <r>
      <rPr>
        <sz val="9"/>
        <color rgb="FF595959"/>
        <rFont val="Noto Sans CJK SC"/>
        <family val="2"/>
      </rPr>
      <t xml:space="preserve">租金前的 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Noto Sans CJK SC"/>
        <family val="2"/>
      </rPr>
      <t xml:space="preserve">率。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Noto Sans CJK SC"/>
        <family val="2"/>
      </rPr>
      <t xml:space="preserve">已扣租金，而資金模型把租金列在支出端，所以要加回，避免重複扣除</t>
    </r>
  </si>
  <si>
    <r>
      <rPr>
        <sz val="10"/>
        <rFont val="Arial"/>
        <family val="0"/>
        <charset val="1"/>
      </rPr>
      <t xml:space="preserve">RPO </t>
    </r>
    <r>
      <rPr>
        <sz val="10"/>
        <rFont val="Noto Sans CJK SC"/>
        <family val="2"/>
      </rPr>
      <t xml:space="preserve">現金（可支應資本用途）</t>
    </r>
  </si>
  <si>
    <r>
      <rPr>
        <sz val="9"/>
        <color rgb="FF595959"/>
        <rFont val="Arial"/>
        <family val="0"/>
        <charset val="1"/>
      </rPr>
      <t xml:space="preserve">×EBITDAR </t>
    </r>
    <r>
      <rPr>
        <sz val="9"/>
        <color rgb="FF595959"/>
        <rFont val="Noto Sans CJK SC"/>
        <family val="2"/>
      </rPr>
      <t xml:space="preserve">率。租金與利息在支出頁單獨列示</t>
    </r>
  </si>
  <si>
    <t xml:space="preserve">新簽約現金</t>
  </si>
  <si>
    <r>
      <rPr>
        <sz val="9"/>
        <color rgb="FF595959"/>
        <rFont val="Noto Sans CJK SC"/>
        <family val="2"/>
      </rPr>
      <t xml:space="preserve">同樣扣信用損失、乘 </t>
    </r>
    <r>
      <rPr>
        <sz val="9"/>
        <color rgb="FF595959"/>
        <rFont val="Arial"/>
        <family val="0"/>
        <charset val="1"/>
      </rPr>
      <t xml:space="preserve">EBITDAR </t>
    </r>
    <r>
      <rPr>
        <sz val="9"/>
        <color rgb="FF595959"/>
        <rFont val="Noto Sans CJK SC"/>
        <family val="2"/>
      </rPr>
      <t xml:space="preserve">率</t>
    </r>
  </si>
  <si>
    <r>
      <rPr>
        <b val="true"/>
        <sz val="10"/>
        <rFont val="Noto Sans CJK SC"/>
        <family val="2"/>
      </rPr>
      <t xml:space="preserve">讀法：</t>
    </r>
    <r>
      <rPr>
        <b val="true"/>
        <sz val="10"/>
        <rFont val="Arial"/>
        <family val="0"/>
        <charset val="1"/>
      </rPr>
      <t xml:space="preserve">FY27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2Q–4Q</t>
    </r>
    <r>
      <rPr>
        <b val="true"/>
        <sz val="10"/>
        <rFont val="Noto Sans CJK SC"/>
        <family val="2"/>
      </rPr>
      <t xml:space="preserve">）與 </t>
    </r>
    <r>
      <rPr>
        <b val="true"/>
        <sz val="10"/>
        <rFont val="Arial"/>
        <family val="0"/>
        <charset val="1"/>
      </rPr>
      <t xml:space="preserve">FY28 </t>
    </r>
    <r>
      <rPr>
        <b val="true"/>
        <sz val="10"/>
        <rFont val="Noto Sans CJK SC"/>
        <family val="2"/>
      </rPr>
      <t xml:space="preserve">瓶頸</t>
    </r>
    <r>
      <rPr>
        <b val="true"/>
        <sz val="10"/>
        <rFont val="Arial"/>
        <family val="0"/>
        <charset val="1"/>
      </rPr>
      <t xml:space="preserve">&gt;0</t>
    </r>
    <r>
      <rPr>
        <b val="true"/>
        <sz val="10"/>
        <rFont val="Noto Sans CJK SC"/>
        <family val="2"/>
      </rPr>
      <t xml:space="preserve">，合約多於機房；</t>
    </r>
    <r>
      <rPr>
        <b val="true"/>
        <sz val="10"/>
        <rFont val="Arial"/>
        <family val="0"/>
        <charset val="1"/>
      </rPr>
      <t xml:space="preserve">FY28 </t>
    </r>
    <r>
      <rPr>
        <b val="true"/>
        <sz val="10"/>
        <rFont val="Noto Sans CJK SC"/>
        <family val="2"/>
      </rPr>
      <t xml:space="preserve">起反轉，收入愈來愈靠『新簽約收入』這一列。</t>
    </r>
  </si>
  <si>
    <r>
      <rPr>
        <sz val="9"/>
        <color rgb="FF595959"/>
        <rFont val="Noto Sans CJK SC"/>
        <family val="2"/>
      </rPr>
      <t xml:space="preserve">把『新產能簽約率』調到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，就能看到只靠期初 </t>
    </r>
    <r>
      <rPr>
        <sz val="9"/>
        <color rgb="FF595959"/>
        <rFont val="Arial"/>
        <family val="0"/>
        <charset val="1"/>
      </rPr>
      <t xml:space="preserve">RPO </t>
    </r>
    <r>
      <rPr>
        <sz val="9"/>
        <color rgb="FF595959"/>
        <rFont val="Noto Sans CJK SC"/>
        <family val="2"/>
      </rPr>
      <t xml:space="preserve">的資金缺口有多大——這是最重要的一個壓力測試。</t>
    </r>
  </si>
  <si>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E</t>
    </r>
    <r>
      <rPr>
        <b val="true"/>
        <sz val="10"/>
        <rFont val="Noto Sans CJK SC"/>
        <family val="2"/>
      </rPr>
      <t xml:space="preserve">）建設延誤（</t>
    </r>
    <r>
      <rPr>
        <b val="true"/>
        <sz val="10"/>
        <rFont val="Arial"/>
        <family val="0"/>
        <charset val="1"/>
      </rPr>
      <t xml:space="preserve">v0.2</t>
    </r>
    <r>
      <rPr>
        <b val="true"/>
        <sz val="10"/>
        <rFont val="Noto Sans CJK SC"/>
        <family val="2"/>
      </rPr>
      <t xml:space="preserve">）：計費 </t>
    </r>
    <r>
      <rPr>
        <b val="true"/>
        <sz val="10"/>
        <rFont val="Arial"/>
        <family val="0"/>
        <charset val="1"/>
      </rPr>
      <t xml:space="preserve">MW </t>
    </r>
    <r>
      <rPr>
        <b val="true"/>
        <sz val="10"/>
        <rFont val="Noto Sans CJK SC"/>
        <family val="2"/>
      </rPr>
      <t xml:space="preserve">往後平移；</t>
    </r>
    <r>
      <rPr>
        <b val="true"/>
        <sz val="10"/>
        <rFont val="Arial"/>
        <family val="0"/>
        <charset val="1"/>
      </rPr>
      <t xml:space="preserve">GPU </t>
    </r>
    <r>
      <rPr>
        <b val="true"/>
        <sz val="10"/>
        <rFont val="Noto Sans CJK SC"/>
        <family val="2"/>
      </rPr>
      <t xml:space="preserve">資本支出與客戶出資照原時程；折舊自投入使用時點起算</t>
    </r>
  </si>
  <si>
    <r>
      <rPr>
        <sz val="10"/>
        <rFont val="Noto Sans CJK SC"/>
        <family val="2"/>
      </rPr>
      <t xml:space="preserve">建設延誤月數｜保守 </t>
    </r>
    <r>
      <rPr>
        <sz val="10"/>
        <rFont val="Arial"/>
        <family val="0"/>
        <charset val="1"/>
      </rPr>
      <t xml:space="preserve">OpenAI </t>
    </r>
    <r>
      <rPr>
        <sz val="10"/>
        <rFont val="Noto Sans CJK SC"/>
        <family val="2"/>
      </rPr>
      <t xml:space="preserve">相關 </t>
    </r>
    <r>
      <rPr>
        <sz val="10"/>
        <rFont val="Arial"/>
        <family val="0"/>
        <charset val="1"/>
      </rPr>
      <t xml:space="preserve">60%</t>
    </r>
  </si>
  <si>
    <r>
      <rPr>
        <sz val="9"/>
        <color rgb="FF595959"/>
        <rFont val="Arial"/>
        <family val="0"/>
        <charset val="1"/>
      </rPr>
      <t xml:space="preserve">company.json → scenarios.delayMonths</t>
    </r>
    <r>
      <rPr>
        <sz val="9"/>
        <color rgb="FF595959"/>
        <rFont val="Noto Sans CJK SC"/>
        <family val="2"/>
      </rPr>
      <t xml:space="preserve">；依據見該欄 </t>
    </r>
    <r>
      <rPr>
        <sz val="9"/>
        <color rgb="FF595959"/>
        <rFont val="Arial"/>
        <family val="0"/>
        <charset val="1"/>
      </rPr>
      <t xml:space="preserve">note [Assumed]</t>
    </r>
  </si>
  <si>
    <r>
      <rPr>
        <sz val="10"/>
        <rFont val="Noto Sans CJK SC"/>
        <family val="2"/>
      </rPr>
      <t xml:space="preserve">建設延誤月數｜基準 已簽約站點依 </t>
    </r>
    <r>
      <rPr>
        <sz val="10"/>
        <rFont val="Arial"/>
        <family val="0"/>
        <charset val="1"/>
      </rPr>
      <t xml:space="preserve">Q1 </t>
    </r>
    <r>
      <rPr>
        <sz val="10"/>
        <rFont val="Noto Sans CJK SC"/>
        <family val="2"/>
      </rPr>
      <t xml:space="preserve">速度</t>
    </r>
  </si>
  <si>
    <t xml:space="preserve">建設延誤月數｜積極 依公司時程</t>
  </si>
  <si>
    <t xml:space="preserve">建設延誤月數（目前情境）</t>
  </si>
  <si>
    <r>
      <rPr>
        <sz val="9"/>
        <color rgb="FF595959"/>
        <rFont val="Noto Sans CJK SC"/>
        <family val="2"/>
      </rPr>
      <t xml:space="preserve">＝依『輸入與假設』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區情境選擇器；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＝不延誤（＝</t>
    </r>
    <r>
      <rPr>
        <sz val="9"/>
        <color rgb="FF595959"/>
        <rFont val="Arial"/>
        <family val="0"/>
        <charset val="1"/>
      </rPr>
      <t xml:space="preserve">v0.1</t>
    </r>
    <r>
      <rPr>
        <sz val="9"/>
        <color rgb="FF595959"/>
        <rFont val="Noto Sans CJK SC"/>
        <family val="2"/>
      </rPr>
      <t xml:space="preserve">）</t>
    </r>
  </si>
  <si>
    <t xml:space="preserve">期末時點（評價日起，年）</t>
  </si>
  <si>
    <t xml:space="preserve">＝累計期間長度</t>
  </si>
  <si>
    <r>
      <rPr>
        <sz val="10"/>
        <rFont val="Noto Sans CJK SC"/>
        <family val="2"/>
      </rPr>
      <t xml:space="preserve">成長型 </t>
    </r>
    <r>
      <rPr>
        <sz val="10"/>
        <rFont val="Arial"/>
        <family val="0"/>
        <charset val="1"/>
      </rPr>
      <t xml:space="preserve">CapEx </t>
    </r>
    <r>
      <rPr>
        <sz val="10"/>
        <rFont val="Noto Sans CJK SC"/>
        <family val="2"/>
      </rPr>
      <t xml:space="preserve">累計（原時程，評價日起）</t>
    </r>
  </si>
  <si>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與網通照原併網時程採購、交貨等電（客戶出資覆蓋比同樣依原時程）</t>
    </r>
  </si>
  <si>
    <t xml:space="preserve">已投入使用累計（延誤後）</t>
  </si>
  <si>
    <r>
      <rPr>
        <sz val="9"/>
        <color rgb="FF595959"/>
        <rFont val="Noto Sans CJK SC"/>
        <family val="2"/>
      </rPr>
      <t xml:space="preserve">＝上列往後平移建設延誤月數（線性內插）；延誤 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時＝上列</t>
    </r>
  </si>
  <si>
    <r>
      <rPr>
        <sz val="10"/>
        <rFont val="Noto Sans CJK SC"/>
        <family val="2"/>
      </rPr>
      <t xml:space="preserve">本期投入使用的成長型 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（折舊基礎）</t>
    </r>
  </si>
  <si>
    <r>
      <rPr>
        <sz val="9"/>
        <color rgb="FF595959"/>
        <rFont val="Noto Sans CJK SC"/>
        <family val="2"/>
      </rPr>
      <t xml:space="preserve">車隊折舊自投入使用時點起算（『輸入與假設』期初毛 </t>
    </r>
    <r>
      <rPr>
        <sz val="9"/>
        <color rgb="FF595959"/>
        <rFont val="Arial"/>
        <family val="0"/>
        <charset val="1"/>
      </rPr>
      <t xml:space="preserve">PP&amp;E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D&amp;A </t>
    </r>
    <r>
      <rPr>
        <sz val="9"/>
        <color rgb="FF595959"/>
        <rFont val="Noto Sans CJK SC"/>
        <family val="2"/>
      </rPr>
      <t xml:space="preserve">引用此列）</t>
    </r>
  </si>
  <si>
    <t xml:space="preserve">閒置資本（已支出未產生收入，期末）</t>
  </si>
  <si>
    <r>
      <rPr>
        <sz val="9"/>
        <color rgb="FF595959"/>
        <rFont val="Noto Sans CJK SC"/>
        <family val="2"/>
      </rPr>
      <t xml:space="preserve">＝原時程累計 − 已投入使用累計；延誤 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時為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。一頁摘要以一句呈現峰值</t>
    </r>
  </si>
  <si>
    <r>
      <rPr>
        <sz val="10"/>
        <rFont val="Noto Sans CJK SC"/>
        <family val="2"/>
      </rPr>
      <t xml:space="preserve">未起租租約起租連動比例（</t>
    </r>
    <r>
      <rPr>
        <sz val="10"/>
        <rFont val="Arial"/>
        <family val="0"/>
        <charset val="1"/>
      </rPr>
      <t xml:space="preserve">delayLink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</si>
  <si>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未起租租金中此比例的起租時點隨延誤月數後移（開發商交付晚），其餘照原時程（</t>
    </r>
    <r>
      <rPr>
        <sz val="9"/>
        <color rgb="FF595959"/>
        <rFont val="Arial"/>
        <family val="0"/>
        <charset val="1"/>
      </rPr>
      <t xml:space="preserve">company.json → leases.uncommenced.delayLink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[Assumed]</t>
    </r>
    <r>
      <rPr>
        <sz val="9"/>
        <color rgb="FF595959"/>
        <rFont val="Noto Sans CJK SC"/>
        <family val="2"/>
      </rPr>
      <t xml:space="preserve">；替代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1</t>
    </r>
  </si>
  <si>
    <r>
      <rPr>
        <sz val="10"/>
        <rFont val="Noto Sans CJK SC"/>
        <family val="2"/>
      </rPr>
      <t xml:space="preserve">延誤罰則（應計費而未計費營收的 </t>
    </r>
    <r>
      <rPr>
        <sz val="10"/>
        <rFont val="Arial"/>
        <family val="0"/>
        <charset val="1"/>
      </rPr>
      <t xml:space="preserve">%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</si>
  <si>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公司未揭露合約條款：預設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（不存在／未揭露）；敏感度 </t>
    </r>
    <r>
      <rPr>
        <sz val="9"/>
        <color rgb="FF595959"/>
        <rFont val="Arial"/>
        <family val="0"/>
        <charset val="1"/>
      </rPr>
      <t xml:space="preserve">5%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10%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company.json → defaults.delayPenalty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[Assumed]</t>
    </r>
  </si>
  <si>
    <t xml:space="preserve">表外現金租金：全部隨延誤平移（對照）</t>
  </si>
  <si>
    <r>
      <rPr>
        <sz val="9"/>
        <color rgb="FF595959"/>
        <rFont val="Noto Sans CJK SC"/>
        <family val="2"/>
      </rPr>
      <t xml:space="preserve">＝未起租排程的起算季延後 延誤月數 </t>
    </r>
    <r>
      <rPr>
        <sz val="9"/>
        <color rgb="FF595959"/>
        <rFont val="Arial"/>
        <family val="0"/>
        <charset val="1"/>
      </rPr>
      <t xml:space="preserve">÷ 3 </t>
    </r>
    <r>
      <rPr>
        <sz val="9"/>
        <color rgb="FF595959"/>
        <rFont val="Noto Sans CJK SC"/>
        <family val="2"/>
      </rPr>
      <t xml:space="preserve">季（其餘同『輸入與假設』表外現金租金）</t>
    </r>
  </si>
  <si>
    <t xml:space="preserve">表外現金租金（未起租，延誤連動後）</t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</si>
  <si>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(1 − </t>
    </r>
    <r>
      <rPr>
        <sz val="9"/>
        <color rgb="FF595959"/>
        <rFont val="Noto Sans CJK SC"/>
        <family val="2"/>
      </rPr>
      <t xml:space="preserve">連動比例</t>
    </r>
    <r>
      <rPr>
        <sz val="9"/>
        <color rgb="FF595959"/>
        <rFont val="Arial"/>
        <family val="0"/>
        <charset val="1"/>
      </rPr>
      <t xml:space="preserve">)× </t>
    </r>
    <r>
      <rPr>
        <sz val="9"/>
        <color rgb="FF595959"/>
        <rFont val="Noto Sans CJK SC"/>
        <family val="2"/>
      </rPr>
      <t xml:space="preserve">原排程＋連動比例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平移後排程；延誤 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時＝原排程（『各期收支』租金引用此列）</t>
    </r>
  </si>
  <si>
    <t xml:space="preserve">容量上限（未延誤，對照）</t>
  </si>
  <si>
    <r>
      <rPr>
        <sz val="9"/>
        <color rgb="FF595959"/>
        <rFont val="Noto Sans CJK SC"/>
        <family val="2"/>
      </rPr>
      <t xml:space="preserve">＝未延誤的平均可計費 </t>
    </r>
    <r>
      <rPr>
        <sz val="9"/>
        <color rgb="FF595959"/>
        <rFont val="Arial"/>
        <family val="0"/>
        <charset val="1"/>
      </rPr>
      <t xml:space="preserve">MW × 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年收入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利用率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期間長度</t>
    </r>
  </si>
  <si>
    <t xml:space="preserve">應計費而未計費營收（延誤造成）</t>
  </si>
  <si>
    <t xml:space="preserve">＝未延誤容量上限 − 延誤後容量上限</t>
  </si>
  <si>
    <t xml:space="preserve">延誤罰則（營業費用）</t>
  </si>
  <si>
    <r>
      <rPr>
        <sz val="9"/>
        <color rgb="FF595959"/>
        <rFont val="Noto Sans CJK SC"/>
        <family val="2"/>
      </rPr>
      <t xml:space="preserve">＝罰則比例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應計費而未計費營收；扣 </t>
    </r>
    <r>
      <rPr>
        <sz val="9"/>
        <color rgb="FF595959"/>
        <rFont val="Arial"/>
        <family val="0"/>
        <charset val="1"/>
      </rPr>
      <t xml:space="preserve">EBITDA</t>
    </r>
    <r>
      <rPr>
        <sz val="9"/>
        <color rgb="FF595959"/>
        <rFont val="Noto Sans CJK SC"/>
        <family val="2"/>
      </rPr>
      <t xml:space="preserve">、營運來源、稅基與債務上限。客戶預付不因延誤退還（已知限制）</t>
    </r>
  </si>
  <si>
    <r>
      <rPr>
        <b val="true"/>
        <sz val="14"/>
        <rFont val="Noto Sans CJK SC"/>
        <family val="2"/>
      </rPr>
      <t xml:space="preserve">站點租賃 — 公司揭露 </t>
    </r>
    <r>
      <rPr>
        <b val="true"/>
        <sz val="14"/>
        <rFont val="Arial"/>
        <family val="0"/>
        <charset val="1"/>
      </rPr>
      <t xml:space="preserve">vs </t>
    </r>
    <r>
      <rPr>
        <b val="true"/>
        <sz val="14"/>
        <rFont val="Noto Sans CJK SC"/>
        <family val="2"/>
      </rPr>
      <t xml:space="preserve">季報總額（檢驗租金路徑用）</t>
    </r>
  </si>
  <si>
    <r>
      <rPr>
        <sz val="9"/>
        <color rgb="FF595959"/>
        <rFont val="Noto Sans CJK SC"/>
        <family val="2"/>
      </rPr>
      <t xml:space="preserve">季報不揭露逐站租金；下表為具名站點（</t>
    </r>
    <r>
      <rPr>
        <sz val="9"/>
        <color rgb="FF595959"/>
        <rFont val="Arial"/>
        <family val="0"/>
        <charset val="1"/>
      </rPr>
      <t xml:space="preserve">company.json → defaults.sites</t>
    </r>
    <r>
      <rPr>
        <sz val="9"/>
        <color rgb="FF595959"/>
        <rFont val="Noto Sans CJK SC"/>
        <family val="2"/>
      </rPr>
      <t xml:space="preserve">），有租約金額者用來檢驗『每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年租金』與模型租金路徑是否一致</t>
    </r>
  </si>
  <si>
    <t xml:space="preserve">站點</t>
  </si>
  <si>
    <t xml:space="preserve">營運方</t>
  </si>
  <si>
    <r>
      <rPr>
        <b val="true"/>
        <sz val="11"/>
        <color rgb="FFFFFFFF"/>
        <rFont val="Noto Sans CJK SC"/>
        <family val="2"/>
      </rPr>
      <t xml:space="preserve">契約 </t>
    </r>
    <r>
      <rPr>
        <b val="true"/>
        <sz val="11"/>
        <color rgb="FFFFFFFF"/>
        <rFont val="Arial"/>
        <family val="0"/>
        <charset val="1"/>
      </rPr>
      <t xml:space="preserve">MW</t>
    </r>
  </si>
  <si>
    <r>
      <rPr>
        <b val="true"/>
        <sz val="11"/>
        <color rgb="FFFFFFFF"/>
        <rFont val="Noto Sans CJK SC"/>
        <family val="2"/>
      </rPr>
      <t xml:space="preserve">已驗收 </t>
    </r>
    <r>
      <rPr>
        <b val="true"/>
        <sz val="11"/>
        <color rgb="FFFFFFFF"/>
        <rFont val="Arial"/>
        <family val="0"/>
        <charset val="1"/>
      </rPr>
      <t xml:space="preserve">MW</t>
    </r>
  </si>
  <si>
    <r>
      <rPr>
        <b val="true"/>
        <sz val="11"/>
        <color rgb="FFFFFFFF"/>
        <rFont val="Noto Sans CJK SC"/>
        <family val="2"/>
      </rPr>
      <t xml:space="preserve">合約總值 </t>
    </r>
    <r>
      <rPr>
        <b val="true"/>
        <sz val="11"/>
        <color rgb="FFFFFFFF"/>
        <rFont val="Arial"/>
        <family val="0"/>
        <charset val="1"/>
      </rPr>
      <t xml:space="preserve">$bn</t>
    </r>
  </si>
  <si>
    <t xml:space="preserve">年期</t>
  </si>
  <si>
    <r>
      <rPr>
        <b val="true"/>
        <sz val="11"/>
        <color rgb="FFFFFFFF"/>
        <rFont val="Noto Sans CJK SC"/>
        <family val="2"/>
      </rPr>
      <t xml:space="preserve">年租金 </t>
    </r>
    <r>
      <rPr>
        <b val="true"/>
        <sz val="11"/>
        <color rgb="FFFFFFFF"/>
        <rFont val="Arial"/>
        <family val="0"/>
        <charset val="1"/>
      </rPr>
      <t xml:space="preserve">$bn</t>
    </r>
  </si>
  <si>
    <r>
      <rPr>
        <b val="true"/>
        <sz val="11"/>
        <color rgb="FFFFFFFF"/>
        <rFont val="Noto Sans CJK SC"/>
        <family val="2"/>
      </rPr>
      <t xml:space="preserve">每 </t>
    </r>
    <r>
      <rPr>
        <b val="true"/>
        <sz val="11"/>
        <color rgb="FFFFFFFF"/>
        <rFont val="Arial"/>
        <family val="0"/>
        <charset val="1"/>
      </rPr>
      <t xml:space="preserve">MW </t>
    </r>
    <r>
      <rPr>
        <b val="true"/>
        <sz val="11"/>
        <color rgb="FFFFFFFF"/>
        <rFont val="Noto Sans CJK SC"/>
        <family val="2"/>
      </rPr>
      <t xml:space="preserve">年租金 </t>
    </r>
    <r>
      <rPr>
        <b val="true"/>
        <sz val="11"/>
        <color rgb="FFFFFFFF"/>
        <rFont val="Arial"/>
        <family val="0"/>
        <charset val="1"/>
      </rPr>
      <t xml:space="preserve">$m</t>
    </r>
  </si>
  <si>
    <t xml:space="preserve">時程</t>
  </si>
  <si>
    <t xml:space="preserve">季報對應</t>
  </si>
  <si>
    <r>
      <rPr>
        <sz val="10"/>
        <rFont val="Arial"/>
        <family val="0"/>
        <charset val="1"/>
      </rPr>
      <t xml:space="preserve">Abilene, TX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Stargate </t>
    </r>
    <r>
      <rPr>
        <sz val="10"/>
        <rFont val="Noto Sans CJK SC"/>
        <family val="2"/>
      </rPr>
      <t xml:space="preserve">一期）</t>
    </r>
  </si>
  <si>
    <r>
      <rPr>
        <sz val="9"/>
        <color rgb="FF595959"/>
        <rFont val="Arial"/>
        <family val="0"/>
        <charset val="1"/>
      </rPr>
      <t xml:space="preserve">Crusoe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Blue Owl </t>
    </r>
    <r>
      <rPr>
        <sz val="9"/>
        <color rgb="FF595959"/>
        <rFont val="Noto Sans CJK SC"/>
        <family val="2"/>
      </rPr>
      <t xml:space="preserve">開發、</t>
    </r>
    <r>
      <rPr>
        <sz val="9"/>
        <color rgb="FF595959"/>
        <rFont val="Arial"/>
        <family val="0"/>
        <charset val="1"/>
      </rPr>
      <t xml:space="preserve">Oracle </t>
    </r>
    <r>
      <rPr>
        <sz val="9"/>
        <color rgb="FF595959"/>
        <rFont val="Noto Sans CJK SC"/>
        <family val="2"/>
      </rPr>
      <t xml:space="preserve">承租（</t>
    </r>
    <r>
      <rPr>
        <sz val="9"/>
        <color rgb="FF595959"/>
        <rFont val="Arial"/>
        <family val="0"/>
        <charset val="1"/>
      </rPr>
      <t xml:space="preserve">OpenAI</t>
    </r>
    <r>
      <rPr>
        <sz val="9"/>
        <color rgb="FF595959"/>
        <rFont val="Noto Sans CJK SC"/>
        <family val="2"/>
      </rPr>
      <t xml:space="preserve">）</t>
    </r>
  </si>
  <si>
    <t xml:space="preserve">未揭露</t>
  </si>
  <si>
    <t xml:space="preserve">2026–2027</t>
  </si>
  <si>
    <t xml:space="preserve">—</t>
  </si>
  <si>
    <r>
      <rPr>
        <sz val="9"/>
        <color rgb="FF595959"/>
        <rFont val="Noto Sans CJK SC"/>
        <family val="2"/>
      </rPr>
      <t xml:space="preserve">法說：已交付 </t>
    </r>
    <r>
      <rPr>
        <sz val="9"/>
        <color rgb="FF595959"/>
        <rFont val="Arial"/>
        <family val="0"/>
        <charset val="1"/>
      </rPr>
      <t xml:space="preserve">618 MW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75%</t>
    </r>
    <r>
      <rPr>
        <sz val="9"/>
        <color rgb="FF595959"/>
        <rFont val="Noto Sans CJK SC"/>
        <family val="2"/>
      </rPr>
      <t xml:space="preserve">（口徑不明，</t>
    </r>
    <r>
      <rPr>
        <sz val="9"/>
        <color rgb="FF595959"/>
        <rFont val="Arial"/>
        <family val="0"/>
        <charset val="1"/>
      </rPr>
      <t xml:space="preserve">÷1.2 </t>
    </r>
    <r>
      <rPr>
        <sz val="9"/>
        <color rgb="FF595959"/>
        <rFont val="Noto Sans CJK SC"/>
        <family val="2"/>
      </rPr>
      <t xml:space="preserve">換 </t>
    </r>
    <r>
      <rPr>
        <sz val="9"/>
        <color rgb="FF595959"/>
        <rFont val="Arial"/>
        <family val="0"/>
        <charset val="1"/>
      </rPr>
      <t xml:space="preserve">IT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515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Epoch </t>
    </r>
    <r>
      <rPr>
        <sz val="9"/>
        <color rgb="FF595959"/>
        <rFont val="Noto Sans CJK SC"/>
        <family val="2"/>
      </rPr>
      <t xml:space="preserve">估設施 </t>
    </r>
    <r>
      <rPr>
        <sz val="9"/>
        <color rgb="FF595959"/>
        <rFont val="Arial"/>
        <family val="0"/>
        <charset val="1"/>
      </rPr>
      <t xml:space="preserve">1.2 GW [Interested-party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Derived]</t>
    </r>
  </si>
  <si>
    <r>
      <rPr>
        <sz val="10"/>
        <rFont val="Arial"/>
        <family val="0"/>
        <charset val="1"/>
      </rPr>
      <t xml:space="preserve">Shackelford County, TX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Frontier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</si>
  <si>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Vantage </t>
    </r>
    <r>
      <rPr>
        <sz val="9"/>
        <color rgb="FF595959"/>
        <rFont val="Noto Sans CJK SC"/>
        <family val="2"/>
      </rPr>
      <t xml:space="preserve">開發、</t>
    </r>
    <r>
      <rPr>
        <sz val="9"/>
        <color rgb="FF595959"/>
        <rFont val="Arial"/>
        <family val="0"/>
        <charset val="1"/>
      </rPr>
      <t xml:space="preserve">Oracle </t>
    </r>
    <r>
      <rPr>
        <sz val="9"/>
        <color rgb="FF595959"/>
        <rFont val="Noto Sans CJK SC"/>
        <family val="2"/>
      </rPr>
      <t xml:space="preserve">承租</t>
    </r>
  </si>
  <si>
    <r>
      <rPr>
        <sz val="9"/>
        <color rgb="FF595959"/>
        <rFont val="Arial"/>
        <family val="0"/>
        <charset val="1"/>
      </rPr>
      <t xml:space="preserve">2027 </t>
    </r>
    <r>
      <rPr>
        <sz val="9"/>
        <color rgb="FF595959"/>
        <rFont val="Noto Sans CJK SC"/>
        <family val="2"/>
      </rPr>
      <t xml:space="preserve">起</t>
    </r>
  </si>
  <si>
    <r>
      <rPr>
        <sz val="9"/>
        <color rgb="FF595959"/>
        <rFont val="Arial"/>
        <family val="0"/>
        <charset val="1"/>
      </rPr>
      <t xml:space="preserve">Epoch </t>
    </r>
    <r>
      <rPr>
        <sz val="9"/>
        <color rgb="FF595959"/>
        <rFont val="Noto Sans CJK SC"/>
        <family val="2"/>
      </rPr>
      <t xml:space="preserve">估設施 </t>
    </r>
    <r>
      <rPr>
        <sz val="9"/>
        <color rgb="FF595959"/>
        <rFont val="Arial"/>
        <family val="0"/>
        <charset val="1"/>
      </rPr>
      <t xml:space="preserve">2.0 GW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÷1.2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1,667 MW-IT</t>
    </r>
    <r>
      <rPr>
        <sz val="9"/>
        <color rgb="FF595959"/>
        <rFont val="Noto Sans CJK SC"/>
        <family val="2"/>
      </rPr>
      <t xml:space="preserve">）；開發商融資 </t>
    </r>
    <r>
      <rPr>
        <sz val="9"/>
        <color rgb="FF595959"/>
        <rFont val="Arial"/>
        <family val="0"/>
        <charset val="1"/>
      </rPr>
      <t xml:space="preserve">38B</t>
    </r>
    <r>
      <rPr>
        <sz val="9"/>
        <color rgb="FF595959"/>
        <rFont val="Noto Sans CJK SC"/>
        <family val="2"/>
      </rPr>
      <t xml:space="preserve">（含 </t>
    </r>
    <r>
      <rPr>
        <sz val="9"/>
        <color rgb="FF595959"/>
        <rFont val="Arial"/>
        <family val="0"/>
        <charset val="1"/>
      </rPr>
      <t xml:space="preserve">Port Washington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</si>
  <si>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Arial"/>
        <family val="0"/>
        <charset val="1"/>
      </rPr>
      <t xml:space="preserve">Doña Ana County, NM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Project Jupiter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</si>
  <si>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BorderPlex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STACK </t>
    </r>
    <r>
      <rPr>
        <sz val="9"/>
        <color rgb="FF595959"/>
        <rFont val="Noto Sans CJK SC"/>
        <family val="2"/>
      </rPr>
      <t xml:space="preserve">開發、</t>
    </r>
    <r>
      <rPr>
        <sz val="9"/>
        <color rgb="FF595959"/>
        <rFont val="Arial"/>
        <family val="0"/>
        <charset val="1"/>
      </rPr>
      <t xml:space="preserve">Oracle </t>
    </r>
    <r>
      <rPr>
        <sz val="9"/>
        <color rgb="FF595959"/>
        <rFont val="Noto Sans CJK SC"/>
        <family val="2"/>
      </rPr>
      <t xml:space="preserve">承租</t>
    </r>
  </si>
  <si>
    <t xml:space="preserve">延後</t>
  </si>
  <si>
    <r>
      <rPr>
        <sz val="9"/>
        <color rgb="FF595959"/>
        <rFont val="Arial"/>
        <family val="0"/>
        <charset val="1"/>
      </rPr>
      <t xml:space="preserve">Epoch </t>
    </r>
    <r>
      <rPr>
        <sz val="9"/>
        <color rgb="FF595959"/>
        <rFont val="Noto Sans CJK SC"/>
        <family val="2"/>
      </rPr>
      <t xml:space="preserve">估設施 </t>
    </r>
    <r>
      <rPr>
        <sz val="9"/>
        <color rgb="FF595959"/>
        <rFont val="Arial"/>
        <family val="0"/>
        <charset val="1"/>
      </rPr>
      <t xml:space="preserve">2.2 GW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2026-09-24 Oracle </t>
    </r>
    <r>
      <rPr>
        <sz val="9"/>
        <color rgb="FF595959"/>
        <rFont val="Noto Sans CJK SC"/>
        <family val="2"/>
      </rPr>
      <t xml:space="preserve">發不可抗力通知（能源延誤）</t>
    </r>
    <r>
      <rPr>
        <sz val="9"/>
        <color rgb="FF595959"/>
        <rFont val="Arial"/>
        <family val="0"/>
        <charset val="1"/>
      </rPr>
      <t xml:space="preserve">[Interested-party]</t>
    </r>
  </si>
  <si>
    <t xml:space="preserve">Port Washington, WI</t>
  </si>
  <si>
    <r>
      <rPr>
        <sz val="9"/>
        <color rgb="FF595959"/>
        <rFont val="Arial"/>
        <family val="0"/>
        <charset val="1"/>
      </rPr>
      <t xml:space="preserve">Epoch </t>
    </r>
    <r>
      <rPr>
        <sz val="9"/>
        <color rgb="FF595959"/>
        <rFont val="Noto Sans CJK SC"/>
        <family val="2"/>
      </rPr>
      <t xml:space="preserve">估設施 </t>
    </r>
    <r>
      <rPr>
        <sz val="9"/>
        <color rgb="FF595959"/>
        <rFont val="Arial"/>
        <family val="0"/>
        <charset val="1"/>
      </rPr>
      <t xml:space="preserve">1.3 GW [Derived]</t>
    </r>
  </si>
  <si>
    <r>
      <rPr>
        <sz val="10"/>
        <rFont val="Arial"/>
        <family val="0"/>
        <charset val="1"/>
      </rPr>
      <t xml:space="preserve">Saline Township, MI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The Barn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</si>
  <si>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Related Digital </t>
    </r>
    <r>
      <rPr>
        <sz val="9"/>
        <color rgb="FF595959"/>
        <rFont val="Noto Sans CJK SC"/>
        <family val="2"/>
      </rPr>
      <t xml:space="preserve">開發、</t>
    </r>
    <r>
      <rPr>
        <sz val="9"/>
        <color rgb="FF595959"/>
        <rFont val="Arial"/>
        <family val="0"/>
        <charset val="1"/>
      </rPr>
      <t xml:space="preserve">Oracle </t>
    </r>
    <r>
      <rPr>
        <sz val="9"/>
        <color rgb="FF595959"/>
        <rFont val="Noto Sans CJK SC"/>
        <family val="2"/>
      </rPr>
      <t xml:space="preserve">承租</t>
    </r>
  </si>
  <si>
    <r>
      <rPr>
        <sz val="9"/>
        <color rgb="FF595959"/>
        <rFont val="Arial"/>
        <family val="0"/>
        <charset val="1"/>
      </rPr>
      <t xml:space="preserve">Epoch </t>
    </r>
    <r>
      <rPr>
        <sz val="9"/>
        <color rgb="FF595959"/>
        <rFont val="Noto Sans CJK SC"/>
        <family val="2"/>
      </rPr>
      <t xml:space="preserve">估設施 </t>
    </r>
    <r>
      <rPr>
        <sz val="9"/>
        <color rgb="FF595959"/>
        <rFont val="Arial"/>
        <family val="0"/>
        <charset val="1"/>
      </rPr>
      <t xml:space="preserve">1.4 GW</t>
    </r>
    <r>
      <rPr>
        <sz val="9"/>
        <color rgb="FF595959"/>
        <rFont val="Noto Sans CJK SC"/>
        <family val="2"/>
      </rPr>
      <t xml:space="preserve">；開發商融資 </t>
    </r>
    <r>
      <rPr>
        <sz val="9"/>
        <color rgb="FF595959"/>
        <rFont val="Arial"/>
        <family val="0"/>
        <charset val="1"/>
      </rPr>
      <t xml:space="preserve">16B [Derived]</t>
    </r>
  </si>
  <si>
    <t xml:space="preserve">具名站點合計</t>
  </si>
  <si>
    <r>
      <rPr>
        <sz val="9"/>
        <color rgb="FF595959"/>
        <rFont val="Noto Sans CJK SC"/>
        <family val="2"/>
      </rPr>
      <t xml:space="preserve">加權每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年租金＝具名站點的市場基準（</t>
    </r>
    <r>
      <rPr>
        <sz val="9"/>
        <color rgb="FF595959"/>
        <rFont val="Arial"/>
        <family val="0"/>
        <charset val="1"/>
      </rPr>
      <t xml:space="preserve">I </t>
    </r>
    <r>
      <rPr>
        <sz val="9"/>
        <color rgb="FF595959"/>
        <rFont val="Noto Sans CJK SC"/>
        <family val="2"/>
      </rPr>
      <t xml:space="preserve">欄＝有租約金額站點的契約 </t>
    </r>
    <r>
      <rPr>
        <sz val="9"/>
        <color rgb="FF595959"/>
        <rFont val="Arial"/>
        <family val="0"/>
        <charset val="1"/>
      </rPr>
      <t xml:space="preserve">MW</t>
    </r>
    <r>
      <rPr>
        <sz val="9"/>
        <color rgb="FF595959"/>
        <rFont val="Noto Sans CJK SC"/>
        <family val="2"/>
      </rPr>
      <t xml:space="preserve">；沒有時為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，不適用）</t>
    </r>
  </si>
  <si>
    <r>
      <rPr>
        <b val="true"/>
        <sz val="10"/>
        <rFont val="Noto Sans CJK SC"/>
        <family val="2"/>
      </rPr>
      <t xml:space="preserve">對帳：具名站點 </t>
    </r>
    <r>
      <rPr>
        <b val="true"/>
        <sz val="10"/>
        <rFont val="Arial"/>
        <family val="0"/>
        <charset val="1"/>
      </rPr>
      <t xml:space="preserve">vs </t>
    </r>
    <r>
      <rPr>
        <b val="true"/>
        <sz val="10"/>
        <rFont val="Noto Sans CJK SC"/>
        <family val="2"/>
      </rPr>
      <t xml:space="preserve">季報租賃承諾總額</t>
    </r>
  </si>
  <si>
    <t xml:space="preserve">季報在帳租賃（未折現，已起租）</t>
  </si>
  <si>
    <t xml:space="preserve">company.json → leases.facts.onBal</t>
  </si>
  <si>
    <t xml:space="preserve">季報未起租租賃（未折現）</t>
  </si>
  <si>
    <t xml:space="preserve">company.json → leases.facts.notCommenced</t>
  </si>
  <si>
    <t xml:space="preserve">季報單站按造價計租上限</t>
  </si>
  <si>
    <r>
      <rPr>
        <sz val="9"/>
        <color rgb="FF595959"/>
        <rFont val="Arial"/>
        <family val="0"/>
        <charset val="1"/>
      </rPr>
      <t xml:space="preserve">company.json → leases.facts.singleCap</t>
    </r>
    <r>
      <rPr>
        <sz val="9"/>
        <color rgb="FF595959"/>
        <rFont val="Noto Sans CJK SC"/>
        <family val="2"/>
      </rPr>
      <t xml:space="preserve">（無則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）</t>
    </r>
  </si>
  <si>
    <t xml:space="preserve">季報已揭露租賃承諾合計</t>
  </si>
  <si>
    <t xml:space="preserve">未折現金額</t>
  </si>
  <si>
    <t xml:space="preserve">減：具名站點合約總值</t>
  </si>
  <si>
    <t xml:space="preserve">＝ 未具名站點（殘差）</t>
  </si>
  <si>
    <t xml:space="preserve">未具名站點；公司不揭露逐站租金，殘差大是必然</t>
  </si>
  <si>
    <t xml:space="preserve">殘差占季報總額</t>
  </si>
  <si>
    <r>
      <rPr>
        <b val="true"/>
        <sz val="10"/>
        <rFont val="Noto Sans CJK SC"/>
        <family val="2"/>
      </rPr>
      <t xml:space="preserve">檢驗：模型租金路徑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Noto Sans CJK SC"/>
        <family val="2"/>
      </rPr>
      <t xml:space="preserve">在役 </t>
    </r>
    <r>
      <rPr>
        <b val="true"/>
        <sz val="10"/>
        <rFont val="Arial"/>
        <family val="0"/>
        <charset val="1"/>
      </rPr>
      <t xml:space="preserve">MW vs </t>
    </r>
    <r>
      <rPr>
        <b val="true"/>
        <sz val="10"/>
        <rFont val="Noto Sans CJK SC"/>
        <family val="2"/>
      </rPr>
      <t xml:space="preserve">市場基準</t>
    </r>
  </si>
  <si>
    <t xml:space="preserve">模型租金（在帳＋表外）</t>
  </si>
  <si>
    <r>
      <rPr>
        <sz val="10"/>
        <rFont val="Noto Sans CJK SC"/>
        <family val="2"/>
      </rPr>
      <t xml:space="preserve">平均在役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（已連網）</t>
    </r>
  </si>
  <si>
    <r>
      <rPr>
        <b val="true"/>
        <sz val="10"/>
        <rFont val="Noto Sans CJK SC"/>
        <family val="2"/>
      </rPr>
      <t xml:space="preserve">模型每 </t>
    </r>
    <r>
      <rPr>
        <b val="true"/>
        <sz val="10"/>
        <rFont val="Arial"/>
        <family val="0"/>
        <charset val="1"/>
      </rPr>
      <t xml:space="preserve">MW </t>
    </r>
    <r>
      <rPr>
        <b val="true"/>
        <sz val="10"/>
        <rFont val="Noto Sans CJK SC"/>
        <family val="2"/>
      </rPr>
      <t xml:space="preserve">年租金</t>
    </r>
  </si>
  <si>
    <r>
      <rPr>
        <sz val="9"/>
        <color rgb="FF595959"/>
        <rFont val="Arial"/>
        <family val="0"/>
        <charset val="1"/>
      </rPr>
      <t xml:space="preserve">FY27 </t>
    </r>
    <r>
      <rPr>
        <sz val="9"/>
        <color rgb="FF595959"/>
        <rFont val="Noto Sans CJK SC"/>
        <family val="2"/>
      </rPr>
      <t xml:space="preserve">欄只含第 </t>
    </r>
    <r>
      <rPr>
        <sz val="9"/>
        <color rgb="FF595959"/>
        <rFont val="Arial"/>
        <family val="0"/>
        <charset val="1"/>
      </rPr>
      <t xml:space="preserve">2–4 </t>
    </r>
    <r>
      <rPr>
        <sz val="9"/>
        <color rgb="FF595959"/>
        <rFont val="Noto Sans CJK SC"/>
        <family val="2"/>
      </rPr>
      <t xml:space="preserve">季租金、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取全期平均，略有低估</t>
    </r>
  </si>
  <si>
    <t xml:space="preserve">第三方租賃占比</t>
  </si>
  <si>
    <r>
      <rPr>
        <sz val="9"/>
        <color rgb="FF595959"/>
        <rFont val="Noto Sans CJK SC"/>
        <family val="2"/>
      </rPr>
      <t xml:space="preserve">其餘為自建，成本走 </t>
    </r>
    <r>
      <rPr>
        <sz val="9"/>
        <color rgb="FF595959"/>
        <rFont val="Arial"/>
        <family val="0"/>
        <charset val="1"/>
      </rPr>
      <t xml:space="preserve">CapEx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company.json → leases.facts.share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</si>
  <si>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sz val="10"/>
        <rFont val="Noto Sans CJK SC"/>
        <family val="2"/>
      </rPr>
      <t xml:space="preserve">基準租金（</t>
    </r>
    <r>
      <rPr>
        <sz val="10"/>
        <rFont val="Arial"/>
        <family val="0"/>
        <charset val="1"/>
      </rPr>
      <t xml:space="preserve">MW×</t>
    </r>
    <r>
      <rPr>
        <sz val="10"/>
        <rFont val="Noto Sans CJK SC"/>
        <family val="2"/>
      </rPr>
      <t xml:space="preserve">市場基準</t>
    </r>
    <r>
      <rPr>
        <sz val="10"/>
        <rFont val="Arial"/>
        <family val="0"/>
        <charset val="1"/>
      </rPr>
      <t xml:space="preserve">×</t>
    </r>
    <r>
      <rPr>
        <sz val="10"/>
        <rFont val="Noto Sans CJK SC"/>
        <family val="2"/>
      </rPr>
      <t xml:space="preserve">占比）</t>
    </r>
  </si>
  <si>
    <r>
      <rPr>
        <sz val="9"/>
        <color rgb="FF595959"/>
        <rFont val="Noto Sans CJK SC"/>
        <family val="2"/>
      </rPr>
      <t xml:space="preserve">具名站點有租約金額時才有意義；否則為 </t>
    </r>
    <r>
      <rPr>
        <sz val="9"/>
        <color rgb="FF595959"/>
        <rFont val="Arial"/>
        <family val="0"/>
        <charset val="1"/>
      </rPr>
      <t xml:space="preserve">0</t>
    </r>
  </si>
  <si>
    <t xml:space="preserve">差額（基準 − 模型）</t>
  </si>
  <si>
    <t xml:space="preserve">正值＝模型租金可能低估的金額</t>
  </si>
  <si>
    <t xml:space="preserve">五期差額合計</t>
  </si>
  <si>
    <r>
      <rPr>
        <b val="true"/>
        <sz val="14"/>
        <rFont val="Noto Sans CJK SC"/>
        <family val="2"/>
      </rPr>
      <t xml:space="preserve">債務明細 — 季報（</t>
    </r>
    <r>
      <rPr>
        <b val="true"/>
        <sz val="14"/>
        <rFont val="Arial"/>
        <family val="0"/>
        <charset val="1"/>
      </rPr>
      <t xml:space="preserve">2026-08-31</t>
    </r>
    <r>
      <rPr>
        <b val="true"/>
        <sz val="14"/>
        <rFont val="Noto Sans CJK SC"/>
        <family val="2"/>
      </rPr>
      <t xml:space="preserve">）逐筆＋存量利息推導</t>
    </r>
  </si>
  <si>
    <r>
      <rPr>
        <sz val="9"/>
        <color rgb="FF595959"/>
        <rFont val="Noto Sans CJK SC"/>
        <family val="2"/>
      </rPr>
      <t xml:space="preserve">有效利率為現金票息口徑（可轉債＝票息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到期累積倍數，本金以到期累積本金計）。本頁算出的存量利息連回『輸入』頁，再進入支出與資金頁</t>
    </r>
  </si>
  <si>
    <t xml:space="preserve">工具</t>
  </si>
  <si>
    <t xml:space="preserve">類別</t>
  </si>
  <si>
    <t xml:space="preserve">到期</t>
  </si>
  <si>
    <t xml:space="preserve">有效利率</t>
  </si>
  <si>
    <r>
      <rPr>
        <b val="true"/>
        <sz val="11"/>
        <color rgb="FFFFFFFF"/>
        <rFont val="Arial"/>
        <family val="0"/>
        <charset val="1"/>
      </rPr>
      <t xml:space="preserve">8/31 </t>
    </r>
    <r>
      <rPr>
        <b val="true"/>
        <sz val="11"/>
        <color rgb="FFFFFFFF"/>
        <rFont val="Noto Sans CJK SC"/>
        <family val="2"/>
      </rPr>
      <t xml:space="preserve">本金</t>
    </r>
  </si>
  <si>
    <t xml:space="preserve">年化利息</t>
  </si>
  <si>
    <r>
      <rPr>
        <sz val="10"/>
        <rFont val="Arial"/>
        <family val="0"/>
        <charset val="1"/>
      </rPr>
      <t xml:space="preserve">2.80% </t>
    </r>
    <r>
      <rPr>
        <sz val="10"/>
        <rFont val="Noto Sans CJK SC"/>
        <family val="2"/>
      </rPr>
      <t xml:space="preserve">優先票據 </t>
    </r>
    <r>
      <rPr>
        <sz val="10"/>
        <rFont val="Arial"/>
        <family val="0"/>
        <charset val="1"/>
      </rPr>
      <t xml:space="preserve">2027-04</t>
    </r>
  </si>
  <si>
    <t xml:space="preserve">無擔保</t>
  </si>
  <si>
    <t xml:space="preserve">2027-04</t>
  </si>
  <si>
    <r>
      <rPr>
        <sz val="9"/>
        <color rgb="FF595959"/>
        <rFont val="Arial"/>
        <family val="0"/>
        <charset val="1"/>
      </rPr>
      <t xml:space="preserve">10-K </t>
    </r>
    <r>
      <rPr>
        <sz val="9"/>
        <color rgb="FF595959"/>
        <rFont val="Noto Sans CJK SC"/>
        <family val="2"/>
      </rPr>
      <t xml:space="preserve">附註 </t>
    </r>
    <r>
      <rPr>
        <sz val="9"/>
        <color rgb="FF595959"/>
        <rFont val="Arial"/>
        <family val="0"/>
        <charset val="1"/>
      </rPr>
      <t xml:space="preserve">6</t>
    </r>
    <r>
      <rPr>
        <sz val="9"/>
        <color rgb="FF595959"/>
        <rFont val="Noto Sans CJK SC"/>
        <family val="2"/>
      </rPr>
      <t xml:space="preserve">（發行 </t>
    </r>
    <r>
      <rPr>
        <sz val="9"/>
        <color rgb="FF595959"/>
        <rFont val="Arial"/>
        <family val="0"/>
        <charset val="1"/>
      </rPr>
      <t xml:space="preserve">April 2020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[Verified]</t>
    </r>
  </si>
  <si>
    <r>
      <rPr>
        <sz val="10"/>
        <rFont val="Arial"/>
        <family val="0"/>
        <charset val="1"/>
      </rPr>
      <t xml:space="preserve">3.25% </t>
    </r>
    <r>
      <rPr>
        <sz val="10"/>
        <rFont val="Noto Sans CJK SC"/>
        <family val="2"/>
      </rPr>
      <t xml:space="preserve">優先票據 </t>
    </r>
    <r>
      <rPr>
        <sz val="10"/>
        <rFont val="Arial"/>
        <family val="0"/>
        <charset val="1"/>
      </rPr>
      <t xml:space="preserve">2027-11</t>
    </r>
  </si>
  <si>
    <t xml:space="preserve">2027-11</t>
  </si>
  <si>
    <r>
      <rPr>
        <sz val="9"/>
        <color rgb="FF595959"/>
        <rFont val="Arial"/>
        <family val="0"/>
        <charset val="1"/>
      </rPr>
      <t xml:space="preserve">10-K </t>
    </r>
    <r>
      <rPr>
        <sz val="9"/>
        <color rgb="FF595959"/>
        <rFont val="Noto Sans CJK SC"/>
        <family val="2"/>
      </rPr>
      <t xml:space="preserve">附註 </t>
    </r>
    <r>
      <rPr>
        <sz val="9"/>
        <color rgb="FF595959"/>
        <rFont val="Arial"/>
        <family val="0"/>
        <charset val="1"/>
      </rPr>
      <t xml:space="preserve">6</t>
    </r>
    <r>
      <rPr>
        <sz val="9"/>
        <color rgb="FF595959"/>
        <rFont val="Noto Sans CJK SC"/>
        <family val="2"/>
      </rPr>
      <t xml:space="preserve">（發行 </t>
    </r>
    <r>
      <rPr>
        <sz val="9"/>
        <color rgb="FF595959"/>
        <rFont val="Arial"/>
        <family val="0"/>
        <charset val="1"/>
      </rPr>
      <t xml:space="preserve">November 2017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[Verified]</t>
    </r>
  </si>
  <si>
    <r>
      <rPr>
        <sz val="10"/>
        <rFont val="Arial"/>
        <family val="0"/>
        <charset val="1"/>
      </rPr>
      <t xml:space="preserve">2.30% </t>
    </r>
    <r>
      <rPr>
        <sz val="10"/>
        <rFont val="Noto Sans CJK SC"/>
        <family val="2"/>
      </rPr>
      <t xml:space="preserve">優先票據 </t>
    </r>
    <r>
      <rPr>
        <sz val="10"/>
        <rFont val="Arial"/>
        <family val="0"/>
        <charset val="1"/>
      </rPr>
      <t xml:space="preserve">2028-03</t>
    </r>
  </si>
  <si>
    <t xml:space="preserve">2028-03</t>
  </si>
  <si>
    <r>
      <rPr>
        <sz val="9"/>
        <color rgb="FF595959"/>
        <rFont val="Arial"/>
        <family val="0"/>
        <charset val="1"/>
      </rPr>
      <t xml:space="preserve">10-K </t>
    </r>
    <r>
      <rPr>
        <sz val="9"/>
        <color rgb="FF595959"/>
        <rFont val="Noto Sans CJK SC"/>
        <family val="2"/>
      </rPr>
      <t xml:space="preserve">附註 </t>
    </r>
    <r>
      <rPr>
        <sz val="9"/>
        <color rgb="FF595959"/>
        <rFont val="Arial"/>
        <family val="0"/>
        <charset val="1"/>
      </rPr>
      <t xml:space="preserve">6</t>
    </r>
    <r>
      <rPr>
        <sz val="9"/>
        <color rgb="FF595959"/>
        <rFont val="Noto Sans CJK SC"/>
        <family val="2"/>
      </rPr>
      <t xml:space="preserve">（發行 </t>
    </r>
    <r>
      <rPr>
        <sz val="9"/>
        <color rgb="FF595959"/>
        <rFont val="Arial"/>
        <family val="0"/>
        <charset val="1"/>
      </rPr>
      <t xml:space="preserve">March 2021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[Verified]</t>
    </r>
  </si>
  <si>
    <r>
      <rPr>
        <sz val="10"/>
        <rFont val="Arial"/>
        <family val="0"/>
        <charset val="1"/>
      </rPr>
      <t xml:space="preserve">4.50% </t>
    </r>
    <r>
      <rPr>
        <sz val="10"/>
        <rFont val="Noto Sans CJK SC"/>
        <family val="2"/>
      </rPr>
      <t xml:space="preserve">優先票據 </t>
    </r>
    <r>
      <rPr>
        <sz val="10"/>
        <rFont val="Arial"/>
        <family val="0"/>
        <charset val="1"/>
      </rPr>
      <t xml:space="preserve">2028-05</t>
    </r>
  </si>
  <si>
    <t xml:space="preserve">2028-05</t>
  </si>
  <si>
    <r>
      <rPr>
        <sz val="9"/>
        <color rgb="FF595959"/>
        <rFont val="Arial"/>
        <family val="0"/>
        <charset val="1"/>
      </rPr>
      <t xml:space="preserve">10-K </t>
    </r>
    <r>
      <rPr>
        <sz val="9"/>
        <color rgb="FF595959"/>
        <rFont val="Noto Sans CJK SC"/>
        <family val="2"/>
      </rPr>
      <t xml:space="preserve">附註 </t>
    </r>
    <r>
      <rPr>
        <sz val="9"/>
        <color rgb="FF595959"/>
        <rFont val="Arial"/>
        <family val="0"/>
        <charset val="1"/>
      </rPr>
      <t xml:space="preserve">6</t>
    </r>
    <r>
      <rPr>
        <sz val="9"/>
        <color rgb="FF595959"/>
        <rFont val="Noto Sans CJK SC"/>
        <family val="2"/>
      </rPr>
      <t xml:space="preserve">（發行 </t>
    </r>
    <r>
      <rPr>
        <sz val="9"/>
        <color rgb="FF595959"/>
        <rFont val="Arial"/>
        <family val="0"/>
        <charset val="1"/>
      </rPr>
      <t xml:space="preserve">February 2023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[Verified]</t>
    </r>
  </si>
  <si>
    <r>
      <rPr>
        <sz val="10"/>
        <rFont val="Arial"/>
        <family val="0"/>
        <charset val="1"/>
      </rPr>
      <t xml:space="preserve">4.80% </t>
    </r>
    <r>
      <rPr>
        <sz val="10"/>
        <rFont val="Noto Sans CJK SC"/>
        <family val="2"/>
      </rPr>
      <t xml:space="preserve">優先票據 </t>
    </r>
    <r>
      <rPr>
        <sz val="10"/>
        <rFont val="Arial"/>
        <family val="0"/>
        <charset val="1"/>
      </rPr>
      <t xml:space="preserve">2028-08</t>
    </r>
  </si>
  <si>
    <t xml:space="preserve">2028-08</t>
  </si>
  <si>
    <r>
      <rPr>
        <sz val="9"/>
        <color rgb="FF595959"/>
        <rFont val="Arial"/>
        <family val="0"/>
        <charset val="1"/>
      </rPr>
      <t xml:space="preserve">10-K </t>
    </r>
    <r>
      <rPr>
        <sz val="9"/>
        <color rgb="FF595959"/>
        <rFont val="Noto Sans CJK SC"/>
        <family val="2"/>
      </rPr>
      <t xml:space="preserve">附註 </t>
    </r>
    <r>
      <rPr>
        <sz val="9"/>
        <color rgb="FF595959"/>
        <rFont val="Arial"/>
        <family val="0"/>
        <charset val="1"/>
      </rPr>
      <t xml:space="preserve">6</t>
    </r>
    <r>
      <rPr>
        <sz val="9"/>
        <color rgb="FF595959"/>
        <rFont val="Noto Sans CJK SC"/>
        <family val="2"/>
      </rPr>
      <t xml:space="preserve">（發行 </t>
    </r>
    <r>
      <rPr>
        <sz val="9"/>
        <color rgb="FF595959"/>
        <rFont val="Arial"/>
        <family val="0"/>
        <charset val="1"/>
      </rPr>
      <t xml:space="preserve">February 2025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[Verified]</t>
    </r>
  </si>
  <si>
    <r>
      <rPr>
        <sz val="10"/>
        <rFont val="Arial"/>
        <family val="0"/>
        <charset val="1"/>
      </rPr>
      <t xml:space="preserve">4.55% </t>
    </r>
    <r>
      <rPr>
        <sz val="10"/>
        <rFont val="Noto Sans CJK SC"/>
        <family val="2"/>
      </rPr>
      <t xml:space="preserve">優先票據 </t>
    </r>
    <r>
      <rPr>
        <sz val="10"/>
        <rFont val="Arial"/>
        <family val="0"/>
        <charset val="1"/>
      </rPr>
      <t xml:space="preserve">2029-02</t>
    </r>
  </si>
  <si>
    <t xml:space="preserve">2029-02</t>
  </si>
  <si>
    <r>
      <rPr>
        <sz val="9"/>
        <color rgb="FF595959"/>
        <rFont val="Arial"/>
        <family val="0"/>
        <charset val="1"/>
      </rPr>
      <t xml:space="preserve">10-K </t>
    </r>
    <r>
      <rPr>
        <sz val="9"/>
        <color rgb="FF595959"/>
        <rFont val="Noto Sans CJK SC"/>
        <family val="2"/>
      </rPr>
      <t xml:space="preserve">附註 </t>
    </r>
    <r>
      <rPr>
        <sz val="9"/>
        <color rgb="FF595959"/>
        <rFont val="Arial"/>
        <family val="0"/>
        <charset val="1"/>
      </rPr>
      <t xml:space="preserve">6</t>
    </r>
    <r>
      <rPr>
        <sz val="9"/>
        <color rgb="FF595959"/>
        <rFont val="Noto Sans CJK SC"/>
        <family val="2"/>
      </rPr>
      <t xml:space="preserve">（發行 </t>
    </r>
    <r>
      <rPr>
        <sz val="9"/>
        <color rgb="FF595959"/>
        <rFont val="Arial"/>
        <family val="0"/>
        <charset val="1"/>
      </rPr>
      <t xml:space="preserve">February 2026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[Verified]</t>
    </r>
  </si>
  <si>
    <r>
      <rPr>
        <sz val="10"/>
        <rFont val="Arial"/>
        <family val="0"/>
        <charset val="1"/>
      </rPr>
      <t xml:space="preserve">4.20% </t>
    </r>
    <r>
      <rPr>
        <sz val="10"/>
        <rFont val="Noto Sans CJK SC"/>
        <family val="2"/>
      </rPr>
      <t xml:space="preserve">優先票據 </t>
    </r>
    <r>
      <rPr>
        <sz val="10"/>
        <rFont val="Arial"/>
        <family val="0"/>
        <charset val="1"/>
      </rPr>
      <t xml:space="preserve">2029-09</t>
    </r>
  </si>
  <si>
    <t xml:space="preserve">2029-09</t>
  </si>
  <si>
    <r>
      <rPr>
        <sz val="9"/>
        <color rgb="FF595959"/>
        <rFont val="Arial"/>
        <family val="0"/>
        <charset val="1"/>
      </rPr>
      <t xml:space="preserve">10-K </t>
    </r>
    <r>
      <rPr>
        <sz val="9"/>
        <color rgb="FF595959"/>
        <rFont val="Noto Sans CJK SC"/>
        <family val="2"/>
      </rPr>
      <t xml:space="preserve">附註 </t>
    </r>
    <r>
      <rPr>
        <sz val="9"/>
        <color rgb="FF595959"/>
        <rFont val="Arial"/>
        <family val="0"/>
        <charset val="1"/>
      </rPr>
      <t xml:space="preserve">6</t>
    </r>
    <r>
      <rPr>
        <sz val="9"/>
        <color rgb="FF595959"/>
        <rFont val="Noto Sans CJK SC"/>
        <family val="2"/>
      </rPr>
      <t xml:space="preserve">（發行 </t>
    </r>
    <r>
      <rPr>
        <sz val="9"/>
        <color rgb="FF595959"/>
        <rFont val="Arial"/>
        <family val="0"/>
        <charset val="1"/>
      </rPr>
      <t xml:space="preserve">September 2024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[Verified]</t>
    </r>
  </si>
  <si>
    <r>
      <rPr>
        <sz val="10"/>
        <rFont val="Arial"/>
        <family val="0"/>
        <charset val="1"/>
      </rPr>
      <t xml:space="preserve">6.15% </t>
    </r>
    <r>
      <rPr>
        <sz val="10"/>
        <rFont val="Noto Sans CJK SC"/>
        <family val="2"/>
      </rPr>
      <t xml:space="preserve">優先票據 </t>
    </r>
    <r>
      <rPr>
        <sz val="10"/>
        <rFont val="Arial"/>
        <family val="0"/>
        <charset val="1"/>
      </rPr>
      <t xml:space="preserve">2029-11</t>
    </r>
  </si>
  <si>
    <t xml:space="preserve">2029-11</t>
  </si>
  <si>
    <r>
      <rPr>
        <sz val="9"/>
        <color rgb="FF595959"/>
        <rFont val="Arial"/>
        <family val="0"/>
        <charset val="1"/>
      </rPr>
      <t xml:space="preserve">10-K </t>
    </r>
    <r>
      <rPr>
        <sz val="9"/>
        <color rgb="FF595959"/>
        <rFont val="Noto Sans CJK SC"/>
        <family val="2"/>
      </rPr>
      <t xml:space="preserve">附註 </t>
    </r>
    <r>
      <rPr>
        <sz val="9"/>
        <color rgb="FF595959"/>
        <rFont val="Arial"/>
        <family val="0"/>
        <charset val="1"/>
      </rPr>
      <t xml:space="preserve">6</t>
    </r>
    <r>
      <rPr>
        <sz val="9"/>
        <color rgb="FF595959"/>
        <rFont val="Noto Sans CJK SC"/>
        <family val="2"/>
      </rPr>
      <t xml:space="preserve">（發行 </t>
    </r>
    <r>
      <rPr>
        <sz val="9"/>
        <color rgb="FF595959"/>
        <rFont val="Arial"/>
        <family val="0"/>
        <charset val="1"/>
      </rPr>
      <t xml:space="preserve">November 2022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[Verified]</t>
    </r>
  </si>
  <si>
    <r>
      <rPr>
        <sz val="10"/>
        <rFont val="Arial"/>
        <family val="0"/>
        <charset val="1"/>
      </rPr>
      <t xml:space="preserve">2.95% </t>
    </r>
    <r>
      <rPr>
        <sz val="10"/>
        <rFont val="Noto Sans CJK SC"/>
        <family val="2"/>
      </rPr>
      <t xml:space="preserve">優先票據 </t>
    </r>
    <r>
      <rPr>
        <sz val="10"/>
        <rFont val="Arial"/>
        <family val="0"/>
        <charset val="1"/>
      </rPr>
      <t xml:space="preserve">2030-04</t>
    </r>
  </si>
  <si>
    <t xml:space="preserve">2030-04</t>
  </si>
  <si>
    <r>
      <rPr>
        <sz val="10"/>
        <rFont val="Arial"/>
        <family val="0"/>
        <charset val="1"/>
      </rPr>
      <t xml:space="preserve">4.65% </t>
    </r>
    <r>
      <rPr>
        <sz val="10"/>
        <rFont val="Noto Sans CJK SC"/>
        <family val="2"/>
      </rPr>
      <t xml:space="preserve">優先票據 </t>
    </r>
    <r>
      <rPr>
        <sz val="10"/>
        <rFont val="Arial"/>
        <family val="0"/>
        <charset val="1"/>
      </rPr>
      <t xml:space="preserve">2030-05</t>
    </r>
  </si>
  <si>
    <t xml:space="preserve">2030-05</t>
  </si>
  <si>
    <r>
      <rPr>
        <sz val="10"/>
        <rFont val="Arial"/>
        <family val="0"/>
        <charset val="1"/>
      </rPr>
      <t xml:space="preserve">3.25% </t>
    </r>
    <r>
      <rPr>
        <sz val="10"/>
        <rFont val="Noto Sans CJK SC"/>
        <family val="2"/>
      </rPr>
      <t xml:space="preserve">優先票據 </t>
    </r>
    <r>
      <rPr>
        <sz val="10"/>
        <rFont val="Arial"/>
        <family val="0"/>
        <charset val="1"/>
      </rPr>
      <t xml:space="preserve">2030-05</t>
    </r>
  </si>
  <si>
    <r>
      <rPr>
        <sz val="9"/>
        <color rgb="FF595959"/>
        <rFont val="Arial"/>
        <family val="0"/>
        <charset val="1"/>
      </rPr>
      <t xml:space="preserve">10-K </t>
    </r>
    <r>
      <rPr>
        <sz val="9"/>
        <color rgb="FF595959"/>
        <rFont val="Noto Sans CJK SC"/>
        <family val="2"/>
      </rPr>
      <t xml:space="preserve">附註 </t>
    </r>
    <r>
      <rPr>
        <sz val="9"/>
        <color rgb="FF595959"/>
        <rFont val="Arial"/>
        <family val="0"/>
        <charset val="1"/>
      </rPr>
      <t xml:space="preserve">6</t>
    </r>
    <r>
      <rPr>
        <sz val="9"/>
        <color rgb="FF595959"/>
        <rFont val="Noto Sans CJK SC"/>
        <family val="2"/>
      </rPr>
      <t xml:space="preserve">（發行 </t>
    </r>
    <r>
      <rPr>
        <sz val="9"/>
        <color rgb="FF595959"/>
        <rFont val="Arial"/>
        <family val="0"/>
        <charset val="1"/>
      </rPr>
      <t xml:space="preserve">May 2015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[Verified]</t>
    </r>
  </si>
  <si>
    <r>
      <rPr>
        <sz val="10"/>
        <rFont val="Arial"/>
        <family val="0"/>
        <charset val="1"/>
      </rPr>
      <t xml:space="preserve">4.45% </t>
    </r>
    <r>
      <rPr>
        <sz val="10"/>
        <rFont val="Noto Sans CJK SC"/>
        <family val="2"/>
      </rPr>
      <t xml:space="preserve">優先票據 </t>
    </r>
    <r>
      <rPr>
        <sz val="10"/>
        <rFont val="Arial"/>
        <family val="0"/>
        <charset val="1"/>
      </rPr>
      <t xml:space="preserve">2030-09</t>
    </r>
  </si>
  <si>
    <t xml:space="preserve">2030-09</t>
  </si>
  <si>
    <r>
      <rPr>
        <sz val="9"/>
        <color rgb="FF595959"/>
        <rFont val="Arial"/>
        <family val="0"/>
        <charset val="1"/>
      </rPr>
      <t xml:space="preserve">10-K </t>
    </r>
    <r>
      <rPr>
        <sz val="9"/>
        <color rgb="FF595959"/>
        <rFont val="Noto Sans CJK SC"/>
        <family val="2"/>
      </rPr>
      <t xml:space="preserve">附註 </t>
    </r>
    <r>
      <rPr>
        <sz val="9"/>
        <color rgb="FF595959"/>
        <rFont val="Arial"/>
        <family val="0"/>
        <charset val="1"/>
      </rPr>
      <t xml:space="preserve">6</t>
    </r>
    <r>
      <rPr>
        <sz val="9"/>
        <color rgb="FF595959"/>
        <rFont val="Noto Sans CJK SC"/>
        <family val="2"/>
      </rPr>
      <t xml:space="preserve">（發行 </t>
    </r>
    <r>
      <rPr>
        <sz val="9"/>
        <color rgb="FF595959"/>
        <rFont val="Arial"/>
        <family val="0"/>
        <charset val="1"/>
      </rPr>
      <t xml:space="preserve">September 2025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[Verified]</t>
    </r>
  </si>
  <si>
    <r>
      <rPr>
        <sz val="10"/>
        <rFont val="Arial"/>
        <family val="0"/>
        <charset val="1"/>
      </rPr>
      <t xml:space="preserve">4.95% </t>
    </r>
    <r>
      <rPr>
        <sz val="10"/>
        <rFont val="Noto Sans CJK SC"/>
        <family val="2"/>
      </rPr>
      <t xml:space="preserve">優先票據 </t>
    </r>
    <r>
      <rPr>
        <sz val="10"/>
        <rFont val="Arial"/>
        <family val="0"/>
        <charset val="1"/>
      </rPr>
      <t xml:space="preserve">2031-02</t>
    </r>
  </si>
  <si>
    <t xml:space="preserve">2031-02</t>
  </si>
  <si>
    <r>
      <rPr>
        <sz val="10"/>
        <rFont val="Arial"/>
        <family val="0"/>
        <charset val="1"/>
      </rPr>
      <t xml:space="preserve">2.875% </t>
    </r>
    <r>
      <rPr>
        <sz val="10"/>
        <rFont val="Noto Sans CJK SC"/>
        <family val="2"/>
      </rPr>
      <t xml:space="preserve">優先票據 </t>
    </r>
    <r>
      <rPr>
        <sz val="10"/>
        <rFont val="Arial"/>
        <family val="0"/>
        <charset val="1"/>
      </rPr>
      <t xml:space="preserve">2031-03</t>
    </r>
  </si>
  <si>
    <t xml:space="preserve">2031-03</t>
  </si>
  <si>
    <r>
      <rPr>
        <sz val="10"/>
        <rFont val="Arial"/>
        <family val="0"/>
        <charset val="1"/>
      </rPr>
      <t xml:space="preserve">5.25% </t>
    </r>
    <r>
      <rPr>
        <sz val="10"/>
        <rFont val="Noto Sans CJK SC"/>
        <family val="2"/>
      </rPr>
      <t xml:space="preserve">優先票據 </t>
    </r>
    <r>
      <rPr>
        <sz val="10"/>
        <rFont val="Arial"/>
        <family val="0"/>
        <charset val="1"/>
      </rPr>
      <t xml:space="preserve">2032-02</t>
    </r>
  </si>
  <si>
    <t xml:space="preserve">2032-02</t>
  </si>
  <si>
    <r>
      <rPr>
        <sz val="10"/>
        <rFont val="Arial"/>
        <family val="0"/>
        <charset val="1"/>
      </rPr>
      <t xml:space="preserve">4.80% </t>
    </r>
    <r>
      <rPr>
        <sz val="10"/>
        <rFont val="Noto Sans CJK SC"/>
        <family val="2"/>
      </rPr>
      <t xml:space="preserve">優先票據 </t>
    </r>
    <r>
      <rPr>
        <sz val="10"/>
        <rFont val="Arial"/>
        <family val="0"/>
        <charset val="1"/>
      </rPr>
      <t xml:space="preserve">2032-09</t>
    </r>
  </si>
  <si>
    <t xml:space="preserve">2032-09</t>
  </si>
  <si>
    <r>
      <rPr>
        <sz val="10"/>
        <rFont val="Arial"/>
        <family val="0"/>
        <charset val="1"/>
      </rPr>
      <t xml:space="preserve">6.25% </t>
    </r>
    <r>
      <rPr>
        <sz val="10"/>
        <rFont val="Noto Sans CJK SC"/>
        <family val="2"/>
      </rPr>
      <t xml:space="preserve">優先票據 </t>
    </r>
    <r>
      <rPr>
        <sz val="10"/>
        <rFont val="Arial"/>
        <family val="0"/>
        <charset val="1"/>
      </rPr>
      <t xml:space="preserve">2032-11</t>
    </r>
  </si>
  <si>
    <t xml:space="preserve">2032-11</t>
  </si>
  <si>
    <r>
      <rPr>
        <sz val="10"/>
        <rFont val="Arial"/>
        <family val="0"/>
        <charset val="1"/>
      </rPr>
      <t xml:space="preserve">4.90% </t>
    </r>
    <r>
      <rPr>
        <sz val="10"/>
        <rFont val="Noto Sans CJK SC"/>
        <family val="2"/>
      </rPr>
      <t xml:space="preserve">優先票據 </t>
    </r>
    <r>
      <rPr>
        <sz val="10"/>
        <rFont val="Arial"/>
        <family val="0"/>
        <charset val="1"/>
      </rPr>
      <t xml:space="preserve">2033-02</t>
    </r>
  </si>
  <si>
    <t xml:space="preserve">2033-02</t>
  </si>
  <si>
    <r>
      <rPr>
        <sz val="10"/>
        <rFont val="Arial"/>
        <family val="0"/>
        <charset val="1"/>
      </rPr>
      <t xml:space="preserve">5.35% </t>
    </r>
    <r>
      <rPr>
        <sz val="10"/>
        <rFont val="Noto Sans CJK SC"/>
        <family val="2"/>
      </rPr>
      <t xml:space="preserve">優先票據 </t>
    </r>
    <r>
      <rPr>
        <sz val="10"/>
        <rFont val="Arial"/>
        <family val="0"/>
        <charset val="1"/>
      </rPr>
      <t xml:space="preserve">2033-05</t>
    </r>
  </si>
  <si>
    <t xml:space="preserve">2033-05</t>
  </si>
  <si>
    <r>
      <rPr>
        <sz val="10"/>
        <rFont val="Arial"/>
        <family val="0"/>
        <charset val="1"/>
      </rPr>
      <t xml:space="preserve">4.30% </t>
    </r>
    <r>
      <rPr>
        <sz val="10"/>
        <rFont val="Noto Sans CJK SC"/>
        <family val="2"/>
      </rPr>
      <t xml:space="preserve">優先票據 </t>
    </r>
    <r>
      <rPr>
        <sz val="10"/>
        <rFont val="Arial"/>
        <family val="0"/>
        <charset val="1"/>
      </rPr>
      <t xml:space="preserve">2034-07</t>
    </r>
  </si>
  <si>
    <t xml:space="preserve">2034-07</t>
  </si>
  <si>
    <r>
      <rPr>
        <sz val="9"/>
        <color rgb="FF595959"/>
        <rFont val="Arial"/>
        <family val="0"/>
        <charset val="1"/>
      </rPr>
      <t xml:space="preserve">10-K </t>
    </r>
    <r>
      <rPr>
        <sz val="9"/>
        <color rgb="FF595959"/>
        <rFont val="Noto Sans CJK SC"/>
        <family val="2"/>
      </rPr>
      <t xml:space="preserve">附註 </t>
    </r>
    <r>
      <rPr>
        <sz val="9"/>
        <color rgb="FF595959"/>
        <rFont val="Arial"/>
        <family val="0"/>
        <charset val="1"/>
      </rPr>
      <t xml:space="preserve">6</t>
    </r>
    <r>
      <rPr>
        <sz val="9"/>
        <color rgb="FF595959"/>
        <rFont val="Noto Sans CJK SC"/>
        <family val="2"/>
      </rPr>
      <t xml:space="preserve">（發行 </t>
    </r>
    <r>
      <rPr>
        <sz val="9"/>
        <color rgb="FF595959"/>
        <rFont val="Arial"/>
        <family val="0"/>
        <charset val="1"/>
      </rPr>
      <t xml:space="preserve">July 2014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[Verified]</t>
    </r>
  </si>
  <si>
    <r>
      <rPr>
        <sz val="10"/>
        <rFont val="Arial"/>
        <family val="0"/>
        <charset val="1"/>
      </rPr>
      <t xml:space="preserve">4.70% </t>
    </r>
    <r>
      <rPr>
        <sz val="10"/>
        <rFont val="Noto Sans CJK SC"/>
        <family val="2"/>
      </rPr>
      <t xml:space="preserve">優先票據 </t>
    </r>
    <r>
      <rPr>
        <sz val="10"/>
        <rFont val="Arial"/>
        <family val="0"/>
        <charset val="1"/>
      </rPr>
      <t xml:space="preserve">2034-09</t>
    </r>
  </si>
  <si>
    <t xml:space="preserve">2034-09</t>
  </si>
  <si>
    <r>
      <rPr>
        <sz val="10"/>
        <rFont val="Arial"/>
        <family val="0"/>
        <charset val="1"/>
      </rPr>
      <t xml:space="preserve">3.90% </t>
    </r>
    <r>
      <rPr>
        <sz val="10"/>
        <rFont val="Noto Sans CJK SC"/>
        <family val="2"/>
      </rPr>
      <t xml:space="preserve">優先票據 </t>
    </r>
    <r>
      <rPr>
        <sz val="10"/>
        <rFont val="Arial"/>
        <family val="0"/>
        <charset val="1"/>
      </rPr>
      <t xml:space="preserve">2035-05</t>
    </r>
  </si>
  <si>
    <t xml:space="preserve">2035-05</t>
  </si>
  <si>
    <r>
      <rPr>
        <sz val="10"/>
        <rFont val="Arial"/>
        <family val="0"/>
        <charset val="1"/>
      </rPr>
      <t xml:space="preserve">5.50% </t>
    </r>
    <r>
      <rPr>
        <sz val="10"/>
        <rFont val="Noto Sans CJK SC"/>
        <family val="2"/>
      </rPr>
      <t xml:space="preserve">優先票據 </t>
    </r>
    <r>
      <rPr>
        <sz val="10"/>
        <rFont val="Arial"/>
        <family val="0"/>
        <charset val="1"/>
      </rPr>
      <t xml:space="preserve">2035-08</t>
    </r>
  </si>
  <si>
    <t xml:space="preserve">2035-08</t>
  </si>
  <si>
    <r>
      <rPr>
        <sz val="10"/>
        <rFont val="Arial"/>
        <family val="0"/>
        <charset val="1"/>
      </rPr>
      <t xml:space="preserve">5.20% </t>
    </r>
    <r>
      <rPr>
        <sz val="10"/>
        <rFont val="Noto Sans CJK SC"/>
        <family val="2"/>
      </rPr>
      <t xml:space="preserve">優先票據 </t>
    </r>
    <r>
      <rPr>
        <sz val="10"/>
        <rFont val="Arial"/>
        <family val="0"/>
        <charset val="1"/>
      </rPr>
      <t xml:space="preserve">2035-09</t>
    </r>
  </si>
  <si>
    <t xml:space="preserve">2035-09</t>
  </si>
  <si>
    <r>
      <rPr>
        <sz val="10"/>
        <rFont val="Arial"/>
        <family val="0"/>
        <charset val="1"/>
      </rPr>
      <t xml:space="preserve">5.70% </t>
    </r>
    <r>
      <rPr>
        <sz val="10"/>
        <rFont val="Noto Sans CJK SC"/>
        <family val="2"/>
      </rPr>
      <t xml:space="preserve">優先票據 </t>
    </r>
    <r>
      <rPr>
        <sz val="10"/>
        <rFont val="Arial"/>
        <family val="0"/>
        <charset val="1"/>
      </rPr>
      <t xml:space="preserve">2036-02</t>
    </r>
  </si>
  <si>
    <t xml:space="preserve">2036-02</t>
  </si>
  <si>
    <r>
      <rPr>
        <sz val="10"/>
        <rFont val="Arial"/>
        <family val="0"/>
        <charset val="1"/>
      </rPr>
      <t xml:space="preserve">3.85% </t>
    </r>
    <r>
      <rPr>
        <sz val="10"/>
        <rFont val="Noto Sans CJK SC"/>
        <family val="2"/>
      </rPr>
      <t xml:space="preserve">優先票據 </t>
    </r>
    <r>
      <rPr>
        <sz val="10"/>
        <rFont val="Arial"/>
        <family val="0"/>
        <charset val="1"/>
      </rPr>
      <t xml:space="preserve">2036-07</t>
    </r>
  </si>
  <si>
    <t xml:space="preserve">2036-07</t>
  </si>
  <si>
    <r>
      <rPr>
        <sz val="9"/>
        <color rgb="FF595959"/>
        <rFont val="Arial"/>
        <family val="0"/>
        <charset val="1"/>
      </rPr>
      <t xml:space="preserve">10-K </t>
    </r>
    <r>
      <rPr>
        <sz val="9"/>
        <color rgb="FF595959"/>
        <rFont val="Noto Sans CJK SC"/>
        <family val="2"/>
      </rPr>
      <t xml:space="preserve">附註 </t>
    </r>
    <r>
      <rPr>
        <sz val="9"/>
        <color rgb="FF595959"/>
        <rFont val="Arial"/>
        <family val="0"/>
        <charset val="1"/>
      </rPr>
      <t xml:space="preserve">6</t>
    </r>
    <r>
      <rPr>
        <sz val="9"/>
        <color rgb="FF595959"/>
        <rFont val="Noto Sans CJK SC"/>
        <family val="2"/>
      </rPr>
      <t xml:space="preserve">（發行 </t>
    </r>
    <r>
      <rPr>
        <sz val="9"/>
        <color rgb="FF595959"/>
        <rFont val="Arial"/>
        <family val="0"/>
        <charset val="1"/>
      </rPr>
      <t xml:space="preserve">July 2016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[Verified]</t>
    </r>
  </si>
  <si>
    <r>
      <rPr>
        <sz val="10"/>
        <rFont val="Arial"/>
        <family val="0"/>
        <charset val="1"/>
      </rPr>
      <t xml:space="preserve">3.80% </t>
    </r>
    <r>
      <rPr>
        <sz val="10"/>
        <rFont val="Noto Sans CJK SC"/>
        <family val="2"/>
      </rPr>
      <t xml:space="preserve">優先票據 </t>
    </r>
    <r>
      <rPr>
        <sz val="10"/>
        <rFont val="Arial"/>
        <family val="0"/>
        <charset val="1"/>
      </rPr>
      <t xml:space="preserve">2037-11</t>
    </r>
  </si>
  <si>
    <t xml:space="preserve">2037-11</t>
  </si>
  <si>
    <r>
      <rPr>
        <sz val="10"/>
        <rFont val="Arial"/>
        <family val="0"/>
        <charset val="1"/>
      </rPr>
      <t xml:space="preserve">6.50% </t>
    </r>
    <r>
      <rPr>
        <sz val="10"/>
        <rFont val="Noto Sans CJK SC"/>
        <family val="2"/>
      </rPr>
      <t xml:space="preserve">優先票據 </t>
    </r>
    <r>
      <rPr>
        <sz val="10"/>
        <rFont val="Arial"/>
        <family val="0"/>
        <charset val="1"/>
      </rPr>
      <t xml:space="preserve">2038-04</t>
    </r>
  </si>
  <si>
    <t xml:space="preserve">2038-04</t>
  </si>
  <si>
    <r>
      <rPr>
        <sz val="9"/>
        <color rgb="FF595959"/>
        <rFont val="Arial"/>
        <family val="0"/>
        <charset val="1"/>
      </rPr>
      <t xml:space="preserve">10-K </t>
    </r>
    <r>
      <rPr>
        <sz val="9"/>
        <color rgb="FF595959"/>
        <rFont val="Noto Sans CJK SC"/>
        <family val="2"/>
      </rPr>
      <t xml:space="preserve">附註 </t>
    </r>
    <r>
      <rPr>
        <sz val="9"/>
        <color rgb="FF595959"/>
        <rFont val="Arial"/>
        <family val="0"/>
        <charset val="1"/>
      </rPr>
      <t xml:space="preserve">6</t>
    </r>
    <r>
      <rPr>
        <sz val="9"/>
        <color rgb="FF595959"/>
        <rFont val="Noto Sans CJK SC"/>
        <family val="2"/>
      </rPr>
      <t xml:space="preserve">（發行 </t>
    </r>
    <r>
      <rPr>
        <sz val="9"/>
        <color rgb="FF595959"/>
        <rFont val="Arial"/>
        <family val="0"/>
        <charset val="1"/>
      </rPr>
      <t xml:space="preserve">April 2008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[Verified]</t>
    </r>
  </si>
  <si>
    <r>
      <rPr>
        <sz val="10"/>
        <rFont val="Arial"/>
        <family val="0"/>
        <charset val="1"/>
      </rPr>
      <t xml:space="preserve">6.125% </t>
    </r>
    <r>
      <rPr>
        <sz val="10"/>
        <rFont val="Noto Sans CJK SC"/>
        <family val="2"/>
      </rPr>
      <t xml:space="preserve">優先票據 </t>
    </r>
    <r>
      <rPr>
        <sz val="10"/>
        <rFont val="Arial"/>
        <family val="0"/>
        <charset val="1"/>
      </rPr>
      <t xml:space="preserve">2039-07</t>
    </r>
  </si>
  <si>
    <t xml:space="preserve">2039-07</t>
  </si>
  <si>
    <r>
      <rPr>
        <sz val="9"/>
        <color rgb="FF595959"/>
        <rFont val="Arial"/>
        <family val="0"/>
        <charset val="1"/>
      </rPr>
      <t xml:space="preserve">10-K </t>
    </r>
    <r>
      <rPr>
        <sz val="9"/>
        <color rgb="FF595959"/>
        <rFont val="Noto Sans CJK SC"/>
        <family val="2"/>
      </rPr>
      <t xml:space="preserve">附註 </t>
    </r>
    <r>
      <rPr>
        <sz val="9"/>
        <color rgb="FF595959"/>
        <rFont val="Arial"/>
        <family val="0"/>
        <charset val="1"/>
      </rPr>
      <t xml:space="preserve">6</t>
    </r>
    <r>
      <rPr>
        <sz val="9"/>
        <color rgb="FF595959"/>
        <rFont val="Noto Sans CJK SC"/>
        <family val="2"/>
      </rPr>
      <t xml:space="preserve">（發行 </t>
    </r>
    <r>
      <rPr>
        <sz val="9"/>
        <color rgb="FF595959"/>
        <rFont val="Arial"/>
        <family val="0"/>
        <charset val="1"/>
      </rPr>
      <t xml:space="preserve">July 2009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[Verified]</t>
    </r>
  </si>
  <si>
    <r>
      <rPr>
        <sz val="10"/>
        <rFont val="Arial"/>
        <family val="0"/>
        <charset val="1"/>
      </rPr>
      <t xml:space="preserve">3.60% </t>
    </r>
    <r>
      <rPr>
        <sz val="10"/>
        <rFont val="Noto Sans CJK SC"/>
        <family val="2"/>
      </rPr>
      <t xml:space="preserve">優先票據 </t>
    </r>
    <r>
      <rPr>
        <sz val="10"/>
        <rFont val="Arial"/>
        <family val="0"/>
        <charset val="1"/>
      </rPr>
      <t xml:space="preserve">2040-04</t>
    </r>
  </si>
  <si>
    <t xml:space="preserve">2040-04</t>
  </si>
  <si>
    <r>
      <rPr>
        <sz val="10"/>
        <rFont val="Arial"/>
        <family val="0"/>
        <charset val="1"/>
      </rPr>
      <t xml:space="preserve">5.375% </t>
    </r>
    <r>
      <rPr>
        <sz val="10"/>
        <rFont val="Noto Sans CJK SC"/>
        <family val="2"/>
      </rPr>
      <t xml:space="preserve">優先票據 </t>
    </r>
    <r>
      <rPr>
        <sz val="10"/>
        <rFont val="Arial"/>
        <family val="0"/>
        <charset val="1"/>
      </rPr>
      <t xml:space="preserve">2040-07</t>
    </r>
  </si>
  <si>
    <t xml:space="preserve">2040-07</t>
  </si>
  <si>
    <r>
      <rPr>
        <sz val="9"/>
        <color rgb="FF595959"/>
        <rFont val="Arial"/>
        <family val="0"/>
        <charset val="1"/>
      </rPr>
      <t xml:space="preserve">10-K </t>
    </r>
    <r>
      <rPr>
        <sz val="9"/>
        <color rgb="FF595959"/>
        <rFont val="Noto Sans CJK SC"/>
        <family val="2"/>
      </rPr>
      <t xml:space="preserve">附註 </t>
    </r>
    <r>
      <rPr>
        <sz val="9"/>
        <color rgb="FF595959"/>
        <rFont val="Arial"/>
        <family val="0"/>
        <charset val="1"/>
      </rPr>
      <t xml:space="preserve">6</t>
    </r>
    <r>
      <rPr>
        <sz val="9"/>
        <color rgb="FF595959"/>
        <rFont val="Noto Sans CJK SC"/>
        <family val="2"/>
      </rPr>
      <t xml:space="preserve">（發行 </t>
    </r>
    <r>
      <rPr>
        <sz val="9"/>
        <color rgb="FF595959"/>
        <rFont val="Arial"/>
        <family val="0"/>
        <charset val="1"/>
      </rPr>
      <t xml:space="preserve">July 2010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[Verified]</t>
    </r>
  </si>
  <si>
    <r>
      <rPr>
        <sz val="10"/>
        <rFont val="Arial"/>
        <family val="0"/>
        <charset val="1"/>
      </rPr>
      <t xml:space="preserve">3.65% </t>
    </r>
    <r>
      <rPr>
        <sz val="10"/>
        <rFont val="Noto Sans CJK SC"/>
        <family val="2"/>
      </rPr>
      <t xml:space="preserve">優先票據 </t>
    </r>
    <r>
      <rPr>
        <sz val="10"/>
        <rFont val="Arial"/>
        <family val="0"/>
        <charset val="1"/>
      </rPr>
      <t xml:space="preserve">2041-03</t>
    </r>
  </si>
  <si>
    <t xml:space="preserve">2041-03</t>
  </si>
  <si>
    <r>
      <rPr>
        <sz val="10"/>
        <rFont val="Arial"/>
        <family val="0"/>
        <charset val="1"/>
      </rPr>
      <t xml:space="preserve">4.50% </t>
    </r>
    <r>
      <rPr>
        <sz val="10"/>
        <rFont val="Noto Sans CJK SC"/>
        <family val="2"/>
      </rPr>
      <t xml:space="preserve">優先票據 </t>
    </r>
    <r>
      <rPr>
        <sz val="10"/>
        <rFont val="Arial"/>
        <family val="0"/>
        <charset val="1"/>
      </rPr>
      <t xml:space="preserve">2044-07</t>
    </r>
  </si>
  <si>
    <t xml:space="preserve">2044-07</t>
  </si>
  <si>
    <r>
      <rPr>
        <sz val="10"/>
        <rFont val="Arial"/>
        <family val="0"/>
        <charset val="1"/>
      </rPr>
      <t xml:space="preserve">4.125% </t>
    </r>
    <r>
      <rPr>
        <sz val="10"/>
        <rFont val="Noto Sans CJK SC"/>
        <family val="2"/>
      </rPr>
      <t xml:space="preserve">優先票據 </t>
    </r>
    <r>
      <rPr>
        <sz val="10"/>
        <rFont val="Arial"/>
        <family val="0"/>
        <charset val="1"/>
      </rPr>
      <t xml:space="preserve">2045-05</t>
    </r>
  </si>
  <si>
    <t xml:space="preserve">2045-05</t>
  </si>
  <si>
    <r>
      <rPr>
        <sz val="10"/>
        <rFont val="Arial"/>
        <family val="0"/>
        <charset val="1"/>
      </rPr>
      <t xml:space="preserve">5.875% </t>
    </r>
    <r>
      <rPr>
        <sz val="10"/>
        <rFont val="Noto Sans CJK SC"/>
        <family val="2"/>
      </rPr>
      <t xml:space="preserve">優先票據 </t>
    </r>
    <r>
      <rPr>
        <sz val="10"/>
        <rFont val="Arial"/>
        <family val="0"/>
        <charset val="1"/>
      </rPr>
      <t xml:space="preserve">2045-09</t>
    </r>
  </si>
  <si>
    <t xml:space="preserve">2045-09</t>
  </si>
  <si>
    <r>
      <rPr>
        <sz val="10"/>
        <rFont val="Arial"/>
        <family val="0"/>
        <charset val="1"/>
      </rPr>
      <t xml:space="preserve">6.55% </t>
    </r>
    <r>
      <rPr>
        <sz val="10"/>
        <rFont val="Noto Sans CJK SC"/>
        <family val="2"/>
      </rPr>
      <t xml:space="preserve">優先票據 </t>
    </r>
    <r>
      <rPr>
        <sz val="10"/>
        <rFont val="Arial"/>
        <family val="0"/>
        <charset val="1"/>
      </rPr>
      <t xml:space="preserve">2046-02</t>
    </r>
  </si>
  <si>
    <t xml:space="preserve">2046-02</t>
  </si>
  <si>
    <r>
      <rPr>
        <sz val="10"/>
        <rFont val="Arial"/>
        <family val="0"/>
        <charset val="1"/>
      </rPr>
      <t xml:space="preserve">4.00% </t>
    </r>
    <r>
      <rPr>
        <sz val="10"/>
        <rFont val="Noto Sans CJK SC"/>
        <family val="2"/>
      </rPr>
      <t xml:space="preserve">優先票據 </t>
    </r>
    <r>
      <rPr>
        <sz val="10"/>
        <rFont val="Arial"/>
        <family val="0"/>
        <charset val="1"/>
      </rPr>
      <t xml:space="preserve">2046-07</t>
    </r>
  </si>
  <si>
    <t xml:space="preserve">2046-07</t>
  </si>
  <si>
    <r>
      <rPr>
        <sz val="10"/>
        <rFont val="Arial"/>
        <family val="0"/>
        <charset val="1"/>
      </rPr>
      <t xml:space="preserve">4.00% </t>
    </r>
    <r>
      <rPr>
        <sz val="10"/>
        <rFont val="Noto Sans CJK SC"/>
        <family val="2"/>
      </rPr>
      <t xml:space="preserve">優先票據 </t>
    </r>
    <r>
      <rPr>
        <sz val="10"/>
        <rFont val="Arial"/>
        <family val="0"/>
        <charset val="1"/>
      </rPr>
      <t xml:space="preserve">2047-11</t>
    </r>
  </si>
  <si>
    <t xml:space="preserve">2047-11</t>
  </si>
  <si>
    <r>
      <rPr>
        <sz val="10"/>
        <rFont val="Arial"/>
        <family val="0"/>
        <charset val="1"/>
      </rPr>
      <t xml:space="preserve">3.60% </t>
    </r>
    <r>
      <rPr>
        <sz val="10"/>
        <rFont val="Noto Sans CJK SC"/>
        <family val="2"/>
      </rPr>
      <t xml:space="preserve">優先票據 </t>
    </r>
    <r>
      <rPr>
        <sz val="10"/>
        <rFont val="Arial"/>
        <family val="0"/>
        <charset val="1"/>
      </rPr>
      <t xml:space="preserve">2050-04</t>
    </r>
  </si>
  <si>
    <t xml:space="preserve">2050-04</t>
  </si>
  <si>
    <r>
      <rPr>
        <sz val="10"/>
        <rFont val="Arial"/>
        <family val="0"/>
        <charset val="1"/>
      </rPr>
      <t xml:space="preserve">3.95% </t>
    </r>
    <r>
      <rPr>
        <sz val="10"/>
        <rFont val="Noto Sans CJK SC"/>
        <family val="2"/>
      </rPr>
      <t xml:space="preserve">優先票據 </t>
    </r>
    <r>
      <rPr>
        <sz val="10"/>
        <rFont val="Arial"/>
        <family val="0"/>
        <charset val="1"/>
      </rPr>
      <t xml:space="preserve">2051-03</t>
    </r>
  </si>
  <si>
    <t xml:space="preserve">2051-03</t>
  </si>
  <si>
    <r>
      <rPr>
        <sz val="10"/>
        <rFont val="Arial"/>
        <family val="0"/>
        <charset val="1"/>
      </rPr>
      <t xml:space="preserve">6.90% </t>
    </r>
    <r>
      <rPr>
        <sz val="10"/>
        <rFont val="Noto Sans CJK SC"/>
        <family val="2"/>
      </rPr>
      <t xml:space="preserve">優先票據 </t>
    </r>
    <r>
      <rPr>
        <sz val="10"/>
        <rFont val="Arial"/>
        <family val="0"/>
        <charset val="1"/>
      </rPr>
      <t xml:space="preserve">2052-11</t>
    </r>
  </si>
  <si>
    <t xml:space="preserve">2052-11</t>
  </si>
  <si>
    <r>
      <rPr>
        <sz val="10"/>
        <rFont val="Arial"/>
        <family val="0"/>
        <charset val="1"/>
      </rPr>
      <t xml:space="preserve">5.55% </t>
    </r>
    <r>
      <rPr>
        <sz val="10"/>
        <rFont val="Noto Sans CJK SC"/>
        <family val="2"/>
      </rPr>
      <t xml:space="preserve">優先票據 </t>
    </r>
    <r>
      <rPr>
        <sz val="10"/>
        <rFont val="Arial"/>
        <family val="0"/>
        <charset val="1"/>
      </rPr>
      <t xml:space="preserve">2053-02</t>
    </r>
  </si>
  <si>
    <t xml:space="preserve">2053-02</t>
  </si>
  <si>
    <r>
      <rPr>
        <sz val="10"/>
        <rFont val="Arial"/>
        <family val="0"/>
        <charset val="1"/>
      </rPr>
      <t xml:space="preserve">5.375% </t>
    </r>
    <r>
      <rPr>
        <sz val="10"/>
        <rFont val="Noto Sans CJK SC"/>
        <family val="2"/>
      </rPr>
      <t xml:space="preserve">優先票據 </t>
    </r>
    <r>
      <rPr>
        <sz val="10"/>
        <rFont val="Arial"/>
        <family val="0"/>
        <charset val="1"/>
      </rPr>
      <t xml:space="preserve">2054-09</t>
    </r>
  </si>
  <si>
    <t xml:space="preserve">2054-09</t>
  </si>
  <si>
    <r>
      <rPr>
        <sz val="10"/>
        <rFont val="Arial"/>
        <family val="0"/>
        <charset val="1"/>
      </rPr>
      <t xml:space="preserve">4.375% </t>
    </r>
    <r>
      <rPr>
        <sz val="10"/>
        <rFont val="Noto Sans CJK SC"/>
        <family val="2"/>
      </rPr>
      <t xml:space="preserve">優先票據 </t>
    </r>
    <r>
      <rPr>
        <sz val="10"/>
        <rFont val="Arial"/>
        <family val="0"/>
        <charset val="1"/>
      </rPr>
      <t xml:space="preserve">2055-05</t>
    </r>
  </si>
  <si>
    <t xml:space="preserve">2055-05</t>
  </si>
  <si>
    <r>
      <rPr>
        <sz val="10"/>
        <rFont val="Arial"/>
        <family val="0"/>
        <charset val="1"/>
      </rPr>
      <t xml:space="preserve">6.00% </t>
    </r>
    <r>
      <rPr>
        <sz val="10"/>
        <rFont val="Noto Sans CJK SC"/>
        <family val="2"/>
      </rPr>
      <t xml:space="preserve">優先票據 </t>
    </r>
    <r>
      <rPr>
        <sz val="10"/>
        <rFont val="Arial"/>
        <family val="0"/>
        <charset val="1"/>
      </rPr>
      <t xml:space="preserve">2055-08</t>
    </r>
  </si>
  <si>
    <t xml:space="preserve">2055-08</t>
  </si>
  <si>
    <r>
      <rPr>
        <sz val="10"/>
        <rFont val="Arial"/>
        <family val="0"/>
        <charset val="1"/>
      </rPr>
      <t xml:space="preserve">5.95% </t>
    </r>
    <r>
      <rPr>
        <sz val="10"/>
        <rFont val="Noto Sans CJK SC"/>
        <family val="2"/>
      </rPr>
      <t xml:space="preserve">優先票據 </t>
    </r>
    <r>
      <rPr>
        <sz val="10"/>
        <rFont val="Arial"/>
        <family val="0"/>
        <charset val="1"/>
      </rPr>
      <t xml:space="preserve">2055-09</t>
    </r>
  </si>
  <si>
    <t xml:space="preserve">2055-09</t>
  </si>
  <si>
    <r>
      <rPr>
        <sz val="10"/>
        <rFont val="Arial"/>
        <family val="0"/>
        <charset val="1"/>
      </rPr>
      <t xml:space="preserve">6.70% </t>
    </r>
    <r>
      <rPr>
        <sz val="10"/>
        <rFont val="Noto Sans CJK SC"/>
        <family val="2"/>
      </rPr>
      <t xml:space="preserve">優先票據 </t>
    </r>
    <r>
      <rPr>
        <sz val="10"/>
        <rFont val="Arial"/>
        <family val="0"/>
        <charset val="1"/>
      </rPr>
      <t xml:space="preserve">2056-02</t>
    </r>
  </si>
  <si>
    <t xml:space="preserve">2056-02</t>
  </si>
  <si>
    <r>
      <rPr>
        <sz val="10"/>
        <rFont val="Arial"/>
        <family val="0"/>
        <charset val="1"/>
      </rPr>
      <t xml:space="preserve">3.85% </t>
    </r>
    <r>
      <rPr>
        <sz val="10"/>
        <rFont val="Noto Sans CJK SC"/>
        <family val="2"/>
      </rPr>
      <t xml:space="preserve">優先票據 </t>
    </r>
    <r>
      <rPr>
        <sz val="10"/>
        <rFont val="Arial"/>
        <family val="0"/>
        <charset val="1"/>
      </rPr>
      <t xml:space="preserve">2060-04</t>
    </r>
  </si>
  <si>
    <t xml:space="preserve">2060-04</t>
  </si>
  <si>
    <r>
      <rPr>
        <sz val="10"/>
        <rFont val="Arial"/>
        <family val="0"/>
        <charset val="1"/>
      </rPr>
      <t xml:space="preserve">4.10% </t>
    </r>
    <r>
      <rPr>
        <sz val="10"/>
        <rFont val="Noto Sans CJK SC"/>
        <family val="2"/>
      </rPr>
      <t xml:space="preserve">優先票據 </t>
    </r>
    <r>
      <rPr>
        <sz val="10"/>
        <rFont val="Arial"/>
        <family val="0"/>
        <charset val="1"/>
      </rPr>
      <t xml:space="preserve">2061-03</t>
    </r>
  </si>
  <si>
    <t xml:space="preserve">2061-03</t>
  </si>
  <si>
    <r>
      <rPr>
        <sz val="10"/>
        <rFont val="Arial"/>
        <family val="0"/>
        <charset val="1"/>
      </rPr>
      <t xml:space="preserve">5.50% </t>
    </r>
    <r>
      <rPr>
        <sz val="10"/>
        <rFont val="Noto Sans CJK SC"/>
        <family val="2"/>
      </rPr>
      <t xml:space="preserve">優先票據 </t>
    </r>
    <r>
      <rPr>
        <sz val="10"/>
        <rFont val="Arial"/>
        <family val="0"/>
        <charset val="1"/>
      </rPr>
      <t xml:space="preserve">2064-09</t>
    </r>
  </si>
  <si>
    <t xml:space="preserve">2064-09</t>
  </si>
  <si>
    <r>
      <rPr>
        <sz val="10"/>
        <rFont val="Arial"/>
        <family val="0"/>
        <charset val="1"/>
      </rPr>
      <t xml:space="preserve">6.125% </t>
    </r>
    <r>
      <rPr>
        <sz val="10"/>
        <rFont val="Noto Sans CJK SC"/>
        <family val="2"/>
      </rPr>
      <t xml:space="preserve">優先票據 </t>
    </r>
    <r>
      <rPr>
        <sz val="10"/>
        <rFont val="Arial"/>
        <family val="0"/>
        <charset val="1"/>
      </rPr>
      <t xml:space="preserve">2065-08</t>
    </r>
  </si>
  <si>
    <t xml:space="preserve">2065-08</t>
  </si>
  <si>
    <r>
      <rPr>
        <sz val="10"/>
        <rFont val="Arial"/>
        <family val="0"/>
        <charset val="1"/>
      </rPr>
      <t xml:space="preserve">6.10% </t>
    </r>
    <r>
      <rPr>
        <sz val="10"/>
        <rFont val="Noto Sans CJK SC"/>
        <family val="2"/>
      </rPr>
      <t xml:space="preserve">優先票據 </t>
    </r>
    <r>
      <rPr>
        <sz val="10"/>
        <rFont val="Arial"/>
        <family val="0"/>
        <charset val="1"/>
      </rPr>
      <t xml:space="preserve">2065-09</t>
    </r>
  </si>
  <si>
    <t xml:space="preserve">2065-09</t>
  </si>
  <si>
    <r>
      <rPr>
        <sz val="10"/>
        <rFont val="Arial"/>
        <family val="0"/>
        <charset val="1"/>
      </rPr>
      <t xml:space="preserve">6.85% </t>
    </r>
    <r>
      <rPr>
        <sz val="10"/>
        <rFont val="Noto Sans CJK SC"/>
        <family val="2"/>
      </rPr>
      <t xml:space="preserve">優先票據 </t>
    </r>
    <r>
      <rPr>
        <sz val="10"/>
        <rFont val="Arial"/>
        <family val="0"/>
        <charset val="1"/>
      </rPr>
      <t xml:space="preserve">2066-02</t>
    </r>
  </si>
  <si>
    <t xml:space="preserve">2066-02</t>
  </si>
  <si>
    <r>
      <rPr>
        <sz val="10"/>
        <rFont val="Noto Sans CJK SC"/>
        <family val="2"/>
      </rPr>
      <t xml:space="preserve">浮動利率票據 </t>
    </r>
    <r>
      <rPr>
        <sz val="10"/>
        <rFont val="Arial"/>
        <family val="0"/>
        <charset val="1"/>
      </rPr>
      <t xml:space="preserve">SOFR</t>
    </r>
    <r>
      <rPr>
        <sz val="10"/>
        <rFont val="Noto Sans CJK SC"/>
        <family val="2"/>
      </rPr>
      <t xml:space="preserve">＋</t>
    </r>
    <r>
      <rPr>
        <sz val="10"/>
        <rFont val="Arial"/>
        <family val="0"/>
        <charset val="1"/>
      </rPr>
      <t xml:space="preserve">0.76% 2028-08</t>
    </r>
  </si>
  <si>
    <r>
      <rPr>
        <sz val="10"/>
        <rFont val="Noto Sans CJK SC"/>
        <family val="2"/>
      </rPr>
      <t xml:space="preserve">浮動利率票據 </t>
    </r>
    <r>
      <rPr>
        <sz val="10"/>
        <rFont val="Arial"/>
        <family val="0"/>
        <charset val="1"/>
      </rPr>
      <t xml:space="preserve">SOFR</t>
    </r>
    <r>
      <rPr>
        <sz val="10"/>
        <rFont val="Noto Sans CJK SC"/>
        <family val="2"/>
      </rPr>
      <t xml:space="preserve">＋</t>
    </r>
    <r>
      <rPr>
        <sz val="10"/>
        <rFont val="Arial"/>
        <family val="0"/>
        <charset val="1"/>
      </rPr>
      <t xml:space="preserve">1.11% 2029-02</t>
    </r>
  </si>
  <si>
    <r>
      <rPr>
        <sz val="10"/>
        <rFont val="Noto Sans CJK SC"/>
        <family val="2"/>
      </rPr>
      <t xml:space="preserve">定期貸款（</t>
    </r>
    <r>
      <rPr>
        <sz val="10"/>
        <rFont val="Arial"/>
        <family val="0"/>
        <charset val="1"/>
      </rPr>
      <t xml:space="preserve">Term Loan Credit Agreement 2</t>
    </r>
    <r>
      <rPr>
        <sz val="10"/>
        <rFont val="Noto Sans CJK SC"/>
        <family val="2"/>
      </rPr>
      <t xml:space="preserve">）</t>
    </r>
  </si>
  <si>
    <t xml:space="preserve">2027-08</t>
  </si>
  <si>
    <r>
      <rPr>
        <sz val="9"/>
        <color rgb="FF595959"/>
        <rFont val="Arial"/>
        <family val="0"/>
        <charset val="1"/>
      </rPr>
      <t xml:space="preserve">2026-05-31 </t>
    </r>
    <r>
      <rPr>
        <sz val="9"/>
        <color rgb="FF595959"/>
        <rFont val="Noto Sans CJK SC"/>
        <family val="2"/>
      </rPr>
      <t xml:space="preserve">本金 </t>
    </r>
    <r>
      <rPr>
        <sz val="9"/>
        <color rgb="FF595959"/>
        <rFont val="Arial"/>
        <family val="0"/>
        <charset val="1"/>
      </rPr>
      <t xml:space="preserve">5.137 − FY27Q1 </t>
    </r>
    <r>
      <rPr>
        <sz val="9"/>
        <color rgb="FF595959"/>
        <rFont val="Noto Sans CJK SC"/>
        <family val="2"/>
      </rPr>
      <t xml:space="preserve">攤還約 </t>
    </r>
    <r>
      <rPr>
        <sz val="9"/>
        <color rgb="FF595959"/>
        <rFont val="Arial"/>
        <family val="0"/>
        <charset val="1"/>
      </rPr>
      <t xml:space="preserve">0.070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4.7B </t>
    </r>
    <r>
      <rPr>
        <sz val="9"/>
        <color rgb="FF595959"/>
        <rFont val="Noto Sans CJK SC"/>
        <family val="2"/>
      </rPr>
      <t xml:space="preserve">以利率交換固定，有效約 </t>
    </r>
    <r>
      <rPr>
        <sz val="9"/>
        <color rgb="FF595959"/>
        <rFont val="Arial"/>
        <family val="0"/>
        <charset val="1"/>
      </rPr>
      <t xml:space="preserve">4.74%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2026-09-30 </t>
    </r>
    <r>
      <rPr>
        <sz val="9"/>
        <color rgb="FF595959"/>
        <rFont val="Noto Sans CJK SC"/>
        <family val="2"/>
      </rPr>
      <t xml:space="preserve">起每季攤還約 </t>
    </r>
    <r>
      <rPr>
        <sz val="9"/>
        <color rgb="FF595959"/>
        <rFont val="Arial"/>
        <family val="0"/>
        <charset val="1"/>
      </rPr>
      <t xml:space="preserve">0.14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2027-08-16 </t>
    </r>
    <r>
      <rPr>
        <sz val="9"/>
        <color rgb="FF595959"/>
        <rFont val="Noto Sans CJK SC"/>
        <family val="2"/>
      </rPr>
      <t xml:space="preserve">到期 </t>
    </r>
    <r>
      <rPr>
        <sz val="9"/>
        <color rgb="FF595959"/>
        <rFont val="Arial"/>
        <family val="0"/>
        <charset val="1"/>
      </rPr>
      <t xml:space="preserve">[Interested-party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Derived]</t>
    </r>
  </si>
  <si>
    <t xml:space="preserve">商業本票</t>
  </si>
  <si>
    <t xml:space="preserve">2026-11</t>
  </si>
  <si>
    <r>
      <rPr>
        <sz val="9"/>
        <color rgb="FF595959"/>
        <rFont val="Noto Sans CJK SC"/>
        <family val="2"/>
      </rPr>
      <t xml:space="preserve">帳面總借款 − 附註 </t>
    </r>
    <r>
      <rPr>
        <sz val="9"/>
        <color rgb="FF595959"/>
        <rFont val="Arial"/>
        <family val="0"/>
        <charset val="1"/>
      </rPr>
      <t xml:space="preserve">2 </t>
    </r>
    <r>
      <rPr>
        <sz val="9"/>
        <color rgb="FF595959"/>
        <rFont val="Noto Sans CJK SC"/>
        <family val="2"/>
      </rPr>
      <t xml:space="preserve">不含商本借款推得 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</si>
  <si>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b val="true"/>
        <sz val="10"/>
        <rFont val="Noto Sans CJK SC"/>
        <family val="2"/>
      </rPr>
      <t xml:space="preserve">合計（</t>
    </r>
    <r>
      <rPr>
        <b val="true"/>
        <sz val="10"/>
        <rFont val="Arial"/>
        <family val="0"/>
        <charset val="1"/>
      </rPr>
      <t xml:space="preserve">8/31</t>
    </r>
    <r>
      <rPr>
        <b val="true"/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</si>
  <si>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應等於最新季報本金合計 </t>
    </r>
    <r>
      <rPr>
        <sz val="9"/>
        <color rgb="FF595959"/>
        <rFont val="Arial"/>
        <family val="0"/>
        <charset val="1"/>
      </rPr>
      <t xml:space="preserve">125.904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company.json → latestQuarter.debtPrincipal</t>
    </r>
    <r>
      <rPr>
        <sz val="9"/>
        <color rgb="FF595959"/>
        <rFont val="Noto Sans CJK SC"/>
        <family val="2"/>
      </rPr>
      <t xml:space="preserve">）</t>
    </r>
  </si>
  <si>
    <t xml:space="preserve">加權有效利率</t>
  </si>
  <si>
    <r>
      <rPr>
        <sz val="9"/>
        <color rgb="FF595959"/>
        <rFont val="Noto Sans CJK SC"/>
        <family val="2"/>
      </rPr>
      <t xml:space="preserve">＝年化利息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本金（</t>
    </r>
    <r>
      <rPr>
        <sz val="9"/>
        <color rgb="FF595959"/>
        <rFont val="Arial"/>
        <family val="0"/>
        <charset val="1"/>
      </rPr>
      <t xml:space="preserve">company.json → debt.instruments </t>
    </r>
    <r>
      <rPr>
        <sz val="9"/>
        <color rgb="FF595959"/>
        <rFont val="Noto Sans CJK SC"/>
        <family val="2"/>
      </rPr>
      <t xml:space="preserve">的有效利率）</t>
    </r>
  </si>
  <si>
    <t xml:space="preserve">評價日後新發可轉債</t>
  </si>
  <si>
    <r>
      <rPr>
        <sz val="9"/>
        <color rgb="FF595959"/>
        <rFont val="Arial"/>
        <family val="0"/>
        <charset val="1"/>
      </rPr>
      <t xml:space="preserve">company.json → debt.convertible</t>
    </r>
    <r>
      <rPr>
        <sz val="9"/>
        <color rgb="FF595959"/>
        <rFont val="Noto Sans CJK SC"/>
        <family val="2"/>
      </rPr>
      <t xml:space="preserve">（期後新發；不在五期還本表內，只計利息）</t>
    </r>
  </si>
  <si>
    <r>
      <rPr>
        <b val="true"/>
        <sz val="10"/>
        <rFont val="Noto Sans CJK SC"/>
        <family val="2"/>
      </rPr>
      <t xml:space="preserve">可轉債逐檔（若轉換法：有效轉換價 </t>
    </r>
    <r>
      <rPr>
        <b val="true"/>
        <sz val="10"/>
        <rFont val="Arial"/>
        <family val="0"/>
        <charset val="1"/>
      </rPr>
      <t xml:space="preserve">&lt; </t>
    </r>
    <r>
      <rPr>
        <b val="true"/>
        <sz val="10"/>
        <rFont val="Noto Sans CJK SC"/>
        <family val="2"/>
      </rPr>
      <t xml:space="preserve">判斷價 → 視為轉股，不計利息與還本）</t>
    </r>
  </si>
  <si>
    <t xml:space="preserve">可轉債</t>
  </si>
  <si>
    <t xml:space="preserve">票息</t>
  </si>
  <si>
    <t xml:space="preserve">原始本金</t>
  </si>
  <si>
    <t xml:space="preserve">到期累積倍數</t>
  </si>
  <si>
    <t xml:space="preserve">轉換價</t>
  </si>
  <si>
    <t xml:space="preserve">到期所屬模型期</t>
  </si>
  <si>
    <r>
      <rPr>
        <b val="true"/>
        <sz val="11"/>
        <color rgb="FFFFFFFF"/>
        <rFont val="Noto Sans CJK SC"/>
        <family val="2"/>
      </rPr>
      <t xml:space="preserve">強制轉換（</t>
    </r>
    <r>
      <rPr>
        <b val="true"/>
        <sz val="11"/>
        <color rgb="FFFFFFFF"/>
        <rFont val="Arial"/>
        <family val="0"/>
        <charset val="1"/>
      </rPr>
      <t xml:space="preserve">1</t>
    </r>
    <r>
      <rPr>
        <b val="true"/>
        <sz val="11"/>
        <color rgb="FFFFFFFF"/>
        <rFont val="Noto Sans CJK SC"/>
        <family val="2"/>
      </rPr>
      <t xml:space="preserve">＝是）</t>
    </r>
  </si>
  <si>
    <r>
      <rPr>
        <sz val="10"/>
        <rFont val="Arial"/>
        <family val="0"/>
        <charset val="1"/>
      </rPr>
      <t xml:space="preserve">6.50% Series D </t>
    </r>
    <r>
      <rPr>
        <sz val="10"/>
        <rFont val="Noto Sans CJK SC"/>
        <family val="2"/>
      </rPr>
      <t xml:space="preserve">強制轉換特別股（</t>
    </r>
    <r>
      <rPr>
        <sz val="10"/>
        <rFont val="Arial"/>
        <family val="0"/>
        <charset val="1"/>
      </rPr>
      <t xml:space="preserve">2026-02</t>
    </r>
    <r>
      <rPr>
        <sz val="10"/>
        <rFont val="Noto Sans CJK SC"/>
        <family val="2"/>
      </rPr>
      <t xml:space="preserve">）</t>
    </r>
  </si>
  <si>
    <t xml:space="preserve">2029-01</t>
  </si>
  <si>
    <r>
      <rPr>
        <sz val="9"/>
        <color rgb="FF595959"/>
        <rFont val="Noto Sans CJK SC"/>
        <family val="2"/>
      </rPr>
      <t xml:space="preserve">清算價 </t>
    </r>
    <r>
      <rPr>
        <sz val="9"/>
        <color rgb="FF595959"/>
        <rFont val="Arial"/>
        <family val="0"/>
        <charset val="1"/>
      </rPr>
      <t xml:space="preserve">$5B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5,000 </t>
    </r>
    <r>
      <rPr>
        <sz val="9"/>
        <color rgb="FF595959"/>
        <rFont val="Noto Sans CJK SC"/>
        <family val="2"/>
      </rPr>
      <t xml:space="preserve">萬股 </t>
    </r>
    <r>
      <rPr>
        <sz val="9"/>
        <color rgb="FF595959"/>
        <rFont val="Arial"/>
        <family val="0"/>
        <charset val="1"/>
      </rPr>
      <t xml:space="preserve">× $100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2029-01-15 </t>
    </r>
    <r>
      <rPr>
        <sz val="9"/>
        <color rgb="FF595959"/>
        <rFont val="Noto Sans CJK SC"/>
        <family val="2"/>
      </rPr>
      <t xml:space="preserve">強制轉換為普通股，每股特別股轉 </t>
    </r>
    <r>
      <rPr>
        <sz val="9"/>
        <color rgb="FF595959"/>
        <rFont val="Arial"/>
        <family val="0"/>
        <charset val="1"/>
      </rPr>
      <t xml:space="preserve">499.8126–624.7657 </t>
    </r>
    <r>
      <rPr>
        <sz val="9"/>
        <color rgb="FF595959"/>
        <rFont val="Noto Sans CJK SC"/>
        <family val="2"/>
      </rPr>
      <t xml:space="preserve">股（</t>
    </r>
    <r>
      <rPr>
        <sz val="9"/>
        <color rgb="FF595959"/>
        <rFont val="Arial"/>
        <family val="0"/>
        <charset val="1"/>
      </rPr>
      <t xml:space="preserve">2,499–3,124 </t>
    </r>
    <r>
      <rPr>
        <sz val="9"/>
        <color rgb="FF595959"/>
        <rFont val="Noto Sans CJK SC"/>
        <family val="2"/>
      </rPr>
      <t xml:space="preserve">萬股）；一律轉股，取稀釋最大 </t>
    </r>
    <r>
      <rPr>
        <sz val="9"/>
        <color rgb="FF595959"/>
        <rFont val="Arial"/>
        <family val="0"/>
        <charset val="1"/>
      </rPr>
      <t xml:space="preserve">31.238m </t>
    </r>
    <r>
      <rPr>
        <sz val="9"/>
        <color rgb="FF595959"/>
        <rFont val="Noto Sans CJK SC"/>
        <family val="2"/>
      </rPr>
      <t xml:space="preserve">股（轉換價下限 </t>
    </r>
    <r>
      <rPr>
        <sz val="9"/>
        <color rgb="FF595959"/>
        <rFont val="Arial"/>
        <family val="0"/>
        <charset val="1"/>
      </rPr>
      <t xml:space="preserve">$160.06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[Interested-party 8-K 2026-02]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6.50% </t>
    </r>
    <r>
      <rPr>
        <sz val="9"/>
        <color rgb="FF595959"/>
        <rFont val="Noto Sans CJK SC"/>
        <family val="2"/>
      </rPr>
      <t xml:space="preserve">股利列於 </t>
    </r>
    <r>
      <rPr>
        <sz val="9"/>
        <color rgb="FF595959"/>
        <rFont val="Arial"/>
        <family val="0"/>
        <charset val="1"/>
      </rPr>
      <t xml:space="preserve">defaults.dividend.preferred</t>
    </r>
    <r>
      <rPr>
        <sz val="9"/>
        <color rgb="FF595959"/>
        <rFont val="Noto Sans CJK SC"/>
        <family val="2"/>
      </rPr>
      <t xml:space="preserve">；權益，不列債務本金</t>
    </r>
  </si>
  <si>
    <r>
      <rPr>
        <sz val="9"/>
        <color rgb="FF595959"/>
        <rFont val="Noto Sans CJK SC"/>
        <family val="2"/>
      </rPr>
      <t xml:space="preserve">到期所屬模型期：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＝首期 … </t>
    </r>
    <r>
      <rPr>
        <sz val="9"/>
        <color rgb="FF595959"/>
        <rFont val="Arial"/>
        <family val="0"/>
        <charset val="1"/>
      </rPr>
      <t xml:space="preserve">4</t>
    </r>
    <r>
      <rPr>
        <sz val="9"/>
        <color rgb="FF595959"/>
        <rFont val="Noto Sans CJK SC"/>
        <family val="2"/>
      </rPr>
      <t xml:space="preserve">＝末期、</t>
    </r>
    <r>
      <rPr>
        <sz val="9"/>
        <color rgb="FF595959"/>
        <rFont val="Arial"/>
        <family val="0"/>
        <charset val="1"/>
      </rPr>
      <t xml:space="preserve">5</t>
    </r>
    <r>
      <rPr>
        <sz val="9"/>
        <color rgb="FF595959"/>
        <rFont val="Noto Sans CJK SC"/>
        <family val="2"/>
      </rPr>
      <t xml:space="preserve">＝模型期後（建置時依期末日推算）</t>
    </r>
  </si>
  <si>
    <t xml:space="preserve">可轉債（推導）</t>
  </si>
  <si>
    <t xml:space="preserve">到期本金</t>
  </si>
  <si>
    <t xml:space="preserve">若轉換股數</t>
  </si>
  <si>
    <t xml:space="preserve">有效轉換價</t>
  </si>
  <si>
    <t xml:space="preserve">融資分類</t>
  </si>
  <si>
    <t xml:space="preserve">評價第一輪</t>
  </si>
  <si>
    <t xml:space="preserve">評價第二輪</t>
  </si>
  <si>
    <t xml:space="preserve">合計</t>
  </si>
  <si>
    <r>
      <rPr>
        <sz val="9"/>
        <color rgb="FF595959"/>
        <rFont val="Noto Sans CJK SC"/>
        <family val="2"/>
      </rPr>
      <t xml:space="preserve">分類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＝轉股（若轉換法）、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＝債務。強制轉換者一律為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。融資分類判斷價＝股權發行價；評價第一輪＝現價；第二輪＝</t>
    </r>
    <r>
      <rPr>
        <sz val="9"/>
        <color rgb="FF595959"/>
        <rFont val="Arial"/>
        <family val="0"/>
        <charset val="1"/>
      </rPr>
      <t xml:space="preserve">MIN(</t>
    </r>
    <r>
      <rPr>
        <sz val="9"/>
        <color rgb="FF595959"/>
        <rFont val="Noto Sans CJK SC"/>
        <family val="2"/>
      </rPr>
      <t xml:space="preserve">現價</t>
    </r>
    <r>
      <rPr>
        <sz val="9"/>
        <color rgb="FF595959"/>
        <rFont val="Arial"/>
        <family val="0"/>
        <charset val="1"/>
      </rPr>
      <t xml:space="preserve">, </t>
    </r>
    <r>
      <rPr>
        <sz val="9"/>
        <color rgb="FF595959"/>
        <rFont val="Noto Sans CJK SC"/>
        <family val="2"/>
      </rPr>
      <t xml:space="preserve">第一輪加權目標價</t>
    </r>
    <r>
      <rPr>
        <sz val="9"/>
        <color rgb="FF595959"/>
        <rFont val="Arial"/>
        <family val="0"/>
        <charset val="1"/>
      </rPr>
      <t xml:space="preserve">)</t>
    </r>
  </si>
  <si>
    <t xml:space="preserve">存量利息推導（本金依季報到期表遞減）</t>
  </si>
  <si>
    <t xml:space="preserve">期初本金</t>
  </si>
  <si>
    <r>
      <rPr>
        <sz val="9"/>
        <color rgb="FF595959"/>
        <rFont val="Arial"/>
        <family val="0"/>
        <charset val="1"/>
      </rPr>
      <t xml:space="preserve">FY27 </t>
    </r>
    <r>
      <rPr>
        <sz val="9"/>
        <color rgb="FF595959"/>
        <rFont val="Noto Sans CJK SC"/>
        <family val="2"/>
      </rPr>
      <t xml:space="preserve">期初為 </t>
    </r>
    <r>
      <rPr>
        <sz val="9"/>
        <color rgb="FF595959"/>
        <rFont val="Arial"/>
        <family val="0"/>
        <charset val="1"/>
      </rPr>
      <t xml:space="preserve">8/31 </t>
    </r>
    <r>
      <rPr>
        <sz val="9"/>
        <color rgb="FF595959"/>
        <rFont val="Noto Sans CJK SC"/>
        <family val="2"/>
      </rPr>
      <t xml:space="preserve">本金（模型期起點）</t>
    </r>
  </si>
  <si>
    <t xml:space="preserve">排程還本</t>
  </si>
  <si>
    <t xml:space="preserve">季報到期表</t>
  </si>
  <si>
    <t xml:space="preserve">期末本金</t>
  </si>
  <si>
    <t xml:space="preserve">平均本金</t>
  </si>
  <si>
    <t xml:space="preserve">存量債務利息</t>
  </si>
  <si>
    <r>
      <rPr>
        <sz val="9"/>
        <color rgb="FF595959"/>
        <rFont val="Noto Sans CJK SC"/>
        <family val="2"/>
      </rPr>
      <t xml:space="preserve">＝平均本金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加權有效利率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期間長度。限制：假設利率組合不變；可轉債折價攤銷（非現金）不計</t>
    </r>
  </si>
  <si>
    <t xml:space="preserve">期後新發可轉債利息</t>
  </si>
  <si>
    <t xml:space="preserve">可轉債到期還本（債務處理）</t>
  </si>
  <si>
    <t xml:space="preserve">融資分類為債務的可轉債，到期當期以到期累積本金現金還本</t>
  </si>
  <si>
    <t xml:space="preserve">可轉債期末餘額（債務處理）</t>
  </si>
  <si>
    <t xml:space="preserve">到期累積本金；關閉攤還時維持全額</t>
  </si>
  <si>
    <t xml:space="preserve">可轉債票息（債務處理）</t>
  </si>
  <si>
    <r>
      <rPr>
        <sz val="9"/>
        <color rgb="FF595959"/>
        <rFont val="Noto Sans CJK SC"/>
        <family val="2"/>
      </rPr>
      <t xml:space="preserve">＝原始本金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票息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期間長度；到期當期計半期</t>
    </r>
  </si>
  <si>
    <r>
      <rPr>
        <sz val="10"/>
        <rFont val="Arial"/>
        <family val="0"/>
        <charset val="1"/>
      </rPr>
      <t xml:space="preserve">FY26 </t>
    </r>
    <r>
      <rPr>
        <sz val="10"/>
        <rFont val="Noto Sans CJK SC"/>
        <family val="2"/>
      </rPr>
      <t xml:space="preserve">新增借款利息校準</t>
    </r>
  </si>
  <si>
    <r>
      <rPr>
        <sz val="9"/>
        <color rgb="FF595959"/>
        <rFont val="Noto Sans CJK SC"/>
        <family val="2"/>
      </rPr>
      <t xml:space="preserve">讓首期模型利息對上公司季度利息指引的校準值（</t>
    </r>
    <r>
      <rPr>
        <sz val="9"/>
        <color rgb="FF595959"/>
        <rFont val="Arial"/>
        <family val="0"/>
        <charset val="1"/>
      </rPr>
      <t xml:space="preserve">company.json → defaults.intCal</t>
    </r>
    <r>
      <rPr>
        <sz val="9"/>
        <color rgb="FF595959"/>
        <rFont val="Noto Sans CJK SC"/>
        <family val="2"/>
      </rPr>
      <t xml:space="preserve">）；無指引時為 </t>
    </r>
    <r>
      <rPr>
        <sz val="9"/>
        <color rgb="FF595959"/>
        <rFont val="Arial"/>
        <family val="0"/>
        <charset val="1"/>
      </rPr>
      <t xml:space="preserve">0</t>
    </r>
  </si>
  <si>
    <t xml:space="preserve">存量利息合計（連回輸入頁）</t>
  </si>
  <si>
    <t xml:space="preserve">＝存量債務利息＋期後新發可轉債利息＋可轉債票息＋首期校準</t>
  </si>
  <si>
    <t xml:space="preserve">新債與新股（類資產負債表：現金、債務、股本、槓桿）</t>
  </si>
  <si>
    <r>
      <rPr>
        <sz val="9"/>
        <color rgb="FF595959"/>
        <rFont val="Noto Sans CJK SC"/>
        <family val="2"/>
      </rPr>
      <t xml:space="preserve">全部為連結公式。</t>
    </r>
    <r>
      <rPr>
        <sz val="9"/>
        <color rgb="FF595959"/>
        <rFont val="Arial"/>
        <family val="0"/>
        <charset val="1"/>
      </rPr>
      <t xml:space="preserve">FY27 </t>
    </r>
    <r>
      <rPr>
        <sz val="9"/>
        <color rgb="FF595959"/>
        <rFont val="Noto Sans CJK SC"/>
        <family val="2"/>
      </rPr>
      <t xml:space="preserve">欄的現金自 </t>
    </r>
    <r>
      <rPr>
        <sz val="9"/>
        <color rgb="FF595959"/>
        <rFont val="Arial"/>
        <family val="0"/>
        <charset val="1"/>
      </rPr>
      <t xml:space="preserve">2026-08-31 </t>
    </r>
    <r>
      <rPr>
        <sz val="9"/>
        <color rgb="FF595959"/>
        <rFont val="Noto Sans CJK SC"/>
        <family val="2"/>
      </rPr>
      <t xml:space="preserve">起算（模型期），與 </t>
    </r>
    <r>
      <rPr>
        <sz val="9"/>
        <color rgb="FF595959"/>
        <rFont val="Arial"/>
        <family val="0"/>
        <charset val="1"/>
      </rPr>
      <t xml:space="preserve">HTML</t>
    </r>
    <r>
      <rPr>
        <sz val="9"/>
        <color rgb="FF595959"/>
        <rFont val="Noto Sans CJK SC"/>
        <family val="2"/>
      </rPr>
      <t xml:space="preserve">『資產與負債 → 新債與新股』同口徑</t>
    </r>
  </si>
  <si>
    <t xml:space="preserve">現金</t>
  </si>
  <si>
    <t xml:space="preserve">期初現金</t>
  </si>
  <si>
    <r>
      <rPr>
        <sz val="9"/>
        <color rgb="FF595959"/>
        <rFont val="Arial"/>
        <family val="0"/>
        <charset val="1"/>
      </rPr>
      <t xml:space="preserve">FY27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8/31 </t>
    </r>
    <r>
      <rPr>
        <sz val="9"/>
        <color rgb="FF595959"/>
        <rFont val="Noto Sans CJK SC"/>
        <family val="2"/>
      </rPr>
      <t xml:space="preserve">現金（模型期起點）</t>
    </r>
  </si>
  <si>
    <t xml:space="preserve">營運收支淨額（含期後股權／可轉債，不含瀑布）</t>
  </si>
  <si>
    <t xml:space="preserve">＝融資前累積現金的當期變動；負值即當期外部資金需求</t>
  </si>
  <si>
    <t xml:space="preserve">＋ 瀑布：新債（額度＋資產層）</t>
  </si>
  <si>
    <t xml:space="preserve">＋ 瀑布：可轉債</t>
  </si>
  <si>
    <t xml:space="preserve">＋ 瀑布：高息債</t>
  </si>
  <si>
    <t xml:space="preserve">＋ 瀑布：股權募資</t>
  </si>
  <si>
    <t xml:space="preserve">− 新融資利息（新債＋可轉債＋高息債）</t>
  </si>
  <si>
    <t xml:space="preserve">期末現金</t>
  </si>
  <si>
    <t xml:space="preserve">應等於『各期收支』期末累積現金（見下列驗算）</t>
  </si>
  <si>
    <t xml:space="preserve">　驗算：與各期收支期末現金差異</t>
  </si>
  <si>
    <r>
      <rPr>
        <sz val="9"/>
        <color rgb="FF595959"/>
        <rFont val="Noto Sans CJK SC"/>
        <family val="2"/>
      </rPr>
      <t xml:space="preserve">應為 </t>
    </r>
    <r>
      <rPr>
        <sz val="9"/>
        <color rgb="FF595959"/>
        <rFont val="Arial"/>
        <family val="0"/>
        <charset val="1"/>
      </rPr>
      <t xml:space="preserve">0</t>
    </r>
  </si>
  <si>
    <t xml:space="preserve">債務</t>
  </si>
  <si>
    <t xml:space="preserve">既有債務期初（季報本金）</t>
  </si>
  <si>
    <r>
      <rPr>
        <sz val="9"/>
        <color rgb="FF595959"/>
        <rFont val="Arial"/>
        <family val="0"/>
        <charset val="1"/>
      </rPr>
      <t xml:space="preserve">FY27</t>
    </r>
    <r>
      <rPr>
        <sz val="9"/>
        <color rgb="FF595959"/>
        <rFont val="Noto Sans CJK SC"/>
        <family val="2"/>
      </rPr>
      <t xml:space="preserve">＝其他借款＋債務處理可轉債到期本金（轉股處理者不列）</t>
    </r>
  </si>
  <si>
    <t xml:space="preserve">− 排程還本（模型期）</t>
  </si>
  <si>
    <t xml:space="preserve">既有債務期末</t>
  </si>
  <si>
    <t xml:space="preserve">＝依到期表遞減（關閉攤還時維持期初）</t>
  </si>
  <si>
    <t xml:space="preserve">＋ 期後新發可轉債</t>
  </si>
  <si>
    <t xml:space="preserve">＋ 瀑布新債餘額</t>
  </si>
  <si>
    <t xml:space="preserve">＋ 瀑布可轉債餘額</t>
  </si>
  <si>
    <t xml:space="preserve">＋ 高息債餘額</t>
  </si>
  <si>
    <t xml:space="preserve">總債務</t>
  </si>
  <si>
    <t xml:space="preserve">應等於『各期收支』期末總債務</t>
  </si>
  <si>
    <t xml:space="preserve">淨負債（總債務 − 期末現金）</t>
  </si>
  <si>
    <t xml:space="preserve">股本</t>
  </si>
  <si>
    <r>
      <rPr>
        <sz val="10"/>
        <rFont val="Noto Sans CJK SC"/>
        <family val="2"/>
      </rPr>
      <t xml:space="preserve">基礎股數（含 </t>
    </r>
    <r>
      <rPr>
        <sz val="10"/>
        <rFont val="Arial"/>
        <family val="0"/>
        <charset val="1"/>
      </rPr>
      <t xml:space="preserve">ATM </t>
    </r>
    <r>
      <rPr>
        <sz val="10"/>
        <rFont val="Noto Sans CJK SC"/>
        <family val="2"/>
      </rPr>
      <t xml:space="preserve">上限、</t>
    </r>
    <r>
      <rPr>
        <sz val="10"/>
        <rFont val="Arial"/>
        <family val="0"/>
        <charset val="1"/>
      </rPr>
      <t xml:space="preserve">SBC </t>
    </r>
    <r>
      <rPr>
        <sz val="10"/>
        <rFont val="Noto Sans CJK SC"/>
        <family val="2"/>
      </rPr>
      <t xml:space="preserve">稀釋）</t>
    </r>
  </si>
  <si>
    <t xml:space="preserve">＋ 本期新股</t>
  </si>
  <si>
    <t xml:space="preserve">總股數（期末）</t>
  </si>
  <si>
    <t xml:space="preserve">＝基礎股數＋累計新股</t>
  </si>
  <si>
    <t xml:space="preserve">槓桿</t>
  </si>
  <si>
    <r>
      <rPr>
        <sz val="10"/>
        <rFont val="Noto Sans CJK SC"/>
        <family val="2"/>
      </rPr>
      <t xml:space="preserve">債務上限（債務／</t>
    </r>
    <r>
      <rPr>
        <sz val="10"/>
        <rFont val="Arial"/>
        <family val="0"/>
        <charset val="1"/>
      </rPr>
      <t xml:space="preserve">backlog × </t>
    </r>
    <r>
      <rPr>
        <sz val="10"/>
        <rFont val="Noto Sans CJK SC"/>
        <family val="2"/>
      </rPr>
      <t xml:space="preserve">期末 </t>
    </r>
    <r>
      <rPr>
        <sz val="10"/>
        <rFont val="Arial"/>
        <family val="0"/>
        <charset val="1"/>
      </rPr>
      <t xml:space="preserve">backlog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</si>
  <si>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總債務 </t>
    </r>
    <r>
      <rPr>
        <sz val="10"/>
        <rFont val="Arial"/>
        <family val="0"/>
        <charset val="1"/>
      </rPr>
      <t xml:space="preserve">÷ </t>
    </r>
    <r>
      <rPr>
        <sz val="10"/>
        <rFont val="Noto Sans CJK SC"/>
        <family val="2"/>
      </rPr>
      <t xml:space="preserve">期末 </t>
    </r>
    <r>
      <rPr>
        <sz val="10"/>
        <rFont val="Arial"/>
        <family val="0"/>
        <charset val="1"/>
      </rPr>
      <t xml:space="preserve">backlog</t>
    </r>
  </si>
  <si>
    <r>
      <rPr>
        <sz val="9"/>
        <color rgb="FF595959"/>
        <rFont val="Noto Sans CJK SC"/>
        <family val="2"/>
      </rPr>
      <t xml:space="preserve">高息債不受 </t>
    </r>
    <r>
      <rPr>
        <sz val="9"/>
        <color rgb="FF595959"/>
        <rFont val="Arial"/>
        <family val="0"/>
        <charset val="1"/>
      </rPr>
      <t xml:space="preserve">backlog </t>
    </r>
    <r>
      <rPr>
        <sz val="9"/>
        <color rgb="FF595959"/>
        <rFont val="Noto Sans CJK SC"/>
        <family val="2"/>
      </rPr>
      <t xml:space="preserve">上限約束</t>
    </r>
  </si>
  <si>
    <r>
      <rPr>
        <sz val="10"/>
        <rFont val="Noto Sans CJK SC"/>
        <family val="2"/>
      </rPr>
      <t xml:space="preserve">總債務 </t>
    </r>
    <r>
      <rPr>
        <sz val="10"/>
        <rFont val="Arial"/>
        <family val="0"/>
        <charset val="1"/>
      </rPr>
      <t xml:space="preserve">÷ EBITDA</t>
    </r>
    <r>
      <rPr>
        <sz val="10"/>
        <rFont val="Noto Sans CJK SC"/>
        <family val="2"/>
      </rPr>
      <t xml:space="preserve">（年化）</t>
    </r>
  </si>
  <si>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Noto Sans CJK SC"/>
        <family val="2"/>
      </rPr>
      <t xml:space="preserve">模型期 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Noto Sans CJK SC"/>
        <family val="2"/>
      </rPr>
      <t xml:space="preserve">以半年</t>
    </r>
    <r>
      <rPr>
        <sz val="9"/>
        <color rgb="FF595959"/>
        <rFont val="Arial"/>
        <family val="0"/>
        <charset val="1"/>
      </rPr>
      <t xml:space="preserve">×2 </t>
    </r>
    <r>
      <rPr>
        <sz val="9"/>
        <color rgb="FF595959"/>
        <rFont val="Noto Sans CJK SC"/>
        <family val="2"/>
      </rPr>
      <t xml:space="preserve">年化</t>
    </r>
  </si>
  <si>
    <t xml:space="preserve">租賃負債（期末）</t>
  </si>
  <si>
    <r>
      <rPr>
        <sz val="9"/>
        <color rgb="FF595959"/>
        <rFont val="Noto Sans CJK SC"/>
        <family val="2"/>
      </rPr>
      <t xml:space="preserve">見『各期收支』租賃負債（期末剩餘租金現值，</t>
    </r>
    <r>
      <rPr>
        <sz val="9"/>
        <color rgb="FF595959"/>
        <rFont val="Arial"/>
        <family val="0"/>
        <charset val="1"/>
      </rPr>
      <t xml:space="preserve">5.7%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</si>
  <si>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Arial"/>
        <family val="0"/>
        <charset val="1"/>
      </rPr>
      <t xml:space="preserve">EBITDAR</t>
    </r>
    <r>
      <rPr>
        <sz val="10"/>
        <rFont val="Noto Sans CJK SC"/>
        <family val="2"/>
      </rPr>
      <t xml:space="preserve">（年化＝</t>
    </r>
    <r>
      <rPr>
        <sz val="10"/>
        <rFont val="Arial"/>
        <family val="0"/>
        <charset val="1"/>
      </rPr>
      <t xml:space="preserve">(EBITDA</t>
    </r>
    <r>
      <rPr>
        <sz val="10"/>
        <rFont val="Noto Sans CJK SC"/>
        <family val="2"/>
      </rPr>
      <t xml:space="preserve">＋租金</t>
    </r>
    <r>
      <rPr>
        <sz val="10"/>
        <rFont val="Arial"/>
        <family val="0"/>
        <charset val="1"/>
      </rPr>
      <t xml:space="preserve">) ÷ </t>
    </r>
    <r>
      <rPr>
        <sz val="10"/>
        <rFont val="Noto Sans CJK SC"/>
        <family val="2"/>
      </rPr>
      <t xml:space="preserve">期間長度）</t>
    </r>
  </si>
  <si>
    <r>
      <rPr>
        <b val="true"/>
        <sz val="10"/>
        <rFont val="Noto Sans CJK SC"/>
        <family val="2"/>
      </rPr>
      <t xml:space="preserve">調整後槓桿（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Noto Sans CJK SC"/>
        <family val="2"/>
      </rPr>
      <t xml:space="preserve">總債務＋租賃負債</t>
    </r>
    <r>
      <rPr>
        <b val="true"/>
        <sz val="10"/>
        <rFont val="Arial"/>
        <family val="0"/>
        <charset val="1"/>
      </rPr>
      <t xml:space="preserve">) ÷ EBITDAR</t>
    </r>
    <r>
      <rPr>
        <b val="true"/>
        <sz val="1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</si>
  <si>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S&amp;P </t>
    </r>
    <r>
      <rPr>
        <sz val="9"/>
        <color rgb="FF595959"/>
        <rFont val="Noto Sans CJK SC"/>
        <family val="2"/>
      </rPr>
      <t xml:space="preserve">降評門檻 </t>
    </r>
    <r>
      <rPr>
        <sz val="9"/>
        <color rgb="FF595959"/>
        <rFont val="Arial"/>
        <family val="0"/>
        <charset val="1"/>
      </rPr>
      <t xml:space="preserve">&gt;4.5×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[Interested-party] </t>
    </r>
    <r>
      <rPr>
        <sz val="9"/>
        <color rgb="FF595959"/>
        <rFont val="Noto Sans CJK SC"/>
        <family val="2"/>
      </rPr>
      <t xml:space="preserve">二手轉述）；</t>
    </r>
    <r>
      <rPr>
        <sz val="9"/>
        <color rgb="FF595959"/>
        <rFont val="Arial"/>
        <family val="0"/>
        <charset val="1"/>
      </rPr>
      <t xml:space="preserve">S&amp;P </t>
    </r>
    <r>
      <rPr>
        <sz val="9"/>
        <color rgb="FF595959"/>
        <rFont val="Noto Sans CJK SC"/>
        <family val="2"/>
      </rPr>
      <t xml:space="preserve">自身口徑另含全部未起租承諾與無條件採購義務，較本列高（見報告）</t>
    </r>
  </si>
  <si>
    <t xml:space="preserve">距投資級上限的空間（上限 − 調整後槓桿）</t>
  </si>
  <si>
    <t xml:space="preserve">負值＝超過上限：需股權或失去投資級</t>
  </si>
  <si>
    <r>
      <rPr>
        <b val="true"/>
        <sz val="14"/>
        <rFont val="Noto Sans CJK SC"/>
        <family val="2"/>
      </rPr>
      <t xml:space="preserve">租賃與承諾 — 季報（</t>
    </r>
    <r>
      <rPr>
        <b val="true"/>
        <sz val="14"/>
        <rFont val="Arial"/>
        <family val="0"/>
        <charset val="1"/>
      </rPr>
      <t xml:space="preserve">2026-08-31</t>
    </r>
    <r>
      <rPr>
        <b val="true"/>
        <sz val="14"/>
        <rFont val="Noto Sans CJK SC"/>
        <family val="2"/>
      </rPr>
      <t xml:space="preserve">）原始揭露</t>
    </r>
  </si>
  <si>
    <t xml:space="preserve">本頁為硬編碼的申報數字（藍字），支出與資金頁的租金與還本列由此而來</t>
  </si>
  <si>
    <t xml:space="preserve">在帳租賃到期表（未折現）</t>
  </si>
  <si>
    <r>
      <rPr>
        <b val="true"/>
        <sz val="11"/>
        <color rgb="FFFFFFFF"/>
        <rFont val="Arial"/>
        <family val="0"/>
        <charset val="1"/>
      </rPr>
      <t xml:space="preserve">2026 </t>
    </r>
    <r>
      <rPr>
        <b val="true"/>
        <sz val="11"/>
        <color rgb="FFFFFFFF"/>
        <rFont val="Noto Sans CJK SC"/>
        <family val="2"/>
      </rPr>
      <t xml:space="preserve">下半</t>
    </r>
  </si>
  <si>
    <t xml:space="preserve">2027</t>
  </si>
  <si>
    <t xml:space="preserve">2028</t>
  </si>
  <si>
    <t xml:space="preserve">2029</t>
  </si>
  <si>
    <t xml:space="preserve">2030</t>
  </si>
  <si>
    <t xml:space="preserve">其後</t>
  </si>
  <si>
    <t xml:space="preserve">營業租賃付款</t>
  </si>
  <si>
    <t xml:space="preserve">融資租賃付款</t>
  </si>
  <si>
    <t xml:space="preserve">合計（＝支出頁「在帳現金租金」）</t>
  </si>
  <si>
    <r>
      <rPr>
        <sz val="9"/>
        <color rgb="FF595959"/>
        <rFont val="Noto Sans CJK SC"/>
        <family val="2"/>
      </rPr>
      <t xml:space="preserve">營業租賃負債現值 </t>
    </r>
    <r>
      <rPr>
        <sz val="9"/>
        <color rgb="FF595959"/>
        <rFont val="Arial"/>
        <family val="0"/>
        <charset val="1"/>
      </rPr>
      <t xml:space="preserve">34.621</t>
    </r>
    <r>
      <rPr>
        <sz val="9"/>
        <color rgb="FF595959"/>
        <rFont val="Noto Sans CJK SC"/>
        <family val="2"/>
      </rPr>
      <t xml:space="preserve">、融資租賃 </t>
    </r>
    <r>
      <rPr>
        <sz val="9"/>
        <color rgb="FF595959"/>
        <rFont val="Arial"/>
        <family val="0"/>
        <charset val="1"/>
      </rPr>
      <t xml:space="preserve">9.185</t>
    </r>
    <r>
      <rPr>
        <sz val="9"/>
        <color rgb="FF595959"/>
        <rFont val="Noto Sans CJK SC"/>
        <family val="2"/>
      </rPr>
      <t xml:space="preserve">；年報加權剩餘租期 </t>
    </r>
    <r>
      <rPr>
        <sz val="9"/>
        <color rgb="FF595959"/>
        <rFont val="Arial"/>
        <family val="0"/>
        <charset val="1"/>
      </rPr>
      <t xml:space="preserve">12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14 </t>
    </r>
    <r>
      <rPr>
        <sz val="9"/>
        <color rgb="FF595959"/>
        <rFont val="Noto Sans CJK SC"/>
        <family val="2"/>
      </rPr>
      <t xml:space="preserve">年、折現率 </t>
    </r>
    <r>
      <rPr>
        <sz val="9"/>
        <color rgb="FF595959"/>
        <rFont val="Arial"/>
        <family val="0"/>
        <charset val="1"/>
      </rPr>
      <t xml:space="preserve">5.7% [Verified]</t>
    </r>
  </si>
  <si>
    <t xml:space="preserve">債務本金到期表</t>
  </si>
  <si>
    <t xml:space="preserve">本金（＝支出頁「排程還本」）</t>
  </si>
  <si>
    <r>
      <rPr>
        <sz val="9"/>
        <color rgb="FF595959"/>
        <rFont val="Noto Sans CJK SC"/>
        <family val="2"/>
      </rPr>
      <t xml:space="preserve">其他借款到期表（</t>
    </r>
    <r>
      <rPr>
        <sz val="9"/>
        <color rgb="FF595959"/>
        <rFont val="Arial"/>
        <family val="0"/>
        <charset val="1"/>
      </rPr>
      <t xml:space="preserve">company.json → debt.amortization</t>
    </r>
    <r>
      <rPr>
        <sz val="9"/>
        <color rgb="FF595959"/>
        <rFont val="Noto Sans CJK SC"/>
        <family val="2"/>
      </rPr>
      <t xml:space="preserve">）；可轉債到期還本依融資分類另計，見『資產負債</t>
    </r>
    <r>
      <rPr>
        <sz val="9"/>
        <color rgb="FF595959"/>
        <rFont val="Arial"/>
        <family val="0"/>
        <charset val="1"/>
      </rPr>
      <t xml:space="preserve">_</t>
    </r>
    <r>
      <rPr>
        <sz val="9"/>
        <color rgb="FF595959"/>
        <rFont val="Noto Sans CJK SC"/>
        <family val="2"/>
      </rPr>
      <t xml:space="preserve">既有債務』逐檔表</t>
    </r>
  </si>
  <si>
    <t xml:space="preserve">表外與契約性承諾（未入表）</t>
  </si>
  <si>
    <t xml:space="preserve">金額</t>
  </si>
  <si>
    <t xml:space="preserve">入表？</t>
  </si>
  <si>
    <t xml:space="preserve">模型位置</t>
  </si>
  <si>
    <t xml:space="preserve">未起租租賃（未折現）</t>
  </si>
  <si>
    <t xml:space="preserve">季報揭露之已簽約未起租租賃</t>
  </si>
  <si>
    <t xml:space="preserve">否</t>
  </si>
  <si>
    <t xml:space="preserve">表外現金租金</t>
  </si>
  <si>
    <t xml:space="preserve">單站按造價計租，上限</t>
  </si>
  <si>
    <r>
      <rPr>
        <sz val="9"/>
        <color rgb="FF595959"/>
        <rFont val="Noto Sans CJK SC"/>
        <family val="2"/>
      </rPr>
      <t xml:space="preserve">無此類揭露時為 </t>
    </r>
    <r>
      <rPr>
        <sz val="9"/>
        <color rgb="FF595959"/>
        <rFont val="Arial"/>
        <family val="0"/>
        <charset val="1"/>
      </rPr>
      <t xml:space="preserve">0</t>
    </r>
  </si>
  <si>
    <r>
      <rPr>
        <sz val="9"/>
        <color rgb="FF595959"/>
        <rFont val="Arial"/>
        <family val="0"/>
        <charset val="1"/>
      </rPr>
      <t xml:space="preserve">company.json → defaults.facility</t>
    </r>
    <r>
      <rPr>
        <sz val="9"/>
        <color rgb="FF595959"/>
        <rFont val="Noto Sans CJK SC"/>
        <family val="2"/>
      </rPr>
      <t xml:space="preserve">（循環信用額度，未動用）</t>
    </r>
  </si>
  <si>
    <t xml:space="preserve">否（來源）</t>
  </si>
  <si>
    <t xml:space="preserve">瀑布：未動用額度</t>
  </si>
  <si>
    <t xml:space="preserve">已揭露金額之承諾合計（未起租＋單站上限）</t>
  </si>
  <si>
    <t xml:space="preserve">模型表外租金五期合計</t>
  </si>
  <si>
    <t xml:space="preserve">模型表外租金尾端（模型期後未付＝總額 − 五期）</t>
  </si>
  <si>
    <r>
      <rPr>
        <b val="true"/>
        <sz val="10"/>
        <rFont val="Noto Sans CJK SC"/>
        <family val="2"/>
      </rPr>
      <t xml:space="preserve">模型路徑合計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Noto Sans CJK SC"/>
        <family val="2"/>
      </rPr>
      <t xml:space="preserve">已承諾（≥</t>
    </r>
    <r>
      <rPr>
        <b val="true"/>
        <sz val="10"/>
        <rFont val="Arial"/>
        <family val="0"/>
        <charset val="1"/>
      </rPr>
      <t xml:space="preserve">0.8 </t>
    </r>
    <r>
      <rPr>
        <b val="true"/>
        <sz val="10"/>
        <rFont val="Noto Sans CJK SC"/>
        <family val="2"/>
      </rPr>
      <t xml:space="preserve">為合理）</t>
    </r>
  </si>
  <si>
    <t xml:space="preserve">起租排程依季報附註（起租期間與期限）平均分攤；五期＋尾端＝未起租總額</t>
  </si>
  <si>
    <t xml:space="preserve">損益（類損益表）— 與資金模型同一組收入</t>
  </si>
  <si>
    <r>
      <rPr>
        <sz val="9"/>
        <color rgb="FF595959"/>
        <rFont val="Noto Sans CJK SC"/>
        <family val="2"/>
      </rPr>
      <t xml:space="preserve">算力收入、</t>
    </r>
    <r>
      <rPr>
        <sz val="9"/>
        <color rgb="FF595959"/>
        <rFont val="Arial"/>
        <family val="0"/>
        <charset val="1"/>
      </rPr>
      <t xml:space="preserve">Cash CapEx</t>
    </r>
    <r>
      <rPr>
        <sz val="9"/>
        <color rgb="FF595959"/>
        <rFont val="Noto Sans CJK SC"/>
        <family val="2"/>
      </rPr>
      <t xml:space="preserve">、利息皆由前面分頁連結而來；改資金假設，此頁會跟著動</t>
    </r>
  </si>
  <si>
    <t xml:space="preserve">損益表</t>
  </si>
  <si>
    <t xml:space="preserve">算力收入</t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</si>
  <si>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RPO </t>
    </r>
    <r>
      <rPr>
        <sz val="9"/>
        <color rgb="FF595959"/>
        <rFont val="Noto Sans CJK SC"/>
        <family val="2"/>
      </rPr>
      <t xml:space="preserve">轉換＋新簽約</t>
    </r>
  </si>
  <si>
    <t xml:space="preserve">非算力服務</t>
  </si>
  <si>
    <t xml:space="preserve">傳統事業</t>
  </si>
  <si>
    <r>
      <rPr>
        <sz val="9"/>
        <color rgb="FF595959"/>
        <rFont val="Arial"/>
        <family val="0"/>
        <charset val="1"/>
      </rPr>
      <t xml:space="preserve">SaaS</t>
    </r>
    <r>
      <rPr>
        <sz val="9"/>
        <color rgb="FF595959"/>
        <rFont val="Noto Sans CJK SC"/>
        <family val="2"/>
      </rPr>
      <t xml:space="preserve">、軟體、硬體、服務（</t>
    </r>
    <r>
      <rPr>
        <sz val="9"/>
        <color rgb="FF595959"/>
        <rFont val="Arial"/>
        <family val="0"/>
        <charset val="1"/>
      </rPr>
      <t xml:space="preserve">v0.1b</t>
    </r>
    <r>
      <rPr>
        <sz val="9"/>
        <color rgb="FF595959"/>
        <rFont val="Noto Sans CJK SC"/>
        <family val="2"/>
      </rPr>
      <t xml:space="preserve">）</t>
    </r>
  </si>
  <si>
    <t xml:space="preserve">總營收</t>
  </si>
  <si>
    <t xml:space="preserve">延誤罰則（服務抵減，營業費用）</t>
  </si>
  <si>
    <r>
      <rPr>
        <sz val="10"/>
        <rFont val="Noto Sans CJK SC"/>
        <family val="2"/>
      </rPr>
      <t xml:space="preserve">營業利益（</t>
    </r>
    <r>
      <rPr>
        <sz val="10"/>
        <rFont val="Arial"/>
        <family val="0"/>
        <charset val="1"/>
      </rPr>
      <t xml:space="preserve">EBIT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</si>
  <si>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Noto Sans CJK SC"/>
        <family val="2"/>
      </rPr>
      <t xml:space="preserve">算力＋服務營收</t>
    </r>
    <r>
      <rPr>
        <sz val="9"/>
        <color rgb="FF595959"/>
        <rFont val="Arial"/>
        <family val="0"/>
        <charset val="1"/>
      </rPr>
      <t xml:space="preserve">)×EBITDA </t>
    </r>
    <r>
      <rPr>
        <sz val="9"/>
        <color rgb="FF595959"/>
        <rFont val="Noto Sans CJK SC"/>
        <family val="2"/>
      </rPr>
      <t xml:space="preserve">率＋其他事業 </t>
    </r>
    <r>
      <rPr>
        <sz val="9"/>
        <color rgb="FF595959"/>
        <rFont val="Arial"/>
        <family val="0"/>
        <charset val="1"/>
      </rPr>
      <t xml:space="preserve">EBITDA</t>
    </r>
    <r>
      <rPr>
        <sz val="9"/>
        <color rgb="FF595959"/>
        <rFont val="Noto Sans CJK SC"/>
        <family val="2"/>
      </rPr>
      <t xml:space="preserve">＋傳統事業 </t>
    </r>
    <r>
      <rPr>
        <sz val="9"/>
        <color rgb="FF595959"/>
        <rFont val="Arial"/>
        <family val="0"/>
        <charset val="1"/>
      </rPr>
      <t xml:space="preserve">EBITDA − </t>
    </r>
    <r>
      <rPr>
        <sz val="9"/>
        <color rgb="FF595959"/>
        <rFont val="Noto Sans CJK SC"/>
        <family val="2"/>
      </rPr>
      <t xml:space="preserve">延誤罰則 − 車隊 </t>
    </r>
    <r>
      <rPr>
        <sz val="9"/>
        <color rgb="FF595959"/>
        <rFont val="Arial"/>
        <family val="0"/>
        <charset val="1"/>
      </rPr>
      <t xml:space="preserve">D&amp;A</t>
    </r>
  </si>
  <si>
    <t xml:space="preserve">利息（含瀑布新債）</t>
  </si>
  <si>
    <t xml:space="preserve">預付財務組成利息（非現金）</t>
  </si>
  <si>
    <r>
      <rPr>
        <sz val="9"/>
        <color rgb="FF595959"/>
        <rFont val="Noto Sans CJK SC"/>
        <family val="2"/>
      </rPr>
      <t xml:space="preserve">客戶預付的重大財務組成：合約負債以隱含利率累積的利息（</t>
    </r>
    <r>
      <rPr>
        <sz val="9"/>
        <color rgb="FF595959"/>
        <rFont val="Arial"/>
        <family val="0"/>
        <charset val="1"/>
      </rPr>
      <t xml:space="preserve">v0.1b</t>
    </r>
    <r>
      <rPr>
        <sz val="9"/>
        <color rgb="FF595959"/>
        <rFont val="Noto Sans CJK SC"/>
        <family val="2"/>
      </rPr>
      <t xml:space="preserve">）</t>
    </r>
  </si>
  <si>
    <t xml:space="preserve">稅前損益</t>
  </si>
  <si>
    <r>
      <rPr>
        <sz val="10"/>
        <rFont val="Arial"/>
        <family val="0"/>
        <charset val="1"/>
      </rPr>
      <t xml:space="preserve">NOL </t>
    </r>
    <r>
      <rPr>
        <sz val="10"/>
        <rFont val="Noto Sans CJK SC"/>
        <family val="2"/>
      </rPr>
      <t xml:space="preserve">期初餘額</t>
    </r>
  </si>
  <si>
    <r>
      <rPr>
        <sz val="9"/>
        <color rgb="FF595959"/>
        <rFont val="Arial"/>
        <family val="0"/>
        <charset val="1"/>
      </rPr>
      <t xml:space="preserve">8/31 </t>
    </r>
    <r>
      <rPr>
        <sz val="9"/>
        <color rgb="FF595959"/>
        <rFont val="Noto Sans CJK SC"/>
        <family val="2"/>
      </rPr>
      <t xml:space="preserve">累積虧損約 </t>
    </r>
    <r>
      <rPr>
        <sz val="9"/>
        <color rgb="FF595959"/>
        <rFont val="Arial"/>
        <family val="0"/>
        <charset val="1"/>
      </rPr>
      <t xml:space="preserve">0.0</t>
    </r>
  </si>
  <si>
    <r>
      <rPr>
        <sz val="10"/>
        <rFont val="Noto Sans CJK SC"/>
        <family val="2"/>
      </rPr>
      <t xml:space="preserve">　本期動用 </t>
    </r>
    <r>
      <rPr>
        <sz val="10"/>
        <rFont val="Arial"/>
        <family val="0"/>
        <charset val="1"/>
      </rPr>
      <t xml:space="preserve">NOL</t>
    </r>
  </si>
  <si>
    <r>
      <rPr>
        <sz val="9"/>
        <color rgb="FF595959"/>
        <rFont val="Noto Sans CJK SC"/>
        <family val="2"/>
      </rPr>
      <t xml:space="preserve">美國規定：抵扣上限為應稅所得 </t>
    </r>
    <r>
      <rPr>
        <sz val="9"/>
        <color rgb="FF595959"/>
        <rFont val="Arial"/>
        <family val="0"/>
        <charset val="1"/>
      </rPr>
      <t xml:space="preserve">80%</t>
    </r>
  </si>
  <si>
    <r>
      <rPr>
        <sz val="10"/>
        <rFont val="Arial"/>
        <family val="0"/>
        <charset val="1"/>
      </rPr>
      <t xml:space="preserve">NOL </t>
    </r>
    <r>
      <rPr>
        <sz val="10"/>
        <rFont val="Noto Sans CJK SC"/>
        <family val="2"/>
      </rPr>
      <t xml:space="preserve">期末餘額</t>
    </r>
  </si>
  <si>
    <t xml:space="preserve">所得稅</t>
  </si>
  <si>
    <t xml:space="preserve">虧損年不認列稅盾（與公司評價備抵一致）</t>
  </si>
  <si>
    <t xml:space="preserve">淨利</t>
  </si>
  <si>
    <t xml:space="preserve">車隊折舊，見輸入頁</t>
  </si>
  <si>
    <t xml:space="preserve">EBITDA</t>
  </si>
  <si>
    <r>
      <rPr>
        <sz val="10"/>
        <rFont val="Noto Sans CJK SC"/>
        <family val="2"/>
      </rPr>
      <t xml:space="preserve">　基礎股數（每年 </t>
    </r>
    <r>
      <rPr>
        <sz val="10"/>
        <rFont val="Arial"/>
        <family val="0"/>
        <charset val="1"/>
      </rPr>
      <t xml:space="preserve">+SBC </t>
    </r>
    <r>
      <rPr>
        <sz val="10"/>
        <rFont val="Noto Sans CJK SC"/>
        <family val="2"/>
      </rPr>
      <t xml:space="preserve">稀釋）</t>
    </r>
  </si>
  <si>
    <r>
      <rPr>
        <sz val="9"/>
        <color rgb="FF595959"/>
        <rFont val="Arial"/>
        <family val="0"/>
        <charset val="1"/>
      </rPr>
      <t xml:space="preserve">FY27</t>
    </r>
    <r>
      <rPr>
        <sz val="9"/>
        <color rgb="FF595959"/>
        <rFont val="Noto Sans CJK SC"/>
        <family val="2"/>
      </rPr>
      <t xml:space="preserve">＝評價股數（含價內可轉債轉股，見『評價</t>
    </r>
    <r>
      <rPr>
        <sz val="9"/>
        <color rgb="FF595959"/>
        <rFont val="Arial"/>
        <family val="0"/>
        <charset val="1"/>
      </rPr>
      <t xml:space="preserve">_DCF</t>
    </r>
    <r>
      <rPr>
        <sz val="9"/>
        <color rgb="FF595959"/>
        <rFont val="Noto Sans CJK SC"/>
        <family val="2"/>
      </rPr>
      <t xml:space="preserve">與目標價』可轉債區）；之後每年 </t>
    </r>
    <r>
      <rPr>
        <sz val="9"/>
        <color rgb="FF595959"/>
        <rFont val="Arial"/>
        <family val="0"/>
        <charset val="1"/>
      </rPr>
      <t xml:space="preserve">×(1</t>
    </r>
    <r>
      <rPr>
        <sz val="9"/>
        <color rgb="FF595959"/>
        <rFont val="Noto Sans CJK SC"/>
        <family val="2"/>
      </rPr>
      <t xml:space="preserve">＋股數年增</t>
    </r>
    <r>
      <rPr>
        <sz val="9"/>
        <color rgb="FF595959"/>
        <rFont val="Arial"/>
        <family val="0"/>
        <charset val="1"/>
      </rPr>
      <t xml:space="preserve">)</t>
    </r>
  </si>
  <si>
    <t xml:space="preserve">股數（含瀑布新股）</t>
  </si>
  <si>
    <t xml:space="preserve">＝基礎股數＋累計瀑布新股</t>
  </si>
  <si>
    <r>
      <rPr>
        <sz val="10"/>
        <rFont val="Noto Sans CJK SC"/>
        <family val="2"/>
      </rPr>
      <t xml:space="preserve">每股盈餘（</t>
    </r>
    <r>
      <rPr>
        <sz val="10"/>
        <rFont val="Arial"/>
        <family val="0"/>
        <charset val="1"/>
      </rPr>
      <t xml:space="preserve">EPS</t>
    </r>
    <r>
      <rPr>
        <sz val="10"/>
        <rFont val="Noto Sans CJK SC"/>
        <family val="2"/>
      </rPr>
      <t xml:space="preserve">，模型期）</t>
    </r>
  </si>
  <si>
    <r>
      <rPr>
        <sz val="9"/>
        <color rgb="FF595959"/>
        <rFont val="Arial"/>
        <family val="0"/>
        <charset val="1"/>
      </rPr>
      <t xml:space="preserve">FY27 </t>
    </r>
    <r>
      <rPr>
        <sz val="9"/>
        <color rgb="FF595959"/>
        <rFont val="Noto Sans CJK SC"/>
        <family val="2"/>
      </rPr>
      <t xml:space="preserve">欄只含第 </t>
    </r>
    <r>
      <rPr>
        <sz val="9"/>
        <color rgb="FF595959"/>
        <rFont val="Arial"/>
        <family val="0"/>
        <charset val="1"/>
      </rPr>
      <t xml:space="preserve">2–4 </t>
    </r>
    <r>
      <rPr>
        <sz val="9"/>
        <color rgb="FF595959"/>
        <rFont val="Noto Sans CJK SC"/>
        <family val="2"/>
      </rPr>
      <t xml:space="preserve">季；全年口徑見下方</t>
    </r>
  </si>
  <si>
    <r>
      <rPr>
        <b val="true"/>
        <sz val="10"/>
        <rFont val="Noto Sans CJK SC"/>
        <family val="2"/>
      </rPr>
      <t xml:space="preserve">損益表（全年口徑；</t>
    </r>
    <r>
      <rPr>
        <b val="true"/>
        <sz val="10"/>
        <rFont val="Arial"/>
        <family val="0"/>
        <charset val="1"/>
      </rPr>
      <t xml:space="preserve">FY27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1Q </t>
    </r>
    <r>
      <rPr>
        <b val="true"/>
        <sz val="10"/>
        <rFont val="Noto Sans CJK SC"/>
        <family val="2"/>
      </rPr>
      <t xml:space="preserve">實際＋第 </t>
    </r>
    <r>
      <rPr>
        <b val="true"/>
        <sz val="10"/>
        <rFont val="Arial"/>
        <family val="0"/>
        <charset val="1"/>
      </rPr>
      <t xml:space="preserve">2–4 </t>
    </r>
    <r>
      <rPr>
        <b val="true"/>
        <sz val="10"/>
        <rFont val="Noto Sans CJK SC"/>
        <family val="2"/>
      </rPr>
      <t xml:space="preserve">季模型；與 </t>
    </r>
    <r>
      <rPr>
        <b val="true"/>
        <sz val="10"/>
        <rFont val="Arial"/>
        <family val="0"/>
        <charset val="1"/>
      </rPr>
      <t xml:space="preserve">HTML </t>
    </r>
    <r>
      <rPr>
        <b val="true"/>
        <sz val="10"/>
        <rFont val="Noto Sans CJK SC"/>
        <family val="2"/>
      </rPr>
      <t xml:space="preserve">損益簡表一致）</t>
    </r>
  </si>
  <si>
    <r>
      <rPr>
        <sz val="10"/>
        <rFont val="Arial"/>
        <family val="0"/>
        <charset val="1"/>
      </rPr>
      <t xml:space="preserve">1Q27 </t>
    </r>
    <r>
      <rPr>
        <sz val="10"/>
        <rFont val="Noto Sans CJK SC"/>
        <family val="2"/>
      </rPr>
      <t xml:space="preserve">實際營收（已實現）</t>
    </r>
  </si>
  <si>
    <t xml:space="preserve">全年總營收</t>
  </si>
  <si>
    <r>
      <rPr>
        <sz val="9"/>
        <color rgb="FF595959"/>
        <rFont val="Arial"/>
        <family val="0"/>
        <charset val="1"/>
      </rPr>
      <t xml:space="preserve">FY27 </t>
    </r>
    <r>
      <rPr>
        <sz val="9"/>
        <color rgb="FF595959"/>
        <rFont val="Noto Sans CJK SC"/>
        <family val="2"/>
      </rPr>
      <t xml:space="preserve">可對照指引 ≥</t>
    </r>
    <r>
      <rPr>
        <sz val="9"/>
        <color rgb="FF595959"/>
        <rFont val="Arial"/>
        <family val="0"/>
        <charset val="1"/>
      </rPr>
      <t xml:space="preserve">90</t>
    </r>
  </si>
  <si>
    <r>
      <rPr>
        <sz val="10"/>
        <rFont val="Noto Sans CJK SC"/>
        <family val="2"/>
      </rPr>
      <t xml:space="preserve">營收 </t>
    </r>
    <r>
      <rPr>
        <sz val="10"/>
        <rFont val="Arial"/>
        <family val="0"/>
        <charset val="1"/>
      </rPr>
      <t xml:space="preserve">YoY</t>
    </r>
  </si>
  <si>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Noto Sans CJK SC"/>
        <family val="2"/>
      </rPr>
      <t xml:space="preserve">實際 </t>
    </r>
    <r>
      <rPr>
        <sz val="9"/>
        <color rgb="FF595959"/>
        <rFont val="Arial"/>
        <family val="0"/>
        <charset val="1"/>
      </rPr>
      <t xml:space="preserve">67.357</t>
    </r>
  </si>
  <si>
    <r>
      <rPr>
        <sz val="10"/>
        <rFont val="Noto Sans CJK SC"/>
        <family val="2"/>
      </rPr>
      <t xml:space="preserve">全年 </t>
    </r>
    <r>
      <rPr>
        <sz val="10"/>
        <rFont val="Arial"/>
        <family val="0"/>
        <charset val="1"/>
      </rPr>
      <t xml:space="preserve">GAAP </t>
    </r>
    <r>
      <rPr>
        <sz val="10"/>
        <rFont val="Noto Sans CJK SC"/>
        <family val="2"/>
      </rPr>
      <t xml:space="preserve">營業利益</t>
    </r>
  </si>
  <si>
    <t xml:space="preserve">營利率</t>
  </si>
  <si>
    <r>
      <rPr>
        <sz val="10"/>
        <rFont val="Noto Sans CJK SC"/>
        <family val="2"/>
      </rPr>
      <t xml:space="preserve">全年 </t>
    </r>
    <r>
      <rPr>
        <sz val="10"/>
        <rFont val="Arial"/>
        <family val="0"/>
        <charset val="1"/>
      </rPr>
      <t xml:space="preserve">D&amp;A</t>
    </r>
  </si>
  <si>
    <r>
      <rPr>
        <sz val="9"/>
        <color rgb="FF595959"/>
        <rFont val="Arial"/>
        <family val="0"/>
        <charset val="1"/>
      </rPr>
      <t xml:space="preserve">1Q </t>
    </r>
    <r>
      <rPr>
        <sz val="9"/>
        <color rgb="FF595959"/>
        <rFont val="Noto Sans CJK SC"/>
        <family val="2"/>
      </rPr>
      <t xml:space="preserve">實際 </t>
    </r>
    <r>
      <rPr>
        <sz val="9"/>
        <color rgb="FF595959"/>
        <rFont val="Arial"/>
        <family val="0"/>
        <charset val="1"/>
      </rPr>
      <t xml:space="preserve">3.358</t>
    </r>
  </si>
  <si>
    <r>
      <rPr>
        <b val="true"/>
        <sz val="10"/>
        <rFont val="Noto Sans CJK SC"/>
        <family val="2"/>
      </rPr>
      <t xml:space="preserve">全年 </t>
    </r>
    <r>
      <rPr>
        <b val="true"/>
        <sz val="10"/>
        <rFont val="Arial"/>
        <family val="0"/>
        <charset val="1"/>
      </rPr>
      <t xml:space="preserve">EBITDA</t>
    </r>
  </si>
  <si>
    <t xml:space="preserve">全年利息（含瀑布新債）</t>
  </si>
  <si>
    <r>
      <rPr>
        <sz val="9"/>
        <color rgb="FF595959"/>
        <rFont val="Arial"/>
        <family val="0"/>
        <charset val="1"/>
      </rPr>
      <t xml:space="preserve">FY27 </t>
    </r>
    <r>
      <rPr>
        <sz val="9"/>
        <color rgb="FF595959"/>
        <rFont val="Noto Sans CJK SC"/>
        <family val="2"/>
      </rPr>
      <t xml:space="preserve">起瀑布新債利息（</t>
    </r>
    <r>
      <rPr>
        <sz val="9"/>
        <color rgb="FF595959"/>
        <rFont val="Arial"/>
        <family val="0"/>
        <charset val="1"/>
      </rPr>
      <t xml:space="preserve">9%</t>
    </r>
    <r>
      <rPr>
        <sz val="9"/>
        <color rgb="FF595959"/>
        <rFont val="Noto Sans CJK SC"/>
        <family val="2"/>
      </rPr>
      <t xml:space="preserve">）與新股同時影響 </t>
    </r>
    <r>
      <rPr>
        <sz val="9"/>
        <color rgb="FF595959"/>
        <rFont val="Arial"/>
        <family val="0"/>
        <charset val="1"/>
      </rPr>
      <t xml:space="preserve">EPS</t>
    </r>
  </si>
  <si>
    <t xml:space="preserve">全年淨利</t>
  </si>
  <si>
    <t xml:space="preserve">淨利率</t>
  </si>
  <si>
    <r>
      <rPr>
        <b val="true"/>
        <sz val="10"/>
        <rFont val="Noto Sans CJK SC"/>
        <family val="2"/>
      </rPr>
      <t xml:space="preserve">全年 </t>
    </r>
    <r>
      <rPr>
        <b val="true"/>
        <sz val="10"/>
        <rFont val="Arial"/>
        <family val="0"/>
        <charset val="1"/>
      </rPr>
      <t xml:space="preserve">GAAP EPS</t>
    </r>
  </si>
  <si>
    <r>
      <rPr>
        <sz val="9"/>
        <color rgb="FF595959"/>
        <rFont val="Arial"/>
        <family val="0"/>
        <charset val="1"/>
      </rPr>
      <t xml:space="preserve">FY27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1Q </t>
    </r>
    <r>
      <rPr>
        <sz val="9"/>
        <color rgb="FF595959"/>
        <rFont val="Noto Sans CJK SC"/>
        <family val="2"/>
      </rPr>
      <t xml:space="preserve">實際 </t>
    </r>
    <r>
      <rPr>
        <sz val="9"/>
        <color rgb="FF595959"/>
        <rFont val="Arial"/>
        <family val="0"/>
        <charset val="1"/>
      </rPr>
      <t xml:space="preserve">EPS 1.56</t>
    </r>
    <r>
      <rPr>
        <sz val="9"/>
        <color rgb="FF595959"/>
        <rFont val="Noto Sans CJK SC"/>
        <family val="2"/>
      </rPr>
      <t xml:space="preserve">＋第 </t>
    </r>
    <r>
      <rPr>
        <sz val="9"/>
        <color rgb="FF595959"/>
        <rFont val="Arial"/>
        <family val="0"/>
        <charset val="1"/>
      </rPr>
      <t xml:space="preserve">2–4 </t>
    </r>
    <r>
      <rPr>
        <sz val="9"/>
        <color rgb="FF595959"/>
        <rFont val="Noto Sans CJK SC"/>
        <family val="2"/>
      </rPr>
      <t xml:space="preserve">季淨利</t>
    </r>
    <r>
      <rPr>
        <sz val="9"/>
        <color rgb="FF595959"/>
        <rFont val="Arial"/>
        <family val="0"/>
        <charset val="1"/>
      </rPr>
      <t xml:space="preserve">÷</t>
    </r>
    <r>
      <rPr>
        <sz val="9"/>
        <color rgb="FF595959"/>
        <rFont val="Noto Sans CJK SC"/>
        <family val="2"/>
      </rPr>
      <t xml:space="preserve">股數</t>
    </r>
  </si>
  <si>
    <r>
      <rPr>
        <sz val="10"/>
        <rFont val="Noto Sans CJK SC"/>
        <family val="2"/>
      </rPr>
      <t xml:space="preserve">全年 </t>
    </r>
    <r>
      <rPr>
        <sz val="10"/>
        <rFont val="Arial"/>
        <family val="0"/>
        <charset val="1"/>
      </rPr>
      <t xml:space="preserve">EPS</t>
    </r>
    <r>
      <rPr>
        <sz val="10"/>
        <rFont val="Noto Sans CJK SC"/>
        <family val="2"/>
      </rPr>
      <t xml:space="preserve">（加回 </t>
    </r>
    <r>
      <rPr>
        <sz val="10"/>
        <rFont val="Arial"/>
        <family val="0"/>
        <charset val="1"/>
      </rPr>
      <t xml:space="preserve">SBC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</si>
  <si>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Noto Sans CJK SC"/>
        <family val="2"/>
      </rPr>
      <t xml:space="preserve">淨利＋</t>
    </r>
    <r>
      <rPr>
        <sz val="9"/>
        <color rgb="FF595959"/>
        <rFont val="Arial"/>
        <family val="0"/>
        <charset val="1"/>
      </rPr>
      <t xml:space="preserve">SBC)÷</t>
    </r>
    <r>
      <rPr>
        <sz val="9"/>
        <color rgb="FF595959"/>
        <rFont val="Noto Sans CJK SC"/>
        <family val="2"/>
      </rPr>
      <t xml:space="preserve">股數；</t>
    </r>
    <r>
      <rPr>
        <sz val="9"/>
        <color rgb="FF595959"/>
        <rFont val="Arial"/>
        <family val="0"/>
        <charset val="1"/>
      </rPr>
      <t xml:space="preserve">NOL </t>
    </r>
    <r>
      <rPr>
        <sz val="9"/>
        <color rgb="FF595959"/>
        <rFont val="Noto Sans CJK SC"/>
        <family val="2"/>
      </rPr>
      <t xml:space="preserve">狀態無現金稅，</t>
    </r>
    <r>
      <rPr>
        <sz val="9"/>
        <color rgb="FF595959"/>
        <rFont val="Arial"/>
        <family val="0"/>
        <charset val="1"/>
      </rPr>
      <t xml:space="preserve">SBC </t>
    </r>
    <r>
      <rPr>
        <sz val="9"/>
        <color rgb="FF595959"/>
        <rFont val="Noto Sans CJK SC"/>
        <family val="2"/>
      </rPr>
      <t xml:space="preserve">全額加回</t>
    </r>
  </si>
  <si>
    <r>
      <rPr>
        <b val="true"/>
        <sz val="14"/>
        <rFont val="Noto Sans CJK SC"/>
        <family val="2"/>
      </rPr>
      <t xml:space="preserve">評價 — </t>
    </r>
    <r>
      <rPr>
        <b val="true"/>
        <sz val="14"/>
        <rFont val="Arial"/>
        <family val="0"/>
        <charset val="1"/>
      </rPr>
      <t xml:space="preserve">DCF</t>
    </r>
    <r>
      <rPr>
        <b val="true"/>
        <sz val="14"/>
        <rFont val="Noto Sans CJK SC"/>
        <family val="2"/>
      </rPr>
      <t xml:space="preserve">、</t>
    </r>
    <r>
      <rPr>
        <b val="true"/>
        <sz val="14"/>
        <rFont val="Arial"/>
        <family val="0"/>
        <charset val="1"/>
      </rPr>
      <t xml:space="preserve">EV/EBITDA</t>
    </r>
    <r>
      <rPr>
        <b val="true"/>
        <sz val="14"/>
        <rFont val="Noto Sans CJK SC"/>
        <family val="2"/>
      </rPr>
      <t xml:space="preserve">、加權目標價</t>
    </r>
  </si>
  <si>
    <r>
      <rPr>
        <sz val="9"/>
        <color rgb="FF595959"/>
        <rFont val="Noto Sans CJK SC"/>
        <family val="2"/>
      </rPr>
      <t xml:space="preserve">營收、營業利益、</t>
    </r>
    <r>
      <rPr>
        <sz val="9"/>
        <color rgb="FF595959"/>
        <rFont val="Arial"/>
        <family val="0"/>
        <charset val="1"/>
      </rPr>
      <t xml:space="preserve">D&amp;A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EBITDA</t>
    </r>
    <r>
      <rPr>
        <sz val="9"/>
        <color rgb="FF595959"/>
        <rFont val="Noto Sans CJK SC"/>
        <family val="2"/>
      </rPr>
      <t xml:space="preserve">、股數引用『損益』頁；</t>
    </r>
    <r>
      <rPr>
        <sz val="9"/>
        <color rgb="FF595959"/>
        <rFont val="Arial"/>
        <family val="0"/>
        <charset val="1"/>
      </rPr>
      <t xml:space="preserve">Cash CapEx </t>
    </r>
    <r>
      <rPr>
        <sz val="9"/>
        <color rgb="FF595959"/>
        <rFont val="Noto Sans CJK SC"/>
        <family val="2"/>
      </rPr>
      <t xml:space="preserve">與融資引用『各期收支』頁</t>
    </r>
  </si>
  <si>
    <r>
      <rPr>
        <b val="true"/>
        <sz val="10"/>
        <rFont val="Arial"/>
        <family val="0"/>
        <charset val="1"/>
      </rPr>
      <t xml:space="preserve">DCF</t>
    </r>
    <r>
      <rPr>
        <b val="true"/>
        <sz val="10"/>
        <rFont val="Noto Sans CJK SC"/>
        <family val="2"/>
      </rPr>
      <t xml:space="preserve">（無槓桿自由現金流；起點為 </t>
    </r>
    <r>
      <rPr>
        <b val="true"/>
        <sz val="10"/>
        <rFont val="Arial"/>
        <family val="0"/>
        <charset val="1"/>
      </rPr>
      <t xml:space="preserve">2026-08-31</t>
    </r>
    <r>
      <rPr>
        <b val="true"/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</si>
  <si>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現金 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2026-08-31 </t>
    </r>
    <r>
      <rPr>
        <sz val="10"/>
        <rFont val="Noto Sans CJK SC"/>
        <family val="2"/>
      </rPr>
      <t xml:space="preserve">之後）</t>
    </r>
  </si>
  <si>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Noto Sans CJK SC"/>
        <family val="2"/>
      </rPr>
      <t xml:space="preserve">起點為 </t>
    </r>
    <r>
      <rPr>
        <sz val="9"/>
        <color rgb="FF595959"/>
        <rFont val="Arial"/>
        <family val="0"/>
        <charset val="1"/>
      </rPr>
      <t xml:space="preserve">8/31</t>
    </r>
    <r>
      <rPr>
        <sz val="9"/>
        <color rgb="FF595959"/>
        <rFont val="Noto Sans CJK SC"/>
        <family val="2"/>
      </rPr>
      <t xml:space="preserve">，故 </t>
    </r>
    <r>
      <rPr>
        <sz val="9"/>
        <color rgb="FF595959"/>
        <rFont val="Arial"/>
        <family val="0"/>
        <charset val="1"/>
      </rPr>
      <t xml:space="preserve">FY27 </t>
    </r>
    <r>
      <rPr>
        <sz val="9"/>
        <color rgb="FF595959"/>
        <rFont val="Noto Sans CJK SC"/>
        <family val="2"/>
      </rPr>
      <t xml:space="preserve">欄只含 </t>
    </r>
    <r>
      <rPr>
        <sz val="9"/>
        <color rgb="FF595959"/>
        <rFont val="Arial"/>
        <family val="0"/>
        <charset val="1"/>
      </rPr>
      <t xml:space="preserve">2Q–4Q </t>
    </r>
    <r>
      <rPr>
        <sz val="9"/>
        <color rgb="FF595959"/>
        <rFont val="Noto Sans CJK SC"/>
        <family val="2"/>
      </rPr>
      <t xml:space="preserve">的建置支出，不含 </t>
    </r>
    <r>
      <rPr>
        <sz val="9"/>
        <color rgb="FF595959"/>
        <rFont val="Arial"/>
        <family val="0"/>
        <charset val="1"/>
      </rPr>
      <t xml:space="preserve">1Q </t>
    </r>
    <r>
      <rPr>
        <sz val="9"/>
        <color rgb="FF595959"/>
        <rFont val="Noto Sans CJK SC"/>
        <family val="2"/>
      </rPr>
      <t xml:space="preserve">已發生的 </t>
    </r>
    <r>
      <rPr>
        <sz val="9"/>
        <color rgb="FF595959"/>
        <rFont val="Arial"/>
        <family val="0"/>
        <charset val="1"/>
      </rPr>
      <t xml:space="preserve">28.499</t>
    </r>
  </si>
  <si>
    <t xml:space="preserve">比較基期營收</t>
  </si>
  <si>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Noto Sans CJK SC"/>
        <family val="2"/>
      </rPr>
      <t xml:space="preserve">實際 </t>
    </r>
    <r>
      <rPr>
        <sz val="9"/>
        <color rgb="FF595959"/>
        <rFont val="Arial"/>
        <family val="0"/>
        <charset val="1"/>
      </rPr>
      <t xml:space="preserve">67.357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FY28 </t>
    </r>
    <r>
      <rPr>
        <sz val="9"/>
        <color rgb="FF595959"/>
        <rFont val="Noto Sans CJK SC"/>
        <family val="2"/>
      </rPr>
      <t xml:space="preserve">基期＝</t>
    </r>
    <r>
      <rPr>
        <sz val="9"/>
        <color rgb="FF595959"/>
        <rFont val="Arial"/>
        <family val="0"/>
        <charset val="1"/>
      </rPr>
      <t xml:space="preserve">1Q </t>
    </r>
    <r>
      <rPr>
        <sz val="9"/>
        <color rgb="FF595959"/>
        <rFont val="Noto Sans CJK SC"/>
        <family val="2"/>
      </rPr>
      <t xml:space="preserve">實際 </t>
    </r>
    <r>
      <rPr>
        <sz val="9"/>
        <color rgb="FF595959"/>
        <rFont val="Arial"/>
        <family val="0"/>
        <charset val="1"/>
      </rPr>
      <t xml:space="preserve">19.345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FY27 </t>
    </r>
    <r>
      <rPr>
        <sz val="9"/>
        <color rgb="FF595959"/>
        <rFont val="Noto Sans CJK SC"/>
        <family val="2"/>
      </rPr>
      <t xml:space="preserve">模型期營收</t>
    </r>
  </si>
  <si>
    <t xml:space="preserve">預付認列（非現金營收，扣除）</t>
  </si>
  <si>
    <r>
      <rPr>
        <sz val="9"/>
        <color rgb="FF595959"/>
        <rFont val="Noto Sans CJK SC"/>
        <family val="2"/>
      </rPr>
      <t xml:space="preserve">營收中由合約負債轉入的部分已在預付時收現（預付流入已自現金 </t>
    </r>
    <r>
      <rPr>
        <sz val="9"/>
        <color rgb="FF595959"/>
        <rFont val="Arial"/>
        <family val="0"/>
        <charset val="1"/>
      </rPr>
      <t xml:space="preserve">CapEx </t>
    </r>
    <r>
      <rPr>
        <sz val="9"/>
        <color rgb="FF595959"/>
        <rFont val="Noto Sans CJK SC"/>
        <family val="2"/>
      </rPr>
      <t xml:space="preserve">抵減），</t>
    </r>
    <r>
      <rPr>
        <sz val="9"/>
        <color rgb="FF595959"/>
        <rFont val="Arial"/>
        <family val="0"/>
        <charset val="1"/>
      </rPr>
      <t xml:space="preserve">UFCF </t>
    </r>
    <r>
      <rPr>
        <sz val="9"/>
        <color rgb="FF595959"/>
        <rFont val="Noto Sans CJK SC"/>
        <family val="2"/>
      </rPr>
      <t xml:space="preserve">扣除以免重複（</t>
    </r>
    <r>
      <rPr>
        <sz val="9"/>
        <color rgb="FF595959"/>
        <rFont val="Arial"/>
        <family val="0"/>
        <charset val="1"/>
      </rPr>
      <t xml:space="preserve">v0.1b</t>
    </r>
    <r>
      <rPr>
        <sz val="9"/>
        <color rgb="FF595959"/>
        <rFont val="Noto Sans CJK SC"/>
        <family val="2"/>
      </rPr>
      <t xml:space="preserve">）</t>
    </r>
  </si>
  <si>
    <t xml:space="preserve">營運資金變動</t>
  </si>
  <si>
    <r>
      <rPr>
        <sz val="9"/>
        <color rgb="FF595959"/>
        <rFont val="Noto Sans CJK SC"/>
        <family val="2"/>
      </rPr>
      <t xml:space="preserve">營收增量的 </t>
    </r>
    <r>
      <rPr>
        <sz val="9"/>
        <color rgb="FF595959"/>
        <rFont val="Arial"/>
        <family val="0"/>
        <charset val="1"/>
      </rPr>
      <t xml:space="preserve">2%</t>
    </r>
  </si>
  <si>
    <r>
      <rPr>
        <sz val="10"/>
        <rFont val="Noto Sans CJK SC"/>
        <family val="2"/>
      </rPr>
      <t xml:space="preserve">無槓桿 </t>
    </r>
    <r>
      <rPr>
        <sz val="10"/>
        <rFont val="Arial"/>
        <family val="0"/>
        <charset val="1"/>
      </rPr>
      <t xml:space="preserve">NOL </t>
    </r>
    <r>
      <rPr>
        <sz val="10"/>
        <rFont val="Noto Sans CJK SC"/>
        <family val="2"/>
      </rPr>
      <t xml:space="preserve">期初</t>
    </r>
  </si>
  <si>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Noto Sans CJK SC"/>
        <family val="2"/>
      </rPr>
      <t xml:space="preserve">用無槓桿稅（利息不可抵稅，否則稅盾被計兩次：一次在 </t>
    </r>
    <r>
      <rPr>
        <sz val="9"/>
        <color rgb="FF595959"/>
        <rFont val="Arial"/>
        <family val="0"/>
        <charset val="1"/>
      </rPr>
      <t xml:space="preserve">UFCF</t>
    </r>
    <r>
      <rPr>
        <sz val="9"/>
        <color rgb="FF595959"/>
        <rFont val="Noto Sans CJK SC"/>
        <family val="2"/>
      </rPr>
      <t xml:space="preserve">、一次在 </t>
    </r>
    <r>
      <rPr>
        <sz val="9"/>
        <color rgb="FF595959"/>
        <rFont val="Arial"/>
        <family val="0"/>
        <charset val="1"/>
      </rPr>
      <t xml:space="preserve">WACC</t>
    </r>
    <r>
      <rPr>
        <sz val="9"/>
        <color rgb="FF595959"/>
        <rFont val="Noto Sans CJK SC"/>
        <family val="2"/>
      </rPr>
      <t xml:space="preserve">）</t>
    </r>
  </si>
  <si>
    <t xml:space="preserve">　本期動用（無槓桿）</t>
  </si>
  <si>
    <r>
      <rPr>
        <sz val="10"/>
        <rFont val="Noto Sans CJK SC"/>
        <family val="2"/>
      </rPr>
      <t xml:space="preserve">無槓桿 </t>
    </r>
    <r>
      <rPr>
        <sz val="10"/>
        <rFont val="Arial"/>
        <family val="0"/>
        <charset val="1"/>
      </rPr>
      <t xml:space="preserve">NOL </t>
    </r>
    <r>
      <rPr>
        <sz val="10"/>
        <rFont val="Noto Sans CJK SC"/>
        <family val="2"/>
      </rPr>
      <t xml:space="preserve">期末</t>
    </r>
  </si>
  <si>
    <r>
      <rPr>
        <sz val="10"/>
        <rFont val="Noto Sans CJK SC"/>
        <family val="2"/>
      </rPr>
      <t xml:space="preserve">無槓桿所得稅（</t>
    </r>
    <r>
      <rPr>
        <sz val="10"/>
        <rFont val="Arial"/>
        <family val="0"/>
        <charset val="1"/>
      </rPr>
      <t xml:space="preserve">DCF </t>
    </r>
    <r>
      <rPr>
        <sz val="10"/>
        <rFont val="Noto Sans CJK SC"/>
        <family val="2"/>
      </rPr>
      <t xml:space="preserve">用）</t>
    </r>
  </si>
  <si>
    <r>
      <rPr>
        <sz val="9"/>
        <color rgb="FF595959"/>
        <rFont val="Noto Sans CJK SC"/>
        <family val="2"/>
      </rPr>
      <t xml:space="preserve">與損益表的所得稅不同：此處不扣利息，數字較高，這是 </t>
    </r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Noto Sans CJK SC"/>
        <family val="2"/>
      </rPr>
      <t xml:space="preserve">的正確口徑</t>
    </r>
  </si>
  <si>
    <t xml:space="preserve">UFCF</t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</si>
  <si>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EBIT−</t>
    </r>
    <r>
      <rPr>
        <sz val="9"/>
        <color rgb="FF595959"/>
        <rFont val="Noto Sans CJK SC"/>
        <family val="2"/>
      </rPr>
      <t xml:space="preserve">無槓桿稅＋</t>
    </r>
    <r>
      <rPr>
        <sz val="9"/>
        <color rgb="FF595959"/>
        <rFont val="Arial"/>
        <family val="0"/>
        <charset val="1"/>
      </rPr>
      <t xml:space="preserve">D&amp;A−</t>
    </r>
    <r>
      <rPr>
        <sz val="9"/>
        <color rgb="FF595959"/>
        <rFont val="Noto Sans CJK SC"/>
        <family val="2"/>
      </rPr>
      <t xml:space="preserve">現金 </t>
    </r>
    <r>
      <rPr>
        <sz val="9"/>
        <color rgb="FF595959"/>
        <rFont val="Arial"/>
        <family val="0"/>
        <charset val="1"/>
      </rPr>
      <t xml:space="preserve">CapEx</t>
    </r>
    <r>
      <rPr>
        <sz val="9"/>
        <color rgb="FF595959"/>
        <rFont val="Noto Sans CJK SC"/>
        <family val="2"/>
      </rPr>
      <t xml:space="preserve">（已扣客戶預付）−營運資金−預付認列。建置期全為負是正常的</t>
    </r>
  </si>
  <si>
    <t xml:space="preserve">折現期數</t>
  </si>
  <si>
    <r>
      <rPr>
        <sz val="9"/>
        <color rgb="FF595959"/>
        <rFont val="Noto Sans CJK SC"/>
        <family val="2"/>
      </rPr>
      <t xml:space="preserve">自 </t>
    </r>
    <r>
      <rPr>
        <sz val="9"/>
        <color rgb="FF595959"/>
        <rFont val="Arial"/>
        <family val="0"/>
        <charset val="1"/>
      </rPr>
      <t xml:space="preserve">2026-08-31 </t>
    </r>
    <r>
      <rPr>
        <sz val="9"/>
        <color rgb="FF595959"/>
        <rFont val="Noto Sans CJK SC"/>
        <family val="2"/>
      </rPr>
      <t xml:space="preserve">起算；</t>
    </r>
    <r>
      <rPr>
        <sz val="9"/>
        <color rgb="FF595959"/>
        <rFont val="Arial"/>
        <family val="0"/>
        <charset val="1"/>
      </rPr>
      <t xml:space="preserve">FY27 </t>
    </r>
    <r>
      <rPr>
        <sz val="9"/>
        <color rgb="FF595959"/>
        <rFont val="Noto Sans CJK SC"/>
        <family val="2"/>
      </rPr>
      <t xml:space="preserve">模型期（第 </t>
    </r>
    <r>
      <rPr>
        <sz val="9"/>
        <color rgb="FF595959"/>
        <rFont val="Arial"/>
        <family val="0"/>
        <charset val="1"/>
      </rPr>
      <t xml:space="preserve">2–4 </t>
    </r>
    <r>
      <rPr>
        <sz val="9"/>
        <color rgb="FF595959"/>
        <rFont val="Noto Sans CJK SC"/>
        <family val="2"/>
      </rPr>
      <t xml:space="preserve">季）的現金流平均落在 </t>
    </r>
    <r>
      <rPr>
        <sz val="9"/>
        <color rgb="FF595959"/>
        <rFont val="Arial"/>
        <family val="0"/>
        <charset val="1"/>
      </rPr>
      <t xml:space="preserve">0.75 </t>
    </r>
    <r>
      <rPr>
        <sz val="9"/>
        <color rgb="FF595959"/>
        <rFont val="Noto Sans CJK SC"/>
        <family val="2"/>
      </rPr>
      <t xml:space="preserve">年</t>
    </r>
  </si>
  <si>
    <t xml:space="preserve">折現因子</t>
  </si>
  <si>
    <r>
      <rPr>
        <sz val="10"/>
        <rFont val="Arial"/>
        <family val="0"/>
        <charset val="1"/>
      </rPr>
      <t xml:space="preserve">UFCF </t>
    </r>
    <r>
      <rPr>
        <sz val="10"/>
        <rFont val="Noto Sans CJK SC"/>
        <family val="2"/>
      </rPr>
      <t xml:space="preserve">現值</t>
    </r>
  </si>
  <si>
    <r>
      <rPr>
        <sz val="10"/>
        <rFont val="Noto Sans CJK SC"/>
        <family val="2"/>
      </rPr>
      <t xml:space="preserve">五期 </t>
    </r>
    <r>
      <rPr>
        <sz val="10"/>
        <rFont val="Arial"/>
        <family val="0"/>
        <charset val="1"/>
      </rPr>
      <t xml:space="preserve">UFCF </t>
    </r>
    <r>
      <rPr>
        <sz val="10"/>
        <rFont val="Noto Sans CJK SC"/>
        <family val="2"/>
      </rPr>
      <t xml:space="preserve">現值合計</t>
    </r>
  </si>
  <si>
    <t xml:space="preserve">建置期現金流現值</t>
  </si>
  <si>
    <r>
      <rPr>
        <sz val="10"/>
        <rFont val="Noto Sans CJK SC"/>
        <family val="2"/>
      </rPr>
      <t xml:space="preserve">終值基準 </t>
    </r>
    <r>
      <rPr>
        <sz val="10"/>
        <rFont val="Arial"/>
        <family val="0"/>
        <charset val="1"/>
      </rPr>
      <t xml:space="preserve">FCF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FY31 UFCF</t>
    </r>
    <r>
      <rPr>
        <sz val="10"/>
        <rFont val="Noto Sans CJK SC"/>
        <family val="2"/>
      </rPr>
      <t xml:space="preserve">，含汰換 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</si>
  <si>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v0.1c</t>
    </r>
    <r>
      <rPr>
        <sz val="9"/>
        <color rgb="FF595959"/>
        <rFont val="Noto Sans CJK SC"/>
        <family val="2"/>
      </rPr>
      <t xml:space="preserve">：終值基準＝末期 </t>
    </r>
    <r>
      <rPr>
        <sz val="9"/>
        <color rgb="FF595959"/>
        <rFont val="Arial"/>
        <family val="0"/>
        <charset val="1"/>
      </rPr>
      <t xml:space="preserve">UFCF</t>
    </r>
    <r>
      <rPr>
        <sz val="9"/>
        <color rgb="FF595959"/>
        <rFont val="Noto Sans CJK SC"/>
        <family val="2"/>
      </rPr>
      <t xml:space="preserve">（含穩態汰換 </t>
    </r>
    <r>
      <rPr>
        <sz val="9"/>
        <color rgb="FF595959"/>
        <rFont val="Arial"/>
        <family val="0"/>
        <charset val="1"/>
      </rPr>
      <t xml:space="preserve">CapEx</t>
    </r>
    <r>
      <rPr>
        <sz val="9"/>
        <color rgb="FF595959"/>
        <rFont val="Noto Sans CJK SC"/>
        <family val="2"/>
      </rPr>
      <t xml:space="preserve">，已扣客戶預付覆蓋）＋加回末期成長型 </t>
    </r>
    <r>
      <rPr>
        <sz val="9"/>
        <color rgb="FF595959"/>
        <rFont val="Arial"/>
        <family val="0"/>
        <charset val="1"/>
      </rPr>
      <t xml:space="preserve">CapEx</t>
    </r>
    <r>
      <rPr>
        <sz val="9"/>
        <color rgb="FF595959"/>
        <rFont val="Noto Sans CJK SC"/>
        <family val="2"/>
      </rPr>
      <t xml:space="preserve">（扣預付後；成長由 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表達，預設情境為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不是永續資產，終值年須持續再投資</t>
    </r>
  </si>
  <si>
    <r>
      <rPr>
        <sz val="10"/>
        <rFont val="Noto Sans CJK SC"/>
        <family val="2"/>
      </rPr>
      <t xml:space="preserve">終值（</t>
    </r>
    <r>
      <rPr>
        <sz val="10"/>
        <rFont val="Arial"/>
        <family val="0"/>
        <charset val="1"/>
      </rPr>
      <t xml:space="preserve">Gordon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</si>
  <si>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＝常態化 </t>
    </r>
    <r>
      <rPr>
        <sz val="9"/>
        <color rgb="FF595959"/>
        <rFont val="Arial"/>
        <family val="0"/>
        <charset val="1"/>
      </rPr>
      <t xml:space="preserve">FCF×(1+g)÷(WACC−g)</t>
    </r>
  </si>
  <si>
    <t xml:space="preserve">終值現值</t>
  </si>
  <si>
    <r>
      <rPr>
        <sz val="10"/>
        <rFont val="Noto Sans CJK SC"/>
        <family val="2"/>
      </rPr>
      <t xml:space="preserve">企業價值 </t>
    </r>
    <r>
      <rPr>
        <sz val="10"/>
        <rFont val="Arial"/>
        <family val="0"/>
        <charset val="1"/>
      </rPr>
      <t xml:space="preserve">EV</t>
    </r>
  </si>
  <si>
    <t xml:space="preserve">減：淨負債</t>
  </si>
  <si>
    <t xml:space="preserve">＝評價淨負債（不含可轉債的淨負債＋債務處理可轉債到期本金＋調整項；見下方可轉債區）</t>
  </si>
  <si>
    <t xml:space="preserve">股權價值</t>
  </si>
  <si>
    <r>
      <rPr>
        <b val="true"/>
        <sz val="10"/>
        <rFont val="Arial"/>
        <family val="0"/>
        <charset val="1"/>
      </rPr>
      <t xml:space="preserve">DCF </t>
    </r>
    <r>
      <rPr>
        <b val="true"/>
        <sz val="10"/>
        <rFont val="Noto Sans CJK SC"/>
        <family val="2"/>
      </rPr>
      <t xml:space="preserve">每股</t>
    </r>
  </si>
  <si>
    <r>
      <rPr>
        <sz val="9"/>
        <color rgb="FF595959"/>
        <rFont val="Noto Sans CJK SC"/>
        <family val="2"/>
      </rPr>
      <t xml:space="preserve">採用值：失效時為 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且權重歸零；否則依「</t>
    </r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Noto Sans CJK SC"/>
        <family val="2"/>
      </rPr>
      <t xml:space="preserve">下限方式」取 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截斷或選擇權</t>
    </r>
  </si>
  <si>
    <r>
      <rPr>
        <sz val="10"/>
        <rFont val="Noto Sans CJK SC"/>
        <family val="2"/>
      </rPr>
      <t xml:space="preserve">終值占 </t>
    </r>
    <r>
      <rPr>
        <sz val="10"/>
        <rFont val="Arial"/>
        <family val="0"/>
        <charset val="1"/>
      </rPr>
      <t xml:space="preserve">EV </t>
    </r>
    <r>
      <rPr>
        <sz val="10"/>
        <rFont val="Noto Sans CJK SC"/>
        <family val="2"/>
      </rPr>
      <t xml:space="preserve">比重</t>
    </r>
  </si>
  <si>
    <t xml:space="preserve">新股募得現金（現值）</t>
  </si>
  <si>
    <r>
      <rPr>
        <sz val="9"/>
        <color rgb="FF595959"/>
        <rFont val="Noto Sans CJK SC"/>
        <family val="2"/>
      </rPr>
      <t xml:space="preserve">期初到位，折現期數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0.5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1.5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2.5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3.5 </t>
    </r>
    <r>
      <rPr>
        <sz val="9"/>
        <color rgb="FF595959"/>
        <rFont val="Noto Sans CJK SC"/>
        <family val="2"/>
      </rPr>
      <t xml:space="preserve">年</t>
    </r>
  </si>
  <si>
    <t xml:space="preserve">融資後股數（含瀑布新股）</t>
  </si>
  <si>
    <r>
      <rPr>
        <sz val="10"/>
        <rFont val="Arial"/>
        <family val="0"/>
        <charset val="1"/>
      </rPr>
      <t xml:space="preserve">DCF </t>
    </r>
    <r>
      <rPr>
        <sz val="10"/>
        <rFont val="Noto Sans CJK SC"/>
        <family val="2"/>
      </rPr>
      <t xml:space="preserve">失效？（</t>
    </r>
    <r>
      <rPr>
        <sz val="10"/>
        <rFont val="Arial"/>
        <family val="0"/>
        <charset val="1"/>
      </rPr>
      <t xml:space="preserve">WACC ≤ g </t>
    </r>
    <r>
      <rPr>
        <sz val="10"/>
        <rFont val="Noto Sans CJK SC"/>
        <family val="2"/>
      </rPr>
      <t xml:space="preserve">或常態化 </t>
    </r>
    <r>
      <rPr>
        <sz val="10"/>
        <rFont val="Arial"/>
        <family val="0"/>
        <charset val="1"/>
      </rPr>
      <t xml:space="preserve">FCF ≤ 0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</si>
  <si>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＝失效：</t>
    </r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Noto Sans CJK SC"/>
        <family val="2"/>
      </rPr>
      <t xml:space="preserve">權重歸零、</t>
    </r>
    <r>
      <rPr>
        <sz val="9"/>
        <color rgb="FF595959"/>
        <rFont val="Arial"/>
        <family val="0"/>
        <charset val="1"/>
      </rPr>
      <t xml:space="preserve">EV/EBITDA 100%</t>
    </r>
    <r>
      <rPr>
        <sz val="9"/>
        <color rgb="FF595959"/>
        <rFont val="Noto Sans CJK SC"/>
        <family val="2"/>
      </rPr>
      <t xml:space="preserve">。股權為負不算失效</t>
    </r>
  </si>
  <si>
    <r>
      <rPr>
        <b val="true"/>
        <sz val="10"/>
        <rFont val="Arial"/>
        <family val="0"/>
        <charset val="1"/>
      </rPr>
      <t xml:space="preserve">DCF </t>
    </r>
    <r>
      <rPr>
        <b val="true"/>
        <sz val="10"/>
        <rFont val="Noto Sans CJK SC"/>
        <family val="2"/>
      </rPr>
      <t xml:space="preserve">每股：</t>
    </r>
    <r>
      <rPr>
        <b val="true"/>
        <sz val="10"/>
        <rFont val="Arial"/>
        <family val="0"/>
        <charset val="1"/>
      </rPr>
      <t xml:space="preserve">0 </t>
    </r>
    <r>
      <rPr>
        <b val="true"/>
        <sz val="10"/>
        <rFont val="Noto Sans CJK SC"/>
        <family val="2"/>
      </rPr>
      <t xml:space="preserve">截斷</t>
    </r>
  </si>
  <si>
    <r>
      <rPr>
        <b val="true"/>
        <sz val="10"/>
        <rFont val="Arial"/>
        <family val="0"/>
        <charset val="1"/>
      </rPr>
      <t xml:space="preserve">DCF </t>
    </r>
    <r>
      <rPr>
        <b val="true"/>
        <sz val="10"/>
        <rFont val="Noto Sans CJK SC"/>
        <family val="2"/>
      </rPr>
      <t xml:space="preserve">每股：選擇權（</t>
    </r>
    <r>
      <rPr>
        <b val="true"/>
        <sz val="10"/>
        <rFont val="Arial"/>
        <family val="0"/>
        <charset val="1"/>
      </rPr>
      <t xml:space="preserve">Merton</t>
    </r>
    <r>
      <rPr>
        <b val="true"/>
        <sz val="1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</si>
  <si>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Black-Scholes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S</t>
    </r>
    <r>
      <rPr>
        <sz val="9"/>
        <color rgb="FF595959"/>
        <rFont val="Noto Sans CJK SC"/>
        <family val="2"/>
      </rPr>
      <t xml:space="preserve">＝企業價值＋新股現值、</t>
    </r>
    <r>
      <rPr>
        <sz val="9"/>
        <color rgb="FF595959"/>
        <rFont val="Arial"/>
        <family val="0"/>
        <charset val="1"/>
      </rPr>
      <t xml:space="preserve">K</t>
    </r>
    <r>
      <rPr>
        <sz val="9"/>
        <color rgb="FF595959"/>
        <rFont val="Noto Sans CJK SC"/>
        <family val="2"/>
      </rPr>
      <t xml:space="preserve">＝淨負債</t>
    </r>
  </si>
  <si>
    <r>
      <rPr>
        <sz val="10"/>
        <rFont val="Noto Sans CJK SC"/>
        <family val="2"/>
      </rPr>
      <t xml:space="preserve">　</t>
    </r>
    <r>
      <rPr>
        <sz val="10"/>
        <rFont val="Arial"/>
        <family val="0"/>
        <charset val="1"/>
      </rPr>
      <t xml:space="preserve">d1</t>
    </r>
  </si>
  <si>
    <r>
      <rPr>
        <sz val="10"/>
        <rFont val="Noto Sans CJK SC"/>
        <family val="2"/>
      </rPr>
      <t xml:space="preserve">　</t>
    </r>
    <r>
      <rPr>
        <sz val="10"/>
        <rFont val="Arial"/>
        <family val="0"/>
        <charset val="1"/>
      </rPr>
      <t xml:space="preserve">d2</t>
    </r>
  </si>
  <si>
    <r>
      <rPr>
        <b val="true"/>
        <sz val="10"/>
        <rFont val="Noto Sans CJK SC"/>
        <family val="2"/>
      </rPr>
      <t xml:space="preserve">倍數法（錨定年度，預設 </t>
    </r>
    <r>
      <rPr>
        <b val="true"/>
        <sz val="10"/>
        <rFont val="Arial"/>
        <family val="0"/>
        <charset val="1"/>
      </rPr>
      <t xml:space="preserve">FY29</t>
    </r>
    <r>
      <rPr>
        <b val="true"/>
        <sz val="10"/>
        <rFont val="Noto Sans CJK SC"/>
        <family val="2"/>
      </rPr>
      <t xml:space="preserve">；折回 </t>
    </r>
    <r>
      <rPr>
        <b val="true"/>
        <sz val="10"/>
        <rFont val="Arial"/>
        <family val="0"/>
        <charset val="1"/>
      </rPr>
      <t xml:space="preserve">2027-08-31</t>
    </r>
    <r>
      <rPr>
        <b val="true"/>
        <sz val="10"/>
        <rFont val="Noto Sans CJK SC"/>
        <family val="2"/>
      </rPr>
      <t xml:space="preserve">）</t>
    </r>
  </si>
  <si>
    <t xml:space="preserve">錨定年度</t>
  </si>
  <si>
    <r>
      <rPr>
        <sz val="9"/>
        <color rgb="FF595959"/>
        <rFont val="Noto Sans CJK SC"/>
        <family val="2"/>
      </rPr>
      <t xml:space="preserve">輸入與假設 </t>
    </r>
    <r>
      <rPr>
        <sz val="9"/>
        <color rgb="FF595959"/>
        <rFont val="Arial"/>
        <family val="0"/>
        <charset val="1"/>
      </rPr>
      <t xml:space="preserve">F </t>
    </r>
    <r>
      <rPr>
        <sz val="9"/>
        <color rgb="FF595959"/>
        <rFont val="Noto Sans CJK SC"/>
        <family val="2"/>
      </rPr>
      <t xml:space="preserve">區可改</t>
    </r>
  </si>
  <si>
    <r>
      <rPr>
        <sz val="10"/>
        <rFont val="Noto Sans CJK SC"/>
        <family val="2"/>
      </rPr>
      <t xml:space="preserve">錨定年度 </t>
    </r>
    <r>
      <rPr>
        <sz val="10"/>
        <rFont val="Arial"/>
        <family val="0"/>
        <charset val="1"/>
      </rPr>
      <t xml:space="preserve">EBITDA</t>
    </r>
  </si>
  <si>
    <r>
      <rPr>
        <sz val="10"/>
        <rFont val="Noto Sans CJK SC"/>
        <family val="2"/>
      </rPr>
      <t xml:space="preserve">錨定年度企業價值（倍數 </t>
    </r>
    <r>
      <rPr>
        <sz val="10"/>
        <rFont val="Arial"/>
        <family val="0"/>
        <charset val="1"/>
      </rPr>
      <t xml:space="preserve">× EBITDA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</si>
  <si>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分部加總：</t>
    </r>
    <r>
      <rPr>
        <sz val="9"/>
        <color rgb="FF595959"/>
        <rFont val="Arial"/>
        <family val="0"/>
        <charset val="1"/>
      </rPr>
      <t xml:space="preserve">OCI EBITDA × EV/EBITDA </t>
    </r>
    <r>
      <rPr>
        <sz val="9"/>
        <color rgb="FF595959"/>
        <rFont val="Noto Sans CJK SC"/>
        <family val="2"/>
      </rPr>
      <t xml:space="preserve">倍數＋傳統事業 </t>
    </r>
    <r>
      <rPr>
        <sz val="9"/>
        <color rgb="FF595959"/>
        <rFont val="Arial"/>
        <family val="0"/>
        <charset val="1"/>
      </rPr>
      <t xml:space="preserve">EBITDA × </t>
    </r>
    <r>
      <rPr>
        <sz val="9"/>
        <color rgb="FF595959"/>
        <rFont val="Noto Sans CJK SC"/>
        <family val="2"/>
      </rPr>
      <t xml:space="preserve">傳統事業倍數（下方兩列）</t>
    </r>
  </si>
  <si>
    <t xml:space="preserve">錨定年度末淨負債（總債務 − 現金）</t>
  </si>
  <si>
    <t xml:space="preserve">含瀑布新債；加可轉債分類調整與淨負債調整項（見下方可轉債區）</t>
  </si>
  <si>
    <t xml:space="preserve">錨定年度末股數（含瀑布新股）</t>
  </si>
  <si>
    <r>
      <rPr>
        <sz val="9"/>
        <color rgb="FF595959"/>
        <rFont val="Noto Sans CJK SC"/>
        <family val="2"/>
      </rPr>
      <t xml:space="preserve">損益股數：</t>
    </r>
    <r>
      <rPr>
        <sz val="9"/>
        <color rgb="FF595959"/>
        <rFont val="Arial"/>
        <family val="0"/>
        <charset val="1"/>
      </rPr>
      <t xml:space="preserve">SBC </t>
    </r>
    <r>
      <rPr>
        <sz val="9"/>
        <color rgb="FF595959"/>
        <rFont val="Noto Sans CJK SC"/>
        <family val="2"/>
      </rPr>
      <t xml:space="preserve">逐年稀釋＋瀑布新股</t>
    </r>
  </si>
  <si>
    <r>
      <rPr>
        <sz val="10"/>
        <rFont val="Noto Sans CJK SC"/>
        <family val="2"/>
      </rPr>
      <t xml:space="preserve">折回 </t>
    </r>
    <r>
      <rPr>
        <sz val="10"/>
        <rFont val="Arial"/>
        <family val="0"/>
        <charset val="1"/>
      </rPr>
      <t xml:space="preserve">2027-08-31 </t>
    </r>
    <r>
      <rPr>
        <sz val="10"/>
        <rFont val="Noto Sans CJK SC"/>
        <family val="2"/>
      </rPr>
      <t xml:space="preserve">的折現因子</t>
    </r>
  </si>
  <si>
    <r>
      <rPr>
        <sz val="9"/>
        <color rgb="FF595959"/>
        <rFont val="Noto Sans CJK SC"/>
        <family val="2"/>
      </rPr>
      <t xml:space="preserve">以 </t>
    </r>
    <r>
      <rPr>
        <sz val="9"/>
        <color rgb="FF595959"/>
        <rFont val="Arial"/>
        <family val="0"/>
        <charset val="1"/>
      </rPr>
      <t xml:space="preserve">WACC </t>
    </r>
    <r>
      <rPr>
        <sz val="9"/>
        <color rgb="FF595959"/>
        <rFont val="Noto Sans CJK SC"/>
        <family val="2"/>
      </rPr>
      <t xml:space="preserve">折現 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</si>
  <si>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sz val="10"/>
        <rFont val="Arial"/>
        <family val="0"/>
        <charset val="1"/>
      </rPr>
      <t xml:space="preserve">EV/EBITDA </t>
    </r>
    <r>
      <rPr>
        <sz val="10"/>
        <rFont val="Noto Sans CJK SC"/>
        <family val="2"/>
      </rPr>
      <t xml:space="preserve">每股（融資後）</t>
    </r>
  </si>
  <si>
    <r>
      <rPr>
        <sz val="9"/>
        <color rgb="FF595959"/>
        <rFont val="Noto Sans CJK SC"/>
        <family val="2"/>
      </rPr>
      <t xml:space="preserve">以 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為下限</t>
    </r>
  </si>
  <si>
    <r>
      <rPr>
        <sz val="10"/>
        <rFont val="Noto Sans CJK SC"/>
        <family val="2"/>
      </rPr>
      <t xml:space="preserve">錨定年度傳統事業 </t>
    </r>
    <r>
      <rPr>
        <sz val="10"/>
        <rFont val="Arial"/>
        <family val="0"/>
        <charset val="1"/>
      </rPr>
      <t xml:space="preserve">EBITDA</t>
    </r>
  </si>
  <si>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傳統事業 </t>
    </r>
    <r>
      <rPr>
        <sz val="9"/>
        <color rgb="FF595959"/>
        <rFont val="Arial"/>
        <family val="0"/>
        <charset val="1"/>
      </rPr>
      <t xml:space="preserve">EV/EBITDA </t>
    </r>
    <r>
      <rPr>
        <sz val="9"/>
        <color rgb="FF595959"/>
        <rFont val="Noto Sans CJK SC"/>
        <family val="2"/>
      </rPr>
      <t xml:space="preserve">倍數（軟體同業 </t>
    </r>
    <r>
      <rPr>
        <sz val="9"/>
        <color rgb="FF595959"/>
        <rFont val="Arial"/>
        <family val="0"/>
        <charset val="1"/>
      </rPr>
      <t xml:space="preserve">NTM </t>
    </r>
    <r>
      <rPr>
        <sz val="9"/>
        <color rgb="FF595959"/>
        <rFont val="Noto Sans CJK SC"/>
        <family val="2"/>
      </rPr>
      <t xml:space="preserve">中位數）</t>
    </r>
  </si>
  <si>
    <r>
      <rPr>
        <sz val="10"/>
        <rFont val="Noto Sans CJK SC"/>
        <family val="2"/>
      </rPr>
      <t xml:space="preserve">錨定年度 </t>
    </r>
    <r>
      <rPr>
        <sz val="10"/>
        <rFont val="Arial"/>
        <family val="0"/>
        <charset val="1"/>
      </rPr>
      <t xml:space="preserve">OCI EBITDA</t>
    </r>
    <r>
      <rPr>
        <sz val="10"/>
        <rFont val="Noto Sans CJK SC"/>
        <family val="2"/>
      </rPr>
      <t xml:space="preserve">（算力＋服務＋其他）</t>
    </r>
  </si>
  <si>
    <r>
      <rPr>
        <sz val="9"/>
        <color rgb="FF595959"/>
        <rFont val="Noto Sans CJK SC"/>
        <family val="2"/>
      </rPr>
      <t xml:space="preserve">＝錨定年度 </t>
    </r>
    <r>
      <rPr>
        <sz val="9"/>
        <color rgb="FF595959"/>
        <rFont val="Arial"/>
        <family val="0"/>
        <charset val="1"/>
      </rPr>
      <t xml:space="preserve">EBITDA − </t>
    </r>
    <r>
      <rPr>
        <sz val="9"/>
        <color rgb="FF595959"/>
        <rFont val="Noto Sans CJK SC"/>
        <family val="2"/>
      </rPr>
      <t xml:space="preserve">傳統事業；</t>
    </r>
    <r>
      <rPr>
        <sz val="9"/>
        <color rgb="FF595959"/>
        <rFont val="Arial"/>
        <family val="0"/>
        <charset val="1"/>
      </rPr>
      <t xml:space="preserve">× EV/EBITDA </t>
    </r>
    <r>
      <rPr>
        <sz val="9"/>
        <color rgb="FF595959"/>
        <rFont val="Noto Sans CJK SC"/>
        <family val="2"/>
      </rPr>
      <t xml:space="preserve">倍數</t>
    </r>
  </si>
  <si>
    <t xml:space="preserve">加權目標價</t>
  </si>
  <si>
    <r>
      <rPr>
        <sz val="10"/>
        <rFont val="Arial"/>
        <family val="0"/>
        <charset val="1"/>
      </rPr>
      <t xml:space="preserve">DCF </t>
    </r>
    <r>
      <rPr>
        <sz val="10"/>
        <rFont val="Noto Sans CJK SC"/>
        <family val="2"/>
      </rPr>
      <t xml:space="preserve">每股（推到目標價時點）</t>
    </r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</si>
  <si>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Noto Sans CJK SC"/>
        <family val="2"/>
      </rPr>
      <t xml:space="preserve">每股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WACC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^</t>
    </r>
    <r>
      <rPr>
        <sz val="9"/>
        <color rgb="FF595959"/>
        <rFont val="Noto Sans CJK SC"/>
        <family val="2"/>
      </rPr>
      <t xml:space="preserve">（評價日至目標價時點的年數）</t>
    </r>
  </si>
  <si>
    <r>
      <rPr>
        <sz val="10"/>
        <rFont val="Arial"/>
        <family val="0"/>
        <charset val="1"/>
      </rPr>
      <t xml:space="preserve">DCF </t>
    </r>
    <r>
      <rPr>
        <sz val="10"/>
        <rFont val="Noto Sans CJK SC"/>
        <family val="2"/>
      </rPr>
      <t xml:space="preserve">每股 </t>
    </r>
    <r>
      <rPr>
        <sz val="10"/>
        <rFont val="Arial"/>
        <family val="0"/>
        <charset val="1"/>
      </rPr>
      <t xml:space="preserve">× </t>
    </r>
    <r>
      <rPr>
        <sz val="10"/>
        <rFont val="Noto Sans CJK SC"/>
        <family val="2"/>
      </rPr>
      <t xml:space="preserve">有效權重</t>
    </r>
  </si>
  <si>
    <r>
      <rPr>
        <sz val="10"/>
        <rFont val="Arial"/>
        <family val="0"/>
        <charset val="1"/>
      </rPr>
      <t xml:space="preserve">EV/EBITDA</t>
    </r>
    <r>
      <rPr>
        <sz val="10"/>
        <rFont val="Noto Sans CJK SC"/>
        <family val="2"/>
      </rPr>
      <t xml:space="preserve">（融資後）</t>
    </r>
    <r>
      <rPr>
        <sz val="10"/>
        <rFont val="Arial"/>
        <family val="0"/>
        <charset val="1"/>
      </rPr>
      <t xml:space="preserve">× </t>
    </r>
    <r>
      <rPr>
        <sz val="10"/>
        <rFont val="Noto Sans CJK SC"/>
        <family val="2"/>
      </rPr>
      <t xml:space="preserve">有效權重</t>
    </r>
  </si>
  <si>
    <t xml:space="preserve">期前融資瀑布：缺口先由額度與資產層新債支應，殘差以股權募足；估值不再扣缺口本金</t>
  </si>
  <si>
    <t xml:space="preserve">現價</t>
  </si>
  <si>
    <t xml:space="preserve">潛在空間</t>
  </si>
  <si>
    <r>
      <rPr>
        <b val="true"/>
        <sz val="10"/>
        <rFont val="Noto Sans CJK SC"/>
        <family val="2"/>
      </rPr>
      <t xml:space="preserve">可轉債稀釋（若轉換法；第一輪判斷價＝現價，第二輪＝</t>
    </r>
    <r>
      <rPr>
        <b val="true"/>
        <sz val="10"/>
        <rFont val="Arial"/>
        <family val="0"/>
        <charset val="1"/>
      </rPr>
      <t xml:space="preserve">MIN(</t>
    </r>
    <r>
      <rPr>
        <b val="true"/>
        <sz val="10"/>
        <rFont val="Noto Sans CJK SC"/>
        <family val="2"/>
      </rPr>
      <t xml:space="preserve">現價</t>
    </r>
    <r>
      <rPr>
        <b val="true"/>
        <sz val="10"/>
        <rFont val="Arial"/>
        <family val="0"/>
        <charset val="1"/>
      </rPr>
      <t xml:space="preserve">, </t>
    </r>
    <r>
      <rPr>
        <b val="true"/>
        <sz val="10"/>
        <rFont val="Noto Sans CJK SC"/>
        <family val="2"/>
      </rPr>
      <t xml:space="preserve">第一輪目標價</t>
    </r>
    <r>
      <rPr>
        <b val="true"/>
        <sz val="10"/>
        <rFont val="Arial"/>
        <family val="0"/>
        <charset val="1"/>
      </rPr>
      <t xml:space="preserve">)</t>
    </r>
    <r>
      <rPr>
        <b val="true"/>
        <sz val="10"/>
        <rFont val="Noto Sans CJK SC"/>
        <family val="2"/>
      </rPr>
      <t xml:space="preserve">）</t>
    </r>
  </si>
  <si>
    <t xml:space="preserve">第一輪：轉股股數</t>
  </si>
  <si>
    <r>
      <rPr>
        <sz val="9"/>
        <color rgb="FF595959"/>
        <rFont val="Noto Sans CJK SC"/>
        <family val="2"/>
      </rPr>
      <t xml:space="preserve">有效轉換價 </t>
    </r>
    <r>
      <rPr>
        <sz val="9"/>
        <color rgb="FF595959"/>
        <rFont val="Arial"/>
        <family val="0"/>
        <charset val="1"/>
      </rPr>
      <t xml:space="preserve">&lt; </t>
    </r>
    <r>
      <rPr>
        <sz val="9"/>
        <color rgb="FF595959"/>
        <rFont val="Noto Sans CJK SC"/>
        <family val="2"/>
      </rPr>
      <t xml:space="preserve">現價的可轉債：原始本金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轉換價</t>
    </r>
  </si>
  <si>
    <t xml:space="preserve">第一輪：評價股數</t>
  </si>
  <si>
    <t xml:space="preserve">第一輪：評價淨負債</t>
  </si>
  <si>
    <t xml:space="preserve">＝不含可轉債的淨負債＋債務處理可轉債到期本金＋調整項</t>
  </si>
  <si>
    <r>
      <rPr>
        <sz val="10"/>
        <rFont val="Noto Sans CJK SC"/>
        <family val="2"/>
      </rPr>
      <t xml:space="preserve">第一輪：</t>
    </r>
    <r>
      <rPr>
        <sz val="10"/>
        <rFont val="Arial"/>
        <family val="0"/>
        <charset val="1"/>
      </rPr>
      <t xml:space="preserve">DCF </t>
    </r>
    <r>
      <rPr>
        <sz val="10"/>
        <rFont val="Noto Sans CJK SC"/>
        <family val="2"/>
      </rPr>
      <t xml:space="preserve">融資後股數</t>
    </r>
  </si>
  <si>
    <r>
      <rPr>
        <sz val="10"/>
        <rFont val="Noto Sans CJK SC"/>
        <family val="2"/>
      </rPr>
      <t xml:space="preserve">第一輪：</t>
    </r>
    <r>
      <rPr>
        <sz val="10"/>
        <rFont val="Arial"/>
        <family val="0"/>
        <charset val="1"/>
      </rPr>
      <t xml:space="preserve">d1</t>
    </r>
  </si>
  <si>
    <r>
      <rPr>
        <sz val="10"/>
        <rFont val="Noto Sans CJK SC"/>
        <family val="2"/>
      </rPr>
      <t xml:space="preserve">第一輪：</t>
    </r>
    <r>
      <rPr>
        <sz val="10"/>
        <rFont val="Arial"/>
        <family val="0"/>
        <charset val="1"/>
      </rPr>
      <t xml:space="preserve">DCF </t>
    </r>
    <r>
      <rPr>
        <sz val="10"/>
        <rFont val="Noto Sans CJK SC"/>
        <family val="2"/>
      </rPr>
      <t xml:space="preserve">每股（評價日）</t>
    </r>
  </si>
  <si>
    <r>
      <rPr>
        <sz val="9"/>
        <color rgb="FF595959"/>
        <rFont val="Noto Sans CJK SC"/>
        <family val="2"/>
      </rPr>
      <t xml:space="preserve">與上方 </t>
    </r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Noto Sans CJK SC"/>
        <family val="2"/>
      </rPr>
      <t xml:space="preserve">同算法，只換股數與淨負債</t>
    </r>
  </si>
  <si>
    <t xml:space="preserve">第一輪：錨定年末淨負債</t>
  </si>
  <si>
    <t xml:space="preserve">＝融資表錨定年末淨負債＋（融資分類為轉股、評價分類為債務的到期本金）＋調整項</t>
  </si>
  <si>
    <t xml:space="preserve">第一輪：錨定年末股數</t>
  </si>
  <si>
    <r>
      <rPr>
        <sz val="10"/>
        <rFont val="Noto Sans CJK SC"/>
        <family val="2"/>
      </rPr>
      <t xml:space="preserve">第一輪：</t>
    </r>
    <r>
      <rPr>
        <sz val="10"/>
        <rFont val="Arial"/>
        <family val="0"/>
        <charset val="1"/>
      </rPr>
      <t xml:space="preserve">EV/EBITDA </t>
    </r>
    <r>
      <rPr>
        <sz val="10"/>
        <rFont val="Noto Sans CJK SC"/>
        <family val="2"/>
      </rPr>
      <t xml:space="preserve">每股</t>
    </r>
  </si>
  <si>
    <t xml:space="preserve">第一輪：加權目標價</t>
  </si>
  <si>
    <t xml:space="preserve">第二輪判斷價</t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</si>
  <si>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MIN(</t>
    </r>
    <r>
      <rPr>
        <sz val="9"/>
        <color rgb="FF595959"/>
        <rFont val="Noto Sans CJK SC"/>
        <family val="2"/>
      </rPr>
      <t xml:space="preserve">現價</t>
    </r>
    <r>
      <rPr>
        <sz val="9"/>
        <color rgb="FF595959"/>
        <rFont val="Arial"/>
        <family val="0"/>
        <charset val="1"/>
      </rPr>
      <t xml:space="preserve">, </t>
    </r>
    <r>
      <rPr>
        <sz val="9"/>
        <color rgb="FF595959"/>
        <rFont val="Noto Sans CJK SC"/>
        <family val="2"/>
      </rPr>
      <t xml:space="preserve">第一輪加權目標價</t>
    </r>
    <r>
      <rPr>
        <sz val="9"/>
        <color rgb="FF595959"/>
        <rFont val="Arial"/>
        <family val="0"/>
        <charset val="1"/>
      </rPr>
      <t xml:space="preserve">)</t>
    </r>
    <r>
      <rPr>
        <sz val="9"/>
        <color rgb="FF595959"/>
        <rFont val="Noto Sans CJK SC"/>
        <family val="2"/>
      </rPr>
      <t xml:space="preserve">：以較保守者判斷是否價內</t>
    </r>
  </si>
  <si>
    <t xml:space="preserve">第二輪：轉股股數</t>
  </si>
  <si>
    <r>
      <rPr>
        <sz val="9"/>
        <color rgb="FF595959"/>
        <rFont val="Noto Sans CJK SC"/>
        <family val="2"/>
      </rPr>
      <t xml:space="preserve">有效轉換價 </t>
    </r>
    <r>
      <rPr>
        <sz val="9"/>
        <color rgb="FF595959"/>
        <rFont val="Arial"/>
        <family val="0"/>
        <charset val="1"/>
      </rPr>
      <t xml:space="preserve">&lt; </t>
    </r>
    <r>
      <rPr>
        <sz val="9"/>
        <color rgb="FF595959"/>
        <rFont val="Noto Sans CJK SC"/>
        <family val="2"/>
      </rPr>
      <t xml:space="preserve">第二輪判斷價的可轉債</t>
    </r>
  </si>
  <si>
    <t xml:space="preserve">第二輪：債務處理到期本金</t>
  </si>
  <si>
    <t xml:space="preserve">評價股數（含可轉債轉股）</t>
  </si>
  <si>
    <r>
      <rPr>
        <sz val="9"/>
        <color rgb="FF595959"/>
        <rFont val="Arial"/>
        <family val="0"/>
        <charset val="1"/>
      </rPr>
      <t xml:space="preserve">DCF</t>
    </r>
    <r>
      <rPr>
        <sz val="9"/>
        <color rgb="FF595959"/>
        <rFont val="Noto Sans CJK SC"/>
        <family val="2"/>
      </rPr>
      <t xml:space="preserve">、損益股數與錨定年末股數的起點</t>
    </r>
  </si>
  <si>
    <t xml:space="preserve">評價淨負債（含可轉債與調整項）</t>
  </si>
  <si>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Noto Sans CJK SC"/>
        <family val="2"/>
      </rPr>
      <t xml:space="preserve">減項與 </t>
    </r>
    <r>
      <rPr>
        <sz val="9"/>
        <color rgb="FF595959"/>
        <rFont val="Arial"/>
        <family val="0"/>
        <charset val="1"/>
      </rPr>
      <t xml:space="preserve">Merton </t>
    </r>
    <r>
      <rPr>
        <sz val="9"/>
        <color rgb="FF595959"/>
        <rFont val="Noto Sans CJK SC"/>
        <family val="2"/>
      </rPr>
      <t xml:space="preserve">履約價</t>
    </r>
  </si>
  <si>
    <t xml:space="preserve">錨定年末淨負債調整（可轉債分類差＋調整項）</t>
  </si>
  <si>
    <t xml:space="preserve">融資現金流依『融資分類』（判斷價＝股權發行價）；評價依第二輪分類，差額在錨定年末淨負債補回</t>
  </si>
  <si>
    <r>
      <rPr>
        <sz val="10"/>
        <rFont val="Arial"/>
        <family val="0"/>
        <charset val="1"/>
      </rPr>
      <t xml:space="preserve">DCF </t>
    </r>
    <r>
      <rPr>
        <sz val="10"/>
        <rFont val="Noto Sans CJK SC"/>
        <family val="2"/>
      </rPr>
      <t xml:space="preserve">權重說明</t>
    </r>
  </si>
  <si>
    <r>
      <rPr>
        <sz val="9"/>
        <color rgb="FF595959"/>
        <rFont val="Noto Sans CJK SC"/>
        <family val="2"/>
      </rPr>
      <t xml:space="preserve">只在 </t>
    </r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Noto Sans CJK SC"/>
        <family val="2"/>
      </rPr>
      <t xml:space="preserve">被 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截斷時顯示；</t>
    </r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Noto Sans CJK SC"/>
        <family val="2"/>
      </rPr>
      <t xml:space="preserve">失效時改為一句；</t>
    </r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Noto Sans CJK SC"/>
        <family val="2"/>
      </rPr>
      <t xml:space="preserve">為正時空白（與 </t>
    </r>
    <r>
      <rPr>
        <sz val="9"/>
        <color rgb="FF595959"/>
        <rFont val="Arial"/>
        <family val="0"/>
        <charset val="1"/>
      </rPr>
      <t xml:space="preserve">HTML </t>
    </r>
    <r>
      <rPr>
        <sz val="9"/>
        <color rgb="FF595959"/>
        <rFont val="Noto Sans CJK SC"/>
        <family val="2"/>
      </rPr>
      <t xml:space="preserve">同一字串）</t>
    </r>
  </si>
  <si>
    <t xml:space="preserve">目標價區間（情境區間、方法區間；評等仍依點位）</t>
  </si>
  <si>
    <t xml:space="preserve">目標價區間｜點位（目前輸入的加權目標價）</t>
  </si>
  <si>
    <r>
      <rPr>
        <sz val="10"/>
        <rFont val="Noto Sans CJK SC"/>
        <family val="2"/>
      </rPr>
      <t xml:space="preserve">目標價區間｜終值占 </t>
    </r>
    <r>
      <rPr>
        <sz val="10"/>
        <rFont val="Arial"/>
        <family val="0"/>
        <charset val="1"/>
      </rPr>
      <t xml:space="preserve">EV</t>
    </r>
    <r>
      <rPr>
        <sz val="10"/>
        <rFont val="Noto Sans CJK SC"/>
        <family val="2"/>
      </rPr>
      <t xml:space="preserve">（評等用）</t>
    </r>
  </si>
  <si>
    <r>
      <rPr>
        <sz val="10"/>
        <rFont val="Noto Sans CJK SC"/>
        <family val="2"/>
      </rPr>
      <t xml:space="preserve">目標價區間｜股權募資 </t>
    </r>
    <r>
      <rPr>
        <sz val="10"/>
        <rFont val="Arial"/>
        <family val="0"/>
        <charset val="1"/>
      </rPr>
      <t xml:space="preserve">÷ </t>
    </r>
    <r>
      <rPr>
        <sz val="10"/>
        <rFont val="Noto Sans CJK SC"/>
        <family val="2"/>
      </rPr>
      <t xml:space="preserve">現市值（評等用）</t>
    </r>
  </si>
  <si>
    <r>
      <rPr>
        <sz val="10"/>
        <rFont val="Noto Sans CJK SC"/>
        <family val="2"/>
      </rPr>
      <t xml:space="preserve">目標價區間｜點位評等代碼（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＝買進、</t>
    </r>
    <r>
      <rPr>
        <sz val="10"/>
        <rFont val="Arial"/>
        <family val="0"/>
        <charset val="1"/>
      </rPr>
      <t xml:space="preserve">0</t>
    </r>
    <r>
      <rPr>
        <sz val="10"/>
        <rFont val="Noto Sans CJK SC"/>
        <family val="2"/>
      </rPr>
      <t xml:space="preserve">＝中立、−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＝賣出）</t>
    </r>
  </si>
  <si>
    <r>
      <rPr>
        <sz val="10"/>
        <rFont val="Noto Sans CJK SC"/>
        <family val="2"/>
      </rPr>
      <t xml:space="preserve">目標價區間｜賣出門檻價（現價 </t>
    </r>
    <r>
      <rPr>
        <sz val="10"/>
        <rFont val="Arial"/>
        <family val="0"/>
        <charset val="1"/>
      </rPr>
      <t xml:space="preserve">× (1 − 15%)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</si>
  <si>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目標價區間｜保守 </t>
    </r>
    <r>
      <rPr>
        <sz val="10"/>
        <rFont val="Arial"/>
        <family val="0"/>
        <charset val="1"/>
      </rPr>
      <t xml:space="preserve">OpenAI </t>
    </r>
    <r>
      <rPr>
        <sz val="10"/>
        <rFont val="Noto Sans CJK SC"/>
        <family val="2"/>
      </rPr>
      <t xml:space="preserve">相關 </t>
    </r>
    <r>
      <rPr>
        <sz val="10"/>
        <rFont val="Arial"/>
        <family val="0"/>
        <charset val="1"/>
      </rPr>
      <t xml:space="preserve">60%</t>
    </r>
    <r>
      <rPr>
        <sz val="10"/>
        <rFont val="Noto Sans CJK SC"/>
        <family val="2"/>
      </rPr>
      <t xml:space="preserve">（加權目標價／評等代碼／距賣出門檻）</t>
    </r>
  </si>
  <si>
    <r>
      <rPr>
        <sz val="9"/>
        <color rgb="FF595959"/>
        <rFont val="Noto Sans CJK SC"/>
        <family val="2"/>
      </rPr>
      <t xml:space="preserve">引用『輸入與假設』底部模擬運算表（情境選擇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3</t>
    </r>
    <r>
      <rPr>
        <sz val="9"/>
        <color rgb="FF595959"/>
        <rFont val="Noto Sans CJK SC"/>
        <family val="2"/>
      </rPr>
      <t xml:space="preserve">），保留其餘手動輸入</t>
    </r>
  </si>
  <si>
    <r>
      <rPr>
        <sz val="10"/>
        <rFont val="Noto Sans CJK SC"/>
        <family val="2"/>
      </rPr>
      <t xml:space="preserve">目標價區間｜基準 已簽約站點依 </t>
    </r>
    <r>
      <rPr>
        <sz val="10"/>
        <rFont val="Arial"/>
        <family val="0"/>
        <charset val="1"/>
      </rPr>
      <t xml:space="preserve">Q1 </t>
    </r>
    <r>
      <rPr>
        <sz val="10"/>
        <rFont val="Noto Sans CJK SC"/>
        <family val="2"/>
      </rPr>
      <t xml:space="preserve">速度（加權目標價／評等代碼／距賣出門檻）</t>
    </r>
  </si>
  <si>
    <t xml:space="preserve">目標價區間｜積極 依公司時程（加權目標價／評等代碼／距賣出門檻）</t>
  </si>
  <si>
    <t xml:space="preserve">目標價區間｜情境區間（下緣／上緣）</t>
  </si>
  <si>
    <t xml:space="preserve">目標價區間｜方法區間倍數（下端／上端）</t>
  </si>
  <si>
    <t xml:space="preserve">目標價區間｜方法區間（下緣／上緣）</t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</si>
  <si>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Noto Sans CJK SC"/>
        <family val="2"/>
      </rPr>
      <t xml:space="preserve">採用值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有效權重 ＋ </t>
    </r>
    <r>
      <rPr>
        <sz val="9"/>
        <color rgb="FF595959"/>
        <rFont val="Arial"/>
        <family val="0"/>
        <charset val="1"/>
      </rPr>
      <t xml:space="preserve">EV/EBITDA </t>
    </r>
    <r>
      <rPr>
        <sz val="9"/>
        <color rgb="FF595959"/>
        <rFont val="Noto Sans CJK SC"/>
        <family val="2"/>
      </rPr>
      <t xml:space="preserve">腿（倍數換成兩端）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有效權重</t>
    </r>
  </si>
  <si>
    <r>
      <rPr>
        <sz val="10"/>
        <rFont val="Noto Sans CJK SC"/>
        <family val="2"/>
      </rPr>
      <t xml:space="preserve">目標價區間｜</t>
    </r>
    <r>
      <rPr>
        <sz val="10"/>
        <rFont val="Arial"/>
        <family val="0"/>
        <charset val="1"/>
      </rPr>
      <t xml:space="preserve">100% EV/EBITDA </t>
    </r>
    <r>
      <rPr>
        <sz val="10"/>
        <rFont val="Noto Sans CJK SC"/>
        <family val="2"/>
      </rPr>
      <t xml:space="preserve">目標價（價位／評等代碼）</t>
    </r>
  </si>
  <si>
    <r>
      <rPr>
        <sz val="10"/>
        <rFont val="Noto Sans CJK SC"/>
        <family val="2"/>
      </rPr>
      <t xml:space="preserve">目標價區間｜未截斷 </t>
    </r>
    <r>
      <rPr>
        <sz val="10"/>
        <rFont val="Arial"/>
        <family val="0"/>
        <charset val="1"/>
      </rPr>
      <t xml:space="preserve">DCF </t>
    </r>
    <r>
      <rPr>
        <sz val="10"/>
        <rFont val="Noto Sans CJK SC"/>
        <family val="2"/>
      </rPr>
      <t xml:space="preserve">每股</t>
    </r>
  </si>
  <si>
    <t xml:space="preserve">目標價區間｜點位摘要</t>
  </si>
  <si>
    <t xml:space="preserve">目標價區間｜方法區間標籤</t>
  </si>
  <si>
    <t xml:space="preserve">目標價區間｜點位位置</t>
  </si>
  <si>
    <t xml:space="preserve">目標價區間｜判斷句</t>
  </si>
  <si>
    <r>
      <rPr>
        <b val="true"/>
        <sz val="10"/>
        <rFont val="Noto Sans CJK SC"/>
        <family val="2"/>
      </rPr>
      <t xml:space="preserve">錨定年度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倍數矩陣（每股；以 </t>
    </r>
    <r>
      <rPr>
        <b val="true"/>
        <sz val="10"/>
        <rFont val="Arial"/>
        <family val="0"/>
        <charset val="1"/>
      </rPr>
      <t xml:space="preserve">WACC </t>
    </r>
    <r>
      <rPr>
        <b val="true"/>
        <sz val="10"/>
        <rFont val="Noto Sans CJK SC"/>
        <family val="2"/>
      </rPr>
      <t xml:space="preserve">折回 </t>
    </r>
    <r>
      <rPr>
        <b val="true"/>
        <sz val="10"/>
        <rFont val="Arial"/>
        <family val="0"/>
        <charset val="1"/>
      </rPr>
      <t xml:space="preserve">2027-08-31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</si>
  <si>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1"/>
        <color rgb="FFFFFFFF"/>
        <rFont val="Arial"/>
        <family val="0"/>
        <charset val="1"/>
      </rPr>
      <t xml:space="preserve">OCI </t>
    </r>
    <r>
      <rPr>
        <b val="true"/>
        <sz val="11"/>
        <color rgb="FFFFFFFF"/>
        <rFont val="Noto Sans CJK SC"/>
        <family val="2"/>
      </rPr>
      <t xml:space="preserve">倍數 ＼ 錨定（</t>
    </r>
    <r>
      <rPr>
        <b val="true"/>
        <sz val="11"/>
        <color rgb="FFFFFFFF"/>
        <rFont val="Arial"/>
        <family val="0"/>
        <charset val="1"/>
      </rPr>
      <t xml:space="preserve">EV/EBITDA </t>
    </r>
    <r>
      <rPr>
        <b val="true"/>
        <sz val="11"/>
        <color rgb="FFFFFFFF"/>
        <rFont val="Noto Sans CJK SC"/>
        <family val="2"/>
      </rPr>
      <t xml:space="preserve">腿）</t>
    </r>
  </si>
  <si>
    <t xml:space="preserve">倍數</t>
  </si>
  <si>
    <r>
      <rPr>
        <sz val="9"/>
        <color rgb="FF595959"/>
        <rFont val="Arial"/>
        <family val="0"/>
        <charset val="1"/>
      </rPr>
      <t xml:space="preserve">EV/EBITDA </t>
    </r>
    <r>
      <rPr>
        <sz val="9"/>
        <color rgb="FF595959"/>
        <rFont val="Noto Sans CJK SC"/>
        <family val="2"/>
      </rPr>
      <t xml:space="preserve">腿＝</t>
    </r>
    <r>
      <rPr>
        <sz val="9"/>
        <color rgb="FF595959"/>
        <rFont val="Arial"/>
        <family val="0"/>
        <charset val="1"/>
      </rPr>
      <t xml:space="preserve">(OCI EBITDA × </t>
    </r>
    <r>
      <rPr>
        <sz val="9"/>
        <color rgb="FF595959"/>
        <rFont val="Noto Sans CJK SC"/>
        <family val="2"/>
      </rPr>
      <t xml:space="preserve">倍數＋傳統事業 </t>
    </r>
    <r>
      <rPr>
        <sz val="9"/>
        <color rgb="FF595959"/>
        <rFont val="Arial"/>
        <family val="0"/>
        <charset val="1"/>
      </rPr>
      <t xml:space="preserve">EBITDA × </t>
    </r>
    <r>
      <rPr>
        <sz val="9"/>
        <color rgb="FF595959"/>
        <rFont val="Noto Sans CJK SC"/>
        <family val="2"/>
      </rPr>
      <t xml:space="preserve">傳統事業倍數 − 錨定年末淨負債</t>
    </r>
    <r>
      <rPr>
        <sz val="9"/>
        <color rgb="FF595959"/>
        <rFont val="Arial"/>
        <family val="0"/>
        <charset val="1"/>
      </rPr>
      <t xml:space="preserve">) ÷ </t>
    </r>
    <r>
      <rPr>
        <sz val="9"/>
        <color rgb="FF595959"/>
        <rFont val="Noto Sans CJK SC"/>
        <family val="2"/>
      </rPr>
      <t xml:space="preserve">錨定年末股數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折現因子；加權＝</t>
    </r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Noto Sans CJK SC"/>
        <family val="2"/>
      </rPr>
      <t xml:space="preserve">採用值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有效權重 ＋ 腿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有效權重。綠底＝不低於現價</t>
    </r>
  </si>
  <si>
    <r>
      <rPr>
        <sz val="10"/>
        <rFont val="Noto Sans CJK SC"/>
        <family val="2"/>
      </rPr>
      <t xml:space="preserve">錨定</t>
    </r>
    <r>
      <rPr>
        <sz val="10"/>
        <rFont val="Arial"/>
        <family val="0"/>
        <charset val="1"/>
      </rPr>
      <t xml:space="preserve">×</t>
    </r>
    <r>
      <rPr>
        <sz val="10"/>
        <rFont val="Noto Sans CJK SC"/>
        <family val="2"/>
      </rPr>
      <t xml:space="preserve">倍數｜</t>
    </r>
    <r>
      <rPr>
        <sz val="10"/>
        <rFont val="Arial"/>
        <family val="0"/>
        <charset val="1"/>
      </rPr>
      <t xml:space="preserve">EV/EBITDA </t>
    </r>
    <r>
      <rPr>
        <sz val="10"/>
        <rFont val="Noto Sans CJK SC"/>
        <family val="2"/>
      </rPr>
      <t xml:space="preserve">腿｜</t>
    </r>
    <r>
      <rPr>
        <sz val="10"/>
        <rFont val="Arial"/>
        <family val="0"/>
        <charset val="1"/>
      </rPr>
      <t xml:space="preserve">3.4x</t>
    </r>
  </si>
  <si>
    <r>
      <rPr>
        <sz val="10"/>
        <rFont val="Noto Sans CJK SC"/>
        <family val="2"/>
      </rPr>
      <t xml:space="preserve">錨定</t>
    </r>
    <r>
      <rPr>
        <sz val="10"/>
        <rFont val="Arial"/>
        <family val="0"/>
        <charset val="1"/>
      </rPr>
      <t xml:space="preserve">×</t>
    </r>
    <r>
      <rPr>
        <sz val="10"/>
        <rFont val="Noto Sans CJK SC"/>
        <family val="2"/>
      </rPr>
      <t xml:space="preserve">倍數｜</t>
    </r>
    <r>
      <rPr>
        <sz val="10"/>
        <rFont val="Arial"/>
        <family val="0"/>
        <charset val="1"/>
      </rPr>
      <t xml:space="preserve">EV/EBITDA </t>
    </r>
    <r>
      <rPr>
        <sz val="10"/>
        <rFont val="Noto Sans CJK SC"/>
        <family val="2"/>
      </rPr>
      <t xml:space="preserve">腿｜</t>
    </r>
    <r>
      <rPr>
        <sz val="10"/>
        <rFont val="Arial"/>
        <family val="0"/>
        <charset val="1"/>
      </rPr>
      <t xml:space="preserve">4.5x</t>
    </r>
  </si>
  <si>
    <r>
      <rPr>
        <sz val="10"/>
        <rFont val="Noto Sans CJK SC"/>
        <family val="2"/>
      </rPr>
      <t xml:space="preserve">錨定</t>
    </r>
    <r>
      <rPr>
        <sz val="10"/>
        <rFont val="Arial"/>
        <family val="0"/>
        <charset val="1"/>
      </rPr>
      <t xml:space="preserve">×</t>
    </r>
    <r>
      <rPr>
        <sz val="10"/>
        <rFont val="Noto Sans CJK SC"/>
        <family val="2"/>
      </rPr>
      <t xml:space="preserve">倍數｜</t>
    </r>
    <r>
      <rPr>
        <sz val="10"/>
        <rFont val="Arial"/>
        <family val="0"/>
        <charset val="1"/>
      </rPr>
      <t xml:space="preserve">EV/EBITDA </t>
    </r>
    <r>
      <rPr>
        <sz val="10"/>
        <rFont val="Noto Sans CJK SC"/>
        <family val="2"/>
      </rPr>
      <t xml:space="preserve">腿｜</t>
    </r>
    <r>
      <rPr>
        <sz val="10"/>
        <rFont val="Arial"/>
        <family val="0"/>
        <charset val="1"/>
      </rPr>
      <t xml:space="preserve">5.0x</t>
    </r>
  </si>
  <si>
    <r>
      <rPr>
        <sz val="10"/>
        <rFont val="Noto Sans CJK SC"/>
        <family val="2"/>
      </rPr>
      <t xml:space="preserve">錨定</t>
    </r>
    <r>
      <rPr>
        <sz val="10"/>
        <rFont val="Arial"/>
        <family val="0"/>
        <charset val="1"/>
      </rPr>
      <t xml:space="preserve">×</t>
    </r>
    <r>
      <rPr>
        <sz val="10"/>
        <rFont val="Noto Sans CJK SC"/>
        <family val="2"/>
      </rPr>
      <t xml:space="preserve">倍數｜</t>
    </r>
    <r>
      <rPr>
        <sz val="10"/>
        <rFont val="Arial"/>
        <family val="0"/>
        <charset val="1"/>
      </rPr>
      <t xml:space="preserve">EV/EBITDA </t>
    </r>
    <r>
      <rPr>
        <sz val="10"/>
        <rFont val="Noto Sans CJK SC"/>
        <family val="2"/>
      </rPr>
      <t xml:space="preserve">腿｜</t>
    </r>
    <r>
      <rPr>
        <sz val="10"/>
        <rFont val="Arial"/>
        <family val="0"/>
        <charset val="1"/>
      </rPr>
      <t xml:space="preserve">6.0x</t>
    </r>
  </si>
  <si>
    <r>
      <rPr>
        <sz val="10"/>
        <rFont val="Noto Sans CJK SC"/>
        <family val="2"/>
      </rPr>
      <t xml:space="preserve">錨定</t>
    </r>
    <r>
      <rPr>
        <sz val="10"/>
        <rFont val="Arial"/>
        <family val="0"/>
        <charset val="1"/>
      </rPr>
      <t xml:space="preserve">×</t>
    </r>
    <r>
      <rPr>
        <sz val="10"/>
        <rFont val="Noto Sans CJK SC"/>
        <family val="2"/>
      </rPr>
      <t xml:space="preserve">倍數｜</t>
    </r>
    <r>
      <rPr>
        <sz val="10"/>
        <rFont val="Arial"/>
        <family val="0"/>
        <charset val="1"/>
      </rPr>
      <t xml:space="preserve">EV/EBITDA </t>
    </r>
    <r>
      <rPr>
        <sz val="10"/>
        <rFont val="Noto Sans CJK SC"/>
        <family val="2"/>
      </rPr>
      <t xml:space="preserve">腿｜</t>
    </r>
    <r>
      <rPr>
        <sz val="10"/>
        <rFont val="Arial"/>
        <family val="0"/>
        <charset val="1"/>
      </rPr>
      <t xml:space="preserve">7.0x</t>
    </r>
  </si>
  <si>
    <r>
      <rPr>
        <b val="true"/>
        <sz val="11"/>
        <color rgb="FFFFFFFF"/>
        <rFont val="Arial"/>
        <family val="0"/>
        <charset val="1"/>
      </rPr>
      <t xml:space="preserve">OCI </t>
    </r>
    <r>
      <rPr>
        <b val="true"/>
        <sz val="11"/>
        <color rgb="FFFFFFFF"/>
        <rFont val="Noto Sans CJK SC"/>
        <family val="2"/>
      </rPr>
      <t xml:space="preserve">倍數 ＼ 錨定（加權目標價）</t>
    </r>
  </si>
  <si>
    <r>
      <rPr>
        <sz val="10"/>
        <rFont val="Noto Sans CJK SC"/>
        <family val="2"/>
      </rPr>
      <t xml:space="preserve">錨定</t>
    </r>
    <r>
      <rPr>
        <sz val="10"/>
        <rFont val="Arial"/>
        <family val="0"/>
        <charset val="1"/>
      </rPr>
      <t xml:space="preserve">×</t>
    </r>
    <r>
      <rPr>
        <sz val="10"/>
        <rFont val="Noto Sans CJK SC"/>
        <family val="2"/>
      </rPr>
      <t xml:space="preserve">倍數｜加權目標價｜</t>
    </r>
    <r>
      <rPr>
        <sz val="10"/>
        <rFont val="Arial"/>
        <family val="0"/>
        <charset val="1"/>
      </rPr>
      <t xml:space="preserve">3.4x</t>
    </r>
  </si>
  <si>
    <r>
      <rPr>
        <sz val="10"/>
        <rFont val="Noto Sans CJK SC"/>
        <family val="2"/>
      </rPr>
      <t xml:space="preserve">錨定</t>
    </r>
    <r>
      <rPr>
        <sz val="10"/>
        <rFont val="Arial"/>
        <family val="0"/>
        <charset val="1"/>
      </rPr>
      <t xml:space="preserve">×</t>
    </r>
    <r>
      <rPr>
        <sz val="10"/>
        <rFont val="Noto Sans CJK SC"/>
        <family val="2"/>
      </rPr>
      <t xml:space="preserve">倍數｜加權目標價｜</t>
    </r>
    <r>
      <rPr>
        <sz val="10"/>
        <rFont val="Arial"/>
        <family val="0"/>
        <charset val="1"/>
      </rPr>
      <t xml:space="preserve">4.5x</t>
    </r>
  </si>
  <si>
    <r>
      <rPr>
        <sz val="10"/>
        <rFont val="Noto Sans CJK SC"/>
        <family val="2"/>
      </rPr>
      <t xml:space="preserve">錨定</t>
    </r>
    <r>
      <rPr>
        <sz val="10"/>
        <rFont val="Arial"/>
        <family val="0"/>
        <charset val="1"/>
      </rPr>
      <t xml:space="preserve">×</t>
    </r>
    <r>
      <rPr>
        <sz val="10"/>
        <rFont val="Noto Sans CJK SC"/>
        <family val="2"/>
      </rPr>
      <t xml:space="preserve">倍數｜加權目標價｜</t>
    </r>
    <r>
      <rPr>
        <sz val="10"/>
        <rFont val="Arial"/>
        <family val="0"/>
        <charset val="1"/>
      </rPr>
      <t xml:space="preserve">5.0x</t>
    </r>
  </si>
  <si>
    <r>
      <rPr>
        <sz val="10"/>
        <rFont val="Noto Sans CJK SC"/>
        <family val="2"/>
      </rPr>
      <t xml:space="preserve">錨定</t>
    </r>
    <r>
      <rPr>
        <sz val="10"/>
        <rFont val="Arial"/>
        <family val="0"/>
        <charset val="1"/>
      </rPr>
      <t xml:space="preserve">×</t>
    </r>
    <r>
      <rPr>
        <sz val="10"/>
        <rFont val="Noto Sans CJK SC"/>
        <family val="2"/>
      </rPr>
      <t xml:space="preserve">倍數｜加權目標價｜</t>
    </r>
    <r>
      <rPr>
        <sz val="10"/>
        <rFont val="Arial"/>
        <family val="0"/>
        <charset val="1"/>
      </rPr>
      <t xml:space="preserve">6.0x</t>
    </r>
  </si>
  <si>
    <r>
      <rPr>
        <sz val="10"/>
        <rFont val="Noto Sans CJK SC"/>
        <family val="2"/>
      </rPr>
      <t xml:space="preserve">錨定</t>
    </r>
    <r>
      <rPr>
        <sz val="10"/>
        <rFont val="Arial"/>
        <family val="0"/>
        <charset val="1"/>
      </rPr>
      <t xml:space="preserve">×</t>
    </r>
    <r>
      <rPr>
        <sz val="10"/>
        <rFont val="Noto Sans CJK SC"/>
        <family val="2"/>
      </rPr>
      <t xml:space="preserve">倍數｜加權目標價｜</t>
    </r>
    <r>
      <rPr>
        <sz val="10"/>
        <rFont val="Arial"/>
        <family val="0"/>
        <charset val="1"/>
      </rPr>
      <t xml:space="preserve">7.0x</t>
    </r>
  </si>
  <si>
    <r>
      <rPr>
        <b val="true"/>
        <sz val="14"/>
        <rFont val="Noto Sans CJK SC"/>
        <family val="2"/>
      </rPr>
      <t xml:space="preserve">反向 </t>
    </r>
    <r>
      <rPr>
        <b val="true"/>
        <sz val="14"/>
        <rFont val="Arial"/>
        <family val="0"/>
        <charset val="1"/>
      </rPr>
      <t xml:space="preserve">DCF — </t>
    </r>
    <r>
      <rPr>
        <b val="true"/>
        <sz val="14"/>
        <rFont val="Noto Sans CJK SC"/>
        <family val="2"/>
      </rPr>
      <t xml:space="preserve">現價隱含什麼樣的收入與成本</t>
    </r>
  </si>
  <si>
    <r>
      <rPr>
        <sz val="9"/>
        <color rgb="FF595959"/>
        <rFont val="Noto Sans CJK SC"/>
        <family val="2"/>
      </rPr>
      <t xml:space="preserve">不是問「值多少」，而是問「要值現價，營運要長什麼樣」。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以『目標搜尋』反解；下方另附 </t>
    </r>
    <r>
      <rPr>
        <sz val="9"/>
        <color rgb="FF595959"/>
        <rFont val="Arial"/>
        <family val="0"/>
        <charset val="1"/>
      </rPr>
      <t xml:space="preserve">HTML </t>
    </r>
    <r>
      <rPr>
        <sz val="9"/>
        <color rgb="FF595959"/>
        <rFont val="Noto Sans CJK SC"/>
        <family val="2"/>
      </rPr>
      <t xml:space="preserve">即時計算結果的快照（</t>
    </r>
    <r>
      <rPr>
        <sz val="9"/>
        <color rgb="FF595959"/>
        <rFont val="Arial"/>
        <family val="0"/>
        <charset val="1"/>
      </rPr>
      <t xml:space="preserve">v4.0 </t>
    </r>
    <r>
      <rPr>
        <sz val="9"/>
        <color rgb="FF595959"/>
        <rFont val="Noto Sans CJK SC"/>
        <family val="2"/>
      </rPr>
      <t xml:space="preserve">預設輸入）</t>
    </r>
  </si>
  <si>
    <r>
      <rPr>
        <b val="true"/>
        <sz val="10"/>
        <rFont val="Noto Sans CJK SC"/>
        <family val="2"/>
      </rPr>
      <t xml:space="preserve">即時：目前 </t>
    </r>
    <r>
      <rPr>
        <b val="true"/>
        <sz val="10"/>
        <rFont val="Arial"/>
        <family val="0"/>
        <charset val="1"/>
      </rPr>
      <t xml:space="preserve">DCF </t>
    </r>
    <r>
      <rPr>
        <b val="true"/>
        <sz val="10"/>
        <rFont val="Noto Sans CJK SC"/>
        <family val="2"/>
      </rPr>
      <t xml:space="preserve">與現價的差距</t>
    </r>
  </si>
  <si>
    <r>
      <rPr>
        <sz val="10"/>
        <rFont val="Noto Sans CJK SC"/>
        <family val="2"/>
      </rPr>
      <t xml:space="preserve">目前 </t>
    </r>
    <r>
      <rPr>
        <sz val="10"/>
        <rFont val="Arial"/>
        <family val="0"/>
        <charset val="1"/>
      </rPr>
      <t xml:space="preserve">DCF </t>
    </r>
    <r>
      <rPr>
        <sz val="10"/>
        <rFont val="Noto Sans CJK SC"/>
        <family val="2"/>
      </rPr>
      <t xml:space="preserve">每股（依下限方式）</t>
    </r>
  </si>
  <si>
    <r>
      <rPr>
        <b val="true"/>
        <sz val="10"/>
        <rFont val="Noto Sans CJK SC"/>
        <family val="2"/>
      </rPr>
      <t xml:space="preserve">差距（</t>
    </r>
    <r>
      <rPr>
        <b val="true"/>
        <sz val="10"/>
        <rFont val="Arial"/>
        <family val="0"/>
        <charset val="1"/>
      </rPr>
      <t xml:space="preserve">DCF − </t>
    </r>
    <r>
      <rPr>
        <b val="true"/>
        <sz val="10"/>
        <rFont val="Noto Sans CJK SC"/>
        <family val="2"/>
      </rPr>
      <t xml:space="preserve">現價）＝目標搜尋的『設定儲存格』</t>
    </r>
  </si>
  <si>
    <r>
      <rPr>
        <sz val="10"/>
        <rFont val="Noto Sans CJK SC"/>
        <family val="2"/>
      </rPr>
      <t xml:space="preserve">目前每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年收入倍數／建置成本倍數</t>
    </r>
  </si>
  <si>
    <t xml:space="preserve">操作：用『目標搜尋』反解（資料 → 模擬分析 → 目標搜尋）</t>
  </si>
  <si>
    <r>
      <rPr>
        <sz val="9"/>
        <color rgb="FF595959"/>
        <rFont val="Noto Sans CJK SC"/>
        <family val="2"/>
      </rPr>
      <t xml:space="preserve">① 設定儲存格：本頁 </t>
    </r>
    <r>
      <rPr>
        <sz val="9"/>
        <color rgb="FF595959"/>
        <rFont val="Arial"/>
        <family val="0"/>
        <charset val="1"/>
      </rPr>
      <t xml:space="preserve">B7</t>
    </r>
    <r>
      <rPr>
        <sz val="9"/>
        <color rgb="FF595959"/>
        <rFont val="Noto Sans CJK SC"/>
        <family val="2"/>
      </rPr>
      <t xml:space="preserve">；目標值：</t>
    </r>
    <r>
      <rPr>
        <sz val="9"/>
        <color rgb="FF595959"/>
        <rFont val="Arial"/>
        <family val="0"/>
        <charset val="1"/>
      </rPr>
      <t xml:space="preserve">0</t>
    </r>
  </si>
  <si>
    <r>
      <rPr>
        <sz val="9"/>
        <color rgb="FF595959"/>
        <rFont val="Noto Sans CJK SC"/>
        <family val="2"/>
      </rPr>
      <t xml:space="preserve">② 變數儲存格（擇一）：輸入與假設 </t>
    </r>
    <r>
      <rPr>
        <sz val="9"/>
        <color rgb="FF595959"/>
        <rFont val="Arial"/>
        <family val="0"/>
        <charset val="1"/>
      </rPr>
      <t xml:space="preserve">B </t>
    </r>
    <r>
      <rPr>
        <sz val="9"/>
        <color rgb="FF595959"/>
        <rFont val="Noto Sans CJK SC"/>
        <family val="2"/>
      </rPr>
      <t xml:space="preserve">區『每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年收入倍數』→ 市價隱含單價；或 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區『每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建置成本倍數』→ 市價隱含建置成本；或 </t>
    </r>
    <r>
      <rPr>
        <sz val="9"/>
        <color rgb="FF595959"/>
        <rFont val="Arial"/>
        <family val="0"/>
        <charset val="1"/>
      </rPr>
      <t xml:space="preserve">C </t>
    </r>
    <r>
      <rPr>
        <sz val="9"/>
        <color rgb="FF595959"/>
        <rFont val="Noto Sans CJK SC"/>
        <family val="2"/>
      </rPr>
      <t xml:space="preserve">區『穩態 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Noto Sans CJK SC"/>
        <family val="2"/>
      </rPr>
      <t xml:space="preserve">率』</t>
    </r>
  </si>
  <si>
    <r>
      <rPr>
        <sz val="9"/>
        <color rgb="FF595959"/>
        <rFont val="Noto Sans CJK SC"/>
        <family val="2"/>
      </rPr>
      <t xml:space="preserve">③ 解完請記下結果，再把倍數改回 </t>
    </r>
    <r>
      <rPr>
        <sz val="9"/>
        <color rgb="FF595959"/>
        <rFont val="Arial"/>
        <family val="0"/>
        <charset val="1"/>
      </rPr>
      <t xml:space="preserve">100%</t>
    </r>
    <r>
      <rPr>
        <sz val="9"/>
        <color rgb="FF595959"/>
        <rFont val="Noto Sans CJK SC"/>
        <family val="2"/>
      </rPr>
      <t xml:space="preserve">（或按 </t>
    </r>
    <r>
      <rPr>
        <sz val="9"/>
        <color rgb="FF595959"/>
        <rFont val="Arial"/>
        <family val="0"/>
        <charset val="1"/>
      </rPr>
      <t xml:space="preserve">Ctrl+Z</t>
    </r>
    <r>
      <rPr>
        <sz val="9"/>
        <color rgb="FF595959"/>
        <rFont val="Noto Sans CJK SC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Noto Sans CJK SC"/>
        <family val="2"/>
      </rPr>
      <t xml:space="preserve">以 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截斷時，負值區域斜率為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，請從 </t>
    </r>
    <r>
      <rPr>
        <sz val="9"/>
        <color rgb="FF595959"/>
        <rFont val="Arial"/>
        <family val="0"/>
        <charset val="1"/>
      </rPr>
      <t xml:space="preserve">100% </t>
    </r>
    <r>
      <rPr>
        <sz val="9"/>
        <color rgb="FF595959"/>
        <rFont val="Noto Sans CJK SC"/>
        <family val="2"/>
      </rPr>
      <t xml:space="preserve">以上開始搜尋</t>
    </r>
  </si>
  <si>
    <r>
      <rPr>
        <sz val="9"/>
        <color rgb="FF595959"/>
        <rFont val="Noto Sans CJK SC"/>
        <family val="2"/>
      </rPr>
      <t xml:space="preserve">④ 組合分析：先把 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區建置成本倍數與 </t>
    </r>
    <r>
      <rPr>
        <sz val="9"/>
        <color rgb="FF595959"/>
        <rFont val="Arial"/>
        <family val="0"/>
        <charset val="1"/>
      </rPr>
      <t xml:space="preserve">C </t>
    </r>
    <r>
      <rPr>
        <sz val="9"/>
        <color rgb="FF595959"/>
        <rFont val="Noto Sans CJK SC"/>
        <family val="2"/>
      </rPr>
      <t xml:space="preserve">區穩態 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Noto Sans CJK SC"/>
        <family val="2"/>
      </rPr>
      <t xml:space="preserve">率設為想測的值，再對『每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年收入倍數』做目標搜尋，即得下方矩陣中的一格</t>
    </r>
  </si>
  <si>
    <r>
      <rPr>
        <b val="true"/>
        <sz val="10"/>
        <rFont val="Noto Sans CJK SC"/>
        <family val="2"/>
      </rPr>
      <t xml:space="preserve">快照：單一槓桿（</t>
    </r>
    <r>
      <rPr>
        <b val="true"/>
        <sz val="10"/>
        <rFont val="Arial"/>
        <family val="0"/>
        <charset val="1"/>
      </rPr>
      <t xml:space="preserve">HTML v4.0 </t>
    </r>
    <r>
      <rPr>
        <b val="true"/>
        <sz val="10"/>
        <rFont val="Noto Sans CJK SC"/>
        <family val="2"/>
      </rPr>
      <t xml:space="preserve">預設輸入，</t>
    </r>
    <r>
      <rPr>
        <b val="true"/>
        <sz val="10"/>
        <rFont val="Arial"/>
        <family val="0"/>
        <charset val="1"/>
      </rPr>
      <t xml:space="preserve">DCF 0 </t>
    </r>
    <r>
      <rPr>
        <b val="true"/>
        <sz val="10"/>
        <rFont val="Noto Sans CJK SC"/>
        <family val="2"/>
      </rPr>
      <t xml:space="preserve">截斷）</t>
    </r>
  </si>
  <si>
    <t xml:space="preserve">單一槓桿（其他不變）</t>
  </si>
  <si>
    <t xml:space="preserve">目前</t>
  </si>
  <si>
    <t xml:space="preserve">市價隱含</t>
  </si>
  <si>
    <t xml:space="preserve">變動</t>
  </si>
  <si>
    <t xml:space="preserve">對照</t>
  </si>
  <si>
    <r>
      <rPr>
        <sz val="10"/>
        <rFont val="Arial"/>
        <family val="0"/>
        <charset val="1"/>
      </rPr>
      <t xml:space="preserve">FY31 </t>
    </r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年收入（</t>
    </r>
    <r>
      <rPr>
        <sz val="10"/>
        <rFont val="Arial"/>
        <family val="0"/>
        <charset val="1"/>
      </rPr>
      <t xml:space="preserve">US$m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</si>
  <si>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Oracle </t>
    </r>
    <r>
      <rPr>
        <sz val="9"/>
        <color rgb="FF595959"/>
        <rFont val="Noto Sans CJK SC"/>
        <family val="2"/>
      </rPr>
      <t xml:space="preserve">對照：</t>
    </r>
    <r>
      <rPr>
        <sz val="9"/>
        <color rgb="FF595959"/>
        <rFont val="Arial"/>
        <family val="0"/>
        <charset val="1"/>
      </rPr>
      <t xml:space="preserve">OCI </t>
    </r>
    <r>
      <rPr>
        <sz val="9"/>
        <color rgb="FF595959"/>
        <rFont val="Noto Sans CJK SC"/>
        <family val="2"/>
      </rPr>
      <t xml:space="preserve">年化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新增 </t>
    </r>
    <r>
      <rPr>
        <sz val="9"/>
        <color rgb="FF595959"/>
        <rFont val="Arial"/>
        <family val="0"/>
        <charset val="1"/>
      </rPr>
      <t xml:space="preserve">MW 14.4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合約隱含 </t>
    </r>
    <r>
      <rPr>
        <sz val="9"/>
        <color rgb="FF595959"/>
        <rFont val="Arial"/>
        <family val="0"/>
        <charset val="1"/>
      </rPr>
      <t xml:space="preserve">13.3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口徑不明）</t>
    </r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</si>
  <si>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建置成本（</t>
    </r>
    <r>
      <rPr>
        <sz val="10"/>
        <rFont val="Arial"/>
        <family val="0"/>
        <charset val="1"/>
      </rPr>
      <t xml:space="preserve">US$m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</si>
  <si>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FY27 </t>
    </r>
    <r>
      <rPr>
        <sz val="9"/>
        <color rgb="FF595959"/>
        <rFont val="Noto Sans CJK SC"/>
        <family val="2"/>
      </rPr>
      <t xml:space="preserve">指引 </t>
    </r>
    <r>
      <rPr>
        <sz val="9"/>
        <color rgb="FF595959"/>
        <rFont val="Arial"/>
        <family val="0"/>
        <charset val="1"/>
      </rPr>
      <t xml:space="preserve">90–95 ÷ </t>
    </r>
    <r>
      <rPr>
        <sz val="9"/>
        <color rgb="FF595959"/>
        <rFont val="Noto Sans CJK SC"/>
        <family val="2"/>
      </rPr>
      <t xml:space="preserve">估計新增 </t>
    </r>
    <r>
      <rPr>
        <sz val="9"/>
        <color rgb="FF595959"/>
        <rFont val="Arial"/>
        <family val="0"/>
        <charset val="1"/>
      </rPr>
      <t xml:space="preserve">MW-IT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2,800 ≈ $32–34m</t>
    </r>
    <r>
      <rPr>
        <sz val="9"/>
        <color rgb="FF595959"/>
        <rFont val="Noto Sans CJK SC"/>
        <family val="2"/>
      </rPr>
      <t xml:space="preserve">（含客戶自帶硬體效果）</t>
    </r>
  </si>
  <si>
    <r>
      <rPr>
        <sz val="9"/>
        <color rgb="FF595959"/>
        <rFont val="Arial"/>
        <family val="0"/>
        <charset val="1"/>
      </rPr>
      <t xml:space="preserve">OCI</t>
    </r>
    <r>
      <rPr>
        <sz val="9"/>
        <color rgb="FF595959"/>
        <rFont val="Noto Sans CJK SC"/>
        <family val="2"/>
      </rPr>
      <t xml:space="preserve">（算力）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Noto Sans CJK SC"/>
        <family val="2"/>
      </rPr>
      <t xml:space="preserve">率；傳統事業 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Noto Sans CJK SC"/>
        <family val="2"/>
      </rPr>
      <t xml:space="preserve">率固定不動。可觀察 </t>
    </r>
    <r>
      <rPr>
        <sz val="9"/>
        <color rgb="FF595959"/>
        <rFont val="Arial"/>
        <family val="0"/>
        <charset val="1"/>
      </rPr>
      <t xml:space="preserve">neocloud </t>
    </r>
    <r>
      <rPr>
        <sz val="9"/>
        <color rgb="FF595959"/>
        <rFont val="Noto Sans CJK SC"/>
        <family val="2"/>
      </rPr>
      <t xml:space="preserve">區間 </t>
    </r>
    <r>
      <rPr>
        <sz val="9"/>
        <color rgb="FF595959"/>
        <rFont val="Arial"/>
        <family val="0"/>
        <charset val="1"/>
      </rPr>
      <t xml:space="preserve">IREN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35%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CRWV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59%</t>
    </r>
    <r>
      <rPr>
        <sz val="9"/>
        <color rgb="FF595959"/>
        <rFont val="Noto Sans CJK SC"/>
        <family val="2"/>
      </rPr>
      <t xml:space="preserve">（變動為百分點）</t>
    </r>
  </si>
  <si>
    <r>
      <rPr>
        <sz val="10"/>
        <rFont val="Noto Sans CJK SC"/>
        <family val="2"/>
      </rPr>
      <t xml:space="preserve">（對照）加權目標價＝現價所需每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年收入</t>
    </r>
  </si>
  <si>
    <r>
      <rPr>
        <sz val="9"/>
        <color rgb="FF595959"/>
        <rFont val="Noto Sans CJK SC"/>
        <family val="2"/>
      </rPr>
      <t xml:space="preserve">含 </t>
    </r>
    <r>
      <rPr>
        <sz val="9"/>
        <color rgb="FF595959"/>
        <rFont val="Arial"/>
        <family val="0"/>
        <charset val="1"/>
      </rPr>
      <t xml:space="preserve">EV/EBITDA </t>
    </r>
    <r>
      <rPr>
        <sz val="9"/>
        <color rgb="FF595959"/>
        <rFont val="Noto Sans CJK SC"/>
        <family val="2"/>
      </rPr>
      <t xml:space="preserve">腿（</t>
    </r>
    <r>
      <rPr>
        <sz val="9"/>
        <color rgb="FF595959"/>
        <rFont val="Arial"/>
        <family val="0"/>
        <charset val="1"/>
      </rPr>
      <t xml:space="preserve">FY29 </t>
    </r>
    <r>
      <rPr>
        <sz val="9"/>
        <color rgb="FF595959"/>
        <rFont val="Noto Sans CJK SC"/>
        <family val="2"/>
      </rPr>
      <t xml:space="preserve">錨定）；非純反向 </t>
    </r>
    <r>
      <rPr>
        <sz val="9"/>
        <color rgb="FF595959"/>
        <rFont val="Arial"/>
        <family val="0"/>
        <charset val="1"/>
      </rPr>
      <t xml:space="preserve">DCF</t>
    </r>
  </si>
  <si>
    <r>
      <rPr>
        <b val="true"/>
        <sz val="10"/>
        <rFont val="Noto Sans CJK SC"/>
        <family val="2"/>
      </rPr>
      <t xml:space="preserve">快照：收入與成本的綜合影響——要值現價，</t>
    </r>
    <r>
      <rPr>
        <b val="true"/>
        <sz val="10"/>
        <rFont val="Arial"/>
        <family val="0"/>
        <charset val="1"/>
      </rPr>
      <t xml:space="preserve">FY31 </t>
    </r>
    <r>
      <rPr>
        <b val="true"/>
        <sz val="10"/>
        <rFont val="Noto Sans CJK SC"/>
        <family val="2"/>
      </rPr>
      <t xml:space="preserve">每 </t>
    </r>
    <r>
      <rPr>
        <b val="true"/>
        <sz val="10"/>
        <rFont val="Arial"/>
        <family val="0"/>
        <charset val="1"/>
      </rPr>
      <t xml:space="preserve">MW </t>
    </r>
    <r>
      <rPr>
        <b val="true"/>
        <sz val="10"/>
        <rFont val="Noto Sans CJK SC"/>
        <family val="2"/>
      </rPr>
      <t xml:space="preserve">年收入需要多少（</t>
    </r>
    <r>
      <rPr>
        <b val="true"/>
        <sz val="10"/>
        <rFont val="Arial"/>
        <family val="0"/>
        <charset val="1"/>
      </rPr>
      <t xml:space="preserve">US$m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</si>
  <si>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1"/>
        <color rgb="FFFFFFFF"/>
        <rFont val="Noto Sans CJK SC"/>
        <family val="2"/>
      </rPr>
      <t xml:space="preserve">建置成本 ＼ 穩態 </t>
    </r>
    <r>
      <rPr>
        <b val="true"/>
        <sz val="11"/>
        <color rgb="FFFFFFFF"/>
        <rFont val="Arial"/>
        <family val="0"/>
        <charset val="1"/>
      </rPr>
      <t xml:space="preserve">EBITDA </t>
    </r>
    <r>
      <rPr>
        <b val="true"/>
        <sz val="11"/>
        <color rgb="FFFFFFFF"/>
        <rFont val="Noto Sans CJK SC"/>
        <family val="2"/>
      </rPr>
      <t xml:space="preserve">率</t>
    </r>
  </si>
  <si>
    <r>
      <rPr>
        <sz val="9"/>
        <color rgb="FF595959"/>
        <rFont val="Noto Sans CJK SC"/>
        <family val="2"/>
      </rPr>
      <t xml:space="preserve">矩陣保留 </t>
    </r>
    <r>
      <rPr>
        <sz val="9"/>
        <color rgb="FF595959"/>
        <rFont val="Arial"/>
        <family val="0"/>
        <charset val="1"/>
      </rPr>
      <t xml:space="preserve">OCI EBITDA </t>
    </r>
    <r>
      <rPr>
        <sz val="9"/>
        <color rgb="FF595959"/>
        <rFont val="Noto Sans CJK SC"/>
        <family val="2"/>
      </rPr>
      <t xml:space="preserve">率維度：傳統事業（約 </t>
    </r>
    <r>
      <rPr>
        <sz val="9"/>
        <color rgb="FF595959"/>
        <rFont val="Arial"/>
        <family val="0"/>
        <charset val="1"/>
      </rPr>
      <t xml:space="preserve">54% EBITDA </t>
    </r>
    <r>
      <rPr>
        <sz val="9"/>
        <color rgb="FF595959"/>
        <rFont val="Noto Sans CJK SC"/>
        <family val="2"/>
      </rPr>
      <t xml:space="preserve">率、軟體同業倍數）不隨此表變動，表內只測算力業務的單位經濟</t>
    </r>
  </si>
  <si>
    <r>
      <rPr>
        <sz val="10"/>
        <rFont val="Arial"/>
        <family val="0"/>
        <charset val="1"/>
      </rPr>
      <t xml:space="preserve">$26.3m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-30%</t>
    </r>
    <r>
      <rPr>
        <sz val="10"/>
        <rFont val="Noto Sans CJK SC"/>
        <family val="2"/>
      </rPr>
      <t xml:space="preserve">）</t>
    </r>
  </si>
  <si>
    <r>
      <rPr>
        <sz val="10"/>
        <rFont val="Arial"/>
        <family val="0"/>
        <charset val="1"/>
      </rPr>
      <t xml:space="preserve">$30.1m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-20%</t>
    </r>
    <r>
      <rPr>
        <sz val="10"/>
        <rFont val="Noto Sans CJK SC"/>
        <family val="2"/>
      </rPr>
      <t xml:space="preserve">）</t>
    </r>
  </si>
  <si>
    <r>
      <rPr>
        <sz val="10"/>
        <rFont val="Arial"/>
        <family val="0"/>
        <charset val="1"/>
      </rPr>
      <t xml:space="preserve">$33.8m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-10%</t>
    </r>
    <r>
      <rPr>
        <sz val="10"/>
        <rFont val="Noto Sans CJK SC"/>
        <family val="2"/>
      </rPr>
      <t xml:space="preserve">）</t>
    </r>
  </si>
  <si>
    <r>
      <rPr>
        <sz val="10"/>
        <rFont val="Arial"/>
        <family val="0"/>
        <charset val="1"/>
      </rPr>
      <t xml:space="preserve">$37.6m</t>
    </r>
    <r>
      <rPr>
        <sz val="10"/>
        <rFont val="Noto Sans CJK SC"/>
        <family val="2"/>
      </rPr>
      <t xml:space="preserve">（目前）</t>
    </r>
  </si>
  <si>
    <r>
      <rPr>
        <sz val="10"/>
        <rFont val="Arial"/>
        <family val="0"/>
        <charset val="1"/>
      </rPr>
      <t xml:space="preserve">$41.3m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+10%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</si>
  <si>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快照為靜態數值（</t>
    </r>
    <r>
      <rPr>
        <sz val="9"/>
        <color rgb="FF595959"/>
        <rFont val="Arial"/>
        <family val="0"/>
        <charset val="1"/>
      </rPr>
      <t xml:space="preserve">HTML </t>
    </r>
    <r>
      <rPr>
        <sz val="9"/>
        <color rgb="FF595959"/>
        <rFont val="Noto Sans CJK SC"/>
        <family val="2"/>
      </rPr>
      <t xml:space="preserve">以同一引擎即時計算）；改變輸入後請以目標搜尋重算，或參考 </t>
    </r>
    <r>
      <rPr>
        <sz val="9"/>
        <color rgb="FF595959"/>
        <rFont val="Arial"/>
        <family val="0"/>
        <charset val="1"/>
      </rPr>
      <t xml:space="preserve">HTML</t>
    </r>
    <r>
      <rPr>
        <sz val="9"/>
        <color rgb="FF595959"/>
        <rFont val="Noto Sans CJK SC"/>
        <family val="2"/>
      </rPr>
      <t xml:space="preserve">『評價 → 反向 </t>
    </r>
    <r>
      <rPr>
        <sz val="9"/>
        <color rgb="FF595959"/>
        <rFont val="Arial"/>
        <family val="0"/>
        <charset val="1"/>
      </rPr>
      <t xml:space="preserve">DCF</t>
    </r>
    <r>
      <rPr>
        <sz val="9"/>
        <color rgb="FF595959"/>
        <rFont val="Noto Sans CJK SC"/>
        <family val="2"/>
      </rPr>
      <t xml:space="preserve">』</t>
    </r>
  </si>
  <si>
    <r>
      <rPr>
        <b val="true"/>
        <sz val="14"/>
        <rFont val="Noto Sans CJK SC"/>
        <family val="2"/>
      </rPr>
      <t xml:space="preserve">可比公司 — 以 </t>
    </r>
    <r>
      <rPr>
        <b val="true"/>
        <sz val="14"/>
        <rFont val="Arial"/>
        <family val="0"/>
        <charset val="1"/>
      </rPr>
      <t xml:space="preserve">EV/Sales </t>
    </r>
    <r>
      <rPr>
        <b val="true"/>
        <sz val="14"/>
        <rFont val="Noto Sans CJK SC"/>
        <family val="2"/>
      </rPr>
      <t xml:space="preserve">為主（市值：</t>
    </r>
    <r>
      <rPr>
        <b val="true"/>
        <sz val="14"/>
        <rFont val="Arial"/>
        <family val="0"/>
        <charset val="1"/>
      </rPr>
      <t xml:space="preserve">2026-09-21 </t>
    </r>
    <r>
      <rPr>
        <b val="true"/>
        <sz val="14"/>
        <rFont val="Noto Sans CJK SC"/>
        <family val="2"/>
      </rPr>
      <t xml:space="preserve">收盤）</t>
    </r>
  </si>
  <si>
    <r>
      <rPr>
        <sz val="9"/>
        <color rgb="FF595959"/>
        <rFont val="Arial"/>
        <family val="0"/>
        <charset val="1"/>
      </rPr>
      <t xml:space="preserve">EV</t>
    </r>
    <r>
      <rPr>
        <sz val="9"/>
        <color rgb="FF595959"/>
        <rFont val="Noto Sans CJK SC"/>
        <family val="2"/>
      </rPr>
      <t xml:space="preserve">＝市值＋（有息負債−非受限現金）；含租賃＝</t>
    </r>
    <r>
      <rPr>
        <sz val="9"/>
        <color rgb="FF595959"/>
        <rFont val="Arial"/>
        <family val="0"/>
        <charset val="1"/>
      </rPr>
      <t xml:space="preserve">EV</t>
    </r>
    <r>
      <rPr>
        <sz val="9"/>
        <color rgb="FF595959"/>
        <rFont val="Noto Sans CJK SC"/>
        <family val="2"/>
      </rPr>
      <t xml:space="preserve">＋營業租賃負債。</t>
    </r>
    <r>
      <rPr>
        <sz val="9"/>
        <color rgb="FF595959"/>
        <rFont val="Arial"/>
        <family val="0"/>
        <charset val="1"/>
      </rPr>
      <t xml:space="preserve">EV/EBITDA </t>
    </r>
    <r>
      <rPr>
        <sz val="9"/>
        <color rgb="FF595959"/>
        <rFont val="Noto Sans CJK SC"/>
        <family val="2"/>
      </rPr>
      <t xml:space="preserve">僅供參考（</t>
    </r>
    <r>
      <rPr>
        <sz val="9"/>
        <color rgb="FF595959"/>
        <rFont val="Arial"/>
        <family val="0"/>
        <charset val="1"/>
      </rPr>
      <t xml:space="preserve">GAAP EBITDA </t>
    </r>
    <r>
      <rPr>
        <sz val="9"/>
        <color rgb="FF595959"/>
        <rFont val="Noto Sans CJK SC"/>
        <family val="2"/>
      </rPr>
      <t xml:space="preserve">為負者顯示 </t>
    </r>
    <r>
      <rPr>
        <sz val="9"/>
        <color rgb="FF595959"/>
        <rFont val="Arial"/>
        <family val="0"/>
        <charset val="1"/>
      </rPr>
      <t xml:space="preserve">n/m</t>
    </r>
    <r>
      <rPr>
        <sz val="9"/>
        <color rgb="FF595959"/>
        <rFont val="Noto Sans CJK SC"/>
        <family val="2"/>
      </rPr>
      <t xml:space="preserve">）。此表不進入目標價。與 </t>
    </r>
    <r>
      <rPr>
        <sz val="9"/>
        <color rgb="FF595959"/>
        <rFont val="Arial"/>
        <family val="0"/>
        <charset val="1"/>
      </rPr>
      <t xml:space="preserve">HTML Comps </t>
    </r>
    <r>
      <rPr>
        <sz val="9"/>
        <color rgb="FF595959"/>
        <rFont val="Noto Sans CJK SC"/>
        <family val="2"/>
      </rPr>
      <t xml:space="preserve">分頁同一組數字</t>
    </r>
  </si>
  <si>
    <t xml:space="preserve">公司</t>
  </si>
  <si>
    <t xml:space="preserve">市值</t>
  </si>
  <si>
    <t xml:space="preserve">淨負債</t>
  </si>
  <si>
    <t xml:space="preserve">EV</t>
  </si>
  <si>
    <r>
      <rPr>
        <b val="true"/>
        <sz val="11"/>
        <color rgb="FFFFFFFF"/>
        <rFont val="Arial"/>
        <family val="0"/>
        <charset val="1"/>
      </rPr>
      <t xml:space="preserve">TTM </t>
    </r>
    <r>
      <rPr>
        <b val="true"/>
        <sz val="11"/>
        <color rgb="FFFFFFFF"/>
        <rFont val="Noto Sans CJK SC"/>
        <family val="2"/>
      </rPr>
      <t xml:space="preserve">營收</t>
    </r>
  </si>
  <si>
    <r>
      <rPr>
        <b val="true"/>
        <sz val="11"/>
        <color rgb="FFFFFFFF"/>
        <rFont val="Arial"/>
        <family val="0"/>
        <charset val="1"/>
      </rPr>
      <t xml:space="preserve">EV/Sales</t>
    </r>
    <r>
      <rPr>
        <b val="true"/>
        <sz val="11"/>
        <color rgb="FFFFFFFF"/>
        <rFont val="Noto Sans CJK SC"/>
        <family val="2"/>
      </rPr>
      <t xml:space="preserve">（</t>
    </r>
    <r>
      <rPr>
        <b val="true"/>
        <sz val="11"/>
        <color rgb="FFFFFFFF"/>
        <rFont val="Arial"/>
        <family val="0"/>
        <charset val="1"/>
      </rPr>
      <t xml:space="preserve">TTM</t>
    </r>
    <r>
      <rPr>
        <b val="true"/>
        <sz val="11"/>
        <color rgb="FFFFFFFF"/>
        <rFont val="Noto Sans CJK SC"/>
        <family val="2"/>
      </rPr>
      <t xml:space="preserve">）</t>
    </r>
  </si>
  <si>
    <r>
      <rPr>
        <b val="true"/>
        <sz val="11"/>
        <color rgb="FFFFFFFF"/>
        <rFont val="Noto Sans CJK SC"/>
        <family val="2"/>
      </rPr>
      <t xml:space="preserve">含租賃 </t>
    </r>
    <r>
      <rPr>
        <b val="true"/>
        <sz val="11"/>
        <color rgb="FFFFFFFF"/>
        <rFont val="Arial"/>
        <family val="0"/>
        <charset val="1"/>
      </rPr>
      <t xml:space="preserve">EV/Sales</t>
    </r>
  </si>
  <si>
    <t xml:space="preserve">TTM EBITDA</t>
  </si>
  <si>
    <t xml:space="preserve">EV/EBITDA</t>
  </si>
  <si>
    <t xml:space="preserve">資料期</t>
  </si>
  <si>
    <t xml:space="preserve">CRWV CoreWeave</t>
  </si>
  <si>
    <r>
      <rPr>
        <sz val="9"/>
        <color rgb="FF595959"/>
        <rFont val="Arial"/>
        <family val="0"/>
        <charset val="1"/>
      </rPr>
      <t xml:space="preserve">TTM </t>
    </r>
    <r>
      <rPr>
        <sz val="9"/>
        <color rgb="FF595959"/>
        <rFont val="Noto Sans CJK SC"/>
        <family val="2"/>
      </rPr>
      <t xml:space="preserve">至 </t>
    </r>
    <r>
      <rPr>
        <sz val="9"/>
        <color rgb="FF595959"/>
        <rFont val="Arial"/>
        <family val="0"/>
        <charset val="1"/>
      </rPr>
      <t xml:space="preserve">Q2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6/30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10-Q</t>
    </r>
    <r>
      <rPr>
        <sz val="9"/>
        <color rgb="FF595959"/>
        <rFont val="Noto Sans CJK SC"/>
        <family val="2"/>
      </rPr>
      <t xml:space="preserve">）；市值與 </t>
    </r>
    <r>
      <rPr>
        <sz val="9"/>
        <color rgb="FF595959"/>
        <rFont val="Arial"/>
        <family val="0"/>
        <charset val="1"/>
      </rPr>
      <t xml:space="preserve">EV 2026-10-07</t>
    </r>
  </si>
  <si>
    <r>
      <rPr>
        <sz val="9"/>
        <color rgb="FF595959"/>
        <rFont val="Noto Sans CJK SC"/>
        <family val="2"/>
      </rPr>
      <t xml:space="preserve">營業租賃負債 </t>
    </r>
    <r>
      <rPr>
        <sz val="9"/>
        <color rgb="FF595959"/>
        <rFont val="Arial"/>
        <family val="0"/>
        <charset val="1"/>
      </rPr>
      <t xml:space="preserve">16.54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GAAP </t>
    </r>
    <r>
      <rPr>
        <sz val="9"/>
        <color rgb="FF595959"/>
        <rFont val="Noto Sans CJK SC"/>
        <family val="2"/>
      </rPr>
      <t xml:space="preserve">營業損益 </t>
    </r>
    <r>
      <rPr>
        <sz val="9"/>
        <color rgb="FF595959"/>
        <rFont val="Arial"/>
        <family val="0"/>
        <charset val="1"/>
      </rPr>
      <t xml:space="preserve">-0.231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D&amp;A 3.991</t>
    </r>
    <r>
      <rPr>
        <sz val="9"/>
        <color rgb="FF595959"/>
        <rFont val="Noto Sans CJK SC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CRWV </t>
    </r>
    <r>
      <rPr>
        <sz val="9"/>
        <color rgb="FF595959"/>
        <rFont val="Noto Sans CJK SC"/>
        <family val="2"/>
      </rPr>
      <t xml:space="preserve">市值與 </t>
    </r>
    <r>
      <rPr>
        <sz val="9"/>
        <color rgb="FF595959"/>
        <rFont val="Arial"/>
        <family val="0"/>
        <charset val="1"/>
      </rPr>
      <t xml:space="preserve">EV 2026-10-07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TTM </t>
    </r>
    <r>
      <rPr>
        <sz val="9"/>
        <color rgb="FF595959"/>
        <rFont val="Noto Sans CJK SC"/>
        <family val="2"/>
      </rPr>
      <t xml:space="preserve">至 </t>
    </r>
    <r>
      <rPr>
        <sz val="9"/>
        <color rgb="FF595959"/>
        <rFont val="Arial"/>
        <family val="0"/>
        <charset val="1"/>
      </rPr>
      <t xml:space="preserve">Q2</t>
    </r>
    <r>
      <rPr>
        <sz val="9"/>
        <color rgb="FF595959"/>
        <rFont val="Noto Sans CJK SC"/>
        <family val="2"/>
      </rPr>
      <t xml:space="preserve">；租賃負債 </t>
    </r>
    <r>
      <rPr>
        <sz val="9"/>
        <color rgb="FF595959"/>
        <rFont val="Arial"/>
        <family val="0"/>
        <charset val="1"/>
      </rPr>
      <t xml:space="preserve">16.54</t>
    </r>
  </si>
  <si>
    <t xml:space="preserve">NBIS Nebius</t>
  </si>
  <si>
    <r>
      <rPr>
        <sz val="9"/>
        <color rgb="FF595959"/>
        <rFont val="Noto Sans CJK SC"/>
        <family val="2"/>
      </rPr>
      <t xml:space="preserve">營收 </t>
    </r>
    <r>
      <rPr>
        <sz val="9"/>
        <color rgb="FF595959"/>
        <rFont val="Arial"/>
        <family val="0"/>
        <charset val="1"/>
      </rPr>
      <t xml:space="preserve">TTM </t>
    </r>
    <r>
      <rPr>
        <sz val="9"/>
        <color rgb="FF595959"/>
        <rFont val="Noto Sans CJK SC"/>
        <family val="2"/>
      </rPr>
      <t xml:space="preserve">至 </t>
    </r>
    <r>
      <rPr>
        <sz val="9"/>
        <color rgb="FF595959"/>
        <rFont val="Arial"/>
        <family val="0"/>
        <charset val="1"/>
      </rPr>
      <t xml:space="preserve">Q2</t>
    </r>
    <r>
      <rPr>
        <sz val="9"/>
        <color rgb="FF595959"/>
        <rFont val="Noto Sans CJK SC"/>
        <family val="2"/>
      </rPr>
      <t xml:space="preserve">；營業損益與 </t>
    </r>
    <r>
      <rPr>
        <sz val="9"/>
        <color rgb="FF595959"/>
        <rFont val="Arial"/>
        <family val="0"/>
        <charset val="1"/>
      </rPr>
      <t xml:space="preserve">D&amp;A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FY2025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20-F</t>
    </r>
    <r>
      <rPr>
        <sz val="9"/>
        <color rgb="FF595959"/>
        <rFont val="Noto Sans CJK SC"/>
        <family val="2"/>
      </rPr>
      <t xml:space="preserve">）；市值與 </t>
    </r>
    <r>
      <rPr>
        <sz val="9"/>
        <color rgb="FF595959"/>
        <rFont val="Arial"/>
        <family val="0"/>
        <charset val="1"/>
      </rPr>
      <t xml:space="preserve">EV 2026-10-06</t>
    </r>
  </si>
  <si>
    <r>
      <rPr>
        <sz val="9"/>
        <color rgb="FF595959"/>
        <rFont val="Noto Sans CJK SC"/>
        <family val="2"/>
      </rPr>
      <t xml:space="preserve">營業租賃負債 </t>
    </r>
    <r>
      <rPr>
        <sz val="9"/>
        <color rgb="FF595959"/>
        <rFont val="Arial"/>
        <family val="0"/>
        <charset val="1"/>
      </rPr>
      <t xml:space="preserve">1.6253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GAAP </t>
    </r>
    <r>
      <rPr>
        <sz val="9"/>
        <color rgb="FF595959"/>
        <rFont val="Noto Sans CJK SC"/>
        <family val="2"/>
      </rPr>
      <t xml:space="preserve">營業損益 </t>
    </r>
    <r>
      <rPr>
        <sz val="9"/>
        <color rgb="FF595959"/>
        <rFont val="Arial"/>
        <family val="0"/>
        <charset val="1"/>
      </rPr>
      <t xml:space="preserve">-0.612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D&amp;A 0.418</t>
    </r>
    <r>
      <rPr>
        <sz val="9"/>
        <color rgb="FF595959"/>
        <rFont val="Noto Sans CJK SC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NBIS </t>
    </r>
    <r>
      <rPr>
        <sz val="9"/>
        <color rgb="FF595959"/>
        <rFont val="Noto Sans CJK SC"/>
        <family val="2"/>
      </rPr>
      <t xml:space="preserve">市值與 </t>
    </r>
    <r>
      <rPr>
        <sz val="9"/>
        <color rgb="FF595959"/>
        <rFont val="Arial"/>
        <family val="0"/>
        <charset val="1"/>
      </rPr>
      <t xml:space="preserve">EV 2026-10-06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Noto Sans CJK SC"/>
        <family val="2"/>
      </rPr>
      <t xml:space="preserve">用 </t>
    </r>
    <r>
      <rPr>
        <sz val="9"/>
        <color rgb="FF595959"/>
        <rFont val="Arial"/>
        <family val="0"/>
        <charset val="1"/>
      </rPr>
      <t xml:space="preserve">FY2025</t>
    </r>
  </si>
  <si>
    <t xml:space="preserve">IREN</t>
  </si>
  <si>
    <r>
      <rPr>
        <sz val="9"/>
        <color rgb="FF595959"/>
        <rFont val="Arial"/>
        <family val="0"/>
        <charset val="1"/>
      </rPr>
      <t xml:space="preserve">FY26 10-K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6/30</t>
    </r>
    <r>
      <rPr>
        <sz val="9"/>
        <color rgb="FF595959"/>
        <rFont val="Noto Sans CJK SC"/>
        <family val="2"/>
      </rPr>
      <t xml:space="preserve">）；未更新，日期 </t>
    </r>
    <r>
      <rPr>
        <sz val="9"/>
        <color rgb="FF595959"/>
        <rFont val="Arial"/>
        <family val="0"/>
        <charset val="1"/>
      </rPr>
      <t xml:space="preserve">2026-09-21</t>
    </r>
  </si>
  <si>
    <r>
      <rPr>
        <sz val="9"/>
        <color rgb="FF595959"/>
        <rFont val="Noto Sans CJK SC"/>
        <family val="2"/>
      </rPr>
      <t xml:space="preserve">營業租賃負債 </t>
    </r>
    <r>
      <rPr>
        <sz val="9"/>
        <color rgb="FF595959"/>
        <rFont val="Arial"/>
        <family val="0"/>
        <charset val="1"/>
      </rPr>
      <t xml:space="preserve">0.003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GAAP </t>
    </r>
    <r>
      <rPr>
        <sz val="9"/>
        <color rgb="FF595959"/>
        <rFont val="Noto Sans CJK SC"/>
        <family val="2"/>
      </rPr>
      <t xml:space="preserve">營業損益 </t>
    </r>
    <r>
      <rPr>
        <sz val="9"/>
        <color rgb="FF595959"/>
        <rFont val="Arial"/>
        <family val="0"/>
        <charset val="1"/>
      </rPr>
      <t xml:space="preserve">-1.047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D&amp;A 0.418</t>
    </r>
    <r>
      <rPr>
        <sz val="9"/>
        <color rgb="FF595959"/>
        <rFont val="Noto Sans CJK SC"/>
        <family val="2"/>
      </rPr>
      <t xml:space="preserve">。自有電廠、營業租賃負債僅 </t>
    </r>
    <r>
      <rPr>
        <sz val="9"/>
        <color rgb="FF595959"/>
        <rFont val="Arial"/>
        <family val="0"/>
        <charset val="1"/>
      </rPr>
      <t xml:space="preserve">0.003bn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Noto Sans CJK SC"/>
        <family val="2"/>
      </rPr>
      <t xml:space="preserve">合約 </t>
    </r>
    <r>
      <rPr>
        <sz val="9"/>
        <color rgb="FF595959"/>
        <rFont val="Arial"/>
        <family val="0"/>
        <charset val="1"/>
      </rPr>
      <t xml:space="preserve">ARR 4.0bn</t>
    </r>
  </si>
  <si>
    <t xml:space="preserve">APLD Applied Digital</t>
  </si>
  <si>
    <r>
      <rPr>
        <sz val="9"/>
        <color rgb="FF595959"/>
        <rFont val="Arial"/>
        <family val="0"/>
        <charset val="1"/>
      </rPr>
      <t xml:space="preserve">FY26 10-K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5/31</t>
    </r>
    <r>
      <rPr>
        <sz val="9"/>
        <color rgb="FF595959"/>
        <rFont val="Noto Sans CJK SC"/>
        <family val="2"/>
      </rPr>
      <t xml:space="preserve">）；未更新，日期 </t>
    </r>
    <r>
      <rPr>
        <sz val="9"/>
        <color rgb="FF595959"/>
        <rFont val="Arial"/>
        <family val="0"/>
        <charset val="1"/>
      </rPr>
      <t xml:space="preserve">2026-09-21</t>
    </r>
  </si>
  <si>
    <r>
      <rPr>
        <sz val="9"/>
        <color rgb="FF595959"/>
        <rFont val="Noto Sans CJK SC"/>
        <family val="2"/>
      </rPr>
      <t xml:space="preserve">營業租賃負債 </t>
    </r>
    <r>
      <rPr>
        <sz val="9"/>
        <color rgb="FF595959"/>
        <rFont val="Arial"/>
        <family val="0"/>
        <charset val="1"/>
      </rPr>
      <t xml:space="preserve">0.066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GAAP </t>
    </r>
    <r>
      <rPr>
        <sz val="9"/>
        <color rgb="FF595959"/>
        <rFont val="Noto Sans CJK SC"/>
        <family val="2"/>
      </rPr>
      <t xml:space="preserve">營業損益 </t>
    </r>
    <r>
      <rPr>
        <sz val="9"/>
        <color rgb="FF595959"/>
        <rFont val="Arial"/>
        <family val="0"/>
        <charset val="1"/>
      </rPr>
      <t xml:space="preserve">-0.236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D&amp;A 0.067</t>
    </r>
    <r>
      <rPr>
        <sz val="9"/>
        <color rgb="FF595959"/>
        <rFont val="Noto Sans CJK SC"/>
        <family val="2"/>
      </rPr>
      <t xml:space="preserve">。租約多未起租，營收尚未反映約 </t>
    </r>
    <r>
      <rPr>
        <sz val="9"/>
        <color rgb="FF595959"/>
        <rFont val="Arial"/>
        <family val="0"/>
        <charset val="1"/>
      </rPr>
      <t xml:space="preserve">36bn </t>
    </r>
    <r>
      <rPr>
        <sz val="9"/>
        <color rgb="FF595959"/>
        <rFont val="Noto Sans CJK SC"/>
        <family val="2"/>
      </rPr>
      <t xml:space="preserve">合約</t>
    </r>
  </si>
  <si>
    <t xml:space="preserve">CORZ Core Scientific</t>
  </si>
  <si>
    <r>
      <rPr>
        <sz val="9"/>
        <color rgb="FF595959"/>
        <rFont val="Arial"/>
        <family val="0"/>
        <charset val="1"/>
      </rPr>
      <t xml:space="preserve">TTM </t>
    </r>
    <r>
      <rPr>
        <sz val="9"/>
        <color rgb="FF595959"/>
        <rFont val="Noto Sans CJK SC"/>
        <family val="2"/>
      </rPr>
      <t xml:space="preserve">至 </t>
    </r>
    <r>
      <rPr>
        <sz val="9"/>
        <color rgb="FF595959"/>
        <rFont val="Arial"/>
        <family val="0"/>
        <charset val="1"/>
      </rPr>
      <t xml:space="preserve">Q2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6/30</t>
    </r>
    <r>
      <rPr>
        <sz val="9"/>
        <color rgb="FF595959"/>
        <rFont val="Noto Sans CJK SC"/>
        <family val="2"/>
      </rPr>
      <t xml:space="preserve">）；未更新，日期 </t>
    </r>
    <r>
      <rPr>
        <sz val="9"/>
        <color rgb="FF595959"/>
        <rFont val="Arial"/>
        <family val="0"/>
        <charset val="1"/>
      </rPr>
      <t xml:space="preserve">2026-09-21</t>
    </r>
  </si>
  <si>
    <r>
      <rPr>
        <sz val="9"/>
        <color rgb="FF595959"/>
        <rFont val="Noto Sans CJK SC"/>
        <family val="2"/>
      </rPr>
      <t xml:space="preserve">營業租賃負債 </t>
    </r>
    <r>
      <rPr>
        <sz val="9"/>
        <color rgb="FF595959"/>
        <rFont val="Arial"/>
        <family val="0"/>
        <charset val="1"/>
      </rPr>
      <t xml:space="preserve">0.109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GAAP </t>
    </r>
    <r>
      <rPr>
        <sz val="9"/>
        <color rgb="FF595959"/>
        <rFont val="Noto Sans CJK SC"/>
        <family val="2"/>
      </rPr>
      <t xml:space="preserve">營業損益 </t>
    </r>
    <r>
      <rPr>
        <sz val="9"/>
        <color rgb="FF595959"/>
        <rFont val="Arial"/>
        <family val="0"/>
        <charset val="1"/>
      </rPr>
      <t xml:space="preserve">-0.561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D&amp;A 0.063</t>
    </r>
    <r>
      <rPr>
        <sz val="9"/>
        <color rgb="FF595959"/>
        <rFont val="Noto Sans CJK SC"/>
        <family val="2"/>
      </rPr>
      <t xml:space="preserve">。託管轉型期</t>
    </r>
  </si>
  <si>
    <t xml:space="preserve">同業中位數</t>
  </si>
  <si>
    <r>
      <rPr>
        <b val="true"/>
        <sz val="10"/>
        <rFont val="Arial"/>
        <family val="0"/>
        <charset val="1"/>
      </rPr>
      <t xml:space="preserve">ORCL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TTM </t>
    </r>
    <r>
      <rPr>
        <b val="true"/>
        <sz val="10"/>
        <rFont val="Noto Sans CJK SC"/>
        <family val="2"/>
      </rPr>
      <t xml:space="preserve">至 </t>
    </r>
    <r>
      <rPr>
        <b val="true"/>
        <sz val="10"/>
        <rFont val="Arial"/>
        <family val="0"/>
        <charset val="1"/>
      </rPr>
      <t xml:space="preserve">Q1 2027</t>
    </r>
    <r>
      <rPr>
        <b val="true"/>
        <sz val="1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</si>
  <si>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TTM </t>
    </r>
    <r>
      <rPr>
        <sz val="9"/>
        <color rgb="FF595959"/>
        <rFont val="Noto Sans CJK SC"/>
        <family val="2"/>
      </rPr>
      <t xml:space="preserve">至 </t>
    </r>
    <r>
      <rPr>
        <sz val="9"/>
        <color rgb="FF595959"/>
        <rFont val="Arial"/>
        <family val="0"/>
        <charset val="1"/>
      </rPr>
      <t xml:space="preserve">Q1 2027</t>
    </r>
  </si>
  <si>
    <r>
      <rPr>
        <sz val="9"/>
        <color rgb="FF595959"/>
        <rFont val="Arial"/>
        <family val="0"/>
        <charset val="1"/>
      </rPr>
      <t xml:space="preserve">EV </t>
    </r>
    <r>
      <rPr>
        <sz val="9"/>
        <color rgb="FF595959"/>
        <rFont val="Noto Sans CJK SC"/>
        <family val="2"/>
      </rPr>
      <t xml:space="preserve">用 </t>
    </r>
    <r>
      <rPr>
        <sz val="9"/>
        <color rgb="FF595959"/>
        <rFont val="Arial"/>
        <family val="0"/>
        <charset val="1"/>
      </rPr>
      <t xml:space="preserve">2026-09-21 </t>
    </r>
    <r>
      <rPr>
        <sz val="9"/>
        <color rgb="FF595959"/>
        <rFont val="Noto Sans CJK SC"/>
        <family val="2"/>
      </rPr>
      <t xml:space="preserve">市值（基本股）與評價日淨負債（可轉債全數以到期本金計入）；含租賃再加營業租賃負債 </t>
    </r>
    <r>
      <rPr>
        <sz val="9"/>
        <color rgb="FF595959"/>
        <rFont val="Arial"/>
        <family val="0"/>
        <charset val="1"/>
      </rPr>
      <t xml:space="preserve">34.621</t>
    </r>
  </si>
  <si>
    <r>
      <rPr>
        <sz val="10"/>
        <rFont val="Arial"/>
        <family val="0"/>
        <charset val="1"/>
      </rPr>
      <t xml:space="preserve">ORCL </t>
    </r>
    <r>
      <rPr>
        <sz val="10"/>
        <rFont val="Noto Sans CJK SC"/>
        <family val="2"/>
      </rPr>
      <t xml:space="preserve">模型 </t>
    </r>
    <r>
      <rPr>
        <sz val="10"/>
        <rFont val="Arial"/>
        <family val="0"/>
        <charset val="1"/>
      </rPr>
      <t xml:space="preserve">FY28E</t>
    </r>
  </si>
  <si>
    <r>
      <rPr>
        <sz val="9"/>
        <color rgb="FF595959"/>
        <rFont val="Noto Sans CJK SC"/>
        <family val="2"/>
      </rPr>
      <t xml:space="preserve">市值用評價股數（含價內可轉債轉股）、淨負債用評價淨負債；分母為模型 </t>
    </r>
    <r>
      <rPr>
        <sz val="9"/>
        <color rgb="FF595959"/>
        <rFont val="Arial"/>
        <family val="0"/>
        <charset val="1"/>
      </rPr>
      <t xml:space="preserve">FY28 </t>
    </r>
    <r>
      <rPr>
        <sz val="9"/>
        <color rgb="FF595959"/>
        <rFont val="Noto Sans CJK SC"/>
        <family val="2"/>
      </rPr>
      <t xml:space="preserve">營收</t>
    </r>
  </si>
  <si>
    <r>
      <rPr>
        <sz val="9"/>
        <color rgb="FF595959"/>
        <rFont val="Noto Sans CJK SC"/>
        <family val="2"/>
      </rPr>
      <t xml:space="preserve">讀法：</t>
    </r>
    <r>
      <rPr>
        <sz val="9"/>
        <color rgb="FF595959"/>
        <rFont val="Arial"/>
        <family val="0"/>
        <charset val="1"/>
      </rPr>
      <t xml:space="preserve">ORCL </t>
    </r>
    <r>
      <rPr>
        <sz val="9"/>
        <color rgb="FF595959"/>
        <rFont val="Noto Sans CJK SC"/>
        <family val="2"/>
      </rPr>
      <t xml:space="preserve">為整體公司（傳統軟體＋</t>
    </r>
    <r>
      <rPr>
        <sz val="9"/>
        <color rgb="FF595959"/>
        <rFont val="Arial"/>
        <family val="0"/>
        <charset val="1"/>
      </rPr>
      <t xml:space="preserve">OCI</t>
    </r>
    <r>
      <rPr>
        <sz val="9"/>
        <color rgb="FF595959"/>
        <rFont val="Noto Sans CJK SC"/>
        <family val="2"/>
      </rPr>
      <t xml:space="preserve">），倍數不可直接與純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基礎設施同業比較；</t>
    </r>
  </si>
  <si>
    <r>
      <rPr>
        <sz val="9"/>
        <color rgb="FF595959"/>
        <rFont val="Arial"/>
        <family val="0"/>
        <charset val="1"/>
      </rPr>
      <t xml:space="preserve">CRWV </t>
    </r>
    <r>
      <rPr>
        <sz val="9"/>
        <color rgb="FF595959"/>
        <rFont val="Noto Sans CJK SC"/>
        <family val="2"/>
      </rPr>
      <t xml:space="preserve">以租約取得機房，加入營業租賃負債後倍數上升；</t>
    </r>
    <r>
      <rPr>
        <sz val="9"/>
        <color rgb="FF595959"/>
        <rFont val="Arial"/>
        <family val="0"/>
        <charset val="1"/>
      </rPr>
      <t xml:space="preserve">ORCL </t>
    </r>
    <r>
      <rPr>
        <sz val="9"/>
        <color rgb="FF595959"/>
        <rFont val="Noto Sans CJK SC"/>
        <family val="2"/>
      </rPr>
      <t xml:space="preserve">同樣以租賃為主（未起租承諾 </t>
    </r>
    <r>
      <rPr>
        <sz val="9"/>
        <color rgb="FF595959"/>
        <rFont val="Arial"/>
        <family val="0"/>
        <charset val="1"/>
      </rPr>
      <t xml:space="preserve">288B </t>
    </r>
    <r>
      <rPr>
        <sz val="9"/>
        <color rgb="FF595959"/>
        <rFont val="Noto Sans CJK SC"/>
        <family val="2"/>
      </rPr>
      <t xml:space="preserve">尚未入表）。</t>
    </r>
  </si>
  <si>
    <r>
      <rPr>
        <sz val="9"/>
        <color rgb="FF595959"/>
        <rFont val="Noto Sans CJK SC"/>
        <family val="2"/>
      </rPr>
      <t xml:space="preserve">前瞻：見下方 </t>
    </r>
    <r>
      <rPr>
        <sz val="9"/>
        <color rgb="FF595959"/>
        <rFont val="Arial"/>
        <family val="0"/>
        <charset val="1"/>
      </rPr>
      <t xml:space="preserve">ORCL </t>
    </r>
    <r>
      <rPr>
        <sz val="9"/>
        <color rgb="FF595959"/>
        <rFont val="Noto Sans CJK SC"/>
        <family val="2"/>
      </rPr>
      <t xml:space="preserve">模型列。此表為市場比較用，不進入目標價。</t>
    </r>
  </si>
  <si>
    <t xml:space="preserve">連動檢查 — 恆等式與口徑</t>
  </si>
  <si>
    <t xml:space="preserve">檢查項目</t>
  </si>
  <si>
    <t xml:space="preserve">實際值</t>
  </si>
  <si>
    <t xml:space="preserve">標準</t>
  </si>
  <si>
    <t xml:space="preserve">結果</t>
  </si>
  <si>
    <r>
      <rPr>
        <sz val="9"/>
        <color rgb="FF595959"/>
        <rFont val="Noto Sans CJK SC"/>
        <family val="2"/>
      </rPr>
      <t xml:space="preserve">季報桶線性分攤後應為 </t>
    </r>
    <r>
      <rPr>
        <sz val="9"/>
        <color rgb="FF595959"/>
        <rFont val="Arial"/>
        <family val="0"/>
        <charset val="1"/>
      </rPr>
      <t xml:space="preserve">79.75%</t>
    </r>
  </si>
  <si>
    <t xml:space="preserve">現金橋差異</t>
  </si>
  <si>
    <t xml:space="preserve">期初＋營運缺口＋股權＋額度−還本 ＝ 期末</t>
  </si>
  <si>
    <r>
      <rPr>
        <sz val="10"/>
        <rFont val="Arial"/>
        <family val="0"/>
        <charset val="1"/>
      </rPr>
      <t xml:space="preserve">Billable ≤ Accepted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FY31</t>
    </r>
    <r>
      <rPr>
        <sz val="10"/>
        <rFont val="Noto Sans CJK SC"/>
        <family val="2"/>
      </rPr>
      <t xml:space="preserve">）</t>
    </r>
  </si>
  <si>
    <t xml:space="preserve">≥0</t>
  </si>
  <si>
    <r>
      <rPr>
        <sz val="9"/>
        <color rgb="FF595959"/>
        <rFont val="Noto Sans CJK SC"/>
        <family val="2"/>
      </rPr>
      <t xml:space="preserve">引擎已以 </t>
    </r>
    <r>
      <rPr>
        <sz val="9"/>
        <color rgb="FF595959"/>
        <rFont val="Arial"/>
        <family val="0"/>
        <charset val="1"/>
      </rPr>
      <t xml:space="preserve">MIN </t>
    </r>
    <r>
      <rPr>
        <sz val="9"/>
        <color rgb="FF595959"/>
        <rFont val="Noto Sans CJK SC"/>
        <family val="2"/>
      </rPr>
      <t xml:space="preserve">截斷；此列驗證截斷有效</t>
    </r>
  </si>
  <si>
    <r>
      <rPr>
        <sz val="10"/>
        <rFont val="Arial"/>
        <family val="0"/>
        <charset val="1"/>
      </rPr>
      <t xml:space="preserve">FY27 CapEx </t>
    </r>
    <r>
      <rPr>
        <sz val="10"/>
        <rFont val="Noto Sans CJK SC"/>
        <family val="2"/>
      </rPr>
      <t xml:space="preserve">認列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</t>
    </r>
  </si>
  <si>
    <t xml:space="preserve">90–95</t>
  </si>
  <si>
    <r>
      <rPr>
        <sz val="9"/>
        <color rgb="FF595959"/>
        <rFont val="Arial"/>
        <family val="0"/>
        <charset val="1"/>
      </rPr>
      <t xml:space="preserve">1Q </t>
    </r>
    <r>
      <rPr>
        <sz val="9"/>
        <color rgb="FF595959"/>
        <rFont val="Noto Sans CJK SC"/>
        <family val="2"/>
      </rPr>
      <t xml:space="preserve">實際認列 </t>
    </r>
    <r>
      <rPr>
        <sz val="9"/>
        <color rgb="FF595959"/>
        <rFont val="Arial"/>
        <family val="0"/>
        <charset val="1"/>
      </rPr>
      <t xml:space="preserve">28.499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2Q–4Q </t>
    </r>
    <r>
      <rPr>
        <sz val="9"/>
        <color rgb="FF595959"/>
        <rFont val="Noto Sans CJK SC"/>
        <family val="2"/>
      </rPr>
      <t xml:space="preserve">模型；全年指引 </t>
    </r>
    <r>
      <rPr>
        <sz val="9"/>
        <color rgb="FF595959"/>
        <rFont val="Arial"/>
        <family val="0"/>
        <charset val="1"/>
      </rPr>
      <t xml:space="preserve">90–95</t>
    </r>
    <r>
      <rPr>
        <sz val="9"/>
        <color rgb="FF595959"/>
        <rFont val="Noto Sans CJK SC"/>
        <family val="2"/>
      </rPr>
      <t xml:space="preserve">（法說會轉述）</t>
    </r>
  </si>
  <si>
    <r>
      <rPr>
        <sz val="10"/>
        <rFont val="Arial"/>
        <family val="0"/>
        <charset val="1"/>
      </rPr>
      <t xml:space="preserve">FY27 </t>
    </r>
    <r>
      <rPr>
        <sz val="10"/>
        <rFont val="Noto Sans CJK SC"/>
        <family val="2"/>
      </rPr>
      <t xml:space="preserve">營收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</t>
    </r>
  </si>
  <si>
    <t xml:space="preserve">≥90</t>
  </si>
  <si>
    <r>
      <rPr>
        <sz val="9"/>
        <color rgb="FF595959"/>
        <rFont val="Arial"/>
        <family val="0"/>
        <charset val="1"/>
      </rPr>
      <t xml:space="preserve">1Q </t>
    </r>
    <r>
      <rPr>
        <sz val="9"/>
        <color rgb="FF595959"/>
        <rFont val="Noto Sans CJK SC"/>
        <family val="2"/>
      </rPr>
      <t xml:space="preserve">實際 </t>
    </r>
    <r>
      <rPr>
        <sz val="9"/>
        <color rgb="FF595959"/>
        <rFont val="Arial"/>
        <family val="0"/>
        <charset val="1"/>
      </rPr>
      <t xml:space="preserve">19.345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2Q–4Q </t>
    </r>
    <r>
      <rPr>
        <sz val="9"/>
        <color rgb="FF595959"/>
        <rFont val="Noto Sans CJK SC"/>
        <family val="2"/>
      </rPr>
      <t xml:space="preserve">模型（算力＋非算力服務）</t>
    </r>
  </si>
  <si>
    <r>
      <rPr>
        <sz val="10"/>
        <rFont val="Arial"/>
        <family val="0"/>
        <charset val="1"/>
      </rPr>
      <t xml:space="preserve">CapEx </t>
    </r>
    <r>
      <rPr>
        <sz val="10"/>
        <rFont val="Noto Sans CJK SC"/>
        <family val="2"/>
      </rPr>
      <t xml:space="preserve">強度（模型期合計）</t>
    </r>
  </si>
  <si>
    <t xml:space="preserve">$28–51m/MW</t>
  </si>
  <si>
    <r>
      <rPr>
        <sz val="9"/>
        <color rgb="FF595959"/>
        <rFont val="Arial"/>
        <family val="0"/>
        <charset val="1"/>
      </rPr>
      <t xml:space="preserve">Tokenomics IF_CapexTotal </t>
    </r>
    <r>
      <rPr>
        <sz val="9"/>
        <color rgb="FF595959"/>
        <rFont val="Noto Sans CJK SC"/>
        <family val="2"/>
      </rPr>
      <t xml:space="preserve">低／高成本情境（</t>
    </r>
    <r>
      <rPr>
        <sz val="9"/>
        <color rgb="FF595959"/>
        <rFont val="Arial"/>
        <family val="0"/>
        <charset val="1"/>
      </rPr>
      <t xml:space="preserve">GB300 38.8–67.1 US$m/MW-IT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</si>
  <si>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表外租金路徑 </t>
    </r>
    <r>
      <rPr>
        <sz val="10"/>
        <rFont val="Arial"/>
        <family val="0"/>
        <charset val="1"/>
      </rPr>
      <t xml:space="preserve">÷ </t>
    </r>
    <r>
      <rPr>
        <sz val="10"/>
        <rFont val="Noto Sans CJK SC"/>
        <family val="2"/>
      </rPr>
      <t xml:space="preserve">已承諾</t>
    </r>
  </si>
  <si>
    <t xml:space="preserve">≥0.8x</t>
  </si>
  <si>
    <t xml:space="preserve">表外租金路徑對已簽約未起租租賃</t>
  </si>
  <si>
    <r>
      <rPr>
        <sz val="10"/>
        <rFont val="Arial"/>
        <family val="0"/>
        <charset val="1"/>
      </rPr>
      <t xml:space="preserve">FY27 </t>
    </r>
    <r>
      <rPr>
        <sz val="10"/>
        <rFont val="Noto Sans CJK SC"/>
        <family val="2"/>
      </rPr>
      <t xml:space="preserve">利息（</t>
    </r>
    <r>
      <rPr>
        <sz val="10"/>
        <rFont val="Arial"/>
        <family val="0"/>
        <charset val="1"/>
      </rPr>
      <t xml:space="preserve">1Q </t>
    </r>
    <r>
      <rPr>
        <sz val="10"/>
        <rFont val="Noto Sans CJK SC"/>
        <family val="2"/>
      </rPr>
      <t xml:space="preserve">實際＋</t>
    </r>
    <r>
      <rPr>
        <sz val="10"/>
        <rFont val="Arial"/>
        <family val="0"/>
        <charset val="1"/>
      </rPr>
      <t xml:space="preserve">2Q–4Q</t>
    </r>
    <r>
      <rPr>
        <sz val="10"/>
        <rFont val="Noto Sans CJK SC"/>
        <family val="2"/>
      </rPr>
      <t xml:space="preserve">）</t>
    </r>
  </si>
  <si>
    <t xml:space="preserve">≥1.4</t>
  </si>
  <si>
    <r>
      <rPr>
        <sz val="10"/>
        <rFont val="Arial"/>
        <family val="0"/>
        <charset val="1"/>
      </rPr>
      <t xml:space="preserve">FY29 </t>
    </r>
    <r>
      <rPr>
        <sz val="10"/>
        <rFont val="Noto Sans CJK SC"/>
        <family val="2"/>
      </rPr>
      <t xml:space="preserve">起收入是否依賴未簽約</t>
    </r>
  </si>
  <si>
    <r>
      <rPr>
        <sz val="9"/>
        <color rgb="FF595959"/>
        <rFont val="Arial"/>
        <family val="0"/>
        <charset val="1"/>
      </rPr>
      <t xml:space="preserve">&lt;50% </t>
    </r>
    <r>
      <rPr>
        <sz val="9"/>
        <color rgb="FF595959"/>
        <rFont val="Noto Sans CJK SC"/>
        <family val="2"/>
      </rPr>
      <t xml:space="preserve">較穩健</t>
    </r>
  </si>
  <si>
    <r>
      <rPr>
        <sz val="9"/>
        <color rgb="FF595959"/>
        <rFont val="Arial"/>
        <family val="0"/>
        <charset val="1"/>
      </rPr>
      <t xml:space="preserve">FY29–FY31 </t>
    </r>
    <r>
      <rPr>
        <sz val="9"/>
        <color rgb="FF595959"/>
        <rFont val="Noto Sans CJK SC"/>
        <family val="2"/>
      </rPr>
      <t xml:space="preserve">超出期初 </t>
    </r>
    <r>
      <rPr>
        <sz val="9"/>
        <color rgb="FF595959"/>
        <rFont val="Arial"/>
        <family val="0"/>
        <charset val="1"/>
      </rPr>
      <t xml:space="preserve">RPO </t>
    </r>
    <r>
      <rPr>
        <sz val="9"/>
        <color rgb="FF595959"/>
        <rFont val="Noto Sans CJK SC"/>
        <family val="2"/>
      </rPr>
      <t xml:space="preserve">的收入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同期總算力收入（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驅動下為未簽約產能的比重）</t>
    </r>
  </si>
  <si>
    <t xml:space="preserve">損益營收＝資金營收</t>
  </si>
  <si>
    <r>
      <rPr>
        <sz val="9"/>
        <color rgb="FF595959"/>
        <rFont val="Arial"/>
        <family val="0"/>
        <charset val="1"/>
      </rPr>
      <t xml:space="preserve">FY28 </t>
    </r>
    <r>
      <rPr>
        <sz val="9"/>
        <color rgb="FF595959"/>
        <rFont val="Noto Sans CJK SC"/>
        <family val="2"/>
      </rPr>
      <t xml:space="preserve">損益算力收入 − 產能頁 </t>
    </r>
    <r>
      <rPr>
        <sz val="9"/>
        <color rgb="FF595959"/>
        <rFont val="Arial"/>
        <family val="0"/>
        <charset val="1"/>
      </rPr>
      <t xml:space="preserve">isRev</t>
    </r>
    <r>
      <rPr>
        <sz val="9"/>
        <color rgb="FF595959"/>
        <rFont val="Noto Sans CJK SC"/>
        <family val="2"/>
      </rPr>
      <t xml:space="preserve">。兩邊必須同一組數字</t>
    </r>
  </si>
  <si>
    <t xml:space="preserve">過高表示結論由終值假設決定</t>
  </si>
  <si>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單一來源（</t>
    </r>
    <r>
      <rPr>
        <sz val="10"/>
        <rFont val="Arial"/>
        <family val="0"/>
        <charset val="1"/>
      </rPr>
      <t xml:space="preserve">FY28 </t>
    </r>
    <r>
      <rPr>
        <sz val="10"/>
        <rFont val="Noto Sans CJK SC"/>
        <family val="2"/>
      </rPr>
      <t xml:space="preserve">算力＋服務 </t>
    </r>
    <r>
      <rPr>
        <sz val="10"/>
        <rFont val="Arial"/>
        <family val="0"/>
        <charset val="1"/>
      </rPr>
      <t xml:space="preserve">EBITDA÷</t>
    </r>
    <r>
      <rPr>
        <sz val="10"/>
        <rFont val="Noto Sans CJK SC"/>
        <family val="2"/>
      </rPr>
      <t xml:space="preserve">營收 − 輸入 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率）</t>
    </r>
  </si>
  <si>
    <r>
      <rPr>
        <sz val="9"/>
        <color rgb="FF595959"/>
        <rFont val="Noto Sans CJK SC"/>
        <family val="2"/>
      </rPr>
      <t xml:space="preserve">損益與資金引用同一列 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Noto Sans CJK SC"/>
        <family val="2"/>
      </rPr>
      <t xml:space="preserve">率</t>
    </r>
  </si>
  <si>
    <r>
      <rPr>
        <sz val="10"/>
        <rFont val="Noto Sans CJK SC"/>
        <family val="2"/>
      </rPr>
      <t xml:space="preserve">現金 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＋ 信用調整 − 損益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FY28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</si>
  <si>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現金 </t>
    </r>
    <r>
      <rPr>
        <sz val="9"/>
        <color rgb="FF595959"/>
        <rFont val="Arial"/>
        <family val="0"/>
        <charset val="1"/>
      </rPr>
      <t xml:space="preserve">EBITDA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RPO </t>
    </r>
    <r>
      <rPr>
        <sz val="9"/>
        <color rgb="FF595959"/>
        <rFont val="Noto Sans CJK SC"/>
        <family val="2"/>
      </rPr>
      <t xml:space="preserve">現金＋新簽約現金＋服務現金−租金；信用調整＝信用損失</t>
    </r>
    <r>
      <rPr>
        <sz val="9"/>
        <color rgb="FF595959"/>
        <rFont val="Arial"/>
        <family val="0"/>
        <charset val="1"/>
      </rPr>
      <t xml:space="preserve">×EBITDAR </t>
    </r>
    <r>
      <rPr>
        <sz val="9"/>
        <color rgb="FF595959"/>
        <rFont val="Noto Sans CJK SC"/>
        <family val="2"/>
      </rPr>
      <t xml:space="preserve">率</t>
    </r>
  </si>
  <si>
    <r>
      <rPr>
        <sz val="10"/>
        <rFont val="Arial"/>
        <family val="0"/>
        <charset val="1"/>
      </rPr>
      <t xml:space="preserve">DCF </t>
    </r>
    <r>
      <rPr>
        <sz val="10"/>
        <rFont val="Noto Sans CJK SC"/>
        <family val="2"/>
      </rPr>
      <t xml:space="preserve">有效性（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＝失效）</t>
    </r>
  </si>
  <si>
    <t xml:space="preserve">0</t>
  </si>
  <si>
    <r>
      <rPr>
        <sz val="9"/>
        <color rgb="FF595959"/>
        <rFont val="Noto Sans CJK SC"/>
        <family val="2"/>
      </rPr>
      <t xml:space="preserve">失效只定義為 </t>
    </r>
    <r>
      <rPr>
        <sz val="9"/>
        <color rgb="FF595959"/>
        <rFont val="Arial"/>
        <family val="0"/>
        <charset val="1"/>
      </rPr>
      <t xml:space="preserve">WACC ≤ g </t>
    </r>
    <r>
      <rPr>
        <sz val="9"/>
        <color rgb="FF595959"/>
        <rFont val="Noto Sans CJK SC"/>
        <family val="2"/>
      </rPr>
      <t xml:space="preserve">或常態化 </t>
    </r>
    <r>
      <rPr>
        <sz val="9"/>
        <color rgb="FF595959"/>
        <rFont val="Arial"/>
        <family val="0"/>
        <charset val="1"/>
      </rPr>
      <t xml:space="preserve">FCF ≤ 0</t>
    </r>
    <r>
      <rPr>
        <sz val="9"/>
        <color rgb="FF595959"/>
        <rFont val="Noto Sans CJK SC"/>
        <family val="2"/>
      </rPr>
      <t xml:space="preserve">；股權為負不算失效</t>
    </r>
  </si>
  <si>
    <t xml:space="preserve">期末現金 ≥ 最低現金（期前融資）</t>
  </si>
  <si>
    <t xml:space="preserve">≥10.0</t>
  </si>
  <si>
    <t xml:space="preserve">瀑布每期補足至最低現金；最小值應等於最低現金</t>
  </si>
  <si>
    <r>
      <rPr>
        <sz val="10"/>
        <rFont val="Noto Sans CJK SC"/>
        <family val="2"/>
      </rPr>
      <t xml:space="preserve">股權募資 </t>
    </r>
    <r>
      <rPr>
        <sz val="10"/>
        <rFont val="Arial"/>
        <family val="0"/>
        <charset val="1"/>
      </rPr>
      <t xml:space="preserve">÷ </t>
    </r>
    <r>
      <rPr>
        <sz val="10"/>
        <rFont val="Noto Sans CJK SC"/>
        <family val="2"/>
      </rPr>
      <t xml:space="preserve">現市值</t>
    </r>
  </si>
  <si>
    <r>
      <rPr>
        <sz val="10"/>
        <rFont val="Noto Sans CJK SC"/>
        <family val="2"/>
      </rPr>
      <t xml:space="preserve">債務明細合計 </t>
    </r>
    <r>
      <rPr>
        <sz val="10"/>
        <rFont val="Arial"/>
        <family val="0"/>
        <charset val="1"/>
      </rPr>
      <t xml:space="preserve">= </t>
    </r>
    <r>
      <rPr>
        <sz val="10"/>
        <rFont val="Noto Sans CJK SC"/>
        <family val="2"/>
      </rPr>
      <t xml:space="preserve">季報本金 </t>
    </r>
    <r>
      <rPr>
        <sz val="10"/>
        <rFont val="Arial"/>
        <family val="0"/>
        <charset val="1"/>
      </rPr>
      <t xml:space="preserve">125.904 − </t>
    </r>
    <r>
      <rPr>
        <sz val="10"/>
        <rFont val="Noto Sans CJK SC"/>
        <family val="2"/>
      </rPr>
      <t xml:space="preserve">以股換債 ＋ 期後新發</t>
    </r>
  </si>
  <si>
    <t xml:space="preserve">125.904</t>
  </si>
  <si>
    <r>
      <rPr>
        <sz val="9"/>
        <color rgb="FF595959"/>
        <rFont val="Noto Sans CJK SC"/>
        <family val="2"/>
      </rPr>
      <t xml:space="preserve">其他借款 </t>
    </r>
    <r>
      <rPr>
        <sz val="9"/>
        <color rgb="FF595959"/>
        <rFont val="Arial"/>
        <family val="0"/>
        <charset val="1"/>
      </rPr>
      <t xml:space="preserve">57 </t>
    </r>
    <r>
      <rPr>
        <sz val="9"/>
        <color rgb="FF595959"/>
        <rFont val="Noto Sans CJK SC"/>
        <family val="2"/>
      </rPr>
      <t xml:space="preserve">筆＋可轉債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檔到期本金（</t>
    </r>
    <r>
      <rPr>
        <sz val="9"/>
        <color rgb="FF595959"/>
        <rFont val="Arial"/>
        <family val="0"/>
        <charset val="1"/>
      </rPr>
      <t xml:space="preserve">company.json → debt.convertibleBridge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</si>
  <si>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Arial"/>
        <family val="0"/>
        <charset val="1"/>
      </rPr>
      <t xml:space="preserve">FY27 </t>
    </r>
    <r>
      <rPr>
        <sz val="10"/>
        <rFont val="Noto Sans CJK SC"/>
        <family val="2"/>
      </rPr>
      <t xml:space="preserve">全年 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公式）</t>
    </r>
  </si>
  <si>
    <r>
      <rPr>
        <sz val="9"/>
        <color rgb="FF595959"/>
        <rFont val="Noto Sans CJK SC"/>
        <family val="2"/>
      </rPr>
      <t xml:space="preserve">由已連網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增量與預建次年推得；指引只作對照</t>
    </r>
  </si>
  <si>
    <r>
      <rPr>
        <sz val="10"/>
        <rFont val="Arial"/>
        <family val="0"/>
        <charset val="1"/>
      </rPr>
      <t xml:space="preserve">JV </t>
    </r>
    <r>
      <rPr>
        <sz val="10"/>
        <rFont val="Noto Sans CJK SC"/>
        <family val="2"/>
      </rPr>
      <t xml:space="preserve">已承諾餘額於 </t>
    </r>
    <r>
      <rPr>
        <sz val="10"/>
        <rFont val="Arial"/>
        <family val="0"/>
        <charset val="1"/>
      </rPr>
      <t xml:space="preserve">2027 </t>
    </r>
    <r>
      <rPr>
        <sz val="10"/>
        <rFont val="Noto Sans CJK SC"/>
        <family val="2"/>
      </rPr>
      <t xml:space="preserve">年內履行</t>
    </r>
  </si>
  <si>
    <r>
      <rPr>
        <sz val="10"/>
        <rFont val="Noto Sans CJK SC"/>
        <family val="2"/>
      </rPr>
      <t xml:space="preserve">模型每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年租金（</t>
    </r>
    <r>
      <rPr>
        <sz val="10"/>
        <rFont val="Arial"/>
        <family val="0"/>
        <charset val="1"/>
      </rPr>
      <t xml:space="preserve">FY31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</si>
  <si>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≥ 市場基準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占比</t>
    </r>
  </si>
  <si>
    <r>
      <rPr>
        <sz val="9"/>
        <color rgb="FF595959"/>
        <rFont val="Noto Sans CJK SC"/>
        <family val="2"/>
      </rPr>
      <t xml:space="preserve">低於基準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占比的八成即標示：模型租金路徑可能低估</t>
    </r>
  </si>
  <si>
    <t xml:space="preserve">站點租賃：五期租金可能低估</t>
  </si>
  <si>
    <t xml:space="preserve">&lt;10</t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</si>
  <si>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Σ(</t>
    </r>
    <r>
      <rPr>
        <sz val="9"/>
        <color rgb="FF595959"/>
        <rFont val="Noto Sans CJK SC"/>
        <family val="2"/>
      </rPr>
      <t xml:space="preserve">在役 </t>
    </r>
    <r>
      <rPr>
        <sz val="9"/>
        <color rgb="FF595959"/>
        <rFont val="Arial"/>
        <family val="0"/>
        <charset val="1"/>
      </rPr>
      <t xml:space="preserve">MW×</t>
    </r>
    <r>
      <rPr>
        <sz val="9"/>
        <color rgb="FF595959"/>
        <rFont val="Noto Sans CJK SC"/>
        <family val="2"/>
      </rPr>
      <t xml:space="preserve">市場基準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第三方占比 − 模型租金</t>
    </r>
    <r>
      <rPr>
        <sz val="9"/>
        <color rgb="FF595959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</si>
  <si>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對照：</t>
    </r>
    <r>
      <rPr>
        <sz val="10"/>
        <rFont val="Arial"/>
        <family val="0"/>
        <charset val="1"/>
      </rPr>
      <t xml:space="preserve">RPO 36 </t>
    </r>
    <r>
      <rPr>
        <sz val="10"/>
        <rFont val="Noto Sans CJK SC"/>
        <family val="2"/>
      </rPr>
      <t xml:space="preserve">個月內轉換 − 模型 </t>
    </r>
    <r>
      <rPr>
        <sz val="10"/>
        <rFont val="Arial"/>
        <family val="0"/>
        <charset val="1"/>
      </rPr>
      <t xml:space="preserve">36 </t>
    </r>
    <r>
      <rPr>
        <sz val="10"/>
        <rFont val="Noto Sans CJK SC"/>
        <family val="2"/>
      </rPr>
      <t xml:space="preserve">個月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驅動營收</t>
    </r>
  </si>
  <si>
    <t xml:space="preserve">只作對照</t>
  </si>
  <si>
    <r>
      <rPr>
        <sz val="9"/>
        <color rgb="FF595959"/>
        <rFont val="Arial"/>
        <family val="0"/>
        <charset val="1"/>
      </rPr>
      <t xml:space="preserve">RPO 664 × 50%</t>
    </r>
    <r>
      <rPr>
        <sz val="9"/>
        <color rgb="FF595959"/>
        <rFont val="Noto Sans CJK SC"/>
        <family val="2"/>
      </rPr>
      <t xml:space="preserve">（含傳統事業）− 模型同期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驅動營收；正值＝</t>
    </r>
    <r>
      <rPr>
        <sz val="9"/>
        <color rgb="FF595959"/>
        <rFont val="Arial"/>
        <family val="0"/>
        <charset val="1"/>
      </rPr>
      <t xml:space="preserve">RPO </t>
    </r>
    <r>
      <rPr>
        <sz val="9"/>
        <color rgb="FF595959"/>
        <rFont val="Noto Sans CJK SC"/>
        <family val="2"/>
      </rPr>
      <t xml:space="preserve">排程高於模型產能營收</t>
    </r>
  </si>
  <si>
    <r>
      <rPr>
        <sz val="10"/>
        <rFont val="Noto Sans CJK SC"/>
        <family val="2"/>
      </rPr>
      <t xml:space="preserve">傳統事業：</t>
    </r>
    <r>
      <rPr>
        <sz val="10"/>
        <rFont val="Arial"/>
        <family val="0"/>
        <charset val="1"/>
      </rPr>
      <t xml:space="preserve">FY27 </t>
    </r>
    <r>
      <rPr>
        <sz val="10"/>
        <rFont val="Noto Sans CJK SC"/>
        <family val="2"/>
      </rPr>
      <t xml:space="preserve">年初至今實際＋模型期 − 全年（四線合計）</t>
    </r>
  </si>
  <si>
    <r>
      <rPr>
        <sz val="9"/>
        <color rgb="FF595959"/>
        <rFont val="Noto Sans CJK SC"/>
        <family val="2"/>
      </rPr>
      <t xml:space="preserve">首期年初至今實際與模型期相加須等於首期全年（工作單 </t>
    </r>
    <r>
      <rPr>
        <sz val="9"/>
        <color rgb="FF595959"/>
        <rFont val="Arial"/>
        <family val="0"/>
        <charset val="1"/>
      </rPr>
      <t xml:space="preserve">v0.1b </t>
    </r>
    <r>
      <rPr>
        <sz val="9"/>
        <color rgb="FF595959"/>
        <rFont val="Noto Sans CJK SC"/>
        <family val="2"/>
      </rPr>
      <t xml:space="preserve">步驟 </t>
    </r>
    <r>
      <rPr>
        <sz val="9"/>
        <color rgb="FF595959"/>
        <rFont val="Arial"/>
        <family val="0"/>
        <charset val="1"/>
      </rPr>
      <t xml:space="preserve">3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</si>
  <si>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營收＝在役 </t>
    </r>
    <r>
      <rPr>
        <sz val="10"/>
        <rFont val="Arial"/>
        <family val="0"/>
        <charset val="1"/>
      </rPr>
      <t xml:space="preserve">MW × </t>
    </r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× </t>
    </r>
    <r>
      <rPr>
        <sz val="10"/>
        <rFont val="Noto Sans CJK SC"/>
        <family val="2"/>
      </rPr>
      <t xml:space="preserve">利用率（五期差額）</t>
    </r>
  </si>
  <si>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驅動：營收＝平均在役 </t>
    </r>
    <r>
      <rPr>
        <sz val="9"/>
        <color rgb="FF595959"/>
        <rFont val="Arial"/>
        <family val="0"/>
        <charset val="1"/>
      </rPr>
      <t xml:space="preserve">MW × 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年收入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利用率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期間長度</t>
    </r>
  </si>
  <si>
    <r>
      <rPr>
        <b val="true"/>
        <sz val="10"/>
        <rFont val="Noto Sans CJK SC"/>
        <family val="2"/>
      </rPr>
      <t xml:space="preserve">關鍵輸出（快照；「模型期」＝</t>
    </r>
    <r>
      <rPr>
        <b val="true"/>
        <sz val="10"/>
        <rFont val="Arial"/>
        <family val="0"/>
        <charset val="1"/>
      </rPr>
      <t xml:space="preserve">2026-07-01</t>
    </r>
    <r>
      <rPr>
        <b val="true"/>
        <sz val="10"/>
        <rFont val="Noto Sans CJK SC"/>
        <family val="2"/>
      </rPr>
      <t xml:space="preserve">～</t>
    </r>
    <r>
      <rPr>
        <b val="true"/>
        <sz val="10"/>
        <rFont val="Arial"/>
        <family val="0"/>
        <charset val="1"/>
      </rPr>
      <t xml:space="preserve">2030</t>
    </r>
    <r>
      <rPr>
        <b val="true"/>
        <sz val="10"/>
        <rFont val="Noto Sans CJK SC"/>
        <family val="2"/>
      </rPr>
      <t xml:space="preserve">，與 </t>
    </r>
    <r>
      <rPr>
        <b val="true"/>
        <sz val="10"/>
        <rFont val="Arial"/>
        <family val="0"/>
        <charset val="1"/>
      </rPr>
      <t xml:space="preserve">HTML </t>
    </r>
    <r>
      <rPr>
        <b val="true"/>
        <sz val="10"/>
        <rFont val="Noto Sans CJK SC"/>
        <family val="2"/>
      </rPr>
      <t xml:space="preserve">頂部 </t>
    </r>
    <r>
      <rPr>
        <b val="true"/>
        <sz val="10"/>
        <rFont val="Arial"/>
        <family val="0"/>
        <charset val="1"/>
      </rPr>
      <t xml:space="preserve">KPI </t>
    </r>
    <r>
      <rPr>
        <b val="true"/>
        <sz val="10"/>
        <rFont val="Noto Sans CJK SC"/>
        <family val="2"/>
      </rPr>
      <t xml:space="preserve">同口徑）</t>
    </r>
  </si>
  <si>
    <r>
      <rPr>
        <sz val="10"/>
        <rFont val="Noto Sans CJK SC"/>
        <family val="2"/>
      </rPr>
      <t xml:space="preserve">模型期排程 </t>
    </r>
    <r>
      <rPr>
        <sz val="10"/>
        <rFont val="Arial"/>
        <family val="0"/>
        <charset val="1"/>
      </rPr>
      <t xml:space="preserve">RPO</t>
    </r>
  </si>
  <si>
    <t xml:space="preserve">模型期產能瓶頸</t>
  </si>
  <si>
    <t xml:space="preserve">模型期新簽約收入</t>
  </si>
  <si>
    <r>
      <rPr>
        <sz val="10"/>
        <rFont val="Noto Sans CJK SC"/>
        <family val="2"/>
      </rPr>
      <t xml:space="preserve">模型期毛 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8/31 </t>
    </r>
    <r>
      <rPr>
        <sz val="10"/>
        <rFont val="Noto Sans CJK SC"/>
        <family val="2"/>
      </rPr>
      <t xml:space="preserve">起）</t>
    </r>
  </si>
  <si>
    <r>
      <rPr>
        <sz val="10"/>
        <rFont val="Noto Sans CJK SC"/>
        <family val="2"/>
      </rPr>
      <t xml:space="preserve">模型期租金（</t>
    </r>
    <r>
      <rPr>
        <sz val="10"/>
        <rFont val="Arial"/>
        <family val="0"/>
        <charset val="1"/>
      </rPr>
      <t xml:space="preserve">8/31 </t>
    </r>
    <r>
      <rPr>
        <sz val="10"/>
        <rFont val="Noto Sans CJK SC"/>
        <family val="2"/>
      </rPr>
      <t xml:space="preserve">起）</t>
    </r>
  </si>
  <si>
    <r>
      <rPr>
        <sz val="10"/>
        <rFont val="Noto Sans CJK SC"/>
        <family val="2"/>
      </rPr>
      <t xml:space="preserve">模型期利息（</t>
    </r>
    <r>
      <rPr>
        <sz val="10"/>
        <rFont val="Arial"/>
        <family val="0"/>
        <charset val="1"/>
      </rPr>
      <t xml:space="preserve">8/31 </t>
    </r>
    <r>
      <rPr>
        <sz val="10"/>
        <rFont val="Noto Sans CJK SC"/>
        <family val="2"/>
      </rPr>
      <t xml:space="preserve">起，含瀑布新債）</t>
    </r>
  </si>
  <si>
    <r>
      <rPr>
        <sz val="10"/>
        <rFont val="Noto Sans CJK SC"/>
        <family val="2"/>
      </rPr>
      <t xml:space="preserve">模型期排程還本（</t>
    </r>
    <r>
      <rPr>
        <sz val="10"/>
        <rFont val="Arial"/>
        <family val="0"/>
        <charset val="1"/>
      </rPr>
      <t xml:space="preserve">8/31 </t>
    </r>
    <r>
      <rPr>
        <sz val="10"/>
        <rFont val="Noto Sans CJK SC"/>
        <family val="2"/>
      </rPr>
      <t xml:space="preserve">起）</t>
    </r>
  </si>
  <si>
    <r>
      <rPr>
        <sz val="10"/>
        <rFont val="Noto Sans CJK SC"/>
        <family val="2"/>
      </rPr>
      <t xml:space="preserve">模型期營運缺口（</t>
    </r>
    <r>
      <rPr>
        <sz val="10"/>
        <rFont val="Arial"/>
        <family val="0"/>
        <charset val="1"/>
      </rPr>
      <t xml:space="preserve">8/31 </t>
    </r>
    <r>
      <rPr>
        <sz val="10"/>
        <rFont val="Noto Sans CJK SC"/>
        <family val="2"/>
      </rPr>
      <t xml:space="preserve">起）</t>
    </r>
  </si>
  <si>
    <r>
      <rPr>
        <sz val="10"/>
        <rFont val="Arial"/>
        <family val="0"/>
        <charset val="1"/>
      </rPr>
      <t xml:space="preserve">FY27 </t>
    </r>
    <r>
      <rPr>
        <sz val="10"/>
        <rFont val="Noto Sans CJK SC"/>
        <family val="2"/>
      </rPr>
      <t xml:space="preserve">全年口徑營運缺口（含 </t>
    </r>
    <r>
      <rPr>
        <sz val="10"/>
        <rFont val="Arial"/>
        <family val="0"/>
        <charset val="1"/>
      </rPr>
      <t xml:space="preserve">1Q </t>
    </r>
    <r>
      <rPr>
        <sz val="10"/>
        <rFont val="Noto Sans CJK SC"/>
        <family val="2"/>
      </rPr>
      <t xml:space="preserve">實際）</t>
    </r>
  </si>
  <si>
    <r>
      <rPr>
        <sz val="10"/>
        <rFont val="Arial"/>
        <family val="0"/>
        <charset val="1"/>
      </rPr>
      <t xml:space="preserve">DCF </t>
    </r>
    <r>
      <rPr>
        <sz val="10"/>
        <rFont val="Noto Sans CJK SC"/>
        <family val="2"/>
      </rPr>
      <t xml:space="preserve">每股</t>
    </r>
  </si>
  <si>
    <t xml:space="preserve">版本紀錄（基準情境目標價變化與原因）</t>
  </si>
  <si>
    <r>
      <rPr>
        <sz val="9"/>
        <color rgb="FF595959"/>
        <rFont val="Arial"/>
        <family val="0"/>
        <charset val="1"/>
      </rPr>
      <t xml:space="preserve">v2.9 </t>
    </r>
    <r>
      <rPr>
        <sz val="9"/>
        <color rgb="FF595959"/>
        <rFont val="Noto Sans CJK SC"/>
        <family val="2"/>
      </rPr>
      <t xml:space="preserve">以前檔名日期統一沿用 </t>
    </r>
    <r>
      <rPr>
        <sz val="9"/>
        <color rgb="FF595959"/>
        <rFont val="Arial"/>
        <family val="0"/>
        <charset val="1"/>
      </rPr>
      <t xml:space="preserve">20260918</t>
    </r>
    <r>
      <rPr>
        <sz val="9"/>
        <color rgb="FF595959"/>
        <rFont val="Noto Sans CJK SC"/>
        <family val="2"/>
      </rPr>
      <t xml:space="preserve">，此處日期為實際修改日。</t>
    </r>
    <r>
      <rPr>
        <sz val="9"/>
        <color rgb="FF595959"/>
        <rFont val="Arial"/>
        <family val="0"/>
        <charset val="1"/>
      </rPr>
      <t xml:space="preserve">v1.7 </t>
    </r>
    <r>
      <rPr>
        <sz val="9"/>
        <color rgb="FF595959"/>
        <rFont val="Noto Sans CJK SC"/>
        <family val="2"/>
      </rPr>
      <t xml:space="preserve">以前基準為 </t>
    </r>
    <r>
      <rPr>
        <sz val="9"/>
        <color rgb="FF595959"/>
        <rFont val="Arial"/>
        <family val="0"/>
        <charset val="1"/>
      </rPr>
      <t xml:space="preserve">8 GW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v1.7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5 GW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v1.8 </t>
    </r>
    <r>
      <rPr>
        <sz val="9"/>
        <color rgb="FF595959"/>
        <rFont val="Noto Sans CJK SC"/>
        <family val="2"/>
      </rPr>
      <t xml:space="preserve">起為 </t>
    </r>
    <r>
      <rPr>
        <sz val="9"/>
        <color rgb="FF595959"/>
        <rFont val="Arial"/>
        <family val="0"/>
        <charset val="1"/>
      </rPr>
      <t xml:space="preserve">5.6 GW</t>
    </r>
    <r>
      <rPr>
        <sz val="9"/>
        <color rgb="FF595959"/>
        <rFont val="Noto Sans CJK SC"/>
        <family val="2"/>
      </rPr>
      <t xml:space="preserve">；情境定義改變的版本不可直接比較。目標價以當版預設輸入計算（</t>
    </r>
    <r>
      <rPr>
        <sz val="9"/>
        <color rgb="FF595959"/>
        <rFont val="Arial"/>
        <family val="0"/>
        <charset val="1"/>
      </rPr>
      <t xml:space="preserve">DCF 0 </t>
    </r>
    <r>
      <rPr>
        <sz val="9"/>
        <color rgb="FF595959"/>
        <rFont val="Noto Sans CJK SC"/>
        <family val="2"/>
      </rPr>
      <t xml:space="preserve">截斷）</t>
    </r>
  </si>
  <si>
    <t xml:space="preserve">版本</t>
  </si>
  <si>
    <t xml:space="preserve">日期</t>
  </si>
  <si>
    <t xml:space="preserve">主要變更</t>
  </si>
  <si>
    <t xml:space="preserve">基準目標價</t>
  </si>
  <si>
    <t xml:space="preserve">變動原因</t>
  </si>
  <si>
    <t xml:space="preserve">v0.2</t>
  </si>
  <si>
    <t xml:space="preserve">10-08</t>
  </si>
  <si>
    <r>
      <rPr>
        <sz val="10"/>
        <rFont val="Noto Sans CJK SC"/>
        <family val="2"/>
      </rPr>
      <t xml:space="preserve">建設延誤模組：計費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依延誤月數平移（保守 </t>
    </r>
    <r>
      <rPr>
        <sz val="10"/>
        <rFont val="Arial"/>
        <family val="0"/>
        <charset val="1"/>
      </rPr>
      <t xml:space="preserve">6</t>
    </r>
    <r>
      <rPr>
        <sz val="10"/>
        <rFont val="Noto Sans CJK SC"/>
        <family val="2"/>
      </rPr>
      <t xml:space="preserve">／基準 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／積極 </t>
    </r>
    <r>
      <rPr>
        <sz val="10"/>
        <rFont val="Arial"/>
        <family val="0"/>
        <charset val="1"/>
      </rPr>
      <t xml:space="preserve">0</t>
    </r>
    <r>
      <rPr>
        <sz val="10"/>
        <rFont val="Noto Sans CJK SC"/>
        <family val="2"/>
      </rPr>
      <t xml:space="preserve">）、</t>
    </r>
    <r>
      <rPr>
        <sz val="10"/>
        <rFont val="Arial"/>
        <family val="0"/>
        <charset val="1"/>
      </rPr>
      <t xml:space="preserve">GPU </t>
    </r>
    <r>
      <rPr>
        <sz val="10"/>
        <rFont val="Noto Sans CJK SC"/>
        <family val="2"/>
      </rPr>
      <t xml:space="preserve">資本支出照原時程（閒置資本）、折舊自投入使用起算、未起租租約 </t>
    </r>
    <r>
      <rPr>
        <sz val="10"/>
        <rFont val="Arial"/>
        <family val="0"/>
        <charset val="1"/>
      </rPr>
      <t xml:space="preserve">50% </t>
    </r>
    <r>
      <rPr>
        <sz val="10"/>
        <rFont val="Noto Sans CJK SC"/>
        <family val="2"/>
      </rPr>
      <t xml:space="preserve">隨延誤起租、延誤罰則（預設 </t>
    </r>
    <r>
      <rPr>
        <sz val="10"/>
        <rFont val="Arial"/>
        <family val="0"/>
        <charset val="1"/>
      </rPr>
      <t xml:space="preserve">0</t>
    </r>
    <r>
      <rPr>
        <sz val="10"/>
        <rFont val="Noto Sans CJK SC"/>
        <family val="2"/>
      </rPr>
      <t xml:space="preserve">）；租賃負債（</t>
    </r>
    <r>
      <rPr>
        <sz val="10"/>
        <rFont val="Arial"/>
        <family val="0"/>
        <charset val="1"/>
      </rPr>
      <t xml:space="preserve">5.7%</t>
    </r>
    <r>
      <rPr>
        <sz val="10"/>
        <rFont val="Noto Sans CJK SC"/>
        <family val="2"/>
      </rPr>
      <t xml:space="preserve">）與租賃調整後槓桿，投資級上限改為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債務＋租賃負債</t>
    </r>
    <r>
      <rPr>
        <sz val="10"/>
        <rFont val="Arial"/>
        <family val="0"/>
        <charset val="1"/>
      </rPr>
      <t xml:space="preserve">) ÷ (EBITDA</t>
    </r>
    <r>
      <rPr>
        <sz val="10"/>
        <rFont val="Noto Sans CJK SC"/>
        <family val="2"/>
      </rPr>
      <t xml:space="preserve">＋租金</t>
    </r>
    <r>
      <rPr>
        <sz val="10"/>
        <rFont val="Arial"/>
        <family val="0"/>
        <charset val="1"/>
      </rPr>
      <t xml:space="preserve">) ≤ 4.5×</t>
    </r>
  </si>
  <si>
    <t xml:space="preserve">$133.9</t>
  </si>
  <si>
    <r>
      <rPr>
        <sz val="10"/>
        <rFont val="Arial"/>
        <family val="0"/>
        <charset val="1"/>
      </rPr>
      <t xml:space="preserve">−$10.6</t>
    </r>
    <r>
      <rPr>
        <sz val="10"/>
        <rFont val="Noto Sans CJK SC"/>
        <family val="2"/>
      </rPr>
      <t xml:space="preserve">（基準）＝</t>
    </r>
    <r>
      <rPr>
        <sz val="10"/>
        <rFont val="Arial"/>
        <family val="0"/>
        <charset val="1"/>
      </rPr>
      <t xml:space="preserve">(a) </t>
    </r>
    <r>
      <rPr>
        <sz val="10"/>
        <rFont val="Noto Sans CJK SC"/>
        <family val="2"/>
      </rPr>
      <t xml:space="preserve">時間推移 </t>
    </r>
    <r>
      <rPr>
        <sz val="10"/>
        <rFont val="Arial"/>
        <family val="0"/>
        <charset val="1"/>
      </rPr>
      <t xml:space="preserve">0</t>
    </r>
    <r>
      <rPr>
        <sz val="10"/>
        <rFont val="Noto Sans CJK SC"/>
        <family val="2"/>
      </rPr>
      <t xml:space="preserve">＋</t>
    </r>
    <r>
      <rPr>
        <sz val="10"/>
        <rFont val="Arial"/>
        <family val="0"/>
        <charset val="1"/>
      </rPr>
      <t xml:space="preserve">(b) </t>
    </r>
    <r>
      <rPr>
        <sz val="10"/>
        <rFont val="Noto Sans CJK SC"/>
        <family val="2"/>
      </rPr>
      <t xml:space="preserve">實際數 </t>
    </r>
    <r>
      <rPr>
        <sz val="10"/>
        <rFont val="Arial"/>
        <family val="0"/>
        <charset val="1"/>
      </rPr>
      <t xml:space="preserve">0</t>
    </r>
    <r>
      <rPr>
        <sz val="10"/>
        <rFont val="Noto Sans CJK SC"/>
        <family val="2"/>
      </rPr>
      <t xml:space="preserve">＋</t>
    </r>
    <r>
      <rPr>
        <sz val="10"/>
        <rFont val="Arial"/>
        <family val="0"/>
        <charset val="1"/>
      </rPr>
      <t xml:space="preserve">(c) </t>
    </r>
    <r>
      <rPr>
        <sz val="10"/>
        <rFont val="Noto Sans CJK SC"/>
        <family val="2"/>
      </rPr>
      <t xml:space="preserve">假設變更 −</t>
    </r>
    <r>
      <rPr>
        <sz val="10"/>
        <rFont val="Arial"/>
        <family val="0"/>
        <charset val="1"/>
      </rPr>
      <t xml:space="preserve">10.6</t>
    </r>
    <r>
      <rPr>
        <sz val="10"/>
        <rFont val="Noto Sans CJK SC"/>
        <family val="2"/>
      </rPr>
      <t xml:space="preserve">〔延誤收入平移 −</t>
    </r>
    <r>
      <rPr>
        <sz val="10"/>
        <rFont val="Arial"/>
        <family val="0"/>
        <charset val="1"/>
      </rPr>
      <t xml:space="preserve">9.65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GPU </t>
    </r>
    <r>
      <rPr>
        <sz val="10"/>
        <rFont val="Noto Sans CJK SC"/>
        <family val="2"/>
      </rPr>
      <t xml:space="preserve">資本支出照原時程 −</t>
    </r>
    <r>
      <rPr>
        <sz val="10"/>
        <rFont val="Arial"/>
        <family val="0"/>
        <charset val="1"/>
      </rPr>
      <t xml:space="preserve">2.14</t>
    </r>
    <r>
      <rPr>
        <sz val="10"/>
        <rFont val="Noto Sans CJK SC"/>
        <family val="2"/>
      </rPr>
      <t xml:space="preserve">、租約連動 </t>
    </r>
    <r>
      <rPr>
        <sz val="10"/>
        <rFont val="Arial"/>
        <family val="0"/>
        <charset val="1"/>
      </rPr>
      <t xml:space="preserve">+1.17</t>
    </r>
    <r>
      <rPr>
        <sz val="10"/>
        <rFont val="Noto Sans CJK SC"/>
        <family val="2"/>
      </rPr>
      <t xml:space="preserve">、罰則 </t>
    </r>
    <r>
      <rPr>
        <sz val="10"/>
        <rFont val="Arial"/>
        <family val="0"/>
        <charset val="1"/>
      </rPr>
      <t xml:space="preserve">0</t>
    </r>
    <r>
      <rPr>
        <sz val="10"/>
        <rFont val="Noto Sans CJK SC"/>
        <family val="2"/>
      </rPr>
      <t xml:space="preserve">〕＋</t>
    </r>
    <r>
      <rPr>
        <sz val="10"/>
        <rFont val="Arial"/>
        <family val="0"/>
        <charset val="1"/>
      </rPr>
      <t xml:space="preserve">(d) </t>
    </r>
    <r>
      <rPr>
        <sz val="10"/>
        <rFont val="Noto Sans CJK SC"/>
        <family val="2"/>
      </rPr>
      <t xml:space="preserve">方法變更 </t>
    </r>
    <r>
      <rPr>
        <sz val="10"/>
        <rFont val="Arial"/>
        <family val="0"/>
        <charset val="1"/>
      </rPr>
      <t xml:space="preserve">0</t>
    </r>
    <r>
      <rPr>
        <sz val="10"/>
        <rFont val="Noto Sans CJK SC"/>
        <family val="2"/>
      </rPr>
      <t xml:space="preserve">〔上限改租賃調整後槓桿，三情境未觸及〕；保守 </t>
    </r>
    <r>
      <rPr>
        <sz val="10"/>
        <rFont val="Arial"/>
        <family val="0"/>
        <charset val="1"/>
      </rPr>
      <t xml:space="preserve">$79.8 → $74.0</t>
    </r>
    <r>
      <rPr>
        <sz val="10"/>
        <rFont val="Noto Sans CJK SC"/>
        <family val="2"/>
      </rPr>
      <t xml:space="preserve">（賣出）、積極 </t>
    </r>
    <r>
      <rPr>
        <sz val="10"/>
        <rFont val="Arial"/>
        <family val="0"/>
        <charset val="1"/>
      </rPr>
      <t xml:space="preserve">$226.6 </t>
    </r>
    <r>
      <rPr>
        <sz val="10"/>
        <rFont val="Noto Sans CJK SC"/>
        <family val="2"/>
      </rPr>
      <t xml:space="preserve">不變（買進）</t>
    </r>
  </si>
  <si>
    <t xml:space="preserve">v0.1</t>
  </si>
  <si>
    <r>
      <rPr>
        <sz val="10"/>
        <rFont val="Noto Sans CJK SC"/>
        <family val="2"/>
      </rPr>
      <t xml:space="preserve">由 </t>
    </r>
    <r>
      <rPr>
        <sz val="10"/>
        <rFont val="Arial"/>
        <family val="0"/>
        <charset val="1"/>
      </rPr>
      <t xml:space="preserve">CRWV v4.5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Nebius v0.1 </t>
    </r>
    <r>
      <rPr>
        <sz val="10"/>
        <rFont val="Noto Sans CJK SC"/>
        <family val="2"/>
      </rPr>
      <t xml:space="preserve">模板建立（</t>
    </r>
    <r>
      <rPr>
        <sz val="10"/>
        <rFont val="Arial"/>
        <family val="0"/>
        <charset val="1"/>
      </rPr>
      <t xml:space="preserve">CRWV v1.0–v4.5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Nebius v0.1–v0.2 </t>
    </r>
    <r>
      <rPr>
        <sz val="10"/>
        <rFont val="Noto Sans CJK SC"/>
        <family val="2"/>
      </rPr>
      <t xml:space="preserve">的歷史見各自資料夾）；</t>
    </r>
    <r>
      <rPr>
        <sz val="10"/>
        <rFont val="Arial"/>
        <family val="0"/>
        <charset val="1"/>
      </rPr>
      <t xml:space="preserve">OCI </t>
    </r>
    <r>
      <rPr>
        <sz val="10"/>
        <rFont val="Noto Sans CJK SC"/>
        <family val="2"/>
      </rPr>
      <t xml:space="preserve">以 </t>
    </r>
    <r>
      <rPr>
        <sz val="10"/>
        <rFont val="Arial"/>
        <family val="0"/>
        <charset val="1"/>
      </rPr>
      <t xml:space="preserve">MW × </t>
    </r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收入、傳統事業、客戶出資、投資級融資瀑布、強制轉換特別股、分部 </t>
    </r>
    <r>
      <rPr>
        <sz val="10"/>
        <rFont val="Arial"/>
        <family val="0"/>
        <charset val="1"/>
      </rPr>
      <t xml:space="preserve">EV/EBITDA</t>
    </r>
    <r>
      <rPr>
        <sz val="10"/>
        <rFont val="Noto Sans CJK SC"/>
        <family val="2"/>
      </rPr>
      <t xml:space="preserve">；審查修正：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觸頂後與終值年加穩態 </t>
    </r>
    <r>
      <rPr>
        <sz val="10"/>
        <rFont val="Arial"/>
        <family val="0"/>
        <charset val="1"/>
      </rPr>
      <t xml:space="preserve">GPU </t>
    </r>
    <r>
      <rPr>
        <sz val="10"/>
        <rFont val="Noto Sans CJK SC"/>
        <family val="2"/>
      </rPr>
      <t xml:space="preserve">汰換 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、終值以末期 </t>
    </r>
    <r>
      <rPr>
        <sz val="10"/>
        <rFont val="Arial"/>
        <family val="0"/>
        <charset val="1"/>
      </rPr>
      <t xml:space="preserve">UFCF </t>
    </r>
    <r>
      <rPr>
        <sz val="10"/>
        <rFont val="Noto Sans CJK SC"/>
        <family val="2"/>
      </rPr>
      <t xml:space="preserve">為基準、</t>
    </r>
    <r>
      <rPr>
        <sz val="10"/>
        <rFont val="Arial"/>
        <family val="0"/>
        <charset val="1"/>
      </rPr>
      <t xml:space="preserve">OCI </t>
    </r>
    <r>
      <rPr>
        <sz val="10"/>
        <rFont val="Noto Sans CJK SC"/>
        <family val="2"/>
      </rPr>
      <t xml:space="preserve">改為 </t>
    </r>
    <r>
      <rPr>
        <sz val="10"/>
        <rFont val="Arial"/>
        <family val="0"/>
        <charset val="1"/>
      </rPr>
      <t xml:space="preserve">EBITDAR </t>
    </r>
    <r>
      <rPr>
        <sz val="10"/>
        <rFont val="Noto Sans CJK SC"/>
        <family val="2"/>
      </rPr>
      <t xml:space="preserve">率 − 固定租金</t>
    </r>
  </si>
  <si>
    <t xml:space="preserve">$144.5</t>
  </si>
  <si>
    <r>
      <rPr>
        <sz val="10"/>
        <rFont val="Noto Sans CJK SC"/>
        <family val="2"/>
      </rPr>
      <t xml:space="preserve">首版（基準）；保守 </t>
    </r>
    <r>
      <rPr>
        <sz val="10"/>
        <rFont val="Arial"/>
        <family val="0"/>
        <charset val="1"/>
      </rPr>
      <t xml:space="preserve">$79.8</t>
    </r>
    <r>
      <rPr>
        <sz val="10"/>
        <rFont val="Noto Sans CJK SC"/>
        <family val="2"/>
      </rPr>
      <t xml:space="preserve">（賣出）、積極 </t>
    </r>
    <r>
      <rPr>
        <sz val="10"/>
        <rFont val="Arial"/>
        <family val="0"/>
        <charset val="1"/>
      </rPr>
      <t xml:space="preserve">$226.6</t>
    </r>
    <r>
      <rPr>
        <sz val="10"/>
        <rFont val="Noto Sans CJK SC"/>
        <family val="2"/>
      </rPr>
      <t xml:space="preserve">（買進）</t>
    </r>
  </si>
  <si>
    <t xml:space="preserve">來源與標籤</t>
  </si>
  <si>
    <t xml:space="preserve">標籤</t>
  </si>
  <si>
    <t xml:space="preserve">內容</t>
  </si>
  <si>
    <r>
      <rPr>
        <sz val="10"/>
        <rFont val="Arial"/>
        <family val="0"/>
        <charset val="1"/>
      </rPr>
      <t xml:space="preserve">FY27Q1 10-Q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2026-09-11</t>
    </r>
    <r>
      <rPr>
        <sz val="10"/>
        <rFont val="Noto Sans CJK SC"/>
        <family val="2"/>
      </rPr>
      <t xml:space="preserve">，核閱、未查核）：營收 </t>
    </r>
    <r>
      <rPr>
        <sz val="10"/>
        <rFont val="Arial"/>
        <family val="0"/>
        <charset val="1"/>
      </rPr>
      <t xml:space="preserve">19.345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OCI 7.388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SaaS 4.219</t>
    </r>
    <r>
      <rPr>
        <sz val="10"/>
        <rFont val="Noto Sans CJK SC"/>
        <family val="2"/>
      </rPr>
      <t xml:space="preserve">、軟體 </t>
    </r>
    <r>
      <rPr>
        <sz val="10"/>
        <rFont val="Arial"/>
        <family val="0"/>
        <charset val="1"/>
      </rPr>
      <t xml:space="preserve">5.550</t>
    </r>
    <r>
      <rPr>
        <sz val="10"/>
        <rFont val="Noto Sans CJK SC"/>
        <family val="2"/>
      </rPr>
      <t xml:space="preserve">、硬體 </t>
    </r>
    <r>
      <rPr>
        <sz val="10"/>
        <rFont val="Arial"/>
        <family val="0"/>
        <charset val="1"/>
      </rPr>
      <t xml:space="preserve">0.774</t>
    </r>
    <r>
      <rPr>
        <sz val="10"/>
        <rFont val="Noto Sans CJK SC"/>
        <family val="2"/>
      </rPr>
      <t xml:space="preserve">、服務 </t>
    </r>
    <r>
      <rPr>
        <sz val="10"/>
        <rFont val="Arial"/>
        <family val="0"/>
        <charset val="1"/>
      </rPr>
      <t xml:space="preserve">1.414</t>
    </r>
    <r>
      <rPr>
        <sz val="10"/>
        <rFont val="Noto Sans CJK SC"/>
        <family val="2"/>
      </rPr>
      <t xml:space="preserve">）；</t>
    </r>
    <r>
      <rPr>
        <sz val="10"/>
        <rFont val="Arial"/>
        <family val="0"/>
        <charset val="1"/>
      </rPr>
      <t xml:space="preserve">GAAP </t>
    </r>
    <r>
      <rPr>
        <sz val="10"/>
        <rFont val="Noto Sans CJK SC"/>
        <family val="2"/>
      </rPr>
      <t xml:space="preserve">營業利益 </t>
    </r>
    <r>
      <rPr>
        <sz val="10"/>
        <rFont val="Arial"/>
        <family val="0"/>
        <charset val="1"/>
      </rPr>
      <t xml:space="preserve">6.728</t>
    </r>
    <r>
      <rPr>
        <sz val="10"/>
        <rFont val="Noto Sans CJK SC"/>
        <family val="2"/>
      </rPr>
      <t xml:space="preserve">（非 </t>
    </r>
    <r>
      <rPr>
        <sz val="10"/>
        <rFont val="Arial"/>
        <family val="0"/>
        <charset val="1"/>
      </rPr>
      <t xml:space="preserve">GAAP 8.151</t>
    </r>
    <r>
      <rPr>
        <sz val="10"/>
        <rFont val="Noto Sans CJK SC"/>
        <family val="2"/>
      </rPr>
      <t xml:space="preserve">）；</t>
    </r>
    <r>
      <rPr>
        <sz val="10"/>
        <rFont val="Arial"/>
        <family val="0"/>
        <charset val="1"/>
      </rPr>
      <t xml:space="preserve">D&amp;A 3.358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SBC 1.127</t>
    </r>
    <r>
      <rPr>
        <sz val="10"/>
        <rFont val="Noto Sans CJK SC"/>
        <family val="2"/>
      </rPr>
      <t xml:space="preserve">；利息費用 </t>
    </r>
    <r>
      <rPr>
        <sz val="10"/>
        <rFont val="Arial"/>
        <family val="0"/>
        <charset val="1"/>
      </rPr>
      <t xml:space="preserve">1.428</t>
    </r>
    <r>
      <rPr>
        <sz val="10"/>
        <rFont val="Noto Sans CJK SC"/>
        <family val="2"/>
      </rPr>
      <t xml:space="preserve">；淨利 </t>
    </r>
    <r>
      <rPr>
        <sz val="10"/>
        <rFont val="Arial"/>
        <family val="0"/>
        <charset val="1"/>
      </rPr>
      <t xml:space="preserve">4.760</t>
    </r>
    <r>
      <rPr>
        <sz val="10"/>
        <rFont val="Noto Sans CJK SC"/>
        <family val="2"/>
      </rPr>
      <t xml:space="preserve">。</t>
    </r>
  </si>
  <si>
    <r>
      <rPr>
        <sz val="10"/>
        <rFont val="Noto Sans CJK SC"/>
        <family val="2"/>
      </rPr>
      <t xml:space="preserve">資產負債（</t>
    </r>
    <r>
      <rPr>
        <sz val="10"/>
        <rFont val="Arial"/>
        <family val="0"/>
        <charset val="1"/>
      </rPr>
      <t xml:space="preserve">2026-08-31</t>
    </r>
    <r>
      <rPr>
        <sz val="10"/>
        <rFont val="Noto Sans CJK SC"/>
        <family val="2"/>
      </rPr>
      <t xml:space="preserve">）：現金 </t>
    </r>
    <r>
      <rPr>
        <sz val="10"/>
        <rFont val="Arial"/>
        <family val="0"/>
        <charset val="1"/>
      </rPr>
      <t xml:space="preserve">36.369</t>
    </r>
    <r>
      <rPr>
        <sz val="10"/>
        <rFont val="Noto Sans CJK SC"/>
        <family val="2"/>
      </rPr>
      <t xml:space="preserve">、有價證券 </t>
    </r>
    <r>
      <rPr>
        <sz val="10"/>
        <rFont val="Arial"/>
        <family val="0"/>
        <charset val="1"/>
      </rPr>
      <t xml:space="preserve">0.708</t>
    </r>
    <r>
      <rPr>
        <sz val="10"/>
        <rFont val="Noto Sans CJK SC"/>
        <family val="2"/>
      </rPr>
      <t xml:space="preserve">、受限 </t>
    </r>
    <r>
      <rPr>
        <sz val="10"/>
        <rFont val="Arial"/>
        <family val="0"/>
        <charset val="1"/>
      </rPr>
      <t xml:space="preserve">2.6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PP&amp;E </t>
    </r>
    <r>
      <rPr>
        <sz val="10"/>
        <rFont val="Noto Sans CJK SC"/>
        <family val="2"/>
      </rPr>
      <t xml:space="preserve">淨額 </t>
    </r>
    <r>
      <rPr>
        <sz val="10"/>
        <rFont val="Arial"/>
        <family val="0"/>
        <charset val="1"/>
      </rPr>
      <t xml:space="preserve">127.845</t>
    </r>
    <r>
      <rPr>
        <sz val="10"/>
        <rFont val="Noto Sans CJK SC"/>
        <family val="2"/>
      </rPr>
      <t xml:space="preserve">（在建 </t>
    </r>
    <r>
      <rPr>
        <sz val="10"/>
        <rFont val="Arial"/>
        <family val="0"/>
        <charset val="1"/>
      </rPr>
      <t xml:space="preserve">48.546</t>
    </r>
    <r>
      <rPr>
        <sz val="10"/>
        <rFont val="Noto Sans CJK SC"/>
        <family val="2"/>
      </rPr>
      <t xml:space="preserve">）；遞延營收 </t>
    </r>
    <r>
      <rPr>
        <sz val="10"/>
        <rFont val="Arial"/>
        <family val="0"/>
        <charset val="1"/>
      </rPr>
      <t xml:space="preserve">30.789</t>
    </r>
    <r>
      <rPr>
        <sz val="10"/>
        <rFont val="Noto Sans CJK SC"/>
        <family val="2"/>
      </rPr>
      <t xml:space="preserve">；借款帳面 </t>
    </r>
    <r>
      <rPr>
        <sz val="10"/>
        <rFont val="Arial"/>
        <family val="0"/>
        <charset val="1"/>
      </rPr>
      <t xml:space="preserve">125.337</t>
    </r>
    <r>
      <rPr>
        <sz val="10"/>
        <rFont val="Noto Sans CJK SC"/>
        <family val="2"/>
      </rPr>
      <t xml:space="preserve">；營業租賃負債 </t>
    </r>
    <r>
      <rPr>
        <sz val="10"/>
        <rFont val="Arial"/>
        <family val="0"/>
        <charset val="1"/>
      </rPr>
      <t xml:space="preserve">34.621</t>
    </r>
    <r>
      <rPr>
        <sz val="10"/>
        <rFont val="Noto Sans CJK SC"/>
        <family val="2"/>
      </rPr>
      <t xml:space="preserve">、融資租賃 </t>
    </r>
    <r>
      <rPr>
        <sz val="10"/>
        <rFont val="Arial"/>
        <family val="0"/>
        <charset val="1"/>
      </rPr>
      <t xml:space="preserve">9.185</t>
    </r>
    <r>
      <rPr>
        <sz val="10"/>
        <rFont val="Noto Sans CJK SC"/>
        <family val="2"/>
      </rPr>
      <t xml:space="preserve">；已簽約未起租租賃 </t>
    </r>
    <r>
      <rPr>
        <sz val="10"/>
        <rFont val="Arial"/>
        <family val="0"/>
        <charset val="1"/>
      </rPr>
      <t xml:space="preserve">288.0</t>
    </r>
    <r>
      <rPr>
        <sz val="10"/>
        <rFont val="Noto Sans CJK SC"/>
        <family val="2"/>
      </rPr>
      <t xml:space="preserve">；股東權益 </t>
    </r>
    <r>
      <rPr>
        <sz val="10"/>
        <rFont val="Arial"/>
        <family val="0"/>
        <charset val="1"/>
      </rPr>
      <t xml:space="preserve">67.196</t>
    </r>
    <r>
      <rPr>
        <sz val="10"/>
        <rFont val="Noto Sans CJK SC"/>
        <family val="2"/>
      </rPr>
      <t xml:space="preserve">。</t>
    </r>
  </si>
  <si>
    <r>
      <rPr>
        <sz val="10"/>
        <rFont val="Noto Sans CJK SC"/>
        <family val="2"/>
      </rPr>
      <t xml:space="preserve">現金流（</t>
    </r>
    <r>
      <rPr>
        <sz val="10"/>
        <rFont val="Arial"/>
        <family val="0"/>
        <charset val="1"/>
      </rPr>
      <t xml:space="preserve">Q1</t>
    </r>
    <r>
      <rPr>
        <sz val="10"/>
        <rFont val="Noto Sans CJK SC"/>
        <family val="2"/>
      </rPr>
      <t xml:space="preserve">）：</t>
    </r>
    <r>
      <rPr>
        <sz val="10"/>
        <rFont val="Arial"/>
        <family val="0"/>
        <charset val="1"/>
      </rPr>
      <t xml:space="preserve">CFO 23.103</t>
    </r>
    <r>
      <rPr>
        <sz val="10"/>
        <rFont val="Noto Sans CJK SC"/>
        <family val="2"/>
      </rPr>
      <t xml:space="preserve">（客戶預付 </t>
    </r>
    <r>
      <rPr>
        <sz val="10"/>
        <rFont val="Arial"/>
        <family val="0"/>
        <charset val="1"/>
      </rPr>
      <t xml:space="preserve">11.363</t>
    </r>
    <r>
      <rPr>
        <sz val="10"/>
        <rFont val="Noto Sans CJK SC"/>
        <family val="2"/>
      </rPr>
      <t xml:space="preserve">）；資本支出 </t>
    </r>
    <r>
      <rPr>
        <sz val="10"/>
        <rFont val="Arial"/>
        <family val="0"/>
        <charset val="1"/>
      </rPr>
      <t xml:space="preserve">28.499</t>
    </r>
    <r>
      <rPr>
        <sz val="10"/>
        <rFont val="Noto Sans CJK SC"/>
        <family val="2"/>
      </rPr>
      <t xml:space="preserve">；公司定義淨現金資本支出 </t>
    </r>
    <r>
      <rPr>
        <sz val="10"/>
        <rFont val="Arial"/>
        <family val="0"/>
        <charset val="1"/>
      </rPr>
      <t xml:space="preserve">17.966</t>
    </r>
    <r>
      <rPr>
        <sz val="10"/>
        <rFont val="Noto Sans CJK SC"/>
        <family val="2"/>
      </rPr>
      <t xml:space="preserve">；還款 </t>
    </r>
    <r>
      <rPr>
        <sz val="10"/>
        <rFont val="Arial"/>
        <family val="0"/>
        <charset val="1"/>
      </rPr>
      <t xml:space="preserve">4.202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ATM </t>
    </r>
    <r>
      <rPr>
        <sz val="10"/>
        <rFont val="Noto Sans CJK SC"/>
        <family val="2"/>
      </rPr>
      <t xml:space="preserve">淨額 </t>
    </r>
    <r>
      <rPr>
        <sz val="10"/>
        <rFont val="Arial"/>
        <family val="0"/>
        <charset val="1"/>
      </rPr>
      <t xml:space="preserve">19.909</t>
    </r>
    <r>
      <rPr>
        <sz val="10"/>
        <rFont val="Noto Sans CJK SC"/>
        <family val="2"/>
      </rPr>
      <t xml:space="preserve">；股利 </t>
    </r>
    <r>
      <rPr>
        <sz val="10"/>
        <rFont val="Arial"/>
        <family val="0"/>
        <charset val="1"/>
      </rPr>
      <t xml:space="preserve">1.565</t>
    </r>
    <r>
      <rPr>
        <sz val="10"/>
        <rFont val="Noto Sans CJK SC"/>
        <family val="2"/>
      </rPr>
      <t xml:space="preserve">。</t>
    </r>
  </si>
  <si>
    <r>
      <rPr>
        <sz val="10"/>
        <rFont val="Arial"/>
        <family val="0"/>
        <charset val="1"/>
      </rPr>
      <t xml:space="preserve">RPO 664.0</t>
    </r>
    <r>
      <rPr>
        <sz val="10"/>
        <rFont val="Noto Sans CJK SC"/>
        <family val="2"/>
      </rPr>
      <t xml:space="preserve">：</t>
    </r>
    <r>
      <rPr>
        <sz val="10"/>
        <rFont val="Arial"/>
        <family val="0"/>
        <charset val="1"/>
      </rPr>
      <t xml:space="preserve">12 </t>
    </r>
    <r>
      <rPr>
        <sz val="10"/>
        <rFont val="Noto Sans CJK SC"/>
        <family val="2"/>
      </rPr>
      <t xml:space="preserve">個月內 </t>
    </r>
    <r>
      <rPr>
        <sz val="10"/>
        <rFont val="Arial"/>
        <family val="0"/>
        <charset val="1"/>
      </rPr>
      <t xml:space="preserve">13%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13–36 </t>
    </r>
    <r>
      <rPr>
        <sz val="10"/>
        <rFont val="Noto Sans CJK SC"/>
        <family val="2"/>
      </rPr>
      <t xml:space="preserve">個月 </t>
    </r>
    <r>
      <rPr>
        <sz val="10"/>
        <rFont val="Arial"/>
        <family val="0"/>
        <charset val="1"/>
      </rPr>
      <t xml:space="preserve">37%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37–60 </t>
    </r>
    <r>
      <rPr>
        <sz val="10"/>
        <rFont val="Noto Sans CJK SC"/>
        <family val="2"/>
      </rPr>
      <t xml:space="preserve">個月 </t>
    </r>
    <r>
      <rPr>
        <sz val="10"/>
        <rFont val="Arial"/>
        <family val="0"/>
        <charset val="1"/>
      </rPr>
      <t xml:space="preserve">34%</t>
    </r>
    <r>
      <rPr>
        <sz val="10"/>
        <rFont val="Noto Sans CJK SC"/>
        <family val="2"/>
      </rPr>
      <t xml:space="preserve">、其餘 </t>
    </r>
    <r>
      <rPr>
        <sz val="10"/>
        <rFont val="Arial"/>
        <family val="0"/>
        <charset val="1"/>
      </rPr>
      <t xml:space="preserve">16%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OpenAI </t>
    </r>
    <r>
      <rPr>
        <sz val="10"/>
        <rFont val="Noto Sans CJK SC"/>
        <family val="2"/>
      </rPr>
      <t xml:space="preserve">約占一半（二手）。</t>
    </r>
    <r>
      <rPr>
        <sz val="10"/>
        <rFont val="Arial"/>
        <family val="0"/>
        <charset val="1"/>
      </rPr>
      <t xml:space="preserve">FY27 </t>
    </r>
    <r>
      <rPr>
        <sz val="10"/>
        <rFont val="Noto Sans CJK SC"/>
        <family val="2"/>
      </rPr>
      <t xml:space="preserve">指引：營收 ≥</t>
    </r>
    <r>
      <rPr>
        <sz val="10"/>
        <rFont val="Arial"/>
        <family val="0"/>
        <charset val="1"/>
      </rPr>
      <t xml:space="preserve">90</t>
    </r>
    <r>
      <rPr>
        <sz val="10"/>
        <rFont val="Noto Sans CJK SC"/>
        <family val="2"/>
      </rPr>
      <t xml:space="preserve">、非 </t>
    </r>
    <r>
      <rPr>
        <sz val="10"/>
        <rFont val="Arial"/>
        <family val="0"/>
        <charset val="1"/>
      </rPr>
      <t xml:space="preserve">GAAP EPS 8.10</t>
    </r>
    <r>
      <rPr>
        <sz val="10"/>
        <rFont val="Noto Sans CJK SC"/>
        <family val="2"/>
      </rPr>
      <t xml:space="preserve">、資本支出 </t>
    </r>
    <r>
      <rPr>
        <sz val="10"/>
        <rFont val="Arial"/>
        <family val="0"/>
        <charset val="1"/>
      </rPr>
      <t xml:space="preserve">90–95</t>
    </r>
    <r>
      <rPr>
        <sz val="10"/>
        <rFont val="Noto Sans CJK SC"/>
        <family val="2"/>
      </rPr>
      <t xml:space="preserve">（法說）、淨現金資本支出 ≤</t>
    </r>
    <r>
      <rPr>
        <sz val="10"/>
        <rFont val="Arial"/>
        <family val="0"/>
        <charset val="1"/>
      </rPr>
      <t xml:space="preserve">70</t>
    </r>
    <r>
      <rPr>
        <sz val="10"/>
        <rFont val="Noto Sans CJK SC"/>
        <family val="2"/>
      </rPr>
      <t xml:space="preserve">。</t>
    </r>
  </si>
  <si>
    <r>
      <rPr>
        <sz val="10"/>
        <rFont val="Arial"/>
        <family val="0"/>
        <charset val="1"/>
      </rPr>
      <t xml:space="preserve">FY2026 10-K</t>
    </r>
    <r>
      <rPr>
        <sz val="10"/>
        <rFont val="Noto Sans CJK SC"/>
        <family val="2"/>
      </rPr>
      <t xml:space="preserve">（經查核）：營收 </t>
    </r>
    <r>
      <rPr>
        <sz val="10"/>
        <rFont val="Arial"/>
        <family val="0"/>
        <charset val="1"/>
      </rPr>
      <t xml:space="preserve">67.357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GAAP </t>
    </r>
    <r>
      <rPr>
        <sz val="10"/>
        <rFont val="Noto Sans CJK SC"/>
        <family val="2"/>
      </rPr>
      <t xml:space="preserve">營業利益 </t>
    </r>
    <r>
      <rPr>
        <sz val="10"/>
        <rFont val="Arial"/>
        <family val="0"/>
        <charset val="1"/>
      </rPr>
      <t xml:space="preserve">20.606</t>
    </r>
    <r>
      <rPr>
        <sz val="10"/>
        <rFont val="Noto Sans CJK SC"/>
        <family val="2"/>
      </rPr>
      <t xml:space="preserve">、淨利 </t>
    </r>
    <r>
      <rPr>
        <sz val="10"/>
        <rFont val="Arial"/>
        <family val="0"/>
        <charset val="1"/>
      </rPr>
      <t xml:space="preserve">17.087</t>
    </r>
    <r>
      <rPr>
        <sz val="10"/>
        <rFont val="Noto Sans CJK SC"/>
        <family val="2"/>
      </rPr>
      <t xml:space="preserve">、稀釋 </t>
    </r>
    <r>
      <rPr>
        <sz val="10"/>
        <rFont val="Arial"/>
        <family val="0"/>
        <charset val="1"/>
      </rPr>
      <t xml:space="preserve">EPS 5.83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FY24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FY25 </t>
    </r>
    <r>
      <rPr>
        <sz val="10"/>
        <rFont val="Noto Sans CJK SC"/>
        <family val="2"/>
      </rPr>
      <t xml:space="preserve">損益取自 </t>
    </r>
    <r>
      <rPr>
        <sz val="10"/>
        <rFont val="Arial"/>
        <family val="0"/>
        <charset val="1"/>
      </rPr>
      <t xml:space="preserve">XBRL companyfacts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55 </t>
    </r>
    <r>
      <rPr>
        <sz val="10"/>
        <rFont val="Noto Sans CJK SC"/>
        <family val="2"/>
      </rPr>
      <t xml:space="preserve">檔優先票據逐檔（附註 </t>
    </r>
    <r>
      <rPr>
        <sz val="10"/>
        <rFont val="Arial"/>
        <family val="0"/>
        <charset val="1"/>
      </rPr>
      <t xml:space="preserve">6</t>
    </r>
    <r>
      <rPr>
        <sz val="10"/>
        <rFont val="Noto Sans CJK SC"/>
        <family val="2"/>
      </rPr>
      <t xml:space="preserve">）。</t>
    </r>
  </si>
  <si>
    <r>
      <rPr>
        <sz val="10"/>
        <rFont val="Noto Sans CJK SC"/>
        <family val="2"/>
      </rPr>
      <t xml:space="preserve">融資與信評：</t>
    </r>
    <r>
      <rPr>
        <sz val="10"/>
        <rFont val="Arial"/>
        <family val="0"/>
        <charset val="1"/>
      </rPr>
      <t xml:space="preserve">2026-02 </t>
    </r>
    <r>
      <rPr>
        <sz val="10"/>
        <rFont val="Noto Sans CJK SC"/>
        <family val="2"/>
      </rPr>
      <t xml:space="preserve">一次性投資級無擔保債 </t>
    </r>
    <r>
      <rPr>
        <sz val="10"/>
        <rFont val="Arial"/>
        <family val="0"/>
        <charset val="1"/>
      </rPr>
      <t xml:space="preserve">25</t>
    </r>
    <r>
      <rPr>
        <sz val="10"/>
        <rFont val="Noto Sans CJK SC"/>
        <family val="2"/>
      </rPr>
      <t xml:space="preserve">（八檔，加權票面約 </t>
    </r>
    <r>
      <rPr>
        <sz val="10"/>
        <rFont val="Arial"/>
        <family val="0"/>
        <charset val="1"/>
      </rPr>
      <t xml:space="preserve">5.8%</t>
    </r>
    <r>
      <rPr>
        <sz val="10"/>
        <rFont val="Noto Sans CJK SC"/>
        <family val="2"/>
      </rPr>
      <t xml:space="preserve">）＋強制轉換特別股 </t>
    </r>
    <r>
      <rPr>
        <sz val="10"/>
        <rFont val="Arial"/>
        <family val="0"/>
        <charset val="1"/>
      </rPr>
      <t xml:space="preserve">5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6.50%</t>
    </r>
    <r>
      <rPr>
        <sz val="10"/>
        <rFont val="Noto Sans CJK SC"/>
        <family val="2"/>
      </rPr>
      <t xml:space="preserve">，</t>
    </r>
    <r>
      <rPr>
        <sz val="10"/>
        <rFont val="Arial"/>
        <family val="0"/>
        <charset val="1"/>
      </rPr>
      <t xml:space="preserve">2029-01-15</t>
    </r>
    <r>
      <rPr>
        <sz val="10"/>
        <rFont val="Noto Sans CJK SC"/>
        <family val="2"/>
      </rPr>
      <t xml:space="preserve">）＋</t>
    </r>
    <r>
      <rPr>
        <sz val="10"/>
        <rFont val="Arial"/>
        <family val="0"/>
        <charset val="1"/>
      </rPr>
      <t xml:space="preserve">FY27Q1 ATM 20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S&amp;P BBB-</t>
    </r>
    <r>
      <rPr>
        <sz val="10"/>
        <rFont val="Noto Sans CJK SC"/>
        <family val="2"/>
      </rPr>
      <t xml:space="preserve">／穩定（</t>
    </r>
    <r>
      <rPr>
        <sz val="10"/>
        <rFont val="Arial"/>
        <family val="0"/>
        <charset val="1"/>
      </rPr>
      <t xml:space="preserve">2026-07-09</t>
    </r>
    <r>
      <rPr>
        <sz val="10"/>
        <rFont val="Noto Sans CJK SC"/>
        <family val="2"/>
      </rPr>
      <t xml:space="preserve">）、</t>
    </r>
    <r>
      <rPr>
        <sz val="10"/>
        <rFont val="Arial"/>
        <family val="0"/>
        <charset val="1"/>
      </rPr>
      <t xml:space="preserve">Moody's Baa2</t>
    </r>
    <r>
      <rPr>
        <sz val="10"/>
        <rFont val="Noto Sans CJK SC"/>
        <family val="2"/>
      </rPr>
      <t xml:space="preserve">／負向、</t>
    </r>
    <r>
      <rPr>
        <sz val="10"/>
        <rFont val="Arial"/>
        <family val="0"/>
        <charset val="1"/>
      </rPr>
      <t xml:space="preserve">Fitch BBB</t>
    </r>
    <r>
      <rPr>
        <sz val="10"/>
        <rFont val="Noto Sans CJK SC"/>
        <family val="2"/>
      </rPr>
      <t xml:space="preserve">／穩定（二手）。</t>
    </r>
  </si>
  <si>
    <r>
      <rPr>
        <sz val="10"/>
        <rFont val="Noto Sans CJK SC"/>
        <family val="2"/>
      </rPr>
      <t xml:space="preserve">產能：</t>
    </r>
    <r>
      <rPr>
        <sz val="10"/>
        <rFont val="Arial"/>
        <family val="0"/>
        <charset val="1"/>
      </rPr>
      <t xml:space="preserve">FY26 </t>
    </r>
    <r>
      <rPr>
        <sz val="10"/>
        <rFont val="Noto Sans CJK SC"/>
        <family val="2"/>
      </rPr>
      <t xml:space="preserve">交付 </t>
    </r>
    <r>
      <rPr>
        <sz val="10"/>
        <rFont val="Arial"/>
        <family val="0"/>
        <charset val="1"/>
      </rPr>
      <t xml:space="preserve">1.2 GW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FY27Q1 850 MW</t>
    </r>
    <r>
      <rPr>
        <sz val="10"/>
        <rFont val="Noto Sans CJK SC"/>
        <family val="2"/>
      </rPr>
      <t xml:space="preserve">（口徑不明）、</t>
    </r>
    <r>
      <rPr>
        <sz val="10"/>
        <rFont val="Arial"/>
        <family val="0"/>
        <charset val="1"/>
      </rPr>
      <t xml:space="preserve">&gt;30 </t>
    </r>
    <r>
      <rPr>
        <sz val="10"/>
        <rFont val="Noto Sans CJK SC"/>
        <family val="2"/>
      </rPr>
      <t xml:space="preserve">萬顆 </t>
    </r>
    <r>
      <rPr>
        <sz val="10"/>
        <rFont val="Arial"/>
        <family val="0"/>
        <charset val="1"/>
      </rPr>
      <t xml:space="preserve">GPU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Abilene 618 MW</t>
    </r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75%</t>
    </r>
    <r>
      <rPr>
        <sz val="10"/>
        <rFont val="Noto Sans CJK SC"/>
        <family val="2"/>
      </rPr>
      <t xml:space="preserve">；利用率 </t>
    </r>
    <r>
      <rPr>
        <sz val="10"/>
        <rFont val="Arial"/>
        <family val="0"/>
        <charset val="1"/>
      </rPr>
      <t xml:space="preserve">97.9%</t>
    </r>
    <r>
      <rPr>
        <sz val="10"/>
        <rFont val="Noto Sans CJK SC"/>
        <family val="2"/>
      </rPr>
      <t xml:space="preserve">；續約 </t>
    </r>
    <r>
      <rPr>
        <sz val="10"/>
        <rFont val="Arial"/>
        <family val="0"/>
        <charset val="1"/>
      </rPr>
      <t xml:space="preserve">+20%</t>
    </r>
    <r>
      <rPr>
        <sz val="10"/>
        <rFont val="Noto Sans CJK SC"/>
        <family val="2"/>
      </rPr>
      <t xml:space="preserve">。期後：</t>
    </r>
    <r>
      <rPr>
        <sz val="10"/>
        <rFont val="Arial"/>
        <family val="0"/>
        <charset val="1"/>
      </rPr>
      <t xml:space="preserve">2026-09-24 Project Jupiter </t>
    </r>
    <r>
      <rPr>
        <sz val="10"/>
        <rFont val="Noto Sans CJK SC"/>
        <family val="2"/>
      </rPr>
      <t xml:space="preserve">不可抗力通知（</t>
    </r>
    <r>
      <rPr>
        <sz val="10"/>
        <rFont val="Arial"/>
        <family val="0"/>
        <charset val="1"/>
      </rPr>
      <t xml:space="preserve">2.45 GW</t>
    </r>
    <r>
      <rPr>
        <sz val="10"/>
        <rFont val="Noto Sans CJK SC"/>
        <family val="2"/>
      </rPr>
      <t xml:space="preserve">）。</t>
    </r>
  </si>
  <si>
    <t xml:space="preserve">Derived</t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</si>
  <si>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年收入（</t>
    </r>
    <r>
      <rPr>
        <sz val="10"/>
        <rFont val="Arial"/>
        <family val="0"/>
        <charset val="1"/>
      </rPr>
      <t xml:space="preserve">Tokenomics v5.24 </t>
    </r>
    <r>
      <rPr>
        <sz val="10"/>
        <rFont val="Noto Sans CJK SC"/>
        <family val="2"/>
      </rPr>
      <t xml:space="preserve">正向推導，沿用 </t>
    </r>
    <r>
      <rPr>
        <sz val="10"/>
        <rFont val="Arial"/>
        <family val="0"/>
        <charset val="1"/>
      </rPr>
      <t xml:space="preserve">Nebius v0.1a</t>
    </r>
    <r>
      <rPr>
        <sz val="10"/>
        <rFont val="Noto Sans CJK SC"/>
        <family val="2"/>
      </rPr>
      <t xml:space="preserve">）：保守 </t>
    </r>
    <r>
      <rPr>
        <sz val="10"/>
        <rFont val="Arial"/>
        <family val="0"/>
        <charset val="1"/>
      </rPr>
      <t xml:space="preserve">11.62</t>
    </r>
    <r>
      <rPr>
        <sz val="10"/>
        <rFont val="Noto Sans CJK SC"/>
        <family val="2"/>
      </rPr>
      <t xml:space="preserve">／基準 </t>
    </r>
    <r>
      <rPr>
        <sz val="10"/>
        <rFont val="Arial"/>
        <family val="0"/>
        <charset val="1"/>
      </rPr>
      <t xml:space="preserve">17.40</t>
    </r>
    <r>
      <rPr>
        <sz val="10"/>
        <rFont val="Noto Sans CJK SC"/>
        <family val="2"/>
      </rPr>
      <t xml:space="preserve">／積極 </t>
    </r>
    <r>
      <rPr>
        <sz val="10"/>
        <rFont val="Arial"/>
        <family val="0"/>
        <charset val="1"/>
      </rPr>
      <t xml:space="preserve">24.20 US$m/MW-IT·</t>
    </r>
    <r>
      <rPr>
        <sz val="10"/>
        <rFont val="Noto Sans CJK SC"/>
        <family val="2"/>
      </rPr>
      <t xml:space="preserve">年；每 </t>
    </r>
    <r>
      <rPr>
        <sz val="10"/>
        <rFont val="Arial"/>
        <family val="0"/>
        <charset val="1"/>
      </rPr>
      <t xml:space="preserve">MW IT </t>
    </r>
    <r>
      <rPr>
        <sz val="10"/>
        <rFont val="Noto Sans CJK SC"/>
        <family val="2"/>
      </rPr>
      <t xml:space="preserve">建置成本 </t>
    </r>
    <r>
      <rPr>
        <sz val="10"/>
        <rFont val="Arial"/>
        <family val="0"/>
        <charset val="1"/>
      </rPr>
      <t xml:space="preserve">IF_CapexIT 37.45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GB300</t>
    </r>
    <r>
      <rPr>
        <sz val="10"/>
        <rFont val="Noto Sans CJK SC"/>
        <family val="2"/>
      </rPr>
      <t xml:space="preserve">）／</t>
    </r>
    <r>
      <rPr>
        <sz val="10"/>
        <rFont val="Arial"/>
        <family val="0"/>
        <charset val="1"/>
      </rPr>
      <t xml:space="preserve">37.59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VR200</t>
    </r>
    <r>
      <rPr>
        <sz val="10"/>
        <rFont val="Noto Sans CJK SC"/>
        <family val="2"/>
      </rPr>
      <t xml:space="preserve">）。</t>
    </r>
    <r>
      <rPr>
        <sz val="10"/>
        <rFont val="Arial"/>
        <family val="0"/>
        <charset val="1"/>
      </rPr>
      <t xml:space="preserve">Oracle </t>
    </r>
    <r>
      <rPr>
        <sz val="10"/>
        <rFont val="Noto Sans CJK SC"/>
        <family val="2"/>
      </rPr>
      <t xml:space="preserve">對照值只作對照。</t>
    </r>
  </si>
  <si>
    <t xml:space="preserve">User-provided</t>
  </si>
  <si>
    <r>
      <rPr>
        <sz val="10"/>
        <rFont val="Arial"/>
        <family val="0"/>
        <charset val="1"/>
      </rPr>
      <t xml:space="preserve">5Y CDS</t>
    </r>
    <r>
      <rPr>
        <sz val="10"/>
        <rFont val="Noto Sans CJK SC"/>
        <family val="2"/>
      </rPr>
      <t xml:space="preserve">：無可引用報價（不適用）。</t>
    </r>
  </si>
  <si>
    <r>
      <rPr>
        <sz val="10"/>
        <rFont val="Noto Sans CJK SC"/>
        <family val="2"/>
      </rPr>
      <t xml:space="preserve">市值（</t>
    </r>
    <r>
      <rPr>
        <sz val="10"/>
        <rFont val="Arial"/>
        <family val="0"/>
        <charset val="1"/>
      </rPr>
      <t xml:space="preserve">2026-09-21 </t>
    </r>
    <r>
      <rPr>
        <sz val="10"/>
        <rFont val="Noto Sans CJK SC"/>
        <family val="2"/>
      </rPr>
      <t xml:space="preserve">收盤，</t>
    </r>
    <r>
      <rPr>
        <sz val="10"/>
        <rFont val="Arial"/>
        <family val="0"/>
        <charset val="1"/>
      </rPr>
      <t xml:space="preserve">S&amp;P Global via stockanalysis.com</t>
    </r>
    <r>
      <rPr>
        <sz val="10"/>
        <rFont val="Noto Sans CJK SC"/>
        <family val="2"/>
      </rPr>
      <t xml:space="preserve">）：</t>
    </r>
    <r>
      <rPr>
        <sz val="10"/>
        <rFont val="Arial"/>
        <family val="0"/>
        <charset val="1"/>
      </rPr>
      <t xml:space="preserve">ORCL </t>
    </r>
    <r>
      <rPr>
        <sz val="10"/>
        <rFont val="Noto Sans CJK SC"/>
        <family val="2"/>
      </rPr>
      <t xml:space="preserve">現價 </t>
    </r>
    <r>
      <rPr>
        <sz val="10"/>
        <rFont val="Arial"/>
        <family val="0"/>
        <charset val="1"/>
      </rPr>
      <t xml:space="preserve">$144.77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2026-10-06 </t>
    </r>
    <r>
      <rPr>
        <sz val="10"/>
        <rFont val="Noto Sans CJK SC"/>
        <family val="2"/>
      </rPr>
      <t xml:space="preserve">收盤）、市值 </t>
    </r>
    <r>
      <rPr>
        <sz val="10"/>
        <rFont val="Arial"/>
        <family val="0"/>
        <charset val="1"/>
      </rPr>
      <t xml:space="preserve">437.75bn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2026-09-21</t>
    </r>
    <r>
      <rPr>
        <sz val="10"/>
        <rFont val="Noto Sans CJK SC"/>
        <family val="2"/>
      </rPr>
      <t xml:space="preserve">）、流通 </t>
    </r>
    <r>
      <rPr>
        <sz val="10"/>
        <rFont val="Arial"/>
        <family val="0"/>
        <charset val="1"/>
      </rPr>
      <t xml:space="preserve">3,023.74m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CRWV 49.11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NBIS 68.49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IREN 18.61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APLD 8.22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CORZ 5.90</t>
    </r>
    <r>
      <rPr>
        <sz val="10"/>
        <rFont val="Noto Sans CJK SC"/>
        <family val="2"/>
      </rPr>
      <t xml:space="preserve">。淨負債取各公司最新申報：</t>
    </r>
    <r>
      <rPr>
        <sz val="10"/>
        <rFont val="Arial"/>
        <family val="0"/>
        <charset val="1"/>
      </rPr>
      <t xml:space="preserve">CRWV 46.03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NBIS 2.15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IREN 1.70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APLD 3.37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CORZ 2.53</t>
    </r>
    <r>
      <rPr>
        <sz val="10"/>
        <rFont val="Noto Sans CJK SC"/>
        <family val="2"/>
      </rPr>
      <t xml:space="preserve">。</t>
    </r>
  </si>
  <si>
    <r>
      <rPr>
        <sz val="10"/>
        <rFont val="Noto Sans CJK SC"/>
        <family val="2"/>
      </rPr>
      <t xml:space="preserve">賣方目標價（</t>
    </r>
    <r>
      <rPr>
        <sz val="10"/>
        <rFont val="Arial"/>
        <family val="0"/>
        <charset val="1"/>
      </rPr>
      <t xml:space="preserve">S&amp;P Global Market Intelligence</t>
    </r>
    <r>
      <rPr>
        <sz val="10"/>
        <rFont val="Noto Sans CJK SC"/>
        <family val="2"/>
      </rPr>
      <t xml:space="preserve">（經 </t>
    </r>
    <r>
      <rPr>
        <sz val="10"/>
        <rFont val="Arial"/>
        <family val="0"/>
        <charset val="1"/>
      </rPr>
      <t xml:space="preserve">StockAnalysis.com</t>
    </r>
    <r>
      <rPr>
        <sz val="10"/>
        <rFont val="Noto Sans CJK SC"/>
        <family val="2"/>
      </rPr>
      <t xml:space="preserve">），擷取 </t>
    </r>
    <r>
      <rPr>
        <sz val="10"/>
        <rFont val="Arial"/>
        <family val="0"/>
        <charset val="1"/>
      </rPr>
      <t xml:space="preserve">2026-10-07</t>
    </r>
    <r>
      <rPr>
        <sz val="10"/>
        <rFont val="Noto Sans CJK SC"/>
        <family val="2"/>
      </rPr>
      <t xml:space="preserve">）：平均 </t>
    </r>
    <r>
      <rPr>
        <sz val="10"/>
        <rFont val="Arial"/>
        <family val="0"/>
        <charset val="1"/>
      </rPr>
      <t xml:space="preserve">$237.97</t>
    </r>
    <r>
      <rPr>
        <sz val="10"/>
        <rFont val="Noto Sans CJK SC"/>
        <family val="2"/>
      </rPr>
      <t xml:space="preserve">、中位數 </t>
    </r>
    <r>
      <rPr>
        <sz val="10"/>
        <rFont val="Arial"/>
        <family val="0"/>
        <charset val="1"/>
      </rPr>
      <t xml:space="preserve">$240.00</t>
    </r>
    <r>
      <rPr>
        <sz val="10"/>
        <rFont val="Noto Sans CJK SC"/>
        <family val="2"/>
      </rPr>
      <t xml:space="preserve">、區間 </t>
    </r>
    <r>
      <rPr>
        <sz val="10"/>
        <rFont val="Arial"/>
        <family val="0"/>
        <charset val="1"/>
      </rPr>
      <t xml:space="preserve">$110.00–$400.00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43 </t>
    </r>
    <r>
      <rPr>
        <sz val="10"/>
        <rFont val="Noto Sans CJK SC"/>
        <family val="2"/>
      </rPr>
      <t xml:space="preserve">家）；共識評等 </t>
    </r>
    <r>
      <rPr>
        <sz val="10"/>
        <rFont val="Arial"/>
        <family val="0"/>
        <charset val="1"/>
      </rPr>
      <t xml:space="preserve">Buy</t>
    </r>
    <r>
      <rPr>
        <sz val="10"/>
        <rFont val="Noto Sans CJK SC"/>
        <family val="2"/>
      </rPr>
      <t xml:space="preserve">。對照 </t>
    </r>
    <r>
      <rPr>
        <sz val="10"/>
        <rFont val="Arial"/>
        <family val="0"/>
        <charset val="1"/>
      </rPr>
      <t xml:space="preserve">MarketBeat</t>
    </r>
    <r>
      <rPr>
        <sz val="10"/>
        <rFont val="Noto Sans CJK SC"/>
        <family val="2"/>
      </rPr>
      <t xml:space="preserve">（自行彙整，獨立於 </t>
    </r>
    <r>
      <rPr>
        <sz val="10"/>
        <rFont val="Arial"/>
        <family val="0"/>
        <charset val="1"/>
      </rPr>
      <t xml:space="preserve">S&amp;P</t>
    </r>
    <r>
      <rPr>
        <sz val="10"/>
        <rFont val="Noto Sans CJK SC"/>
        <family val="2"/>
      </rPr>
      <t xml:space="preserve">）：平均 </t>
    </r>
    <r>
      <rPr>
        <sz val="10"/>
        <rFont val="Arial"/>
        <family val="0"/>
        <charset val="1"/>
      </rPr>
      <t xml:space="preserve">$251.72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47 </t>
    </r>
    <r>
      <rPr>
        <sz val="10"/>
        <rFont val="Noto Sans CJK SC"/>
        <family val="2"/>
      </rPr>
      <t xml:space="preserve">家，</t>
    </r>
    <r>
      <rPr>
        <sz val="10"/>
        <rFont val="Arial"/>
        <family val="0"/>
        <charset val="1"/>
      </rPr>
      <t xml:space="preserve">Moderate Buy</t>
    </r>
    <r>
      <rPr>
        <sz val="10"/>
        <rFont val="Noto Sans CJK SC"/>
        <family val="2"/>
      </rPr>
      <t xml:space="preserve">）。數字為賣方意見；逐筆來源與日期見『輸入與假設』</t>
    </r>
    <r>
      <rPr>
        <sz val="10"/>
        <rFont val="Arial"/>
        <family val="0"/>
        <charset val="1"/>
      </rPr>
      <t xml:space="preserve">I </t>
    </r>
    <r>
      <rPr>
        <sz val="10"/>
        <rFont val="Noto Sans CJK SC"/>
        <family val="2"/>
      </rPr>
      <t xml:space="preserve">區。</t>
    </r>
  </si>
  <si>
    <t xml:space="preserve">方法</t>
  </si>
  <si>
    <r>
      <rPr>
        <sz val="10"/>
        <rFont val="Noto Sans CJK SC"/>
        <family val="2"/>
      </rPr>
      <t xml:space="preserve">期前融資瀑布：客戶預付（營運來源）→ 現金 → 未動用額度與新債（受債務上限約束）→ 股權 → 高息債；營收由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驅動，</t>
    </r>
    <r>
      <rPr>
        <sz val="10"/>
        <rFont val="Arial"/>
        <family val="0"/>
        <charset val="1"/>
      </rPr>
      <t xml:space="preserve">RPO </t>
    </r>
    <r>
      <rPr>
        <sz val="10"/>
        <rFont val="Noto Sans CJK SC"/>
        <family val="2"/>
      </rPr>
      <t xml:space="preserve">只作對照。</t>
    </r>
  </si>
</sst>
</file>

<file path=xl/styles.xml><?xml version="1.0" encoding="utf-8"?>
<styleSheet xmlns="http://schemas.openxmlformats.org/spreadsheetml/2006/main">
  <numFmts count="19">
    <numFmt numFmtId="164" formatCode="General"/>
    <numFmt numFmtId="165" formatCode="#,##0;\(#,##0\);\-"/>
    <numFmt numFmtId="166" formatCode="#,##0.00;\(#,##0.00\);\-"/>
    <numFmt numFmtId="167" formatCode="\$#,##0.00;&quot;($&quot;#,##0.00\);\-"/>
    <numFmt numFmtId="168" formatCode="0.0%"/>
    <numFmt numFmtId="169" formatCode="0.0\x"/>
    <numFmt numFmtId="170" formatCode="#,##0.0;\(#,##0.0\);\-"/>
    <numFmt numFmtId="171" formatCode="0.0000"/>
    <numFmt numFmtId="172" formatCode="@"/>
    <numFmt numFmtId="173" formatCode="0.00"/>
    <numFmt numFmtId="174" formatCode="#,##0.000"/>
    <numFmt numFmtId="175" formatCode="0.00%"/>
    <numFmt numFmtId="176" formatCode="0.000"/>
    <numFmt numFmtId="177" formatCode="0.0000%"/>
    <numFmt numFmtId="178" formatCode="0.000000"/>
    <numFmt numFmtId="179" formatCode="0.000%"/>
    <numFmt numFmtId="180" formatCode="0.00\x"/>
    <numFmt numFmtId="181" formatCode="0.0"/>
    <numFmt numFmtId="182" formatCode="0%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4"/>
      <name val="Noto Sans CJK SC"/>
      <family val="2"/>
    </font>
    <font>
      <b val="true"/>
      <sz val="10"/>
      <name val="Noto Sans CJK SC"/>
      <family val="2"/>
    </font>
    <font>
      <sz val="10"/>
      <name val="Noto Sans CJK SC"/>
      <family val="2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sz val="9"/>
      <color rgb="FF595959"/>
      <name val="Noto Sans CJK SC"/>
      <family val="2"/>
    </font>
    <font>
      <sz val="9"/>
      <color rgb="FF595959"/>
      <name val="Arial"/>
      <family val="0"/>
      <charset val="1"/>
    </font>
    <font>
      <b val="true"/>
      <sz val="11"/>
      <color rgb="FFFFFFFF"/>
      <name val="Noto Sans CJK SC"/>
      <family val="2"/>
    </font>
    <font>
      <b val="true"/>
      <sz val="11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1F3864"/>
      <name val="Noto Sans CJK SC"/>
      <family val="2"/>
    </font>
    <font>
      <b val="true"/>
      <sz val="10"/>
      <color rgb="FF1F3864"/>
      <name val="Arial"/>
      <family val="0"/>
      <charset val="1"/>
    </font>
    <font>
      <sz val="10"/>
      <color rgb="FF008000"/>
      <name val="Arial"/>
      <family val="0"/>
      <charset val="1"/>
    </font>
    <font>
      <sz val="11"/>
      <color theme="1"/>
      <name val="Noto Sans CJK SC"/>
      <family val="2"/>
    </font>
    <font>
      <sz val="10"/>
      <color rgb="FF0000FF"/>
      <name val="Noto Sans CJK SC"/>
      <family val="2"/>
    </font>
  </fonts>
  <fills count="7">
    <fill>
      <patternFill patternType="none"/>
    </fill>
    <fill>
      <patternFill patternType="gray125"/>
    </fill>
    <fill>
      <patternFill patternType="solid">
        <fgColor rgb="FFD9E2F3"/>
        <bgColor rgb="FFE3F1E8"/>
      </patternFill>
    </fill>
    <fill>
      <patternFill patternType="solid">
        <fgColor rgb="FF1F3864"/>
        <bgColor rgb="FF333399"/>
      </patternFill>
    </fill>
    <fill>
      <patternFill patternType="solid">
        <fgColor rgb="FFFFFF00"/>
        <bgColor rgb="FFFFFF00"/>
      </patternFill>
    </fill>
    <fill>
      <patternFill patternType="solid">
        <fgColor rgb="FFEEF2F7"/>
        <bgColor rgb="FFE3F1E8"/>
      </patternFill>
    </fill>
    <fill>
      <patternFill patternType="solid">
        <fgColor rgb="FF0F5C61"/>
        <bgColor rgb="FF0F6B4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4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4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14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9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0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0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1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82" fontId="13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>
          <bgColor rgb="FFE3F1E8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9F1239"/>
      <rgbColor rgb="FF008000"/>
      <rgbColor rgb="FF000080"/>
      <rgbColor rgb="FF808000"/>
      <rgbColor rgb="FF800080"/>
      <rgbColor rgb="FF0F6B4C"/>
      <rgbColor rgb="FFBFBFBF"/>
      <rgbColor rgb="FF808080"/>
      <rgbColor rgb="FF9999FF"/>
      <rgbColor rgb="FF993366"/>
      <rgbColor rgb="FFEEF2F7"/>
      <rgbColor rgb="FFE3F1E8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F5C61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B5778"/>
      <rgbColor rgb="FFC4A35A"/>
      <rgbColor rgb="FF1F3864"/>
      <rgbColor rgb="FF339966"/>
      <rgbColor rgb="FF003300"/>
      <rgbColor rgb="FF333300"/>
      <rgbColor rgb="FF993300"/>
      <rgbColor rgb="FF993366"/>
      <rgbColor rgb="FF333399"/>
      <rgbColor rgb="FF595959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4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8"/>
  </cols>
  <sheetData>
    <row r="1" customFormat="false" ht="21.6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3" t="s">
        <v>3</v>
      </c>
    </row>
    <row r="6" customFormat="false" ht="15" hidden="false" customHeight="false" outlineLevel="0" collapsed="false">
      <c r="A6" s="3"/>
    </row>
    <row r="7" customFormat="false" ht="15" hidden="false" customHeight="false" outlineLevel="0" collapsed="false">
      <c r="A7" s="2" t="s">
        <v>4</v>
      </c>
    </row>
    <row r="8" customFormat="false" ht="15" hidden="false" customHeight="false" outlineLevel="0" collapsed="false">
      <c r="A8" s="3" t="s">
        <v>5</v>
      </c>
    </row>
    <row r="9" customFormat="false" ht="15" hidden="false" customHeight="false" outlineLevel="0" collapsed="false">
      <c r="A9" s="3" t="s">
        <v>6</v>
      </c>
    </row>
    <row r="10" customFormat="false" ht="15" hidden="false" customHeight="false" outlineLevel="0" collapsed="false">
      <c r="A10" s="3" t="s">
        <v>7</v>
      </c>
    </row>
    <row r="11" customFormat="false" ht="15" hidden="false" customHeight="false" outlineLevel="0" collapsed="false">
      <c r="A11" s="3" t="s">
        <v>8</v>
      </c>
    </row>
    <row r="12" customFormat="false" ht="15" hidden="false" customHeight="false" outlineLevel="0" collapsed="false">
      <c r="A12" s="3" t="s">
        <v>9</v>
      </c>
    </row>
    <row r="13" customFormat="false" ht="15" hidden="false" customHeight="false" outlineLevel="0" collapsed="false">
      <c r="A13" s="3" t="s">
        <v>10</v>
      </c>
    </row>
    <row r="14" customFormat="false" ht="15" hidden="false" customHeight="false" outlineLevel="0" collapsed="false">
      <c r="A14" s="3" t="s">
        <v>11</v>
      </c>
    </row>
    <row r="15" customFormat="false" ht="15" hidden="false" customHeight="false" outlineLevel="0" collapsed="false">
      <c r="A15" s="3" t="s">
        <v>12</v>
      </c>
    </row>
    <row r="16" customFormat="false" ht="15" hidden="false" customHeight="false" outlineLevel="0" collapsed="false">
      <c r="A16" s="3" t="s">
        <v>13</v>
      </c>
    </row>
    <row r="17" customFormat="false" ht="15" hidden="false" customHeight="false" outlineLevel="0" collapsed="false">
      <c r="A17" s="3" t="s">
        <v>14</v>
      </c>
    </row>
    <row r="18" customFormat="false" ht="15" hidden="false" customHeight="false" outlineLevel="0" collapsed="false">
      <c r="A18" s="3" t="s">
        <v>15</v>
      </c>
    </row>
    <row r="19" customFormat="false" ht="15" hidden="false" customHeight="false" outlineLevel="0" collapsed="false">
      <c r="A19" s="3"/>
    </row>
    <row r="20" customFormat="false" ht="15" hidden="false" customHeight="false" outlineLevel="0" collapsed="false">
      <c r="A20" s="2" t="s">
        <v>16</v>
      </c>
    </row>
    <row r="21" customFormat="false" ht="15" hidden="false" customHeight="false" outlineLevel="0" collapsed="false">
      <c r="A21" s="3" t="s">
        <v>17</v>
      </c>
    </row>
    <row r="22" customFormat="false" ht="15" hidden="false" customHeight="false" outlineLevel="0" collapsed="false">
      <c r="A22" s="3"/>
    </row>
    <row r="23" customFormat="false" ht="15" hidden="false" customHeight="false" outlineLevel="0" collapsed="false">
      <c r="A23" s="2" t="s">
        <v>18</v>
      </c>
    </row>
    <row r="24" customFormat="false" ht="15" hidden="false" customHeight="false" outlineLevel="0" collapsed="false">
      <c r="A24" s="3" t="s">
        <v>19</v>
      </c>
    </row>
    <row r="25" customFormat="false" ht="15" hidden="false" customHeight="false" outlineLevel="0" collapsed="false">
      <c r="A25" s="3" t="s">
        <v>20</v>
      </c>
    </row>
    <row r="26" customFormat="false" ht="15" hidden="false" customHeight="false" outlineLevel="0" collapsed="false">
      <c r="A26" s="4" t="s">
        <v>21</v>
      </c>
    </row>
    <row r="27" customFormat="false" ht="15" hidden="false" customHeight="false" outlineLevel="0" collapsed="false">
      <c r="A27" s="3"/>
    </row>
    <row r="28" customFormat="false" ht="15" hidden="false" customHeight="false" outlineLevel="0" collapsed="false">
      <c r="A28" s="2" t="s">
        <v>22</v>
      </c>
    </row>
    <row r="29" customFormat="false" ht="15" hidden="false" customHeight="false" outlineLevel="0" collapsed="false">
      <c r="A29" s="3" t="s">
        <v>23</v>
      </c>
    </row>
    <row r="30" customFormat="false" ht="15" hidden="false" customHeight="false" outlineLevel="0" collapsed="false">
      <c r="A30" s="4" t="s">
        <v>24</v>
      </c>
    </row>
    <row r="31" customFormat="false" ht="15" hidden="false" customHeight="false" outlineLevel="0" collapsed="false">
      <c r="A31" s="3"/>
    </row>
    <row r="32" customFormat="false" ht="15" hidden="false" customHeight="false" outlineLevel="0" collapsed="false">
      <c r="A32" s="2" t="s">
        <v>25</v>
      </c>
    </row>
    <row r="33" customFormat="false" ht="15" hidden="false" customHeight="false" outlineLevel="0" collapsed="false">
      <c r="A33" s="3" t="s">
        <v>26</v>
      </c>
    </row>
    <row r="34" customFormat="false" ht="15" hidden="false" customHeight="false" outlineLevel="0" collapsed="false">
      <c r="A34" s="3" t="s">
        <v>27</v>
      </c>
    </row>
    <row r="35" customFormat="false" ht="15" hidden="false" customHeight="false" outlineLevel="0" collapsed="false">
      <c r="A35" s="3"/>
    </row>
    <row r="36" customFormat="false" ht="15" hidden="false" customHeight="false" outlineLevel="0" collapsed="false">
      <c r="A36" s="2" t="s">
        <v>28</v>
      </c>
    </row>
    <row r="37" customFormat="false" ht="15" hidden="false" customHeight="false" outlineLevel="0" collapsed="false">
      <c r="A37" s="3" t="s">
        <v>29</v>
      </c>
    </row>
    <row r="38" customFormat="false" ht="15" hidden="false" customHeight="false" outlineLevel="0" collapsed="false">
      <c r="A38" s="3" t="s">
        <v>30</v>
      </c>
    </row>
    <row r="39" customFormat="false" ht="15" hidden="false" customHeight="false" outlineLevel="0" collapsed="false">
      <c r="A39" s="3"/>
    </row>
    <row r="40" customFormat="false" ht="15" hidden="false" customHeight="false" outlineLevel="0" collapsed="false">
      <c r="A40" s="2" t="s">
        <v>31</v>
      </c>
    </row>
    <row r="41" customFormat="false" ht="15" hidden="false" customHeight="false" outlineLevel="0" collapsed="false">
      <c r="A41" s="3" t="s">
        <v>32</v>
      </c>
    </row>
    <row r="42" customFormat="false" ht="15" hidden="false" customHeight="false" outlineLevel="0" collapsed="false">
      <c r="A42" s="4" t="s">
        <v>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0000"/>
    <outlinePr summaryBelow="0" summaryRight="1"/>
    <pageSetUpPr fitToPage="false"/>
  </sheetPr>
  <dimension ref="A1:I8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1" outlineLevelCol="0"/>
  <cols>
    <col collapsed="false" customWidth="true" hidden="false" outlineLevel="0" max="1" min="1" style="0" width="40"/>
    <col collapsed="false" customWidth="true" hidden="false" outlineLevel="0" max="2" min="2" style="0" width="10"/>
    <col collapsed="false" customWidth="true" hidden="false" outlineLevel="0" max="7" min="3" style="0" width="13"/>
    <col collapsed="false" customWidth="true" hidden="false" outlineLevel="0" max="9" min="9" style="0" width="70"/>
  </cols>
  <sheetData>
    <row r="1" customFormat="false" ht="17.35" hidden="false" customHeight="false" outlineLevel="0" collapsed="false">
      <c r="A1" s="5" t="s">
        <v>34</v>
      </c>
    </row>
    <row r="2" customFormat="false" ht="15" hidden="false" customHeight="false" outlineLevel="0" collapsed="false">
      <c r="A2" s="6" t="str">
        <f aca="false">"模型端＝目前情境：" &amp; CHOOSE(輸入與假設!$C$5,"保守 OpenAI 相關 60%","基準 已簽約站點依 Q1 速度","積極 依公司時程") &amp; "（預設＝基準）；共識＝data/consensus_orcl_20261007.json（2026-10-07）"</f>
        <v>模型端＝目前情境：基準 已簽約站點依 Q1 速度（預設＝基準）；共識＝data/consensus_orcl_20261007.json（2026-10-07）</v>
      </c>
    </row>
    <row r="4" customFormat="false" ht="15" hidden="false" customHeight="false" outlineLevel="0" collapsed="false">
      <c r="A4" s="7" t="s">
        <v>35</v>
      </c>
      <c r="B4" s="8"/>
      <c r="C4" s="8"/>
      <c r="D4" s="8"/>
      <c r="E4" s="8"/>
      <c r="F4" s="8"/>
      <c r="G4" s="8"/>
      <c r="H4" s="8"/>
    </row>
    <row r="5" customFormat="false" ht="15" hidden="false" customHeight="false" outlineLevel="1" collapsed="false">
      <c r="A5" s="3" t="s">
        <v>36</v>
      </c>
      <c r="C5" s="9" t="n">
        <f aca="false">評價_DCF與目標價!C78</f>
        <v>0</v>
      </c>
    </row>
    <row r="6" customFormat="false" ht="15" hidden="false" customHeight="false" outlineLevel="1" collapsed="false">
      <c r="A6" s="3" t="s">
        <v>37</v>
      </c>
      <c r="C6" s="10" t="str">
        <f aca="false">CHOOSE(C5+2,"賣出","中立","買進")</f>
        <v>中立</v>
      </c>
    </row>
    <row r="7" customFormat="false" ht="15" hidden="false" customHeight="false" outlineLevel="1" collapsed="false">
      <c r="A7" s="2" t="s">
        <v>38</v>
      </c>
      <c r="B7" s="11" t="s">
        <v>39</v>
      </c>
      <c r="C7" s="12" t="n">
        <f aca="false">評價_DCF與目標價!C51</f>
        <v>133.904980211047</v>
      </c>
    </row>
    <row r="8" customFormat="false" ht="15" hidden="false" customHeight="false" outlineLevel="1" collapsed="false">
      <c r="A8" s="3" t="s">
        <v>40</v>
      </c>
      <c r="B8" s="11" t="s">
        <v>39</v>
      </c>
      <c r="C8" s="12" t="n">
        <f aca="false">輸入與假設!$C$175</f>
        <v>144.77</v>
      </c>
    </row>
    <row r="9" customFormat="false" ht="15" hidden="false" customHeight="false" outlineLevel="1" collapsed="false">
      <c r="A9" s="3" t="s">
        <v>41</v>
      </c>
      <c r="B9" s="11" t="s">
        <v>42</v>
      </c>
      <c r="C9" s="13" t="n">
        <f aca="false">C7/C8-1</f>
        <v>-0.0750502161287052</v>
      </c>
    </row>
    <row r="10" customFormat="false" ht="15" hidden="false" customHeight="false" outlineLevel="1" collapsed="false">
      <c r="A10" s="3" t="s">
        <v>43</v>
      </c>
      <c r="B10" s="11" t="s">
        <v>39</v>
      </c>
      <c r="C10" s="12" t="n">
        <f aca="false">評價_DCF與目標價!C83</f>
        <v>73.988811619981</v>
      </c>
      <c r="D10" s="12" t="n">
        <f aca="false">評價_DCF與目標價!D83</f>
        <v>226.609587065156</v>
      </c>
    </row>
    <row r="11" customFormat="false" ht="15" hidden="false" customHeight="false" outlineLevel="1" collapsed="false">
      <c r="A11" s="3" t="s">
        <v>44</v>
      </c>
      <c r="B11" s="11" t="s">
        <v>39</v>
      </c>
      <c r="C11" s="12" t="n">
        <f aca="false">評價_DCF與目標價!C85</f>
        <v>124.836407574906</v>
      </c>
      <c r="D11" s="12" t="n">
        <f aca="false">評價_DCF與目標價!D85</f>
        <v>133.904980211047</v>
      </c>
    </row>
    <row r="12" customFormat="false" ht="15" hidden="false" customHeight="false" outlineLevel="1" collapsed="false">
      <c r="A12" s="3" t="s">
        <v>45</v>
      </c>
      <c r="B12" s="11" t="s">
        <v>39</v>
      </c>
      <c r="C12" s="12" t="n">
        <f aca="false">評價_DCF與目標價!$C$79</f>
        <v>123.0545</v>
      </c>
    </row>
    <row r="13" customFormat="false" ht="15" hidden="false" customHeight="false" outlineLevel="1" collapsed="false">
      <c r="A13" s="3" t="s">
        <v>46</v>
      </c>
      <c r="B13" s="11" t="s">
        <v>39</v>
      </c>
      <c r="C13" s="12" t="n">
        <f aca="false">C7-C12</f>
        <v>10.8504802110474</v>
      </c>
    </row>
    <row r="14" customFormat="false" ht="15" hidden="false" customHeight="false" outlineLevel="1" collapsed="false">
      <c r="A14" s="2" t="s">
        <v>47</v>
      </c>
      <c r="C14" s="10" t="str">
        <f aca="false">C6&amp;"：點位 $"&amp;TEXT(C7,"0.0")&amp;"，較現價 $"&amp;TEXT(C8,"0.00")&amp;" "&amp;IF(C9&gt;=0,"高","低")&amp;" "&amp;TEXT(ABS(C9)*100,"0")&amp;"%；情境區間 $"&amp;TEXT(C10,"0.0")&amp;"–$"&amp;TEXT(D10,"0.0")&amp;"，方法區間 $"&amp;TEXT(C11,"0.0")&amp;"–$"&amp;TEXT(D11,"0.0")&amp;"；點位"&amp;IF(C13&lt;0,"低於","高於")&amp;"賣出門檻 $"&amp;TEXT(C12,"0.0")&amp;" 達 $"&amp;TEXT(ABS(C13),"0.0")&amp;"。"</f>
        <v>中立：點位 $133.9，較現價 $144.77 低 8%；情境區間 $74.0–$226.6，方法區間 $124.8–$133.9；點位高於賣出門檻 $123.1 達 $10.9。</v>
      </c>
    </row>
    <row r="15" customFormat="false" ht="15" hidden="false" customHeight="false" outlineLevel="1" collapsed="false">
      <c r="A15" s="3" t="s">
        <v>48</v>
      </c>
      <c r="C15" s="10" t="str">
        <f aca="false">評價_DCF與目標價!C91</f>
        <v>情境區間上緣 $226.6 不低於現價 $144.77：賣出並非在三個擴張情境下都成立。</v>
      </c>
    </row>
    <row r="16" customFormat="false" ht="15" hidden="false" customHeight="false" outlineLevel="1" collapsed="false">
      <c r="A16" s="2" t="s">
        <v>49</v>
      </c>
      <c r="C16" s="10" t="str">
        <f aca="false">IF(OR(輸入與假設!$C$146="ebitda",輸入與假設!$C$146="leaseAdj"),"需失去投資級才能融資的金額："&amp;IF(SUM(各期收支!C85:G85)&gt;0.05,"$"&amp;TEXT(SUM(各期收支!C85:G85),"0.0")&amp;"bn（五期高息債溢出）","$0")&amp;"；投資級上限＝"&amp;IF(輸入與假設!$C$146="leaseAdj","(總債務＋租賃負債) ≤ "&amp;IF(輸入與假設!$C$147=INT(輸入與假設!$C$147),TEXT(輸入與假設!$C$147,"0"),TEXT(輸入與假設!$C$147,"0.0"))&amp;"×(EBITDA＋租金)","總債務 ≤ "&amp;IF(輸入與假設!$C$147=INT(輸入與假設!$C$147),TEXT(輸入與假設!$C$147,"0"),TEXT(輸入與假設!$C$147,"0.0"))&amp;"× 當期 EBITDA")&amp;"，股權每年 ≤ 現市值 "&amp;IF(ROUND(ABS(輸入與假設!$C$154)*100,4)=INT(ROUND(ABS(輸入與假設!$C$154)*100,4)),TEXT(ROUND(ABS(輸入與假設!$C$154)*100,4),"0"),TEXT(ROUND(ABS(輸入與假設!$C$154)*100,4),"0.0"))&amp;"%"&amp;"。","")</f>
        <v>需失去投資級才能融資的金額：$0；投資級上限＝(總債務＋租賃負債) ≤ 4.5×(EBITDA＋租金)，股權每年 ≤ 現市值 5%。</v>
      </c>
    </row>
    <row r="17" customFormat="false" ht="15" hidden="false" customHeight="false" outlineLevel="1" collapsed="false">
      <c r="A17" s="2" t="s">
        <v>50</v>
      </c>
      <c r="C17" s="10" t="str">
        <f aca="false">"調整後槓桿（(債務＋租賃負債) ÷ (EBITDA＋租金)）路徑 "&amp;TEXT(資產負債_新債與新股!C36,"0.0")&amp;"／"&amp;TEXT(資產負債_新債與新股!D36,"0.0")&amp;"／"&amp;TEXT(資產負債_新債與新股!E36,"0.0")&amp;"／"&amp;TEXT(資產負債_新債與新股!F36,"0.0")&amp;"／"&amp;TEXT(資產負債_新債與新股!G36,"0.0")&amp;"×；上限 "&amp;IF(輸入與假設!$C$147=INT(輸入與假設!$C$147),TEXT(輸入與假設!$C$147,"0"),TEXT(輸入與假設!$C$147,"0.0"))&amp;"×，"&amp;IF(MAX(資產負債_新債與新股!$C$36:$G$36)&gt;輸入與假設!$C$147+0.000000001,CHOOSE(MATCH(MAX(資產負債_新債與新股!$C$36:$G$36),資產負債_新債與新股!$C$36:$G$36,0),"FY27","FY28","FY29","FY30","FY31")&amp;" 超過 "&amp;TEXT(MAX(資產負債_新債與新股!$C$36:$G$36)-輸入與假設!$C$147,"0.0")&amp;"×：需股權或失去投資級。","最小空間 "&amp;TEXT(輸入與假設!$C$147-MAX(資產負債_新債與新股!$C$36:$G$36),"0.0")&amp;"×（"&amp;CHOOSE(MATCH(MAX(資產負債_新債與新股!$C$36:$G$36),資產負債_新債與新股!$C$36:$G$36,0),"FY27","FY28","FY29","FY30","FY31")&amp;"）。")</f>
        <v>調整後槓桿（(債務＋租賃負債) ÷ (EBITDA＋租金)）路徑 3.6／3.5／3.1／2.8／2.7×；上限 4.5×，最小空間 0.9×（FY27）。</v>
      </c>
    </row>
    <row r="18" customFormat="false" ht="15" hidden="false" customHeight="false" outlineLevel="1" collapsed="false">
      <c r="A18" s="3" t="s">
        <v>51</v>
      </c>
      <c r="C18" s="10" t="str">
        <f aca="false">IF(運營_產能與收入!$C$50&gt;0,"建設延誤 "&amp;IF(運營_產能與收入!$C$50=INT(運營_產能與收入!$C$50),TEXT(運營_產能與收入!$C$50,"0"),TEXT(運營_產能與收入!$C$50,"0.0"))&amp;" 個月（GPU 資本支出照原時程）：閒置資本（已支出、尚未產生收入）峰值 $"&amp;TEXT(MAX(運營_產能與收入!$C$55:$G$55),"0.0")&amp;"bn（"&amp;CHOOSE(MATCH(MAX(運營_產能與收入!$C$55:$G$55),運營_產能與收入!$C$55:$G$55,0),"FY27","FY28","FY29","FY30","FY31")&amp;" 末）。","建設延誤：本情境 0 個月（無閒置資本）。")</f>
        <v>建設延誤 3 個月（GPU 資本支出照原時程）：閒置資本（已支出、尚未產生收入）峰值 $25.9bn（FY27 末）。</v>
      </c>
    </row>
    <row r="20" customFormat="false" ht="15" hidden="false" customHeight="false" outlineLevel="0" collapsed="false">
      <c r="A20" s="7" t="s">
        <v>52</v>
      </c>
      <c r="B20" s="8"/>
      <c r="C20" s="8"/>
      <c r="D20" s="8"/>
      <c r="E20" s="8"/>
      <c r="F20" s="8"/>
      <c r="G20" s="8"/>
      <c r="H20" s="8"/>
    </row>
    <row r="21" customFormat="false" ht="15" hidden="false" customHeight="false" outlineLevel="1" collapsed="false">
      <c r="A21" s="14" t="s">
        <v>53</v>
      </c>
      <c r="B21" s="14" t="s">
        <v>54</v>
      </c>
      <c r="C21" s="15" t="s">
        <v>55</v>
      </c>
      <c r="D21" s="15" t="s">
        <v>56</v>
      </c>
      <c r="E21" s="15" t="s">
        <v>57</v>
      </c>
    </row>
    <row r="22" customFormat="false" ht="15" hidden="false" customHeight="false" outlineLevel="1" collapsed="false">
      <c r="A22" s="3" t="s">
        <v>58</v>
      </c>
      <c r="B22" s="11" t="s">
        <v>59</v>
      </c>
      <c r="C22" s="10" t="n">
        <f aca="false">損益!C29</f>
        <v>87.4976198</v>
      </c>
      <c r="D22" s="10" t="n">
        <f aca="false">損益!D29</f>
        <v>125.38524705094</v>
      </c>
      <c r="E22" s="10" t="n">
        <f aca="false">損益!E29</f>
        <v>168.281736541921</v>
      </c>
    </row>
    <row r="23" customFormat="false" ht="15" hidden="false" customHeight="false" outlineLevel="1" collapsed="false">
      <c r="A23" s="3" t="s">
        <v>60</v>
      </c>
      <c r="B23" s="11" t="s">
        <v>59</v>
      </c>
      <c r="C23" s="10" t="n">
        <f aca="false">輸入與假設!$C$289</f>
        <v>90.449</v>
      </c>
      <c r="D23" s="10" t="n">
        <f aca="false">輸入與假設!$D$289</f>
        <v>131.711</v>
      </c>
      <c r="E23" s="10" t="n">
        <f aca="false">輸入與假設!$E$289</f>
        <v>183.569</v>
      </c>
    </row>
    <row r="24" customFormat="false" ht="15" hidden="false" customHeight="false" outlineLevel="1" collapsed="false">
      <c r="A24" s="3" t="s">
        <v>61</v>
      </c>
      <c r="B24" s="11" t="s">
        <v>42</v>
      </c>
      <c r="C24" s="13" t="n">
        <f aca="false">C22/C23-1</f>
        <v>-0.0326303242711362</v>
      </c>
      <c r="D24" s="13" t="n">
        <f aca="false">D22/D23-1</f>
        <v>-0.0480275219917852</v>
      </c>
      <c r="E24" s="13" t="n">
        <f aca="false">E22/E23-1</f>
        <v>-0.0832780232941262</v>
      </c>
    </row>
    <row r="25" customFormat="false" ht="15" hidden="false" customHeight="false" outlineLevel="1" collapsed="false">
      <c r="A25" s="3" t="s">
        <v>62</v>
      </c>
      <c r="B25" s="11" t="s">
        <v>59</v>
      </c>
      <c r="C25" s="10" t="n">
        <f aca="false">輸入與假設!$C$260+損益!C22</f>
        <v>51.3714173413744</v>
      </c>
      <c r="D25" s="10" t="n">
        <f aca="false">損益!D34</f>
        <v>73.1136110041068</v>
      </c>
      <c r="E25" s="10" t="n">
        <f aca="false">損益!E34</f>
        <v>94.1586645968762</v>
      </c>
    </row>
    <row r="26" customFormat="false" ht="15" hidden="false" customHeight="false" outlineLevel="1" collapsed="false">
      <c r="A26" s="3" t="s">
        <v>63</v>
      </c>
      <c r="B26" s="11" t="s">
        <v>59</v>
      </c>
      <c r="C26" s="10" t="n">
        <f aca="false">輸入與假設!$C$290</f>
        <v>51.664</v>
      </c>
      <c r="D26" s="10" t="n">
        <f aca="false">輸入與假設!$D$290</f>
        <v>74.642</v>
      </c>
      <c r="E26" s="10" t="n">
        <f aca="false">輸入與假設!$E$290</f>
        <v>107.543</v>
      </c>
    </row>
    <row r="27" customFormat="false" ht="15" hidden="false" customHeight="false" outlineLevel="1" collapsed="false">
      <c r="A27" s="3" t="s">
        <v>64</v>
      </c>
      <c r="B27" s="11" t="s">
        <v>42</v>
      </c>
      <c r="C27" s="13" t="n">
        <f aca="false">C25/C26-1</f>
        <v>-0.00566318246023556</v>
      </c>
      <c r="D27" s="13" t="n">
        <f aca="false">D25/D26-1</f>
        <v>-0.0204762599594496</v>
      </c>
      <c r="E27" s="13" t="n">
        <f aca="false">E25/E26-1</f>
        <v>-0.124455663345116</v>
      </c>
      <c r="I27" s="11" t="s">
        <v>65</v>
      </c>
    </row>
    <row r="28" customFormat="false" ht="15" hidden="false" customHeight="false" outlineLevel="1" collapsed="false">
      <c r="A28" s="3" t="s">
        <v>66</v>
      </c>
      <c r="B28" s="11" t="s">
        <v>59</v>
      </c>
      <c r="C28" s="10" t="n">
        <f aca="false">C25-C26</f>
        <v>-0.292582658625612</v>
      </c>
      <c r="D28" s="10" t="n">
        <f aca="false">D25-D26</f>
        <v>-1.52838899589324</v>
      </c>
      <c r="E28" s="10" t="n">
        <f aca="false">E25-E26</f>
        <v>-13.3843354031239</v>
      </c>
      <c r="I28" s="6" t="s">
        <v>67</v>
      </c>
    </row>
    <row r="29" customFormat="false" ht="15" hidden="false" customHeight="false" outlineLevel="1" collapsed="false">
      <c r="A29" s="3" t="s">
        <v>68</v>
      </c>
      <c r="B29" s="11" t="s">
        <v>42</v>
      </c>
      <c r="C29" s="13" t="n">
        <f aca="false">C25/C22</f>
        <v>0.587117883421263</v>
      </c>
      <c r="D29" s="13" t="n">
        <f aca="false">D25/D22</f>
        <v>0.583111751372177</v>
      </c>
      <c r="E29" s="13" t="n">
        <f aca="false">E25/E22</f>
        <v>0.559529908187157</v>
      </c>
    </row>
    <row r="30" customFormat="false" ht="15" hidden="false" customHeight="false" outlineLevel="1" collapsed="false">
      <c r="A30" s="3" t="s">
        <v>69</v>
      </c>
      <c r="B30" s="11" t="s">
        <v>42</v>
      </c>
      <c r="C30" s="13" t="n">
        <f aca="false">輸入與假設!$C$291</f>
        <v>0.5712</v>
      </c>
      <c r="D30" s="13" t="n">
        <f aca="false">輸入與假設!$D$291</f>
        <v>0.5667</v>
      </c>
      <c r="E30" s="13" t="n">
        <f aca="false">輸入與假設!$E$291</f>
        <v>0.5858</v>
      </c>
    </row>
    <row r="31" customFormat="false" ht="15" hidden="false" customHeight="false" outlineLevel="1" collapsed="false">
      <c r="A31" s="3" t="s">
        <v>70</v>
      </c>
      <c r="B31" s="11" t="s">
        <v>71</v>
      </c>
      <c r="C31" s="13" t="n">
        <f aca="false">C29-C30</f>
        <v>0.015917883421263</v>
      </c>
      <c r="D31" s="13" t="n">
        <f aca="false">D29-D30</f>
        <v>0.0164117513721774</v>
      </c>
      <c r="E31" s="13" t="n">
        <f aca="false">E29-E30</f>
        <v>-0.0262700918128429</v>
      </c>
      <c r="I31" s="11" t="s">
        <v>72</v>
      </c>
    </row>
    <row r="32" customFormat="false" ht="15" hidden="false" customHeight="false" outlineLevel="1" collapsed="false">
      <c r="A32" s="3" t="s">
        <v>73</v>
      </c>
      <c r="B32" s="11" t="s">
        <v>59</v>
      </c>
      <c r="C32" s="10" t="n">
        <f aca="false">輸入與假設!$C$243+輸入與假設!C$135</f>
        <v>106.09585</v>
      </c>
      <c r="D32" s="10" t="n">
        <f aca="false">輸入與假設!D$135</f>
        <v>86.020956</v>
      </c>
      <c r="E32" s="10" t="n">
        <f aca="false">輸入與假設!E$135</f>
        <v>31.2015795</v>
      </c>
    </row>
    <row r="33" customFormat="false" ht="15" hidden="false" customHeight="false" outlineLevel="1" collapsed="false">
      <c r="A33" s="3" t="s">
        <v>74</v>
      </c>
      <c r="B33" s="11" t="s">
        <v>59</v>
      </c>
      <c r="C33" s="10" t="n">
        <f aca="false">輸入與假設!$C$296</f>
        <v>93.961</v>
      </c>
      <c r="D33" s="10" t="n">
        <f aca="false">輸入與假設!$D$296</f>
        <v>100.962</v>
      </c>
      <c r="E33" s="10" t="n">
        <f aca="false">輸入與假設!$E$296</f>
        <v>84.848</v>
      </c>
    </row>
    <row r="34" customFormat="false" ht="15" hidden="false" customHeight="false" outlineLevel="1" collapsed="false">
      <c r="A34" s="3" t="s">
        <v>75</v>
      </c>
      <c r="B34" s="11" t="s">
        <v>42</v>
      </c>
      <c r="C34" s="13" t="n">
        <f aca="false">C32/C33-1</f>
        <v>0.129147731505625</v>
      </c>
      <c r="D34" s="13" t="n">
        <f aca="false">D32/D33-1</f>
        <v>-0.147986806917454</v>
      </c>
      <c r="E34" s="13" t="n">
        <f aca="false">E32/E33-1</f>
        <v>-0.632264997407128</v>
      </c>
      <c r="I34" s="6" t="s">
        <v>76</v>
      </c>
    </row>
    <row r="35" customFormat="false" ht="15" hidden="false" customHeight="false" outlineLevel="1" collapsed="false">
      <c r="A35" s="3" t="s">
        <v>77</v>
      </c>
      <c r="B35" s="11" t="s">
        <v>59</v>
      </c>
      <c r="C35" s="10" t="n">
        <f aca="false">資產負債_新債與新股!C24</f>
        <v>124.098651216072</v>
      </c>
      <c r="D35" s="10" t="n">
        <f aca="false">資產負債_新債與新股!D24</f>
        <v>144.118292883022</v>
      </c>
      <c r="E35" s="10" t="n">
        <f aca="false">資產負債_新債與新股!E24</f>
        <v>106.580147473604</v>
      </c>
    </row>
    <row r="36" customFormat="false" ht="15" hidden="false" customHeight="false" outlineLevel="1" collapsed="false">
      <c r="A36" s="3" t="s">
        <v>78</v>
      </c>
      <c r="B36" s="11" t="s">
        <v>59</v>
      </c>
      <c r="C36" s="10" t="n">
        <f aca="false">輸入與假設!$C$298</f>
        <v>117.047</v>
      </c>
      <c r="D36" s="10" t="n">
        <f aca="false">輸入與假設!$D$298</f>
        <v>147.351</v>
      </c>
      <c r="E36" s="10" t="n">
        <f aca="false">輸入與假設!$E$298</f>
        <v>146.812</v>
      </c>
    </row>
    <row r="37" customFormat="false" ht="15" hidden="false" customHeight="false" outlineLevel="1" collapsed="false">
      <c r="A37" s="3" t="s">
        <v>79</v>
      </c>
      <c r="B37" s="11" t="s">
        <v>42</v>
      </c>
      <c r="C37" s="13" t="n">
        <f aca="false">C35/C36-1</f>
        <v>0.0602463217004483</v>
      </c>
      <c r="D37" s="13" t="n">
        <f aca="false">D35/D36-1</f>
        <v>-0.0219388203471819</v>
      </c>
      <c r="E37" s="13" t="n">
        <f aca="false">E35/E36-1</f>
        <v>-0.274036540108412</v>
      </c>
      <c r="I37" s="6" t="s">
        <v>80</v>
      </c>
    </row>
    <row r="38" customFormat="false" ht="15" hidden="false" customHeight="false" outlineLevel="1" collapsed="false">
      <c r="A38" s="3" t="s">
        <v>81</v>
      </c>
      <c r="B38" s="11" t="s">
        <v>59</v>
      </c>
      <c r="C38" s="10" t="n">
        <f aca="false">C35-C36</f>
        <v>7.05165121607237</v>
      </c>
      <c r="D38" s="10" t="n">
        <f aca="false">D35-D36</f>
        <v>-3.23270711697759</v>
      </c>
      <c r="E38" s="10" t="n">
        <f aca="false">E35-E36</f>
        <v>-40.2318525263962</v>
      </c>
      <c r="I38" s="6" t="s">
        <v>67</v>
      </c>
    </row>
    <row r="39" customFormat="false" ht="15" hidden="false" customHeight="false" outlineLevel="1" collapsed="false">
      <c r="A39" s="3" t="s">
        <v>82</v>
      </c>
      <c r="C39" s="10" t="str">
        <f aca="false">MID(IF(ABS(C24)&gt;輸入與假設!$C$333,"、營收 "&amp;IF(C24&lt;0,"−","+")&amp;TEXT(ABS(C24)*100,"0.0")&amp;"%","")&amp;IF(ABS(C27)&gt;輸入與假設!$C$333,"、EBITDA "&amp;IF(C28&lt;0,"−","+")&amp;"$"&amp;TEXT(ABS(C28),"#,##0.00")&amp;"bn"&amp;"／"&amp;IF(C31&lt;0,"−","+")&amp;TEXT(ABS(C31)*100,"0.0")&amp;"pt","")&amp;IF(ABS(C34)&gt;輸入與假設!$C$333,"、CapEx "&amp;IF(C34&lt;0,"−","+")&amp;TEXT(ABS(C34)*100,"0.0")&amp;"%",""),2,999)</f>
        <v>CapEx +12.9%</v>
      </c>
      <c r="D39" s="10" t="str">
        <f aca="false">MID(IF(ABS(D24)&gt;輸入與假設!$C$333,"、營收 "&amp;IF(D24&lt;0,"−","+")&amp;TEXT(ABS(D24)*100,"0.0")&amp;"%","")&amp;IF(ABS(D27)&gt;輸入與假設!$C$333,"、EBITDA "&amp;IF(D28&lt;0,"−","+")&amp;"$"&amp;TEXT(ABS(D28),"#,##0.00")&amp;"bn"&amp;"／"&amp;IF(D31&lt;0,"−","+")&amp;TEXT(ABS(D31)*100,"0.0")&amp;"pt","")&amp;IF(ABS(D34)&gt;輸入與假設!$C$333,"、CapEx "&amp;IF(D34&lt;0,"−","+")&amp;TEXT(ABS(D34)*100,"0.0")&amp;"%",""),2,999)</f>
        <v>CapEx −14.8%</v>
      </c>
      <c r="E39" s="10" t="str">
        <f aca="false">MID(IF(ABS(E24)&gt;輸入與假設!$C$333,"、營收 "&amp;IF(E24&lt;0,"−","+")&amp;TEXT(ABS(E24)*100,"0.0")&amp;"%","")&amp;IF(ABS(E27)&gt;輸入與假設!$C$333,"、EBITDA "&amp;IF(E28&lt;0,"−","+")&amp;"$"&amp;TEXT(ABS(E28),"#,##0.00")&amp;"bn"&amp;"／"&amp;IF(E31&lt;0,"−","+")&amp;TEXT(ABS(E31)*100,"0.0")&amp;"pt","")&amp;IF(ABS(E34)&gt;輸入與假設!$C$333,"、CapEx "&amp;IF(E34&lt;0,"−","+")&amp;TEXT(ABS(E34)*100,"0.0")&amp;"%",""),2,999)</f>
        <v>營收 −8.3%、EBITDA −$13.38bn／−2.6pt、CapEx −63.2%</v>
      </c>
      <c r="I39" s="6" t="s">
        <v>83</v>
      </c>
    </row>
    <row r="40" customFormat="false" ht="15" hidden="false" customHeight="false" outlineLevel="1" collapsed="false">
      <c r="A40" s="3" t="s">
        <v>84</v>
      </c>
      <c r="C40" s="9" t="n">
        <f aca="false">IF(C39&lt;&gt;"",1,IF(D39&lt;&gt;"",2,IF(E39&lt;&gt;"",3,0)))</f>
        <v>1</v>
      </c>
    </row>
    <row r="41" customFormat="false" ht="15" hidden="false" customHeight="false" outlineLevel="1" collapsed="false">
      <c r="A41" s="2" t="s">
        <v>85</v>
      </c>
      <c r="C41" s="10" t="str">
        <f aca="false">CHOOSE(C40+1,"FY27–FY29 營收、EBITDA、CapEx 與共識差距皆在 "&amp;IF(ROUND(ABS(輸入與假設!$C$333)*100,4)=INT(ROUND(ABS(輸入與假設!$C$333)*100,4)),TEXT(ROUND(ABS(輸入與假設!$C$333)*100,4),"0"),TEXT(ROUND(ABS(輸入與假設!$C$333)*100,4),"0.0"))&amp;"%"&amp;" 以內。","分歧始於 FY27（"&amp;C39&amp;"）"&amp;"；FY28 "&amp;IF(D39="","回到 "&amp;IF(ROUND(ABS(輸入與假設!$C$333)*100,4)=INT(ROUND(ABS(輸入與假設!$C$333)*100,4)),TEXT(ROUND(ABS(輸入與假設!$C$333)*100,4),"0"),TEXT(ROUND(ABS(輸入與假設!$C$333)*100,4),"0.0"))&amp;"%"&amp;" 以內",D39)&amp;"；FY29 "&amp;IF(E39="","回到 "&amp;IF(ROUND(ABS(輸入與假設!$C$333)*100,4)=INT(ROUND(ABS(輸入與假設!$C$333)*100,4)),TEXT(ROUND(ABS(輸入與假設!$C$333)*100,4),"0"),TEXT(ROUND(ABS(輸入與假設!$C$333)*100,4),"0.0"))&amp;"%"&amp;" 以內",E39)&amp;"。","FY27 營收、EBITDA、CapEx 與共識差距在 "&amp;IF(ROUND(ABS(輸入與假設!$C$333)*100,4)=INT(ROUND(ABS(輸入與假設!$C$333)*100,4)),TEXT(ROUND(ABS(輸入與假設!$C$333)*100,4),"0"),TEXT(ROUND(ABS(輸入與假設!$C$333)*100,4),"0.0"))&amp;"%"&amp;" 以內；分歧始於 FY28（"&amp;D39&amp;"）"&amp;"；FY29 "&amp;IF(E39="","回到 "&amp;IF(ROUND(ABS(輸入與假設!$C$333)*100,4)=INT(ROUND(ABS(輸入與假設!$C$333)*100,4)),TEXT(ROUND(ABS(輸入與假設!$C$333)*100,4),"0"),TEXT(ROUND(ABS(輸入與假設!$C$333)*100,4),"0.0"))&amp;"%"&amp;" 以內",E39)&amp;"。","FY27–FY28 營收、EBITDA、CapEx 與共識差距在 "&amp;IF(ROUND(ABS(輸入與假設!$C$333)*100,4)=INT(ROUND(ABS(輸入與假設!$C$333)*100,4)),TEXT(ROUND(ABS(輸入與假設!$C$333)*100,4),"0"),TEXT(ROUND(ABS(輸入與假設!$C$333)*100,4),"0.0"))&amp;"%"&amp;" 以內；分歧始於 FY29（"&amp;E39&amp;"）。")</f>
        <v>分歧始於 FY27（CapEx +12.9%）；FY28 CapEx −14.8%；FY29 營收 −8.3%、EBITDA −$13.38bn／−2.6pt、CapEx −63.2%。</v>
      </c>
    </row>
    <row r="42" customFormat="false" ht="15" hidden="false" customHeight="false" outlineLevel="1" collapsed="false">
      <c r="A42" s="3" t="s">
        <v>86</v>
      </c>
      <c r="C42" s="10" t="str">
        <f aca="false">IF(ABS(C24)&gt;輸入與假設!$C$333,"觀點","")</f>
        <v/>
      </c>
      <c r="D42" s="10" t="str">
        <f aca="false">IF(ABS(C24)&gt;輸入與假設!$C$333,"營收＝OCI（在役 MW × 每 MW 年收入，Tokenomics 正向推導；年底已連網 "&amp;IF((輸入與假設!C$43)&lt;0,"−","")&amp;TEXT(ABS((輸入與假設!C$43)),"#,##0")&amp;" MW-IT）＋傳統事業四線（近四季年增率收斂）；共識未揭露 MW 假設","")</f>
        <v/>
      </c>
      <c r="I42" s="11" t="s">
        <v>87</v>
      </c>
    </row>
    <row r="43" customFormat="false" ht="15" hidden="false" customHeight="false" outlineLevel="1" collapsed="false">
      <c r="A43" s="3" t="s">
        <v>88</v>
      </c>
      <c r="C43" s="10" t="str">
        <f aca="false">IF(ABS(C31)&gt;輸入與假設!$C$334,"觀點","")</f>
        <v/>
      </c>
      <c r="D43" s="10" t="str">
        <f aca="false">IF(ABS(C31)&gt;輸入與假設!$C$334,"營收差距 "&amp;IF((C24)&lt;0,"−","+")&amp;TEXT(ABS((C24))*100,"#,##0.0")&amp;"%"&amp;"；EBITDA 率 "&amp;IF((C29)&lt;0,"−","")&amp;TEXT(ABS((C29))*100,"#,##0.0")&amp;"%"&amp;" 對共識 "&amp;IF((C30)&lt;0,"−","")&amp;TEXT(ABS((C30))*100,"#,##0.0")&amp;"%"&amp;"（OCI EBITDA 率由 "&amp;IF((輸入與假設!$C$87)&lt;0,"−","")&amp;TEXT(ABS((輸入與假設!$C$87))*100,"#,##0")&amp;"%"&amp;" 走向穩態 "&amp;IF((輸入與假設!$C$88)&lt;0,"−","")&amp;TEXT(ABS((輸入與假設!$C$88))*100,"#,##0")&amp;"%"&amp;"，取可觀察 neocloud 區間）","")</f>
        <v/>
      </c>
    </row>
    <row r="44" customFormat="false" ht="15" hidden="false" customHeight="false" outlineLevel="1" collapsed="false">
      <c r="A44" s="3" t="s">
        <v>89</v>
      </c>
      <c r="C44" s="10" t="str">
        <f aca="false">IF(ABS(C34)&gt;輸入與假設!$C$333,"觀點","")</f>
        <v>觀點</v>
      </c>
      <c r="D44" s="10" t="str">
        <f aca="false">IF(ABS(C34)&gt;輸入與假設!$C$333,"CapEx 依新增 MW 計算：新增 "&amp;IF((輸入與假設!C$125)&lt;0,"−","")&amp;TEXT(ABS((輸入與假設!C$125)),"#,##0")&amp;" MW × 每 MW $"&amp;IF((輸入與假設!C$109)&lt;0,"−","")&amp;TEXT(ABS((輸入與假設!C$109)),"#,##0")&amp;"m（IT 設備，含次年預建）；客戶自帶硬體不建模；共識口徑未揭露","")</f>
        <v>CapEx 依新增 MW 計算：新增 2,833 MW × 每 MW $37m（IT 設備，含次年預建）；客戶自帶硬體不建模；共識口徑未揭露</v>
      </c>
    </row>
    <row r="45" customFormat="false" ht="15" hidden="false" customHeight="false" outlineLevel="1" collapsed="false">
      <c r="A45" s="3" t="s">
        <v>90</v>
      </c>
      <c r="C45" s="10" t="str">
        <f aca="false">IF(ABS(C37)&gt;輸入與假設!$C$333,"觀點","")</f>
        <v>觀點</v>
      </c>
      <c r="D45" s="10" t="str">
        <f aca="false">IF(ABS(C37)&gt;輸入與假設!$C$333,"淨負債隨 CapEx、客戶預付、股利與融資瀑布而定（模型 CapEx 差距 "&amp;IF((C34)&lt;0,"−","+")&amp;TEXT(ABS((C34))*100,"#,##0.0")&amp;"%"&amp;"）；共識淨負債不含租賃","")</f>
        <v>淨負債隨 CapEx、客戶預付、股利與融資瀑布而定（模型 CapEx 差距 +12.9%）；共識淨負債不含租賃</v>
      </c>
    </row>
    <row r="46" customFormat="false" ht="15" hidden="false" customHeight="false" outlineLevel="1" collapsed="false">
      <c r="A46" s="3" t="s">
        <v>91</v>
      </c>
      <c r="C46" s="10" t="str">
        <f aca="false">IF(ABS(D24)&gt;輸入與假設!$C$333,"觀點","")</f>
        <v/>
      </c>
      <c r="D46" s="10" t="str">
        <f aca="false">IF(ABS(D24)&gt;輸入與假設!$C$333,"營收＝OCI（在役 MW × 每 MW 年收入，Tokenomics 正向推導；年底已連網 "&amp;IF((輸入與假設!D$43)&lt;0,"−","")&amp;TEXT(ABS((輸入與假設!D$43)),"#,##0")&amp;" MW-IT）＋傳統事業四線（近四季年增率收斂）；共識未揭露 MW 假設","")</f>
        <v/>
      </c>
    </row>
    <row r="47" customFormat="false" ht="15" hidden="false" customHeight="false" outlineLevel="1" collapsed="false">
      <c r="A47" s="3" t="s">
        <v>92</v>
      </c>
      <c r="C47" s="10" t="str">
        <f aca="false">IF(ABS(D31)&gt;輸入與假設!$C$334,"觀點","")</f>
        <v/>
      </c>
      <c r="D47" s="10" t="str">
        <f aca="false">IF(ABS(D31)&gt;輸入與假設!$C$334,"營收差距 "&amp;IF((D24)&lt;0,"−","+")&amp;TEXT(ABS((D24))*100,"#,##0.0")&amp;"%"&amp;"；EBITDA 率 "&amp;IF((D29)&lt;0,"−","")&amp;TEXT(ABS((D29))*100,"#,##0.0")&amp;"%"&amp;" 對共識 "&amp;IF((D30)&lt;0,"−","")&amp;TEXT(ABS((D30))*100,"#,##0.0")&amp;"%"&amp;"（OCI EBITDA 率由 "&amp;IF((輸入與假設!$C$87)&lt;0,"−","")&amp;TEXT(ABS((輸入與假設!$C$87))*100,"#,##0")&amp;"%"&amp;" 走向穩態 "&amp;IF((輸入與假設!$C$88)&lt;0,"−","")&amp;TEXT(ABS((輸入與假設!$C$88))*100,"#,##0")&amp;"%"&amp;"，取可觀察 neocloud 區間）","")</f>
        <v/>
      </c>
    </row>
    <row r="48" customFormat="false" ht="15" hidden="false" customHeight="false" outlineLevel="1" collapsed="false">
      <c r="A48" s="3" t="s">
        <v>93</v>
      </c>
      <c r="C48" s="10" t="str">
        <f aca="false">IF(ABS(D34)&gt;輸入與假設!$C$333,"觀點","")</f>
        <v>觀點</v>
      </c>
      <c r="D48" s="10" t="str">
        <f aca="false">IF(ABS(D34)&gt;輸入與假設!$C$333,"CapEx 依新增 MW 計算：新增 "&amp;IF((輸入與假設!D$125)&lt;0,"−","")&amp;TEXT(ABS((輸入與假設!D$125)),"#,##0")&amp;" MW × 每 MW $"&amp;IF((輸入與假設!D$109)&lt;0,"−","")&amp;TEXT(ABS((輸入與假設!D$109)),"#,##0")&amp;"m（IT 設備，含次年預建）；客戶自帶硬體不建模；共識口徑未揭露","")</f>
        <v>CapEx 依新增 MW 計算：新增 2,833 MW × 每 MW $38m（IT 設備，含次年預建）；客戶自帶硬體不建模；共識口徑未揭露</v>
      </c>
    </row>
    <row r="49" customFormat="false" ht="15" hidden="false" customHeight="false" outlineLevel="1" collapsed="false">
      <c r="A49" s="3" t="s">
        <v>94</v>
      </c>
      <c r="C49" s="10" t="str">
        <f aca="false">IF(ABS(D37)&gt;輸入與假設!$C$333,"觀點","")</f>
        <v/>
      </c>
      <c r="D49" s="10" t="str">
        <f aca="false">IF(ABS(D37)&gt;輸入與假設!$C$333,"淨負債隨 CapEx、客戶預付、股利與融資瀑布而定（模型 CapEx 差距 "&amp;IF((D34)&lt;0,"−","+")&amp;TEXT(ABS((D34))*100,"#,##0.0")&amp;"%"&amp;"）；共識淨負債不含租賃","")</f>
        <v/>
      </c>
    </row>
    <row r="50" customFormat="false" ht="15" hidden="false" customHeight="false" outlineLevel="1" collapsed="false">
      <c r="A50" s="3" t="s">
        <v>95</v>
      </c>
      <c r="C50" s="10" t="str">
        <f aca="false">IF(ABS(E24)&gt;輸入與假設!$C$333,"觀點","")</f>
        <v>觀點</v>
      </c>
      <c r="D50" s="10" t="str">
        <f aca="false">IF(ABS(E24)&gt;輸入與假設!$C$333,"營收＝OCI（在役 MW × 每 MW 年收入，Tokenomics 正向推導；年底已連網 "&amp;IF((輸入與假設!E$43)&lt;0,"−","")&amp;TEXT(ABS((輸入與假設!E$43)),"#,##0")&amp;" MW-IT）＋傳統事業四線（近四季年增率收斂）；共識未揭露 MW 假設","")</f>
        <v>營收＝OCI（在役 MW × 每 MW 年收入，Tokenomics 正向推導；年底已連網 8,778 MW-IT）＋傳統事業四線（近四季年增率收斂）；共識未揭露 MW 假設</v>
      </c>
    </row>
    <row r="51" customFormat="false" ht="15" hidden="false" customHeight="false" outlineLevel="1" collapsed="false">
      <c r="A51" s="3" t="s">
        <v>96</v>
      </c>
      <c r="C51" s="10" t="str">
        <f aca="false">IF(ABS(E31)&gt;輸入與假設!$C$334,"觀點","")</f>
        <v>觀點</v>
      </c>
      <c r="D51" s="10" t="str">
        <f aca="false">IF(ABS(E31)&gt;輸入與假設!$C$334,"營收差距 "&amp;IF((E24)&lt;0,"−","+")&amp;TEXT(ABS((E24))*100,"#,##0.0")&amp;"%"&amp;"；EBITDA 率 "&amp;IF((E29)&lt;0,"−","")&amp;TEXT(ABS((E29))*100,"#,##0.0")&amp;"%"&amp;" 對共識 "&amp;IF((E30)&lt;0,"−","")&amp;TEXT(ABS((E30))*100,"#,##0.0")&amp;"%"&amp;"（OCI EBITDA 率由 "&amp;IF((輸入與假設!$C$87)&lt;0,"−","")&amp;TEXT(ABS((輸入與假設!$C$87))*100,"#,##0")&amp;"%"&amp;" 走向穩態 "&amp;IF((輸入與假設!$C$88)&lt;0,"−","")&amp;TEXT(ABS((輸入與假設!$C$88))*100,"#,##0")&amp;"%"&amp;"，取可觀察 neocloud 區間）","")</f>
        <v>營收差距 −8.3%；EBITDA 率 56.0% 對共識 58.6%（OCI EBITDA 率由 65% 走向穩態 47%，取可觀察 neocloud 區間）</v>
      </c>
    </row>
    <row r="52" customFormat="false" ht="15" hidden="false" customHeight="false" outlineLevel="1" collapsed="false">
      <c r="A52" s="3" t="s">
        <v>97</v>
      </c>
      <c r="C52" s="10" t="str">
        <f aca="false">IF(ABS(E34)&gt;輸入與假設!$C$333,"觀點","")</f>
        <v>觀點</v>
      </c>
      <c r="D52" s="10" t="str">
        <f aca="false">IF(ABS(E34)&gt;輸入與假設!$C$333,"CapEx 依新增 MW 計算：新增 "&amp;IF((輸入與假設!E$125)&lt;0,"−","")&amp;TEXT(ABS((輸入與假設!E$125)),"#,##0")&amp;" MW × 每 MW $"&amp;IF((輸入與假設!E$109)&lt;0,"−","")&amp;TEXT(ABS((輸入與假設!E$109)),"#,##0")&amp;"m（IT 設備，含次年預建）；客戶自帶硬體不建模；共識口徑未揭露","")</f>
        <v>CapEx 依新增 MW 計算：新增 1,277 MW × 每 MW $38m（IT 設備，含次年預建）；客戶自帶硬體不建模；共識口徑未揭露</v>
      </c>
    </row>
    <row r="53" customFormat="false" ht="15" hidden="false" customHeight="false" outlineLevel="1" collapsed="false">
      <c r="A53" s="3" t="s">
        <v>98</v>
      </c>
      <c r="C53" s="10" t="str">
        <f aca="false">IF(ABS(E37)&gt;輸入與假設!$C$333,"觀點","")</f>
        <v>觀點</v>
      </c>
      <c r="D53" s="10" t="str">
        <f aca="false">IF(ABS(E37)&gt;輸入與假設!$C$333,"淨負債隨 CapEx、客戶預付、股利與融資瀑布而定（模型 CapEx 差距 "&amp;IF((E34)&lt;0,"−","+")&amp;TEXT(ABS((E34))*100,"#,##0.0")&amp;"%"&amp;"）；共識淨負債不含租賃","")</f>
        <v>淨負債隨 CapEx、客戶預付、股利與融資瀑布而定（模型 CapEx 差距 −63.2%）；共識淨負債不含租賃</v>
      </c>
    </row>
    <row r="54" customFormat="false" ht="15" hidden="false" customHeight="false" outlineLevel="1" collapsed="false">
      <c r="A54" s="3" t="s">
        <v>99</v>
      </c>
      <c r="C54" s="9" t="n">
        <f aca="false">SUMPRODUCT(--(ABS(C24:E24)&gt;輸入與假設!$C$333))+SUMPRODUCT(--(ABS(C31:E31)&gt;輸入與假設!$C$334))+SUMPRODUCT(--(ABS(C34:E34)&gt;輸入與假設!$C$333))+SUMPRODUCT(--(ABS(C37:E37)&gt;輸入與假設!$C$333))</f>
        <v>7</v>
      </c>
      <c r="I54" s="6" t="s">
        <v>100</v>
      </c>
    </row>
    <row r="55" customFormat="false" ht="15" hidden="false" customHeight="false" outlineLevel="1" collapsed="false">
      <c r="A55" s="3" t="s">
        <v>101</v>
      </c>
      <c r="C55" s="10" t="str">
        <f aca="false">IF(C54=0,"","需附原因的 "&amp;C54&amp;" 項差距："&amp;MID(IF((COUNTIF(C42,"觀點")+COUNTIF(C43,"觀點")+COUNTIF(C44,"觀點")+COUNTIF(C45,"觀點")+COUNTIF(C46,"觀點")+COUNTIF(C47,"觀點")+COUNTIF(C48,"觀點")+COUNTIF(C49,"觀點")+COUNTIF(C50,"觀點")+COUNTIF(C51,"觀點")+COUNTIF(C52,"觀點")+COUNTIF(C53,"觀點"))&gt;0,"、觀點 "&amp;(COUNTIF(C42,"觀點")+COUNTIF(C43,"觀點")+COUNTIF(C44,"觀點")+COUNTIF(C45,"觀點")+COUNTIF(C46,"觀點")+COUNTIF(C47,"觀點")+COUNTIF(C48,"觀點")+COUNTIF(C49,"觀點")+COUNTIF(C50,"觀點")+COUNTIF(C51,"觀點")+COUNTIF(C52,"觀點")+COUNTIF(C53,"觀點"))&amp;" 項","")&amp;IF((COUNTIF(C42,"拆法")+COUNTIF(C43,"拆法")+COUNTIF(C44,"拆法")+COUNTIF(C45,"拆法")+COUNTIF(C46,"拆法")+COUNTIF(C47,"拆法")+COUNTIF(C48,"拆法")+COUNTIF(C49,"拆法")+COUNTIF(C50,"拆法")+COUNTIF(C51,"拆法")+COUNTIF(C52,"拆法")+COUNTIF(C53,"拆法"))&gt;0,"、拆法 "&amp;(COUNTIF(C42,"拆法")+COUNTIF(C43,"拆法")+COUNTIF(C44,"拆法")+COUNTIF(C45,"拆法")+COUNTIF(C46,"拆法")+COUNTIF(C47,"拆法")+COUNTIF(C48,"拆法")+COUNTIF(C49,"拆法")+COUNTIF(C50,"拆法")+COUNTIF(C51,"拆法")+COUNTIF(C52,"拆法")+COUNTIF(C53,"拆法"))&amp;" 項","")&amp;IF((COUNTIF(C42,"已知限制")+COUNTIF(C43,"已知限制")+COUNTIF(C44,"已知限制")+COUNTIF(C45,"已知限制")+COUNTIF(C46,"已知限制")+COUNTIF(C47,"已知限制")+COUNTIF(C48,"已知限制")+COUNTIF(C49,"已知限制")+COUNTIF(C50,"已知限制")+COUNTIF(C51,"已知限制")+COUNTIF(C52,"已知限制")+COUNTIF(C53,"已知限制"))&gt;0,"、已知限制 "&amp;(COUNTIF(C42,"已知限制")+COUNTIF(C43,"已知限制")+COUNTIF(C44,"已知限制")+COUNTIF(C45,"已知限制")+COUNTIF(C46,"已知限制")+COUNTIF(C47,"已知限制")+COUNTIF(C48,"已知限制")+COUNTIF(C49,"已知限制")+COUNTIF(C50,"已知限制")+COUNTIF(C51,"已知限制")+COUNTIF(C52,"已知限制")+COUNTIF(C53,"已知限制"))&amp;" 項","")&amp;IF((C54-((COUNTIF(C42,"觀點")+COUNTIF(C43,"觀點")+COUNTIF(C44,"觀點")+COUNTIF(C45,"觀點")+COUNTIF(C46,"觀點")+COUNTIF(C47,"觀點")+COUNTIF(C48,"觀點")+COUNTIF(C49,"觀點")+COUNTIF(C50,"觀點")+COUNTIF(C51,"觀點")+COUNTIF(C52,"觀點")+COUNTIF(C53,"觀點"))+(COUNTIF(C42,"拆法")+COUNTIF(C43,"拆法")+COUNTIF(C44,"拆法")+COUNTIF(C45,"拆法")+COUNTIF(C46,"拆法")+COUNTIF(C47,"拆法")+COUNTIF(C48,"拆法")+COUNTIF(C49,"拆法")+COUNTIF(C50,"拆法")+COUNTIF(C51,"拆法")+COUNTIF(C52,"拆法")+COUNTIF(C53,"拆法"))+(COUNTIF(C42,"已知限制")+COUNTIF(C43,"已知限制")+COUNTIF(C44,"已知限制")+COUNTIF(C45,"已知限制")+COUNTIF(C46,"已知限制")+COUNTIF(C47,"已知限制")+COUNTIF(C48,"已知限制")+COUNTIF(C49,"已知限制")+COUNTIF(C50,"已知限制")+COUNTIF(C51,"已知限制")+COUNTIF(C52,"已知限制")+COUNTIF(C53,"已知限制"))))&gt;0,"、未歸類 "&amp;(C54-((COUNTIF(C42,"觀點")+COUNTIF(C43,"觀點")+COUNTIF(C44,"觀點")+COUNTIF(C45,"觀點")+COUNTIF(C46,"觀點")+COUNTIF(C47,"觀點")+COUNTIF(C48,"觀點")+COUNTIF(C49,"觀點")+COUNTIF(C50,"觀點")+COUNTIF(C51,"觀點")+COUNTIF(C52,"觀點")+COUNTIF(C53,"觀點"))+(COUNTIF(C42,"拆法")+COUNTIF(C43,"拆法")+COUNTIF(C44,"拆法")+COUNTIF(C45,"拆法")+COUNTIF(C46,"拆法")+COUNTIF(C47,"拆法")+COUNTIF(C48,"拆法")+COUNTIF(C49,"拆法")+COUNTIF(C50,"拆法")+COUNTIF(C51,"拆法")+COUNTIF(C52,"拆法")+COUNTIF(C53,"拆法"))+(COUNTIF(C42,"已知限制")+COUNTIF(C43,"已知限制")+COUNTIF(C44,"已知限制")+COUNTIF(C45,"已知限制")+COUNTIF(C46,"已知限制")+COUNTIF(C47,"已知限制")+COUNTIF(C48,"已知限制")+COUNTIF(C49,"已知限制")+COUNTIF(C50,"已知限制")+COUNTIF(C51,"已知限制")+COUNTIF(C52,"已知限制")+COUNTIF(C53,"已知限制"))))&amp;" 項",""),2,999)&amp;"；原因見「損益與評價 → 市場共識」。")</f>
        <v>需附原因的 7 項差距：觀點 7 項；原因見「損益與評價 → 市場共識」。</v>
      </c>
      <c r="I55" s="6" t="s">
        <v>102</v>
      </c>
    </row>
    <row r="57" customFormat="false" ht="15" hidden="false" customHeight="false" outlineLevel="0" collapsed="false">
      <c r="A57" s="7" t="s">
        <v>103</v>
      </c>
      <c r="B57" s="8"/>
      <c r="C57" s="8"/>
      <c r="D57" s="8"/>
      <c r="E57" s="8"/>
      <c r="F57" s="8"/>
      <c r="G57" s="8"/>
      <c r="H57" s="8"/>
    </row>
    <row r="58" customFormat="false" ht="15" hidden="false" customHeight="false" outlineLevel="1" collapsed="false">
      <c r="A58" s="3" t="s">
        <v>104</v>
      </c>
      <c r="B58" s="11" t="s">
        <v>105</v>
      </c>
      <c r="C58" s="16" t="n">
        <f aca="false">(輸入與假設!$C$271*輸入與假設!$C$176+輸入與假設!$E$298)/輸入與假設!$E$290</f>
        <v>8.1312724763118</v>
      </c>
      <c r="I58" s="6" t="s">
        <v>106</v>
      </c>
    </row>
    <row r="59" customFormat="false" ht="15" hidden="false" customHeight="false" outlineLevel="1" collapsed="false">
      <c r="A59" s="3" t="s">
        <v>107</v>
      </c>
      <c r="B59" s="11" t="s">
        <v>105</v>
      </c>
      <c r="C59" s="16" t="n">
        <f aca="false">(輸入與假設!$C$175*輸入與假設!$C$176+輸入與假設!$E$298)/輸入與假設!$E$290</f>
        <v>5.48134644486391</v>
      </c>
      <c r="I59" s="6" t="s">
        <v>108</v>
      </c>
    </row>
    <row r="60" customFormat="false" ht="15" hidden="false" customHeight="false" outlineLevel="1" collapsed="false">
      <c r="A60" s="3" t="s">
        <v>109</v>
      </c>
      <c r="B60" s="11" t="s">
        <v>105</v>
      </c>
      <c r="C60" s="16" t="n">
        <f aca="false">MAX(輸入與假設!$C$208,輸入與假設!$C$209)</f>
        <v>6</v>
      </c>
      <c r="I60" s="6" t="s">
        <v>110</v>
      </c>
    </row>
    <row r="61" customFormat="false" ht="15" hidden="false" customHeight="false" outlineLevel="1" collapsed="false">
      <c r="A61" s="3" t="s">
        <v>111</v>
      </c>
      <c r="B61" s="11" t="s">
        <v>59</v>
      </c>
      <c r="C61" s="10" t="n">
        <f aca="false">輸入與假設!E$83</f>
        <v>30.3062781426461</v>
      </c>
      <c r="I61" s="11" t="s">
        <v>112</v>
      </c>
    </row>
    <row r="62" customFormat="false" ht="15" hidden="false" customHeight="false" outlineLevel="1" collapsed="false">
      <c r="A62" s="3" t="s">
        <v>113</v>
      </c>
      <c r="B62" s="11" t="s">
        <v>105</v>
      </c>
      <c r="C62" s="16" t="n">
        <f aca="false">(輸入與假設!$C$271*輸入與假設!$C$176+輸入與假設!$E$298-輸入與假設!E$83*輸入與假設!$C$204)/MAX(輸入與假設!$E$290-輸入與假設!E$83,0.01)</f>
        <v>5.42826168867933</v>
      </c>
      <c r="I62" s="6" t="s">
        <v>114</v>
      </c>
    </row>
    <row r="63" customFormat="false" ht="15" hidden="false" customHeight="false" outlineLevel="1" collapsed="false">
      <c r="A63" s="3" t="s">
        <v>115</v>
      </c>
      <c r="B63" s="11" t="s">
        <v>105</v>
      </c>
      <c r="C63" s="16" t="n">
        <f aca="false">(輸入與假設!$C$175*輸入與假設!$C$176+輸入與假設!$E$298-輸入與假設!E$83*輸入與假設!$C$204)/MAX(輸入與假設!$E$290-輸入與假設!E$83,0.01)</f>
        <v>1.73855311033854</v>
      </c>
      <c r="I63" s="6" t="s">
        <v>116</v>
      </c>
    </row>
    <row r="64" customFormat="false" ht="15" hidden="false" customHeight="false" outlineLevel="1" collapsed="false">
      <c r="A64" s="2" t="s">
        <v>117</v>
      </c>
      <c r="C64" s="10" t="str">
        <f aca="false">"共識平均目標價 $"&amp;TEXT(輸入與假設!$C$271,"0.00")&amp;" 隱含 FY29 EV/EBITDA "&amp;TEXT(C58,"0.0")&amp;"x（扣除傳統事業 "&amp;TEXT(輸入與假設!$C$204,"0.0")&amp;"x × 模型 EBITDA $"&amp;TEXT(C61,"0.0")&amp;"bn 後，OCI "&amp;TEXT(C62,"0.0")&amp;"x），OCI 倍數"&amp;IF(ROUND(C62,1)&gt;C60,"高於",IF(ROUND(C62,1)&lt;C60,"低於","等於"))&amp;"模型方法區間上緣 "&amp;IF(C60=INT(C60),TEXT(C60,"0"),TEXT(C60,"0.0"))&amp;"x；現價 $"&amp;TEXT(輸入與假設!$C$175,"0.00")&amp;" 隱含 "&amp;TEXT(C59,"0.0")&amp;"x（OCI "&amp;TEXT(C63,"0.0")&amp;"x）。"</f>
        <v>共識平均目標價 $237.97 隱含 FY29 EV/EBITDA 8.1x（扣除傳統事業 15.0x × 模型 EBITDA $30.3bn 後，OCI 5.4x），OCI 倍數低於模型方法區間上緣 6x；現價 $144.77 隱含 5.5x（OCI 1.7x）。</v>
      </c>
    </row>
    <row r="65" customFormat="false" ht="15" hidden="false" customHeight="false" outlineLevel="1" collapsed="false">
      <c r="A65" s="3" t="s">
        <v>118</v>
      </c>
      <c r="C65" s="17" t="n">
        <f aca="false">評價_反向DCF!B18</f>
        <v>17.4</v>
      </c>
      <c r="D65" s="17" t="n">
        <f aca="false">評價_反向DCF!C18</f>
        <v>24.3872</v>
      </c>
      <c r="E65" s="13" t="n">
        <f aca="false">評價_反向DCF!D18</f>
        <v>0.4016</v>
      </c>
      <c r="I65" s="6" t="s">
        <v>119</v>
      </c>
    </row>
    <row r="66" customFormat="false" ht="15" hidden="false" customHeight="false" outlineLevel="1" collapsed="false">
      <c r="A66" s="3" t="s">
        <v>120</v>
      </c>
      <c r="C66" s="17" t="n">
        <f aca="false">評價_反向DCF!B19</f>
        <v>37.59</v>
      </c>
      <c r="D66" s="17" t="n">
        <f aca="false">評價_反向DCF!C19</f>
        <v>14.8903</v>
      </c>
      <c r="E66" s="13" t="n">
        <f aca="false">評價_反向DCF!D19</f>
        <v>-0.6039</v>
      </c>
    </row>
    <row r="67" customFormat="false" ht="15" hidden="false" customHeight="false" outlineLevel="1" collapsed="false">
      <c r="A67" s="3" t="s">
        <v>121</v>
      </c>
      <c r="C67" s="13" t="n">
        <f aca="false">評價_反向DCF!B20</f>
        <v>0.47</v>
      </c>
      <c r="D67" s="13" t="n">
        <f aca="false">評價_反向DCF!C20</f>
        <v>0.7625</v>
      </c>
      <c r="E67" s="13" t="n">
        <f aca="false">評價_反向DCF!D20</f>
        <v>0.2925</v>
      </c>
    </row>
    <row r="68" customFormat="false" ht="15" hidden="false" customHeight="false" outlineLevel="1" collapsed="false">
      <c r="A68" s="3" t="s">
        <v>122</v>
      </c>
      <c r="C68" s="17" t="n">
        <f aca="false">評價_反向DCF!B21</f>
        <v>17.4</v>
      </c>
      <c r="D68" s="17" t="n">
        <f aca="false">評價_反向DCF!C21</f>
        <v>18.3486</v>
      </c>
      <c r="E68" s="13" t="n">
        <f aca="false">評價_反向DCF!D21</f>
        <v>0.0545</v>
      </c>
    </row>
    <row r="70" customFormat="false" ht="15" hidden="false" customHeight="false" outlineLevel="0" collapsed="false">
      <c r="A70" s="7" t="s">
        <v>123</v>
      </c>
      <c r="B70" s="8"/>
      <c r="C70" s="8"/>
      <c r="D70" s="8"/>
      <c r="E70" s="8"/>
      <c r="F70" s="8"/>
      <c r="G70" s="8"/>
      <c r="H70" s="8"/>
    </row>
    <row r="71" customFormat="false" ht="15" hidden="false" customHeight="false" outlineLevel="1" collapsed="false">
      <c r="A71" s="3" t="s">
        <v>124</v>
      </c>
      <c r="C71" s="10" t="str">
        <f aca="false">季度追蹤!C12</f>
        <v>Q2 FY27</v>
      </c>
      <c r="I71" s="6" t="s">
        <v>125</v>
      </c>
    </row>
    <row r="72" customFormat="false" ht="15" hidden="false" customHeight="false" outlineLevel="1" collapsed="false">
      <c r="A72" s="3" t="s">
        <v>126</v>
      </c>
      <c r="B72" s="11" t="s">
        <v>59</v>
      </c>
      <c r="C72" s="10" t="n">
        <f aca="false">季度追蹤!C6</f>
        <v>21.0312699666667</v>
      </c>
      <c r="D72" s="10" t="n">
        <f aca="false">季度追蹤!D6</f>
        <v>21.322</v>
      </c>
      <c r="E72" s="10" t="n">
        <f aca="false">季度追蹤!F6</f>
        <v>20.875</v>
      </c>
      <c r="F72" s="10" t="n">
        <f aca="false">季度追蹤!G6</f>
        <v>21.518</v>
      </c>
      <c r="G72" s="10" t="str">
        <f aca="false">季度追蹤!I6</f>
        <v>待公布</v>
      </c>
      <c r="I72" s="6" t="s">
        <v>127</v>
      </c>
    </row>
    <row r="73" customFormat="false" ht="15" hidden="false" customHeight="false" outlineLevel="1" collapsed="false">
      <c r="A73" s="2" t="s">
        <v>128</v>
      </c>
      <c r="C73" s="10" t="str">
        <f aca="false">INDEX(季度追蹤!$C$129:$H$129,輸入與假設!$C$339)</f>
        <v>營收：模型 $21.03bn｜共識 $21.32bn（−1.4%）｜指引 $20.88–21.52bn（中點 −0.8%，區間下半部）</v>
      </c>
    </row>
    <row r="74" customFormat="false" ht="15" hidden="false" customHeight="false" outlineLevel="1" collapsed="false">
      <c r="A74" s="3" t="s">
        <v>129</v>
      </c>
      <c r="B74" s="11" t="s">
        <v>59</v>
      </c>
      <c r="C74" s="10" t="n">
        <f aca="false">季度追蹤!C7</f>
        <v>12.3972861490533</v>
      </c>
      <c r="D74" s="10" t="n">
        <f aca="false">季度追蹤!D7</f>
        <v>12.359</v>
      </c>
      <c r="E74" s="10" t="str">
        <f aca="false">季度追蹤!F7</f>
        <v>不適用</v>
      </c>
      <c r="F74" s="10" t="str">
        <f aca="false">季度追蹤!G7</f>
        <v>不適用</v>
      </c>
      <c r="G74" s="10" t="str">
        <f aca="false">季度追蹤!I7</f>
        <v>待公布</v>
      </c>
      <c r="I74" s="6" t="s">
        <v>127</v>
      </c>
    </row>
    <row r="75" customFormat="false" ht="15" hidden="false" customHeight="false" outlineLevel="1" collapsed="false">
      <c r="A75" s="2" t="s">
        <v>130</v>
      </c>
      <c r="C75" s="10" t="str">
        <f aca="false">INDEX(季度追蹤!$C$130:$H$130,輸入與假設!$C$339)</f>
        <v>調整後 EBITDA：模型 $12.40bn｜共識 $12.36bn（+$0.04bn／+1.0pt）</v>
      </c>
    </row>
    <row r="76" customFormat="false" ht="15" hidden="false" customHeight="false" outlineLevel="1" collapsed="false">
      <c r="A76" s="3" t="s">
        <v>131</v>
      </c>
      <c r="B76" s="11" t="s">
        <v>59</v>
      </c>
      <c r="C76" s="10" t="n">
        <f aca="false">季度追蹤!C10</f>
        <v>25.8656166666667</v>
      </c>
      <c r="D76" s="10" t="str">
        <f aca="false">季度追蹤!D10</f>
        <v>不適用</v>
      </c>
      <c r="E76" s="10" t="str">
        <f aca="false">季度追蹤!F10</f>
        <v>不適用</v>
      </c>
      <c r="F76" s="10" t="str">
        <f aca="false">季度追蹤!G10</f>
        <v>不適用</v>
      </c>
      <c r="G76" s="10" t="str">
        <f aca="false">季度追蹤!I10</f>
        <v>待公布</v>
      </c>
      <c r="I76" s="6" t="s">
        <v>127</v>
      </c>
    </row>
    <row r="77" customFormat="false" ht="15" hidden="false" customHeight="false" outlineLevel="1" collapsed="false">
      <c r="A77" s="2" t="s">
        <v>132</v>
      </c>
      <c r="C77" s="10" t="str">
        <f aca="false">INDEX(季度追蹤!$C$133:$H$133,輸入與假設!$C$339)</f>
        <v>CapEx（毛額）：模型 $25.87bn</v>
      </c>
    </row>
    <row r="78" customFormat="false" ht="15" hidden="false" customHeight="false" outlineLevel="1" collapsed="false">
      <c r="A78" s="3" t="s">
        <v>133</v>
      </c>
      <c r="B78" s="6" t="s">
        <v>134</v>
      </c>
      <c r="C78" s="9" t="n">
        <f aca="false">輸入與假設!$C$282</f>
        <v>28</v>
      </c>
      <c r="D78" s="9" t="n">
        <f aca="false">輸入與假設!$C$283</f>
        <v>7</v>
      </c>
      <c r="E78" s="9" t="n">
        <f aca="false">輸入與假設!$C$284</f>
        <v>7</v>
      </c>
      <c r="F78" s="9" t="n">
        <f aca="false">輸入與假設!$C$285</f>
        <v>0</v>
      </c>
      <c r="G78" s="9" t="n">
        <f aca="false">輸入與假設!$C$286</f>
        <v>1</v>
      </c>
      <c r="I78" s="11" t="s">
        <v>135</v>
      </c>
    </row>
    <row r="79" customFormat="false" ht="15" hidden="false" customHeight="false" outlineLevel="1" collapsed="false">
      <c r="A79" s="3" t="s">
        <v>136</v>
      </c>
      <c r="B79" s="11" t="s">
        <v>39</v>
      </c>
      <c r="C79" s="12" t="n">
        <f aca="false">輸入與假設!$C$271</f>
        <v>237.97</v>
      </c>
      <c r="D79" s="12" t="n">
        <f aca="false">輸入與假設!$C$272</f>
        <v>240</v>
      </c>
      <c r="E79" s="12" t="n">
        <f aca="false">輸入與假設!$C$273</f>
        <v>110</v>
      </c>
      <c r="F79" s="12" t="n">
        <f aca="false">輸入與假設!$C$274</f>
        <v>400</v>
      </c>
      <c r="I79" s="11" t="s">
        <v>137</v>
      </c>
    </row>
    <row r="80" customFormat="false" ht="15" hidden="false" customHeight="false" outlineLevel="1" collapsed="false"/>
    <row r="81" customFormat="false" ht="15" hidden="false" customHeight="false" outlineLevel="1" collapsed="false">
      <c r="A81" s="6" t="s">
        <v>138</v>
      </c>
    </row>
    <row r="82" customFormat="false" ht="15" hidden="false" customHeight="false" outlineLevel="1" collapsed="false">
      <c r="A82" s="6" t="s">
        <v>139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outlinePr summaryBelow="0" summaryRight="1"/>
    <pageSetUpPr fitToPage="false"/>
  </sheetPr>
  <dimension ref="A1:J35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2" outlineLevelCol="0"/>
  <cols>
    <col collapsed="false" customWidth="true" hidden="false" outlineLevel="0" max="1" min="1" style="0" width="44"/>
    <col collapsed="false" customWidth="true" hidden="false" outlineLevel="0" max="6" min="2" style="0" width="12"/>
    <col collapsed="false" customWidth="true" hidden="false" outlineLevel="0" max="7" min="7" style="0" width="16"/>
    <col collapsed="false" customWidth="true" hidden="false" outlineLevel="0" max="9" min="9" style="0" width="92"/>
    <col collapsed="false" customWidth="true" hidden="false" outlineLevel="0" max="10" min="10" style="0" width="60"/>
  </cols>
  <sheetData>
    <row r="1" customFormat="false" ht="17.35" hidden="false" customHeight="false" outlineLevel="0" collapsed="false">
      <c r="A1" s="5" t="s">
        <v>140</v>
      </c>
    </row>
    <row r="2" customFormat="false" ht="15" hidden="false" customHeight="false" outlineLevel="0" collapsed="false">
      <c r="A2" s="11" t="s">
        <v>141</v>
      </c>
    </row>
    <row r="4" customFormat="false" ht="15" hidden="false" customHeight="false" outlineLevel="0" collapsed="false">
      <c r="A4" s="7" t="s">
        <v>142</v>
      </c>
      <c r="B4" s="8"/>
      <c r="C4" s="8"/>
      <c r="D4" s="8"/>
      <c r="E4" s="8"/>
      <c r="F4" s="8"/>
      <c r="G4" s="8"/>
      <c r="H4" s="8"/>
    </row>
    <row r="5" customFormat="false" ht="15" hidden="false" customHeight="false" outlineLevel="1" collapsed="false">
      <c r="A5" s="2" t="s">
        <v>143</v>
      </c>
      <c r="C5" s="18" t="n">
        <v>2</v>
      </c>
      <c r="D5" s="2" t="str">
        <f aca="false">CHOOSE(C5,"保守 OpenAI 相關 60%","基準 已簽約站點依 Q1 速度","積極 依公司時程")</f>
        <v>基準 已簽約站點依 Q1 速度</v>
      </c>
      <c r="I5" s="6" t="s">
        <v>144</v>
      </c>
    </row>
    <row r="6" customFormat="false" ht="15" hidden="false" customHeight="false" outlineLevel="1" collapsed="false">
      <c r="A6" s="19" t="s">
        <v>145</v>
      </c>
      <c r="B6" s="20"/>
      <c r="C6" s="20"/>
      <c r="D6" s="20"/>
      <c r="E6" s="20"/>
      <c r="F6" s="20"/>
      <c r="G6" s="20"/>
      <c r="H6" s="20"/>
    </row>
    <row r="7" customFormat="false" ht="17.15" hidden="false" customHeight="false" outlineLevel="2" collapsed="false">
      <c r="A7" s="14" t="s">
        <v>146</v>
      </c>
      <c r="B7" s="14" t="s">
        <v>54</v>
      </c>
      <c r="C7" s="15" t="s">
        <v>55</v>
      </c>
      <c r="D7" s="15" t="s">
        <v>56</v>
      </c>
      <c r="E7" s="15" t="s">
        <v>57</v>
      </c>
      <c r="F7" s="15" t="s">
        <v>147</v>
      </c>
      <c r="G7" s="15" t="s">
        <v>148</v>
      </c>
      <c r="I7" s="15" t="s">
        <v>149</v>
      </c>
    </row>
    <row r="8" customFormat="false" ht="15" hidden="false" customHeight="false" outlineLevel="2" collapsed="false">
      <c r="A8" s="3" t="s">
        <v>150</v>
      </c>
      <c r="B8" s="11" t="s">
        <v>151</v>
      </c>
      <c r="C8" s="21" t="n">
        <v>4668</v>
      </c>
      <c r="I8" s="6" t="s">
        <v>152</v>
      </c>
    </row>
    <row r="9" customFormat="false" ht="15" hidden="false" customHeight="false" outlineLevel="2" collapsed="false">
      <c r="A9" s="3" t="s">
        <v>153</v>
      </c>
      <c r="B9" s="11" t="s">
        <v>151</v>
      </c>
      <c r="C9" s="21" t="n">
        <v>6284</v>
      </c>
      <c r="D9" s="21" t="n">
        <v>6284</v>
      </c>
      <c r="E9" s="21" t="n">
        <v>6284</v>
      </c>
      <c r="F9" s="21" t="n">
        <v>6284</v>
      </c>
      <c r="G9" s="21" t="n">
        <v>6284</v>
      </c>
      <c r="I9" s="11" t="s">
        <v>154</v>
      </c>
    </row>
    <row r="10" customFormat="false" ht="15" hidden="false" customHeight="false" outlineLevel="2" collapsed="false">
      <c r="A10" s="3" t="s">
        <v>155</v>
      </c>
      <c r="B10" s="11" t="s">
        <v>156</v>
      </c>
      <c r="C10" s="21" t="n">
        <v>1000</v>
      </c>
      <c r="I10" s="11" t="s">
        <v>157</v>
      </c>
    </row>
    <row r="11" customFormat="false" ht="15" hidden="false" customHeight="false" outlineLevel="2" collapsed="false">
      <c r="A11" s="3" t="s">
        <v>158</v>
      </c>
      <c r="B11" s="11" t="s">
        <v>151</v>
      </c>
      <c r="C11" s="22" t="n">
        <f aca="false">MIN(C9,輸入與假設!$C$8)</f>
        <v>4668</v>
      </c>
      <c r="D11" s="22" t="n">
        <f aca="false">MIN(D9,C11+輸入與假設!$C$10*D$41)</f>
        <v>5668</v>
      </c>
      <c r="E11" s="22" t="n">
        <f aca="false">MIN(E9,D11+輸入與假設!$C$10*E$41)</f>
        <v>6284</v>
      </c>
      <c r="F11" s="22" t="n">
        <f aca="false">MIN(F9,E11+輸入與假設!$C$10*F$41)</f>
        <v>6284</v>
      </c>
      <c r="G11" s="22" t="n">
        <f aca="false">MIN(G9,F11+輸入與假設!$C$10*G$41)</f>
        <v>6284</v>
      </c>
      <c r="I11" s="21" t="n">
        <v>0</v>
      </c>
      <c r="J11" s="6" t="s">
        <v>159</v>
      </c>
    </row>
    <row r="12" customFormat="false" ht="15" hidden="false" customHeight="false" outlineLevel="2" collapsed="false">
      <c r="A12" s="3" t="s">
        <v>160</v>
      </c>
      <c r="B12" s="11" t="s">
        <v>151</v>
      </c>
      <c r="C12" s="21" t="n">
        <v>8778</v>
      </c>
      <c r="D12" s="21" t="n">
        <v>8778</v>
      </c>
      <c r="E12" s="21" t="n">
        <v>8778</v>
      </c>
      <c r="F12" s="21" t="n">
        <v>8778</v>
      </c>
      <c r="G12" s="21" t="n">
        <v>8778</v>
      </c>
      <c r="I12" s="11" t="s">
        <v>154</v>
      </c>
    </row>
    <row r="13" customFormat="false" ht="15" hidden="false" customHeight="false" outlineLevel="2" collapsed="false">
      <c r="A13" s="3" t="s">
        <v>161</v>
      </c>
      <c r="B13" s="11" t="s">
        <v>156</v>
      </c>
      <c r="C13" s="21" t="n">
        <v>2833</v>
      </c>
      <c r="I13" s="11" t="s">
        <v>157</v>
      </c>
    </row>
    <row r="14" customFormat="false" ht="15" hidden="false" customHeight="false" outlineLevel="2" collapsed="false">
      <c r="A14" s="3" t="s">
        <v>162</v>
      </c>
      <c r="B14" s="11" t="s">
        <v>151</v>
      </c>
      <c r="C14" s="22" t="n">
        <f aca="false">MIN(C12,輸入與假設!$C$8)</f>
        <v>4668</v>
      </c>
      <c r="D14" s="22" t="n">
        <f aca="false">MIN(D12,C14+輸入與假設!$C$13*D$41)</f>
        <v>7501</v>
      </c>
      <c r="E14" s="22" t="n">
        <f aca="false">MIN(E12,D14+輸入與假設!$C$13*E$41)</f>
        <v>8778</v>
      </c>
      <c r="F14" s="22" t="n">
        <f aca="false">MIN(F12,E14+輸入與假設!$C$13*F$41)</f>
        <v>8778</v>
      </c>
      <c r="G14" s="22" t="n">
        <f aca="false">MIN(G12,F14+輸入與假設!$C$13*G$41)</f>
        <v>8778</v>
      </c>
      <c r="I14" s="21" t="n">
        <v>0</v>
      </c>
      <c r="J14" s="11" t="s">
        <v>163</v>
      </c>
    </row>
    <row r="15" customFormat="false" ht="15" hidden="false" customHeight="false" outlineLevel="2" collapsed="false">
      <c r="A15" s="3" t="s">
        <v>164</v>
      </c>
      <c r="B15" s="11" t="s">
        <v>151</v>
      </c>
      <c r="C15" s="21" t="n">
        <v>8778</v>
      </c>
      <c r="D15" s="21" t="n">
        <v>8778</v>
      </c>
      <c r="E15" s="21" t="n">
        <v>8778</v>
      </c>
      <c r="F15" s="21" t="n">
        <v>8778</v>
      </c>
      <c r="G15" s="21" t="n">
        <v>8778</v>
      </c>
      <c r="I15" s="11" t="s">
        <v>154</v>
      </c>
    </row>
    <row r="16" customFormat="false" ht="15" hidden="false" customHeight="false" outlineLevel="2" collapsed="false">
      <c r="A16" s="3" t="s">
        <v>165</v>
      </c>
      <c r="B16" s="11" t="s">
        <v>156</v>
      </c>
      <c r="C16" s="21" t="n">
        <v>3333</v>
      </c>
      <c r="I16" s="11" t="s">
        <v>157</v>
      </c>
    </row>
    <row r="17" customFormat="false" ht="15" hidden="false" customHeight="false" outlineLevel="2" collapsed="false">
      <c r="A17" s="3" t="s">
        <v>166</v>
      </c>
      <c r="B17" s="11" t="s">
        <v>151</v>
      </c>
      <c r="C17" s="22" t="n">
        <f aca="false">MIN(C15,輸入與假設!$C$8)</f>
        <v>4668</v>
      </c>
      <c r="D17" s="22" t="n">
        <f aca="false">MIN(D15,C17+輸入與假設!$C$16*D$41)</f>
        <v>8001</v>
      </c>
      <c r="E17" s="22" t="n">
        <f aca="false">MIN(E15,D17+輸入與假設!$C$16*E$41)</f>
        <v>8778</v>
      </c>
      <c r="F17" s="22" t="n">
        <f aca="false">MIN(F15,E17+輸入與假設!$C$16*F$41)</f>
        <v>8778</v>
      </c>
      <c r="G17" s="22" t="n">
        <f aca="false">MIN(G15,F17+輸入與假設!$C$16*G$41)</f>
        <v>8778</v>
      </c>
      <c r="I17" s="21" t="n">
        <v>0</v>
      </c>
      <c r="J17" s="6" t="s">
        <v>167</v>
      </c>
    </row>
    <row r="18" customFormat="false" ht="15" hidden="false" customHeight="false" outlineLevel="2" collapsed="false">
      <c r="A18" s="3" t="s">
        <v>168</v>
      </c>
      <c r="B18" s="11" t="s">
        <v>169</v>
      </c>
      <c r="C18" s="23" t="n">
        <v>0.01162</v>
      </c>
      <c r="D18" s="23" t="n">
        <v>0.01162</v>
      </c>
      <c r="E18" s="23" t="n">
        <v>0.01162</v>
      </c>
      <c r="F18" s="23" t="n">
        <v>0.01162</v>
      </c>
      <c r="G18" s="23" t="n">
        <v>0.01162</v>
      </c>
      <c r="I18" s="11" t="s">
        <v>170</v>
      </c>
    </row>
    <row r="19" customFormat="false" ht="15" hidden="false" customHeight="false" outlineLevel="2" collapsed="false">
      <c r="A19" s="3" t="s">
        <v>171</v>
      </c>
      <c r="B19" s="11" t="s">
        <v>169</v>
      </c>
      <c r="C19" s="23" t="n">
        <v>0.0174</v>
      </c>
      <c r="D19" s="23" t="n">
        <v>0.0174</v>
      </c>
      <c r="E19" s="23" t="n">
        <v>0.0174</v>
      </c>
      <c r="F19" s="23" t="n">
        <v>0.0174</v>
      </c>
      <c r="G19" s="23" t="n">
        <v>0.0174</v>
      </c>
      <c r="I19" s="11" t="s">
        <v>170</v>
      </c>
    </row>
    <row r="20" customFormat="false" ht="15" hidden="false" customHeight="false" outlineLevel="2" collapsed="false">
      <c r="A20" s="3" t="s">
        <v>172</v>
      </c>
      <c r="B20" s="11" t="s">
        <v>169</v>
      </c>
      <c r="C20" s="23" t="n">
        <v>0.0242</v>
      </c>
      <c r="D20" s="23" t="n">
        <v>0.0242</v>
      </c>
      <c r="E20" s="23" t="n">
        <v>0.0242</v>
      </c>
      <c r="F20" s="23" t="n">
        <v>0.0242</v>
      </c>
      <c r="G20" s="23" t="n">
        <v>0.0242</v>
      </c>
      <c r="I20" s="11" t="s">
        <v>170</v>
      </c>
    </row>
    <row r="21" customFormat="false" ht="15" hidden="false" customHeight="false" outlineLevel="2" collapsed="false">
      <c r="A21" s="3" t="s">
        <v>173</v>
      </c>
      <c r="B21" s="11" t="s">
        <v>42</v>
      </c>
      <c r="C21" s="24" t="n">
        <v>0.5</v>
      </c>
      <c r="D21" s="24" t="n">
        <v>0.8</v>
      </c>
      <c r="E21" s="24" t="n">
        <v>0.85</v>
      </c>
      <c r="F21" s="24" t="n">
        <v>0.9</v>
      </c>
      <c r="G21" s="24" t="n">
        <v>0.9</v>
      </c>
      <c r="I21" s="6" t="s">
        <v>174</v>
      </c>
    </row>
    <row r="22" customFormat="false" ht="15" hidden="false" customHeight="false" outlineLevel="2" collapsed="false">
      <c r="A22" s="3" t="s">
        <v>175</v>
      </c>
      <c r="B22" s="11" t="s">
        <v>59</v>
      </c>
      <c r="C22" s="25" t="n">
        <v>29.552</v>
      </c>
      <c r="I22" s="6" t="s">
        <v>176</v>
      </c>
    </row>
    <row r="23" customFormat="false" ht="15" hidden="false" customHeight="false" outlineLevel="2" collapsed="false">
      <c r="A23" s="3" t="s">
        <v>177</v>
      </c>
      <c r="B23" s="11" t="s">
        <v>151</v>
      </c>
      <c r="C23" s="22" t="n">
        <f aca="false">ROUND(輸入與假設!$C$22/C18,0)</f>
        <v>2543</v>
      </c>
      <c r="I23" s="6" t="s">
        <v>178</v>
      </c>
    </row>
    <row r="24" customFormat="false" ht="15" hidden="false" customHeight="false" outlineLevel="2" collapsed="false">
      <c r="A24" s="3" t="s">
        <v>179</v>
      </c>
      <c r="B24" s="11" t="s">
        <v>151</v>
      </c>
      <c r="C24" s="22" t="n">
        <f aca="false">ROUND(輸入與假設!$C$22/C19,0)</f>
        <v>1698</v>
      </c>
      <c r="I24" s="6" t="s">
        <v>178</v>
      </c>
    </row>
    <row r="25" customFormat="false" ht="15" hidden="false" customHeight="false" outlineLevel="2" collapsed="false">
      <c r="A25" s="3" t="s">
        <v>180</v>
      </c>
      <c r="B25" s="11" t="s">
        <v>151</v>
      </c>
      <c r="C25" s="22" t="n">
        <f aca="false">ROUND(輸入與假設!$C$22/C20,0)</f>
        <v>1221</v>
      </c>
      <c r="I25" s="6" t="s">
        <v>178</v>
      </c>
    </row>
    <row r="26" customFormat="false" ht="15" hidden="false" customHeight="false" outlineLevel="2" collapsed="false">
      <c r="A26" s="3" t="s">
        <v>181</v>
      </c>
      <c r="B26" s="11" t="s">
        <v>59</v>
      </c>
      <c r="C26" s="25" t="n">
        <v>288</v>
      </c>
      <c r="I26" s="6" t="s">
        <v>182</v>
      </c>
    </row>
    <row r="27" customFormat="false" ht="15" hidden="false" customHeight="false" outlineLevel="2" collapsed="false">
      <c r="A27" s="3" t="s">
        <v>183</v>
      </c>
      <c r="B27" s="6" t="s">
        <v>184</v>
      </c>
      <c r="C27" s="21" t="n">
        <v>0</v>
      </c>
      <c r="I27" s="11" t="s">
        <v>185</v>
      </c>
    </row>
    <row r="28" customFormat="false" ht="15" hidden="false" customHeight="false" outlineLevel="2" collapsed="false">
      <c r="A28" s="3" t="s">
        <v>186</v>
      </c>
      <c r="B28" s="6" t="s">
        <v>184</v>
      </c>
      <c r="C28" s="21" t="n">
        <v>11</v>
      </c>
      <c r="I28" s="6" t="s">
        <v>187</v>
      </c>
    </row>
    <row r="29" customFormat="false" ht="15" hidden="false" customHeight="false" outlineLevel="2" collapsed="false">
      <c r="A29" s="3" t="s">
        <v>188</v>
      </c>
      <c r="B29" s="6" t="s">
        <v>189</v>
      </c>
      <c r="C29" s="26" t="n">
        <v>17</v>
      </c>
      <c r="I29" s="6" t="s">
        <v>190</v>
      </c>
    </row>
    <row r="30" customFormat="false" ht="15" hidden="false" customHeight="false" outlineLevel="0" collapsed="false">
      <c r="A30" s="7" t="s">
        <v>191</v>
      </c>
      <c r="B30" s="8"/>
      <c r="C30" s="8"/>
      <c r="D30" s="8"/>
      <c r="E30" s="8"/>
      <c r="F30" s="8"/>
      <c r="G30" s="8"/>
      <c r="H30" s="8"/>
    </row>
    <row r="31" customFormat="false" ht="15" hidden="false" customHeight="false" outlineLevel="1" collapsed="false">
      <c r="A31" s="4" t="s">
        <v>192</v>
      </c>
      <c r="B31" s="11" t="s">
        <v>59</v>
      </c>
      <c r="C31" s="25" t="n">
        <v>664</v>
      </c>
      <c r="I31" s="6" t="s">
        <v>193</v>
      </c>
    </row>
    <row r="32" customFormat="false" ht="15" hidden="false" customHeight="false" outlineLevel="1" collapsed="false">
      <c r="A32" s="3" t="s">
        <v>194</v>
      </c>
      <c r="B32" s="11" t="s">
        <v>59</v>
      </c>
      <c r="C32" s="25" t="n">
        <v>0</v>
      </c>
      <c r="I32" s="6" t="s">
        <v>195</v>
      </c>
    </row>
    <row r="33" customFormat="false" ht="15" hidden="false" customHeight="false" outlineLevel="1" collapsed="false">
      <c r="A33" s="3" t="s">
        <v>196</v>
      </c>
      <c r="B33" s="11" t="s">
        <v>42</v>
      </c>
      <c r="C33" s="24" t="n">
        <v>0.7975</v>
      </c>
      <c r="I33" s="6" t="s">
        <v>197</v>
      </c>
    </row>
    <row r="34" customFormat="false" ht="15" hidden="false" customHeight="false" outlineLevel="1" collapsed="false">
      <c r="A34" s="4" t="s">
        <v>198</v>
      </c>
      <c r="B34" s="11" t="s">
        <v>42</v>
      </c>
      <c r="C34" s="24" t="n">
        <v>0.7975</v>
      </c>
      <c r="I34" s="6" t="s">
        <v>199</v>
      </c>
    </row>
    <row r="35" customFormat="false" ht="15" hidden="false" customHeight="false" outlineLevel="1" collapsed="false">
      <c r="A35" s="4" t="s">
        <v>200</v>
      </c>
      <c r="B35" s="11" t="s">
        <v>151</v>
      </c>
      <c r="C35" s="21" t="n">
        <v>1835</v>
      </c>
      <c r="I35" s="11" t="s">
        <v>201</v>
      </c>
    </row>
    <row r="36" customFormat="false" ht="15" hidden="false" customHeight="false" outlineLevel="1" collapsed="false">
      <c r="A36" s="4" t="s">
        <v>202</v>
      </c>
      <c r="B36" s="11" t="s">
        <v>151</v>
      </c>
      <c r="C36" s="22" t="n">
        <f aca="false">CHOOSE(輸入與假設!$C$5,輸入與假設!$C$23,輸入與假設!$C$24,輸入與假設!$C$25)</f>
        <v>1698</v>
      </c>
      <c r="I36" s="6" t="s">
        <v>203</v>
      </c>
    </row>
    <row r="37" customFormat="false" ht="15" hidden="false" customHeight="false" outlineLevel="1" collapsed="false">
      <c r="A37" s="3" t="s">
        <v>204</v>
      </c>
      <c r="B37" s="6"/>
      <c r="C37" s="21" t="n">
        <v>1</v>
      </c>
      <c r="I37" s="11" t="s">
        <v>205</v>
      </c>
    </row>
    <row r="38" customFormat="false" ht="15" hidden="false" customHeight="false" outlineLevel="1" collapsed="false">
      <c r="A38" s="3" t="s">
        <v>206</v>
      </c>
      <c r="B38" s="6"/>
      <c r="C38" s="27" t="s">
        <v>207</v>
      </c>
      <c r="I38" s="11" t="s">
        <v>208</v>
      </c>
    </row>
    <row r="39" customFormat="false" ht="15" hidden="false" customHeight="false" outlineLevel="1" collapsed="false">
      <c r="A39" s="3" t="s">
        <v>209</v>
      </c>
      <c r="B39" s="11" t="s">
        <v>42</v>
      </c>
      <c r="C39" s="24" t="n">
        <v>1</v>
      </c>
      <c r="I39" s="6" t="s">
        <v>210</v>
      </c>
    </row>
    <row r="40" customFormat="false" ht="15" hidden="false" customHeight="false" outlineLevel="1" collapsed="false">
      <c r="A40" s="14" t="s">
        <v>53</v>
      </c>
      <c r="B40" s="14" t="s">
        <v>54</v>
      </c>
      <c r="C40" s="28" t="s">
        <v>55</v>
      </c>
      <c r="D40" s="28" t="s">
        <v>56</v>
      </c>
      <c r="E40" s="28" t="s">
        <v>57</v>
      </c>
      <c r="F40" s="28" t="s">
        <v>147</v>
      </c>
      <c r="G40" s="28" t="s">
        <v>148</v>
      </c>
      <c r="I40" s="14" t="s">
        <v>211</v>
      </c>
    </row>
    <row r="41" customFormat="false" ht="15" hidden="false" customHeight="false" outlineLevel="1" collapsed="false">
      <c r="A41" s="3" t="s">
        <v>212</v>
      </c>
      <c r="B41" s="6"/>
      <c r="C41" s="25" t="n">
        <v>0.75</v>
      </c>
      <c r="D41" s="25" t="n">
        <v>1</v>
      </c>
      <c r="E41" s="25" t="n">
        <v>1</v>
      </c>
      <c r="F41" s="25" t="n">
        <v>1</v>
      </c>
      <c r="G41" s="25" t="n">
        <v>1</v>
      </c>
      <c r="I41" s="6" t="s">
        <v>213</v>
      </c>
    </row>
    <row r="42" customFormat="false" ht="15" hidden="false" customHeight="false" outlineLevel="1" collapsed="false">
      <c r="A42" s="4" t="s">
        <v>214</v>
      </c>
      <c r="B42" s="11" t="s">
        <v>42</v>
      </c>
      <c r="C42" s="24" t="n">
        <v>0.0975</v>
      </c>
      <c r="D42" s="24" t="n">
        <v>0.17125</v>
      </c>
      <c r="E42" s="24" t="n">
        <v>0.185</v>
      </c>
      <c r="F42" s="24" t="n">
        <v>0.17375</v>
      </c>
      <c r="G42" s="24" t="n">
        <v>0.17</v>
      </c>
      <c r="H42" s="29" t="n">
        <f aca="false">SUM(C42:G42)</f>
        <v>0.7975</v>
      </c>
      <c r="I42" s="6" t="s">
        <v>215</v>
      </c>
    </row>
    <row r="43" customFormat="false" ht="15" hidden="false" customHeight="false" outlineLevel="1" collapsed="false">
      <c r="A43" s="4" t="s">
        <v>216</v>
      </c>
      <c r="B43" s="11" t="s">
        <v>151</v>
      </c>
      <c r="C43" s="22" t="n">
        <f aca="false">CHOOSE(輸入與假設!$C$5,C11,C14,C17)</f>
        <v>4668</v>
      </c>
      <c r="D43" s="22" t="n">
        <f aca="false">CHOOSE(輸入與假設!$C$5,D11,D14,D17)</f>
        <v>7501</v>
      </c>
      <c r="E43" s="22" t="n">
        <f aca="false">CHOOSE(輸入與假設!$C$5,E11,E14,E17)</f>
        <v>8778</v>
      </c>
      <c r="F43" s="22" t="n">
        <f aca="false">CHOOSE(輸入與假設!$C$5,F11,F14,F17)</f>
        <v>8778</v>
      </c>
      <c r="G43" s="22" t="n">
        <f aca="false">CHOOSE(輸入與假設!$C$5,G11,G14,G17)</f>
        <v>8778</v>
      </c>
      <c r="I43" s="6" t="s">
        <v>217</v>
      </c>
    </row>
    <row r="44" customFormat="false" ht="15" hidden="false" customHeight="false" outlineLevel="1" collapsed="false">
      <c r="A44" s="4" t="s">
        <v>218</v>
      </c>
      <c r="B44" s="11" t="s">
        <v>151</v>
      </c>
      <c r="C44" s="22" t="n">
        <f aca="false">ROUND(輸入與假設!$C$36+(C43-輸入與假設!$C$36)*C21,0)</f>
        <v>3183</v>
      </c>
      <c r="D44" s="22" t="n">
        <f aca="false">ROUND(輸入與假設!$C$36+(D43-輸入與假設!$C$36)*D21,0)</f>
        <v>6340</v>
      </c>
      <c r="E44" s="22" t="n">
        <f aca="false">ROUND(輸入與假設!$C$36+(E43-輸入與假設!$C$36)*E21,0)</f>
        <v>7716</v>
      </c>
      <c r="F44" s="22" t="n">
        <f aca="false">ROUND(輸入與假設!$C$36+(F43-輸入與假設!$C$36)*F21,0)</f>
        <v>8070</v>
      </c>
      <c r="G44" s="22" t="n">
        <f aca="false">ROUND(輸入與假設!$C$36+(G43-輸入與假設!$C$36)*G21,0)</f>
        <v>8070</v>
      </c>
      <c r="I44" s="6" t="s">
        <v>219</v>
      </c>
    </row>
    <row r="45" customFormat="false" ht="15" hidden="false" customHeight="false" outlineLevel="1" collapsed="false">
      <c r="A45" s="3" t="s">
        <v>220</v>
      </c>
      <c r="B45" s="11" t="s">
        <v>42</v>
      </c>
      <c r="C45" s="24" t="n">
        <v>1</v>
      </c>
      <c r="D45" s="24" t="n">
        <v>1</v>
      </c>
      <c r="E45" s="24" t="n">
        <v>1</v>
      </c>
      <c r="F45" s="24" t="n">
        <v>1</v>
      </c>
      <c r="G45" s="24" t="n">
        <v>1</v>
      </c>
      <c r="I45" s="11" t="s">
        <v>221</v>
      </c>
    </row>
    <row r="46" customFormat="false" ht="15" hidden="false" customHeight="false" outlineLevel="1" collapsed="false">
      <c r="A46" s="3" t="s">
        <v>222</v>
      </c>
      <c r="B46" s="11" t="s">
        <v>169</v>
      </c>
      <c r="C46" s="30" t="n">
        <f aca="false">CHOOSE(輸入與假設!$C$5,C18,C19,C20)</f>
        <v>0.0174</v>
      </c>
      <c r="D46" s="30" t="n">
        <f aca="false">CHOOSE(輸入與假設!$C$5,D18,D19,D20)</f>
        <v>0.0174</v>
      </c>
      <c r="E46" s="30" t="n">
        <f aca="false">CHOOSE(輸入與假設!$C$5,E18,E19,E20)</f>
        <v>0.0174</v>
      </c>
      <c r="F46" s="30" t="n">
        <f aca="false">CHOOSE(輸入與假設!$C$5,F18,F19,F20)</f>
        <v>0.0174</v>
      </c>
      <c r="G46" s="30" t="n">
        <f aca="false">CHOOSE(輸入與假設!$C$5,G18,G19,G20)</f>
        <v>0.0174</v>
      </c>
      <c r="I46" s="6" t="s">
        <v>223</v>
      </c>
    </row>
    <row r="47" customFormat="false" ht="15" hidden="false" customHeight="false" outlineLevel="1" collapsed="false">
      <c r="A47" s="3" t="s">
        <v>224</v>
      </c>
      <c r="B47" s="11" t="s">
        <v>42</v>
      </c>
      <c r="C47" s="24" t="n">
        <v>1</v>
      </c>
      <c r="D47" s="24" t="n">
        <v>1</v>
      </c>
      <c r="E47" s="24" t="n">
        <v>1</v>
      </c>
      <c r="F47" s="24" t="n">
        <v>1</v>
      </c>
      <c r="G47" s="24" t="n">
        <v>1</v>
      </c>
      <c r="I47" s="11" t="s">
        <v>225</v>
      </c>
    </row>
    <row r="48" customFormat="false" ht="15" hidden="false" customHeight="false" outlineLevel="1" collapsed="false">
      <c r="A48" s="3" t="s">
        <v>226</v>
      </c>
      <c r="B48" s="11" t="s">
        <v>42</v>
      </c>
      <c r="C48" s="24" t="n">
        <v>0.005</v>
      </c>
      <c r="D48" s="24" t="n">
        <v>0.01</v>
      </c>
      <c r="E48" s="24" t="n">
        <v>0.015</v>
      </c>
      <c r="F48" s="24" t="n">
        <v>0.02</v>
      </c>
      <c r="G48" s="24" t="n">
        <v>0.025</v>
      </c>
      <c r="I48" s="6" t="s">
        <v>227</v>
      </c>
    </row>
    <row r="49" customFormat="false" ht="15" hidden="false" customHeight="false" outlineLevel="1" collapsed="false">
      <c r="A49" s="3" t="s">
        <v>228</v>
      </c>
      <c r="B49" s="11" t="s">
        <v>42</v>
      </c>
      <c r="C49" s="24" t="n">
        <v>0.5</v>
      </c>
      <c r="D49" s="24" t="n">
        <v>0.5</v>
      </c>
      <c r="E49" s="24" t="n">
        <v>0.5</v>
      </c>
      <c r="F49" s="24" t="n">
        <v>0.5</v>
      </c>
      <c r="G49" s="24" t="n">
        <v>0.5</v>
      </c>
      <c r="I49" s="11" t="s">
        <v>229</v>
      </c>
    </row>
    <row r="50" customFormat="false" ht="15" hidden="false" customHeight="false" outlineLevel="1" collapsed="false">
      <c r="A50" s="3" t="s">
        <v>230</v>
      </c>
      <c r="B50" s="11" t="s">
        <v>59</v>
      </c>
      <c r="C50" s="25" t="n">
        <v>0</v>
      </c>
      <c r="D50" s="25" t="n">
        <v>0</v>
      </c>
      <c r="E50" s="25" t="n">
        <v>0</v>
      </c>
      <c r="F50" s="25" t="n">
        <v>0</v>
      </c>
      <c r="G50" s="25" t="n">
        <v>0</v>
      </c>
      <c r="I50" s="6" t="s">
        <v>231</v>
      </c>
    </row>
    <row r="51" customFormat="false" ht="15" hidden="false" customHeight="false" outlineLevel="1" collapsed="false">
      <c r="A51" s="3" t="s">
        <v>232</v>
      </c>
      <c r="B51" s="11" t="s">
        <v>59</v>
      </c>
      <c r="C51" s="25" t="n">
        <v>0</v>
      </c>
      <c r="D51" s="25" t="n">
        <v>0</v>
      </c>
      <c r="E51" s="25" t="n">
        <v>0</v>
      </c>
      <c r="F51" s="25" t="n">
        <v>0</v>
      </c>
      <c r="G51" s="25" t="n">
        <v>0</v>
      </c>
      <c r="I51" s="6" t="s">
        <v>233</v>
      </c>
    </row>
    <row r="52" customFormat="false" ht="15" hidden="false" customHeight="false" outlineLevel="1" collapsed="false">
      <c r="A52" s="31" t="s">
        <v>234</v>
      </c>
      <c r="B52" s="20"/>
      <c r="C52" s="20"/>
      <c r="D52" s="20"/>
      <c r="E52" s="20"/>
      <c r="F52" s="20"/>
      <c r="G52" s="20"/>
      <c r="H52" s="20"/>
    </row>
    <row r="53" customFormat="false" ht="15" hidden="false" customHeight="false" outlineLevel="2" collapsed="false">
      <c r="A53" s="3" t="s">
        <v>235</v>
      </c>
      <c r="B53" s="11" t="s">
        <v>59</v>
      </c>
      <c r="C53" s="25" t="n">
        <v>15.888</v>
      </c>
      <c r="I53" s="6" t="s">
        <v>236</v>
      </c>
    </row>
    <row r="54" customFormat="false" ht="15" hidden="false" customHeight="false" outlineLevel="2" collapsed="false">
      <c r="A54" s="3" t="s">
        <v>237</v>
      </c>
      <c r="B54" s="11" t="s">
        <v>59</v>
      </c>
      <c r="C54" s="25" t="n">
        <v>4.219</v>
      </c>
      <c r="I54" s="6" t="s">
        <v>238</v>
      </c>
    </row>
    <row r="55" customFormat="false" ht="15" hidden="false" customHeight="false" outlineLevel="2" collapsed="false">
      <c r="A55" s="3" t="s">
        <v>239</v>
      </c>
      <c r="B55" s="11" t="s">
        <v>42</v>
      </c>
      <c r="C55" s="24" t="n">
        <v>0.1111</v>
      </c>
      <c r="I55" s="6" t="s">
        <v>240</v>
      </c>
    </row>
    <row r="56" customFormat="false" ht="15" hidden="false" customHeight="false" outlineLevel="2" collapsed="false">
      <c r="A56" s="3" t="s">
        <v>241</v>
      </c>
      <c r="B56" s="11" t="s">
        <v>42</v>
      </c>
      <c r="C56" s="24" t="n">
        <v>0.08</v>
      </c>
      <c r="I56" s="6" t="s">
        <v>242</v>
      </c>
    </row>
    <row r="57" customFormat="false" ht="15" hidden="false" customHeight="false" outlineLevel="2" collapsed="false">
      <c r="A57" s="3" t="s">
        <v>243</v>
      </c>
      <c r="B57" s="11" t="s">
        <v>42</v>
      </c>
      <c r="C57" s="32" t="n">
        <f aca="false">輸入與假設!$C$55+(輸入與假設!$C$56-輸入與假設!$C$55)*0/4</f>
        <v>0.1111</v>
      </c>
      <c r="D57" s="32" t="n">
        <f aca="false">輸入與假設!$C$55+(輸入與假設!$C$56-輸入與假設!$C$55)*1/4</f>
        <v>0.103325</v>
      </c>
      <c r="E57" s="32" t="n">
        <f aca="false">輸入與假設!$C$55+(輸入與假設!$C$56-輸入與假設!$C$55)*2/4</f>
        <v>0.09555</v>
      </c>
      <c r="F57" s="32" t="n">
        <f aca="false">輸入與假設!$C$55+(輸入與假設!$C$56-輸入與假設!$C$55)*3/4</f>
        <v>0.087775</v>
      </c>
      <c r="G57" s="32" t="n">
        <f aca="false">輸入與假設!$C$55+(輸入與假設!$C$56-輸入與假設!$C$55)*4/4</f>
        <v>0.08</v>
      </c>
      <c r="I57" s="6" t="s">
        <v>244</v>
      </c>
    </row>
    <row r="58" customFormat="false" ht="15" hidden="false" customHeight="false" outlineLevel="2" collapsed="false">
      <c r="A58" s="3" t="s">
        <v>245</v>
      </c>
      <c r="B58" s="11" t="s">
        <v>59</v>
      </c>
      <c r="C58" s="33" t="n">
        <f aca="false">輸入與假設!$C$53*(1+C57)</f>
        <v>17.6531568</v>
      </c>
      <c r="D58" s="33" t="n">
        <f aca="false">C58*(1+D57)</f>
        <v>19.47716922636</v>
      </c>
      <c r="E58" s="33" t="n">
        <f aca="false">D58*(1+E57)</f>
        <v>21.3382127459387</v>
      </c>
      <c r="F58" s="33" t="n">
        <f aca="false">E58*(1+F57)</f>
        <v>23.2111743697135</v>
      </c>
      <c r="G58" s="33" t="n">
        <f aca="false">F58*(1+G57)</f>
        <v>25.0680683192905</v>
      </c>
      <c r="I58" s="6" t="s">
        <v>246</v>
      </c>
    </row>
    <row r="59" customFormat="false" ht="15" hidden="false" customHeight="false" outlineLevel="2" collapsed="false">
      <c r="A59" s="3" t="s">
        <v>247</v>
      </c>
      <c r="B59" s="11" t="s">
        <v>59</v>
      </c>
      <c r="C59" s="33" t="n">
        <f aca="false">C58-輸入與假設!$C$54</f>
        <v>13.4341568</v>
      </c>
      <c r="D59" s="33" t="n">
        <f aca="false">D58</f>
        <v>19.47716922636</v>
      </c>
      <c r="E59" s="33" t="n">
        <f aca="false">E58</f>
        <v>21.3382127459387</v>
      </c>
      <c r="F59" s="33" t="n">
        <f aca="false">F58</f>
        <v>23.2111743697135</v>
      </c>
      <c r="G59" s="33" t="n">
        <f aca="false">G58</f>
        <v>25.0680683192905</v>
      </c>
      <c r="I59" s="11" t="s">
        <v>248</v>
      </c>
    </row>
    <row r="60" customFormat="false" ht="15" hidden="false" customHeight="false" outlineLevel="2" collapsed="false">
      <c r="A60" s="3" t="s">
        <v>249</v>
      </c>
      <c r="B60" s="11" t="s">
        <v>59</v>
      </c>
      <c r="C60" s="25" t="n">
        <v>24.541</v>
      </c>
      <c r="I60" s="6" t="s">
        <v>236</v>
      </c>
    </row>
    <row r="61" customFormat="false" ht="15" hidden="false" customHeight="false" outlineLevel="2" collapsed="false">
      <c r="A61" s="3" t="s">
        <v>250</v>
      </c>
      <c r="B61" s="11" t="s">
        <v>59</v>
      </c>
      <c r="C61" s="25" t="n">
        <v>5.55</v>
      </c>
      <c r="I61" s="6" t="s">
        <v>238</v>
      </c>
    </row>
    <row r="62" customFormat="false" ht="15" hidden="false" customHeight="false" outlineLevel="2" collapsed="false">
      <c r="A62" s="3" t="s">
        <v>251</v>
      </c>
      <c r="B62" s="11" t="s">
        <v>42</v>
      </c>
      <c r="C62" s="24" t="n">
        <v>-0.0125</v>
      </c>
      <c r="I62" s="6" t="s">
        <v>240</v>
      </c>
    </row>
    <row r="63" customFormat="false" ht="15" hidden="false" customHeight="false" outlineLevel="2" collapsed="false">
      <c r="A63" s="3" t="s">
        <v>252</v>
      </c>
      <c r="B63" s="11" t="s">
        <v>42</v>
      </c>
      <c r="C63" s="24" t="n">
        <v>-0.01</v>
      </c>
      <c r="I63" s="6" t="s">
        <v>242</v>
      </c>
    </row>
    <row r="64" customFormat="false" ht="15" hidden="false" customHeight="false" outlineLevel="2" collapsed="false">
      <c r="A64" s="3" t="s">
        <v>253</v>
      </c>
      <c r="B64" s="11" t="s">
        <v>42</v>
      </c>
      <c r="C64" s="32" t="n">
        <f aca="false">輸入與假設!$C$62+(輸入與假設!$C$63-輸入與假設!$C$62)*0/4</f>
        <v>-0.0125</v>
      </c>
      <c r="D64" s="32" t="n">
        <f aca="false">輸入與假設!$C$62+(輸入與假設!$C$63-輸入與假設!$C$62)*1/4</f>
        <v>-0.011875</v>
      </c>
      <c r="E64" s="32" t="n">
        <f aca="false">輸入與假設!$C$62+(輸入與假設!$C$63-輸入與假設!$C$62)*2/4</f>
        <v>-0.01125</v>
      </c>
      <c r="F64" s="32" t="n">
        <f aca="false">輸入與假設!$C$62+(輸入與假設!$C$63-輸入與假設!$C$62)*3/4</f>
        <v>-0.010625</v>
      </c>
      <c r="G64" s="32" t="n">
        <f aca="false">輸入與假設!$C$62+(輸入與假設!$C$63-輸入與假設!$C$62)*4/4</f>
        <v>-0.01</v>
      </c>
      <c r="I64" s="6" t="s">
        <v>244</v>
      </c>
    </row>
    <row r="65" customFormat="false" ht="15" hidden="false" customHeight="false" outlineLevel="2" collapsed="false">
      <c r="A65" s="3" t="s">
        <v>254</v>
      </c>
      <c r="B65" s="11" t="s">
        <v>59</v>
      </c>
      <c r="C65" s="33" t="n">
        <f aca="false">輸入與假設!$C$60*(1+C64)</f>
        <v>24.2342375</v>
      </c>
      <c r="D65" s="33" t="n">
        <f aca="false">C65*(1+D64)</f>
        <v>23.9464559296875</v>
      </c>
      <c r="E65" s="33" t="n">
        <f aca="false">D65*(1+E64)</f>
        <v>23.6770583004785</v>
      </c>
      <c r="F65" s="33" t="n">
        <f aca="false">E65*(1+F64)</f>
        <v>23.4254895560359</v>
      </c>
      <c r="G65" s="33" t="n">
        <f aca="false">F65*(1+G64)</f>
        <v>23.1912346604756</v>
      </c>
      <c r="I65" s="6" t="s">
        <v>246</v>
      </c>
    </row>
    <row r="66" customFormat="false" ht="15" hidden="false" customHeight="false" outlineLevel="2" collapsed="false">
      <c r="A66" s="3" t="s">
        <v>255</v>
      </c>
      <c r="B66" s="11" t="s">
        <v>59</v>
      </c>
      <c r="C66" s="33" t="n">
        <f aca="false">C65-輸入與假設!$C$61</f>
        <v>18.6842375</v>
      </c>
      <c r="D66" s="33" t="n">
        <f aca="false">D65</f>
        <v>23.9464559296875</v>
      </c>
      <c r="E66" s="33" t="n">
        <f aca="false">E65</f>
        <v>23.6770583004785</v>
      </c>
      <c r="F66" s="33" t="n">
        <f aca="false">F65</f>
        <v>23.4254895560359</v>
      </c>
      <c r="G66" s="33" t="n">
        <f aca="false">G65</f>
        <v>23.1912346604756</v>
      </c>
      <c r="I66" s="11" t="s">
        <v>248</v>
      </c>
    </row>
    <row r="67" customFormat="false" ht="15" hidden="false" customHeight="false" outlineLevel="2" collapsed="false">
      <c r="A67" s="3" t="s">
        <v>256</v>
      </c>
      <c r="B67" s="11" t="s">
        <v>59</v>
      </c>
      <c r="C67" s="25" t="n">
        <v>3.084</v>
      </c>
      <c r="I67" s="6" t="s">
        <v>236</v>
      </c>
    </row>
    <row r="68" customFormat="false" ht="15" hidden="false" customHeight="false" outlineLevel="2" collapsed="false">
      <c r="A68" s="3" t="s">
        <v>257</v>
      </c>
      <c r="B68" s="11" t="s">
        <v>59</v>
      </c>
      <c r="C68" s="25" t="n">
        <v>0.774</v>
      </c>
      <c r="I68" s="6" t="s">
        <v>238</v>
      </c>
    </row>
    <row r="69" customFormat="false" ht="15" hidden="false" customHeight="false" outlineLevel="2" collapsed="false">
      <c r="A69" s="3" t="s">
        <v>258</v>
      </c>
      <c r="B69" s="11" t="s">
        <v>42</v>
      </c>
      <c r="C69" s="24" t="n">
        <v>0.0803</v>
      </c>
      <c r="I69" s="6" t="s">
        <v>240</v>
      </c>
    </row>
    <row r="70" customFormat="false" ht="15" hidden="false" customHeight="false" outlineLevel="2" collapsed="false">
      <c r="A70" s="3" t="s">
        <v>259</v>
      </c>
      <c r="B70" s="11" t="s">
        <v>42</v>
      </c>
      <c r="C70" s="24" t="n">
        <v>0</v>
      </c>
      <c r="I70" s="6" t="s">
        <v>242</v>
      </c>
    </row>
    <row r="71" customFormat="false" ht="15" hidden="false" customHeight="false" outlineLevel="2" collapsed="false">
      <c r="A71" s="3" t="s">
        <v>260</v>
      </c>
      <c r="B71" s="11" t="s">
        <v>42</v>
      </c>
      <c r="C71" s="32" t="n">
        <f aca="false">輸入與假設!$C$69+(輸入與假設!$C$70-輸入與假設!$C$69)*0/4</f>
        <v>0.0803</v>
      </c>
      <c r="D71" s="32" t="n">
        <f aca="false">輸入與假設!$C$69+(輸入與假設!$C$70-輸入與假設!$C$69)*1/4</f>
        <v>0.060225</v>
      </c>
      <c r="E71" s="32" t="n">
        <f aca="false">輸入與假設!$C$69+(輸入與假設!$C$70-輸入與假設!$C$69)*2/4</f>
        <v>0.04015</v>
      </c>
      <c r="F71" s="32" t="n">
        <f aca="false">輸入與假設!$C$69+(輸入與假設!$C$70-輸入與假設!$C$69)*3/4</f>
        <v>0.020075</v>
      </c>
      <c r="G71" s="32" t="n">
        <f aca="false">輸入與假設!$C$69+(輸入與假設!$C$70-輸入與假設!$C$69)*4/4</f>
        <v>0</v>
      </c>
      <c r="I71" s="6" t="s">
        <v>244</v>
      </c>
    </row>
    <row r="72" customFormat="false" ht="15" hidden="false" customHeight="false" outlineLevel="2" collapsed="false">
      <c r="A72" s="3" t="s">
        <v>261</v>
      </c>
      <c r="B72" s="11" t="s">
        <v>59</v>
      </c>
      <c r="C72" s="33" t="n">
        <f aca="false">輸入與假設!$C$67*(1+C71)</f>
        <v>3.3316452</v>
      </c>
      <c r="D72" s="33" t="n">
        <f aca="false">C72*(1+D71)</f>
        <v>3.53229353217</v>
      </c>
      <c r="E72" s="33" t="n">
        <f aca="false">D72*(1+E71)</f>
        <v>3.67411511748663</v>
      </c>
      <c r="F72" s="33" t="n">
        <f aca="false">E72*(1+F71)</f>
        <v>3.74787297847017</v>
      </c>
      <c r="G72" s="33" t="n">
        <f aca="false">F72*(1+G71)</f>
        <v>3.74787297847017</v>
      </c>
      <c r="I72" s="6" t="s">
        <v>246</v>
      </c>
    </row>
    <row r="73" customFormat="false" ht="15" hidden="false" customHeight="false" outlineLevel="2" collapsed="false">
      <c r="A73" s="3" t="s">
        <v>262</v>
      </c>
      <c r="B73" s="11" t="s">
        <v>59</v>
      </c>
      <c r="C73" s="33" t="n">
        <f aca="false">C72-輸入與假設!$C$68</f>
        <v>2.5576452</v>
      </c>
      <c r="D73" s="33" t="n">
        <f aca="false">D72</f>
        <v>3.53229353217</v>
      </c>
      <c r="E73" s="33" t="n">
        <f aca="false">E72</f>
        <v>3.67411511748663</v>
      </c>
      <c r="F73" s="33" t="n">
        <f aca="false">F72</f>
        <v>3.74787297847017</v>
      </c>
      <c r="G73" s="33" t="n">
        <f aca="false">G72</f>
        <v>3.74787297847017</v>
      </c>
      <c r="I73" s="11" t="s">
        <v>248</v>
      </c>
    </row>
    <row r="74" customFormat="false" ht="15" hidden="false" customHeight="false" outlineLevel="2" collapsed="false">
      <c r="A74" s="3" t="s">
        <v>263</v>
      </c>
      <c r="B74" s="11" t="s">
        <v>59</v>
      </c>
      <c r="C74" s="25" t="n">
        <v>5.743</v>
      </c>
      <c r="I74" s="6" t="s">
        <v>236</v>
      </c>
    </row>
    <row r="75" customFormat="false" ht="15" hidden="false" customHeight="false" outlineLevel="2" collapsed="false">
      <c r="A75" s="3" t="s">
        <v>264</v>
      </c>
      <c r="B75" s="11" t="s">
        <v>59</v>
      </c>
      <c r="C75" s="25" t="n">
        <v>1.414</v>
      </c>
      <c r="I75" s="6" t="s">
        <v>238</v>
      </c>
    </row>
    <row r="76" customFormat="false" ht="15" hidden="false" customHeight="false" outlineLevel="2" collapsed="false">
      <c r="A76" s="3" t="s">
        <v>265</v>
      </c>
      <c r="B76" s="11" t="s">
        <v>42</v>
      </c>
      <c r="C76" s="24" t="n">
        <v>0.0921</v>
      </c>
      <c r="I76" s="6" t="s">
        <v>240</v>
      </c>
    </row>
    <row r="77" customFormat="false" ht="15" hidden="false" customHeight="false" outlineLevel="2" collapsed="false">
      <c r="A77" s="3" t="s">
        <v>266</v>
      </c>
      <c r="B77" s="11" t="s">
        <v>42</v>
      </c>
      <c r="C77" s="24" t="n">
        <v>0.03</v>
      </c>
      <c r="I77" s="6" t="s">
        <v>242</v>
      </c>
    </row>
    <row r="78" customFormat="false" ht="15" hidden="false" customHeight="false" outlineLevel="2" collapsed="false">
      <c r="A78" s="3" t="s">
        <v>267</v>
      </c>
      <c r="B78" s="11" t="s">
        <v>42</v>
      </c>
      <c r="C78" s="32" t="n">
        <f aca="false">輸入與假設!$C$76+(輸入與假設!$C$77-輸入與假設!$C$76)*0/4</f>
        <v>0.0921</v>
      </c>
      <c r="D78" s="32" t="n">
        <f aca="false">輸入與假設!$C$76+(輸入與假設!$C$77-輸入與假設!$C$76)*1/4</f>
        <v>0.076575</v>
      </c>
      <c r="E78" s="32" t="n">
        <f aca="false">輸入與假設!$C$76+(輸入與假設!$C$77-輸入與假設!$C$76)*2/4</f>
        <v>0.06105</v>
      </c>
      <c r="F78" s="32" t="n">
        <f aca="false">輸入與假設!$C$76+(輸入與假設!$C$77-輸入與假設!$C$76)*3/4</f>
        <v>0.045525</v>
      </c>
      <c r="G78" s="32" t="n">
        <f aca="false">輸入與假設!$C$76+(輸入與假設!$C$77-輸入與假設!$C$76)*4/4</f>
        <v>0.03</v>
      </c>
      <c r="I78" s="6" t="s">
        <v>244</v>
      </c>
    </row>
    <row r="79" customFormat="false" ht="15" hidden="false" customHeight="false" outlineLevel="2" collapsed="false">
      <c r="A79" s="3" t="s">
        <v>268</v>
      </c>
      <c r="B79" s="11" t="s">
        <v>59</v>
      </c>
      <c r="C79" s="33" t="n">
        <f aca="false">輸入與假設!$C$74*(1+C78)</f>
        <v>6.2719303</v>
      </c>
      <c r="D79" s="33" t="n">
        <f aca="false">C79*(1+D78)</f>
        <v>6.7522033627225</v>
      </c>
      <c r="E79" s="33" t="n">
        <f aca="false">D79*(1+E78)</f>
        <v>7.16442537801671</v>
      </c>
      <c r="F79" s="33" t="n">
        <f aca="false">E79*(1+F78)</f>
        <v>7.49058584335092</v>
      </c>
      <c r="G79" s="33" t="n">
        <f aca="false">F79*(1+G78)</f>
        <v>7.71530341865145</v>
      </c>
      <c r="I79" s="6" t="s">
        <v>246</v>
      </c>
    </row>
    <row r="80" customFormat="false" ht="15" hidden="false" customHeight="false" outlineLevel="2" collapsed="false">
      <c r="A80" s="3" t="s">
        <v>269</v>
      </c>
      <c r="B80" s="11" t="s">
        <v>59</v>
      </c>
      <c r="C80" s="33" t="n">
        <f aca="false">C79-輸入與假設!$C$75</f>
        <v>4.8579303</v>
      </c>
      <c r="D80" s="33" t="n">
        <f aca="false">D79</f>
        <v>6.7522033627225</v>
      </c>
      <c r="E80" s="33" t="n">
        <f aca="false">E79</f>
        <v>7.16442537801671</v>
      </c>
      <c r="F80" s="33" t="n">
        <f aca="false">F79</f>
        <v>7.49058584335092</v>
      </c>
      <c r="G80" s="33" t="n">
        <f aca="false">G79</f>
        <v>7.71530341865145</v>
      </c>
      <c r="I80" s="11" t="s">
        <v>248</v>
      </c>
    </row>
    <row r="81" customFormat="false" ht="15" hidden="false" customHeight="false" outlineLevel="2" collapsed="false">
      <c r="A81" s="3" t="s">
        <v>270</v>
      </c>
      <c r="B81" s="11" t="s">
        <v>59</v>
      </c>
      <c r="C81" s="33" t="n">
        <f aca="false">C59+C66+C73+C80</f>
        <v>39.5339698</v>
      </c>
      <c r="D81" s="33" t="n">
        <f aca="false">D59+D66+D73+D80</f>
        <v>53.70812205094</v>
      </c>
      <c r="E81" s="33" t="n">
        <f aca="false">E59+E66+E73+E80</f>
        <v>55.8538115419205</v>
      </c>
      <c r="F81" s="33" t="n">
        <f aca="false">F59+F66+F73+F80</f>
        <v>57.8751227475705</v>
      </c>
      <c r="G81" s="33" t="n">
        <f aca="false">G59+G66+G73+G80</f>
        <v>59.7224793768877</v>
      </c>
      <c r="I81" s="6" t="s">
        <v>271</v>
      </c>
    </row>
    <row r="82" customFormat="false" ht="15" hidden="false" customHeight="false" outlineLevel="2" collapsed="false">
      <c r="A82" s="3" t="s">
        <v>272</v>
      </c>
      <c r="B82" s="11" t="s">
        <v>42</v>
      </c>
      <c r="C82" s="24" t="n">
        <v>0.5426</v>
      </c>
      <c r="D82" s="24" t="n">
        <v>0.5426</v>
      </c>
      <c r="E82" s="24" t="n">
        <v>0.5426</v>
      </c>
      <c r="F82" s="24" t="n">
        <v>0.5426</v>
      </c>
      <c r="G82" s="24" t="n">
        <v>0.5426</v>
      </c>
      <c r="I82" s="11" t="s">
        <v>273</v>
      </c>
    </row>
    <row r="83" customFormat="false" ht="15" hidden="false" customHeight="false" outlineLevel="2" collapsed="false">
      <c r="A83" s="3" t="s">
        <v>274</v>
      </c>
      <c r="B83" s="11" t="s">
        <v>59</v>
      </c>
      <c r="C83" s="33" t="n">
        <f aca="false">C81*C82</f>
        <v>21.45113201348</v>
      </c>
      <c r="D83" s="33" t="n">
        <f aca="false">D81*D82</f>
        <v>29.14202702484</v>
      </c>
      <c r="E83" s="33" t="n">
        <f aca="false">E81*E82</f>
        <v>30.3062781426461</v>
      </c>
      <c r="F83" s="33" t="n">
        <f aca="false">F81*F82</f>
        <v>31.4030416028317</v>
      </c>
      <c r="G83" s="33" t="n">
        <f aca="false">G81*G82</f>
        <v>32.4054173098993</v>
      </c>
      <c r="I83" s="6" t="s">
        <v>275</v>
      </c>
    </row>
    <row r="84" customFormat="false" ht="15" hidden="false" customHeight="false" outlineLevel="2" collapsed="false">
      <c r="A84" s="3" t="s">
        <v>276</v>
      </c>
      <c r="B84" s="11" t="s">
        <v>59</v>
      </c>
      <c r="C84" s="33" t="n">
        <f aca="false">輸入與假設!$C$54+C59-C58+輸入與假設!$C$61+C66-C65+輸入與假設!$C$68+C73-C72+輸入與假設!$C$75+C80-C79</f>
        <v>0</v>
      </c>
      <c r="I84" s="6" t="s">
        <v>277</v>
      </c>
    </row>
    <row r="86" customFormat="false" ht="15" hidden="false" customHeight="false" outlineLevel="0" collapsed="false">
      <c r="A86" s="7" t="s">
        <v>278</v>
      </c>
      <c r="B86" s="8"/>
      <c r="C86" s="8"/>
      <c r="D86" s="8"/>
      <c r="E86" s="8"/>
      <c r="F86" s="8"/>
      <c r="G86" s="8"/>
      <c r="H86" s="8"/>
    </row>
    <row r="87" customFormat="false" ht="15" hidden="false" customHeight="false" outlineLevel="1" collapsed="false">
      <c r="A87" s="3" t="s">
        <v>279</v>
      </c>
      <c r="B87" s="11" t="s">
        <v>42</v>
      </c>
      <c r="C87" s="34" t="n">
        <v>0.652</v>
      </c>
      <c r="I87" s="11" t="s">
        <v>280</v>
      </c>
    </row>
    <row r="88" customFormat="false" ht="15" hidden="false" customHeight="false" outlineLevel="1" collapsed="false">
      <c r="A88" s="3" t="s">
        <v>281</v>
      </c>
      <c r="B88" s="11" t="s">
        <v>42</v>
      </c>
      <c r="C88" s="34" t="n">
        <v>0.47</v>
      </c>
      <c r="I88" s="6" t="s">
        <v>282</v>
      </c>
    </row>
    <row r="89" customFormat="false" ht="15" hidden="false" customHeight="false" outlineLevel="1" collapsed="false">
      <c r="A89" s="3" t="s">
        <v>283</v>
      </c>
      <c r="B89" s="11" t="s">
        <v>42</v>
      </c>
      <c r="C89" s="24" t="n">
        <v>0.193075</v>
      </c>
      <c r="I89" s="11" t="s">
        <v>284</v>
      </c>
    </row>
    <row r="90" customFormat="false" ht="15" hidden="false" customHeight="false" outlineLevel="1" collapsed="false">
      <c r="A90" s="3" t="s">
        <v>285</v>
      </c>
      <c r="B90" s="11" t="s">
        <v>42</v>
      </c>
      <c r="C90" s="24" t="n">
        <v>0.156683</v>
      </c>
      <c r="I90" s="6" t="s">
        <v>286</v>
      </c>
    </row>
    <row r="91" customFormat="false" ht="15" hidden="false" customHeight="false" outlineLevel="1" collapsed="false">
      <c r="A91" s="14" t="s">
        <v>53</v>
      </c>
      <c r="B91" s="14" t="s">
        <v>54</v>
      </c>
      <c r="C91" s="28" t="s">
        <v>55</v>
      </c>
      <c r="D91" s="28" t="s">
        <v>56</v>
      </c>
      <c r="E91" s="28" t="s">
        <v>57</v>
      </c>
      <c r="F91" s="28" t="s">
        <v>147</v>
      </c>
      <c r="G91" s="28" t="s">
        <v>148</v>
      </c>
      <c r="I91" s="14" t="s">
        <v>211</v>
      </c>
    </row>
    <row r="92" customFormat="false" ht="15" hidden="false" customHeight="false" outlineLevel="1" collapsed="false">
      <c r="A92" s="4" t="s">
        <v>287</v>
      </c>
      <c r="B92" s="11" t="s">
        <v>42</v>
      </c>
      <c r="C92" s="32" t="n">
        <f aca="false">輸入與假設!$C$87+輸入與假設!$C$89+(輸入與假設!$C$88+輸入與假設!$C$90-輸入與假設!$C$87-輸入與假設!$C$89)*0/4</f>
        <v>0.845075</v>
      </c>
      <c r="D92" s="32" t="n">
        <f aca="false">輸入與假設!$C$87+輸入與假設!$C$89+(輸入與假設!$C$88+輸入與假設!$C$90-輸入與假設!$C$87-輸入與假設!$C$89)*1/4</f>
        <v>0.790477</v>
      </c>
      <c r="E92" s="32" t="n">
        <f aca="false">輸入與假設!$C$87+輸入與假設!$C$89+(輸入與假設!$C$88+輸入與假設!$C$90-輸入與假設!$C$87-輸入與假設!$C$89)*2/4</f>
        <v>0.735879</v>
      </c>
      <c r="F92" s="32" t="n">
        <f aca="false">輸入與假設!$C$87+輸入與假設!$C$89+(輸入與假設!$C$88+輸入與假設!$C$90-輸入與假設!$C$87-輸入與假設!$C$89)*3/4</f>
        <v>0.681281</v>
      </c>
      <c r="G92" s="32" t="n">
        <f aca="false">輸入與假設!$C$87+輸入與假設!$C$89+(輸入與假設!$C$88+輸入與假設!$C$90-輸入與假設!$C$87-輸入與假設!$C$89)*4/4</f>
        <v>0.626683</v>
      </c>
      <c r="I92" s="6" t="s">
        <v>288</v>
      </c>
    </row>
    <row r="93" customFormat="false" ht="15" hidden="false" customHeight="false" outlineLevel="1" collapsed="false">
      <c r="A93" s="4" t="s">
        <v>289</v>
      </c>
      <c r="B93" s="11" t="s">
        <v>42</v>
      </c>
      <c r="C93" s="32" t="n">
        <f aca="false">C92-各期收支!C16/MAX(0.01,運營_產能與收入!C38)</f>
        <v>0.650390054314036</v>
      </c>
      <c r="D93" s="32" t="n">
        <f aca="false">D92-各期收支!D16/MAX(0.01,運營_產能與收入!D38)</f>
        <v>0.613467462307769</v>
      </c>
      <c r="E93" s="32" t="n">
        <f aca="false">E92-各期收支!E16/MAX(0.01,運營_產能與收入!E38)</f>
        <v>0.567940629111763</v>
      </c>
      <c r="F93" s="32" t="n">
        <f aca="false">F92-各期收支!F16/MAX(0.01,運營_產能與收入!F38)</f>
        <v>0.516601214376308</v>
      </c>
      <c r="G93" s="32" t="n">
        <f aca="false">G92-各期收支!G16/MAX(0.01,運營_產能與收入!G38)</f>
        <v>0.4691356767786</v>
      </c>
      <c r="I93" s="6" t="s">
        <v>290</v>
      </c>
    </row>
    <row r="94" customFormat="false" ht="15" hidden="false" customHeight="false" outlineLevel="1" collapsed="false">
      <c r="A94" s="3" t="s">
        <v>291</v>
      </c>
      <c r="B94" s="11" t="s">
        <v>59</v>
      </c>
      <c r="C94" s="33" t="n">
        <f aca="false">輸入與假設!C$50*運營_產能與收入!C39</f>
        <v>0</v>
      </c>
      <c r="D94" s="33" t="n">
        <f aca="false">輸入與假設!D$50*運營_產能與收入!D39</f>
        <v>0</v>
      </c>
      <c r="E94" s="33" t="n">
        <f aca="false">輸入與假設!E$50*運營_產能與收入!E39</f>
        <v>0</v>
      </c>
      <c r="F94" s="33" t="n">
        <f aca="false">輸入與假設!F$50*運營_產能與收入!F39</f>
        <v>0</v>
      </c>
      <c r="G94" s="33" t="n">
        <f aca="false">輸入與假設!G$50*運營_產能與收入!G39</f>
        <v>0</v>
      </c>
      <c r="I94" s="6" t="s">
        <v>292</v>
      </c>
    </row>
    <row r="95" customFormat="false" ht="15" hidden="false" customHeight="false" outlineLevel="1" collapsed="true">
      <c r="A95" s="19" t="s">
        <v>293</v>
      </c>
      <c r="B95" s="20"/>
      <c r="C95" s="20"/>
      <c r="D95" s="20"/>
      <c r="E95" s="20"/>
      <c r="F95" s="20"/>
      <c r="G95" s="20"/>
      <c r="H95" s="20"/>
    </row>
    <row r="96" customFormat="false" ht="15" hidden="true" customHeight="false" outlineLevel="2" collapsed="false">
      <c r="A96" s="3" t="s">
        <v>294</v>
      </c>
      <c r="B96" s="6"/>
      <c r="C96" s="21" t="n">
        <v>0</v>
      </c>
      <c r="I96" s="11" t="s">
        <v>295</v>
      </c>
    </row>
    <row r="97" customFormat="false" ht="15" hidden="true" customHeight="false" outlineLevel="2" collapsed="false">
      <c r="A97" s="3" t="s">
        <v>296</v>
      </c>
      <c r="B97" s="11" t="s">
        <v>297</v>
      </c>
      <c r="C97" s="21" t="n">
        <v>60</v>
      </c>
      <c r="D97" s="21" t="n">
        <v>62</v>
      </c>
      <c r="E97" s="21" t="n">
        <v>64</v>
      </c>
      <c r="F97" s="21" t="n">
        <v>66</v>
      </c>
      <c r="G97" s="21" t="n">
        <v>68</v>
      </c>
      <c r="I97" s="11" t="s">
        <v>298</v>
      </c>
    </row>
    <row r="98" customFormat="false" ht="15" hidden="true" customHeight="false" outlineLevel="2" collapsed="false">
      <c r="A98" s="4" t="s">
        <v>299</v>
      </c>
      <c r="B98" s="6"/>
      <c r="C98" s="35" t="n">
        <v>1.2</v>
      </c>
      <c r="D98" s="35" t="n">
        <v>1.2</v>
      </c>
      <c r="E98" s="35" t="n">
        <v>1.2</v>
      </c>
      <c r="F98" s="35" t="n">
        <v>1.2</v>
      </c>
      <c r="G98" s="35" t="n">
        <v>1.2</v>
      </c>
      <c r="I98" s="11" t="s">
        <v>298</v>
      </c>
    </row>
    <row r="99" customFormat="false" ht="15" hidden="true" customHeight="false" outlineLevel="2" collapsed="false">
      <c r="A99" s="3" t="s">
        <v>300</v>
      </c>
      <c r="B99" s="11" t="s">
        <v>301</v>
      </c>
      <c r="C99" s="35" t="n">
        <v>0.15</v>
      </c>
      <c r="D99" s="35" t="n">
        <v>0.15</v>
      </c>
      <c r="E99" s="35" t="n">
        <v>0.16</v>
      </c>
      <c r="F99" s="35" t="n">
        <v>0.16</v>
      </c>
      <c r="G99" s="35" t="n">
        <v>0.17</v>
      </c>
      <c r="I99" s="11" t="s">
        <v>298</v>
      </c>
    </row>
    <row r="101" customFormat="false" ht="15" hidden="false" customHeight="false" outlineLevel="0" collapsed="false">
      <c r="A101" s="7" t="s">
        <v>302</v>
      </c>
      <c r="B101" s="8"/>
      <c r="C101" s="8"/>
      <c r="D101" s="8"/>
      <c r="E101" s="8"/>
      <c r="F101" s="8"/>
      <c r="G101" s="8"/>
      <c r="H101" s="8"/>
    </row>
    <row r="102" customFormat="false" ht="15" hidden="false" customHeight="false" outlineLevel="1" collapsed="false">
      <c r="A102" s="3" t="s">
        <v>303</v>
      </c>
      <c r="B102" s="11" t="s">
        <v>42</v>
      </c>
      <c r="C102" s="24" t="n">
        <v>0.35</v>
      </c>
      <c r="I102" s="6" t="s">
        <v>304</v>
      </c>
    </row>
    <row r="103" customFormat="false" ht="15" hidden="false" customHeight="false" outlineLevel="1" collapsed="false">
      <c r="A103" s="4" t="s">
        <v>305</v>
      </c>
      <c r="B103" s="11" t="s">
        <v>151</v>
      </c>
      <c r="C103" s="22" t="n">
        <f aca="false">CHOOSE(輸入與假設!$C$5,I11,I14,I17)</f>
        <v>0</v>
      </c>
      <c r="I103" s="6" t="s">
        <v>306</v>
      </c>
    </row>
    <row r="104" customFormat="false" ht="15" hidden="false" customHeight="false" outlineLevel="1" collapsed="false">
      <c r="A104" s="4" t="s">
        <v>307</v>
      </c>
      <c r="B104" s="11" t="s">
        <v>59</v>
      </c>
      <c r="C104" s="25" t="n">
        <v>90</v>
      </c>
      <c r="I104" s="6" t="s">
        <v>308</v>
      </c>
    </row>
    <row r="105" customFormat="false" ht="15" hidden="false" customHeight="false" outlineLevel="1" collapsed="false">
      <c r="A105" s="4" t="s">
        <v>309</v>
      </c>
      <c r="B105" s="6" t="s">
        <v>189</v>
      </c>
      <c r="C105" s="21" t="n">
        <v>6</v>
      </c>
      <c r="I105" s="6" t="s">
        <v>310</v>
      </c>
    </row>
    <row r="106" customFormat="false" ht="15" hidden="false" customHeight="false" outlineLevel="1" collapsed="false">
      <c r="A106" s="4" t="s">
        <v>311</v>
      </c>
      <c r="B106" s="11" t="s">
        <v>59</v>
      </c>
      <c r="C106" s="25" t="n">
        <v>75.74</v>
      </c>
      <c r="I106" s="6" t="s">
        <v>312</v>
      </c>
    </row>
    <row r="107" customFormat="false" ht="15" hidden="false" customHeight="false" outlineLevel="1" collapsed="false">
      <c r="A107" s="3" t="s">
        <v>313</v>
      </c>
      <c r="B107" s="11" t="s">
        <v>42</v>
      </c>
      <c r="C107" s="24" t="n">
        <v>1</v>
      </c>
      <c r="I107" s="6" t="s">
        <v>314</v>
      </c>
    </row>
    <row r="108" customFormat="false" ht="15" hidden="false" customHeight="false" outlineLevel="1" collapsed="false">
      <c r="A108" s="14" t="s">
        <v>53</v>
      </c>
      <c r="B108" s="14" t="s">
        <v>54</v>
      </c>
      <c r="C108" s="28" t="s">
        <v>55</v>
      </c>
      <c r="D108" s="28" t="s">
        <v>56</v>
      </c>
      <c r="E108" s="28" t="s">
        <v>57</v>
      </c>
      <c r="F108" s="28" t="s">
        <v>147</v>
      </c>
      <c r="G108" s="28" t="s">
        <v>148</v>
      </c>
      <c r="I108" s="14" t="s">
        <v>211</v>
      </c>
    </row>
    <row r="109" customFormat="false" ht="15" hidden="false" customHeight="false" outlineLevel="1" collapsed="false">
      <c r="A109" s="3" t="s">
        <v>315</v>
      </c>
      <c r="B109" s="11" t="s">
        <v>301</v>
      </c>
      <c r="C109" s="26" t="n">
        <v>37.45</v>
      </c>
      <c r="D109" s="26" t="n">
        <v>37.59</v>
      </c>
      <c r="E109" s="26" t="n">
        <v>37.59</v>
      </c>
      <c r="F109" s="26" t="n">
        <v>37.59</v>
      </c>
      <c r="G109" s="26" t="n">
        <v>37.59</v>
      </c>
      <c r="I109" s="11" t="s">
        <v>316</v>
      </c>
    </row>
    <row r="110" customFormat="false" ht="15" hidden="false" customHeight="false" outlineLevel="1" collapsed="false">
      <c r="A110" s="3" t="s">
        <v>317</v>
      </c>
      <c r="B110" s="11" t="s">
        <v>42</v>
      </c>
      <c r="C110" s="24" t="n">
        <v>1</v>
      </c>
      <c r="I110" s="6" t="s">
        <v>318</v>
      </c>
    </row>
    <row r="111" customFormat="false" ht="15" hidden="false" customHeight="false" outlineLevel="1" collapsed="false">
      <c r="A111" s="3" t="s">
        <v>319</v>
      </c>
      <c r="B111" s="11" t="s">
        <v>42</v>
      </c>
      <c r="C111" s="24" t="n">
        <v>0.243</v>
      </c>
      <c r="I111" s="11" t="s">
        <v>320</v>
      </c>
    </row>
    <row r="112" customFormat="false" ht="15" hidden="false" customHeight="false" outlineLevel="1" collapsed="false">
      <c r="A112" s="3" t="s">
        <v>321</v>
      </c>
      <c r="B112" s="6" t="s">
        <v>189</v>
      </c>
      <c r="C112" s="26" t="n">
        <v>5</v>
      </c>
      <c r="I112" s="6" t="s">
        <v>322</v>
      </c>
    </row>
    <row r="113" customFormat="false" ht="15" hidden="false" customHeight="false" outlineLevel="1" collapsed="false">
      <c r="A113" s="4" t="s">
        <v>323</v>
      </c>
      <c r="B113" s="11" t="s">
        <v>59</v>
      </c>
      <c r="C113" s="25" t="n">
        <v>15.955</v>
      </c>
      <c r="I113" s="6" t="s">
        <v>324</v>
      </c>
    </row>
    <row r="114" customFormat="false" ht="15" hidden="false" customHeight="false" outlineLevel="1" collapsed="false">
      <c r="A114" s="3" t="s">
        <v>325</v>
      </c>
      <c r="B114" s="11" t="s">
        <v>42</v>
      </c>
      <c r="C114" s="24" t="n">
        <v>0.0811</v>
      </c>
      <c r="I114" s="6" t="s">
        <v>326</v>
      </c>
    </row>
    <row r="115" customFormat="false" ht="15" hidden="false" customHeight="false" outlineLevel="1" collapsed="false">
      <c r="A115" s="14" t="s">
        <v>53</v>
      </c>
      <c r="B115" s="14" t="s">
        <v>54</v>
      </c>
      <c r="C115" s="28" t="s">
        <v>55</v>
      </c>
      <c r="D115" s="28" t="s">
        <v>56</v>
      </c>
      <c r="E115" s="28" t="s">
        <v>57</v>
      </c>
      <c r="F115" s="28" t="s">
        <v>147</v>
      </c>
      <c r="G115" s="28" t="s">
        <v>148</v>
      </c>
      <c r="I115" s="14" t="s">
        <v>211</v>
      </c>
    </row>
    <row r="116" customFormat="false" ht="15" hidden="false" customHeight="false" outlineLevel="1" collapsed="false">
      <c r="A116" s="3" t="s">
        <v>327</v>
      </c>
      <c r="B116" s="11" t="s">
        <v>42</v>
      </c>
      <c r="C116" s="32" t="n">
        <f aca="false">輸入與假設!$C$110*輸入與假設!$C$111</f>
        <v>0.243</v>
      </c>
      <c r="D116" s="32" t="n">
        <f aca="false">輸入與假設!$C$110*輸入與假設!$C$111</f>
        <v>0.243</v>
      </c>
      <c r="E116" s="32" t="n">
        <f aca="false">輸入與假設!$C$110*輸入與假設!$C$111</f>
        <v>0.243</v>
      </c>
      <c r="F116" s="32" t="n">
        <f aca="false">輸入與假設!$C$110*輸入與假設!$C$111</f>
        <v>0.243</v>
      </c>
      <c r="G116" s="32" t="n">
        <f aca="false">輸入與假設!$C$110*輸入與假設!$C$111</f>
        <v>0.243</v>
      </c>
      <c r="I116" s="6" t="s">
        <v>328</v>
      </c>
    </row>
    <row r="117" customFormat="false" ht="15" hidden="false" customHeight="false" outlineLevel="1" collapsed="false">
      <c r="A117" s="3" t="s">
        <v>329</v>
      </c>
      <c r="B117" s="11" t="s">
        <v>59</v>
      </c>
      <c r="C117" s="25" t="n">
        <v>3.839</v>
      </c>
      <c r="D117" s="25" t="n">
        <v>4.987</v>
      </c>
      <c r="E117" s="25" t="n">
        <v>5.02</v>
      </c>
      <c r="F117" s="25" t="n">
        <v>5.056</v>
      </c>
      <c r="G117" s="25" t="n">
        <v>5.06</v>
      </c>
      <c r="I117" s="6" t="s">
        <v>330</v>
      </c>
    </row>
    <row r="118" customFormat="false" ht="15" hidden="false" customHeight="false" outlineLevel="1" collapsed="false">
      <c r="A118" s="3" t="s">
        <v>331</v>
      </c>
      <c r="B118" s="6" t="s">
        <v>184</v>
      </c>
      <c r="C118" s="22" t="n">
        <f aca="false">ROUND(4*SUM($C$41:C$41),0)</f>
        <v>3</v>
      </c>
      <c r="D118" s="22" t="n">
        <f aca="false">ROUND(4*SUM($C$41:D$41),0)</f>
        <v>7</v>
      </c>
      <c r="E118" s="22" t="n">
        <f aca="false">ROUND(4*SUM($C$41:E$41),0)</f>
        <v>11</v>
      </c>
      <c r="F118" s="22" t="n">
        <f aca="false">ROUND(4*SUM($C$41:F$41),0)</f>
        <v>15</v>
      </c>
      <c r="G118" s="22" t="n">
        <f aca="false">ROUND(4*SUM($C$41:G$41),0)</f>
        <v>19</v>
      </c>
      <c r="I118" s="6" t="s">
        <v>332</v>
      </c>
    </row>
    <row r="119" customFormat="false" ht="15" hidden="false" customHeight="false" outlineLevel="1" collapsed="false">
      <c r="A119" s="3" t="s">
        <v>333</v>
      </c>
      <c r="B119" s="11" t="s">
        <v>59</v>
      </c>
      <c r="C119" s="33" t="n">
        <f aca="false">輸入與假設!$C$26/輸入與假設!$C$28/輸入與假設!$C$29/4*((MIN(MAX(0,C118-輸入與假設!$C$27),輸入與假設!$C$28)*(MIN(MAX(0,C118-輸入與假設!$C$27),輸入與假設!$C$28)+1)/2+輸入與假設!$C$28*MAX(0,MAX(0,C118-輸入與假設!$C$27)-輸入與假設!$C$28))-(MIN(MAX(0,0-輸入與假設!$C$27),輸入與假設!$C$28)*(MIN(MAX(0,0-輸入與假設!$C$27),輸入與假設!$C$28)+1)/2+輸入與假設!$C$28*MAX(0,MAX(0,0-輸入與假設!$C$27)-輸入與假設!$C$28)))</f>
        <v>2.31016042780749</v>
      </c>
      <c r="D119" s="33" t="n">
        <f aca="false">輸入與假設!$C$26/輸入與假設!$C$28/輸入與假設!$C$29/4*((MIN(MAX(0,D118-輸入與假設!$C$27),輸入與假設!$C$28)*(MIN(MAX(0,D118-輸入與假設!$C$27),輸入與假設!$C$28)+1)/2+輸入與假設!$C$28*MAX(0,MAX(0,D118-輸入與假設!$C$27)-輸入與假設!$C$28))-(MIN(MAX(0,C118-輸入與假設!$C$27),輸入與假設!$C$28)*(MIN(MAX(0,C118-輸入與假設!$C$27),輸入與假設!$C$28)+1)/2+輸入與假設!$C$28*MAX(0,MAX(0,C118-輸入與假設!$C$27)-輸入與假設!$C$28)))</f>
        <v>8.47058823529412</v>
      </c>
      <c r="E119" s="33" t="n">
        <f aca="false">輸入與假設!$C$26/輸入與假設!$C$28/輸入與假設!$C$29/4*((MIN(MAX(0,E118-輸入與假設!$C$27),輸入與假設!$C$28)*(MIN(MAX(0,E118-輸入與假設!$C$27),輸入與假設!$C$28)+1)/2+輸入與假設!$C$28*MAX(0,MAX(0,E118-輸入與假設!$C$27)-輸入與假設!$C$28))-(MIN(MAX(0,D118-輸入與假設!$C$27),輸入與假設!$C$28)*(MIN(MAX(0,D118-輸入與假設!$C$27),輸入與假設!$C$28)+1)/2+輸入與假設!$C$28*MAX(0,MAX(0,D118-輸入與假設!$C$27)-輸入與假設!$C$28)))</f>
        <v>14.6310160427808</v>
      </c>
      <c r="F119" s="33" t="n">
        <f aca="false">輸入與假設!$C$26/輸入與假設!$C$28/輸入與假設!$C$29/4*((MIN(MAX(0,F118-輸入與假設!$C$27),輸入與假設!$C$28)*(MIN(MAX(0,F118-輸入與假設!$C$27),輸入與假設!$C$28)+1)/2+輸入與假設!$C$28*MAX(0,MAX(0,F118-輸入與假設!$C$27)-輸入與假設!$C$28))-(MIN(MAX(0,E118-輸入與假設!$C$27),輸入與假設!$C$28)*(MIN(MAX(0,E118-輸入與假設!$C$27),輸入與假設!$C$28)+1)/2+輸入與假設!$C$28*MAX(0,MAX(0,E118-輸入與假設!$C$27)-輸入與假設!$C$28)))</f>
        <v>16.9411764705882</v>
      </c>
      <c r="G119" s="33" t="n">
        <f aca="false">輸入與假設!$C$26/輸入與假設!$C$28/輸入與假設!$C$29/4*((MIN(MAX(0,G118-輸入與假設!$C$27),輸入與假設!$C$28)*(MIN(MAX(0,G118-輸入與假設!$C$27),輸入與假設!$C$28)+1)/2+輸入與假設!$C$28*MAX(0,MAX(0,G118-輸入與假設!$C$27)-輸入與假設!$C$28))-(MIN(MAX(0,F118-輸入與假設!$C$27),輸入與假設!$C$28)*(MIN(MAX(0,F118-輸入與假設!$C$27),輸入與假設!$C$28)+1)/2+輸入與假設!$C$28*MAX(0,MAX(0,F118-輸入與假設!$C$27)-輸入與假設!$C$28)))</f>
        <v>16.9411764705882</v>
      </c>
      <c r="I119" s="6" t="s">
        <v>334</v>
      </c>
    </row>
    <row r="120" customFormat="false" ht="15" hidden="false" customHeight="false" outlineLevel="1" collapsed="false">
      <c r="A120" s="4" t="s">
        <v>335</v>
      </c>
      <c r="B120" s="11" t="s">
        <v>59</v>
      </c>
      <c r="C120" s="25" t="n">
        <v>0</v>
      </c>
      <c r="D120" s="25" t="n">
        <v>0</v>
      </c>
      <c r="E120" s="25" t="n">
        <v>0</v>
      </c>
      <c r="F120" s="25" t="n">
        <v>0</v>
      </c>
      <c r="G120" s="25" t="n">
        <v>0</v>
      </c>
      <c r="I120" s="6" t="s">
        <v>336</v>
      </c>
    </row>
    <row r="121" customFormat="false" ht="15" hidden="false" customHeight="false" outlineLevel="1" collapsed="false">
      <c r="A121" s="4" t="s">
        <v>337</v>
      </c>
      <c r="B121" s="11" t="s">
        <v>59</v>
      </c>
      <c r="C121" s="25" t="n">
        <v>0</v>
      </c>
      <c r="D121" s="25" t="n">
        <v>0</v>
      </c>
      <c r="E121" s="25" t="n">
        <v>0</v>
      </c>
      <c r="F121" s="25" t="n">
        <v>0</v>
      </c>
      <c r="G121" s="25" t="n">
        <v>0</v>
      </c>
      <c r="I121" s="6" t="s">
        <v>338</v>
      </c>
    </row>
    <row r="122" customFormat="false" ht="15" hidden="false" customHeight="false" outlineLevel="1" collapsed="false">
      <c r="A122" s="4" t="s">
        <v>339</v>
      </c>
      <c r="B122" s="11" t="s">
        <v>59</v>
      </c>
      <c r="C122" s="33" t="n">
        <f aca="false">C120+C121</f>
        <v>0</v>
      </c>
      <c r="D122" s="33" t="n">
        <f aca="false">D120+D121</f>
        <v>0</v>
      </c>
      <c r="E122" s="33" t="n">
        <f aca="false">E120+E121</f>
        <v>0</v>
      </c>
      <c r="F122" s="33" t="n">
        <f aca="false">F120+F121</f>
        <v>0</v>
      </c>
      <c r="G122" s="33" t="n">
        <f aca="false">G120+G121</f>
        <v>0</v>
      </c>
      <c r="I122" s="6" t="s">
        <v>340</v>
      </c>
    </row>
    <row r="123" customFormat="false" ht="15" hidden="false" customHeight="false" outlineLevel="1" collapsed="true">
      <c r="A123" s="31" t="s">
        <v>341</v>
      </c>
      <c r="B123" s="20"/>
      <c r="C123" s="20"/>
      <c r="D123" s="20"/>
      <c r="E123" s="20"/>
      <c r="F123" s="20"/>
      <c r="G123" s="20"/>
      <c r="H123" s="20"/>
    </row>
    <row r="124" customFormat="false" ht="15" hidden="true" customHeight="false" outlineLevel="2" collapsed="false">
      <c r="A124" s="3" t="s">
        <v>342</v>
      </c>
      <c r="B124" s="11" t="s">
        <v>151</v>
      </c>
      <c r="C124" s="22" t="n">
        <f aca="false">輸入與假設!$C$35</f>
        <v>1835</v>
      </c>
      <c r="D124" s="22" t="n">
        <f aca="false">C43</f>
        <v>4668</v>
      </c>
      <c r="E124" s="22" t="n">
        <f aca="false">D43</f>
        <v>7501</v>
      </c>
      <c r="F124" s="22" t="n">
        <f aca="false">E43</f>
        <v>8778</v>
      </c>
      <c r="G124" s="22" t="n">
        <f aca="false">F43</f>
        <v>8778</v>
      </c>
      <c r="I124" s="11" t="s">
        <v>343</v>
      </c>
    </row>
    <row r="125" customFormat="false" ht="15" hidden="true" customHeight="false" outlineLevel="2" collapsed="false">
      <c r="A125" s="3" t="s">
        <v>344</v>
      </c>
      <c r="B125" s="11" t="s">
        <v>151</v>
      </c>
      <c r="C125" s="22" t="n">
        <f aca="false">C43-C124</f>
        <v>2833</v>
      </c>
      <c r="D125" s="22" t="n">
        <f aca="false">D43-D124</f>
        <v>2833</v>
      </c>
      <c r="E125" s="22" t="n">
        <f aca="false">E43-E124</f>
        <v>1277</v>
      </c>
      <c r="F125" s="22" t="n">
        <f aca="false">F43-F124</f>
        <v>0</v>
      </c>
      <c r="G125" s="22" t="n">
        <f aca="false">G43-G124</f>
        <v>0</v>
      </c>
    </row>
    <row r="126" customFormat="false" ht="15" hidden="true" customHeight="false" outlineLevel="2" collapsed="false">
      <c r="A126" s="3" t="s">
        <v>345</v>
      </c>
      <c r="B126" s="11" t="s">
        <v>151</v>
      </c>
      <c r="C126" s="22" t="n">
        <f aca="false">D43-C43</f>
        <v>2833</v>
      </c>
      <c r="D126" s="22" t="n">
        <f aca="false">E43-D43</f>
        <v>1277</v>
      </c>
      <c r="E126" s="22" t="n">
        <f aca="false">F43-E43</f>
        <v>0</v>
      </c>
      <c r="F126" s="22" t="n">
        <f aca="false">G43-F43</f>
        <v>0</v>
      </c>
      <c r="G126" s="22" t="n">
        <f aca="false">輸入與假設!$C$103</f>
        <v>0</v>
      </c>
    </row>
    <row r="127" customFormat="false" ht="15" hidden="true" customHeight="false" outlineLevel="2" collapsed="false">
      <c r="A127" s="3" t="s">
        <v>346</v>
      </c>
      <c r="B127" s="11" t="s">
        <v>59</v>
      </c>
      <c r="C127" s="33" t="n">
        <f aca="false">(C125*(1-輸入與假設!$C$102)+C126*輸入與假設!$C$102)*C109*輸入與假設!$C$107/1000</f>
        <v>106.09585</v>
      </c>
      <c r="D127" s="33" t="n">
        <f aca="false">(D125*(1-輸入與假設!$C$102)+D126*輸入與假設!$C$102)*D109*輸入與假設!$C$107/1000</f>
        <v>86.020956</v>
      </c>
      <c r="E127" s="33" t="n">
        <f aca="false">(E125*(1-輸入與假設!$C$102)+E126*輸入與假設!$C$102)*E109*輸入與假設!$C$107/1000</f>
        <v>31.2015795</v>
      </c>
      <c r="F127" s="33" t="n">
        <f aca="false">(F125*(1-輸入與假設!$C$102)+F126*輸入與假設!$C$102)*F109*輸入與假設!$C$107/1000</f>
        <v>0</v>
      </c>
      <c r="G127" s="33" t="n">
        <f aca="false">(G125*(1-輸入與假設!$C$102)+G126*輸入與假設!$C$102)*G109*輸入與假設!$C$107/1000</f>
        <v>0</v>
      </c>
      <c r="I127" s="6" t="s">
        <v>347</v>
      </c>
    </row>
    <row r="128" customFormat="false" ht="15" hidden="true" customHeight="false" outlineLevel="2" collapsed="false">
      <c r="A128" s="3" t="s">
        <v>348</v>
      </c>
      <c r="B128" s="11" t="s">
        <v>59</v>
      </c>
      <c r="C128" s="33" t="n">
        <f aca="false">MAX(C127,輸入與假設!$C$104)-輸入與假設!$C$243</f>
        <v>77.59685</v>
      </c>
      <c r="D128" s="33" t="n">
        <f aca="false">D127</f>
        <v>86.020956</v>
      </c>
      <c r="E128" s="33" t="n">
        <f aca="false">E127</f>
        <v>31.2015795</v>
      </c>
      <c r="F128" s="33" t="n">
        <f aca="false">F127</f>
        <v>0</v>
      </c>
      <c r="G128" s="33" t="n">
        <f aca="false">G127</f>
        <v>0</v>
      </c>
      <c r="I128" s="11" t="s">
        <v>349</v>
      </c>
    </row>
    <row r="129" customFormat="false" ht="15" hidden="true" customHeight="false" outlineLevel="2" collapsed="false">
      <c r="A129" s="3" t="s">
        <v>350</v>
      </c>
      <c r="B129" s="11" t="s">
        <v>59</v>
      </c>
      <c r="C129" s="33" t="n">
        <f aca="false">IF(2027-輸入與假設!$C$105=2026,輸入與假設!$C$35,0)*C109*輸入與假設!$C$107/1000</f>
        <v>0</v>
      </c>
      <c r="D129" s="33" t="n">
        <f aca="false">IF(2028-輸入與假設!$C$105=2026,輸入與假設!$C$35,0)*D109*輸入與假設!$C$107/1000</f>
        <v>0</v>
      </c>
      <c r="E129" s="33" t="n">
        <f aca="false">IF(2029-輸入與假設!$C$105=2026,輸入與假設!$C$35,0)*E109*輸入與假設!$C$107/1000</f>
        <v>0</v>
      </c>
      <c r="F129" s="33" t="n">
        <f aca="false">IF(2030-輸入與假設!$C$105=2026,輸入與假設!$C$35,0)*F109*輸入與假設!$C$107/1000</f>
        <v>0</v>
      </c>
      <c r="G129" s="33" t="n">
        <f aca="false">IF(2031-輸入與假設!$C$105=2026,輸入與假設!$C$35,0)*G109*輸入與假設!$C$107/1000</f>
        <v>0</v>
      </c>
      <c r="I129" s="6" t="s">
        <v>351</v>
      </c>
    </row>
    <row r="130" customFormat="false" ht="15" hidden="true" customHeight="false" outlineLevel="2" collapsed="false">
      <c r="A130" s="3" t="s">
        <v>352</v>
      </c>
      <c r="B130" s="11" t="s">
        <v>59</v>
      </c>
      <c r="C130" s="33" t="n">
        <f aca="false">(C124+C43)/2*C109*輸入與假設!$C$107/1000/輸入與假設!$C$105*C41</f>
        <v>15.221084375</v>
      </c>
      <c r="D130" s="33" t="n">
        <f aca="false">(D124+D43)/2*D109*輸入與假設!$C$107/1000/輸入與假設!$C$105*D41</f>
        <v>38.1193925</v>
      </c>
      <c r="E130" s="33" t="n">
        <f aca="false">(E124+E43)/2*E109*輸入與假設!$C$107/1000/輸入與假設!$C$105*E41</f>
        <v>50.9939675</v>
      </c>
      <c r="F130" s="33" t="n">
        <f aca="false">(F124+F43)/2*F109*輸入與假設!$C$107/1000/輸入與假設!$C$105*F41</f>
        <v>54.99417</v>
      </c>
      <c r="G130" s="33" t="n">
        <f aca="false">(G124+G43)/2*G109*輸入與假設!$C$107/1000/輸入與假設!$C$105*G41</f>
        <v>54.99417</v>
      </c>
      <c r="I130" s="6" t="s">
        <v>353</v>
      </c>
    </row>
    <row r="131" customFormat="false" ht="15" hidden="true" customHeight="false" outlineLevel="2" collapsed="false">
      <c r="A131" s="3" t="s">
        <v>354</v>
      </c>
      <c r="B131" s="6"/>
      <c r="C131" s="22" t="n">
        <f aca="false">IF(C125&lt;=0,1,0)</f>
        <v>0</v>
      </c>
      <c r="D131" s="22" t="n">
        <f aca="false">IF(D125&lt;=0,1,0)</f>
        <v>0</v>
      </c>
      <c r="E131" s="22" t="n">
        <f aca="false">IF(E125&lt;=0,1,0)</f>
        <v>0</v>
      </c>
      <c r="F131" s="22" t="n">
        <f aca="false">IF(F125&lt;=0,1,0)</f>
        <v>1</v>
      </c>
      <c r="G131" s="22" t="n">
        <f aca="false">1</f>
        <v>1</v>
      </c>
      <c r="I131" s="6" t="s">
        <v>355</v>
      </c>
    </row>
    <row r="132" customFormat="false" ht="15" hidden="true" customHeight="false" outlineLevel="2" collapsed="false">
      <c r="A132" s="4" t="s">
        <v>356</v>
      </c>
      <c r="B132" s="11" t="s">
        <v>59</v>
      </c>
      <c r="C132" s="33" t="n">
        <f aca="false">IF(C131=1,C130,C129)</f>
        <v>0</v>
      </c>
      <c r="D132" s="33" t="n">
        <f aca="false">IF(D131=1,D130,D129)</f>
        <v>0</v>
      </c>
      <c r="E132" s="33" t="n">
        <f aca="false">IF(E131=1,E130,E129)</f>
        <v>0</v>
      </c>
      <c r="F132" s="33" t="n">
        <f aca="false">IF(F131=1,F130,F129)</f>
        <v>54.99417</v>
      </c>
      <c r="G132" s="33" t="n">
        <f aca="false">IF(G131=1,G130,G129)</f>
        <v>54.99417</v>
      </c>
      <c r="I132" s="6" t="s">
        <v>357</v>
      </c>
    </row>
    <row r="133" customFormat="false" ht="15" hidden="true" customHeight="false" outlineLevel="2" collapsed="false">
      <c r="A133" s="3" t="s">
        <v>358</v>
      </c>
      <c r="B133" s="11" t="s">
        <v>59</v>
      </c>
      <c r="C133" s="33" t="n">
        <f aca="false">輸入與假設!$C$106</f>
        <v>75.74</v>
      </c>
      <c r="D133" s="33" t="n">
        <f aca="false">C133+運營_產能與收入!C$54</f>
        <v>127.471233333333</v>
      </c>
      <c r="E133" s="33" t="n">
        <f aca="false">D133+運營_產能與收入!D$54</f>
        <v>217.852567</v>
      </c>
      <c r="F133" s="33" t="n">
        <f aca="false">E133+運營_產能與收入!E$54</f>
        <v>262.758990625</v>
      </c>
      <c r="G133" s="33" t="n">
        <f aca="false">F133+運營_產能與收入!F$54</f>
        <v>270.5593855</v>
      </c>
      <c r="I133" s="6" t="s">
        <v>359</v>
      </c>
    </row>
    <row r="134" customFormat="false" ht="15" hidden="false" customHeight="false" outlineLevel="1" collapsed="false">
      <c r="A134" s="31" t="s">
        <v>360</v>
      </c>
      <c r="B134" s="20"/>
      <c r="C134" s="20"/>
      <c r="D134" s="20"/>
      <c r="E134" s="20"/>
      <c r="F134" s="20"/>
      <c r="G134" s="20"/>
      <c r="H134" s="20"/>
    </row>
    <row r="135" customFormat="false" ht="15" hidden="false" customHeight="false" outlineLevel="2" collapsed="false">
      <c r="A135" s="3" t="s">
        <v>361</v>
      </c>
      <c r="B135" s="11" t="s">
        <v>59</v>
      </c>
      <c r="C135" s="36" t="n">
        <f aca="false">C128+C132</f>
        <v>77.59685</v>
      </c>
      <c r="D135" s="36" t="n">
        <f aca="false">D128+D132</f>
        <v>86.020956</v>
      </c>
      <c r="E135" s="36" t="n">
        <f aca="false">E128+E132</f>
        <v>31.2015795</v>
      </c>
      <c r="F135" s="36" t="n">
        <f aca="false">F128+F132</f>
        <v>54.99417</v>
      </c>
      <c r="G135" s="36" t="n">
        <f aca="false">G128+G132</f>
        <v>54.99417</v>
      </c>
      <c r="I135" s="6" t="s">
        <v>362</v>
      </c>
    </row>
    <row r="136" customFormat="false" ht="15" hidden="false" customHeight="false" outlineLevel="2" collapsed="false">
      <c r="A136" s="4" t="s">
        <v>363</v>
      </c>
      <c r="B136" s="11" t="s">
        <v>59</v>
      </c>
      <c r="C136" s="36" t="n">
        <f aca="false">(C133+0.5*運營_產能與收入!C$54)/輸入與假設!$C$105*C41</f>
        <v>12.7007020833333</v>
      </c>
      <c r="D136" s="36" t="n">
        <f aca="false">(D133+0.5*運營_產能與收入!D$54)/輸入與假設!$C$105*D41</f>
        <v>28.7769833611111</v>
      </c>
      <c r="E136" s="36" t="n">
        <f aca="false">(E133+0.5*運營_產能與收入!E$54)/輸入與假設!$C$105*E41</f>
        <v>40.0509631354167</v>
      </c>
      <c r="F136" s="36" t="n">
        <f aca="false">(F133+0.5*運營_產能與收入!F$54)/輸入與假設!$C$105*F41</f>
        <v>44.4431980104167</v>
      </c>
      <c r="G136" s="36" t="n">
        <f aca="false">(G133+0.5*運營_產能與收入!G$54)/輸入與假設!$C$105*G41</f>
        <v>45.0932309166667</v>
      </c>
      <c r="I136" s="6" t="s">
        <v>364</v>
      </c>
    </row>
    <row r="138" customFormat="false" ht="15" hidden="false" customHeight="false" outlineLevel="0" collapsed="false">
      <c r="A138" s="7" t="s">
        <v>365</v>
      </c>
      <c r="B138" s="8"/>
      <c r="C138" s="8"/>
      <c r="D138" s="8"/>
      <c r="E138" s="8"/>
      <c r="F138" s="8"/>
      <c r="G138" s="8"/>
      <c r="H138" s="8"/>
    </row>
    <row r="139" customFormat="false" ht="15" hidden="false" customHeight="false" outlineLevel="1" collapsed="false">
      <c r="A139" s="3" t="s">
        <v>366</v>
      </c>
      <c r="B139" s="11" t="s">
        <v>59</v>
      </c>
      <c r="C139" s="25" t="n">
        <v>36.369</v>
      </c>
      <c r="I139" s="6" t="s">
        <v>367</v>
      </c>
    </row>
    <row r="140" customFormat="false" ht="15" hidden="false" customHeight="false" outlineLevel="1" collapsed="false">
      <c r="A140" s="3" t="s">
        <v>368</v>
      </c>
      <c r="B140" s="11" t="s">
        <v>59</v>
      </c>
      <c r="C140" s="25" t="n">
        <v>0</v>
      </c>
      <c r="I140" s="6" t="s">
        <v>369</v>
      </c>
    </row>
    <row r="141" customFormat="false" ht="15" hidden="false" customHeight="false" outlineLevel="1" collapsed="false">
      <c r="A141" s="3" t="s">
        <v>370</v>
      </c>
      <c r="B141" s="6"/>
      <c r="C141" s="21" t="n">
        <v>1</v>
      </c>
      <c r="I141" s="6" t="s">
        <v>371</v>
      </c>
    </row>
    <row r="142" customFormat="false" ht="15" hidden="false" customHeight="false" outlineLevel="1" collapsed="false">
      <c r="A142" s="3" t="s">
        <v>372</v>
      </c>
      <c r="B142" s="11" t="s">
        <v>59</v>
      </c>
      <c r="C142" s="25" t="n">
        <v>10</v>
      </c>
      <c r="I142" s="6" t="s">
        <v>373</v>
      </c>
    </row>
    <row r="143" customFormat="false" ht="15" hidden="false" customHeight="false" outlineLevel="1" collapsed="false">
      <c r="A143" s="3" t="s">
        <v>374</v>
      </c>
      <c r="B143" s="6"/>
      <c r="C143" s="21" t="n">
        <v>0</v>
      </c>
      <c r="I143" s="6" t="s">
        <v>375</v>
      </c>
    </row>
    <row r="144" customFormat="false" ht="15" hidden="false" customHeight="false" outlineLevel="1" collapsed="false">
      <c r="A144" s="3" t="s">
        <v>376</v>
      </c>
      <c r="B144" s="6"/>
      <c r="C144" s="21" t="n">
        <v>1</v>
      </c>
      <c r="I144" s="6" t="s">
        <v>377</v>
      </c>
    </row>
    <row r="145" customFormat="false" ht="15" hidden="false" customHeight="false" outlineLevel="1" collapsed="false">
      <c r="A145" s="3" t="s">
        <v>378</v>
      </c>
      <c r="B145" s="11" t="s">
        <v>105</v>
      </c>
      <c r="C145" s="37" t="n">
        <v>0.5</v>
      </c>
      <c r="I145" s="6" t="s">
        <v>379</v>
      </c>
    </row>
    <row r="146" customFormat="false" ht="15" hidden="false" customHeight="false" outlineLevel="1" collapsed="false">
      <c r="A146" s="3" t="s">
        <v>380</v>
      </c>
      <c r="B146" s="6"/>
      <c r="C146" s="27" t="s">
        <v>381</v>
      </c>
      <c r="I146" s="11" t="s">
        <v>382</v>
      </c>
    </row>
    <row r="147" customFormat="false" ht="15" hidden="false" customHeight="false" outlineLevel="1" collapsed="false">
      <c r="A147" s="3" t="s">
        <v>383</v>
      </c>
      <c r="B147" s="11" t="s">
        <v>105</v>
      </c>
      <c r="C147" s="37" t="n">
        <v>4.5</v>
      </c>
      <c r="I147" s="11" t="s">
        <v>384</v>
      </c>
    </row>
    <row r="148" customFormat="false" ht="15" hidden="false" customHeight="false" outlineLevel="1" collapsed="false">
      <c r="A148" s="3" t="s">
        <v>385</v>
      </c>
      <c r="B148" s="6" t="s">
        <v>189</v>
      </c>
      <c r="C148" s="21" t="n">
        <v>3</v>
      </c>
      <c r="I148" s="11" t="s">
        <v>386</v>
      </c>
    </row>
    <row r="149" customFormat="false" ht="15" hidden="false" customHeight="false" outlineLevel="1" collapsed="false">
      <c r="A149" s="3" t="s">
        <v>387</v>
      </c>
      <c r="B149" s="11" t="s">
        <v>39</v>
      </c>
      <c r="C149" s="38" t="n">
        <v>0.5</v>
      </c>
      <c r="I149" s="6" t="s">
        <v>388</v>
      </c>
    </row>
    <row r="150" customFormat="false" ht="15" hidden="false" customHeight="false" outlineLevel="1" collapsed="false">
      <c r="A150" s="3" t="s">
        <v>389</v>
      </c>
      <c r="B150" s="11" t="s">
        <v>390</v>
      </c>
      <c r="C150" s="23" t="n">
        <v>3.023736</v>
      </c>
      <c r="I150" s="6" t="s">
        <v>391</v>
      </c>
    </row>
    <row r="151" customFormat="false" ht="15" hidden="false" customHeight="false" outlineLevel="1" collapsed="false">
      <c r="A151" s="3" t="s">
        <v>392</v>
      </c>
      <c r="B151" s="11" t="s">
        <v>59</v>
      </c>
      <c r="C151" s="25" t="n">
        <v>10</v>
      </c>
      <c r="I151" s="6" t="s">
        <v>393</v>
      </c>
    </row>
    <row r="152" customFormat="false" ht="15" hidden="false" customHeight="false" outlineLevel="1" collapsed="false">
      <c r="A152" s="3" t="s">
        <v>394</v>
      </c>
      <c r="B152" s="11" t="s">
        <v>39</v>
      </c>
      <c r="C152" s="38" t="n">
        <v>144.77</v>
      </c>
      <c r="I152" s="6" t="s">
        <v>395</v>
      </c>
    </row>
    <row r="153" customFormat="false" ht="15" hidden="false" customHeight="false" outlineLevel="1" collapsed="false">
      <c r="A153" s="3" t="s">
        <v>396</v>
      </c>
      <c r="B153" s="11" t="s">
        <v>42</v>
      </c>
      <c r="C153" s="24" t="n">
        <v>0.1</v>
      </c>
      <c r="I153" s="6" t="s">
        <v>397</v>
      </c>
    </row>
    <row r="154" customFormat="false" ht="15" hidden="false" customHeight="false" outlineLevel="1" collapsed="false">
      <c r="A154" s="3" t="s">
        <v>398</v>
      </c>
      <c r="B154" s="11" t="s">
        <v>42</v>
      </c>
      <c r="C154" s="24" t="n">
        <v>0.05</v>
      </c>
      <c r="I154" s="6" t="s">
        <v>399</v>
      </c>
    </row>
    <row r="155" customFormat="false" ht="15" hidden="false" customHeight="false" outlineLevel="1" collapsed="false">
      <c r="A155" s="3" t="s">
        <v>400</v>
      </c>
      <c r="B155" s="11" t="s">
        <v>390</v>
      </c>
      <c r="C155" s="23" t="n">
        <v>3.023736</v>
      </c>
      <c r="I155" s="6" t="s">
        <v>401</v>
      </c>
    </row>
    <row r="156" customFormat="false" ht="15" hidden="false" customHeight="false" outlineLevel="1" collapsed="false">
      <c r="A156" s="3" t="s">
        <v>402</v>
      </c>
      <c r="B156" s="11" t="s">
        <v>403</v>
      </c>
      <c r="C156" s="25" t="n">
        <v>0</v>
      </c>
      <c r="I156" s="6" t="s">
        <v>404</v>
      </c>
    </row>
    <row r="157" customFormat="false" ht="15" hidden="false" customHeight="false" outlineLevel="1" collapsed="false">
      <c r="A157" s="3" t="s">
        <v>405</v>
      </c>
      <c r="B157" s="11" t="s">
        <v>403</v>
      </c>
      <c r="C157" s="25" t="n">
        <v>0</v>
      </c>
      <c r="I157" s="6" t="s">
        <v>404</v>
      </c>
    </row>
    <row r="158" customFormat="false" ht="15" hidden="false" customHeight="false" outlineLevel="1" collapsed="false">
      <c r="A158" s="3" t="s">
        <v>406</v>
      </c>
      <c r="B158" s="11" t="s">
        <v>403</v>
      </c>
      <c r="C158" s="25" t="n">
        <v>0</v>
      </c>
      <c r="I158" s="6" t="s">
        <v>404</v>
      </c>
    </row>
    <row r="159" customFormat="false" ht="15" hidden="false" customHeight="false" outlineLevel="1" collapsed="false">
      <c r="A159" s="3" t="s">
        <v>407</v>
      </c>
      <c r="B159" s="11" t="s">
        <v>403</v>
      </c>
      <c r="C159" s="33" t="n">
        <f aca="false">CHOOSE(輸入與假設!$C$5,輸入與假設!$C$156,輸入與假設!$C$157,輸入與假設!$C$158)</f>
        <v>0</v>
      </c>
      <c r="I159" s="6" t="s">
        <v>408</v>
      </c>
    </row>
    <row r="160" customFormat="false" ht="15" hidden="false" customHeight="false" outlineLevel="1" collapsed="false">
      <c r="A160" s="3" t="s">
        <v>409</v>
      </c>
      <c r="B160" s="11" t="s">
        <v>42</v>
      </c>
      <c r="C160" s="24" t="n">
        <v>0</v>
      </c>
      <c r="I160" s="11" t="s">
        <v>410</v>
      </c>
    </row>
    <row r="161" customFormat="false" ht="15" hidden="false" customHeight="false" outlineLevel="1" collapsed="false">
      <c r="A161" s="3" t="s">
        <v>411</v>
      </c>
      <c r="B161" s="11" t="s">
        <v>42</v>
      </c>
      <c r="C161" s="24" t="n">
        <v>0</v>
      </c>
      <c r="I161" s="11" t="s">
        <v>412</v>
      </c>
    </row>
    <row r="162" customFormat="false" ht="15" hidden="false" customHeight="false" outlineLevel="1" collapsed="false">
      <c r="A162" s="3" t="s">
        <v>413</v>
      </c>
      <c r="B162" s="11" t="s">
        <v>42</v>
      </c>
      <c r="C162" s="24" t="n">
        <v>0.12</v>
      </c>
      <c r="I162" s="6" t="s">
        <v>414</v>
      </c>
    </row>
    <row r="163" customFormat="false" ht="15" hidden="false" customHeight="false" outlineLevel="1" collapsed="false">
      <c r="A163" s="3" t="s">
        <v>415</v>
      </c>
      <c r="B163" s="11" t="s">
        <v>42</v>
      </c>
      <c r="C163" s="24" t="n">
        <v>0.151</v>
      </c>
      <c r="I163" s="6" t="s">
        <v>416</v>
      </c>
    </row>
    <row r="164" customFormat="false" ht="15" hidden="false" customHeight="false" outlineLevel="1" collapsed="false">
      <c r="A164" s="4" t="s">
        <v>417</v>
      </c>
      <c r="B164" s="11" t="s">
        <v>418</v>
      </c>
      <c r="C164" s="21"/>
      <c r="I164" s="6" t="s">
        <v>419</v>
      </c>
    </row>
    <row r="165" customFormat="false" ht="15" hidden="false" customHeight="false" outlineLevel="1" collapsed="false">
      <c r="A165" s="4" t="s">
        <v>420</v>
      </c>
      <c r="B165" s="6"/>
      <c r="C165" s="21" t="n">
        <v>0</v>
      </c>
      <c r="I165" s="6" t="s">
        <v>421</v>
      </c>
    </row>
    <row r="166" customFormat="false" ht="15" hidden="false" customHeight="false" outlineLevel="1" collapsed="false">
      <c r="A166" s="4" t="s">
        <v>422</v>
      </c>
      <c r="B166" s="11" t="s">
        <v>418</v>
      </c>
      <c r="C166" s="21" t="n">
        <v>450</v>
      </c>
      <c r="I166" s="11" t="s">
        <v>423</v>
      </c>
    </row>
    <row r="167" customFormat="false" ht="15" hidden="false" customHeight="false" outlineLevel="1" collapsed="false">
      <c r="A167" s="4" t="s">
        <v>424</v>
      </c>
      <c r="B167" s="11" t="s">
        <v>42</v>
      </c>
      <c r="C167" s="24" t="n">
        <v>0.4</v>
      </c>
      <c r="I167" s="6" t="s">
        <v>425</v>
      </c>
    </row>
    <row r="168" customFormat="false" ht="15" hidden="false" customHeight="false" outlineLevel="1" collapsed="false">
      <c r="A168" s="14" t="s">
        <v>53</v>
      </c>
      <c r="B168" s="14" t="s">
        <v>54</v>
      </c>
      <c r="C168" s="28" t="s">
        <v>55</v>
      </c>
      <c r="D168" s="28" t="s">
        <v>56</v>
      </c>
      <c r="E168" s="28" t="s">
        <v>57</v>
      </c>
      <c r="F168" s="28" t="s">
        <v>147</v>
      </c>
      <c r="G168" s="28" t="s">
        <v>148</v>
      </c>
      <c r="I168" s="14" t="s">
        <v>211</v>
      </c>
    </row>
    <row r="169" customFormat="false" ht="15" hidden="false" customHeight="false" outlineLevel="1" collapsed="false">
      <c r="A169" s="3" t="s">
        <v>426</v>
      </c>
      <c r="B169" s="11" t="s">
        <v>59</v>
      </c>
      <c r="C169" s="25" t="n">
        <v>0.244</v>
      </c>
      <c r="D169" s="25" t="n">
        <v>0.325</v>
      </c>
      <c r="E169" s="25" t="n">
        <v>0.244</v>
      </c>
      <c r="F169" s="25" t="n">
        <v>0</v>
      </c>
      <c r="G169" s="25" t="n">
        <v>0</v>
      </c>
      <c r="I169" s="6" t="s">
        <v>427</v>
      </c>
    </row>
    <row r="170" customFormat="false" ht="15" hidden="false" customHeight="false" outlineLevel="1" collapsed="false">
      <c r="A170" s="3" t="s">
        <v>428</v>
      </c>
      <c r="B170" s="11" t="s">
        <v>59</v>
      </c>
      <c r="C170" s="25" t="n">
        <v>3.007</v>
      </c>
      <c r="D170" s="25" t="n">
        <v>10.147</v>
      </c>
      <c r="E170" s="25" t="n">
        <v>5.5</v>
      </c>
      <c r="F170" s="25" t="n">
        <v>7.25</v>
      </c>
      <c r="G170" s="25" t="n">
        <v>9.75</v>
      </c>
      <c r="I170" s="6" t="s">
        <v>429</v>
      </c>
    </row>
    <row r="171" customFormat="false" ht="15" hidden="false" customHeight="false" outlineLevel="1" collapsed="false">
      <c r="A171" s="3" t="s">
        <v>430</v>
      </c>
      <c r="B171" s="11" t="s">
        <v>42</v>
      </c>
      <c r="C171" s="24" t="n">
        <v>0.058</v>
      </c>
      <c r="D171" s="24" t="n">
        <v>0.058</v>
      </c>
      <c r="E171" s="24" t="n">
        <v>0.058</v>
      </c>
      <c r="F171" s="24" t="n">
        <v>0.058</v>
      </c>
      <c r="G171" s="24" t="n">
        <v>0.058</v>
      </c>
      <c r="I171" s="6" t="s">
        <v>431</v>
      </c>
    </row>
    <row r="172" customFormat="false" ht="15" hidden="false" customHeight="false" outlineLevel="1" collapsed="false">
      <c r="A172" s="3" t="s">
        <v>432</v>
      </c>
      <c r="B172" s="11" t="s">
        <v>59</v>
      </c>
      <c r="C172" s="39" t="n">
        <f aca="false">資產負債_既有債務!C88</f>
        <v>4.47957091589961</v>
      </c>
      <c r="D172" s="39" t="n">
        <f aca="false">資產負債_既有債務!D88</f>
        <v>5.65698394898732</v>
      </c>
      <c r="E172" s="39" t="n">
        <f aca="false">資產負債_既有債務!E88</f>
        <v>5.28135927373237</v>
      </c>
      <c r="F172" s="39" t="n">
        <f aca="false">資產負債_既有債務!F88</f>
        <v>4.97528049764106</v>
      </c>
      <c r="G172" s="39" t="n">
        <f aca="false">資產負債_既有債務!G88</f>
        <v>4.56717546285265</v>
      </c>
      <c r="I172" s="6" t="s">
        <v>433</v>
      </c>
    </row>
    <row r="174" customFormat="false" ht="15" hidden="false" customHeight="false" outlineLevel="0" collapsed="false">
      <c r="A174" s="7" t="s">
        <v>434</v>
      </c>
      <c r="B174" s="8"/>
      <c r="C174" s="8"/>
      <c r="D174" s="8"/>
      <c r="E174" s="8"/>
      <c r="F174" s="8"/>
      <c r="G174" s="8"/>
      <c r="H174" s="8"/>
    </row>
    <row r="175" customFormat="false" ht="15" hidden="false" customHeight="false" outlineLevel="1" collapsed="false">
      <c r="A175" s="3" t="s">
        <v>435</v>
      </c>
      <c r="B175" s="11" t="s">
        <v>39</v>
      </c>
      <c r="C175" s="38" t="n">
        <v>144.77</v>
      </c>
      <c r="I175" s="11" t="s">
        <v>436</v>
      </c>
    </row>
    <row r="176" customFormat="false" ht="15" hidden="false" customHeight="false" outlineLevel="1" collapsed="false">
      <c r="A176" s="3" t="s">
        <v>437</v>
      </c>
      <c r="B176" s="11" t="s">
        <v>390</v>
      </c>
      <c r="C176" s="23" t="n">
        <v>3.057736</v>
      </c>
      <c r="I176" s="6" t="s">
        <v>438</v>
      </c>
    </row>
    <row r="177" customFormat="false" ht="15" hidden="false" customHeight="false" outlineLevel="1" collapsed="false">
      <c r="A177" s="3" t="s">
        <v>439</v>
      </c>
      <c r="B177" s="11" t="s">
        <v>59</v>
      </c>
      <c r="C177" s="25" t="n">
        <v>88.827</v>
      </c>
      <c r="I177" s="6" t="s">
        <v>440</v>
      </c>
    </row>
    <row r="178" customFormat="false" ht="15" hidden="false" customHeight="false" outlineLevel="1" collapsed="false">
      <c r="A178" s="3" t="s">
        <v>441</v>
      </c>
      <c r="B178" s="11" t="s">
        <v>42</v>
      </c>
      <c r="C178" s="24" t="n">
        <v>0.3</v>
      </c>
      <c r="I178" s="6" t="s">
        <v>442</v>
      </c>
    </row>
    <row r="179" customFormat="false" ht="15" hidden="false" customHeight="false" outlineLevel="1" collapsed="false">
      <c r="A179" s="3" t="s">
        <v>443</v>
      </c>
      <c r="B179" s="11" t="s">
        <v>59</v>
      </c>
      <c r="C179" s="33" t="n">
        <f aca="false">0-(0)*(1-輸入與假設!$C$178)</f>
        <v>0</v>
      </c>
      <c r="I179" s="6" t="s">
        <v>444</v>
      </c>
    </row>
    <row r="180" customFormat="false" ht="15" hidden="false" customHeight="false" outlineLevel="1" collapsed="false">
      <c r="A180" s="3" t="s">
        <v>445</v>
      </c>
      <c r="B180" s="11" t="s">
        <v>42</v>
      </c>
      <c r="C180" s="24" t="n">
        <v>0.151</v>
      </c>
      <c r="I180" s="11" t="s">
        <v>446</v>
      </c>
    </row>
    <row r="181" customFormat="false" ht="15" hidden="false" customHeight="false" outlineLevel="1" collapsed="false">
      <c r="A181" s="3" t="s">
        <v>447</v>
      </c>
      <c r="B181" s="11" t="s">
        <v>42</v>
      </c>
      <c r="C181" s="24" t="n">
        <v>0.0527</v>
      </c>
      <c r="I181" s="11" t="s">
        <v>448</v>
      </c>
    </row>
    <row r="182" customFormat="false" ht="15" hidden="false" customHeight="false" outlineLevel="1" collapsed="false">
      <c r="A182" s="4" t="s">
        <v>449</v>
      </c>
      <c r="B182" s="11" t="s">
        <v>105</v>
      </c>
      <c r="C182" s="35" t="n">
        <v>1.77</v>
      </c>
      <c r="I182" s="11" t="s">
        <v>450</v>
      </c>
    </row>
    <row r="183" customFormat="false" ht="15" hidden="false" customHeight="false" outlineLevel="1" collapsed="false">
      <c r="A183" s="4" t="s">
        <v>451</v>
      </c>
      <c r="B183" s="11" t="s">
        <v>42</v>
      </c>
      <c r="C183" s="24" t="n">
        <v>0.05</v>
      </c>
      <c r="I183" s="11" t="s">
        <v>452</v>
      </c>
    </row>
    <row r="184" customFormat="false" ht="15" hidden="false" customHeight="false" outlineLevel="1" collapsed="false">
      <c r="A184" s="3" t="s">
        <v>453</v>
      </c>
      <c r="B184" s="11" t="s">
        <v>42</v>
      </c>
      <c r="C184" s="32" t="n">
        <f aca="false">輸入與假設!$C$181+輸入與假設!$C$182*輸入與假設!$C$183</f>
        <v>0.1412</v>
      </c>
      <c r="I184" s="11" t="s">
        <v>454</v>
      </c>
    </row>
    <row r="185" customFormat="false" ht="15" hidden="false" customHeight="false" outlineLevel="1" collapsed="false">
      <c r="A185" s="3" t="s">
        <v>455</v>
      </c>
      <c r="B185" s="11" t="s">
        <v>42</v>
      </c>
      <c r="C185" s="24" t="n">
        <v>0.0811</v>
      </c>
      <c r="I185" s="11" t="s">
        <v>456</v>
      </c>
    </row>
    <row r="186" customFormat="false" ht="15" hidden="false" customHeight="false" outlineLevel="1" collapsed="false">
      <c r="A186" s="3" t="s">
        <v>457</v>
      </c>
      <c r="B186" s="11" t="s">
        <v>59</v>
      </c>
      <c r="C186" s="33" t="n">
        <f aca="false">輸入與假設!$C$175*3.023736</f>
        <v>437.74626072</v>
      </c>
      <c r="I186" s="6" t="s">
        <v>458</v>
      </c>
    </row>
    <row r="187" customFormat="false" ht="15" hidden="false" customHeight="false" outlineLevel="1" collapsed="false">
      <c r="A187" s="3" t="s">
        <v>459</v>
      </c>
      <c r="B187" s="11" t="s">
        <v>59</v>
      </c>
      <c r="C187" s="25" t="n">
        <v>125.904</v>
      </c>
      <c r="I187" s="6" t="s">
        <v>460</v>
      </c>
    </row>
    <row r="188" customFormat="false" ht="15" hidden="false" customHeight="false" outlineLevel="1" collapsed="false">
      <c r="A188" s="4" t="s">
        <v>461</v>
      </c>
      <c r="B188" s="11" t="s">
        <v>42</v>
      </c>
      <c r="C188" s="32" t="n">
        <f aca="false">輸入與假設!$C$186/(輸入與假設!$C$187+輸入與假設!$C$186)*輸入與假設!$C$184+輸入與假設!$C$187/(輸入與假設!$C$187+輸入與假設!$C$186)*輸入與假設!$C$185*(1-輸入與假設!$C$180)</f>
        <v>0.125039866652834</v>
      </c>
      <c r="I188" s="11" t="s">
        <v>462</v>
      </c>
    </row>
    <row r="189" customFormat="false" ht="15" hidden="false" customHeight="false" outlineLevel="1" collapsed="false">
      <c r="A189" s="4" t="s">
        <v>463</v>
      </c>
      <c r="B189" s="11" t="s">
        <v>42</v>
      </c>
      <c r="C189" s="24"/>
      <c r="I189" s="11" t="s">
        <v>464</v>
      </c>
    </row>
    <row r="190" customFormat="false" ht="15" hidden="false" customHeight="false" outlineLevel="1" collapsed="false">
      <c r="A190" s="4" t="s">
        <v>465</v>
      </c>
      <c r="B190" s="11" t="s">
        <v>42</v>
      </c>
      <c r="C190" s="32" t="n">
        <f aca="false">IF(ISBLANK(輸入與假設!$C$189),輸入與假設!$C$188,輸入與假設!$C$189)</f>
        <v>0.125039866652834</v>
      </c>
      <c r="I190" s="6" t="s">
        <v>466</v>
      </c>
    </row>
    <row r="191" customFormat="false" ht="15" hidden="false" customHeight="false" outlineLevel="1" collapsed="false">
      <c r="A191" s="3" t="s">
        <v>467</v>
      </c>
      <c r="B191" s="11" t="s">
        <v>42</v>
      </c>
      <c r="C191" s="24" t="n">
        <v>0.03</v>
      </c>
      <c r="I191" s="11" t="s">
        <v>229</v>
      </c>
    </row>
    <row r="192" customFormat="false" ht="15" hidden="false" customHeight="false" outlineLevel="1" collapsed="false">
      <c r="A192" s="3" t="s">
        <v>468</v>
      </c>
      <c r="B192" s="11" t="s">
        <v>42</v>
      </c>
      <c r="C192" s="24" t="n">
        <v>0.8</v>
      </c>
      <c r="I192" s="11" t="s">
        <v>469</v>
      </c>
    </row>
    <row r="193" customFormat="false" ht="15" hidden="false" customHeight="false" outlineLevel="1" collapsed="false">
      <c r="A193" s="3" t="s">
        <v>470</v>
      </c>
      <c r="B193" s="11" t="s">
        <v>59</v>
      </c>
      <c r="C193" s="25" t="n">
        <v>0</v>
      </c>
      <c r="I193" s="11" t="s">
        <v>471</v>
      </c>
    </row>
    <row r="194" customFormat="false" ht="15" hidden="false" customHeight="false" outlineLevel="1" collapsed="false">
      <c r="A194" s="4" t="s">
        <v>472</v>
      </c>
      <c r="B194" s="11" t="s">
        <v>42</v>
      </c>
      <c r="C194" s="24" t="n">
        <v>0.8</v>
      </c>
      <c r="I194" s="6" t="s">
        <v>473</v>
      </c>
    </row>
    <row r="195" customFormat="false" ht="15" hidden="false" customHeight="false" outlineLevel="1" collapsed="false">
      <c r="A195" s="3" t="s">
        <v>474</v>
      </c>
      <c r="B195" s="11" t="s">
        <v>42</v>
      </c>
      <c r="C195" s="24" t="n">
        <v>0.02</v>
      </c>
      <c r="I195" s="6" t="s">
        <v>475</v>
      </c>
    </row>
    <row r="196" customFormat="false" ht="15" hidden="false" customHeight="false" outlineLevel="1" collapsed="false">
      <c r="A196" s="4" t="s">
        <v>476</v>
      </c>
      <c r="B196" s="11" t="s">
        <v>105</v>
      </c>
      <c r="C196" s="40" t="n">
        <v>6</v>
      </c>
      <c r="I196" s="11" t="s">
        <v>477</v>
      </c>
    </row>
    <row r="197" customFormat="false" ht="15" hidden="false" customHeight="false" outlineLevel="1" collapsed="false">
      <c r="A197" s="3" t="s">
        <v>478</v>
      </c>
      <c r="B197" s="11" t="s">
        <v>105</v>
      </c>
      <c r="C197" s="40" t="n">
        <v>15.59</v>
      </c>
      <c r="I197" s="11" t="s">
        <v>479</v>
      </c>
    </row>
    <row r="198" customFormat="false" ht="15" hidden="false" customHeight="false" outlineLevel="1" collapsed="false">
      <c r="A198" s="3" t="s">
        <v>480</v>
      </c>
      <c r="B198" s="11" t="s">
        <v>105</v>
      </c>
      <c r="C198" s="40" t="n">
        <v>15.02</v>
      </c>
      <c r="I198" s="11" t="s">
        <v>481</v>
      </c>
    </row>
    <row r="199" customFormat="false" ht="15" hidden="false" customHeight="false" outlineLevel="1" collapsed="false">
      <c r="A199" s="3" t="s">
        <v>482</v>
      </c>
      <c r="B199" s="11" t="s">
        <v>105</v>
      </c>
      <c r="C199" s="40" t="n">
        <v>10.8</v>
      </c>
      <c r="I199" s="11" t="s">
        <v>483</v>
      </c>
    </row>
    <row r="200" customFormat="false" ht="15" hidden="false" customHeight="false" outlineLevel="1" collapsed="false">
      <c r="A200" s="3" t="s">
        <v>484</v>
      </c>
      <c r="B200" s="11" t="s">
        <v>105</v>
      </c>
      <c r="C200" s="40" t="n">
        <v>6.6</v>
      </c>
      <c r="I200" s="11" t="s">
        <v>485</v>
      </c>
    </row>
    <row r="201" customFormat="false" ht="15" hidden="false" customHeight="false" outlineLevel="1" collapsed="false">
      <c r="A201" s="3" t="s">
        <v>486</v>
      </c>
      <c r="B201" s="11" t="s">
        <v>105</v>
      </c>
      <c r="C201" s="40" t="n">
        <v>20.65</v>
      </c>
      <c r="I201" s="11" t="s">
        <v>487</v>
      </c>
    </row>
    <row r="202" customFormat="false" ht="15" hidden="false" customHeight="false" outlineLevel="1" collapsed="false">
      <c r="A202" s="3" t="s">
        <v>488</v>
      </c>
      <c r="B202" s="11" t="s">
        <v>105</v>
      </c>
      <c r="C202" s="41" t="n">
        <f aca="false">MEDIAN(輸入與假設!$C$197,輸入與假設!$C$198,輸入與假設!$C$199,輸入與假設!$C$200,輸入與假設!$C$201)</f>
        <v>15.02</v>
      </c>
      <c r="I202" s="6" t="s">
        <v>489</v>
      </c>
    </row>
    <row r="203" customFormat="false" ht="15" hidden="false" customHeight="false" outlineLevel="1" collapsed="false">
      <c r="A203" s="3" t="s">
        <v>490</v>
      </c>
      <c r="B203" s="11" t="s">
        <v>105</v>
      </c>
      <c r="C203" s="40"/>
      <c r="I203" s="11" t="s">
        <v>491</v>
      </c>
    </row>
    <row r="204" customFormat="false" ht="15" hidden="false" customHeight="false" outlineLevel="1" collapsed="false">
      <c r="A204" s="3" t="s">
        <v>492</v>
      </c>
      <c r="B204" s="11" t="s">
        <v>105</v>
      </c>
      <c r="C204" s="41" t="n">
        <f aca="false">IF(ISBLANK(輸入與假設!$C$203),輸入與假設!$C$202,輸入與假設!$C$203)</f>
        <v>15.02</v>
      </c>
      <c r="I204" s="6" t="s">
        <v>493</v>
      </c>
    </row>
    <row r="205" customFormat="false" ht="15" hidden="false" customHeight="false" outlineLevel="1" collapsed="false">
      <c r="A205" s="4" t="s">
        <v>494</v>
      </c>
      <c r="B205" s="6"/>
      <c r="C205" s="18" t="n">
        <v>2</v>
      </c>
      <c r="I205" s="6" t="s">
        <v>495</v>
      </c>
    </row>
    <row r="206" customFormat="false" ht="15" hidden="false" customHeight="false" outlineLevel="1" collapsed="false">
      <c r="A206" s="3" t="s">
        <v>496</v>
      </c>
      <c r="B206" s="11" t="s">
        <v>42</v>
      </c>
      <c r="C206" s="24" t="n">
        <v>0.45</v>
      </c>
      <c r="I206" s="6"/>
    </row>
    <row r="207" customFormat="false" ht="15" hidden="false" customHeight="false" outlineLevel="1" collapsed="false">
      <c r="A207" s="3" t="s">
        <v>497</v>
      </c>
      <c r="B207" s="11" t="s">
        <v>42</v>
      </c>
      <c r="C207" s="24" t="n">
        <v>0.55</v>
      </c>
      <c r="I207" s="6"/>
    </row>
    <row r="208" customFormat="false" ht="15" hidden="false" customHeight="false" outlineLevel="1" collapsed="false">
      <c r="A208" s="3" t="s">
        <v>498</v>
      </c>
      <c r="B208" s="11" t="s">
        <v>105</v>
      </c>
      <c r="C208" s="40" t="n">
        <v>5</v>
      </c>
      <c r="I208" s="11" t="s">
        <v>499</v>
      </c>
    </row>
    <row r="209" customFormat="false" ht="15" hidden="false" customHeight="false" outlineLevel="1" collapsed="false">
      <c r="A209" s="3" t="s">
        <v>500</v>
      </c>
      <c r="B209" s="11" t="s">
        <v>105</v>
      </c>
      <c r="C209" s="40" t="n">
        <v>6</v>
      </c>
      <c r="I209" s="6"/>
    </row>
    <row r="210" customFormat="false" ht="15" hidden="false" customHeight="false" outlineLevel="1" collapsed="false">
      <c r="A210" s="3" t="s">
        <v>501</v>
      </c>
      <c r="B210" s="11" t="s">
        <v>42</v>
      </c>
      <c r="C210" s="24" t="n">
        <v>0.01</v>
      </c>
      <c r="I210" s="6" t="s">
        <v>502</v>
      </c>
    </row>
    <row r="211" customFormat="false" ht="15" hidden="false" customHeight="false" outlineLevel="1" collapsed="false">
      <c r="A211" s="3" t="s">
        <v>503</v>
      </c>
      <c r="B211" s="11" t="s">
        <v>59</v>
      </c>
      <c r="C211" s="25" t="n">
        <v>4.508</v>
      </c>
      <c r="I211" s="11" t="s">
        <v>504</v>
      </c>
    </row>
    <row r="212" customFormat="false" ht="15" hidden="false" customHeight="false" outlineLevel="1" collapsed="false">
      <c r="A212" s="31" t="s">
        <v>505</v>
      </c>
      <c r="B212" s="20"/>
      <c r="C212" s="20"/>
      <c r="D212" s="20"/>
      <c r="E212" s="20"/>
      <c r="F212" s="20"/>
      <c r="G212" s="20"/>
      <c r="H212" s="20"/>
    </row>
    <row r="213" customFormat="false" ht="15" hidden="false" customHeight="false" outlineLevel="2" collapsed="false">
      <c r="A213" s="4" t="s">
        <v>506</v>
      </c>
      <c r="B213" s="6"/>
      <c r="C213" s="18" t="n">
        <v>1</v>
      </c>
      <c r="I213" s="11" t="s">
        <v>507</v>
      </c>
    </row>
    <row r="214" customFormat="false" ht="15" hidden="false" customHeight="false" outlineLevel="2" collapsed="false">
      <c r="A214" s="3" t="s">
        <v>508</v>
      </c>
      <c r="B214" s="11" t="s">
        <v>42</v>
      </c>
      <c r="C214" s="24" t="n">
        <v>0.5</v>
      </c>
      <c r="I214" s="6" t="s">
        <v>509</v>
      </c>
    </row>
    <row r="215" customFormat="false" ht="15" hidden="false" customHeight="false" outlineLevel="2" collapsed="false">
      <c r="A215" s="3" t="s">
        <v>510</v>
      </c>
      <c r="B215" s="6" t="s">
        <v>189</v>
      </c>
      <c r="C215" s="26" t="n">
        <v>4.75</v>
      </c>
      <c r="I215" s="6" t="s">
        <v>511</v>
      </c>
    </row>
    <row r="216" customFormat="false" ht="15" hidden="false" customHeight="false" outlineLevel="1" collapsed="false">
      <c r="A216" s="19" t="s">
        <v>512</v>
      </c>
      <c r="B216" s="20"/>
      <c r="C216" s="20"/>
      <c r="D216" s="20"/>
      <c r="E216" s="20"/>
      <c r="F216" s="20"/>
      <c r="G216" s="20"/>
      <c r="H216" s="20"/>
    </row>
    <row r="217" customFormat="false" ht="15" hidden="false" customHeight="false" outlineLevel="2" collapsed="false">
      <c r="A217" s="3" t="s">
        <v>513</v>
      </c>
      <c r="B217" s="6" t="s">
        <v>514</v>
      </c>
      <c r="C217" s="22" t="n">
        <v>5</v>
      </c>
      <c r="I217" s="11" t="s">
        <v>515</v>
      </c>
    </row>
    <row r="218" customFormat="false" ht="15" hidden="false" customHeight="false" outlineLevel="2" collapsed="false">
      <c r="A218" s="3" t="s">
        <v>516</v>
      </c>
      <c r="B218" s="6"/>
      <c r="C218" s="42" t="s">
        <v>517</v>
      </c>
      <c r="I218" s="11" t="s">
        <v>518</v>
      </c>
    </row>
    <row r="219" customFormat="false" ht="15" hidden="false" customHeight="false" outlineLevel="2" collapsed="false">
      <c r="A219" s="3" t="s">
        <v>519</v>
      </c>
      <c r="B219" s="6"/>
      <c r="C219" s="42" t="s">
        <v>520</v>
      </c>
      <c r="I219" s="11" t="s">
        <v>521</v>
      </c>
    </row>
    <row r="220" customFormat="false" ht="15" hidden="false" customHeight="false" outlineLevel="2" collapsed="false">
      <c r="A220" s="3" t="s">
        <v>522</v>
      </c>
      <c r="B220" s="6"/>
      <c r="C220" s="42" t="s">
        <v>523</v>
      </c>
      <c r="I220" s="6" t="s">
        <v>524</v>
      </c>
    </row>
    <row r="221" customFormat="false" ht="15" hidden="false" customHeight="false" outlineLevel="2" collapsed="false">
      <c r="A221" s="3" t="s">
        <v>525</v>
      </c>
      <c r="B221" s="6" t="s">
        <v>189</v>
      </c>
      <c r="C221" s="33" t="n">
        <v>1</v>
      </c>
      <c r="I221" s="6"/>
    </row>
    <row r="222" customFormat="false" ht="15" hidden="false" customHeight="false" outlineLevel="2" collapsed="false">
      <c r="A222" s="3" t="s">
        <v>526</v>
      </c>
      <c r="B222" s="6"/>
      <c r="C222" s="42" t="s">
        <v>527</v>
      </c>
      <c r="I222" s="6" t="s">
        <v>528</v>
      </c>
    </row>
    <row r="223" customFormat="false" ht="15" hidden="false" customHeight="false" outlineLevel="2" collapsed="false">
      <c r="A223" s="3" t="s">
        <v>529</v>
      </c>
      <c r="B223" s="6"/>
      <c r="C223" s="42" t="s">
        <v>530</v>
      </c>
      <c r="I223" s="11" t="s">
        <v>531</v>
      </c>
    </row>
    <row r="224" customFormat="false" ht="15" hidden="false" customHeight="false" outlineLevel="2" collapsed="false">
      <c r="A224" s="3" t="s">
        <v>532</v>
      </c>
      <c r="B224" s="6"/>
      <c r="C224" s="42" t="s">
        <v>533</v>
      </c>
      <c r="I224" s="11" t="s">
        <v>534</v>
      </c>
    </row>
    <row r="225" customFormat="false" ht="15" hidden="false" customHeight="false" outlineLevel="2" collapsed="false">
      <c r="A225" s="3" t="s">
        <v>535</v>
      </c>
      <c r="B225" s="6" t="s">
        <v>189</v>
      </c>
      <c r="C225" s="33" t="n">
        <v>0.25</v>
      </c>
      <c r="I225" s="11" t="s">
        <v>536</v>
      </c>
    </row>
    <row r="226" customFormat="false" ht="15" hidden="false" customHeight="false" outlineLevel="2" collapsed="false">
      <c r="A226" s="14" t="s">
        <v>537</v>
      </c>
      <c r="B226" s="14" t="s">
        <v>54</v>
      </c>
      <c r="C226" s="28" t="s">
        <v>55</v>
      </c>
      <c r="D226" s="28" t="s">
        <v>56</v>
      </c>
      <c r="E226" s="28" t="s">
        <v>57</v>
      </c>
      <c r="F226" s="28" t="s">
        <v>147</v>
      </c>
      <c r="G226" s="28" t="s">
        <v>148</v>
      </c>
      <c r="I226" s="14" t="s">
        <v>211</v>
      </c>
    </row>
    <row r="227" customFormat="false" ht="15" hidden="false" customHeight="false" outlineLevel="2" collapsed="false">
      <c r="A227" s="3" t="s">
        <v>538</v>
      </c>
      <c r="B227" s="6"/>
      <c r="C227" s="42" t="s">
        <v>539</v>
      </c>
      <c r="D227" s="42" t="s">
        <v>540</v>
      </c>
      <c r="E227" s="42" t="s">
        <v>541</v>
      </c>
      <c r="F227" s="42" t="s">
        <v>542</v>
      </c>
      <c r="G227" s="42" t="s">
        <v>543</v>
      </c>
      <c r="I227" s="6" t="s">
        <v>544</v>
      </c>
    </row>
    <row r="228" customFormat="false" ht="15" hidden="false" customHeight="false" outlineLevel="2" collapsed="false">
      <c r="A228" s="3" t="s">
        <v>545</v>
      </c>
      <c r="B228" s="6" t="s">
        <v>189</v>
      </c>
      <c r="C228" s="33" t="n">
        <v>0.75</v>
      </c>
      <c r="D228" s="33" t="n">
        <v>1.75</v>
      </c>
      <c r="E228" s="33" t="n">
        <v>2.75</v>
      </c>
      <c r="F228" s="33" t="n">
        <v>3.75</v>
      </c>
      <c r="G228" s="33" t="n">
        <v>4.75</v>
      </c>
      <c r="I228" s="6" t="s">
        <v>544</v>
      </c>
    </row>
    <row r="229" customFormat="false" ht="15" hidden="false" customHeight="false" outlineLevel="2" collapsed="false">
      <c r="A229" s="3" t="s">
        <v>546</v>
      </c>
      <c r="B229" s="6" t="s">
        <v>189</v>
      </c>
      <c r="C229" s="33" t="n">
        <v>0</v>
      </c>
      <c r="D229" s="33" t="n">
        <v>0.75</v>
      </c>
      <c r="E229" s="33" t="n">
        <v>1.75</v>
      </c>
      <c r="F229" s="33" t="n">
        <v>2.75</v>
      </c>
      <c r="G229" s="33" t="n">
        <v>3.75</v>
      </c>
      <c r="I229" s="6" t="s">
        <v>544</v>
      </c>
    </row>
    <row r="230" customFormat="false" ht="15" hidden="false" customHeight="false" outlineLevel="1" collapsed="false">
      <c r="A230" s="19" t="s">
        <v>547</v>
      </c>
      <c r="B230" s="20"/>
      <c r="C230" s="20"/>
      <c r="D230" s="20"/>
      <c r="E230" s="20"/>
      <c r="F230" s="20"/>
      <c r="G230" s="20"/>
      <c r="H230" s="20"/>
    </row>
    <row r="231" customFormat="false" ht="15" hidden="false" customHeight="false" outlineLevel="2" collapsed="false">
      <c r="A231" s="3" t="s">
        <v>548</v>
      </c>
      <c r="B231" s="11" t="s">
        <v>42</v>
      </c>
      <c r="C231" s="24" t="n">
        <v>0.25</v>
      </c>
      <c r="I231" s="6" t="s">
        <v>549</v>
      </c>
    </row>
    <row r="232" customFormat="false" ht="15" hidden="false" customHeight="false" outlineLevel="2" collapsed="false">
      <c r="A232" s="3" t="s">
        <v>550</v>
      </c>
      <c r="B232" s="11" t="s">
        <v>42</v>
      </c>
      <c r="C232" s="24" t="n">
        <v>0.9</v>
      </c>
      <c r="I232" s="6" t="s">
        <v>551</v>
      </c>
    </row>
    <row r="233" customFormat="false" ht="15" hidden="false" customHeight="false" outlineLevel="2" collapsed="false">
      <c r="A233" s="3" t="s">
        <v>552</v>
      </c>
      <c r="B233" s="11" t="s">
        <v>42</v>
      </c>
      <c r="C233" s="24" t="n">
        <v>-0.15</v>
      </c>
      <c r="I233" s="6" t="s">
        <v>553</v>
      </c>
    </row>
    <row r="234" customFormat="false" ht="15" hidden="false" customHeight="false" outlineLevel="2" collapsed="false">
      <c r="A234" s="3" t="s">
        <v>554</v>
      </c>
      <c r="B234" s="11" t="s">
        <v>105</v>
      </c>
      <c r="C234" s="40" t="n">
        <v>1.5</v>
      </c>
      <c r="I234" s="6" t="s">
        <v>555</v>
      </c>
    </row>
    <row r="235" customFormat="false" ht="15" hidden="false" customHeight="false" outlineLevel="2" collapsed="false">
      <c r="A235" s="3" t="s">
        <v>556</v>
      </c>
      <c r="B235" s="11" t="s">
        <v>42</v>
      </c>
      <c r="C235" s="24" t="n">
        <v>-0.08</v>
      </c>
      <c r="I235" s="6" t="s">
        <v>557</v>
      </c>
    </row>
    <row r="236" customFormat="false" ht="15" hidden="false" customHeight="false" outlineLevel="2" collapsed="false">
      <c r="A236" s="3" t="s">
        <v>558</v>
      </c>
      <c r="B236" s="11" t="s">
        <v>42</v>
      </c>
      <c r="C236" s="24" t="n">
        <v>0.05</v>
      </c>
      <c r="I236" s="6" t="s">
        <v>559</v>
      </c>
    </row>
    <row r="237" customFormat="false" ht="15" hidden="false" customHeight="false" outlineLevel="2" collapsed="false">
      <c r="A237" s="3" t="s">
        <v>560</v>
      </c>
      <c r="B237" s="11" t="s">
        <v>42</v>
      </c>
      <c r="C237" s="24" t="n">
        <v>0.85</v>
      </c>
      <c r="I237" s="6" t="s">
        <v>561</v>
      </c>
    </row>
    <row r="239" customFormat="false" ht="15" hidden="false" customHeight="false" outlineLevel="0" collapsed="true">
      <c r="A239" s="7" t="s">
        <v>562</v>
      </c>
      <c r="B239" s="8"/>
      <c r="C239" s="8"/>
      <c r="D239" s="8"/>
      <c r="E239" s="8"/>
      <c r="F239" s="8"/>
      <c r="G239" s="8"/>
      <c r="H239" s="8"/>
    </row>
    <row r="240" customFormat="false" ht="15" hidden="true" customHeight="false" outlineLevel="1" collapsed="false">
      <c r="A240" s="4" t="s">
        <v>563</v>
      </c>
      <c r="B240" s="11" t="s">
        <v>59</v>
      </c>
      <c r="C240" s="25" t="n">
        <v>31.289</v>
      </c>
      <c r="I240" s="6" t="s">
        <v>564</v>
      </c>
    </row>
    <row r="241" customFormat="false" ht="15" hidden="true" customHeight="false" outlineLevel="1" collapsed="false">
      <c r="A241" s="3" t="s">
        <v>565</v>
      </c>
      <c r="B241" s="11" t="s">
        <v>59</v>
      </c>
      <c r="C241" s="25" t="n">
        <v>23.103</v>
      </c>
      <c r="I241" s="11" t="s">
        <v>566</v>
      </c>
    </row>
    <row r="242" customFormat="false" ht="15" hidden="true" customHeight="false" outlineLevel="1" collapsed="false">
      <c r="A242" s="3" t="s">
        <v>567</v>
      </c>
      <c r="B242" s="11" t="s">
        <v>59</v>
      </c>
      <c r="C242" s="25" t="n">
        <v>28.499</v>
      </c>
      <c r="I242" s="11" t="s">
        <v>568</v>
      </c>
    </row>
    <row r="243" customFormat="false" ht="15" hidden="true" customHeight="false" outlineLevel="1" collapsed="false">
      <c r="A243" s="4" t="s">
        <v>569</v>
      </c>
      <c r="B243" s="11" t="s">
        <v>59</v>
      </c>
      <c r="C243" s="25" t="n">
        <v>28.499</v>
      </c>
      <c r="I243" s="6" t="s">
        <v>570</v>
      </c>
    </row>
    <row r="244" customFormat="false" ht="15" hidden="true" customHeight="false" outlineLevel="1" collapsed="false">
      <c r="A244" s="4" t="s">
        <v>571</v>
      </c>
      <c r="B244" s="11" t="s">
        <v>59</v>
      </c>
      <c r="C244" s="25" t="n">
        <v>0</v>
      </c>
      <c r="I244" s="6" t="s">
        <v>572</v>
      </c>
    </row>
    <row r="245" customFormat="false" ht="15" hidden="true" customHeight="false" outlineLevel="1" collapsed="false">
      <c r="A245" s="3" t="s">
        <v>573</v>
      </c>
      <c r="B245" s="11" t="s">
        <v>59</v>
      </c>
      <c r="C245" s="25" t="n">
        <v>0</v>
      </c>
      <c r="I245" s="11" t="s">
        <v>574</v>
      </c>
    </row>
    <row r="246" customFormat="false" ht="15" hidden="true" customHeight="false" outlineLevel="1" collapsed="false">
      <c r="A246" s="3" t="s">
        <v>575</v>
      </c>
      <c r="B246" s="11" t="s">
        <v>59</v>
      </c>
      <c r="C246" s="25" t="n">
        <v>4.202</v>
      </c>
      <c r="I246" s="6" t="s">
        <v>576</v>
      </c>
    </row>
    <row r="247" customFormat="false" ht="15" hidden="true" customHeight="false" outlineLevel="1" collapsed="false">
      <c r="A247" s="4" t="s">
        <v>577</v>
      </c>
      <c r="B247" s="11" t="s">
        <v>59</v>
      </c>
      <c r="C247" s="25" t="n">
        <v>0</v>
      </c>
      <c r="I247" s="6" t="s">
        <v>578</v>
      </c>
    </row>
    <row r="248" customFormat="false" ht="15" hidden="true" customHeight="false" outlineLevel="1" collapsed="false">
      <c r="A248" s="3" t="s">
        <v>579</v>
      </c>
      <c r="B248" s="11" t="s">
        <v>59</v>
      </c>
      <c r="C248" s="25" t="n">
        <v>19.909</v>
      </c>
      <c r="I248" s="11" t="s">
        <v>580</v>
      </c>
    </row>
    <row r="249" customFormat="false" ht="15" hidden="true" customHeight="false" outlineLevel="1" collapsed="false">
      <c r="A249" s="3" t="s">
        <v>581</v>
      </c>
      <c r="B249" s="11" t="s">
        <v>59</v>
      </c>
      <c r="C249" s="25" t="n">
        <v>1.428</v>
      </c>
      <c r="I249" s="11" t="s">
        <v>582</v>
      </c>
    </row>
    <row r="250" customFormat="false" ht="15" hidden="true" customHeight="false" outlineLevel="1" collapsed="false">
      <c r="A250" s="3" t="s">
        <v>583</v>
      </c>
      <c r="B250" s="11" t="s">
        <v>59</v>
      </c>
      <c r="C250" s="25" t="n">
        <v>1.136</v>
      </c>
      <c r="I250" s="6" t="s">
        <v>584</v>
      </c>
    </row>
    <row r="251" customFormat="false" ht="15" hidden="true" customHeight="false" outlineLevel="1" collapsed="false">
      <c r="A251" s="3" t="s">
        <v>585</v>
      </c>
      <c r="B251" s="11" t="s">
        <v>59</v>
      </c>
      <c r="C251" s="25" t="n">
        <v>19.345</v>
      </c>
      <c r="I251" s="11" t="s">
        <v>586</v>
      </c>
    </row>
    <row r="252" customFormat="false" ht="15" hidden="true" customHeight="false" outlineLevel="1" collapsed="false">
      <c r="A252" s="4" t="s">
        <v>587</v>
      </c>
      <c r="B252" s="11" t="s">
        <v>59</v>
      </c>
      <c r="C252" s="25" t="n">
        <v>6.728</v>
      </c>
      <c r="I252" s="11" t="s">
        <v>588</v>
      </c>
    </row>
    <row r="253" customFormat="false" ht="15" hidden="true" customHeight="false" outlineLevel="1" collapsed="false">
      <c r="A253" s="3" t="s">
        <v>589</v>
      </c>
      <c r="B253" s="11" t="s">
        <v>59</v>
      </c>
      <c r="C253" s="25" t="n">
        <v>4.76</v>
      </c>
      <c r="I253" s="6" t="s">
        <v>590</v>
      </c>
    </row>
    <row r="254" customFormat="false" ht="15" hidden="true" customHeight="false" outlineLevel="1" collapsed="false">
      <c r="A254" s="3" t="s">
        <v>591</v>
      </c>
      <c r="B254" s="11" t="s">
        <v>59</v>
      </c>
      <c r="C254" s="25" t="n">
        <v>11.363</v>
      </c>
      <c r="I254" s="6" t="s">
        <v>592</v>
      </c>
    </row>
    <row r="255" customFormat="false" ht="15" hidden="true" customHeight="false" outlineLevel="1" collapsed="false">
      <c r="A255" s="4" t="s">
        <v>593</v>
      </c>
      <c r="B255" s="11" t="s">
        <v>59</v>
      </c>
      <c r="C255" s="25" t="n">
        <v>3.358</v>
      </c>
      <c r="I255" s="6" t="s">
        <v>594</v>
      </c>
    </row>
    <row r="256" customFormat="false" ht="15" hidden="true" customHeight="false" outlineLevel="1" collapsed="false">
      <c r="A256" s="4" t="s">
        <v>595</v>
      </c>
      <c r="B256" s="11" t="s">
        <v>59</v>
      </c>
      <c r="C256" s="25" t="n">
        <v>1.127</v>
      </c>
      <c r="I256" s="6" t="s">
        <v>596</v>
      </c>
    </row>
    <row r="257" customFormat="false" ht="15" hidden="true" customHeight="false" outlineLevel="1" collapsed="false">
      <c r="A257" s="4" t="s">
        <v>597</v>
      </c>
      <c r="B257" s="11" t="s">
        <v>39</v>
      </c>
      <c r="C257" s="25" t="n">
        <v>1.56</v>
      </c>
      <c r="I257" s="11" t="s">
        <v>598</v>
      </c>
    </row>
    <row r="258" customFormat="false" ht="15" hidden="true" customHeight="false" outlineLevel="1" collapsed="false">
      <c r="A258" s="4" t="s">
        <v>599</v>
      </c>
      <c r="B258" s="11" t="s">
        <v>39</v>
      </c>
      <c r="C258" s="25" t="n">
        <v>1.96</v>
      </c>
      <c r="I258" s="11" t="s">
        <v>600</v>
      </c>
    </row>
    <row r="259" customFormat="false" ht="15" hidden="true" customHeight="false" outlineLevel="1" collapsed="false">
      <c r="A259" s="3" t="s">
        <v>601</v>
      </c>
      <c r="B259" s="11" t="s">
        <v>59</v>
      </c>
      <c r="C259" s="25" t="n">
        <v>1.565</v>
      </c>
      <c r="I259" s="6" t="s">
        <v>602</v>
      </c>
    </row>
    <row r="260" customFormat="false" ht="15" hidden="true" customHeight="false" outlineLevel="1" collapsed="false">
      <c r="A260" s="3" t="s">
        <v>603</v>
      </c>
      <c r="B260" s="11" t="s">
        <v>59</v>
      </c>
      <c r="C260" s="25" t="n">
        <v>11.307</v>
      </c>
      <c r="I260" s="11" t="s">
        <v>604</v>
      </c>
    </row>
    <row r="262" customFormat="false" ht="15" hidden="false" customHeight="false" outlineLevel="0" collapsed="false">
      <c r="A262" s="7" t="s">
        <v>605</v>
      </c>
      <c r="B262" s="8"/>
      <c r="C262" s="8"/>
      <c r="D262" s="8"/>
      <c r="E262" s="8"/>
      <c r="F262" s="8"/>
      <c r="G262" s="8"/>
      <c r="H262" s="8"/>
      <c r="I262" s="6" t="s">
        <v>606</v>
      </c>
    </row>
    <row r="263" customFormat="false" ht="15" hidden="false" customHeight="false" outlineLevel="1" collapsed="false">
      <c r="A263" s="3" t="s">
        <v>607</v>
      </c>
      <c r="D263" s="12" t="n">
        <f aca="false">評價_DCF與目標價!C51</f>
        <v>133.904980211047</v>
      </c>
      <c r="E263" s="9" t="n">
        <f aca="false">評價_DCF與目標價!C78</f>
        <v>0</v>
      </c>
    </row>
    <row r="264" customFormat="false" ht="15" hidden="false" customHeight="false" outlineLevel="1" collapsed="false">
      <c r="A264" s="3" t="s">
        <v>608</v>
      </c>
      <c r="C264" s="9" t="n">
        <v>1</v>
      </c>
      <c r="D264" s="43" t="n">
        <f t="dataTable" ref="D264:E266" dt2D="0" dtr="0" r1="C5"/>
        <v>73.988811619981</v>
      </c>
      <c r="E264" s="44" t="n">
        <v>-1</v>
      </c>
    </row>
    <row r="265" customFormat="false" ht="15" hidden="false" customHeight="false" outlineLevel="1" collapsed="false">
      <c r="A265" s="3" t="s">
        <v>609</v>
      </c>
      <c r="C265" s="9" t="n">
        <v>2</v>
      </c>
      <c r="D265" s="43" t="n">
        <v>133.904980211047</v>
      </c>
      <c r="E265" s="44" t="n">
        <v>0</v>
      </c>
    </row>
    <row r="266" customFormat="false" ht="15" hidden="false" customHeight="false" outlineLevel="1" collapsed="false">
      <c r="A266" s="3" t="s">
        <v>610</v>
      </c>
      <c r="C266" s="9" t="n">
        <v>3</v>
      </c>
      <c r="D266" s="43" t="n">
        <v>226.609587065156</v>
      </c>
      <c r="E266" s="44" t="n">
        <v>1</v>
      </c>
    </row>
    <row r="268" customFormat="false" ht="15" hidden="false" customHeight="false" outlineLevel="0" collapsed="false">
      <c r="A268" s="7" t="s">
        <v>611</v>
      </c>
      <c r="B268" s="8"/>
      <c r="C268" s="8"/>
      <c r="D268" s="8"/>
      <c r="E268" s="8"/>
      <c r="F268" s="8"/>
      <c r="G268" s="8"/>
      <c r="H268" s="8"/>
      <c r="I268" s="6" t="s">
        <v>612</v>
      </c>
    </row>
    <row r="269" customFormat="false" ht="15" hidden="false" customHeight="false" outlineLevel="1" collapsed="false">
      <c r="A269" s="14" t="s">
        <v>613</v>
      </c>
      <c r="B269" s="14" t="s">
        <v>54</v>
      </c>
      <c r="C269" s="14" t="s">
        <v>614</v>
      </c>
      <c r="D269" s="14"/>
      <c r="E269" s="14"/>
      <c r="F269" s="14" t="s">
        <v>615</v>
      </c>
      <c r="G269" s="14" t="s">
        <v>616</v>
      </c>
      <c r="H269" s="14"/>
      <c r="I269" s="14" t="s">
        <v>617</v>
      </c>
      <c r="J269" s="14" t="s">
        <v>618</v>
      </c>
    </row>
    <row r="270" customFormat="false" ht="15" hidden="false" customHeight="false" outlineLevel="1" collapsed="false">
      <c r="A270" s="3" t="s">
        <v>619</v>
      </c>
      <c r="B270" s="11" t="s">
        <v>39</v>
      </c>
      <c r="C270" s="38" t="n">
        <v>144.77</v>
      </c>
      <c r="F270" s="11" t="s">
        <v>533</v>
      </c>
      <c r="G270" s="11" t="s">
        <v>620</v>
      </c>
      <c r="I270" s="11" t="s">
        <v>621</v>
      </c>
      <c r="J270" s="6" t="s">
        <v>622</v>
      </c>
    </row>
    <row r="271" customFormat="false" ht="15" hidden="false" customHeight="false" outlineLevel="1" collapsed="false">
      <c r="A271" s="3" t="s">
        <v>623</v>
      </c>
      <c r="B271" s="11" t="s">
        <v>39</v>
      </c>
      <c r="C271" s="38" t="n">
        <v>237.97</v>
      </c>
      <c r="F271" s="11" t="s">
        <v>624</v>
      </c>
      <c r="G271" s="11" t="s">
        <v>625</v>
      </c>
      <c r="I271" s="11" t="s">
        <v>626</v>
      </c>
      <c r="J271" s="6"/>
    </row>
    <row r="272" customFormat="false" ht="15" hidden="false" customHeight="false" outlineLevel="1" collapsed="false">
      <c r="A272" s="3" t="s">
        <v>627</v>
      </c>
      <c r="B272" s="11" t="s">
        <v>39</v>
      </c>
      <c r="C272" s="38" t="n">
        <v>240</v>
      </c>
      <c r="F272" s="11" t="s">
        <v>624</v>
      </c>
      <c r="G272" s="11" t="s">
        <v>625</v>
      </c>
      <c r="I272" s="11" t="s">
        <v>626</v>
      </c>
      <c r="J272" s="6"/>
    </row>
    <row r="273" customFormat="false" ht="15" hidden="false" customHeight="false" outlineLevel="1" collapsed="false">
      <c r="A273" s="3" t="s">
        <v>628</v>
      </c>
      <c r="B273" s="11" t="s">
        <v>39</v>
      </c>
      <c r="C273" s="38" t="n">
        <v>110</v>
      </c>
      <c r="F273" s="11" t="s">
        <v>624</v>
      </c>
      <c r="G273" s="11" t="s">
        <v>625</v>
      </c>
      <c r="I273" s="11" t="s">
        <v>626</v>
      </c>
      <c r="J273" s="6"/>
    </row>
    <row r="274" customFormat="false" ht="15" hidden="false" customHeight="false" outlineLevel="1" collapsed="false">
      <c r="A274" s="3" t="s">
        <v>629</v>
      </c>
      <c r="B274" s="11" t="s">
        <v>39</v>
      </c>
      <c r="C274" s="38" t="n">
        <v>400</v>
      </c>
      <c r="F274" s="11" t="s">
        <v>624</v>
      </c>
      <c r="G274" s="11" t="s">
        <v>625</v>
      </c>
      <c r="I274" s="11" t="s">
        <v>626</v>
      </c>
      <c r="J274" s="6"/>
    </row>
    <row r="275" customFormat="false" ht="15" hidden="false" customHeight="false" outlineLevel="1" collapsed="false">
      <c r="A275" s="3" t="s">
        <v>630</v>
      </c>
      <c r="B275" s="6" t="s">
        <v>134</v>
      </c>
      <c r="C275" s="21" t="n">
        <v>43</v>
      </c>
      <c r="F275" s="11" t="s">
        <v>624</v>
      </c>
      <c r="G275" s="11" t="s">
        <v>625</v>
      </c>
      <c r="I275" s="11" t="s">
        <v>626</v>
      </c>
      <c r="J275" s="6"/>
    </row>
    <row r="276" customFormat="false" ht="15" hidden="false" customHeight="false" outlineLevel="1" collapsed="false">
      <c r="A276" s="3" t="s">
        <v>631</v>
      </c>
      <c r="B276" s="6"/>
      <c r="C276" s="4" t="s">
        <v>632</v>
      </c>
      <c r="F276" s="11" t="s">
        <v>624</v>
      </c>
      <c r="G276" s="11" t="s">
        <v>625</v>
      </c>
      <c r="I276" s="11" t="s">
        <v>626</v>
      </c>
      <c r="J276" s="6"/>
    </row>
    <row r="277" customFormat="false" ht="15" hidden="false" customHeight="false" outlineLevel="1" collapsed="false">
      <c r="A277" s="3" t="s">
        <v>633</v>
      </c>
      <c r="B277" s="11" t="s">
        <v>39</v>
      </c>
      <c r="C277" s="38" t="n">
        <v>251.72</v>
      </c>
      <c r="F277" s="11" t="s">
        <v>624</v>
      </c>
      <c r="G277" s="11" t="s">
        <v>625</v>
      </c>
      <c r="I277" s="11" t="s">
        <v>634</v>
      </c>
      <c r="J277" s="6"/>
    </row>
    <row r="278" customFormat="false" ht="15" hidden="false" customHeight="false" outlineLevel="1" collapsed="false">
      <c r="A278" s="3" t="s">
        <v>635</v>
      </c>
      <c r="B278" s="6" t="s">
        <v>134</v>
      </c>
      <c r="C278" s="21" t="n">
        <v>47</v>
      </c>
      <c r="F278" s="11" t="s">
        <v>624</v>
      </c>
      <c r="G278" s="11" t="s">
        <v>625</v>
      </c>
      <c r="I278" s="11" t="s">
        <v>634</v>
      </c>
      <c r="J278" s="6"/>
    </row>
    <row r="279" customFormat="false" ht="15" hidden="false" customHeight="false" outlineLevel="1" collapsed="false">
      <c r="A279" s="3" t="s">
        <v>636</v>
      </c>
      <c r="B279" s="6"/>
      <c r="C279" s="4" t="s">
        <v>637</v>
      </c>
      <c r="F279" s="11" t="s">
        <v>624</v>
      </c>
      <c r="G279" s="11" t="s">
        <v>625</v>
      </c>
      <c r="I279" s="11" t="s">
        <v>634</v>
      </c>
      <c r="J279" s="6"/>
    </row>
    <row r="280" customFormat="false" ht="15" hidden="false" customHeight="false" outlineLevel="1" collapsed="false">
      <c r="A280" s="3" t="s">
        <v>638</v>
      </c>
      <c r="B280" s="11" t="s">
        <v>39</v>
      </c>
      <c r="C280" s="38" t="n">
        <v>237.97</v>
      </c>
      <c r="F280" s="11" t="s">
        <v>624</v>
      </c>
      <c r="G280" s="11" t="s">
        <v>625</v>
      </c>
      <c r="I280" s="11" t="s">
        <v>639</v>
      </c>
      <c r="J280" s="6"/>
    </row>
    <row r="281" customFormat="false" ht="17.15" hidden="false" customHeight="false" outlineLevel="1" collapsed="false">
      <c r="A281" s="14" t="s">
        <v>640</v>
      </c>
      <c r="B281" s="14" t="s">
        <v>54</v>
      </c>
      <c r="C281" s="14" t="s">
        <v>614</v>
      </c>
      <c r="D281" s="14"/>
      <c r="E281" s="14"/>
      <c r="F281" s="14" t="s">
        <v>615</v>
      </c>
      <c r="G281" s="14" t="s">
        <v>616</v>
      </c>
      <c r="H281" s="14"/>
      <c r="I281" s="14" t="s">
        <v>617</v>
      </c>
      <c r="J281" s="14" t="s">
        <v>618</v>
      </c>
    </row>
    <row r="282" customFormat="false" ht="15" hidden="false" customHeight="false" outlineLevel="1" collapsed="false">
      <c r="A282" s="3" t="s">
        <v>641</v>
      </c>
      <c r="B282" s="6" t="s">
        <v>134</v>
      </c>
      <c r="C282" s="21" t="n">
        <v>28</v>
      </c>
      <c r="F282" s="11" t="s">
        <v>624</v>
      </c>
      <c r="G282" s="11" t="s">
        <v>625</v>
      </c>
      <c r="I282" s="11" t="s">
        <v>626</v>
      </c>
      <c r="J282" s="6"/>
    </row>
    <row r="283" customFormat="false" ht="15" hidden="false" customHeight="false" outlineLevel="1" collapsed="false">
      <c r="A283" s="3" t="s">
        <v>642</v>
      </c>
      <c r="B283" s="6" t="s">
        <v>134</v>
      </c>
      <c r="C283" s="21" t="n">
        <v>7</v>
      </c>
      <c r="F283" s="11" t="s">
        <v>624</v>
      </c>
      <c r="G283" s="11" t="s">
        <v>625</v>
      </c>
      <c r="I283" s="11" t="s">
        <v>626</v>
      </c>
      <c r="J283" s="6"/>
    </row>
    <row r="284" customFormat="false" ht="15" hidden="false" customHeight="false" outlineLevel="1" collapsed="false">
      <c r="A284" s="3" t="s">
        <v>643</v>
      </c>
      <c r="B284" s="6" t="s">
        <v>134</v>
      </c>
      <c r="C284" s="21" t="n">
        <v>7</v>
      </c>
      <c r="F284" s="11" t="s">
        <v>624</v>
      </c>
      <c r="G284" s="11" t="s">
        <v>625</v>
      </c>
      <c r="I284" s="11" t="s">
        <v>626</v>
      </c>
      <c r="J284" s="6"/>
    </row>
    <row r="285" customFormat="false" ht="15" hidden="false" customHeight="false" outlineLevel="1" collapsed="false">
      <c r="A285" s="3" t="s">
        <v>644</v>
      </c>
      <c r="B285" s="6" t="s">
        <v>134</v>
      </c>
      <c r="C285" s="21" t="n">
        <v>0</v>
      </c>
      <c r="F285" s="11" t="s">
        <v>624</v>
      </c>
      <c r="G285" s="11" t="s">
        <v>625</v>
      </c>
      <c r="I285" s="11" t="s">
        <v>626</v>
      </c>
      <c r="J285" s="6"/>
    </row>
    <row r="286" customFormat="false" ht="15" hidden="false" customHeight="false" outlineLevel="1" collapsed="false">
      <c r="A286" s="3" t="s">
        <v>645</v>
      </c>
      <c r="B286" s="6" t="s">
        <v>134</v>
      </c>
      <c r="C286" s="21" t="n">
        <v>1</v>
      </c>
      <c r="F286" s="11" t="s">
        <v>624</v>
      </c>
      <c r="G286" s="11" t="s">
        <v>625</v>
      </c>
      <c r="I286" s="11" t="s">
        <v>626</v>
      </c>
      <c r="J286" s="6"/>
    </row>
    <row r="287" customFormat="false" ht="15" hidden="false" customHeight="false" outlineLevel="1" collapsed="false">
      <c r="A287" s="3" t="s">
        <v>646</v>
      </c>
      <c r="B287" s="6" t="s">
        <v>134</v>
      </c>
      <c r="C287" s="21" t="n">
        <v>43</v>
      </c>
      <c r="F287" s="11" t="s">
        <v>624</v>
      </c>
      <c r="G287" s="11" t="s">
        <v>625</v>
      </c>
      <c r="I287" s="11" t="s">
        <v>626</v>
      </c>
      <c r="J287" s="6"/>
    </row>
    <row r="288" customFormat="false" ht="17.15" hidden="false" customHeight="false" outlineLevel="1" collapsed="false">
      <c r="A288" s="14" t="s">
        <v>647</v>
      </c>
      <c r="B288" s="14" t="s">
        <v>54</v>
      </c>
      <c r="C288" s="14" t="s">
        <v>614</v>
      </c>
      <c r="D288" s="14"/>
      <c r="E288" s="14"/>
      <c r="F288" s="14" t="s">
        <v>615</v>
      </c>
      <c r="G288" s="14" t="s">
        <v>616</v>
      </c>
      <c r="H288" s="14"/>
      <c r="I288" s="14" t="s">
        <v>617</v>
      </c>
      <c r="J288" s="14" t="s">
        <v>618</v>
      </c>
    </row>
    <row r="289" customFormat="false" ht="15" hidden="false" customHeight="false" outlineLevel="1" collapsed="false">
      <c r="A289" s="3" t="s">
        <v>648</v>
      </c>
      <c r="B289" s="11" t="s">
        <v>59</v>
      </c>
      <c r="C289" s="45" t="n">
        <v>90.449</v>
      </c>
      <c r="D289" s="45" t="n">
        <v>131.711</v>
      </c>
      <c r="E289" s="45" t="n">
        <v>183.569</v>
      </c>
      <c r="F289" s="11" t="s">
        <v>624</v>
      </c>
      <c r="G289" s="11" t="s">
        <v>625</v>
      </c>
      <c r="I289" s="11" t="s">
        <v>649</v>
      </c>
      <c r="J289" s="6"/>
    </row>
    <row r="290" customFormat="false" ht="15" hidden="false" customHeight="false" outlineLevel="1" collapsed="false">
      <c r="A290" s="3" t="s">
        <v>650</v>
      </c>
      <c r="B290" s="11" t="s">
        <v>59</v>
      </c>
      <c r="C290" s="45" t="n">
        <v>51.664</v>
      </c>
      <c r="D290" s="45" t="n">
        <v>74.642</v>
      </c>
      <c r="E290" s="45" t="n">
        <v>107.543</v>
      </c>
      <c r="F290" s="11" t="s">
        <v>624</v>
      </c>
      <c r="G290" s="11" t="s">
        <v>625</v>
      </c>
      <c r="I290" s="11" t="s">
        <v>649</v>
      </c>
      <c r="J290" s="6"/>
    </row>
    <row r="291" customFormat="false" ht="15" hidden="false" customHeight="false" outlineLevel="1" collapsed="false">
      <c r="A291" s="3" t="s">
        <v>651</v>
      </c>
      <c r="B291" s="11" t="s">
        <v>42</v>
      </c>
      <c r="C291" s="24" t="n">
        <v>0.5712</v>
      </c>
      <c r="D291" s="24" t="n">
        <v>0.5667</v>
      </c>
      <c r="E291" s="24" t="n">
        <v>0.5858</v>
      </c>
      <c r="F291" s="11" t="s">
        <v>624</v>
      </c>
      <c r="G291" s="11" t="s">
        <v>625</v>
      </c>
      <c r="I291" s="11" t="s">
        <v>649</v>
      </c>
      <c r="J291" s="6"/>
    </row>
    <row r="292" customFormat="false" ht="15" hidden="false" customHeight="false" outlineLevel="1" collapsed="false">
      <c r="A292" s="3" t="s">
        <v>652</v>
      </c>
      <c r="B292" s="11" t="s">
        <v>59</v>
      </c>
      <c r="C292" s="45" t="n">
        <v>36.309</v>
      </c>
      <c r="D292" s="45" t="n">
        <v>49.476</v>
      </c>
      <c r="E292" s="45" t="n">
        <v>69.462</v>
      </c>
      <c r="F292" s="11" t="s">
        <v>624</v>
      </c>
      <c r="G292" s="11" t="s">
        <v>625</v>
      </c>
      <c r="I292" s="11" t="s">
        <v>649</v>
      </c>
      <c r="J292" s="6"/>
    </row>
    <row r="293" customFormat="false" ht="15" hidden="false" customHeight="false" outlineLevel="1" collapsed="false">
      <c r="A293" s="3" t="s">
        <v>653</v>
      </c>
      <c r="B293" s="11" t="s">
        <v>59</v>
      </c>
      <c r="C293" s="45" t="n">
        <v>6.207</v>
      </c>
      <c r="D293" s="45" t="n">
        <v>7.401</v>
      </c>
      <c r="E293" s="45" t="n">
        <v>8.051</v>
      </c>
      <c r="F293" s="11" t="s">
        <v>624</v>
      </c>
      <c r="G293" s="11" t="s">
        <v>625</v>
      </c>
      <c r="I293" s="11" t="s">
        <v>649</v>
      </c>
      <c r="J293" s="6"/>
    </row>
    <row r="294" customFormat="false" ht="15" hidden="false" customHeight="false" outlineLevel="1" collapsed="false">
      <c r="A294" s="3" t="s">
        <v>654</v>
      </c>
      <c r="B294" s="11" t="s">
        <v>59</v>
      </c>
      <c r="C294" s="45" t="n">
        <v>20.397</v>
      </c>
      <c r="D294" s="45" t="n">
        <v>29.077</v>
      </c>
      <c r="E294" s="45" t="n">
        <v>44.339</v>
      </c>
      <c r="F294" s="11" t="s">
        <v>624</v>
      </c>
      <c r="G294" s="11" t="s">
        <v>625</v>
      </c>
      <c r="I294" s="11" t="s">
        <v>649</v>
      </c>
      <c r="J294" s="6"/>
    </row>
    <row r="295" customFormat="false" ht="15" hidden="false" customHeight="false" outlineLevel="1" collapsed="false">
      <c r="A295" s="3" t="s">
        <v>655</v>
      </c>
      <c r="B295" s="11" t="s">
        <v>39</v>
      </c>
      <c r="C295" s="38" t="n">
        <v>6.643</v>
      </c>
      <c r="D295" s="38" t="n">
        <v>9.144</v>
      </c>
      <c r="E295" s="38" t="n">
        <v>13.43</v>
      </c>
      <c r="F295" s="11" t="s">
        <v>624</v>
      </c>
      <c r="G295" s="11" t="s">
        <v>625</v>
      </c>
      <c r="I295" s="11" t="s">
        <v>649</v>
      </c>
      <c r="J295" s="6"/>
    </row>
    <row r="296" customFormat="false" ht="15" hidden="false" customHeight="false" outlineLevel="1" collapsed="false">
      <c r="A296" s="3" t="s">
        <v>656</v>
      </c>
      <c r="B296" s="11" t="s">
        <v>59</v>
      </c>
      <c r="C296" s="45" t="n">
        <v>93.961</v>
      </c>
      <c r="D296" s="45" t="n">
        <v>100.962</v>
      </c>
      <c r="E296" s="45" t="n">
        <v>84.848</v>
      </c>
      <c r="F296" s="11" t="s">
        <v>624</v>
      </c>
      <c r="G296" s="11" t="s">
        <v>625</v>
      </c>
      <c r="I296" s="11" t="s">
        <v>649</v>
      </c>
      <c r="J296" s="6"/>
    </row>
    <row r="297" customFormat="false" ht="15" hidden="false" customHeight="false" outlineLevel="1" collapsed="false">
      <c r="A297" s="3" t="s">
        <v>657</v>
      </c>
      <c r="B297" s="11" t="s">
        <v>59</v>
      </c>
      <c r="C297" s="45" t="n">
        <v>-37.32</v>
      </c>
      <c r="D297" s="45" t="n">
        <v>-32.56</v>
      </c>
      <c r="E297" s="45" t="n">
        <v>6.154</v>
      </c>
      <c r="F297" s="11" t="s">
        <v>624</v>
      </c>
      <c r="G297" s="11" t="s">
        <v>625</v>
      </c>
      <c r="I297" s="11" t="s">
        <v>649</v>
      </c>
      <c r="J297" s="6"/>
    </row>
    <row r="298" customFormat="false" ht="15" hidden="false" customHeight="false" outlineLevel="1" collapsed="false">
      <c r="A298" s="3" t="s">
        <v>658</v>
      </c>
      <c r="B298" s="11" t="s">
        <v>59</v>
      </c>
      <c r="C298" s="45" t="n">
        <v>117.047</v>
      </c>
      <c r="D298" s="45" t="n">
        <v>147.351</v>
      </c>
      <c r="E298" s="45" t="n">
        <v>146.812</v>
      </c>
      <c r="F298" s="11" t="s">
        <v>624</v>
      </c>
      <c r="G298" s="11" t="s">
        <v>625</v>
      </c>
      <c r="I298" s="11" t="s">
        <v>649</v>
      </c>
      <c r="J298" s="6"/>
    </row>
    <row r="299" customFormat="false" ht="15" hidden="false" customHeight="false" outlineLevel="1" collapsed="false">
      <c r="A299" s="3" t="s">
        <v>659</v>
      </c>
      <c r="B299" s="11" t="s">
        <v>39</v>
      </c>
      <c r="C299" s="38" t="n">
        <v>1.995</v>
      </c>
      <c r="D299" s="38" t="n">
        <v>2.074</v>
      </c>
      <c r="E299" s="38" t="n">
        <v>2.179</v>
      </c>
      <c r="F299" s="11" t="s">
        <v>624</v>
      </c>
      <c r="G299" s="11" t="s">
        <v>625</v>
      </c>
      <c r="I299" s="11" t="s">
        <v>649</v>
      </c>
      <c r="J299" s="6"/>
    </row>
    <row r="300" customFormat="false" ht="15" hidden="false" customHeight="false" outlineLevel="1" collapsed="false">
      <c r="A300" s="3" t="s">
        <v>660</v>
      </c>
      <c r="B300" s="6"/>
      <c r="C300" s="4" t="s">
        <v>661</v>
      </c>
      <c r="F300" s="11" t="s">
        <v>624</v>
      </c>
      <c r="G300" s="11" t="s">
        <v>625</v>
      </c>
      <c r="I300" s="11" t="s">
        <v>649</v>
      </c>
      <c r="J300" s="6"/>
    </row>
    <row r="301" customFormat="false" ht="17.15" hidden="false" customHeight="false" outlineLevel="1" collapsed="false">
      <c r="A301" s="15" t="s">
        <v>662</v>
      </c>
      <c r="B301" s="14" t="s">
        <v>54</v>
      </c>
      <c r="C301" s="14" t="s">
        <v>614</v>
      </c>
      <c r="D301" s="14"/>
      <c r="E301" s="14"/>
      <c r="F301" s="14" t="s">
        <v>615</v>
      </c>
      <c r="G301" s="14" t="s">
        <v>616</v>
      </c>
      <c r="H301" s="14"/>
      <c r="I301" s="14" t="s">
        <v>617</v>
      </c>
      <c r="J301" s="14" t="s">
        <v>618</v>
      </c>
    </row>
    <row r="302" customFormat="false" ht="15" hidden="false" customHeight="false" outlineLevel="1" collapsed="false">
      <c r="A302" s="3" t="s">
        <v>663</v>
      </c>
      <c r="B302" s="11" t="s">
        <v>59</v>
      </c>
      <c r="C302" s="45" t="n">
        <v>90.45</v>
      </c>
      <c r="F302" s="11" t="s">
        <v>624</v>
      </c>
      <c r="G302" s="11" t="s">
        <v>625</v>
      </c>
      <c r="I302" s="11" t="s">
        <v>626</v>
      </c>
      <c r="J302" s="6"/>
    </row>
    <row r="303" customFormat="false" ht="15" hidden="false" customHeight="false" outlineLevel="1" collapsed="false">
      <c r="A303" s="3" t="s">
        <v>664</v>
      </c>
      <c r="B303" s="11" t="s">
        <v>39</v>
      </c>
      <c r="C303" s="38" t="n">
        <v>8.14</v>
      </c>
      <c r="F303" s="11" t="s">
        <v>624</v>
      </c>
      <c r="G303" s="11" t="s">
        <v>625</v>
      </c>
      <c r="I303" s="11" t="s">
        <v>626</v>
      </c>
      <c r="J303" s="11" t="s">
        <v>665</v>
      </c>
    </row>
    <row r="304" customFormat="false" ht="17.15" hidden="false" customHeight="false" outlineLevel="1" collapsed="false">
      <c r="A304" s="14" t="s">
        <v>666</v>
      </c>
      <c r="B304" s="14" t="s">
        <v>54</v>
      </c>
      <c r="C304" s="14" t="s">
        <v>614</v>
      </c>
      <c r="D304" s="14"/>
      <c r="E304" s="14"/>
      <c r="F304" s="14" t="s">
        <v>615</v>
      </c>
      <c r="G304" s="14" t="s">
        <v>616</v>
      </c>
      <c r="H304" s="14"/>
      <c r="I304" s="14" t="s">
        <v>617</v>
      </c>
      <c r="J304" s="14" t="s">
        <v>618</v>
      </c>
    </row>
    <row r="305" customFormat="false" ht="15" hidden="false" customHeight="false" outlineLevel="1" collapsed="false">
      <c r="A305" s="3" t="s">
        <v>667</v>
      </c>
      <c r="B305" s="11" t="s">
        <v>59</v>
      </c>
      <c r="C305" s="45" t="n">
        <v>21.322</v>
      </c>
      <c r="D305" s="45" t="n">
        <v>23.38</v>
      </c>
      <c r="F305" s="11" t="s">
        <v>624</v>
      </c>
      <c r="G305" s="11" t="s">
        <v>625</v>
      </c>
      <c r="I305" s="11" t="s">
        <v>649</v>
      </c>
      <c r="J305" s="6"/>
    </row>
    <row r="306" customFormat="false" ht="15" hidden="false" customHeight="false" outlineLevel="1" collapsed="false">
      <c r="A306" s="3" t="s">
        <v>668</v>
      </c>
      <c r="B306" s="11" t="s">
        <v>59</v>
      </c>
      <c r="C306" s="45" t="n">
        <v>12.359</v>
      </c>
      <c r="D306" s="45" t="n">
        <v>13.515</v>
      </c>
      <c r="F306" s="11" t="s">
        <v>624</v>
      </c>
      <c r="G306" s="11" t="s">
        <v>625</v>
      </c>
      <c r="I306" s="11" t="s">
        <v>649</v>
      </c>
      <c r="J306" s="6"/>
    </row>
    <row r="307" customFormat="false" ht="15" hidden="false" customHeight="false" outlineLevel="1" collapsed="false">
      <c r="A307" s="3" t="s">
        <v>669</v>
      </c>
      <c r="B307" s="11" t="s">
        <v>59</v>
      </c>
      <c r="C307" s="45" t="n">
        <v>8.536</v>
      </c>
      <c r="D307" s="45" t="n">
        <v>9.23</v>
      </c>
      <c r="F307" s="11" t="s">
        <v>624</v>
      </c>
      <c r="G307" s="11" t="s">
        <v>625</v>
      </c>
      <c r="I307" s="11" t="s">
        <v>649</v>
      </c>
      <c r="J307" s="6"/>
    </row>
    <row r="308" customFormat="false" ht="15" hidden="false" customHeight="false" outlineLevel="1" collapsed="false">
      <c r="A308" s="3" t="s">
        <v>670</v>
      </c>
      <c r="B308" s="11" t="s">
        <v>59</v>
      </c>
      <c r="C308" s="45" t="n">
        <v>4.762</v>
      </c>
      <c r="D308" s="45" t="n">
        <v>5.105</v>
      </c>
      <c r="F308" s="11" t="s">
        <v>624</v>
      </c>
      <c r="G308" s="11" t="s">
        <v>625</v>
      </c>
      <c r="I308" s="11" t="s">
        <v>649</v>
      </c>
      <c r="J308" s="6"/>
    </row>
    <row r="309" customFormat="false" ht="15" hidden="false" customHeight="false" outlineLevel="1" collapsed="false">
      <c r="A309" s="3" t="s">
        <v>671</v>
      </c>
      <c r="B309" s="6"/>
      <c r="C309" s="4" t="s">
        <v>672</v>
      </c>
      <c r="F309" s="11" t="s">
        <v>624</v>
      </c>
      <c r="G309" s="11" t="s">
        <v>625</v>
      </c>
      <c r="I309" s="11" t="s">
        <v>649</v>
      </c>
      <c r="J309" s="6"/>
    </row>
    <row r="310" customFormat="false" ht="15" hidden="false" customHeight="false" outlineLevel="1" collapsed="false">
      <c r="A310" s="14" t="s">
        <v>673</v>
      </c>
      <c r="B310" s="14" t="s">
        <v>54</v>
      </c>
      <c r="C310" s="14" t="s">
        <v>614</v>
      </c>
      <c r="D310" s="14"/>
      <c r="E310" s="14"/>
      <c r="F310" s="14" t="s">
        <v>615</v>
      </c>
      <c r="G310" s="14" t="s">
        <v>616</v>
      </c>
      <c r="H310" s="14"/>
      <c r="I310" s="14" t="s">
        <v>617</v>
      </c>
      <c r="J310" s="14" t="s">
        <v>618</v>
      </c>
    </row>
    <row r="311" customFormat="false" ht="15" hidden="false" customHeight="false" outlineLevel="1" collapsed="false">
      <c r="A311" s="3" t="s">
        <v>674</v>
      </c>
      <c r="B311" s="11" t="s">
        <v>59</v>
      </c>
      <c r="C311" s="45" t="n">
        <v>90</v>
      </c>
      <c r="F311" s="6" t="s">
        <v>675</v>
      </c>
      <c r="G311" s="11" t="s">
        <v>625</v>
      </c>
      <c r="I311" s="11" t="s">
        <v>676</v>
      </c>
      <c r="J311" s="6"/>
    </row>
    <row r="312" customFormat="false" ht="15" hidden="false" customHeight="false" outlineLevel="1" collapsed="false">
      <c r="A312" s="3" t="s">
        <v>677</v>
      </c>
      <c r="B312" s="11" t="s">
        <v>59</v>
      </c>
      <c r="C312" s="45" t="n">
        <v>90</v>
      </c>
      <c r="D312" s="45" t="n">
        <v>95</v>
      </c>
      <c r="F312" s="6" t="s">
        <v>675</v>
      </c>
      <c r="G312" s="11" t="s">
        <v>625</v>
      </c>
      <c r="I312" s="11" t="s">
        <v>676</v>
      </c>
      <c r="J312" s="6"/>
    </row>
    <row r="313" customFormat="false" ht="15" hidden="false" customHeight="false" outlineLevel="1" collapsed="false">
      <c r="A313" s="3" t="s">
        <v>678</v>
      </c>
      <c r="B313" s="11" t="s">
        <v>59</v>
      </c>
      <c r="C313" s="45" t="n">
        <v>70</v>
      </c>
      <c r="F313" s="6" t="s">
        <v>675</v>
      </c>
      <c r="G313" s="11" t="s">
        <v>625</v>
      </c>
      <c r="I313" s="11" t="s">
        <v>676</v>
      </c>
      <c r="J313" s="6"/>
    </row>
    <row r="314" customFormat="false" ht="15" hidden="false" customHeight="false" outlineLevel="1" collapsed="false">
      <c r="A314" s="3" t="s">
        <v>679</v>
      </c>
      <c r="B314" s="11" t="s">
        <v>39</v>
      </c>
      <c r="C314" s="38" t="n">
        <v>8.1</v>
      </c>
      <c r="F314" s="6" t="s">
        <v>675</v>
      </c>
      <c r="G314" s="11" t="s">
        <v>625</v>
      </c>
      <c r="I314" s="11" t="s">
        <v>676</v>
      </c>
      <c r="J314" s="6"/>
    </row>
    <row r="315" customFormat="false" ht="15" hidden="false" customHeight="false" outlineLevel="1" collapsed="false">
      <c r="A315" s="3" t="s">
        <v>680</v>
      </c>
      <c r="B315" s="11" t="s">
        <v>59</v>
      </c>
      <c r="C315" s="45" t="n">
        <v>40</v>
      </c>
      <c r="F315" s="6" t="s">
        <v>675</v>
      </c>
      <c r="G315" s="11" t="s">
        <v>625</v>
      </c>
      <c r="I315" s="11" t="s">
        <v>676</v>
      </c>
      <c r="J315" s="6" t="s">
        <v>681</v>
      </c>
    </row>
    <row r="316" customFormat="false" ht="17.15" hidden="false" customHeight="false" outlineLevel="1" collapsed="false">
      <c r="A316" s="14" t="s">
        <v>682</v>
      </c>
      <c r="B316" s="14" t="s">
        <v>54</v>
      </c>
      <c r="C316" s="14" t="s">
        <v>614</v>
      </c>
      <c r="D316" s="14"/>
      <c r="E316" s="14"/>
      <c r="F316" s="14" t="s">
        <v>615</v>
      </c>
      <c r="G316" s="14" t="s">
        <v>616</v>
      </c>
      <c r="H316" s="14"/>
      <c r="I316" s="14" t="s">
        <v>617</v>
      </c>
      <c r="J316" s="14" t="s">
        <v>618</v>
      </c>
    </row>
    <row r="317" customFormat="false" ht="15" hidden="false" customHeight="false" outlineLevel="1" collapsed="false">
      <c r="A317" s="3" t="s">
        <v>683</v>
      </c>
      <c r="B317" s="11" t="s">
        <v>59</v>
      </c>
      <c r="C317" s="45" t="n">
        <v>90.48</v>
      </c>
      <c r="F317" s="11" t="s">
        <v>624</v>
      </c>
      <c r="G317" s="11" t="s">
        <v>625</v>
      </c>
      <c r="I317" s="11" t="s">
        <v>684</v>
      </c>
      <c r="J317" s="6"/>
    </row>
    <row r="318" customFormat="false" ht="15" hidden="false" customHeight="false" outlineLevel="1" collapsed="false">
      <c r="A318" s="3" t="s">
        <v>685</v>
      </c>
      <c r="B318" s="11" t="s">
        <v>59</v>
      </c>
      <c r="C318" s="45" t="n">
        <v>131.45</v>
      </c>
      <c r="F318" s="11" t="s">
        <v>624</v>
      </c>
      <c r="G318" s="11" t="s">
        <v>625</v>
      </c>
      <c r="I318" s="11" t="s">
        <v>684</v>
      </c>
      <c r="J318" s="6"/>
    </row>
    <row r="319" customFormat="false" ht="15" hidden="false" customHeight="false" outlineLevel="1" collapsed="false">
      <c r="A319" s="3" t="s">
        <v>686</v>
      </c>
      <c r="B319" s="11" t="s">
        <v>39</v>
      </c>
      <c r="C319" s="38" t="n">
        <v>8.14</v>
      </c>
      <c r="F319" s="11" t="s">
        <v>624</v>
      </c>
      <c r="G319" s="11" t="s">
        <v>625</v>
      </c>
      <c r="I319" s="11" t="s">
        <v>684</v>
      </c>
      <c r="J319" s="6"/>
    </row>
    <row r="320" customFormat="false" ht="15" hidden="false" customHeight="false" outlineLevel="1" collapsed="false">
      <c r="A320" s="3" t="s">
        <v>687</v>
      </c>
      <c r="B320" s="11" t="s">
        <v>39</v>
      </c>
      <c r="C320" s="38" t="n">
        <v>11</v>
      </c>
      <c r="F320" s="11" t="s">
        <v>624</v>
      </c>
      <c r="G320" s="11" t="s">
        <v>625</v>
      </c>
      <c r="I320" s="11" t="s">
        <v>684</v>
      </c>
      <c r="J320" s="6" t="s">
        <v>688</v>
      </c>
    </row>
    <row r="321" customFormat="false" ht="15" hidden="false" customHeight="false" outlineLevel="1" collapsed="false">
      <c r="A321" s="14" t="s">
        <v>689</v>
      </c>
      <c r="B321" s="14" t="s">
        <v>54</v>
      </c>
      <c r="C321" s="14" t="s">
        <v>614</v>
      </c>
      <c r="D321" s="14"/>
      <c r="E321" s="14"/>
      <c r="F321" s="14" t="s">
        <v>615</v>
      </c>
      <c r="G321" s="14" t="s">
        <v>616</v>
      </c>
      <c r="H321" s="14"/>
      <c r="I321" s="14" t="s">
        <v>617</v>
      </c>
      <c r="J321" s="14" t="s">
        <v>618</v>
      </c>
    </row>
    <row r="322" customFormat="false" ht="15" hidden="false" customHeight="false" outlineLevel="1" collapsed="false">
      <c r="A322" s="3" t="s">
        <v>690</v>
      </c>
      <c r="B322" s="11" t="s">
        <v>39</v>
      </c>
      <c r="C322" s="38" t="n">
        <v>155</v>
      </c>
      <c r="F322" s="11" t="s">
        <v>624</v>
      </c>
      <c r="G322" s="11" t="s">
        <v>625</v>
      </c>
      <c r="I322" s="11" t="s">
        <v>691</v>
      </c>
      <c r="J322" s="11" t="s">
        <v>692</v>
      </c>
    </row>
    <row r="323" customFormat="false" ht="15" hidden="false" customHeight="false" outlineLevel="1" collapsed="false">
      <c r="A323" s="3" t="s">
        <v>693</v>
      </c>
      <c r="B323" s="11" t="s">
        <v>39</v>
      </c>
      <c r="C323" s="38" t="n">
        <v>325</v>
      </c>
      <c r="F323" s="11" t="s">
        <v>624</v>
      </c>
      <c r="G323" s="11" t="s">
        <v>625</v>
      </c>
      <c r="I323" s="11" t="s">
        <v>691</v>
      </c>
      <c r="J323" s="11" t="s">
        <v>694</v>
      </c>
    </row>
    <row r="324" customFormat="false" ht="15" hidden="false" customHeight="false" outlineLevel="1" collapsed="false">
      <c r="A324" s="3" t="s">
        <v>695</v>
      </c>
      <c r="B324" s="11" t="s">
        <v>39</v>
      </c>
      <c r="C324" s="38" t="n">
        <v>200</v>
      </c>
      <c r="F324" s="11" t="s">
        <v>624</v>
      </c>
      <c r="G324" s="11" t="s">
        <v>625</v>
      </c>
      <c r="I324" s="11" t="s">
        <v>691</v>
      </c>
      <c r="J324" s="11" t="s">
        <v>694</v>
      </c>
    </row>
    <row r="325" customFormat="false" ht="15" hidden="false" customHeight="false" outlineLevel="1" collapsed="false">
      <c r="A325" s="3" t="s">
        <v>696</v>
      </c>
      <c r="B325" s="11" t="s">
        <v>39</v>
      </c>
      <c r="C325" s="3" t="s">
        <v>697</v>
      </c>
      <c r="F325" s="11" t="s">
        <v>624</v>
      </c>
      <c r="G325" s="11" t="s">
        <v>625</v>
      </c>
      <c r="I325" s="11" t="s">
        <v>691</v>
      </c>
      <c r="J325" s="11" t="s">
        <v>694</v>
      </c>
    </row>
    <row r="326" customFormat="false" ht="15" hidden="false" customHeight="false" outlineLevel="1" collapsed="false">
      <c r="A326" s="3" t="s">
        <v>698</v>
      </c>
      <c r="B326" s="11" t="s">
        <v>39</v>
      </c>
      <c r="C326" s="3" t="s">
        <v>697</v>
      </c>
      <c r="F326" s="11" t="s">
        <v>624</v>
      </c>
      <c r="G326" s="11" t="s">
        <v>625</v>
      </c>
      <c r="I326" s="11" t="s">
        <v>691</v>
      </c>
      <c r="J326" s="11" t="s">
        <v>694</v>
      </c>
    </row>
    <row r="327" customFormat="false" ht="15" hidden="false" customHeight="false" outlineLevel="1" collapsed="false">
      <c r="A327" s="14" t="s">
        <v>699</v>
      </c>
      <c r="B327" s="14" t="s">
        <v>54</v>
      </c>
      <c r="C327" s="14" t="s">
        <v>614</v>
      </c>
      <c r="D327" s="14"/>
      <c r="E327" s="14"/>
      <c r="F327" s="14" t="s">
        <v>615</v>
      </c>
      <c r="G327" s="14" t="s">
        <v>616</v>
      </c>
      <c r="H327" s="14"/>
      <c r="I327" s="14" t="s">
        <v>617</v>
      </c>
      <c r="J327" s="14" t="s">
        <v>618</v>
      </c>
    </row>
    <row r="328" customFormat="false" ht="15" hidden="false" customHeight="false" outlineLevel="1" collapsed="false">
      <c r="A328" s="3" t="s">
        <v>700</v>
      </c>
      <c r="B328" s="6"/>
      <c r="C328" s="4" t="s">
        <v>701</v>
      </c>
      <c r="F328" s="11" t="s">
        <v>624</v>
      </c>
      <c r="G328" s="6"/>
      <c r="I328" s="6" t="s">
        <v>702</v>
      </c>
      <c r="J328" s="6"/>
    </row>
    <row r="329" customFormat="false" ht="15" hidden="false" customHeight="false" outlineLevel="1" collapsed="false">
      <c r="A329" s="3" t="s">
        <v>703</v>
      </c>
      <c r="B329" s="6"/>
      <c r="C329" s="4" t="s">
        <v>704</v>
      </c>
      <c r="F329" s="11" t="s">
        <v>624</v>
      </c>
      <c r="G329" s="6"/>
      <c r="I329" s="6" t="s">
        <v>702</v>
      </c>
      <c r="J329" s="6"/>
    </row>
    <row r="330" customFormat="false" ht="15" hidden="false" customHeight="false" outlineLevel="1" collapsed="false">
      <c r="A330" s="3" t="s">
        <v>705</v>
      </c>
      <c r="B330" s="6"/>
      <c r="C330" s="4" t="s">
        <v>706</v>
      </c>
      <c r="F330" s="11" t="s">
        <v>624</v>
      </c>
      <c r="G330" s="6"/>
      <c r="I330" s="6" t="s">
        <v>702</v>
      </c>
      <c r="J330" s="6"/>
    </row>
    <row r="331" customFormat="false" ht="15" hidden="false" customHeight="false" outlineLevel="1" collapsed="false">
      <c r="A331" s="3" t="s">
        <v>707</v>
      </c>
      <c r="B331" s="6"/>
      <c r="C331" s="4" t="s">
        <v>708</v>
      </c>
      <c r="F331" s="11" t="s">
        <v>624</v>
      </c>
      <c r="G331" s="6"/>
      <c r="I331" s="6" t="s">
        <v>702</v>
      </c>
      <c r="J331" s="6"/>
    </row>
    <row r="332" customFormat="false" ht="15" hidden="false" customHeight="false" outlineLevel="1" collapsed="false">
      <c r="A332" s="3" t="s">
        <v>709</v>
      </c>
      <c r="B332" s="6"/>
      <c r="C332" s="3" t="s">
        <v>710</v>
      </c>
      <c r="F332" s="11" t="s">
        <v>624</v>
      </c>
      <c r="G332" s="6"/>
      <c r="I332" s="6" t="s">
        <v>702</v>
      </c>
      <c r="J332" s="6"/>
    </row>
    <row r="333" customFormat="false" ht="15" hidden="false" customHeight="false" outlineLevel="1" collapsed="false">
      <c r="A333" s="3" t="s">
        <v>711</v>
      </c>
      <c r="B333" s="11" t="s">
        <v>42</v>
      </c>
      <c r="C333" s="24" t="n">
        <v>0.05</v>
      </c>
      <c r="I333" s="6" t="s">
        <v>712</v>
      </c>
    </row>
    <row r="334" customFormat="false" ht="15" hidden="false" customHeight="false" outlineLevel="1" collapsed="false">
      <c r="A334" s="3" t="s">
        <v>713</v>
      </c>
      <c r="B334" s="11" t="s">
        <v>71</v>
      </c>
      <c r="C334" s="24" t="n">
        <v>0.02</v>
      </c>
      <c r="I334" s="6" t="s">
        <v>714</v>
      </c>
    </row>
    <row r="336" customFormat="false" ht="15" hidden="false" customHeight="false" outlineLevel="0" collapsed="false">
      <c r="A336" s="7" t="s">
        <v>715</v>
      </c>
      <c r="B336" s="8"/>
      <c r="C336" s="8"/>
      <c r="D336" s="8"/>
      <c r="E336" s="8"/>
      <c r="F336" s="8"/>
      <c r="G336" s="8"/>
      <c r="H336" s="8"/>
    </row>
    <row r="337" customFormat="false" ht="15" hidden="false" customHeight="false" outlineLevel="1" collapsed="false">
      <c r="A337" s="14" t="s">
        <v>716</v>
      </c>
      <c r="B337" s="14" t="s">
        <v>54</v>
      </c>
      <c r="C337" s="15" t="s">
        <v>717</v>
      </c>
      <c r="D337" s="15" t="s">
        <v>718</v>
      </c>
      <c r="E337" s="15" t="s">
        <v>719</v>
      </c>
      <c r="F337" s="15" t="s">
        <v>720</v>
      </c>
      <c r="G337" s="15" t="s">
        <v>721</v>
      </c>
      <c r="H337" s="15" t="s">
        <v>722</v>
      </c>
      <c r="J337" s="14" t="s">
        <v>723</v>
      </c>
    </row>
    <row r="338" customFormat="false" ht="15" hidden="false" customHeight="false" outlineLevel="1" collapsed="false">
      <c r="A338" s="3" t="s">
        <v>724</v>
      </c>
      <c r="C338" s="22" t="n">
        <v>1</v>
      </c>
      <c r="D338" s="22" t="n">
        <v>1</v>
      </c>
      <c r="E338" s="22" t="n">
        <v>1</v>
      </c>
      <c r="F338" s="22" t="n">
        <v>2</v>
      </c>
      <c r="G338" s="22" t="n">
        <v>2</v>
      </c>
      <c r="H338" s="22" t="n">
        <v>2</v>
      </c>
      <c r="J338" s="6" t="s">
        <v>725</v>
      </c>
    </row>
    <row r="339" customFormat="false" ht="15" hidden="false" customHeight="false" outlineLevel="1" collapsed="false">
      <c r="A339" s="3" t="s">
        <v>726</v>
      </c>
      <c r="C339" s="18" t="n">
        <v>1</v>
      </c>
      <c r="J339" s="6" t="s">
        <v>727</v>
      </c>
    </row>
    <row r="340" customFormat="false" ht="15" hidden="false" customHeight="false" outlineLevel="1" collapsed="false">
      <c r="A340" s="3" t="s">
        <v>728</v>
      </c>
      <c r="B340" s="11" t="s">
        <v>59</v>
      </c>
      <c r="C340" s="45" t="n">
        <v>19.345</v>
      </c>
      <c r="J340" s="6" t="s">
        <v>729</v>
      </c>
    </row>
    <row r="341" customFormat="false" ht="15" hidden="false" customHeight="false" outlineLevel="1" collapsed="false">
      <c r="A341" s="3" t="s">
        <v>730</v>
      </c>
      <c r="B341" s="11" t="s">
        <v>151</v>
      </c>
      <c r="C341" s="21" t="n">
        <v>2543</v>
      </c>
      <c r="J341" s="6" t="s">
        <v>731</v>
      </c>
    </row>
    <row r="342" customFormat="false" ht="15" hidden="false" customHeight="false" outlineLevel="1" collapsed="false">
      <c r="A342" s="3" t="s">
        <v>732</v>
      </c>
      <c r="B342" s="11" t="s">
        <v>59</v>
      </c>
      <c r="C342" s="45"/>
      <c r="D342" s="45"/>
      <c r="E342" s="45"/>
      <c r="F342" s="45"/>
      <c r="G342" s="45"/>
      <c r="H342" s="45"/>
      <c r="J342" s="6" t="s">
        <v>733</v>
      </c>
    </row>
    <row r="343" customFormat="false" ht="15" hidden="false" customHeight="false" outlineLevel="1" collapsed="false">
      <c r="A343" s="3" t="s">
        <v>734</v>
      </c>
      <c r="B343" s="11" t="s">
        <v>59</v>
      </c>
      <c r="C343" s="45"/>
      <c r="D343" s="45"/>
      <c r="E343" s="45"/>
      <c r="F343" s="45"/>
      <c r="G343" s="45"/>
      <c r="H343" s="45"/>
    </row>
    <row r="344" customFormat="false" ht="15" hidden="false" customHeight="false" outlineLevel="1" collapsed="false">
      <c r="A344" s="3" t="s">
        <v>735</v>
      </c>
      <c r="B344" s="11" t="s">
        <v>59</v>
      </c>
      <c r="C344" s="45"/>
      <c r="D344" s="45"/>
      <c r="E344" s="45"/>
      <c r="F344" s="45"/>
      <c r="G344" s="45"/>
      <c r="H344" s="45"/>
    </row>
    <row r="345" customFormat="false" ht="15" hidden="false" customHeight="false" outlineLevel="1" collapsed="false">
      <c r="A345" s="3" t="s">
        <v>736</v>
      </c>
      <c r="B345" s="11" t="s">
        <v>59</v>
      </c>
      <c r="C345" s="45"/>
      <c r="D345" s="45"/>
      <c r="E345" s="45"/>
      <c r="F345" s="45"/>
      <c r="G345" s="45"/>
      <c r="H345" s="45"/>
    </row>
    <row r="346" customFormat="false" ht="15" hidden="false" customHeight="false" outlineLevel="1" collapsed="false">
      <c r="A346" s="3" t="s">
        <v>737</v>
      </c>
      <c r="B346" s="11" t="s">
        <v>151</v>
      </c>
      <c r="C346" s="21"/>
      <c r="D346" s="21"/>
      <c r="E346" s="21"/>
      <c r="F346" s="21"/>
      <c r="G346" s="21"/>
      <c r="H346" s="21"/>
    </row>
    <row r="347" customFormat="false" ht="15" hidden="false" customHeight="false" outlineLevel="1" collapsed="false">
      <c r="A347" s="3" t="s">
        <v>738</v>
      </c>
      <c r="C347" s="27"/>
      <c r="D347" s="27"/>
      <c r="E347" s="27"/>
      <c r="F347" s="27"/>
      <c r="G347" s="27"/>
      <c r="H347" s="27"/>
    </row>
    <row r="348" customFormat="false" ht="15" hidden="false" customHeight="false" outlineLevel="1" collapsed="false">
      <c r="A348" s="3" t="s">
        <v>739</v>
      </c>
      <c r="C348" s="27"/>
      <c r="D348" s="27"/>
      <c r="E348" s="27"/>
      <c r="F348" s="27"/>
      <c r="G348" s="27"/>
      <c r="H348" s="27"/>
    </row>
    <row r="349" customFormat="false" ht="15" hidden="false" customHeight="false" outlineLevel="1" collapsed="false">
      <c r="A349" s="3" t="s">
        <v>740</v>
      </c>
      <c r="C349" s="27"/>
      <c r="D349" s="27"/>
      <c r="E349" s="27"/>
      <c r="F349" s="27"/>
      <c r="G349" s="27"/>
      <c r="H349" s="27"/>
    </row>
    <row r="350" customFormat="false" ht="15" hidden="false" customHeight="false" outlineLevel="1" collapsed="false">
      <c r="A350" s="3" t="s">
        <v>741</v>
      </c>
      <c r="B350" s="11" t="s">
        <v>59</v>
      </c>
      <c r="C350" s="45" t="n">
        <v>20.875</v>
      </c>
      <c r="D350" s="45"/>
      <c r="E350" s="45"/>
      <c r="F350" s="45"/>
      <c r="G350" s="45"/>
      <c r="H350" s="45"/>
      <c r="J350" s="11" t="s">
        <v>742</v>
      </c>
    </row>
    <row r="351" customFormat="false" ht="15" hidden="false" customHeight="false" outlineLevel="1" collapsed="false">
      <c r="A351" s="3" t="s">
        <v>743</v>
      </c>
      <c r="B351" s="11" t="s">
        <v>59</v>
      </c>
      <c r="C351" s="45" t="n">
        <v>21.518</v>
      </c>
      <c r="D351" s="45"/>
      <c r="E351" s="45"/>
      <c r="F351" s="45"/>
      <c r="G351" s="45"/>
      <c r="H351" s="45"/>
    </row>
    <row r="352" customFormat="false" ht="15" hidden="false" customHeight="false" outlineLevel="1" collapsed="false">
      <c r="A352" s="3" t="s">
        <v>744</v>
      </c>
      <c r="B352" s="11" t="s">
        <v>59</v>
      </c>
      <c r="C352" s="45" t="n">
        <v>90</v>
      </c>
      <c r="D352" s="45" t="n">
        <v>90</v>
      </c>
      <c r="E352" s="45" t="n">
        <v>19.345</v>
      </c>
      <c r="J352" s="6" t="s">
        <v>745</v>
      </c>
    </row>
    <row r="353" customFormat="false" ht="15" hidden="false" customHeight="false" outlineLevel="1" collapsed="false">
      <c r="A353" s="3" t="s">
        <v>746</v>
      </c>
      <c r="B353" s="11" t="s">
        <v>59</v>
      </c>
      <c r="C353" s="45" t="n">
        <v>90</v>
      </c>
      <c r="D353" s="45" t="n">
        <v>95</v>
      </c>
      <c r="E353" s="45" t="n">
        <v>28.499</v>
      </c>
      <c r="J353" s="6" t="s">
        <v>745</v>
      </c>
    </row>
  </sheetData>
  <dataValidations count="1">
    <dataValidation allowBlank="false" error="請輸入 1–4" errorStyle="stop" errorTitle="錨定年度" operator="between" showDropDown="false" showErrorMessage="true" showInputMessage="false" sqref="C205" type="whole">
      <formula1>1</formula1>
      <formula2>4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F6B4C"/>
    <outlinePr summaryBelow="0" summaryRight="1"/>
    <pageSetUpPr fitToPage="false"/>
  </sheetPr>
  <dimension ref="A1:I1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1" outlineLevelCol="0"/>
  <cols>
    <col collapsed="false" customWidth="true" hidden="false" outlineLevel="0" max="1" min="1" style="0" width="42"/>
    <col collapsed="false" customWidth="true" hidden="false" outlineLevel="0" max="2" min="2" style="0" width="12"/>
    <col collapsed="false" customWidth="true" hidden="false" outlineLevel="0" max="7" min="3" style="0" width="13"/>
    <col collapsed="false" customWidth="true" hidden="false" outlineLevel="0" max="9" min="9" style="0" width="96"/>
  </cols>
  <sheetData>
    <row r="1" customFormat="false" ht="17.35" hidden="false" customHeight="false" outlineLevel="0" collapsed="false">
      <c r="A1" s="5" t="s">
        <v>747</v>
      </c>
    </row>
    <row r="2" customFormat="false" ht="15" hidden="false" customHeight="false" outlineLevel="0" collapsed="false">
      <c r="A2" s="11" t="s">
        <v>748</v>
      </c>
    </row>
    <row r="4" customFormat="false" ht="15" hidden="false" customHeight="false" outlineLevel="0" collapsed="false">
      <c r="A4" s="14" t="s">
        <v>53</v>
      </c>
      <c r="B4" s="14" t="s">
        <v>54</v>
      </c>
      <c r="C4" s="28" t="s">
        <v>55</v>
      </c>
      <c r="D4" s="28" t="s">
        <v>56</v>
      </c>
      <c r="E4" s="28" t="s">
        <v>57</v>
      </c>
      <c r="F4" s="28" t="s">
        <v>147</v>
      </c>
      <c r="G4" s="28" t="s">
        <v>148</v>
      </c>
      <c r="I4" s="14" t="s">
        <v>749</v>
      </c>
    </row>
    <row r="5" customFormat="false" ht="15" hidden="false" customHeight="false" outlineLevel="0" collapsed="false">
      <c r="A5" s="46" t="s">
        <v>750</v>
      </c>
      <c r="B5" s="8"/>
      <c r="C5" s="8"/>
      <c r="D5" s="8"/>
      <c r="E5" s="8"/>
      <c r="F5" s="8"/>
      <c r="G5" s="8"/>
      <c r="H5" s="8"/>
    </row>
    <row r="6" customFormat="false" ht="15" hidden="false" customHeight="false" outlineLevel="1" collapsed="false">
      <c r="A6" s="3" t="s">
        <v>751</v>
      </c>
      <c r="B6" s="11" t="s">
        <v>59</v>
      </c>
      <c r="C6" s="33" t="n">
        <f aca="false">輸入與假設!$C$243+輸入與假設!C$135</f>
        <v>106.09585</v>
      </c>
      <c r="D6" s="33" t="n">
        <f aca="false">輸入與假設!D$135</f>
        <v>86.020956</v>
      </c>
      <c r="E6" s="33" t="n">
        <f aca="false">輸入與假設!E$135</f>
        <v>31.2015795</v>
      </c>
      <c r="F6" s="33" t="n">
        <f aca="false">輸入與假設!F$135</f>
        <v>54.99417</v>
      </c>
      <c r="G6" s="33" t="n">
        <f aca="false">輸入與假設!G$135</f>
        <v>54.99417</v>
      </c>
      <c r="I6" s="11" t="s">
        <v>752</v>
      </c>
    </row>
    <row r="7" customFormat="false" ht="15" hidden="false" customHeight="false" outlineLevel="1" collapsed="false">
      <c r="A7" s="3" t="s">
        <v>753</v>
      </c>
      <c r="B7" s="11" t="s">
        <v>42</v>
      </c>
      <c r="C7" s="47" t="n">
        <f aca="false">輸入與假設!C$116</f>
        <v>0.243</v>
      </c>
      <c r="D7" s="47" t="n">
        <f aca="false">輸入與假設!D$116</f>
        <v>0.243</v>
      </c>
      <c r="E7" s="47" t="n">
        <f aca="false">輸入與假設!E$116</f>
        <v>0.243</v>
      </c>
      <c r="F7" s="47" t="n">
        <f aca="false">輸入與假設!F$116</f>
        <v>0.243</v>
      </c>
      <c r="G7" s="47" t="n">
        <f aca="false">輸入與假設!G$116</f>
        <v>0.243</v>
      </c>
    </row>
    <row r="8" customFormat="false" ht="15" hidden="false" customHeight="false" outlineLevel="1" collapsed="false">
      <c r="A8" s="3" t="s">
        <v>754</v>
      </c>
      <c r="B8" s="11" t="s">
        <v>59</v>
      </c>
      <c r="C8" s="33" t="n">
        <f aca="false">(輸入與假設!C$128+輸入與假設!C$132)*C7</f>
        <v>18.85603455</v>
      </c>
      <c r="D8" s="33" t="n">
        <f aca="false">(輸入與假設!D$128+輸入與假設!D$132)*D7</f>
        <v>20.903092308</v>
      </c>
      <c r="E8" s="33" t="n">
        <f aca="false">(輸入與假設!E$128+輸入與假設!E$132)*E7</f>
        <v>7.5819838185</v>
      </c>
      <c r="F8" s="33" t="n">
        <f aca="false">(輸入與假設!F$128+輸入與假設!F$132)*F7</f>
        <v>13.36358331</v>
      </c>
      <c r="G8" s="33" t="n">
        <f aca="false">(輸入與假設!G$128+輸入與假設!G$132)*G7</f>
        <v>13.36358331</v>
      </c>
      <c r="I8" s="6" t="s">
        <v>755</v>
      </c>
    </row>
    <row r="9" customFormat="false" ht="15" hidden="false" customHeight="false" outlineLevel="1" collapsed="false">
      <c r="A9" s="3" t="s">
        <v>756</v>
      </c>
      <c r="B9" s="11" t="s">
        <v>59</v>
      </c>
      <c r="C9" s="33" t="n">
        <f aca="false">輸入與假設!$C$113</f>
        <v>15.955</v>
      </c>
      <c r="D9" s="33" t="n">
        <f aca="false">C12</f>
        <v>33.7301182718891</v>
      </c>
      <c r="E9" s="33" t="n">
        <f aca="false">D12</f>
        <v>50.753693313463</v>
      </c>
      <c r="F9" s="33" t="n">
        <f aca="false">E12</f>
        <v>51.72379764652</v>
      </c>
      <c r="G9" s="33" t="n">
        <f aca="false">F12</f>
        <v>58.5319760610986</v>
      </c>
      <c r="I9" s="11" t="s">
        <v>757</v>
      </c>
    </row>
    <row r="10" customFormat="false" ht="15" hidden="false" customHeight="false" outlineLevel="1" collapsed="false">
      <c r="A10" s="3" t="s">
        <v>758</v>
      </c>
      <c r="B10" s="11" t="s">
        <v>59</v>
      </c>
      <c r="C10" s="33" t="n">
        <f aca="false">輸入與假設!$C$114*(C9+0.5*C8)*運營_產能與收入!C7</f>
        <v>1.54392202575188</v>
      </c>
      <c r="D10" s="33" t="n">
        <f aca="false">輸入與假設!$C$114*(D9+0.5*D8)*運營_產能與收入!D7</f>
        <v>3.58313298493961</v>
      </c>
      <c r="E10" s="33" t="n">
        <f aca="false">輸入與假設!$C$114*(E9+0.5*E8)*運營_產能與收入!E7</f>
        <v>4.42357397156202</v>
      </c>
      <c r="F10" s="33" t="n">
        <f aca="false">輸入與假設!$C$114*(F9+0.5*F8)*運營_產能與收入!F7</f>
        <v>4.73669329235327</v>
      </c>
      <c r="G10" s="33" t="n">
        <f aca="false">輸入與假設!$C$114*(G9+0.5*G8)*運營_產能與收入!G7</f>
        <v>5.2888365617756</v>
      </c>
      <c r="I10" s="6" t="s">
        <v>759</v>
      </c>
    </row>
    <row r="11" customFormat="false" ht="15" hidden="false" customHeight="false" outlineLevel="1" collapsed="false">
      <c r="A11" s="3" t="s">
        <v>760</v>
      </c>
      <c r="B11" s="11" t="s">
        <v>59</v>
      </c>
      <c r="C11" s="33" t="n">
        <f aca="false">MIN(C9+C10,(C9+C10)/輸入與假設!$C$112*運營_產能與收入!C7)</f>
        <v>2.62483830386278</v>
      </c>
      <c r="D11" s="33" t="n">
        <f aca="false">MIN(D9+D10,(D9+D10)/輸入與假設!$C$112*運營_產能與收入!D7)</f>
        <v>7.46265025136574</v>
      </c>
      <c r="E11" s="33" t="n">
        <f aca="false">MIN(E9+E10,(E9+E10)/輸入與假設!$C$112*運營_產能與收入!E7)</f>
        <v>11.035453457005</v>
      </c>
      <c r="F11" s="33" t="n">
        <f aca="false">MIN(F9+F10,(F9+F10)/輸入與假設!$C$112*運營_產能與收入!F7)</f>
        <v>11.2920981877747</v>
      </c>
      <c r="G11" s="33" t="n">
        <f aca="false">MIN(G9+G10,(G9+G10)/輸入與假設!$C$112*運營_產能與收入!G7)</f>
        <v>12.7641625245748</v>
      </c>
      <c r="I11" s="6" t="s">
        <v>761</v>
      </c>
    </row>
    <row r="12" customFormat="false" ht="15" hidden="false" customHeight="false" outlineLevel="1" collapsed="false">
      <c r="A12" s="3" t="s">
        <v>762</v>
      </c>
      <c r="B12" s="11" t="s">
        <v>59</v>
      </c>
      <c r="C12" s="33" t="n">
        <f aca="false">C9+C8+C10-C11</f>
        <v>33.7301182718891</v>
      </c>
      <c r="D12" s="33" t="n">
        <f aca="false">D9+D8+D10-D11</f>
        <v>50.753693313463</v>
      </c>
      <c r="E12" s="33" t="n">
        <f aca="false">E9+E8+E10-E11</f>
        <v>51.72379764652</v>
      </c>
      <c r="F12" s="33" t="n">
        <f aca="false">F9+F8+F10-F11</f>
        <v>58.5319760610986</v>
      </c>
      <c r="G12" s="33" t="n">
        <f aca="false">G9+G8+G10-G11</f>
        <v>64.4202334082993</v>
      </c>
      <c r="I12" s="6" t="s">
        <v>763</v>
      </c>
    </row>
    <row r="13" customFormat="false" ht="15" hidden="false" customHeight="false" outlineLevel="1" collapsed="false">
      <c r="A13" s="4" t="s">
        <v>764</v>
      </c>
      <c r="B13" s="11" t="s">
        <v>59</v>
      </c>
      <c r="C13" s="33" t="n">
        <f aca="false">輸入與假設!$C$242+輸入與假設!C$135</f>
        <v>106.09585</v>
      </c>
      <c r="D13" s="33" t="n">
        <f aca="false">輸入與假設!D$135</f>
        <v>86.020956</v>
      </c>
      <c r="E13" s="33" t="n">
        <f aca="false">輸入與假設!E$135</f>
        <v>31.2015795</v>
      </c>
      <c r="F13" s="33" t="n">
        <f aca="false">輸入與假設!F$135</f>
        <v>54.99417</v>
      </c>
      <c r="G13" s="33" t="n">
        <f aca="false">輸入與假設!G$135</f>
        <v>54.99417</v>
      </c>
      <c r="I13" s="11" t="s">
        <v>765</v>
      </c>
    </row>
    <row r="14" customFormat="false" ht="15" hidden="false" customHeight="false" outlineLevel="1" collapsed="false">
      <c r="A14" s="3" t="s">
        <v>766</v>
      </c>
      <c r="B14" s="11" t="s">
        <v>59</v>
      </c>
      <c r="C14" s="39" t="n">
        <f aca="false">輸入與假設!C$117</f>
        <v>3.839</v>
      </c>
      <c r="D14" s="39" t="n">
        <f aca="false">輸入與假設!D$117</f>
        <v>4.987</v>
      </c>
      <c r="E14" s="39" t="n">
        <f aca="false">輸入與假設!E$117</f>
        <v>5.02</v>
      </c>
      <c r="F14" s="39" t="n">
        <f aca="false">輸入與假設!F$117</f>
        <v>5.056</v>
      </c>
      <c r="G14" s="39" t="n">
        <f aca="false">輸入與假設!G$117</f>
        <v>5.06</v>
      </c>
      <c r="I14" s="6" t="s">
        <v>767</v>
      </c>
    </row>
    <row r="15" customFormat="false" ht="15" hidden="false" customHeight="false" outlineLevel="1" collapsed="false">
      <c r="A15" s="3" t="s">
        <v>768</v>
      </c>
      <c r="B15" s="11" t="s">
        <v>59</v>
      </c>
      <c r="C15" s="39" t="n">
        <f aca="false">運營_產能與收入!C59</f>
        <v>1.73262032085562</v>
      </c>
      <c r="D15" s="39" t="n">
        <f aca="false">運營_產能與收入!D59</f>
        <v>7.70053475935829</v>
      </c>
      <c r="E15" s="39" t="n">
        <f aca="false">運營_產能與收入!E59</f>
        <v>13.8609625668449</v>
      </c>
      <c r="F15" s="39" t="n">
        <f aca="false">運營_產能與收入!F59</f>
        <v>16.9411764705882</v>
      </c>
      <c r="G15" s="39" t="n">
        <f aca="false">運營_產能與收入!G59</f>
        <v>16.9411764705882</v>
      </c>
      <c r="I15" s="6" t="s">
        <v>769</v>
      </c>
    </row>
    <row r="16" customFormat="false" ht="15" hidden="false" customHeight="false" outlineLevel="1" collapsed="false">
      <c r="A16" s="3" t="s">
        <v>770</v>
      </c>
      <c r="B16" s="11" t="s">
        <v>59</v>
      </c>
      <c r="C16" s="33" t="n">
        <f aca="false">C14+C15</f>
        <v>5.57162032085562</v>
      </c>
      <c r="D16" s="33" t="n">
        <f aca="false">D14+D15</f>
        <v>12.6875347593583</v>
      </c>
      <c r="E16" s="33" t="n">
        <f aca="false">E14+E15</f>
        <v>18.8809625668449</v>
      </c>
      <c r="F16" s="33" t="n">
        <f aca="false">F14+F15</f>
        <v>21.9971764705882</v>
      </c>
      <c r="G16" s="33" t="n">
        <f aca="false">G14+G15</f>
        <v>22.0011764705882</v>
      </c>
      <c r="I16" s="6" t="s">
        <v>771</v>
      </c>
    </row>
    <row r="17" customFormat="false" ht="15" hidden="false" customHeight="false" outlineLevel="1" collapsed="false">
      <c r="A17" s="3" t="s">
        <v>772</v>
      </c>
      <c r="B17" s="11" t="s">
        <v>59</v>
      </c>
      <c r="C17" s="39" t="n">
        <f aca="false">輸入與假設!C$172</f>
        <v>4.47957091589961</v>
      </c>
      <c r="D17" s="39" t="n">
        <f aca="false">輸入與假設!D$172</f>
        <v>5.65698394898732</v>
      </c>
      <c r="E17" s="39" t="n">
        <f aca="false">輸入與假設!E$172</f>
        <v>5.28135927373237</v>
      </c>
      <c r="F17" s="39" t="n">
        <f aca="false">輸入與假設!F$172</f>
        <v>4.97528049764106</v>
      </c>
      <c r="G17" s="39" t="n">
        <f aca="false">輸入與假設!G$172</f>
        <v>4.56717546285265</v>
      </c>
      <c r="I17" s="6" t="str">
        <f aca="false">"8/31 債務餘額的利息。FY27 全年利息＝1Q 實際 1.428＋2Q–4Q "&amp;TEXT(C17,"0.0")&amp;"＝"&amp;TEXT(1.428+C17,"0.00")&amp;"（見下方備忘）"</f>
        <v>8/31 債務餘額的利息。FY27 全年利息＝1Q 實際 1.428＋2Q–4Q 4.5＝5.91（見下方備忘）</v>
      </c>
    </row>
    <row r="18" customFormat="false" ht="15" hidden="false" customHeight="false" outlineLevel="1" collapsed="false">
      <c r="A18" s="3" t="s">
        <v>773</v>
      </c>
      <c r="B18" s="11" t="s">
        <v>59</v>
      </c>
      <c r="C18" s="33" t="n">
        <f aca="false">輸入與假設!$C$240</f>
        <v>31.289</v>
      </c>
      <c r="D18" s="33" t="n">
        <f aca="false">C52</f>
        <v>9.99999999999997</v>
      </c>
      <c r="E18" s="33" t="n">
        <f aca="false">D52</f>
        <v>9.99999999999997</v>
      </c>
      <c r="F18" s="33" t="n">
        <f aca="false">E52</f>
        <v>42.0381454094186</v>
      </c>
      <c r="G18" s="33" t="n">
        <f aca="false">F52</f>
        <v>60.1796673785598</v>
      </c>
      <c r="I18" s="11" t="s">
        <v>774</v>
      </c>
    </row>
    <row r="19" customFormat="false" ht="15" hidden="false" customHeight="false" outlineLevel="1" collapsed="false">
      <c r="A19" s="3" t="s">
        <v>775</v>
      </c>
      <c r="B19" s="11" t="s">
        <v>42</v>
      </c>
      <c r="C19" s="32" t="n">
        <f aca="false">IF(輸入與假設!$C$165=1,輸入與假設!C$171+MAX(0,輸入與假設!$C$164-450)/100*0.004,輸入與假設!C$171)</f>
        <v>0.058</v>
      </c>
      <c r="D19" s="32" t="n">
        <f aca="false">IF(輸入與假設!$C$165=1,輸入與假設!D$171+MAX(0,輸入與假設!$C$164-450)/100*0.004,輸入與假設!D$171)</f>
        <v>0.058</v>
      </c>
      <c r="E19" s="32" t="n">
        <f aca="false">IF(輸入與假設!$C$165=1,輸入與假設!E$171+MAX(0,輸入與假設!$C$164-450)/100*0.004,輸入與假設!E$171)</f>
        <v>0.058</v>
      </c>
      <c r="F19" s="32" t="n">
        <f aca="false">IF(輸入與假設!$C$165=1,輸入與假設!F$171+MAX(0,輸入與假設!$C$164-450)/100*0.004,輸入與假設!F$171)</f>
        <v>0.058</v>
      </c>
      <c r="G19" s="32" t="n">
        <f aca="false">IF(輸入與假設!$C$165=1,輸入與假設!G$171+MAX(0,輸入與假設!$C$164-450)/100*0.004,輸入與假設!G$171)</f>
        <v>0.058</v>
      </c>
      <c r="I19" s="11" t="s">
        <v>776</v>
      </c>
    </row>
    <row r="20" customFormat="false" ht="15" hidden="false" customHeight="false" outlineLevel="1" collapsed="false">
      <c r="A20" s="3" t="s">
        <v>777</v>
      </c>
      <c r="B20" s="11" t="s">
        <v>59</v>
      </c>
      <c r="C20" s="33" t="n">
        <f aca="false">C86</f>
        <v>0.487271827899148</v>
      </c>
      <c r="D20" s="33" t="n">
        <f aca="false">D86</f>
        <v>2.3993609872153</v>
      </c>
      <c r="E20" s="33" t="n">
        <f aca="false">E86</f>
        <v>2.3993609872153</v>
      </c>
      <c r="F20" s="33" t="n">
        <f aca="false">F86</f>
        <v>2.3993609872153</v>
      </c>
      <c r="G20" s="33" t="n">
        <f aca="false">G86</f>
        <v>2.3993609872153</v>
      </c>
      <c r="I20" s="6" t="s">
        <v>778</v>
      </c>
    </row>
    <row r="21" customFormat="false" ht="15" hidden="false" customHeight="false" outlineLevel="1" collapsed="false">
      <c r="A21" s="3" t="s">
        <v>779</v>
      </c>
      <c r="B21" s="11" t="s">
        <v>59</v>
      </c>
      <c r="C21" s="33" t="n">
        <f aca="false">C17+C20</f>
        <v>4.96684274379876</v>
      </c>
      <c r="D21" s="33" t="n">
        <f aca="false">D17+D20</f>
        <v>8.05634493620262</v>
      </c>
      <c r="E21" s="33" t="n">
        <f aca="false">E17+E20</f>
        <v>7.68072026094767</v>
      </c>
      <c r="F21" s="33" t="n">
        <f aca="false">F17+F20</f>
        <v>7.37464148485636</v>
      </c>
      <c r="G21" s="33" t="n">
        <f aca="false">G17+G20</f>
        <v>6.96653645006795</v>
      </c>
    </row>
    <row r="22" customFormat="false" ht="15" hidden="false" customHeight="false" outlineLevel="1" collapsed="false">
      <c r="A22" s="4" t="s">
        <v>780</v>
      </c>
      <c r="B22" s="11" t="s">
        <v>59</v>
      </c>
      <c r="C22" s="33" t="n">
        <f aca="false">輸入與假設!$C$244+輸入與假設!C$122</f>
        <v>0</v>
      </c>
      <c r="D22" s="33" t="n">
        <f aca="false">輸入與假設!D$122</f>
        <v>0</v>
      </c>
      <c r="E22" s="33" t="n">
        <f aca="false">輸入與假設!E$122</f>
        <v>0</v>
      </c>
      <c r="F22" s="33" t="n">
        <f aca="false">輸入與假設!F$122</f>
        <v>0</v>
      </c>
      <c r="G22" s="33" t="n">
        <f aca="false">輸入與假設!G$122</f>
        <v>0</v>
      </c>
      <c r="I22" s="11" t="s">
        <v>781</v>
      </c>
    </row>
    <row r="23" customFormat="false" ht="15" hidden="false" customHeight="false" outlineLevel="1" collapsed="false">
      <c r="A23" s="3" t="s">
        <v>782</v>
      </c>
      <c r="B23" s="11" t="s">
        <v>59</v>
      </c>
      <c r="C23" s="33" t="n">
        <f aca="false">輸入與假設!$C$259+4*輸入與假設!$C$149*運營_產能與收入!C7*(輸入與假設!$C$150+0+SUMPRODUCT(資產負債_既有債務!$D$73:$D$73*資產負債_既有債務!$H$69:$H$69*(資產負債_既有債務!$G$69:$G$69&lt;0)))+輸入與假設!C$169</f>
        <v>6.344604</v>
      </c>
      <c r="D23" s="33" t="n">
        <f aca="false">4*輸入與假設!$C$149*運營_產能與收入!D7*(輸入與假設!$C$150+C89+SUMPRODUCT(資產負債_既有債務!$D$73:$D$73*資產負債_既有債務!$H$69:$H$69*(資產負債_既有債務!$G$69:$G$69&lt;1)))+輸入與假設!D$169</f>
        <v>6.372472</v>
      </c>
      <c r="E23" s="33" t="n">
        <f aca="false">4*輸入與假設!$C$149*運營_產能與收入!E7*(輸入與假設!$C$150+D89+SUMPRODUCT(資產負債_既有債務!$D$73:$D$73*資產負債_既有債務!$H$69:$H$69*(資產負債_既有債務!$G$69:$G$69&lt;2)))+輸入與假設!E$169</f>
        <v>6.291472</v>
      </c>
      <c r="F23" s="33" t="n">
        <f aca="false">4*輸入與假設!$C$149*運營_產能與收入!F7*(輸入與假設!$C$150+E89+SUMPRODUCT(資產負債_既有債務!$D$73:$D$73*資產負債_既有債務!$H$69:$H$69*(資產負債_既有債務!$G$69:$G$69&lt;3)))+輸入與假設!F$169</f>
        <v>6.10994857128577</v>
      </c>
      <c r="G23" s="33" t="n">
        <f aca="false">4*輸入與假設!$C$149*運營_產能與收入!G7*(輸入與假設!$C$150+F89+SUMPRODUCT(資產負債_既有債務!$D$73:$D$73*資產負債_既有債務!$H$69:$H$69*(資產負債_既有債務!$G$69:$G$69&lt;4)))+輸入與假設!G$169</f>
        <v>6.10994857128577</v>
      </c>
      <c r="I23" s="6" t="s">
        <v>783</v>
      </c>
    </row>
    <row r="24" customFormat="false" ht="15" hidden="false" customHeight="false" outlineLevel="1" collapsed="false">
      <c r="A24" s="3" t="s">
        <v>784</v>
      </c>
      <c r="B24" s="11" t="s">
        <v>59</v>
      </c>
      <c r="C24" s="33" t="n">
        <f aca="false">IF(輸入與假設!$C$96=1,運營_產能與收入!C9*8760*輸入與假設!C$98*輸入與假設!C$97/1000000000*運營_產能與收入!C7,0)</f>
        <v>0</v>
      </c>
      <c r="D24" s="33" t="n">
        <f aca="false">IF(輸入與假設!$C$96=1,運營_產能與收入!D9*8760*輸入與假設!D$98*輸入與假設!D$97/1000000000*運營_產能與收入!D7,0)</f>
        <v>0</v>
      </c>
      <c r="E24" s="33" t="n">
        <f aca="false">IF(輸入與假設!$C$96=1,運營_產能與收入!E9*8760*輸入與假設!E$98*輸入與假設!E$97/1000000000*運營_產能與收入!E7,0)</f>
        <v>0</v>
      </c>
      <c r="F24" s="33" t="n">
        <f aca="false">IF(輸入與假設!$C$96=1,運營_產能與收入!F9*8760*輸入與假設!F$98*輸入與假設!F$97/1000000000*運營_產能與收入!F7,0)</f>
        <v>0</v>
      </c>
      <c r="G24" s="33" t="n">
        <f aca="false">IF(輸入與假設!$C$96=1,運營_產能與收入!G9*8760*輸入與假設!G$98*輸入與假設!G$97/1000000000*運營_產能與收入!G7,0)</f>
        <v>0</v>
      </c>
      <c r="I24" s="6" t="s">
        <v>785</v>
      </c>
    </row>
    <row r="25" customFormat="false" ht="15" hidden="false" customHeight="false" outlineLevel="1" collapsed="false">
      <c r="A25" s="3" t="s">
        <v>786</v>
      </c>
      <c r="B25" s="11" t="s">
        <v>59</v>
      </c>
      <c r="C25" s="33" t="n">
        <f aca="false">IF(輸入與假設!$C$96=1,運營_產能與收入!C9*輸入與假設!C$99/1000*運營_產能與收入!C7,0)</f>
        <v>0</v>
      </c>
      <c r="D25" s="33" t="n">
        <f aca="false">IF(輸入與假設!$C$96=1,運營_產能與收入!D9*輸入與假設!D$99/1000*運營_產能與收入!D7,0)</f>
        <v>0</v>
      </c>
      <c r="E25" s="33" t="n">
        <f aca="false">IF(輸入與假設!$C$96=1,運營_產能與收入!E9*輸入與假設!E$99/1000*運營_產能與收入!E7,0)</f>
        <v>0</v>
      </c>
      <c r="F25" s="33" t="n">
        <f aca="false">IF(輸入與假設!$C$96=1,運營_產能與收入!F9*輸入與假設!F$99/1000*運營_產能與收入!F7,0)</f>
        <v>0</v>
      </c>
      <c r="G25" s="33" t="n">
        <f aca="false">IF(輸入與假設!$C$96=1,運營_產能與收入!G9*輸入與假設!G$99/1000*運營_產能與收入!G7,0)</f>
        <v>0</v>
      </c>
    </row>
    <row r="26" customFormat="false" ht="15" hidden="false" customHeight="false" outlineLevel="1" collapsed="false">
      <c r="A26" s="3" t="s">
        <v>787</v>
      </c>
      <c r="B26" s="11" t="s">
        <v>59</v>
      </c>
      <c r="C26" s="33" t="n">
        <f aca="false">輸入與假設!$C$246+IF(輸入與假設!$C$144=1,輸入與假設!C$170,0)+資產負債_既有債務!C84</f>
        <v>7.209</v>
      </c>
      <c r="D26" s="33" t="n">
        <f aca="false">IF(輸入與假設!$C$144=1,輸入與假設!D$170,0)+資產負債_既有債務!D84</f>
        <v>10.147</v>
      </c>
      <c r="E26" s="33" t="n">
        <f aca="false">IF(輸入與假設!$C$144=1,輸入與假設!E$170,0)+資產負債_既有債務!E84</f>
        <v>5.5</v>
      </c>
      <c r="F26" s="33" t="n">
        <f aca="false">IF(輸入與假設!$C$144=1,輸入與假設!F$170,0)+資產負債_既有債務!F84</f>
        <v>7.25</v>
      </c>
      <c r="G26" s="33" t="n">
        <f aca="false">IF(輸入與假設!$C$144=1,輸入與假設!G$170,0)+資產負債_既有債務!G84</f>
        <v>9.75</v>
      </c>
      <c r="I26" s="11" t="s">
        <v>788</v>
      </c>
    </row>
    <row r="27" customFormat="false" ht="15" hidden="false" customHeight="false" outlineLevel="1" collapsed="false">
      <c r="A27" s="4" t="s">
        <v>789</v>
      </c>
      <c r="B27" s="11" t="s">
        <v>59</v>
      </c>
      <c r="C27" s="33" t="n">
        <f aca="false">輸入與假設!$C$247</f>
        <v>0</v>
      </c>
      <c r="D27" s="33" t="n">
        <f aca="false">0</f>
        <v>0</v>
      </c>
      <c r="E27" s="33" t="n">
        <f aca="false">0</f>
        <v>0</v>
      </c>
      <c r="F27" s="33" t="n">
        <f aca="false">0</f>
        <v>0</v>
      </c>
      <c r="G27" s="33" t="n">
        <f aca="false">0</f>
        <v>0</v>
      </c>
      <c r="I27" s="6" t="s">
        <v>790</v>
      </c>
    </row>
    <row r="28" customFormat="false" ht="15" hidden="false" customHeight="false" outlineLevel="1" collapsed="false">
      <c r="A28" s="3" t="s">
        <v>791</v>
      </c>
      <c r="B28" s="11" t="s">
        <v>59</v>
      </c>
      <c r="C28" s="33" t="n">
        <f aca="false">輸入與假設!$C$163*MAX(0,運營_產能與收入!C38*輸入與假設!C$93+輸入與假設!C$51+輸入與假設!C$83-運營_產能與收入!C62-輸入與假設!C$136-輸入與假設!C$172)</f>
        <v>3.45550579566336</v>
      </c>
      <c r="D28" s="33" t="n">
        <f aca="false">輸入與假設!$C$163*MAX(0,運營_產能與收入!D38*輸入與假設!D$93+輸入與假設!D$51+輸入與假設!D$83-運營_產能與收入!D62-輸入與假設!D$136-輸入與假設!D$172)</f>
        <v>5.84062619779526</v>
      </c>
      <c r="E28" s="33" t="n">
        <f aca="false">輸入與假設!$C$163*MAX(0,運營_產能與收入!E38*輸入與假設!E$93+輸入與假設!E$51+輸入與假設!E$83-運營_產能與收入!E62-輸入與假設!E$136-輸入與假設!E$172)</f>
        <v>7.37277767034679</v>
      </c>
      <c r="F28" s="33" t="n">
        <f aca="false">輸入與假設!$C$163*MAX(0,運營_產能與收入!F38*輸入與假設!F$93+輸入與假設!F$51+輸入與假設!F$83-運營_產能與收入!F62-輸入與假設!F$136-輸入與假設!F$172)</f>
        <v>7.699460219121</v>
      </c>
      <c r="G28" s="33" t="n">
        <f aca="false">輸入與假設!$C$163*MAX(0,運營_產能與收入!G38*輸入與假設!G$93+輸入與假設!G$51+輸入與假設!G$83-運營_產能與收入!G62-輸入與假設!G$136-輸入與假設!G$172)</f>
        <v>7.2870929000692</v>
      </c>
      <c r="I28" s="6" t="s">
        <v>792</v>
      </c>
    </row>
    <row r="29" customFormat="false" ht="15" hidden="false" customHeight="false" outlineLevel="1" collapsed="false">
      <c r="A29" s="2" t="s">
        <v>793</v>
      </c>
      <c r="B29" s="11" t="s">
        <v>59</v>
      </c>
      <c r="C29" s="36" t="n">
        <f aca="false">C13+C16+C21+C22+C24+C25+C26+C27+C28+C23</f>
        <v>133.643422860318</v>
      </c>
      <c r="D29" s="36" t="n">
        <f aca="false">D13+D16+D21+D22+D24+D25+D26+D27+D28+D23</f>
        <v>129.124933893356</v>
      </c>
      <c r="E29" s="36" t="n">
        <f aca="false">E13+E16+E21+E22+E24+E25+E26+E27+E28+E23</f>
        <v>76.9275119981394</v>
      </c>
      <c r="F29" s="36" t="n">
        <f aca="false">F13+F16+F21+F22+F24+F25+F26+F27+F28+F23</f>
        <v>105.425396745851</v>
      </c>
      <c r="G29" s="36" t="n">
        <f aca="false">G13+G16+G21+G22+G24+G25+G26+G27+G28+G23</f>
        <v>107.108924392011</v>
      </c>
      <c r="I29" s="11" t="s">
        <v>794</v>
      </c>
    </row>
    <row r="30" customFormat="false" ht="15" hidden="false" customHeight="false" outlineLevel="0" collapsed="false">
      <c r="A30" s="46" t="s">
        <v>795</v>
      </c>
      <c r="B30" s="8"/>
      <c r="C30" s="8"/>
      <c r="D30" s="8"/>
      <c r="E30" s="8"/>
      <c r="F30" s="8"/>
      <c r="G30" s="8"/>
      <c r="H30" s="8"/>
    </row>
    <row r="31" customFormat="false" ht="15" hidden="false" customHeight="false" outlineLevel="1" collapsed="false">
      <c r="A31" s="4" t="s">
        <v>796</v>
      </c>
      <c r="B31" s="11" t="s">
        <v>59</v>
      </c>
      <c r="C31" s="39" t="n">
        <f aca="false">輸入與假設!$C$241</f>
        <v>23.103</v>
      </c>
      <c r="D31" s="39" t="n">
        <f aca="false">0</f>
        <v>0</v>
      </c>
      <c r="E31" s="39" t="n">
        <f aca="false">0</f>
        <v>0</v>
      </c>
      <c r="F31" s="39" t="n">
        <f aca="false">0</f>
        <v>0</v>
      </c>
      <c r="G31" s="39" t="n">
        <f aca="false">0</f>
        <v>0</v>
      </c>
      <c r="I31" s="6" t="s">
        <v>797</v>
      </c>
    </row>
    <row r="32" customFormat="false" ht="15" hidden="false" customHeight="false" outlineLevel="1" collapsed="false">
      <c r="A32" s="4" t="s">
        <v>798</v>
      </c>
      <c r="B32" s="11" t="s">
        <v>59</v>
      </c>
      <c r="C32" s="39" t="n">
        <f aca="false">運營_產能與收入!C40</f>
        <v>24.1244433846281</v>
      </c>
      <c r="D32" s="39" t="n">
        <f aca="false">運營_產能與收入!D40</f>
        <v>56.3758231449319</v>
      </c>
      <c r="E32" s="39" t="n">
        <f aca="false">運營_產能與收入!E40</f>
        <v>82.1128489034169</v>
      </c>
      <c r="F32" s="39" t="n">
        <f aca="false">運營_產能與收入!F40</f>
        <v>77.8133950803</v>
      </c>
      <c r="G32" s="39" t="n">
        <f aca="false">運營_產能與收入!G40</f>
        <v>69.855727327</v>
      </c>
    </row>
    <row r="33" customFormat="false" ht="15" hidden="false" customHeight="false" outlineLevel="1" collapsed="false">
      <c r="A33" s="3" t="s">
        <v>799</v>
      </c>
      <c r="B33" s="11" t="s">
        <v>59</v>
      </c>
      <c r="C33" s="39" t="n">
        <f aca="false">運營_產能與收入!C41</f>
        <v>0</v>
      </c>
      <c r="D33" s="39" t="n">
        <f aca="false">運營_產能與收入!D41</f>
        <v>0</v>
      </c>
      <c r="E33" s="39" t="n">
        <f aca="false">運營_產能與收入!E41</f>
        <v>0</v>
      </c>
      <c r="F33" s="39" t="n">
        <f aca="false">運營_產能與收入!F41</f>
        <v>12.2789969096355</v>
      </c>
      <c r="G33" s="39" t="n">
        <f aca="false">運營_產能與收入!G41</f>
        <v>16.5653933546731</v>
      </c>
    </row>
    <row r="34" customFormat="false" ht="15" hidden="false" customHeight="false" outlineLevel="1" collapsed="false">
      <c r="A34" s="3" t="s">
        <v>800</v>
      </c>
      <c r="B34" s="11" t="s">
        <v>59</v>
      </c>
      <c r="C34" s="39" t="n">
        <f aca="false">輸入與假設!C$94</f>
        <v>0</v>
      </c>
      <c r="D34" s="39" t="n">
        <f aca="false">輸入與假設!D$94</f>
        <v>0</v>
      </c>
      <c r="E34" s="39" t="n">
        <f aca="false">輸入與假設!E$94</f>
        <v>0</v>
      </c>
      <c r="F34" s="39" t="n">
        <f aca="false">輸入與假設!F$94</f>
        <v>0</v>
      </c>
      <c r="G34" s="39" t="n">
        <f aca="false">輸入與假設!G$94</f>
        <v>0</v>
      </c>
    </row>
    <row r="35" customFormat="false" ht="15" hidden="false" customHeight="false" outlineLevel="1" collapsed="false">
      <c r="A35" s="4" t="s">
        <v>801</v>
      </c>
      <c r="B35" s="11" t="s">
        <v>59</v>
      </c>
      <c r="C35" s="39" t="n">
        <f aca="false">輸入與假設!C$51</f>
        <v>0</v>
      </c>
      <c r="D35" s="39" t="n">
        <f aca="false">輸入與假設!D$51</f>
        <v>0</v>
      </c>
      <c r="E35" s="39" t="n">
        <f aca="false">輸入與假設!E$51</f>
        <v>0</v>
      </c>
      <c r="F35" s="39" t="n">
        <f aca="false">輸入與假設!F$51</f>
        <v>0</v>
      </c>
      <c r="G35" s="39" t="n">
        <f aca="false">輸入與假設!G$51</f>
        <v>0</v>
      </c>
      <c r="I35" s="6" t="s">
        <v>802</v>
      </c>
    </row>
    <row r="36" customFormat="false" ht="15" hidden="false" customHeight="false" outlineLevel="1" collapsed="false">
      <c r="A36" s="4" t="s">
        <v>803</v>
      </c>
      <c r="B36" s="11" t="s">
        <v>59</v>
      </c>
      <c r="C36" s="39" t="n">
        <f aca="false">輸入與假設!C$83</f>
        <v>21.45113201348</v>
      </c>
      <c r="D36" s="39" t="n">
        <f aca="false">輸入與假設!D$83</f>
        <v>29.14202702484</v>
      </c>
      <c r="E36" s="39" t="n">
        <f aca="false">輸入與假設!E$83</f>
        <v>30.3062781426461</v>
      </c>
      <c r="F36" s="39" t="n">
        <f aca="false">輸入與假設!F$83</f>
        <v>31.4030416028317</v>
      </c>
      <c r="G36" s="39" t="n">
        <f aca="false">輸入與假設!G$83</f>
        <v>32.4054173098993</v>
      </c>
      <c r="I36" s="11" t="s">
        <v>804</v>
      </c>
    </row>
    <row r="37" customFormat="false" ht="15" hidden="false" customHeight="false" outlineLevel="1" collapsed="false">
      <c r="A37" s="4" t="s">
        <v>805</v>
      </c>
      <c r="B37" s="11" t="s">
        <v>59</v>
      </c>
      <c r="C37" s="33" t="n">
        <f aca="false">-運營_產能與收入!C62</f>
        <v>-0</v>
      </c>
      <c r="D37" s="33" t="n">
        <f aca="false">-運營_產能與收入!D62</f>
        <v>-0</v>
      </c>
      <c r="E37" s="33" t="n">
        <f aca="false">-運營_產能與收入!E62</f>
        <v>-0</v>
      </c>
      <c r="F37" s="33" t="n">
        <f aca="false">-運營_產能與收入!F62</f>
        <v>-0</v>
      </c>
      <c r="G37" s="33" t="n">
        <f aca="false">-運營_產能與收入!G62</f>
        <v>-0</v>
      </c>
      <c r="I37" s="6" t="s">
        <v>806</v>
      </c>
    </row>
    <row r="38" customFormat="false" ht="15" hidden="false" customHeight="false" outlineLevel="1" collapsed="false">
      <c r="A38" s="3" t="s">
        <v>807</v>
      </c>
      <c r="B38" s="11" t="s">
        <v>59</v>
      </c>
      <c r="C38" s="33" t="n">
        <f aca="false">C8</f>
        <v>18.85603455</v>
      </c>
      <c r="D38" s="33" t="n">
        <f aca="false">D8</f>
        <v>20.903092308</v>
      </c>
      <c r="E38" s="33" t="n">
        <f aca="false">E8</f>
        <v>7.5819838185</v>
      </c>
      <c r="F38" s="33" t="n">
        <f aca="false">F8</f>
        <v>13.36358331</v>
      </c>
      <c r="G38" s="33" t="n">
        <f aca="false">G8</f>
        <v>13.36358331</v>
      </c>
    </row>
    <row r="39" customFormat="false" ht="15" hidden="false" customHeight="false" outlineLevel="1" collapsed="false">
      <c r="A39" s="4" t="s">
        <v>808</v>
      </c>
      <c r="B39" s="11" t="s">
        <v>59</v>
      </c>
      <c r="C39" s="33" t="n">
        <f aca="false">-C11</f>
        <v>-2.62483830386278</v>
      </c>
      <c r="D39" s="33" t="n">
        <f aca="false">-D11</f>
        <v>-7.46265025136574</v>
      </c>
      <c r="E39" s="33" t="n">
        <f aca="false">-E11</f>
        <v>-11.035453457005</v>
      </c>
      <c r="F39" s="33" t="n">
        <f aca="false">-F11</f>
        <v>-11.2920981877747</v>
      </c>
      <c r="G39" s="33" t="n">
        <f aca="false">-G11</f>
        <v>-12.7641625245748</v>
      </c>
      <c r="I39" s="6" t="s">
        <v>809</v>
      </c>
    </row>
    <row r="40" customFormat="false" ht="15" hidden="false" customHeight="false" outlineLevel="1" collapsed="false">
      <c r="A40" s="2" t="s">
        <v>810</v>
      </c>
      <c r="B40" s="11" t="s">
        <v>59</v>
      </c>
      <c r="C40" s="36" t="n">
        <f aca="false">C31+C32+C33+C34+C35+C36+C37+C38+C39</f>
        <v>84.9097716442454</v>
      </c>
      <c r="D40" s="36" t="n">
        <f aca="false">D31+D32+D33+D34+D35+D36+D37+D38+D39</f>
        <v>98.9582922264062</v>
      </c>
      <c r="E40" s="36" t="n">
        <f aca="false">E31+E32+E33+E34+E35+E36+E37+E38+E39</f>
        <v>108.965657407558</v>
      </c>
      <c r="F40" s="36" t="n">
        <f aca="false">F31+F32+F33+F34+F35+F36+F37+F38+F39</f>
        <v>123.566918714993</v>
      </c>
      <c r="G40" s="36" t="n">
        <f aca="false">G31+G32+G33+G34+G35+G36+G37+G38+G39</f>
        <v>119.425958776998</v>
      </c>
    </row>
    <row r="41" customFormat="false" ht="15" hidden="false" customHeight="false" outlineLevel="1" collapsed="false">
      <c r="A41" s="3" t="s">
        <v>811</v>
      </c>
      <c r="B41" s="11" t="s">
        <v>59</v>
      </c>
      <c r="C41" s="33" t="n">
        <f aca="false">輸入與假設!$C$248+IF(輸入與假設!$C$141=1,輸入與假設!$C$140,0)</f>
        <v>19.909</v>
      </c>
      <c r="D41" s="33" t="n">
        <f aca="false">0</f>
        <v>0</v>
      </c>
      <c r="E41" s="33" t="n">
        <f aca="false">0</f>
        <v>0</v>
      </c>
      <c r="F41" s="33" t="n">
        <f aca="false">0</f>
        <v>0</v>
      </c>
      <c r="G41" s="33" t="n">
        <f aca="false">0</f>
        <v>0</v>
      </c>
      <c r="I41" s="11" t="s">
        <v>812</v>
      </c>
    </row>
    <row r="42" customFormat="false" ht="15" hidden="false" customHeight="false" outlineLevel="1" collapsed="false">
      <c r="A42" s="4" t="s">
        <v>813</v>
      </c>
      <c r="B42" s="11" t="s">
        <v>59</v>
      </c>
      <c r="C42" s="39" t="n">
        <f aca="false">輸入與假設!$C$245</f>
        <v>0</v>
      </c>
      <c r="D42" s="39" t="n">
        <f aca="false">0</f>
        <v>0</v>
      </c>
      <c r="E42" s="39" t="n">
        <f aca="false">0</f>
        <v>0</v>
      </c>
      <c r="F42" s="39" t="n">
        <f aca="false">0</f>
        <v>0</v>
      </c>
      <c r="G42" s="39" t="n">
        <f aca="false">0</f>
        <v>0</v>
      </c>
      <c r="I42" s="6" t="s">
        <v>814</v>
      </c>
    </row>
    <row r="43" customFormat="false" ht="15" hidden="false" customHeight="false" outlineLevel="1" collapsed="false">
      <c r="A43" s="3" t="s">
        <v>815</v>
      </c>
      <c r="B43" s="11" t="s">
        <v>59</v>
      </c>
      <c r="C43" s="33" t="n">
        <f aca="false">C78</f>
        <v>11.2016512160724</v>
      </c>
      <c r="D43" s="33" t="n">
        <f aca="false">D78</f>
        <v>30.16664166695</v>
      </c>
      <c r="E43" s="33" t="n">
        <f aca="false">E78</f>
        <v>0</v>
      </c>
      <c r="F43" s="33" t="n">
        <f aca="false">F78</f>
        <v>0</v>
      </c>
      <c r="G43" s="33" t="n">
        <f aca="false">G78</f>
        <v>0</v>
      </c>
      <c r="I43" s="6" t="s">
        <v>816</v>
      </c>
    </row>
    <row r="44" customFormat="false" ht="15" hidden="false" customHeight="false" outlineLevel="1" collapsed="false">
      <c r="A44" s="4" t="s">
        <v>817</v>
      </c>
      <c r="B44" s="11" t="s">
        <v>59</v>
      </c>
      <c r="C44" s="33" t="n">
        <f aca="false">C81</f>
        <v>0</v>
      </c>
      <c r="D44" s="33" t="n">
        <f aca="false">D81</f>
        <v>0</v>
      </c>
      <c r="E44" s="33" t="n">
        <f aca="false">E81</f>
        <v>0</v>
      </c>
      <c r="F44" s="33" t="n">
        <f aca="false">F81</f>
        <v>0</v>
      </c>
      <c r="G44" s="33" t="n">
        <f aca="false">G81</f>
        <v>0</v>
      </c>
      <c r="I44" s="6" t="s">
        <v>818</v>
      </c>
    </row>
    <row r="45" customFormat="false" ht="15" hidden="false" customHeight="false" outlineLevel="1" collapsed="false">
      <c r="A45" s="3" t="s">
        <v>819</v>
      </c>
      <c r="B45" s="11" t="s">
        <v>59</v>
      </c>
      <c r="C45" s="33" t="n">
        <f aca="false">C84</f>
        <v>0</v>
      </c>
      <c r="D45" s="33" t="n">
        <f aca="false">D84</f>
        <v>0</v>
      </c>
      <c r="E45" s="33" t="n">
        <f aca="false">E84</f>
        <v>0</v>
      </c>
      <c r="F45" s="33" t="n">
        <f aca="false">F84</f>
        <v>0</v>
      </c>
      <c r="G45" s="33" t="n">
        <f aca="false">G84</f>
        <v>0</v>
      </c>
      <c r="I45" s="6" t="s">
        <v>820</v>
      </c>
    </row>
    <row r="46" customFormat="false" ht="15" hidden="false" customHeight="false" outlineLevel="1" collapsed="false">
      <c r="A46" s="3" t="s">
        <v>821</v>
      </c>
      <c r="B46" s="11" t="s">
        <v>59</v>
      </c>
      <c r="C46" s="33" t="n">
        <f aca="false">C85</f>
        <v>0</v>
      </c>
      <c r="D46" s="33" t="n">
        <f aca="false">D85</f>
        <v>0</v>
      </c>
      <c r="E46" s="33" t="n">
        <f aca="false">E85</f>
        <v>0</v>
      </c>
      <c r="F46" s="33" t="n">
        <f aca="false">F85</f>
        <v>0</v>
      </c>
      <c r="G46" s="33" t="n">
        <f aca="false">G85</f>
        <v>0</v>
      </c>
      <c r="I46" s="6" t="s">
        <v>822</v>
      </c>
    </row>
    <row r="47" customFormat="false" ht="15" hidden="false" customHeight="false" outlineLevel="1" collapsed="false">
      <c r="A47" s="2" t="s">
        <v>823</v>
      </c>
      <c r="B47" s="11" t="s">
        <v>59</v>
      </c>
      <c r="C47" s="36" t="n">
        <f aca="false">C40+C41+C42+C43+C44+C45+C46</f>
        <v>116.020422860318</v>
      </c>
      <c r="D47" s="36" t="n">
        <f aca="false">D40+D41+D42+D43+D44+D45+D46</f>
        <v>129.124933893356</v>
      </c>
      <c r="E47" s="36" t="n">
        <f aca="false">E40+E41+E42+E43+E44+E45+E46</f>
        <v>108.965657407558</v>
      </c>
      <c r="F47" s="36" t="n">
        <f aca="false">F40+F41+F42+F43+F44+F45+F46</f>
        <v>123.566918714993</v>
      </c>
      <c r="G47" s="36" t="n">
        <f aca="false">G40+G41+G42+G43+G44+G45+G46</f>
        <v>119.425958776998</v>
      </c>
    </row>
    <row r="48" customFormat="false" ht="15" hidden="false" customHeight="false" outlineLevel="0" collapsed="false">
      <c r="A48" s="46" t="s">
        <v>824</v>
      </c>
      <c r="B48" s="8"/>
      <c r="C48" s="8"/>
      <c r="D48" s="8"/>
      <c r="E48" s="8"/>
      <c r="F48" s="8"/>
      <c r="G48" s="8"/>
      <c r="H48" s="8"/>
    </row>
    <row r="49" customFormat="false" ht="15" hidden="false" customHeight="false" outlineLevel="1" collapsed="false">
      <c r="A49" s="3" t="s">
        <v>825</v>
      </c>
      <c r="B49" s="11" t="s">
        <v>59</v>
      </c>
      <c r="C49" s="33" t="n">
        <f aca="false">輸入與假設!$C$139-(輸入與假設!$C$240+輸入與假設!$C$241+輸入與假設!$C$245+輸入與假設!$C$248-輸入與假設!$C$242-輸入與假設!$C$244-輸入與假設!$C$246-輸入與假設!$C$247-輸入與假設!$C$259)</f>
        <v>-3.66600000000001</v>
      </c>
      <c r="D49" s="33" t="n">
        <f aca="false">0</f>
        <v>0</v>
      </c>
      <c r="E49" s="33" t="n">
        <f aca="false">0</f>
        <v>0</v>
      </c>
      <c r="F49" s="33" t="n">
        <f aca="false">0</f>
        <v>0</v>
      </c>
      <c r="G49" s="33" t="n">
        <f aca="false">0</f>
        <v>0</v>
      </c>
      <c r="I49" s="6" t="s">
        <v>826</v>
      </c>
    </row>
    <row r="50" customFormat="false" ht="15" hidden="false" customHeight="false" outlineLevel="1" collapsed="false">
      <c r="A50" s="2" t="s">
        <v>827</v>
      </c>
      <c r="B50" s="11" t="s">
        <v>59</v>
      </c>
      <c r="C50" s="36" t="n">
        <f aca="false">C40-(C29-C26-C27)</f>
        <v>-41.5246512160724</v>
      </c>
      <c r="D50" s="36" t="n">
        <f aca="false">D40-(D29-D26-D27)</f>
        <v>-20.01964166695</v>
      </c>
      <c r="E50" s="36" t="n">
        <f aca="false">E40-(E29-E26-E27)</f>
        <v>37.5381454094186</v>
      </c>
      <c r="F50" s="36" t="n">
        <f aca="false">F40-(F29-F26-F27)</f>
        <v>25.3915219691412</v>
      </c>
      <c r="G50" s="36" t="n">
        <f aca="false">G40-(G29-G26-G27)</f>
        <v>22.0670343849864</v>
      </c>
      <c r="I50" s="6" t="s">
        <v>828</v>
      </c>
    </row>
    <row r="51" customFormat="false" ht="15" hidden="false" customHeight="false" outlineLevel="1" collapsed="false">
      <c r="A51" s="3" t="s">
        <v>829</v>
      </c>
      <c r="B51" s="11" t="s">
        <v>59</v>
      </c>
      <c r="C51" s="33" t="n">
        <f aca="false">C47-C29+C49</f>
        <v>-21.289</v>
      </c>
      <c r="D51" s="33" t="n">
        <f aca="false">D47-D29+D49</f>
        <v>0</v>
      </c>
      <c r="E51" s="33" t="n">
        <f aca="false">E47-E29+E49</f>
        <v>32.0381454094186</v>
      </c>
      <c r="F51" s="33" t="n">
        <f aca="false">F47-F29+F49</f>
        <v>18.1415219691412</v>
      </c>
      <c r="G51" s="33" t="n">
        <f aca="false">G47-G29+G49</f>
        <v>12.3170343849864</v>
      </c>
    </row>
    <row r="52" customFormat="false" ht="15" hidden="false" customHeight="false" outlineLevel="1" collapsed="false">
      <c r="A52" s="2" t="s">
        <v>830</v>
      </c>
      <c r="B52" s="11" t="s">
        <v>59</v>
      </c>
      <c r="C52" s="36" t="n">
        <f aca="false">C18+C51</f>
        <v>9.99999999999997</v>
      </c>
      <c r="D52" s="36" t="n">
        <f aca="false">D18+D51</f>
        <v>9.99999999999997</v>
      </c>
      <c r="E52" s="36" t="n">
        <f aca="false">E18+E51</f>
        <v>42.0381454094186</v>
      </c>
      <c r="F52" s="36" t="n">
        <f aca="false">F18+F51</f>
        <v>60.1796673785598</v>
      </c>
      <c r="G52" s="36" t="n">
        <f aca="false">G18+G51</f>
        <v>72.4967017635462</v>
      </c>
      <c r="I52" s="6" t="s">
        <v>831</v>
      </c>
    </row>
    <row r="54" customFormat="false" ht="15" hidden="false" customHeight="false" outlineLevel="0" collapsed="false">
      <c r="A54" s="46" t="s">
        <v>832</v>
      </c>
      <c r="B54" s="8"/>
      <c r="C54" s="8"/>
      <c r="D54" s="8"/>
      <c r="E54" s="8"/>
      <c r="F54" s="8"/>
      <c r="G54" s="8"/>
      <c r="H54" s="8"/>
    </row>
    <row r="55" customFormat="false" ht="15" hidden="false" customHeight="false" outlineLevel="1" collapsed="false">
      <c r="A55" s="3" t="s">
        <v>833</v>
      </c>
      <c r="B55" s="11" t="s">
        <v>42</v>
      </c>
      <c r="C55" s="24" t="n">
        <v>0.057</v>
      </c>
      <c r="I55" s="11" t="s">
        <v>834</v>
      </c>
    </row>
    <row r="56" customFormat="false" ht="15" hidden="false" customHeight="false" outlineLevel="1" collapsed="false">
      <c r="A56" s="3" t="s">
        <v>835</v>
      </c>
      <c r="B56" s="6" t="s">
        <v>189</v>
      </c>
      <c r="C56" s="26" t="n">
        <v>12</v>
      </c>
      <c r="I56" s="6" t="s">
        <v>836</v>
      </c>
    </row>
    <row r="57" customFormat="false" ht="15" hidden="false" customHeight="false" outlineLevel="1" collapsed="false">
      <c r="A57" s="3" t="s">
        <v>837</v>
      </c>
      <c r="B57" s="11" t="s">
        <v>59</v>
      </c>
      <c r="C57" s="33" t="n">
        <f aca="false">輸入與假設!D$117*(1+各期收支!$C$55)^(-(運營_產能與收入!$D$51-運營_產能與收入!$D$7/2-運營_產能與收入!$C$51))+輸入與假設!E$117*(1+各期收支!$C$55)^(-(運營_產能與收入!$E$51-運營_產能與收入!$E$7/2-運營_產能與收入!$C$51))+輸入與假設!F$117*(1+各期收支!$C$55)^(-(運營_產能與收入!$F$51-運營_產能與收入!$F$7/2-運營_產能與收入!$C$51))+輸入與假設!G$117*(1+各期收支!$C$55)^(-(運營_產能與收入!$G$51-運營_產能與收入!$G$7/2-運營_產能與收入!$C$51))+39.283/各期收支!$C$56*(1+各期收支!$C$55)^0.5*(1-(1+各期收支!$C$55)^(-各期收支!$C$56))/各期收支!$C$55*(1+各期收支!$C$55)^(-(運營_產能與收入!$G$51-運營_產能與收入!$C$51))</f>
        <v>41.0208905630245</v>
      </c>
      <c r="D57" s="33" t="n">
        <f aca="false">輸入與假設!E$117*(1+各期收支!$C$55)^(-(運營_產能與收入!$E$51-運營_產能與收入!$E$7/2-運營_產能與收入!$D$51))+輸入與假設!F$117*(1+各期收支!$C$55)^(-(運營_產能與收入!$F$51-運營_產能與收入!$F$7/2-運營_產能與收入!$D$51))+輸入與假設!G$117*(1+各期收支!$C$55)^(-(運營_產能與收入!$G$51-運營_產能與收入!$G$7/2-運營_產能與收入!$D$51))+39.283/各期收支!$C$56*(1+各期收支!$C$55)^0.5*(1-(1+各期收支!$C$55)^(-各期收支!$C$56))/各期收支!$C$55*(1+各期收支!$C$55)^(-(運營_產能與收入!$G$51-運營_產能與收入!$D$51))</f>
        <v>38.2319214258159</v>
      </c>
      <c r="E57" s="33" t="n">
        <f aca="false">輸入與假設!F$117*(1+各期收支!$C$55)^(-(運營_產能與收入!$F$51-運營_產能與收入!$F$7/2-運營_產能與收入!$E$51))+輸入與假設!G$117*(1+各期收支!$C$55)^(-(運營_產能與收入!$G$51-運營_產能與收入!$G$7/2-運營_產能與收入!$E$51))+39.283/各期收支!$C$56*(1+各期收支!$C$55)^0.5*(1-(1+各期收支!$C$55)^(-各期收支!$C$56))/各期收支!$C$55*(1+各期收支!$C$55)^(-(運營_產能與收入!$G$51-運營_產能與收入!$E$51))</f>
        <v>35.2500535810375</v>
      </c>
      <c r="F57" s="33" t="n">
        <f aca="false">輸入與假設!G$117*(1+各期收支!$C$55)^(-(運營_產能與收入!$G$51-運營_產能與收入!$G$7/2-運營_產能與收入!$F$51))+39.283/各期收支!$C$56*(1+各期收支!$C$55)^0.5*(1-(1+各期收支!$C$55)^(-各期收支!$C$56))/各期收支!$C$55*(1+各期收支!$C$55)^(-(運營_產能與收入!$G$51-運營_產能與收入!$F$51))</f>
        <v>32.0612074871988</v>
      </c>
      <c r="G57" s="33" t="n">
        <f aca="false">39.283/各期收支!$C$56*(1+各期收支!$C$55)^0.5*(1-(1+各期收支!$C$55)^(-各期收支!$C$56))/各期收支!$C$55*(1+各期收支!$C$55)^(-(運營_產能與收入!$G$51-運營_產能與收入!$G$51))</f>
        <v>28.6864847457993</v>
      </c>
      <c r="I57" s="6" t="s">
        <v>838</v>
      </c>
    </row>
    <row r="58" customFormat="false" ht="15" hidden="false" customHeight="false" outlineLevel="1" collapsed="false">
      <c r="A58" s="3" t="s">
        <v>839</v>
      </c>
      <c r="B58" s="11" t="s">
        <v>59</v>
      </c>
      <c r="C58" s="33" t="n">
        <f aca="false">IF(OR(運營_產能與收入!$C$50&lt;=0,運營_產能與收入!$C$56&lt;=0),1*輸入與假設!$C$26/輸入與假設!$C$28/輸入與假設!$C$29/4/((1+各期收支!$C$55)^0.25-1)*(MIN(MAX(0,輸入與假設!C$118-(輸入與假設!$C$27)),輸入與假設!$C$28)-(1+各期收支!$C$55)^(-(4*輸入與假設!$C$29-MAX(0,輸入與假設!C$118-(輸入與假設!$C$27)))/4)*(1-(1+各期收支!$C$55)^(-MIN(MAX(0,輸入與假設!C$118-(輸入與假設!$C$27)),輸入與假設!$C$28)/4))/(1-(1+各期收支!$C$55)^(-0.25))),(1-運營_產能與收入!$C$56)*輸入與假設!$C$26/輸入與假設!$C$28/輸入與假設!$C$29/4/((1+各期收支!$C$55)^0.25-1)*(MIN(MAX(0,輸入與假設!C$118-(輸入與假設!$C$27)),輸入與假設!$C$28)-(1+各期收支!$C$55)^(-(4*輸入與假設!$C$29-MAX(0,輸入與假設!C$118-(輸入與假設!$C$27)))/4)*(1-(1+各期收支!$C$55)^(-MIN(MAX(0,輸入與假設!C$118-(輸入與假設!$C$27)),輸入與假設!$C$28)/4))/(1-(1+各期收支!$C$55)^(-0.25)))+運營_產能與收入!$C$56*輸入與假設!$C$26/輸入與假設!$C$28/輸入與假設!$C$29/4/((1+各期收支!$C$55)^0.25-1)*(MIN(MAX(0,輸入與假設!C$118-(輸入與假設!$C$27+運營_產能與收入!$C$50/3)),輸入與假設!$C$28)-(1+各期收支!$C$55)^(-(4*輸入與假設!$C$29-MAX(0,輸入與假設!C$118-(輸入與假設!$C$27+運營_產能與收入!$C$50/3)))/4)*(1-(1+各期收支!$C$55)^(-MIN(MAX(0,輸入與假設!C$118-(輸入與假設!$C$27+運營_產能與收入!$C$50/3)),輸入與假設!$C$28)/4))/(1-(1+各期收支!$C$55)^(-0.25))))</f>
        <v>41.4157639335795</v>
      </c>
      <c r="D58" s="33" t="n">
        <f aca="false">IF(OR(運營_產能與收入!$C$50&lt;=0,運營_產能與收入!$C$56&lt;=0),1*輸入與假設!$C$26/輸入與假設!$C$28/輸入與假設!$C$29/4/((1+各期收支!$C$55)^0.25-1)*(MIN(MAX(0,輸入與假設!D$118-(輸入與假設!$C$27)),輸入與假設!$C$28)-(1+各期收支!$C$55)^(-(4*輸入與假設!$C$29-MAX(0,輸入與假設!D$118-(輸入與假設!$C$27)))/4)*(1-(1+各期收支!$C$55)^(-MIN(MAX(0,輸入與假設!D$118-(輸入與假設!$C$27)),輸入與假設!$C$28)/4))/(1-(1+各期收支!$C$55)^(-0.25))),(1-運營_產能與收入!$C$56)*輸入與假設!$C$26/輸入與假設!$C$28/輸入與假設!$C$29/4/((1+各期收支!$C$55)^0.25-1)*(MIN(MAX(0,輸入與假設!D$118-(輸入與假設!$C$27)),輸入與假設!$C$28)-(1+各期收支!$C$55)^(-(4*輸入與假設!$C$29-MAX(0,輸入與假設!D$118-(輸入與假設!$C$27)))/4)*(1-(1+各期收支!$C$55)^(-MIN(MAX(0,輸入與假設!D$118-(輸入與假設!$C$27)),輸入與假設!$C$28)/4))/(1-(1+各期收支!$C$55)^(-0.25)))+運營_產能與收入!$C$56*輸入與假設!$C$26/輸入與假設!$C$28/輸入與假設!$C$29/4/((1+各期收支!$C$55)^0.25-1)*(MIN(MAX(0,輸入與假設!D$118-(輸入與假設!$C$27+運營_產能與收入!$C$50/3)),輸入與假設!$C$28)-(1+各期收支!$C$55)^(-(4*輸入與假設!$C$29-MAX(0,輸入與假設!D$118-(輸入與假設!$C$27+運營_產能與收入!$C$50/3)))/4)*(1-(1+各期收支!$C$55)^(-MIN(MAX(0,輸入與假設!D$118-(輸入與假設!$C$27+運營_產能與收入!$C$50/3)),輸入與假設!$C$28)/4))/(1-(1+各期收支!$C$55)^(-0.25))))</f>
        <v>105.677261205946</v>
      </c>
      <c r="E58" s="33" t="n">
        <f aca="false">IF(OR(運營_產能與收入!$C$50&lt;=0,運營_產能與收入!$C$56&lt;=0),1*輸入與假設!$C$26/輸入與假設!$C$28/輸入與假設!$C$29/4/((1+各期收支!$C$55)^0.25-1)*(MIN(MAX(0,輸入與假設!E$118-(輸入與假設!$C$27)),輸入與假設!$C$28)-(1+各期收支!$C$55)^(-(4*輸入與假設!$C$29-MAX(0,輸入與假設!E$118-(輸入與假設!$C$27)))/4)*(1-(1+各期收支!$C$55)^(-MIN(MAX(0,輸入與假設!E$118-(輸入與假設!$C$27)),輸入與假設!$C$28)/4))/(1-(1+各期收支!$C$55)^(-0.25))),(1-運營_產能與收入!$C$56)*輸入與假設!$C$26/輸入與假設!$C$28/輸入與假設!$C$29/4/((1+各期收支!$C$55)^0.25-1)*(MIN(MAX(0,輸入與假設!E$118-(輸入與假設!$C$27)),輸入與假設!$C$28)-(1+各期收支!$C$55)^(-(4*輸入與假設!$C$29-MAX(0,輸入與假設!E$118-(輸入與假設!$C$27)))/4)*(1-(1+各期收支!$C$55)^(-MIN(MAX(0,輸入與假設!E$118-(輸入與假設!$C$27)),輸入與假設!$C$28)/4))/(1-(1+各期收支!$C$55)^(-0.25)))+運營_產能與收入!$C$56*輸入與假設!$C$26/輸入與假設!$C$28/輸入與假設!$C$29/4/((1+各期收支!$C$55)^0.25-1)*(MIN(MAX(0,輸入與假設!E$118-(輸入與假設!$C$27+運營_產能與收入!$C$50/3)),輸入與假設!$C$28)-(1+各期收支!$C$55)^(-(4*輸入與假設!$C$29-MAX(0,輸入與假設!E$118-(輸入與假設!$C$27+運營_產能與收入!$C$50/3)))/4)*(1-(1+各期收支!$C$55)^(-MIN(MAX(0,輸入與假設!E$118-(輸入與假設!$C$27+運營_產能與收入!$C$50/3)),輸入與假設!$C$28)/4))/(1-(1+各期收支!$C$55)^(-0.25))))</f>
        <v>167.311077537127</v>
      </c>
      <c r="F58" s="33" t="n">
        <f aca="false">IF(OR(運營_產能與收入!$C$50&lt;=0,運營_產能與收入!$C$56&lt;=0),1*輸入與假設!$C$26/輸入與假設!$C$28/輸入與假設!$C$29/4/((1+各期收支!$C$55)^0.25-1)*(MIN(MAX(0,輸入與假設!F$118-(輸入與假設!$C$27)),輸入與假設!$C$28)-(1+各期收支!$C$55)^(-(4*輸入與假設!$C$29-MAX(0,輸入與假設!F$118-(輸入與假設!$C$27)))/4)*(1-(1+各期收支!$C$55)^(-MIN(MAX(0,輸入與假設!F$118-(輸入與假設!$C$27)),輸入與假設!$C$28)/4))/(1-(1+各期收支!$C$55)^(-0.25))),(1-運營_產能與收入!$C$56)*輸入與假設!$C$26/輸入與假設!$C$28/輸入與假設!$C$29/4/((1+各期收支!$C$55)^0.25-1)*(MIN(MAX(0,輸入與假設!F$118-(輸入與假設!$C$27)),輸入與假設!$C$28)-(1+各期收支!$C$55)^(-(4*輸入與假設!$C$29-MAX(0,輸入與假設!F$118-(輸入與假設!$C$27)))/4)*(1-(1+各期收支!$C$55)^(-MIN(MAX(0,輸入與假設!F$118-(輸入與假設!$C$27)),輸入與假設!$C$28)/4))/(1-(1+各期收支!$C$55)^(-0.25)))+運營_產能與收入!$C$56*輸入與假設!$C$26/輸入與假設!$C$28/輸入與假設!$C$29/4/((1+各期收支!$C$55)^0.25-1)*(MIN(MAX(0,輸入與假設!F$118-(輸入與假設!$C$27+運營_產能與收入!$C$50/3)),輸入與假設!$C$28)-(1+各期收支!$C$55)^(-(4*輸入與假設!$C$29-MAX(0,輸入與假設!F$118-(輸入與假設!$C$27+運營_產能與收入!$C$50/3)))/4)*(1-(1+各期收支!$C$55)^(-MIN(MAX(0,輸入與假設!F$118-(輸入與假設!$C$27+運營_產能與收入!$C$50/3)),輸入與假設!$C$28)/4))/(1-(1+各期收支!$C$55)^(-0.25))))</f>
        <v>168.447834894463</v>
      </c>
      <c r="G58" s="33" t="n">
        <f aca="false">IF(OR(運營_產能與收入!$C$50&lt;=0,運營_產能與收入!$C$56&lt;=0),1*輸入與假設!$C$26/輸入與假設!$C$28/輸入與假設!$C$29/4/((1+各期收支!$C$55)^0.25-1)*(MIN(MAX(0,輸入與假設!G$118-(輸入與假設!$C$27)),輸入與假設!$C$28)-(1+各期收支!$C$55)^(-(4*輸入與假設!$C$29-MAX(0,輸入與假設!G$118-(輸入與假設!$C$27)))/4)*(1-(1+各期收支!$C$55)^(-MIN(MAX(0,輸入與假設!G$118-(輸入與假設!$C$27)),輸入與假設!$C$28)/4))/(1-(1+各期收支!$C$55)^(-0.25))),(1-運營_產能與收入!$C$56)*輸入與假設!$C$26/輸入與假設!$C$28/輸入與假設!$C$29/4/((1+各期收支!$C$55)^0.25-1)*(MIN(MAX(0,輸入與假設!G$118-(輸入與假設!$C$27)),輸入與假設!$C$28)-(1+各期收支!$C$55)^(-(4*輸入與假設!$C$29-MAX(0,輸入與假設!G$118-(輸入與假設!$C$27)))/4)*(1-(1+各期收支!$C$55)^(-MIN(MAX(0,輸入與假設!G$118-(輸入與假設!$C$27)),輸入與假設!$C$28)/4))/(1-(1+各期收支!$C$55)^(-0.25)))+運營_產能與收入!$C$56*輸入與假設!$C$26/輸入與假設!$C$28/輸入與假設!$C$29/4/((1+各期收支!$C$55)^0.25-1)*(MIN(MAX(0,輸入與假設!G$118-(輸入與假設!$C$27+運營_產能與收入!$C$50/3)),輸入與假設!$C$28)-(1+各期收支!$C$55)^(-(4*輸入與假設!$C$29-MAX(0,輸入與假設!G$118-(輸入與假設!$C$27+運營_產能與收入!$C$50/3)))/4)*(1-(1+各期收支!$C$55)^(-MIN(MAX(0,輸入與假設!G$118-(輸入與假設!$C$27+運營_產能與收入!$C$50/3)),輸入與假設!$C$28)/4))/(1-(1+各期收支!$C$55)^(-0.25))))</f>
        <v>160.750249197744</v>
      </c>
      <c r="I58" s="6" t="s">
        <v>840</v>
      </c>
    </row>
    <row r="59" customFormat="false" ht="15" hidden="false" customHeight="false" outlineLevel="1" collapsed="false">
      <c r="A59" s="2" t="s">
        <v>841</v>
      </c>
      <c r="B59" s="11" t="s">
        <v>59</v>
      </c>
      <c r="C59" s="36" t="n">
        <f aca="false">C57+C58</f>
        <v>82.436654496604</v>
      </c>
      <c r="D59" s="36" t="n">
        <f aca="false">D57+D58</f>
        <v>143.909182631762</v>
      </c>
      <c r="E59" s="36" t="n">
        <f aca="false">E57+E58</f>
        <v>202.561131118165</v>
      </c>
      <c r="F59" s="36" t="n">
        <f aca="false">F57+F58</f>
        <v>200.509042381662</v>
      </c>
      <c r="G59" s="36" t="n">
        <f aca="false">G57+G58</f>
        <v>189.436733943543</v>
      </c>
    </row>
    <row r="61" customFormat="false" ht="15" hidden="false" customHeight="false" outlineLevel="0" collapsed="false">
      <c r="A61" s="46" t="s">
        <v>842</v>
      </c>
      <c r="B61" s="8"/>
      <c r="C61" s="8"/>
      <c r="D61" s="8"/>
      <c r="E61" s="8"/>
      <c r="F61" s="8"/>
      <c r="G61" s="8"/>
      <c r="H61" s="8"/>
    </row>
    <row r="62" customFormat="false" ht="15" hidden="false" customHeight="false" outlineLevel="1" collapsed="false">
      <c r="A62" s="3" t="s">
        <v>843</v>
      </c>
      <c r="B62" s="11" t="s">
        <v>59</v>
      </c>
      <c r="C62" s="33" t="n">
        <f aca="false">C13+C16+C17+C22+C24+C25+C26+C27+C28+C23</f>
        <v>133.156151032419</v>
      </c>
      <c r="D62" s="33" t="n">
        <f aca="false">D13+D16+D17+D22+D24+D25+D26+D27+D28+D23</f>
        <v>126.725572906141</v>
      </c>
      <c r="E62" s="33" t="n">
        <f aca="false">E13+E16+E17+E22+E24+E25+E26+E27+E28+E23</f>
        <v>74.5281510109241</v>
      </c>
      <c r="F62" s="33" t="n">
        <f aca="false">F13+F16+F17+F22+F24+F25+F26+F27+F28+F23</f>
        <v>103.026035758636</v>
      </c>
      <c r="G62" s="33" t="n">
        <f aca="false">G13+G16+G17+G22+G24+G25+G26+G27+G28+G23</f>
        <v>104.709563404796</v>
      </c>
      <c r="I62" s="6" t="s">
        <v>844</v>
      </c>
    </row>
    <row r="63" customFormat="false" ht="15" hidden="false" customHeight="false" outlineLevel="1" collapsed="false">
      <c r="A63" s="3" t="s">
        <v>845</v>
      </c>
      <c r="B63" s="11" t="s">
        <v>59</v>
      </c>
      <c r="C63" s="33" t="n">
        <f aca="false">0</f>
        <v>0</v>
      </c>
      <c r="D63" s="33" t="n">
        <f aca="false">C90</f>
        <v>11.2016512160724</v>
      </c>
      <c r="E63" s="33" t="n">
        <f aca="false">D90</f>
        <v>41.3682928830224</v>
      </c>
      <c r="F63" s="33" t="n">
        <f aca="false">E90</f>
        <v>41.3682928830224</v>
      </c>
      <c r="G63" s="33" t="n">
        <f aca="false">F90</f>
        <v>41.3682928830224</v>
      </c>
    </row>
    <row r="64" customFormat="false" ht="15" hidden="false" customHeight="false" outlineLevel="1" collapsed="false">
      <c r="A64" s="3" t="s">
        <v>846</v>
      </c>
      <c r="B64" s="11" t="s">
        <v>42</v>
      </c>
      <c r="C64" s="48" t="n">
        <f aca="false">C19*運營_產能與收入!C7</f>
        <v>0.0435</v>
      </c>
      <c r="D64" s="48" t="n">
        <f aca="false">D19*運營_產能與收入!D7</f>
        <v>0.058</v>
      </c>
      <c r="E64" s="48" t="n">
        <f aca="false">E19*運營_產能與收入!E7</f>
        <v>0.058</v>
      </c>
      <c r="F64" s="48" t="n">
        <f aca="false">F19*運營_產能與收入!F7</f>
        <v>0.058</v>
      </c>
      <c r="G64" s="48" t="n">
        <f aca="false">G19*運營_產能與收入!G7</f>
        <v>0.058</v>
      </c>
    </row>
    <row r="65" customFormat="false" ht="15" hidden="false" customHeight="false" outlineLevel="1" collapsed="false">
      <c r="A65" s="3" t="s">
        <v>847</v>
      </c>
      <c r="B65" s="11" t="s">
        <v>59</v>
      </c>
      <c r="C65" s="33" t="n">
        <f aca="false">0</f>
        <v>0</v>
      </c>
      <c r="D65" s="33" t="n">
        <f aca="false">C92</f>
        <v>0</v>
      </c>
      <c r="E65" s="33" t="n">
        <f aca="false">D92</f>
        <v>0</v>
      </c>
      <c r="F65" s="33" t="n">
        <f aca="false">E92</f>
        <v>0</v>
      </c>
      <c r="G65" s="33" t="n">
        <f aca="false">F92</f>
        <v>0</v>
      </c>
    </row>
    <row r="66" customFormat="false" ht="15" hidden="false" customHeight="false" outlineLevel="1" collapsed="false">
      <c r="A66" s="3" t="s">
        <v>848</v>
      </c>
      <c r="B66" s="11" t="s">
        <v>59</v>
      </c>
      <c r="C66" s="33" t="n">
        <f aca="false">0</f>
        <v>0</v>
      </c>
      <c r="D66" s="33" t="n">
        <f aca="false">C93</f>
        <v>0</v>
      </c>
      <c r="E66" s="33" t="n">
        <f aca="false">D93</f>
        <v>0</v>
      </c>
      <c r="F66" s="33" t="n">
        <f aca="false">E93</f>
        <v>0</v>
      </c>
      <c r="G66" s="33" t="n">
        <f aca="false">F93</f>
        <v>0</v>
      </c>
    </row>
    <row r="67" customFormat="false" ht="15" hidden="false" customHeight="false" outlineLevel="1" collapsed="false">
      <c r="A67" s="3" t="s">
        <v>849</v>
      </c>
      <c r="B67" s="11" t="s">
        <v>42</v>
      </c>
      <c r="C67" s="48" t="n">
        <f aca="false">輸入與假設!$C$160*運營_產能與收入!C7</f>
        <v>0</v>
      </c>
      <c r="D67" s="48" t="n">
        <f aca="false">輸入與假設!$C$160*運營_產能與收入!D7</f>
        <v>0</v>
      </c>
      <c r="E67" s="48" t="n">
        <f aca="false">輸入與假設!$C$160*運營_產能與收入!E7</f>
        <v>0</v>
      </c>
      <c r="F67" s="48" t="n">
        <f aca="false">輸入與假設!$C$160*運營_產能與收入!F7</f>
        <v>0</v>
      </c>
      <c r="G67" s="48" t="n">
        <f aca="false">輸入與假設!$C$160*運營_產能與收入!G7</f>
        <v>0</v>
      </c>
    </row>
    <row r="68" customFormat="false" ht="15" hidden="false" customHeight="false" outlineLevel="1" collapsed="false">
      <c r="A68" s="3" t="s">
        <v>850</v>
      </c>
      <c r="B68" s="11" t="s">
        <v>42</v>
      </c>
      <c r="C68" s="48" t="n">
        <f aca="false">(輸入與假設!$C$162+IF(輸入與假設!$C$165=1,MAX(0,輸入與假設!$C$164-輸入與假設!$C$166)/10000*輸入與假設!$C$167,0))*運營_產能與收入!C7</f>
        <v>0.09</v>
      </c>
      <c r="D68" s="48" t="n">
        <f aca="false">(輸入與假設!$C$162+IF(輸入與假設!$C$165=1,MAX(0,輸入與假設!$C$164-輸入與假設!$C$166)/10000*輸入與假設!$C$167,0))*運營_產能與收入!D7</f>
        <v>0.12</v>
      </c>
      <c r="E68" s="48" t="n">
        <f aca="false">(輸入與假設!$C$162+IF(輸入與假設!$C$165=1,MAX(0,輸入與假設!$C$164-輸入與假設!$C$166)/10000*輸入與假設!$C$167,0))*運營_產能與收入!E7</f>
        <v>0.12</v>
      </c>
      <c r="F68" s="48" t="n">
        <f aca="false">(輸入與假設!$C$162+IF(輸入與假設!$C$165=1,MAX(0,輸入與假設!$C$164-輸入與假設!$C$166)/10000*輸入與假設!$C$167,0))*運營_產能與收入!F7</f>
        <v>0.12</v>
      </c>
      <c r="G68" s="48" t="n">
        <f aca="false">(輸入與假設!$C$162+IF(輸入與假設!$C$165=1,MAX(0,輸入與假設!$C$164-輸入與假設!$C$166)/10000*輸入與假設!$C$167,0))*運營_產能與收入!G7</f>
        <v>0.12</v>
      </c>
    </row>
    <row r="69" customFormat="false" ht="15" hidden="false" customHeight="false" outlineLevel="1" collapsed="false">
      <c r="A69" s="3" t="s">
        <v>851</v>
      </c>
      <c r="B69" s="11" t="s">
        <v>59</v>
      </c>
      <c r="C69" s="33" t="n">
        <f aca="false">C18+C40+C41+C42+C49-C62-C64*C63-C68*C65-C67*C66</f>
        <v>-0.714379388173228</v>
      </c>
      <c r="D69" s="33" t="n">
        <f aca="false">D18+D40+D41+D42+D49-D62-D64*D63-D68*D65-D67*D66</f>
        <v>-18.4169764502669</v>
      </c>
      <c r="E69" s="33" t="n">
        <f aca="false">E18+E40+E41+E42+E49-E62-E64*E63-E68*E65-E67*E66</f>
        <v>42.0381454094186</v>
      </c>
      <c r="F69" s="33" t="n">
        <f aca="false">F18+F40+F41+F42+F49-F62-F64*F63-F68*F65-F67*F66</f>
        <v>60.1796673785598</v>
      </c>
      <c r="G69" s="33" t="n">
        <f aca="false">G18+G40+G41+G42+G49-G62-G64*G63-G68*G65-G67*G66</f>
        <v>72.4967017635462</v>
      </c>
    </row>
    <row r="70" customFormat="false" ht="15" hidden="false" customHeight="false" outlineLevel="1" collapsed="false">
      <c r="A70" s="2" t="s">
        <v>852</v>
      </c>
      <c r="B70" s="11" t="s">
        <v>59</v>
      </c>
      <c r="C70" s="36" t="n">
        <f aca="false">MAX(0,輸入與假設!$C$151-C69)</f>
        <v>10.7143793881732</v>
      </c>
      <c r="D70" s="36" t="n">
        <f aca="false">MAX(0,輸入與假設!$C$151-D69)</f>
        <v>28.4169764502669</v>
      </c>
      <c r="E70" s="36" t="n">
        <f aca="false">MAX(0,輸入與假設!$C$151-E69)</f>
        <v>0</v>
      </c>
      <c r="F70" s="36" t="n">
        <f aca="false">MAX(0,輸入與假設!$C$151-F69)</f>
        <v>0</v>
      </c>
      <c r="G70" s="36" t="n">
        <f aca="false">MAX(0,輸入與假設!$C$151-G69)</f>
        <v>0</v>
      </c>
    </row>
    <row r="71" customFormat="false" ht="15" hidden="false" customHeight="false" outlineLevel="1" collapsed="false">
      <c r="A71" s="3" t="s">
        <v>853</v>
      </c>
      <c r="B71" s="11" t="s">
        <v>59</v>
      </c>
      <c r="C71" s="33" t="n">
        <f aca="false">輸入與假設!$C$31+輸入與假設!$C$32</f>
        <v>664</v>
      </c>
      <c r="D71" s="33" t="n">
        <f aca="false">C73</f>
        <v>599.26</v>
      </c>
      <c r="E71" s="33" t="n">
        <f aca="false">D73</f>
        <v>485.55</v>
      </c>
      <c r="F71" s="33" t="n">
        <f aca="false">E73</f>
        <v>362.71</v>
      </c>
      <c r="G71" s="33" t="n">
        <f aca="false">F73</f>
        <v>283.7509</v>
      </c>
      <c r="I71" s="11" t="s">
        <v>854</v>
      </c>
    </row>
    <row r="72" customFormat="false" ht="15" hidden="false" customHeight="false" outlineLevel="1" collapsed="false">
      <c r="A72" s="3" t="s">
        <v>855</v>
      </c>
      <c r="B72" s="11" t="s">
        <v>59</v>
      </c>
      <c r="C72" s="33" t="n">
        <f aca="false">MAX(0,運營_產能與收入!C24/運營_產能與收入!C7-0)*輸入與假設!$C$148</f>
        <v>0</v>
      </c>
      <c r="D72" s="33" t="n">
        <f aca="false">MAX(0,運營_產能與收入!D24/運營_產能與收入!D7-運營_產能與收入!C24/運營_產能與收入!C7)*輸入與假設!$C$148</f>
        <v>0</v>
      </c>
      <c r="E72" s="33" t="n">
        <f aca="false">MAX(0,運營_產能與收入!E24/運營_產能與收入!E7-運營_產能與收入!D24/運營_產能與收入!D7)*輸入與假設!$C$148</f>
        <v>0</v>
      </c>
      <c r="F72" s="33" t="n">
        <f aca="false">MAX(0,運營_產能與收入!F24/運營_產能與收入!F7-運營_產能與收入!E24/運營_產能與收入!E7)*輸入與假設!$C$148</f>
        <v>54.61635</v>
      </c>
      <c r="G72" s="33" t="n">
        <f aca="false">MAX(0,運營_產能與收入!G24/運營_產能與收入!G7-運營_產能與收入!F24/運營_產能與收入!F7)*輸入與假設!$C$148</f>
        <v>25.6878</v>
      </c>
    </row>
    <row r="73" customFormat="false" ht="15" hidden="false" customHeight="false" outlineLevel="1" collapsed="false">
      <c r="A73" s="3" t="s">
        <v>856</v>
      </c>
      <c r="B73" s="11" t="s">
        <v>59</v>
      </c>
      <c r="C73" s="33" t="n">
        <f aca="false">C71-運營_產能與收入!C18-運營_產能與收入!C24+C72</f>
        <v>599.26</v>
      </c>
      <c r="D73" s="33" t="n">
        <f aca="false">D71-運營_產能與收入!D18-運營_產能與收入!D24+D72</f>
        <v>485.55</v>
      </c>
      <c r="E73" s="33" t="n">
        <f aca="false">E71-運營_產能與收入!E18-運營_產能與收入!E24+E72</f>
        <v>362.71</v>
      </c>
      <c r="F73" s="33" t="n">
        <f aca="false">F71-運營_產能與收入!F18-運營_產能與收入!F24+F72</f>
        <v>283.7509</v>
      </c>
      <c r="G73" s="33" t="n">
        <f aca="false">G71-運營_產能與收入!G18-運營_產能與收入!G24+G72</f>
        <v>169.79065</v>
      </c>
      <c r="I73" s="6" t="s">
        <v>857</v>
      </c>
    </row>
    <row r="74" customFormat="false" ht="15" hidden="false" customHeight="false" outlineLevel="1" collapsed="false">
      <c r="A74" s="3" t="s">
        <v>858</v>
      </c>
      <c r="B74" s="11" t="s">
        <v>59</v>
      </c>
      <c r="C74" s="33" t="n">
        <f aca="false">IF(輸入與假設!$C$144=1,資產負債_既有債務!C80,資產負債_既有債務!$E$62)+資產負債_既有債務!$E$65+資產負債_既有債務!C85</f>
        <v>122.897</v>
      </c>
      <c r="D74" s="33" t="n">
        <f aca="false">IF(輸入與假設!$C$144=1,資產負債_既有債務!D80,資產負債_既有債務!$E$62)+資產負債_既有債務!$E$65+資產負債_既有債務!D85</f>
        <v>112.75</v>
      </c>
      <c r="E74" s="33" t="n">
        <f aca="false">IF(輸入與假設!$C$144=1,資產負債_既有債務!E80,資產負債_既有債務!$E$62)+資產負債_既有債務!$E$65+資產負債_既有債務!E85</f>
        <v>107.25</v>
      </c>
      <c r="F74" s="33" t="n">
        <f aca="false">IF(輸入與假設!$C$144=1,資產負債_既有債務!F80,資產負債_既有債務!$E$62)+資產負債_既有債務!$E$65+資產負債_既有債務!F85</f>
        <v>100</v>
      </c>
      <c r="G74" s="33" t="n">
        <f aca="false">IF(輸入與假設!$C$144=1,資產負債_既有債務!G80,資產負債_既有債務!$E$62)+資產負債_既有債務!$E$65+資產負債_既有債務!G85</f>
        <v>90.25</v>
      </c>
      <c r="I74" s="6" t="s">
        <v>859</v>
      </c>
    </row>
    <row r="75" customFormat="false" ht="15" hidden="false" customHeight="false" outlineLevel="1" collapsed="false">
      <c r="A75" s="3" t="s">
        <v>860</v>
      </c>
      <c r="B75" s="11" t="s">
        <v>59</v>
      </c>
      <c r="C75" s="33" t="n">
        <f aca="false">IF(輸入與假設!$C$146="leaseAdj",輸入與假設!$C$147*(損益!C22+C16)/運營_產能與收入!C7-C59,IF(輸入與假設!$C$146="ebitda",輸入與假設!$C$147*損益!C22/運營_產能與收入!C7,輸入與假設!$C$145*C73))</f>
        <v>191.379571476776</v>
      </c>
      <c r="D75" s="33" t="n">
        <f aca="false">IF(輸入與假設!$C$146="leaseAdj",輸入與假設!$C$147*(損益!D22+D16)/運營_產能與收入!D7-D59,IF(輸入與假設!$C$146="ebitda",輸入與假設!$C$147*損益!D22/運營_產能與收入!D7,輸入與假設!$C$145*D73))</f>
        <v>242.195973303831</v>
      </c>
      <c r="E75" s="33" t="n">
        <f aca="false">IF(輸入與假設!$C$146="leaseAdj",輸入與假設!$C$147*(損益!E22+E16)/運營_產能與收入!E7-E59,IF(輸入與假設!$C$146="ebitda",輸入與假設!$C$147*損益!E22/運營_產能與收入!E7,輸入與假設!$C$145*E73))</f>
        <v>306.11719111858</v>
      </c>
      <c r="F75" s="33" t="n">
        <f aca="false">IF(輸入與假設!$C$146="leaseAdj",輸入與假設!$C$147*(損益!F22+F16)/運營_產能與收入!F7-F59,IF(輸入與假設!$C$146="ebitda",輸入與假設!$C$147*損益!F22/運營_產能與收入!F7,輸入與假設!$C$145*F73))</f>
        <v>350.315517512606</v>
      </c>
      <c r="G75" s="33" t="n">
        <f aca="false">IF(輸入與假設!$C$146="leaseAdj",輸入與假設!$C$147*(損益!G22+G16)/運營_產能與收入!G7-G59,IF(輸入與假設!$C$146="ebitda",輸入與假設!$C$147*損益!G22/運營_產能與收入!G7,輸入與假設!$C$145*G73))</f>
        <v>350.205409082679</v>
      </c>
      <c r="I75" s="11" t="s">
        <v>861</v>
      </c>
    </row>
    <row r="76" customFormat="false" ht="15" hidden="false" customHeight="false" outlineLevel="1" collapsed="false">
      <c r="A76" s="3" t="s">
        <v>862</v>
      </c>
      <c r="B76" s="11" t="s">
        <v>59</v>
      </c>
      <c r="C76" s="33" t="n">
        <f aca="false">IF(輸入與假設!$C$143=1,輸入與假設!$C$142,0)</f>
        <v>0</v>
      </c>
      <c r="D76" s="33" t="n">
        <f aca="false">C91</f>
        <v>0</v>
      </c>
      <c r="E76" s="33" t="n">
        <f aca="false">D91</f>
        <v>0</v>
      </c>
      <c r="F76" s="33" t="n">
        <f aca="false">E91</f>
        <v>0</v>
      </c>
      <c r="G76" s="33" t="n">
        <f aca="false">F91</f>
        <v>0</v>
      </c>
    </row>
    <row r="77" customFormat="false" ht="15" hidden="false" customHeight="false" outlineLevel="1" collapsed="false">
      <c r="A77" s="3" t="s">
        <v>863</v>
      </c>
      <c r="B77" s="11" t="s">
        <v>59</v>
      </c>
      <c r="C77" s="33" t="n">
        <f aca="false">MAX(0,C75-(C74+C63+C66),C76)</f>
        <v>68.4825714767761</v>
      </c>
      <c r="D77" s="33" t="n">
        <f aca="false">MAX(0,D75-(D74+D63+D66),D76)</f>
        <v>118.244322087758</v>
      </c>
      <c r="E77" s="33" t="n">
        <f aca="false">MAX(0,E75-(E74+E63+E66),E76)</f>
        <v>157.498898235558</v>
      </c>
      <c r="F77" s="33" t="n">
        <f aca="false">MAX(0,F75-(F74+F63+F66),F76)</f>
        <v>208.947224629583</v>
      </c>
      <c r="G77" s="33" t="n">
        <f aca="false">MAX(0,G75-(G74+G63+G66),G76)</f>
        <v>218.587116199656</v>
      </c>
      <c r="I77" s="6" t="s">
        <v>864</v>
      </c>
    </row>
    <row r="78" customFormat="false" ht="15" hidden="false" customHeight="false" outlineLevel="1" collapsed="false">
      <c r="A78" s="2" t="s">
        <v>865</v>
      </c>
      <c r="B78" s="11" t="s">
        <v>59</v>
      </c>
      <c r="C78" s="36" t="n">
        <f aca="false">MIN(C77,C70/(1-C64))</f>
        <v>11.2016512160724</v>
      </c>
      <c r="D78" s="36" t="n">
        <f aca="false">MIN(D77,D70/(1-D64))</f>
        <v>30.16664166695</v>
      </c>
      <c r="E78" s="36" t="n">
        <f aca="false">MIN(E77,E70/(1-E64))</f>
        <v>0</v>
      </c>
      <c r="F78" s="36" t="n">
        <f aca="false">MIN(F77,F70/(1-F64))</f>
        <v>0</v>
      </c>
      <c r="G78" s="36" t="n">
        <f aca="false">MIN(G77,G70/(1-G64))</f>
        <v>0</v>
      </c>
      <c r="I78" s="6" t="s">
        <v>866</v>
      </c>
    </row>
    <row r="79" customFormat="false" ht="15" hidden="false" customHeight="false" outlineLevel="1" collapsed="false">
      <c r="A79" s="3" t="s">
        <v>867</v>
      </c>
      <c r="B79" s="11" t="s">
        <v>59</v>
      </c>
      <c r="C79" s="33" t="n">
        <f aca="false">MAX(0,C70+C64*C78-C78)</f>
        <v>0</v>
      </c>
      <c r="D79" s="33" t="n">
        <f aca="false">MAX(0,D70+D64*D78-D78)</f>
        <v>0</v>
      </c>
      <c r="E79" s="33" t="n">
        <f aca="false">MAX(0,E70+E64*E78-E78)</f>
        <v>0</v>
      </c>
      <c r="F79" s="33" t="n">
        <f aca="false">MAX(0,F70+F64*F78-F78)</f>
        <v>0</v>
      </c>
      <c r="G79" s="33" t="n">
        <f aca="false">MAX(0,G70+G64*G78-G78)</f>
        <v>0</v>
      </c>
    </row>
    <row r="80" customFormat="false" ht="15" hidden="false" customHeight="false" outlineLevel="1" collapsed="false">
      <c r="A80" s="3" t="s">
        <v>868</v>
      </c>
      <c r="B80" s="11" t="s">
        <v>59</v>
      </c>
      <c r="C80" s="33" t="n">
        <f aca="false">MAX(0,輸入與假設!$C$159)*運營_產能與收入!C7</f>
        <v>0</v>
      </c>
      <c r="D80" s="33" t="n">
        <f aca="false">MAX(0,輸入與假設!$C$159)*運營_產能與收入!D7</f>
        <v>0</v>
      </c>
      <c r="E80" s="33" t="n">
        <f aca="false">MAX(0,輸入與假設!$C$159)*運營_產能與收入!E7</f>
        <v>0</v>
      </c>
      <c r="F80" s="33" t="n">
        <f aca="false">MAX(0,輸入與假設!$C$159)*運營_產能與收入!F7</f>
        <v>0</v>
      </c>
      <c r="G80" s="33" t="n">
        <f aca="false">MAX(0,輸入與假設!$C$159)*運營_產能與收入!G7</f>
        <v>0</v>
      </c>
      <c r="I80" s="6" t="s">
        <v>869</v>
      </c>
    </row>
    <row r="81" customFormat="false" ht="15" hidden="false" customHeight="false" outlineLevel="1" collapsed="false">
      <c r="A81" s="2" t="s">
        <v>870</v>
      </c>
      <c r="B81" s="11" t="s">
        <v>59</v>
      </c>
      <c r="C81" s="36" t="n">
        <f aca="false">MIN(C80,C79/(1-C67))</f>
        <v>0</v>
      </c>
      <c r="D81" s="36" t="n">
        <f aca="false">MIN(D80,D79/(1-D67))</f>
        <v>0</v>
      </c>
      <c r="E81" s="36" t="n">
        <f aca="false">MIN(E80,E79/(1-E67))</f>
        <v>0</v>
      </c>
      <c r="F81" s="36" t="n">
        <f aca="false">MIN(F80,F79/(1-F67))</f>
        <v>0</v>
      </c>
      <c r="G81" s="36" t="n">
        <f aca="false">MIN(G80,G79/(1-G67))</f>
        <v>0</v>
      </c>
      <c r="I81" s="6" t="s">
        <v>871</v>
      </c>
    </row>
    <row r="82" customFormat="false" ht="15" hidden="false" customHeight="false" outlineLevel="1" collapsed="false">
      <c r="A82" s="3" t="s">
        <v>872</v>
      </c>
      <c r="B82" s="11" t="s">
        <v>59</v>
      </c>
      <c r="C82" s="33" t="n">
        <f aca="false">MAX(0,C79+C67*C81-C81)</f>
        <v>0</v>
      </c>
      <c r="D82" s="33" t="n">
        <f aca="false">MAX(0,D79+D67*D81-D81)</f>
        <v>0</v>
      </c>
      <c r="E82" s="33" t="n">
        <f aca="false">MAX(0,E79+E67*E81-E81)</f>
        <v>0</v>
      </c>
      <c r="F82" s="33" t="n">
        <f aca="false">MAX(0,F79+F67*F81-F81)</f>
        <v>0</v>
      </c>
      <c r="G82" s="33" t="n">
        <f aca="false">MAX(0,G79+G67*G81-G81)</f>
        <v>0</v>
      </c>
    </row>
    <row r="83" customFormat="false" ht="15" hidden="false" customHeight="false" outlineLevel="1" collapsed="false">
      <c r="A83" s="3" t="s">
        <v>873</v>
      </c>
      <c r="B83" s="11" t="s">
        <v>59</v>
      </c>
      <c r="C83" s="33" t="n">
        <f aca="false">IF(輸入與假設!$C$154&gt;=9,1E+099,輸入與假設!$C$154*輸入與假設!$C$152*輸入與假設!$C$155*運營_產能與收入!C7)</f>
        <v>16.415484777</v>
      </c>
      <c r="D83" s="33" t="n">
        <f aca="false">IF(輸入與假設!$C$154&gt;=9,1E+099,輸入與假設!$C$154*輸入與假設!$C$152*輸入與假設!$C$155*運營_產能與收入!D7)</f>
        <v>21.887313036</v>
      </c>
      <c r="E83" s="33" t="n">
        <f aca="false">IF(輸入與假設!$C$154&gt;=9,1E+099,輸入與假設!$C$154*輸入與假設!$C$152*輸入與假設!$C$155*運營_產能與收入!E7)</f>
        <v>21.887313036</v>
      </c>
      <c r="F83" s="33" t="n">
        <f aca="false">IF(輸入與假設!$C$154&gt;=9,1E+099,輸入與假設!$C$154*輸入與假設!$C$152*輸入與假設!$C$155*運營_產能與收入!F7)</f>
        <v>21.887313036</v>
      </c>
      <c r="G83" s="33" t="n">
        <f aca="false">IF(輸入與假設!$C$154&gt;=9,1E+099,輸入與假設!$C$154*輸入與假設!$C$152*輸入與假設!$C$155*運營_產能與收入!G7)</f>
        <v>21.887313036</v>
      </c>
      <c r="I83" s="6" t="s">
        <v>874</v>
      </c>
    </row>
    <row r="84" customFormat="false" ht="15" hidden="false" customHeight="false" outlineLevel="1" collapsed="false">
      <c r="A84" s="2" t="s">
        <v>875</v>
      </c>
      <c r="B84" s="11" t="s">
        <v>59</v>
      </c>
      <c r="C84" s="36" t="n">
        <f aca="false">MIN(C82,C83)</f>
        <v>0</v>
      </c>
      <c r="D84" s="36" t="n">
        <f aca="false">MIN(D82,D83)</f>
        <v>0</v>
      </c>
      <c r="E84" s="36" t="n">
        <f aca="false">MIN(E82,E83)</f>
        <v>0</v>
      </c>
      <c r="F84" s="36" t="n">
        <f aca="false">MIN(F82,F83)</f>
        <v>0</v>
      </c>
      <c r="G84" s="36" t="n">
        <f aca="false">MIN(G82,G83)</f>
        <v>0</v>
      </c>
    </row>
    <row r="85" customFormat="false" ht="15" hidden="false" customHeight="false" outlineLevel="1" collapsed="false">
      <c r="A85" s="2" t="s">
        <v>876</v>
      </c>
      <c r="B85" s="11" t="s">
        <v>59</v>
      </c>
      <c r="C85" s="36" t="n">
        <f aca="false">(C82-C84)/(1-C68)</f>
        <v>0</v>
      </c>
      <c r="D85" s="36" t="n">
        <f aca="false">(D82-D84)/(1-D68)</f>
        <v>0</v>
      </c>
      <c r="E85" s="36" t="n">
        <f aca="false">(E82-E84)/(1-E68)</f>
        <v>0</v>
      </c>
      <c r="F85" s="36" t="n">
        <f aca="false">(F82-F84)/(1-F68)</f>
        <v>0</v>
      </c>
      <c r="G85" s="36" t="n">
        <f aca="false">(G82-G84)/(1-G68)</f>
        <v>0</v>
      </c>
    </row>
    <row r="86" customFormat="false" ht="15" hidden="false" customHeight="false" outlineLevel="1" collapsed="false">
      <c r="A86" s="3" t="s">
        <v>877</v>
      </c>
      <c r="B86" s="11" t="s">
        <v>59</v>
      </c>
      <c r="C86" s="33" t="n">
        <f aca="false">C64*(C63+C78)+C68*(C65+C85)+C67*(C66+C81)</f>
        <v>0.487271827899148</v>
      </c>
      <c r="D86" s="33" t="n">
        <f aca="false">D64*(D63+D78)+D68*(D65+D85)+D67*(D66+D81)</f>
        <v>2.3993609872153</v>
      </c>
      <c r="E86" s="33" t="n">
        <f aca="false">E64*(E63+E78)+E68*(E65+E85)+E67*(E66+E81)</f>
        <v>2.3993609872153</v>
      </c>
      <c r="F86" s="33" t="n">
        <f aca="false">F64*(F63+F78)+F68*(F65+F85)+F67*(F66+F81)</f>
        <v>2.3993609872153</v>
      </c>
      <c r="G86" s="33" t="n">
        <f aca="false">G64*(G63+G78)+G68*(G65+G85)+G67*(G66+G81)</f>
        <v>2.3993609872153</v>
      </c>
      <c r="I86" s="6" t="s">
        <v>878</v>
      </c>
    </row>
    <row r="87" customFormat="false" ht="15" hidden="false" customHeight="false" outlineLevel="1" collapsed="false">
      <c r="A87" s="3" t="s">
        <v>879</v>
      </c>
      <c r="B87" s="11" t="s">
        <v>39</v>
      </c>
      <c r="C87" s="49" t="n">
        <f aca="false">輸入與假設!$C$152*(1-輸入與假設!$C$153)</f>
        <v>130.293</v>
      </c>
      <c r="D87" s="49" t="n">
        <f aca="false">輸入與假設!$C$152*(1-輸入與假設!$C$153)</f>
        <v>130.293</v>
      </c>
      <c r="E87" s="49" t="n">
        <f aca="false">輸入與假設!$C$152*(1-輸入與假設!$C$153)</f>
        <v>130.293</v>
      </c>
      <c r="F87" s="49" t="n">
        <f aca="false">輸入與假設!$C$152*(1-輸入與假設!$C$153)</f>
        <v>130.293</v>
      </c>
      <c r="G87" s="49" t="n">
        <f aca="false">輸入與假設!$C$152*(1-輸入與假設!$C$153)</f>
        <v>130.293</v>
      </c>
    </row>
    <row r="88" customFormat="false" ht="15" hidden="false" customHeight="false" outlineLevel="1" collapsed="false">
      <c r="A88" s="3" t="s">
        <v>880</v>
      </c>
      <c r="B88" s="11" t="s">
        <v>390</v>
      </c>
      <c r="C88" s="50" t="n">
        <f aca="false">C84/C87</f>
        <v>0</v>
      </c>
      <c r="D88" s="50" t="n">
        <f aca="false">D84/D87</f>
        <v>0</v>
      </c>
      <c r="E88" s="50" t="n">
        <f aca="false">E84/E87</f>
        <v>0</v>
      </c>
      <c r="F88" s="50" t="n">
        <f aca="false">F84/F87</f>
        <v>0</v>
      </c>
      <c r="G88" s="50" t="n">
        <f aca="false">G84/G87</f>
        <v>0</v>
      </c>
    </row>
    <row r="89" customFormat="false" ht="15" hidden="false" customHeight="false" outlineLevel="1" collapsed="false">
      <c r="A89" s="2" t="s">
        <v>881</v>
      </c>
      <c r="B89" s="11" t="s">
        <v>390</v>
      </c>
      <c r="C89" s="51" t="n">
        <f aca="false">C88</f>
        <v>0</v>
      </c>
      <c r="D89" s="51" t="n">
        <f aca="false">C89+D88</f>
        <v>0</v>
      </c>
      <c r="E89" s="51" t="n">
        <f aca="false">D89+E88</f>
        <v>0</v>
      </c>
      <c r="F89" s="51" t="n">
        <f aca="false">E89+F88</f>
        <v>0</v>
      </c>
      <c r="G89" s="51" t="n">
        <f aca="false">F89+G88</f>
        <v>0</v>
      </c>
    </row>
    <row r="90" customFormat="false" ht="15" hidden="false" customHeight="false" outlineLevel="1" collapsed="false">
      <c r="A90" s="3" t="s">
        <v>882</v>
      </c>
      <c r="B90" s="11" t="s">
        <v>59</v>
      </c>
      <c r="C90" s="33" t="n">
        <f aca="false">C63+C78</f>
        <v>11.2016512160724</v>
      </c>
      <c r="D90" s="33" t="n">
        <f aca="false">D63+D78</f>
        <v>41.3682928830224</v>
      </c>
      <c r="E90" s="33" t="n">
        <f aca="false">E63+E78</f>
        <v>41.3682928830224</v>
      </c>
      <c r="F90" s="33" t="n">
        <f aca="false">F63+F78</f>
        <v>41.3682928830224</v>
      </c>
      <c r="G90" s="33" t="n">
        <f aca="false">G63+G78</f>
        <v>41.3682928830224</v>
      </c>
    </row>
    <row r="91" customFormat="false" ht="15" hidden="false" customHeight="false" outlineLevel="1" collapsed="false">
      <c r="A91" s="3" t="s">
        <v>883</v>
      </c>
      <c r="B91" s="11" t="s">
        <v>59</v>
      </c>
      <c r="C91" s="33" t="n">
        <f aca="false">C76-MIN(C76,C78)</f>
        <v>0</v>
      </c>
      <c r="D91" s="33" t="n">
        <f aca="false">D76-MIN(D76,D78)</f>
        <v>0</v>
      </c>
      <c r="E91" s="33" t="n">
        <f aca="false">E76-MIN(E76,E78)</f>
        <v>0</v>
      </c>
      <c r="F91" s="33" t="n">
        <f aca="false">F76-MIN(F76,F78)</f>
        <v>0</v>
      </c>
      <c r="G91" s="33" t="n">
        <f aca="false">G76-MIN(G76,G78)</f>
        <v>0</v>
      </c>
    </row>
    <row r="92" customFormat="false" ht="15" hidden="false" customHeight="false" outlineLevel="1" collapsed="false">
      <c r="A92" s="3" t="s">
        <v>884</v>
      </c>
      <c r="B92" s="11" t="s">
        <v>59</v>
      </c>
      <c r="C92" s="33" t="n">
        <f aca="false">C65+C85</f>
        <v>0</v>
      </c>
      <c r="D92" s="33" t="n">
        <f aca="false">D65+D85</f>
        <v>0</v>
      </c>
      <c r="E92" s="33" t="n">
        <f aca="false">E65+E85</f>
        <v>0</v>
      </c>
      <c r="F92" s="33" t="n">
        <f aca="false">F65+F85</f>
        <v>0</v>
      </c>
      <c r="G92" s="33" t="n">
        <f aca="false">G65+G85</f>
        <v>0</v>
      </c>
    </row>
    <row r="93" customFormat="false" ht="15" hidden="false" customHeight="false" outlineLevel="1" collapsed="false">
      <c r="A93" s="3" t="s">
        <v>885</v>
      </c>
      <c r="B93" s="11" t="s">
        <v>59</v>
      </c>
      <c r="C93" s="33" t="n">
        <f aca="false">C66+C81</f>
        <v>0</v>
      </c>
      <c r="D93" s="33" t="n">
        <f aca="false">D66+D81</f>
        <v>0</v>
      </c>
      <c r="E93" s="33" t="n">
        <f aca="false">E66+E81</f>
        <v>0</v>
      </c>
      <c r="F93" s="33" t="n">
        <f aca="false">F66+F81</f>
        <v>0</v>
      </c>
      <c r="G93" s="33" t="n">
        <f aca="false">G66+G81</f>
        <v>0</v>
      </c>
    </row>
    <row r="94" customFormat="false" ht="15" hidden="false" customHeight="false" outlineLevel="1" collapsed="false">
      <c r="A94" s="2" t="s">
        <v>886</v>
      </c>
      <c r="B94" s="11" t="s">
        <v>59</v>
      </c>
      <c r="C94" s="36" t="n">
        <f aca="false">C74+C90+C93+C92</f>
        <v>134.098651216072</v>
      </c>
      <c r="D94" s="36" t="n">
        <f aca="false">D74+D90+D93+D92</f>
        <v>154.118292883022</v>
      </c>
      <c r="E94" s="36" t="n">
        <f aca="false">E74+E90+E93+E92</f>
        <v>148.618292883022</v>
      </c>
      <c r="F94" s="36" t="n">
        <f aca="false">F74+F90+F93+F92</f>
        <v>141.368292883022</v>
      </c>
      <c r="G94" s="36" t="n">
        <f aca="false">G74+G90+G93+G92</f>
        <v>131.618292883022</v>
      </c>
    </row>
    <row r="95" customFormat="false" ht="15" hidden="false" customHeight="false" outlineLevel="1" collapsed="false">
      <c r="A95" s="2" t="s">
        <v>887</v>
      </c>
      <c r="B95" s="11" t="s">
        <v>59</v>
      </c>
      <c r="C95" s="36" t="n">
        <f aca="false">C18+C40+C41+C42+C49-C62</f>
        <v>-0.714379388173228</v>
      </c>
      <c r="D95" s="36" t="n">
        <f aca="false">C95+D40+D41-D62</f>
        <v>-28.4816600679079</v>
      </c>
      <c r="E95" s="36" t="n">
        <f aca="false">D95+E40+E41-E62</f>
        <v>5.955846328726</v>
      </c>
      <c r="F95" s="36" t="n">
        <f aca="false">E95+F40+F41-F62</f>
        <v>26.4967292850825</v>
      </c>
      <c r="G95" s="36" t="n">
        <f aca="false">F95+G40+G41-G62</f>
        <v>41.2131246572842</v>
      </c>
      <c r="I95" s="6" t="s">
        <v>888</v>
      </c>
    </row>
    <row r="97" customFormat="false" ht="15" hidden="false" customHeight="false" outlineLevel="0" collapsed="true">
      <c r="A97" s="46" t="s">
        <v>889</v>
      </c>
      <c r="B97" s="8"/>
      <c r="C97" s="8"/>
      <c r="D97" s="8"/>
      <c r="E97" s="8"/>
      <c r="F97" s="8"/>
      <c r="G97" s="8"/>
      <c r="H97" s="8"/>
    </row>
    <row r="98" customFormat="false" ht="15" hidden="true" customHeight="false" outlineLevel="1" collapsed="false">
      <c r="A98" s="3" t="s">
        <v>890</v>
      </c>
      <c r="C98" s="52" t="n">
        <f aca="false">輸入與假設!$C$240</f>
        <v>31.289</v>
      </c>
    </row>
    <row r="99" customFormat="false" ht="15" hidden="true" customHeight="false" outlineLevel="1" collapsed="false">
      <c r="A99" s="3" t="s">
        <v>891</v>
      </c>
      <c r="C99" s="52" t="n">
        <f aca="false">SUM(C50:G50)</f>
        <v>23.4524088805239</v>
      </c>
    </row>
    <row r="100" customFormat="false" ht="15" hidden="true" customHeight="false" outlineLevel="1" collapsed="false">
      <c r="A100" s="3" t="s">
        <v>892</v>
      </c>
      <c r="C100" s="52" t="n">
        <f aca="false">SUM(C41:G41)</f>
        <v>19.909</v>
      </c>
    </row>
    <row r="101" customFormat="false" ht="15" hidden="true" customHeight="false" outlineLevel="1" collapsed="false">
      <c r="A101" s="3" t="s">
        <v>893</v>
      </c>
      <c r="C101" s="52" t="n">
        <f aca="false">SUM(C42:G42)</f>
        <v>0</v>
      </c>
    </row>
    <row r="102" customFormat="false" ht="15" hidden="true" customHeight="false" outlineLevel="1" collapsed="false">
      <c r="A102" s="4" t="s">
        <v>894</v>
      </c>
      <c r="C102" s="52" t="n">
        <f aca="false">-SUM(C27:G27)</f>
        <v>-0</v>
      </c>
    </row>
    <row r="103" customFormat="false" ht="15" hidden="true" customHeight="false" outlineLevel="1" collapsed="false">
      <c r="A103" s="3" t="s">
        <v>895</v>
      </c>
      <c r="C103" s="52" t="n">
        <f aca="false">SUM(C49:G49)</f>
        <v>-3.66600000000001</v>
      </c>
    </row>
    <row r="104" customFormat="false" ht="15" hidden="true" customHeight="false" outlineLevel="1" collapsed="false">
      <c r="A104" s="3" t="s">
        <v>896</v>
      </c>
      <c r="C104" s="52" t="n">
        <f aca="false">SUM(C43:G43)+SUM(C44:G44)+SUM(C45:G45)+SUM(C46:G46)</f>
        <v>41.3682928830224</v>
      </c>
    </row>
    <row r="105" customFormat="false" ht="15" hidden="true" customHeight="false" outlineLevel="1" collapsed="false">
      <c r="A105" s="3" t="s">
        <v>897</v>
      </c>
      <c r="C105" s="52" t="n">
        <f aca="false">-SUM(C26:G26)</f>
        <v>-39.856</v>
      </c>
    </row>
    <row r="106" customFormat="false" ht="15" hidden="true" customHeight="false" outlineLevel="1" collapsed="false">
      <c r="A106" s="2" t="s">
        <v>898</v>
      </c>
      <c r="C106" s="53" t="n">
        <f aca="false">SUM(C98:C105)</f>
        <v>72.4967017635463</v>
      </c>
    </row>
    <row r="107" customFormat="false" ht="15" hidden="true" customHeight="false" outlineLevel="1" collapsed="false">
      <c r="A107" s="3" t="s">
        <v>899</v>
      </c>
      <c r="C107" s="52" t="n">
        <f aca="false">G52</f>
        <v>72.4967017635462</v>
      </c>
    </row>
    <row r="108" customFormat="false" ht="15" hidden="true" customHeight="false" outlineLevel="1" collapsed="false">
      <c r="A108" s="2" t="s">
        <v>900</v>
      </c>
      <c r="C108" s="52" t="n">
        <f aca="false">C106-C107</f>
        <v>0</v>
      </c>
      <c r="I108" s="6" t="s">
        <v>901</v>
      </c>
    </row>
    <row r="110" customFormat="false" ht="15" hidden="false" customHeight="false" outlineLevel="0" collapsed="true">
      <c r="A110" s="7" t="s">
        <v>902</v>
      </c>
      <c r="B110" s="8"/>
      <c r="C110" s="8"/>
      <c r="D110" s="8"/>
      <c r="E110" s="8"/>
      <c r="F110" s="8"/>
      <c r="G110" s="8"/>
      <c r="H110" s="8"/>
    </row>
    <row r="111" customFormat="false" ht="15" hidden="true" customHeight="false" outlineLevel="1" collapsed="false">
      <c r="A111" s="4" t="s">
        <v>903</v>
      </c>
      <c r="C111" s="10" t="n">
        <f aca="false">運營_產能與收入!C31</f>
        <v>87.4976198</v>
      </c>
      <c r="I111" s="6" t="s">
        <v>904</v>
      </c>
    </row>
    <row r="112" customFormat="false" ht="15" hidden="true" customHeight="false" outlineLevel="1" collapsed="false">
      <c r="A112" s="4" t="s">
        <v>905</v>
      </c>
      <c r="C112" s="10" t="n">
        <f aca="false">C6</f>
        <v>106.09585</v>
      </c>
      <c r="I112" s="6" t="s">
        <v>906</v>
      </c>
    </row>
    <row r="113" customFormat="false" ht="15" hidden="true" customHeight="false" outlineLevel="1" collapsed="false">
      <c r="A113" s="4" t="s">
        <v>907</v>
      </c>
      <c r="C113" s="10" t="n">
        <f aca="false">輸入與假設!$C$249+輸入與假設!C$172+C20</f>
        <v>6.39484274379876</v>
      </c>
      <c r="I113" s="6" t="s">
        <v>908</v>
      </c>
    </row>
    <row r="114" customFormat="false" ht="15" hidden="true" customHeight="false" outlineLevel="1" collapsed="false">
      <c r="A114" s="4" t="s">
        <v>909</v>
      </c>
      <c r="C114" s="10" t="n">
        <f aca="false">輸入與假設!$C$250+C16</f>
        <v>6.70762032085562</v>
      </c>
      <c r="I114" s="11" t="s">
        <v>910</v>
      </c>
    </row>
    <row r="115" customFormat="false" ht="15" hidden="true" customHeight="false" outlineLevel="1" collapsed="false">
      <c r="A115" s="4" t="s">
        <v>911</v>
      </c>
      <c r="C115" s="10" t="n">
        <f aca="false">C26</f>
        <v>7.209</v>
      </c>
      <c r="I115" s="11" t="s">
        <v>912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F6B4C"/>
    <outlinePr summaryBelow="0" summaryRight="1"/>
    <pageSetUpPr fitToPage="false"/>
  </sheetPr>
  <dimension ref="A1:Q14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1" outlineLevelCol="0"/>
  <cols>
    <col collapsed="false" customWidth="true" hidden="false" outlineLevel="0" max="1" min="1" style="0" width="44"/>
    <col collapsed="false" customWidth="true" hidden="false" outlineLevel="0" max="2" min="2" style="0" width="8"/>
    <col collapsed="false" customWidth="true" hidden="false" outlineLevel="0" max="12" min="3" style="0" width="14"/>
    <col collapsed="false" customWidth="true" hidden="false" outlineLevel="0" max="13" min="13" style="0" width="60"/>
  </cols>
  <sheetData>
    <row r="1" customFormat="false" ht="17.35" hidden="false" customHeight="false" outlineLevel="0" collapsed="false">
      <c r="A1" s="5" t="s">
        <v>913</v>
      </c>
    </row>
    <row r="2" customFormat="false" ht="15" hidden="false" customHeight="false" outlineLevel="0" collapsed="false">
      <c r="A2" s="6" t="s">
        <v>914</v>
      </c>
    </row>
    <row r="4" customFormat="false" ht="15" hidden="false" customHeight="false" outlineLevel="0" collapsed="false">
      <c r="A4" s="7" t="s">
        <v>915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</row>
    <row r="5" customFormat="false" ht="17.15" hidden="false" customHeight="false" outlineLevel="1" collapsed="false">
      <c r="A5" s="14" t="s">
        <v>916</v>
      </c>
      <c r="B5" s="14" t="s">
        <v>54</v>
      </c>
      <c r="C5" s="14" t="s">
        <v>917</v>
      </c>
      <c r="D5" s="14" t="s">
        <v>918</v>
      </c>
      <c r="E5" s="14" t="s">
        <v>919</v>
      </c>
      <c r="F5" s="14" t="s">
        <v>920</v>
      </c>
      <c r="G5" s="14" t="s">
        <v>921</v>
      </c>
      <c r="H5" s="14" t="s">
        <v>922</v>
      </c>
      <c r="I5" s="14" t="s">
        <v>923</v>
      </c>
      <c r="J5" s="14" t="s">
        <v>924</v>
      </c>
      <c r="K5" s="14" t="s">
        <v>925</v>
      </c>
      <c r="L5" s="14" t="s">
        <v>926</v>
      </c>
      <c r="M5" s="14" t="s">
        <v>927</v>
      </c>
      <c r="N5" s="14" t="s">
        <v>928</v>
      </c>
      <c r="O5" s="14" t="s">
        <v>924</v>
      </c>
      <c r="P5" s="14" t="s">
        <v>925</v>
      </c>
      <c r="Q5" s="14" t="s">
        <v>929</v>
      </c>
    </row>
    <row r="6" customFormat="false" ht="15" hidden="false" customHeight="false" outlineLevel="1" collapsed="false">
      <c r="A6" s="3" t="s">
        <v>930</v>
      </c>
      <c r="B6" s="11" t="s">
        <v>59</v>
      </c>
      <c r="C6" s="54" t="n">
        <f aca="false">INDEX($C$22:$H$22,輸入與假設!$C$339)</f>
        <v>21.0312699666667</v>
      </c>
      <c r="D6" s="54" t="n">
        <f aca="false">INDEX($C$34:$H$34,輸入與假設!$C$339)</f>
        <v>21.322</v>
      </c>
      <c r="E6" s="55" t="n">
        <f aca="false">INDEX($C$44:$H$44,輸入與假設!$C$339)</f>
        <v>-0.0136352140199481</v>
      </c>
      <c r="F6" s="54" t="n">
        <f aca="false">IF(ISNUMBER(INDEX($C$31:$H$31,輸入與假設!$C$339)),INDEX($C$31:$H$31,輸入與假設!$C$339),"不適用")</f>
        <v>20.875</v>
      </c>
      <c r="G6" s="54" t="n">
        <f aca="false">INDEX($C$32:$H$32,輸入與假設!$C$339)</f>
        <v>21.518</v>
      </c>
      <c r="H6" s="55" t="n">
        <f aca="false">INDEX($C$45:$H$45,輸入與假設!$C$339)</f>
        <v>-0.00779515643305895</v>
      </c>
      <c r="I6" s="54" t="str">
        <f aca="false">IF(ISNUMBER(INDEX($C$38:$H$38,輸入與假設!$C$339)),INDEX($C$38:$H$38,輸入與假設!$C$339),"待公布")</f>
        <v>待公布</v>
      </c>
      <c r="J6" s="55" t="str">
        <f aca="false">INDEX($C$46:$H$46,輸入與假設!$C$339)</f>
        <v/>
      </c>
      <c r="K6" s="55" t="str">
        <f aca="false">INDEX($C$47:$H$47,輸入與假設!$C$339)</f>
        <v/>
      </c>
      <c r="L6" s="55" t="str">
        <f aca="false">INDEX($C$48:$H$48,輸入與假設!$C$339)</f>
        <v/>
      </c>
      <c r="M6" s="55"/>
      <c r="N6" s="55"/>
      <c r="O6" s="55"/>
      <c r="P6" s="55"/>
      <c r="Q6" s="55"/>
    </row>
    <row r="7" customFormat="false" ht="15" hidden="false" customHeight="false" outlineLevel="1" collapsed="false">
      <c r="A7" s="3" t="s">
        <v>931</v>
      </c>
      <c r="B7" s="11" t="s">
        <v>59</v>
      </c>
      <c r="C7" s="54" t="n">
        <f aca="false">INDEX($C$28:$H$28,輸入與假設!$C$339)</f>
        <v>12.3972861490533</v>
      </c>
      <c r="D7" s="54" t="n">
        <f aca="false">INDEX($C$35:$H$35,輸入與假設!$C$339)</f>
        <v>12.359</v>
      </c>
      <c r="E7" s="54" t="n">
        <f aca="false">INDEX($C$49:$H$49,輸入與假設!$C$339)</f>
        <v>0.0382861490532953</v>
      </c>
      <c r="F7" s="56" t="s">
        <v>578</v>
      </c>
      <c r="G7" s="56" t="s">
        <v>578</v>
      </c>
      <c r="H7" s="54" t="str">
        <f aca="false">INDEX($C$50:$H$50,輸入與假設!$C$339)</f>
        <v>不適用</v>
      </c>
      <c r="I7" s="54" t="str">
        <f aca="false">IF(ISNUMBER(INDEX($C$39:$H$39,輸入與假設!$C$339)),INDEX($C$39:$H$39,輸入與假設!$C$339),"待公布")</f>
        <v>待公布</v>
      </c>
      <c r="J7" s="54" t="str">
        <f aca="false">INDEX($C$51:$H$51,輸入與假設!$C$339)</f>
        <v/>
      </c>
      <c r="K7" s="54" t="str">
        <f aca="false">INDEX($C$52:$H$52,輸入與假設!$C$339)</f>
        <v/>
      </c>
      <c r="L7" s="54" t="str">
        <f aca="false">INDEX($C$53:$H$53,輸入與假設!$C$339)</f>
        <v/>
      </c>
      <c r="M7" s="55" t="n">
        <f aca="false">INDEX($C$54:$H$54,輸入與假設!$C$339)</f>
        <v>0.00983315603164259</v>
      </c>
      <c r="N7" s="55" t="str">
        <f aca="false">INDEX($C$55:$H$55,輸入與假設!$C$339)</f>
        <v>不適用</v>
      </c>
      <c r="O7" s="55" t="str">
        <f aca="false">INDEX($C$56:$H$56,輸入與假設!$C$339)</f>
        <v/>
      </c>
      <c r="P7" s="55" t="str">
        <f aca="false">INDEX($C$57:$H$57,輸入與假設!$C$339)</f>
        <v/>
      </c>
      <c r="Q7" s="55" t="str">
        <f aca="false">INDEX($C$58:$H$58,輸入與假設!$C$339)</f>
        <v/>
      </c>
    </row>
    <row r="8" customFormat="false" ht="15" hidden="false" customHeight="false" outlineLevel="1" collapsed="false">
      <c r="A8" s="3" t="s">
        <v>932</v>
      </c>
      <c r="B8" s="11" t="s">
        <v>42</v>
      </c>
      <c r="C8" s="55" t="n">
        <f aca="false">INDEX($C$27:$H$27,輸入與假設!$C$339)</f>
        <v>0.589469212686741</v>
      </c>
      <c r="D8" s="55" t="n">
        <f aca="false">INDEX($C$36:$H$36,輸入與假設!$C$339)</f>
        <v>0.579636056655098</v>
      </c>
      <c r="E8" s="55" t="n">
        <f aca="false">INDEX($C$59:$H$59,輸入與假設!$C$339)</f>
        <v>0.00983315603164259</v>
      </c>
      <c r="F8" s="57" t="s">
        <v>578</v>
      </c>
      <c r="G8" s="57" t="s">
        <v>578</v>
      </c>
      <c r="H8" s="55" t="str">
        <f aca="false">INDEX($C$60:$H$60,輸入與假設!$C$339)</f>
        <v>不適用</v>
      </c>
      <c r="I8" s="55" t="str">
        <f aca="false">IF(ISNUMBER(INDEX($C$40:$H$40,輸入與假設!$C$339)),INDEX($C$40:$H$40,輸入與假設!$C$339),"待公布")</f>
        <v>待公布</v>
      </c>
      <c r="J8" s="55" t="str">
        <f aca="false">INDEX($C$61:$H$61,輸入與假設!$C$339)</f>
        <v/>
      </c>
      <c r="K8" s="55" t="str">
        <f aca="false">INDEX($C$62:$H$62,輸入與假設!$C$339)</f>
        <v/>
      </c>
      <c r="L8" s="55" t="str">
        <f aca="false">INDEX($C$63:$H$63,輸入與假設!$C$339)</f>
        <v/>
      </c>
      <c r="M8" s="55"/>
      <c r="N8" s="55"/>
      <c r="O8" s="55"/>
      <c r="P8" s="55"/>
      <c r="Q8" s="55"/>
    </row>
    <row r="9" customFormat="false" ht="15" hidden="false" customHeight="false" outlineLevel="1" collapsed="false">
      <c r="A9" s="3" t="s">
        <v>933</v>
      </c>
      <c r="B9" s="11" t="s">
        <v>59</v>
      </c>
      <c r="C9" s="54" t="n">
        <f aca="false">INDEX($C$30:$H$30,輸入與假設!$C$339)</f>
        <v>8.88220813979404</v>
      </c>
      <c r="D9" s="56" t="s">
        <v>578</v>
      </c>
      <c r="E9" s="54" t="str">
        <f aca="false">INDEX($C$64:$H$64,輸入與假設!$C$339)</f>
        <v>不適用</v>
      </c>
      <c r="F9" s="56" t="s">
        <v>578</v>
      </c>
      <c r="G9" s="56" t="s">
        <v>578</v>
      </c>
      <c r="H9" s="54" t="str">
        <f aca="false">INDEX($C$65:$H$65,輸入與假設!$C$339)</f>
        <v>不適用</v>
      </c>
      <c r="I9" s="54" t="str">
        <f aca="false">IF(ISNUMBER(INDEX($C$41:$H$41,輸入與假設!$C$339)),INDEX($C$41:$H$41,輸入與假設!$C$339),"待公布")</f>
        <v>待公布</v>
      </c>
      <c r="J9" s="54" t="str">
        <f aca="false">INDEX($C$66:$H$66,輸入與假設!$C$339)</f>
        <v/>
      </c>
      <c r="K9" s="54" t="str">
        <f aca="false">INDEX($C$67:$H$67,輸入與假設!$C$339)</f>
        <v/>
      </c>
      <c r="L9" s="54" t="str">
        <f aca="false">INDEX($C$68:$H$68,輸入與假設!$C$339)</f>
        <v/>
      </c>
      <c r="M9" s="55" t="str">
        <f aca="false">INDEX($C$69:$H$69,輸入與假設!$C$339)</f>
        <v>不適用</v>
      </c>
      <c r="N9" s="55" t="str">
        <f aca="false">INDEX($C$70:$H$70,輸入與假設!$C$339)</f>
        <v>不適用</v>
      </c>
      <c r="O9" s="55" t="str">
        <f aca="false">INDEX($C$71:$H$71,輸入與假設!$C$339)</f>
        <v/>
      </c>
      <c r="P9" s="55" t="str">
        <f aca="false">INDEX($C$72:$H$72,輸入與假設!$C$339)</f>
        <v/>
      </c>
      <c r="Q9" s="55" t="str">
        <f aca="false">INDEX($C$73:$H$73,輸入與假設!$C$339)</f>
        <v/>
      </c>
    </row>
    <row r="10" customFormat="false" ht="15" hidden="false" customHeight="false" outlineLevel="1" collapsed="false">
      <c r="A10" s="3" t="s">
        <v>934</v>
      </c>
      <c r="B10" s="11" t="s">
        <v>59</v>
      </c>
      <c r="C10" s="54" t="n">
        <f aca="false">INDEX($C$33:$H$33,輸入與假設!$C$339)</f>
        <v>25.8656166666667</v>
      </c>
      <c r="D10" s="56" t="s">
        <v>578</v>
      </c>
      <c r="E10" s="55" t="str">
        <f aca="false">INDEX($C$74:$H$74,輸入與假設!$C$339)</f>
        <v>不適用</v>
      </c>
      <c r="F10" s="56" t="s">
        <v>578</v>
      </c>
      <c r="G10" s="56" t="s">
        <v>578</v>
      </c>
      <c r="H10" s="55" t="str">
        <f aca="false">INDEX($C$75:$H$75,輸入與假設!$C$339)</f>
        <v>不適用</v>
      </c>
      <c r="I10" s="54" t="str">
        <f aca="false">IF(ISNUMBER(INDEX($C$42:$H$42,輸入與假設!$C$339)),INDEX($C$42:$H$42,輸入與假設!$C$339),"待公布")</f>
        <v>待公布</v>
      </c>
      <c r="J10" s="55" t="str">
        <f aca="false">INDEX($C$76:$H$76,輸入與假設!$C$339)</f>
        <v/>
      </c>
      <c r="K10" s="55" t="str">
        <f aca="false">INDEX($C$77:$H$77,輸入與假設!$C$339)</f>
        <v/>
      </c>
      <c r="L10" s="55" t="str">
        <f aca="false">INDEX($C$78:$H$78,輸入與假設!$C$339)</f>
        <v/>
      </c>
      <c r="M10" s="55"/>
      <c r="N10" s="55"/>
      <c r="O10" s="55"/>
      <c r="P10" s="55"/>
      <c r="Q10" s="55"/>
    </row>
    <row r="11" customFormat="false" ht="15" hidden="false" customHeight="false" outlineLevel="1" collapsed="false">
      <c r="A11" s="3" t="s">
        <v>935</v>
      </c>
      <c r="B11" s="11" t="s">
        <v>151</v>
      </c>
      <c r="C11" s="58" t="n">
        <f aca="false">INDEX($C$19:$H$19,輸入與假設!$C$339)</f>
        <v>3251.33333333333</v>
      </c>
      <c r="D11" s="59" t="s">
        <v>578</v>
      </c>
      <c r="E11" s="58" t="str">
        <f aca="false">INDEX($C$79:$H$79,輸入與假設!$C$339)</f>
        <v>不適用</v>
      </c>
      <c r="F11" s="59" t="s">
        <v>578</v>
      </c>
      <c r="G11" s="59" t="s">
        <v>578</v>
      </c>
      <c r="H11" s="58" t="str">
        <f aca="false">INDEX($C$80:$H$80,輸入與假設!$C$339)</f>
        <v>不適用</v>
      </c>
      <c r="I11" s="58" t="str">
        <f aca="false">IF(ISNUMBER(INDEX($C$43:$H$43,輸入與假設!$C$339)),INDEX($C$43:$H$43,輸入與假設!$C$339),"待公布")</f>
        <v>待公布</v>
      </c>
      <c r="J11" s="58" t="str">
        <f aca="false">INDEX($C$81:$H$81,輸入與假設!$C$339)</f>
        <v/>
      </c>
      <c r="K11" s="58" t="str">
        <f aca="false">INDEX($C$82:$H$82,輸入與假設!$C$339)</f>
        <v/>
      </c>
      <c r="L11" s="58" t="str">
        <f aca="false">INDEX($C$83:$H$83,輸入與假設!$C$339)</f>
        <v/>
      </c>
      <c r="M11" s="55"/>
      <c r="N11" s="55"/>
      <c r="O11" s="55"/>
      <c r="P11" s="55"/>
      <c r="Q11" s="55"/>
    </row>
    <row r="12" customFormat="false" ht="15" hidden="false" customHeight="false" outlineLevel="1" collapsed="false">
      <c r="A12" s="2" t="s">
        <v>936</v>
      </c>
      <c r="C12" s="2" t="str">
        <f aca="false">INDEX($C$16:$H$16,輸入與假設!$C$339)</f>
        <v>Q2 FY27</v>
      </c>
    </row>
    <row r="13" customFormat="false" ht="17.15" hidden="false" customHeight="false" outlineLevel="1" collapsed="false">
      <c r="A13" s="2" t="s">
        <v>937</v>
      </c>
      <c r="C13" s="0" t="str">
        <f aca="false">IF(INDEX($C$123:$H$123,輸入與假設!$C$339)="","無（差距皆在 "&amp;IF(ROUND(ABS(輸入與假設!$C$333)*100,4)=INT(ROUND(ABS(輸入與假設!$C$333)*100,4)),TEXT(ROUND(ABS(輸入與假設!$C$333)*100,4),"0"),TEXT(ROUND(ABS(輸入與假設!$C$333)*100,4),"0.0"))&amp;"%"&amp;" 以內）",INDEX($C$123:$H$123,輸入與假設!$C$339))</f>
        <v>無（差距皆在 5% 以內）</v>
      </c>
    </row>
    <row r="15" customFormat="false" ht="15" hidden="false" customHeight="false" outlineLevel="0" collapsed="true">
      <c r="A15" s="7" t="s">
        <v>938</v>
      </c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</row>
    <row r="16" customFormat="false" ht="15" hidden="true" customHeight="false" outlineLevel="1" collapsed="false">
      <c r="A16" s="14" t="s">
        <v>53</v>
      </c>
      <c r="B16" s="14" t="s">
        <v>54</v>
      </c>
      <c r="C16" s="15" t="s">
        <v>717</v>
      </c>
      <c r="D16" s="15" t="s">
        <v>718</v>
      </c>
      <c r="E16" s="15" t="s">
        <v>719</v>
      </c>
      <c r="F16" s="15" t="s">
        <v>720</v>
      </c>
      <c r="G16" s="15" t="s">
        <v>721</v>
      </c>
      <c r="H16" s="15" t="s">
        <v>722</v>
      </c>
    </row>
    <row r="17" customFormat="false" ht="15" hidden="true" customHeight="false" outlineLevel="1" collapsed="false">
      <c r="A17" s="3" t="s">
        <v>939</v>
      </c>
      <c r="C17" s="60" t="n">
        <f aca="false">輸入與假設!C$338</f>
        <v>1</v>
      </c>
      <c r="D17" s="60" t="n">
        <f aca="false">輸入與假設!D$338</f>
        <v>1</v>
      </c>
      <c r="E17" s="60" t="n">
        <f aca="false">輸入與假設!E$338</f>
        <v>1</v>
      </c>
      <c r="F17" s="60" t="n">
        <f aca="false">輸入與假設!F$338</f>
        <v>2</v>
      </c>
      <c r="G17" s="60" t="n">
        <f aca="false">輸入與假設!G$338</f>
        <v>2</v>
      </c>
      <c r="H17" s="60" t="n">
        <f aca="false">輸入與假設!H$338</f>
        <v>2</v>
      </c>
      <c r="J17" s="11" t="s">
        <v>940</v>
      </c>
    </row>
    <row r="18" customFormat="false" ht="15" hidden="true" customHeight="false" outlineLevel="1" collapsed="false">
      <c r="A18" s="3" t="s">
        <v>941</v>
      </c>
      <c r="C18" s="22" t="n">
        <v>1</v>
      </c>
      <c r="D18" s="22" t="n">
        <v>2</v>
      </c>
      <c r="E18" s="22" t="n">
        <v>3</v>
      </c>
      <c r="F18" s="22" t="n">
        <v>4</v>
      </c>
      <c r="G18" s="22" t="n">
        <v>5</v>
      </c>
      <c r="H18" s="22" t="n">
        <v>6</v>
      </c>
      <c r="J18" s="11" t="s">
        <v>942</v>
      </c>
    </row>
    <row r="19" customFormat="false" ht="15" hidden="true" customHeight="false" outlineLevel="1" collapsed="false">
      <c r="A19" s="3" t="s">
        <v>943</v>
      </c>
      <c r="B19" s="11" t="s">
        <v>151</v>
      </c>
      <c r="C19" s="22" t="n">
        <f aca="false">輸入與假設!$C$341+(輸入與假設!C$43-輸入與假設!$C$341)*1/3</f>
        <v>3251.33333333333</v>
      </c>
      <c r="D19" s="22" t="n">
        <f aca="false">輸入與假設!$C$341+(輸入與假設!C$43-輸入與假設!$C$341)*2/3</f>
        <v>3959.66666666667</v>
      </c>
      <c r="E19" s="22" t="n">
        <f aca="false">輸入與假設!$C$341+(輸入與假設!C$43-輸入與假設!$C$341)*3/3</f>
        <v>4668</v>
      </c>
      <c r="F19" s="22" t="n">
        <f aca="false">輸入與假設!C$43+(輸入與假設!D$43-輸入與假設!C$43)*1/3</f>
        <v>5612.33333333333</v>
      </c>
      <c r="G19" s="22" t="n">
        <f aca="false">輸入與假設!C$43+(輸入與假設!D$43-輸入與假設!C$43)*2/3</f>
        <v>6556.66666666667</v>
      </c>
      <c r="H19" s="22" t="n">
        <f aca="false">輸入與假設!C$43+(輸入與假設!D$43-輸入與假設!C$43)*3/3</f>
        <v>7501</v>
      </c>
      <c r="J19" s="6" t="s">
        <v>944</v>
      </c>
    </row>
    <row r="20" customFormat="false" ht="15" hidden="true" customHeight="false" outlineLevel="1" collapsed="false">
      <c r="A20" s="3" t="s">
        <v>945</v>
      </c>
      <c r="B20" s="11" t="s">
        <v>151</v>
      </c>
      <c r="C20" s="22" t="n">
        <f aca="false">輸入與假設!$C$36+(運營_產能與收入!C$11-輸入與假設!$C$36)*1/6</f>
        <v>1863</v>
      </c>
      <c r="D20" s="22" t="n">
        <f aca="false">輸入與假設!$C$36+(運營_產能與收入!C$11-輸入與假設!$C$36)*3/6</f>
        <v>2193</v>
      </c>
      <c r="E20" s="22" t="n">
        <f aca="false">輸入與假設!$C$36+(運營_產能與收入!C$11-輸入與假設!$C$36)*5/6</f>
        <v>2523</v>
      </c>
      <c r="F20" s="22" t="n">
        <f aca="false">運營_產能與收入!C$11+(運營_產能與收入!D$11-運營_產能與收入!C$11)*1/6</f>
        <v>3165.125</v>
      </c>
      <c r="G20" s="22" t="n">
        <f aca="false">運營_產能與收入!C$11+(運營_產能與收入!D$11-運營_產能與收入!C$11)*3/6</f>
        <v>4119.375</v>
      </c>
      <c r="H20" s="22" t="n">
        <f aca="false">運營_產能與收入!C$11+(運營_產能與收入!D$11-運營_產能與收入!C$11)*5/6</f>
        <v>5073.625</v>
      </c>
      <c r="J20" s="6" t="s">
        <v>946</v>
      </c>
    </row>
    <row r="21" customFormat="false" ht="15" hidden="true" customHeight="false" outlineLevel="1" collapsed="false">
      <c r="A21" s="3" t="s">
        <v>947</v>
      </c>
      <c r="B21" s="11" t="s">
        <v>151</v>
      </c>
      <c r="C21" s="22" t="n">
        <f aca="false">C19-輸入與假設!$C$341</f>
        <v>708.333333333334</v>
      </c>
      <c r="D21" s="22" t="n">
        <f aca="false">D19-C19</f>
        <v>708.333333333334</v>
      </c>
      <c r="E21" s="22" t="n">
        <f aca="false">E19-D19</f>
        <v>708.333333333333</v>
      </c>
      <c r="F21" s="22" t="n">
        <f aca="false">F19-輸入與假設!C$43</f>
        <v>944.333333333333</v>
      </c>
      <c r="G21" s="22" t="n">
        <f aca="false">G19-F19</f>
        <v>944.333333333334</v>
      </c>
      <c r="H21" s="22" t="n">
        <f aca="false">H19-G19</f>
        <v>944.333333333333</v>
      </c>
      <c r="J21" s="11" t="s">
        <v>948</v>
      </c>
    </row>
    <row r="22" customFormat="false" ht="15" hidden="true" customHeight="false" outlineLevel="1" collapsed="false">
      <c r="A22" s="3" t="s">
        <v>949</v>
      </c>
      <c r="B22" s="11" t="s">
        <v>59</v>
      </c>
      <c r="C22" s="33" t="n">
        <f aca="false">輸入與假設!$C$340+1*(損益!C9-3*輸入與假設!$C$340)/6</f>
        <v>21.0312699666667</v>
      </c>
      <c r="D22" s="33" t="n">
        <f aca="false">輸入與假設!$C$340+2*(損益!C9-3*輸入與假設!$C$340)/6</f>
        <v>22.7175399333333</v>
      </c>
      <c r="E22" s="33" t="n">
        <f aca="false">輸入與假設!$C$340+3*(損益!C9-3*輸入與假設!$C$340)/6</f>
        <v>24.4038099</v>
      </c>
      <c r="F22" s="33" t="n">
        <f aca="false">損益!D9*F20/(F20+G20+H20)</f>
        <v>32.1132841812254</v>
      </c>
      <c r="G22" s="33" t="n">
        <f aca="false">損益!D9*G20/(F20+G20+H20)</f>
        <v>41.7950823503133</v>
      </c>
      <c r="H22" s="33" t="n">
        <f aca="false">損益!D9*H20/(F20+G20+H20)</f>
        <v>51.4768805194012</v>
      </c>
      <c r="J22" s="6" t="s">
        <v>950</v>
      </c>
    </row>
    <row r="23" customFormat="false" ht="15" hidden="true" customHeight="false" outlineLevel="1" collapsed="false">
      <c r="A23" s="4" t="s">
        <v>951</v>
      </c>
      <c r="C23" s="54" t="n">
        <f aca="false">C22+D22+E22</f>
        <v>68.1526198</v>
      </c>
      <c r="D23" s="54" t="n">
        <f aca="false">F22+G22+H22</f>
        <v>125.38524705094</v>
      </c>
      <c r="J23" s="6" t="s">
        <v>952</v>
      </c>
    </row>
    <row r="24" customFormat="false" ht="15" hidden="true" customHeight="false" outlineLevel="1" collapsed="false">
      <c r="A24" s="4" t="s">
        <v>953</v>
      </c>
      <c r="C24" s="54" t="n">
        <f aca="false">C22*C18+D22*D18+E22*E18</f>
        <v>139.677779533333</v>
      </c>
      <c r="D24" s="54" t="n">
        <f aca="false">F22*F18+G22*G18+H22*H18</f>
        <v>646.289831592876</v>
      </c>
      <c r="J24" s="6" t="s">
        <v>952</v>
      </c>
    </row>
    <row r="25" customFormat="false" ht="15" hidden="true" customHeight="false" outlineLevel="1" collapsed="false">
      <c r="A25" s="4" t="s">
        <v>954</v>
      </c>
      <c r="C25" s="54" t="n">
        <f aca="false">損益!C22</f>
        <v>40.0644173413744</v>
      </c>
      <c r="D25" s="54" t="n">
        <f aca="false">損益!D22</f>
        <v>73.1136110041068</v>
      </c>
      <c r="J25" s="6" t="s">
        <v>952</v>
      </c>
    </row>
    <row r="26" customFormat="false" ht="15" hidden="true" customHeight="false" outlineLevel="1" collapsed="false">
      <c r="A26" s="4" t="s">
        <v>955</v>
      </c>
      <c r="C26" s="61" t="n">
        <f aca="false">(C25*D24-C24*D25)/(C23*D24-C24*D23)</f>
        <v>0.590999496506846</v>
      </c>
      <c r="D26" s="61" t="n">
        <f aca="false">(C23*D25-D23*C25)/(C23*D24-C24*D23)</f>
        <v>-0.00153028382010551</v>
      </c>
      <c r="J26" s="6" t="s">
        <v>956</v>
      </c>
    </row>
    <row r="27" customFormat="false" ht="15" hidden="true" customHeight="false" outlineLevel="1" collapsed="false">
      <c r="A27" s="4" t="s">
        <v>957</v>
      </c>
      <c r="B27" s="11" t="s">
        <v>42</v>
      </c>
      <c r="C27" s="32" t="n">
        <f aca="false">$C$26+$D$26*C18</f>
        <v>0.589469212686741</v>
      </c>
      <c r="D27" s="32" t="n">
        <f aca="false">$C$26+$D$26*D18</f>
        <v>0.587938928866635</v>
      </c>
      <c r="E27" s="32" t="n">
        <f aca="false">$C$26+$D$26*E18</f>
        <v>0.58640864504653</v>
      </c>
      <c r="F27" s="32" t="n">
        <f aca="false">$C$26+$D$26*F18</f>
        <v>0.584878361226424</v>
      </c>
      <c r="G27" s="32" t="n">
        <f aca="false">$C$26+$D$26*G18</f>
        <v>0.583348077406319</v>
      </c>
      <c r="H27" s="32" t="n">
        <f aca="false">$C$26+$D$26*H18</f>
        <v>0.581817793586213</v>
      </c>
      <c r="J27" s="6" t="s">
        <v>958</v>
      </c>
    </row>
    <row r="28" customFormat="false" ht="15" hidden="true" customHeight="false" outlineLevel="1" collapsed="false">
      <c r="A28" s="3" t="s">
        <v>959</v>
      </c>
      <c r="B28" s="11" t="s">
        <v>59</v>
      </c>
      <c r="C28" s="33" t="n">
        <f aca="false">C22*C27</f>
        <v>12.3972861490533</v>
      </c>
      <c r="D28" s="33" t="n">
        <f aca="false">D22*D27</f>
        <v>13.356526094889</v>
      </c>
      <c r="E28" s="33" t="n">
        <f aca="false">E22*E27</f>
        <v>14.3106050974321</v>
      </c>
      <c r="F28" s="33" t="n">
        <f aca="false">F22*F27</f>
        <v>18.7823650255136</v>
      </c>
      <c r="G28" s="33" t="n">
        <f aca="false">G22*G27</f>
        <v>24.381080934094</v>
      </c>
      <c r="H28" s="33" t="n">
        <f aca="false">H22*H27</f>
        <v>29.9501650444992</v>
      </c>
    </row>
    <row r="29" customFormat="false" ht="15" hidden="true" customHeight="false" outlineLevel="1" collapsed="false">
      <c r="A29" s="3" t="s">
        <v>960</v>
      </c>
      <c r="B29" s="11" t="s">
        <v>59</v>
      </c>
      <c r="C29" s="33" t="n">
        <f aca="false">(輸入與假設!C$133+運營_產能與收入!C$54*1/6)/輸入與假設!$C$105*輸入與假設!C$41/3</f>
        <v>3.51507800925926</v>
      </c>
      <c r="D29" s="33" t="n">
        <f aca="false">(輸入與假設!C$133+運營_產能與收入!C$54*3/6)/輸入與假設!$C$105*輸入與假設!C$41/3</f>
        <v>4.23356736111111</v>
      </c>
      <c r="E29" s="33" t="n">
        <f aca="false">(輸入與假設!C$133+運營_產能與收入!C$54*5/6)/輸入與假設!$C$105*輸入與假設!C$41/3</f>
        <v>4.95205671296296</v>
      </c>
      <c r="F29" s="33" t="n">
        <f aca="false">(輸入與假設!D$133+運營_產能與收入!D$54*1/6)/輸入與假設!$C$105*輸入與假設!D$41/3</f>
        <v>7.91859938580247</v>
      </c>
      <c r="G29" s="33" t="n">
        <f aca="false">(輸入與假設!D$133+運營_產能與收入!D$54*3/6)/輸入與假設!$C$105*輸入與假設!D$41/3</f>
        <v>9.59232778703704</v>
      </c>
      <c r="H29" s="33" t="n">
        <f aca="false">(輸入與假設!D$133+運營_產能與收入!D$54*5/6)/輸入與假設!$C$105*輸入與假設!D$41/3</f>
        <v>11.2660561882716</v>
      </c>
      <c r="J29" s="6" t="s">
        <v>961</v>
      </c>
    </row>
    <row r="30" customFormat="false" ht="15" hidden="true" customHeight="false" outlineLevel="1" collapsed="false">
      <c r="A30" s="3" t="s">
        <v>962</v>
      </c>
      <c r="B30" s="11" t="s">
        <v>59</v>
      </c>
      <c r="C30" s="33" t="n">
        <f aca="false">C28-C29</f>
        <v>8.88220813979404</v>
      </c>
      <c r="D30" s="33" t="n">
        <f aca="false">D28-D29</f>
        <v>9.1229587337779</v>
      </c>
      <c r="E30" s="33" t="n">
        <f aca="false">E28-E29</f>
        <v>9.35854838446912</v>
      </c>
      <c r="F30" s="33" t="n">
        <f aca="false">F28-F29</f>
        <v>10.8637656397111</v>
      </c>
      <c r="G30" s="33" t="n">
        <f aca="false">G28-G29</f>
        <v>14.788753147057</v>
      </c>
      <c r="H30" s="33" t="n">
        <f aca="false">H28-H29</f>
        <v>18.6841088562275</v>
      </c>
      <c r="J30" s="6" t="s">
        <v>963</v>
      </c>
    </row>
    <row r="31" customFormat="false" ht="15" hidden="true" customHeight="false" outlineLevel="1" collapsed="false">
      <c r="A31" s="3" t="s">
        <v>964</v>
      </c>
      <c r="B31" s="11" t="s">
        <v>59</v>
      </c>
      <c r="C31" s="33" t="n">
        <f aca="false">IF(ISNUMBER(輸入與假設!C$350),輸入與假設!C$350,"不適用")</f>
        <v>20.875</v>
      </c>
      <c r="D31" s="33" t="str">
        <f aca="false">IF(ISNUMBER(輸入與假設!D$350),輸入與假設!D$350,"不適用")</f>
        <v>不適用</v>
      </c>
      <c r="E31" s="33" t="str">
        <f aca="false">IF(ISNUMBER(輸入與假設!E$350),輸入與假設!E$350,"不適用")</f>
        <v>不適用</v>
      </c>
      <c r="F31" s="33" t="str">
        <f aca="false">IF(ISNUMBER(輸入與假設!F$350),輸入與假設!F$350,"不適用")</f>
        <v>不適用</v>
      </c>
      <c r="G31" s="33" t="str">
        <f aca="false">IF(ISNUMBER(輸入與假設!G$350),輸入與假設!G$350,"不適用")</f>
        <v>不適用</v>
      </c>
      <c r="H31" s="33" t="str">
        <f aca="false">IF(ISNUMBER(輸入與假設!H$350),輸入與假設!H$350,"不適用")</f>
        <v>不適用</v>
      </c>
    </row>
    <row r="32" customFormat="false" ht="15" hidden="true" customHeight="false" outlineLevel="1" collapsed="false">
      <c r="A32" s="3" t="s">
        <v>965</v>
      </c>
      <c r="B32" s="11" t="s">
        <v>59</v>
      </c>
      <c r="C32" s="33" t="n">
        <f aca="false">IF(ISNUMBER(輸入與假設!C$351),輸入與假設!C$351,"不適用")</f>
        <v>21.518</v>
      </c>
      <c r="D32" s="33" t="str">
        <f aca="false">IF(ISNUMBER(輸入與假設!D$351),輸入與假設!D$351,"不適用")</f>
        <v>不適用</v>
      </c>
      <c r="E32" s="33" t="str">
        <f aca="false">IF(ISNUMBER(輸入與假設!E$351),輸入與假設!E$351,"不適用")</f>
        <v>不適用</v>
      </c>
      <c r="F32" s="33" t="str">
        <f aca="false">IF(ISNUMBER(輸入與假設!F$351),輸入與假設!F$351,"不適用")</f>
        <v>不適用</v>
      </c>
      <c r="G32" s="33" t="str">
        <f aca="false">IF(ISNUMBER(輸入與假設!G$351),輸入與假設!G$351,"不適用")</f>
        <v>不適用</v>
      </c>
      <c r="H32" s="33" t="str">
        <f aca="false">IF(ISNUMBER(輸入與假設!H$351),輸入與假設!H$351,"不適用")</f>
        <v>不適用</v>
      </c>
    </row>
    <row r="33" customFormat="false" ht="15" hidden="true" customHeight="false" outlineLevel="1" collapsed="false">
      <c r="A33" s="4" t="s">
        <v>966</v>
      </c>
      <c r="B33" s="11" t="s">
        <v>59</v>
      </c>
      <c r="C33" s="33" t="n">
        <f aca="false">IF((C21+D21+E21)&gt;0,輸入與假設!C$135*C21/(C21+D21+E21),輸入與假設!C$135/3)</f>
        <v>25.8656166666667</v>
      </c>
      <c r="D33" s="33" t="n">
        <f aca="false">IF((C21+D21+E21)&gt;0,輸入與假設!C$135*D21/(C21+D21+E21),輸入與假設!C$135/3)</f>
        <v>25.8656166666667</v>
      </c>
      <c r="E33" s="33" t="n">
        <f aca="false">IF((C21+D21+E21)&gt;0,輸入與假設!C$135*E21/(C21+D21+E21),輸入與假設!C$135/3)</f>
        <v>25.8656166666667</v>
      </c>
      <c r="F33" s="33" t="n">
        <f aca="false">IF((F21+G21+H21)&gt;0,輸入與假設!D$135*F21/(F21+G21+H21),輸入與假設!D$135/3)</f>
        <v>28.673652</v>
      </c>
      <c r="G33" s="33" t="n">
        <f aca="false">IF((F21+G21+H21)&gt;0,輸入與假設!D$135*G21/(F21+G21+H21),輸入與假設!D$135/3)</f>
        <v>28.673652</v>
      </c>
      <c r="H33" s="33" t="n">
        <f aca="false">IF((F21+G21+H21)&gt;0,輸入與假設!D$135*H21/(F21+G21+H21),輸入與假設!D$135/3)</f>
        <v>28.673652</v>
      </c>
      <c r="J33" s="6" t="s">
        <v>967</v>
      </c>
    </row>
    <row r="34" customFormat="false" ht="15" hidden="true" customHeight="false" outlineLevel="1" collapsed="false">
      <c r="A34" s="3" t="s">
        <v>968</v>
      </c>
      <c r="B34" s="11" t="s">
        <v>59</v>
      </c>
      <c r="C34" s="33" t="n">
        <f aca="false">IF(ISNUMBER(輸入與假設!$C$305),輸入與假設!$C$305,"不適用")</f>
        <v>21.322</v>
      </c>
      <c r="D34" s="33" t="n">
        <f aca="false">IF(ISNUMBER(輸入與假設!$D$305),輸入與假設!$D$305,"不適用")</f>
        <v>23.38</v>
      </c>
      <c r="E34" s="62" t="s">
        <v>578</v>
      </c>
      <c r="F34" s="62" t="s">
        <v>578</v>
      </c>
      <c r="G34" s="62" t="s">
        <v>578</v>
      </c>
      <c r="H34" s="62" t="s">
        <v>578</v>
      </c>
      <c r="J34" s="11" t="s">
        <v>969</v>
      </c>
    </row>
    <row r="35" customFormat="false" ht="15" hidden="true" customHeight="false" outlineLevel="1" collapsed="false">
      <c r="A35" s="3" t="s">
        <v>970</v>
      </c>
      <c r="B35" s="11" t="s">
        <v>59</v>
      </c>
      <c r="C35" s="62" t="n">
        <f aca="false">IF(ISNUMBER(輸入與假設!$C$306),輸入與假設!$C$306,"不適用")</f>
        <v>12.359</v>
      </c>
      <c r="D35" s="62" t="n">
        <f aca="false">IF(ISNUMBER(輸入與假設!$D$306),輸入與假設!$D$306,"不適用")</f>
        <v>13.515</v>
      </c>
      <c r="E35" s="62" t="s">
        <v>578</v>
      </c>
      <c r="F35" s="62" t="s">
        <v>578</v>
      </c>
      <c r="G35" s="62" t="s">
        <v>578</v>
      </c>
      <c r="H35" s="62" t="s">
        <v>578</v>
      </c>
      <c r="J35" s="11" t="s">
        <v>969</v>
      </c>
    </row>
    <row r="36" customFormat="false" ht="15" hidden="true" customHeight="false" outlineLevel="1" collapsed="false">
      <c r="A36" s="3" t="s">
        <v>971</v>
      </c>
      <c r="B36" s="11" t="s">
        <v>42</v>
      </c>
      <c r="C36" s="32" t="n">
        <f aca="false">IF(AND(ISNUMBER(輸入與假設!$C$306),ISNUMBER(輸入與假設!$C$305)),輸入與假設!$C$306/輸入與假設!$C$305,"不適用")</f>
        <v>0.579636056655098</v>
      </c>
      <c r="D36" s="32" t="n">
        <f aca="false">IF(AND(ISNUMBER(輸入與假設!$D$306),ISNUMBER(輸入與假設!$D$305)),輸入與假設!$D$306/輸入與假設!$D$305,"不適用")</f>
        <v>0.578058169375535</v>
      </c>
      <c r="E36" s="63" t="s">
        <v>578</v>
      </c>
      <c r="F36" s="63" t="s">
        <v>578</v>
      </c>
      <c r="G36" s="63" t="s">
        <v>578</v>
      </c>
      <c r="H36" s="63" t="s">
        <v>578</v>
      </c>
      <c r="J36" s="6" t="s">
        <v>972</v>
      </c>
    </row>
    <row r="37" customFormat="false" ht="15" hidden="true" customHeight="false" outlineLevel="1" collapsed="false">
      <c r="A37" s="3" t="s">
        <v>973</v>
      </c>
      <c r="B37" s="11" t="s">
        <v>59</v>
      </c>
      <c r="C37" s="62" t="n">
        <f aca="false">IF(ISNUMBER(輸入與假設!$C$307),輸入與假設!$C$307,"不適用")</f>
        <v>8.536</v>
      </c>
      <c r="D37" s="62" t="n">
        <f aca="false">IF(ISNUMBER(輸入與假設!$D$307),輸入與假設!$D$307,"不適用")</f>
        <v>9.23</v>
      </c>
      <c r="E37" s="62" t="s">
        <v>578</v>
      </c>
      <c r="F37" s="62" t="s">
        <v>578</v>
      </c>
      <c r="G37" s="62" t="s">
        <v>578</v>
      </c>
      <c r="H37" s="62" t="s">
        <v>578</v>
      </c>
      <c r="J37" s="6" t="s">
        <v>974</v>
      </c>
    </row>
    <row r="38" customFormat="false" ht="15" hidden="true" customHeight="false" outlineLevel="1" collapsed="false">
      <c r="A38" s="3" t="s">
        <v>975</v>
      </c>
      <c r="B38" s="11" t="s">
        <v>59</v>
      </c>
      <c r="C38" s="39" t="str">
        <f aca="false">IF(ISNUMBER(輸入與假設!C$342),輸入與假設!C$342,"")</f>
        <v/>
      </c>
      <c r="D38" s="39" t="str">
        <f aca="false">IF(ISNUMBER(輸入與假設!D$342),輸入與假設!D$342,"")</f>
        <v/>
      </c>
      <c r="E38" s="39" t="str">
        <f aca="false">IF(ISNUMBER(輸入與假設!E$342),輸入與假設!E$342,"")</f>
        <v/>
      </c>
      <c r="F38" s="39" t="str">
        <f aca="false">IF(ISNUMBER(輸入與假設!F$342),輸入與假設!F$342,"")</f>
        <v/>
      </c>
      <c r="G38" s="39" t="str">
        <f aca="false">IF(ISNUMBER(輸入與假設!G$342),輸入與假設!G$342,"")</f>
        <v/>
      </c>
      <c r="H38" s="39" t="str">
        <f aca="false">IF(ISNUMBER(輸入與假設!H$342),輸入與假設!H$342,"")</f>
        <v/>
      </c>
    </row>
    <row r="39" customFormat="false" ht="15" hidden="true" customHeight="false" outlineLevel="1" collapsed="false">
      <c r="A39" s="3" t="s">
        <v>976</v>
      </c>
      <c r="B39" s="11" t="s">
        <v>59</v>
      </c>
      <c r="C39" s="39" t="str">
        <f aca="false">IF(ISNUMBER(輸入與假設!C$343),輸入與假設!C$343,"")</f>
        <v/>
      </c>
      <c r="D39" s="39" t="str">
        <f aca="false">IF(ISNUMBER(輸入與假設!D$343),輸入與假設!D$343,"")</f>
        <v/>
      </c>
      <c r="E39" s="39" t="str">
        <f aca="false">IF(ISNUMBER(輸入與假設!E$343),輸入與假設!E$343,"")</f>
        <v/>
      </c>
      <c r="F39" s="39" t="str">
        <f aca="false">IF(ISNUMBER(輸入與假設!F$343),輸入與假設!F$343,"")</f>
        <v/>
      </c>
      <c r="G39" s="39" t="str">
        <f aca="false">IF(ISNUMBER(輸入與假設!G$343),輸入與假設!G$343,"")</f>
        <v/>
      </c>
      <c r="H39" s="39" t="str">
        <f aca="false">IF(ISNUMBER(輸入與假設!H$343),輸入與假設!H$343,"")</f>
        <v/>
      </c>
    </row>
    <row r="40" customFormat="false" ht="15" hidden="true" customHeight="false" outlineLevel="1" collapsed="false">
      <c r="A40" s="3" t="s">
        <v>977</v>
      </c>
      <c r="B40" s="11" t="s">
        <v>42</v>
      </c>
      <c r="C40" s="63" t="str">
        <f aca="false">IF(AND(ISNUMBER(輸入與假設!C$343),ISNUMBER(輸入與假設!C$342)),輸入與假設!C$343/輸入與假設!C$342,"")</f>
        <v/>
      </c>
      <c r="D40" s="63" t="str">
        <f aca="false">IF(AND(ISNUMBER(輸入與假設!D$343),ISNUMBER(輸入與假設!D$342)),輸入與假設!D$343/輸入與假設!D$342,"")</f>
        <v/>
      </c>
      <c r="E40" s="63" t="str">
        <f aca="false">IF(AND(ISNUMBER(輸入與假設!E$343),ISNUMBER(輸入與假設!E$342)),輸入與假設!E$343/輸入與假設!E$342,"")</f>
        <v/>
      </c>
      <c r="F40" s="63" t="str">
        <f aca="false">IF(AND(ISNUMBER(輸入與假設!F$343),ISNUMBER(輸入與假設!F$342)),輸入與假設!F$343/輸入與假設!F$342,"")</f>
        <v/>
      </c>
      <c r="G40" s="63" t="str">
        <f aca="false">IF(AND(ISNUMBER(輸入與假設!G$343),ISNUMBER(輸入與假設!G$342)),輸入與假設!G$343/輸入與假設!G$342,"")</f>
        <v/>
      </c>
      <c r="H40" s="63" t="str">
        <f aca="false">IF(AND(ISNUMBER(輸入與假設!H$343),ISNUMBER(輸入與假設!H$342)),輸入與假設!H$343/輸入與假設!H$342,"")</f>
        <v/>
      </c>
      <c r="J40" s="6" t="s">
        <v>978</v>
      </c>
    </row>
    <row r="41" customFormat="false" ht="15" hidden="true" customHeight="false" outlineLevel="1" collapsed="false">
      <c r="A41" s="3" t="s">
        <v>979</v>
      </c>
      <c r="B41" s="11" t="s">
        <v>59</v>
      </c>
      <c r="C41" s="39" t="str">
        <f aca="false">IF(ISNUMBER(輸入與假設!C$344),輸入與假設!C$344,"")</f>
        <v/>
      </c>
      <c r="D41" s="39" t="str">
        <f aca="false">IF(ISNUMBER(輸入與假設!D$344),輸入與假設!D$344,"")</f>
        <v/>
      </c>
      <c r="E41" s="39" t="str">
        <f aca="false">IF(ISNUMBER(輸入與假設!E$344),輸入與假設!E$344,"")</f>
        <v/>
      </c>
      <c r="F41" s="39" t="str">
        <f aca="false">IF(ISNUMBER(輸入與假設!F$344),輸入與假設!F$344,"")</f>
        <v/>
      </c>
      <c r="G41" s="39" t="str">
        <f aca="false">IF(ISNUMBER(輸入與假設!G$344),輸入與假設!G$344,"")</f>
        <v/>
      </c>
      <c r="H41" s="39" t="str">
        <f aca="false">IF(ISNUMBER(輸入與假設!H$344),輸入與假設!H$344,"")</f>
        <v/>
      </c>
    </row>
    <row r="42" customFormat="false" ht="15" hidden="true" customHeight="false" outlineLevel="1" collapsed="false">
      <c r="A42" s="3" t="s">
        <v>980</v>
      </c>
      <c r="B42" s="11" t="s">
        <v>59</v>
      </c>
      <c r="C42" s="39" t="str">
        <f aca="false">IF(ISNUMBER(輸入與假設!C$345),輸入與假設!C$345,"")</f>
        <v/>
      </c>
      <c r="D42" s="39" t="str">
        <f aca="false">IF(ISNUMBER(輸入與假設!D$345),輸入與假設!D$345,"")</f>
        <v/>
      </c>
      <c r="E42" s="39" t="str">
        <f aca="false">IF(ISNUMBER(輸入與假設!E$345),輸入與假設!E$345,"")</f>
        <v/>
      </c>
      <c r="F42" s="39" t="str">
        <f aca="false">IF(ISNUMBER(輸入與假設!F$345),輸入與假設!F$345,"")</f>
        <v/>
      </c>
      <c r="G42" s="39" t="str">
        <f aca="false">IF(ISNUMBER(輸入與假設!G$345),輸入與假設!G$345,"")</f>
        <v/>
      </c>
      <c r="H42" s="39" t="str">
        <f aca="false">IF(ISNUMBER(輸入與假設!H$345),輸入與假設!H$345,"")</f>
        <v/>
      </c>
    </row>
    <row r="43" customFormat="false" ht="15" hidden="true" customHeight="false" outlineLevel="1" collapsed="false">
      <c r="A43" s="3" t="s">
        <v>981</v>
      </c>
      <c r="B43" s="11" t="s">
        <v>151</v>
      </c>
      <c r="C43" s="39" t="str">
        <f aca="false">IF(ISNUMBER(輸入與假設!C$346),輸入與假設!C$346,"")</f>
        <v/>
      </c>
      <c r="D43" s="39" t="str">
        <f aca="false">IF(ISNUMBER(輸入與假設!D$346),輸入與假設!D$346,"")</f>
        <v/>
      </c>
      <c r="E43" s="39" t="str">
        <f aca="false">IF(ISNUMBER(輸入與假設!E$346),輸入與假設!E$346,"")</f>
        <v/>
      </c>
      <c r="F43" s="39" t="str">
        <f aca="false">IF(ISNUMBER(輸入與假設!F$346),輸入與假設!F$346,"")</f>
        <v/>
      </c>
      <c r="G43" s="39" t="str">
        <f aca="false">IF(ISNUMBER(輸入與假設!G$346),輸入與假設!G$346,"")</f>
        <v/>
      </c>
      <c r="H43" s="39" t="str">
        <f aca="false">IF(ISNUMBER(輸入與假設!H$346),輸入與假設!H$346,"")</f>
        <v/>
      </c>
    </row>
    <row r="44" customFormat="false" ht="15" hidden="true" customHeight="false" outlineLevel="1" collapsed="false">
      <c r="A44" s="3" t="s">
        <v>982</v>
      </c>
      <c r="B44" s="11" t="s">
        <v>42</v>
      </c>
      <c r="C44" s="63" t="n">
        <f aca="false">IF(AND(ISNUMBER(C22),ISNUMBER(C34),C34&lt;&gt;0),C22/(C34)-1,"不適用")</f>
        <v>-0.0136352140199481</v>
      </c>
      <c r="D44" s="63" t="n">
        <f aca="false">IF(AND(ISNUMBER(D22),ISNUMBER(D34),D34&lt;&gt;0),D22/(D34)-1,"不適用")</f>
        <v>-0.0283344767607643</v>
      </c>
      <c r="E44" s="63" t="str">
        <f aca="false">IF(AND(ISNUMBER(E22),ISNUMBER(E34),E34&lt;&gt;0),E22/(E34)-1,"不適用")</f>
        <v>不適用</v>
      </c>
      <c r="F44" s="63" t="str">
        <f aca="false">IF(AND(ISNUMBER(F22),ISNUMBER(F34),F34&lt;&gt;0),F22/(F34)-1,"不適用")</f>
        <v>不適用</v>
      </c>
      <c r="G44" s="63" t="str">
        <f aca="false">IF(AND(ISNUMBER(G22),ISNUMBER(G34),G34&lt;&gt;0),G22/(G34)-1,"不適用")</f>
        <v>不適用</v>
      </c>
      <c r="H44" s="63" t="str">
        <f aca="false">IF(AND(ISNUMBER(H22),ISNUMBER(H34),H34&lt;&gt;0),H22/(H34)-1,"不適用")</f>
        <v>不適用</v>
      </c>
    </row>
    <row r="45" customFormat="false" ht="15" hidden="true" customHeight="false" outlineLevel="1" collapsed="false">
      <c r="A45" s="3" t="s">
        <v>983</v>
      </c>
      <c r="B45" s="11" t="s">
        <v>42</v>
      </c>
      <c r="C45" s="63" t="n">
        <f aca="false">IF(AND(ISNUMBER(C22),ISNUMBER(C31),ISNUMBER(C32)),C22/(((C31+C32)/2))-1,"不適用")</f>
        <v>-0.00779515643305895</v>
      </c>
      <c r="D45" s="63" t="str">
        <f aca="false">IF(AND(ISNUMBER(D22),ISNUMBER(D31),ISNUMBER(D32)),D22/(((D31+D32)/2))-1,"不適用")</f>
        <v>不適用</v>
      </c>
      <c r="E45" s="63" t="str">
        <f aca="false">IF(AND(ISNUMBER(E22),ISNUMBER(E31),ISNUMBER(E32)),E22/(((E31+E32)/2))-1,"不適用")</f>
        <v>不適用</v>
      </c>
      <c r="F45" s="63" t="str">
        <f aca="false">IF(AND(ISNUMBER(F22),ISNUMBER(F31),ISNUMBER(F32)),F22/(((F31+F32)/2))-1,"不適用")</f>
        <v>不適用</v>
      </c>
      <c r="G45" s="63" t="str">
        <f aca="false">IF(AND(ISNUMBER(G22),ISNUMBER(G31),ISNUMBER(G32)),G22/(((G31+G32)/2))-1,"不適用")</f>
        <v>不適用</v>
      </c>
      <c r="H45" s="63" t="str">
        <f aca="false">IF(AND(ISNUMBER(H22),ISNUMBER(H31),ISNUMBER(H32)),H22/(((H31+H32)/2))-1,"不適用")</f>
        <v>不適用</v>
      </c>
    </row>
    <row r="46" customFormat="false" ht="15" hidden="true" customHeight="false" outlineLevel="1" collapsed="false">
      <c r="A46" s="3" t="s">
        <v>984</v>
      </c>
      <c r="B46" s="11" t="s">
        <v>42</v>
      </c>
      <c r="C46" s="63" t="str">
        <f aca="false">IF(ISNUMBER(C38),IF(AND(ISNUMBER(C22),C22&lt;&gt;0),C38/(C22)-1,"不適用"),"")</f>
        <v/>
      </c>
      <c r="D46" s="63" t="str">
        <f aca="false">IF(ISNUMBER(D38),IF(AND(ISNUMBER(D22),D22&lt;&gt;0),D38/(D22)-1,"不適用"),"")</f>
        <v/>
      </c>
      <c r="E46" s="63" t="str">
        <f aca="false">IF(ISNUMBER(E38),IF(AND(ISNUMBER(E22),E22&lt;&gt;0),E38/(E22)-1,"不適用"),"")</f>
        <v/>
      </c>
      <c r="F46" s="63" t="str">
        <f aca="false">IF(ISNUMBER(F38),IF(AND(ISNUMBER(F22),F22&lt;&gt;0),F38/(F22)-1,"不適用"),"")</f>
        <v/>
      </c>
      <c r="G46" s="63" t="str">
        <f aca="false">IF(ISNUMBER(G38),IF(AND(ISNUMBER(G22),G22&lt;&gt;0),G38/(G22)-1,"不適用"),"")</f>
        <v/>
      </c>
      <c r="H46" s="63" t="str">
        <f aca="false">IF(ISNUMBER(H38),IF(AND(ISNUMBER(H22),H22&lt;&gt;0),H38/(H22)-1,"不適用"),"")</f>
        <v/>
      </c>
    </row>
    <row r="47" customFormat="false" ht="15" hidden="true" customHeight="false" outlineLevel="1" collapsed="false">
      <c r="A47" s="3" t="s">
        <v>985</v>
      </c>
      <c r="B47" s="11" t="s">
        <v>42</v>
      </c>
      <c r="C47" s="63" t="str">
        <f aca="false">IF(ISNUMBER(C38),IF(AND(ISNUMBER(C34),C34&lt;&gt;0),C38/(C34)-1,"不適用"),"")</f>
        <v/>
      </c>
      <c r="D47" s="63" t="str">
        <f aca="false">IF(ISNUMBER(D38),IF(AND(ISNUMBER(D34),D34&lt;&gt;0),D38/(D34)-1,"不適用"),"")</f>
        <v/>
      </c>
      <c r="E47" s="63" t="str">
        <f aca="false">IF(ISNUMBER(E38),IF(AND(ISNUMBER(E34),E34&lt;&gt;0),E38/(E34)-1,"不適用"),"")</f>
        <v/>
      </c>
      <c r="F47" s="63" t="str">
        <f aca="false">IF(ISNUMBER(F38),IF(AND(ISNUMBER(F34),F34&lt;&gt;0),F38/(F34)-1,"不適用"),"")</f>
        <v/>
      </c>
      <c r="G47" s="63" t="str">
        <f aca="false">IF(ISNUMBER(G38),IF(AND(ISNUMBER(G34),G34&lt;&gt;0),G38/(G34)-1,"不適用"),"")</f>
        <v/>
      </c>
      <c r="H47" s="63" t="str">
        <f aca="false">IF(ISNUMBER(H38),IF(AND(ISNUMBER(H34),H34&lt;&gt;0),H38/(H34)-1,"不適用"),"")</f>
        <v/>
      </c>
    </row>
    <row r="48" customFormat="false" ht="15" hidden="true" customHeight="false" outlineLevel="1" collapsed="false">
      <c r="A48" s="3" t="s">
        <v>986</v>
      </c>
      <c r="B48" s="11" t="s">
        <v>42</v>
      </c>
      <c r="C48" s="63" t="str">
        <f aca="false">IF(ISNUMBER(C38),IF(AND(ISNUMBER(C31),ISNUMBER(C32)),C38/(((C31+C32)/2))-1,"不適用"),"")</f>
        <v/>
      </c>
      <c r="D48" s="63" t="str">
        <f aca="false">IF(ISNUMBER(D38),IF(AND(ISNUMBER(D31),ISNUMBER(D32)),D38/(((D31+D32)/2))-1,"不適用"),"")</f>
        <v/>
      </c>
      <c r="E48" s="63" t="str">
        <f aca="false">IF(ISNUMBER(E38),IF(AND(ISNUMBER(E31),ISNUMBER(E32)),E38/(((E31+E32)/2))-1,"不適用"),"")</f>
        <v/>
      </c>
      <c r="F48" s="63" t="str">
        <f aca="false">IF(ISNUMBER(F38),IF(AND(ISNUMBER(F31),ISNUMBER(F32)),F38/(((F31+F32)/2))-1,"不適用"),"")</f>
        <v/>
      </c>
      <c r="G48" s="63" t="str">
        <f aca="false">IF(ISNUMBER(G38),IF(AND(ISNUMBER(G31),ISNUMBER(G32)),G38/(((G31+G32)/2))-1,"不適用"),"")</f>
        <v/>
      </c>
      <c r="H48" s="63" t="str">
        <f aca="false">IF(ISNUMBER(H38),IF(AND(ISNUMBER(H31),ISNUMBER(H32)),H38/(((H31+H32)/2))-1,"不適用"),"")</f>
        <v/>
      </c>
    </row>
    <row r="49" customFormat="false" ht="15" hidden="true" customHeight="false" outlineLevel="1" collapsed="false">
      <c r="A49" s="3" t="s">
        <v>987</v>
      </c>
      <c r="B49" s="11" t="s">
        <v>59</v>
      </c>
      <c r="C49" s="62" t="n">
        <f aca="false">IF(AND(ISNUMBER(C28),ISNUMBER(C35)),C28-(C35),"不適用")</f>
        <v>0.0382861490532953</v>
      </c>
      <c r="D49" s="62" t="n">
        <f aca="false">IF(AND(ISNUMBER(D28),ISNUMBER(D35)),D28-(D35),"不適用")</f>
        <v>-0.15847390511099</v>
      </c>
      <c r="E49" s="62" t="str">
        <f aca="false">IF(AND(ISNUMBER(E28),ISNUMBER(E35)),E28-(E35),"不適用")</f>
        <v>不適用</v>
      </c>
      <c r="F49" s="62" t="str">
        <f aca="false">IF(AND(ISNUMBER(F28),ISNUMBER(F35)),F28-(F35),"不適用")</f>
        <v>不適用</v>
      </c>
      <c r="G49" s="62" t="str">
        <f aca="false">IF(AND(ISNUMBER(G28),ISNUMBER(G35)),G28-(G35),"不適用")</f>
        <v>不適用</v>
      </c>
      <c r="H49" s="62" t="str">
        <f aca="false">IF(AND(ISNUMBER(H28),ISNUMBER(H35)),H28-(H35),"不適用")</f>
        <v>不適用</v>
      </c>
    </row>
    <row r="50" customFormat="false" ht="15" hidden="true" customHeight="false" outlineLevel="1" collapsed="false">
      <c r="A50" s="3" t="s">
        <v>988</v>
      </c>
      <c r="B50" s="11" t="s">
        <v>59</v>
      </c>
      <c r="C50" s="62" t="s">
        <v>578</v>
      </c>
      <c r="D50" s="62" t="s">
        <v>578</v>
      </c>
      <c r="E50" s="62" t="s">
        <v>578</v>
      </c>
      <c r="F50" s="62" t="s">
        <v>578</v>
      </c>
      <c r="G50" s="62" t="s">
        <v>578</v>
      </c>
      <c r="H50" s="62" t="s">
        <v>578</v>
      </c>
    </row>
    <row r="51" customFormat="false" ht="15" hidden="true" customHeight="false" outlineLevel="1" collapsed="false">
      <c r="A51" s="3" t="s">
        <v>989</v>
      </c>
      <c r="B51" s="11" t="s">
        <v>59</v>
      </c>
      <c r="C51" s="62" t="str">
        <f aca="false">IF(ISNUMBER(C39),IF(AND(ISNUMBER(C28)),C39-(C28),"不適用"),"")</f>
        <v/>
      </c>
      <c r="D51" s="62" t="str">
        <f aca="false">IF(ISNUMBER(D39),IF(AND(ISNUMBER(D28)),D39-(D28),"不適用"),"")</f>
        <v/>
      </c>
      <c r="E51" s="62" t="str">
        <f aca="false">IF(ISNUMBER(E39),IF(AND(ISNUMBER(E28)),E39-(E28),"不適用"),"")</f>
        <v/>
      </c>
      <c r="F51" s="62" t="str">
        <f aca="false">IF(ISNUMBER(F39),IF(AND(ISNUMBER(F28)),F39-(F28),"不適用"),"")</f>
        <v/>
      </c>
      <c r="G51" s="62" t="str">
        <f aca="false">IF(ISNUMBER(G39),IF(AND(ISNUMBER(G28)),G39-(G28),"不適用"),"")</f>
        <v/>
      </c>
      <c r="H51" s="62" t="str">
        <f aca="false">IF(ISNUMBER(H39),IF(AND(ISNUMBER(H28)),H39-(H28),"不適用"),"")</f>
        <v/>
      </c>
    </row>
    <row r="52" customFormat="false" ht="15" hidden="true" customHeight="false" outlineLevel="1" collapsed="false">
      <c r="A52" s="3" t="s">
        <v>990</v>
      </c>
      <c r="B52" s="11" t="s">
        <v>59</v>
      </c>
      <c r="C52" s="62" t="str">
        <f aca="false">IF(ISNUMBER(C39),IF(AND(ISNUMBER(C35)),C39-(C35),"不適用"),"")</f>
        <v/>
      </c>
      <c r="D52" s="62" t="str">
        <f aca="false">IF(ISNUMBER(D39),IF(AND(ISNUMBER(D35)),D39-(D35),"不適用"),"")</f>
        <v/>
      </c>
      <c r="E52" s="62" t="str">
        <f aca="false">IF(ISNUMBER(E39),IF(AND(ISNUMBER(E35)),E39-(E35),"不適用"),"")</f>
        <v/>
      </c>
      <c r="F52" s="62" t="str">
        <f aca="false">IF(ISNUMBER(F39),IF(AND(ISNUMBER(F35)),F39-(F35),"不適用"),"")</f>
        <v/>
      </c>
      <c r="G52" s="62" t="str">
        <f aca="false">IF(ISNUMBER(G39),IF(AND(ISNUMBER(G35)),G39-(G35),"不適用"),"")</f>
        <v/>
      </c>
      <c r="H52" s="62" t="str">
        <f aca="false">IF(ISNUMBER(H39),IF(AND(ISNUMBER(H35)),H39-(H35),"不適用"),"")</f>
        <v/>
      </c>
    </row>
    <row r="53" customFormat="false" ht="15" hidden="true" customHeight="false" outlineLevel="1" collapsed="false">
      <c r="A53" s="3" t="s">
        <v>991</v>
      </c>
      <c r="B53" s="11" t="s">
        <v>59</v>
      </c>
      <c r="C53" s="62" t="str">
        <f aca="false">IF(ISNUMBER(C39),"不適用","")</f>
        <v/>
      </c>
      <c r="D53" s="62" t="str">
        <f aca="false">IF(ISNUMBER(D39),"不適用","")</f>
        <v/>
      </c>
      <c r="E53" s="62" t="str">
        <f aca="false">IF(ISNUMBER(E39),"不適用","")</f>
        <v/>
      </c>
      <c r="F53" s="62" t="str">
        <f aca="false">IF(ISNUMBER(F39),"不適用","")</f>
        <v/>
      </c>
      <c r="G53" s="62" t="str">
        <f aca="false">IF(ISNUMBER(G39),"不適用","")</f>
        <v/>
      </c>
      <c r="H53" s="62" t="str">
        <f aca="false">IF(ISNUMBER(H39),"不適用","")</f>
        <v/>
      </c>
    </row>
    <row r="54" customFormat="false" ht="15" hidden="true" customHeight="false" outlineLevel="1" collapsed="false">
      <c r="A54" s="3" t="s">
        <v>992</v>
      </c>
      <c r="B54" s="11" t="s">
        <v>71</v>
      </c>
      <c r="C54" s="63" t="n">
        <f aca="false">IF(AND(ISNUMBER(C28),ISNUMBER(C22),C22&lt;&gt;0,ISNUMBER(C35),ISNUMBER(C34),C34&lt;&gt;0),C28/C22-C35/C34,"不適用")</f>
        <v>0.00983315603164259</v>
      </c>
      <c r="D54" s="63" t="n">
        <f aca="false">IF(AND(ISNUMBER(D28),ISNUMBER(D22),D22&lt;&gt;0,ISNUMBER(D35),ISNUMBER(D34),D34&lt;&gt;0),D28/D22-D35/D34,"不適用")</f>
        <v>0.00988075949110057</v>
      </c>
      <c r="E54" s="63" t="str">
        <f aca="false">IF(AND(ISNUMBER(E28),ISNUMBER(E22),E22&lt;&gt;0,ISNUMBER(E35),ISNUMBER(E34),E34&lt;&gt;0),E28/E22-E35/E34,"不適用")</f>
        <v>不適用</v>
      </c>
      <c r="F54" s="63" t="str">
        <f aca="false">IF(AND(ISNUMBER(F28),ISNUMBER(F22),F22&lt;&gt;0,ISNUMBER(F35),ISNUMBER(F34),F34&lt;&gt;0),F28/F22-F35/F34,"不適用")</f>
        <v>不適用</v>
      </c>
      <c r="G54" s="63" t="str">
        <f aca="false">IF(AND(ISNUMBER(G28),ISNUMBER(G22),G22&lt;&gt;0,ISNUMBER(G35),ISNUMBER(G34),G34&lt;&gt;0),G28/G22-G35/G34,"不適用")</f>
        <v>不適用</v>
      </c>
      <c r="H54" s="63" t="str">
        <f aca="false">IF(AND(ISNUMBER(H28),ISNUMBER(H22),H22&lt;&gt;0,ISNUMBER(H35),ISNUMBER(H34),H34&lt;&gt;0),H28/H22-H35/H34,"不適用")</f>
        <v>不適用</v>
      </c>
    </row>
    <row r="55" customFormat="false" ht="15" hidden="true" customHeight="false" outlineLevel="1" collapsed="false">
      <c r="A55" s="3" t="s">
        <v>993</v>
      </c>
      <c r="B55" s="11" t="s">
        <v>71</v>
      </c>
      <c r="C55" s="63" t="s">
        <v>578</v>
      </c>
      <c r="D55" s="63" t="s">
        <v>578</v>
      </c>
      <c r="E55" s="63" t="s">
        <v>578</v>
      </c>
      <c r="F55" s="63" t="s">
        <v>578</v>
      </c>
      <c r="G55" s="63" t="s">
        <v>578</v>
      </c>
      <c r="H55" s="63" t="s">
        <v>578</v>
      </c>
    </row>
    <row r="56" customFormat="false" ht="15" hidden="true" customHeight="false" outlineLevel="1" collapsed="false">
      <c r="A56" s="3" t="s">
        <v>994</v>
      </c>
      <c r="B56" s="11" t="s">
        <v>71</v>
      </c>
      <c r="C56" s="63" t="str">
        <f aca="false">IF(ISNUMBER(C39),IF(AND(ISNUMBER(C39),ISNUMBER(C38),C38&lt;&gt;0,ISNUMBER(C28),ISNUMBER(C22),C22&lt;&gt;0),C39/C38-C28/C22,"不適用"),"")</f>
        <v/>
      </c>
      <c r="D56" s="63" t="str">
        <f aca="false">IF(ISNUMBER(D39),IF(AND(ISNUMBER(D39),ISNUMBER(D38),D38&lt;&gt;0,ISNUMBER(D28),ISNUMBER(D22),D22&lt;&gt;0),D39/D38-D28/D22,"不適用"),"")</f>
        <v/>
      </c>
      <c r="E56" s="63" t="str">
        <f aca="false">IF(ISNUMBER(E39),IF(AND(ISNUMBER(E39),ISNUMBER(E38),E38&lt;&gt;0,ISNUMBER(E28),ISNUMBER(E22),E22&lt;&gt;0),E39/E38-E28/E22,"不適用"),"")</f>
        <v/>
      </c>
      <c r="F56" s="63" t="str">
        <f aca="false">IF(ISNUMBER(F39),IF(AND(ISNUMBER(F39),ISNUMBER(F38),F38&lt;&gt;0,ISNUMBER(F28),ISNUMBER(F22),F22&lt;&gt;0),F39/F38-F28/F22,"不適用"),"")</f>
        <v/>
      </c>
      <c r="G56" s="63" t="str">
        <f aca="false">IF(ISNUMBER(G39),IF(AND(ISNUMBER(G39),ISNUMBER(G38),G38&lt;&gt;0,ISNUMBER(G28),ISNUMBER(G22),G22&lt;&gt;0),G39/G38-G28/G22,"不適用"),"")</f>
        <v/>
      </c>
      <c r="H56" s="63" t="str">
        <f aca="false">IF(ISNUMBER(H39),IF(AND(ISNUMBER(H39),ISNUMBER(H38),H38&lt;&gt;0,ISNUMBER(H28),ISNUMBER(H22),H22&lt;&gt;0),H39/H38-H28/H22,"不適用"),"")</f>
        <v/>
      </c>
    </row>
    <row r="57" customFormat="false" ht="15" hidden="true" customHeight="false" outlineLevel="1" collapsed="false">
      <c r="A57" s="3" t="s">
        <v>995</v>
      </c>
      <c r="B57" s="11" t="s">
        <v>71</v>
      </c>
      <c r="C57" s="63" t="str">
        <f aca="false">IF(ISNUMBER(C39),IF(AND(ISNUMBER(C39),ISNUMBER(C38),C38&lt;&gt;0,ISNUMBER(C35),ISNUMBER(C34),C34&lt;&gt;0),C39/C38-C35/C34,"不適用"),"")</f>
        <v/>
      </c>
      <c r="D57" s="63" t="str">
        <f aca="false">IF(ISNUMBER(D39),IF(AND(ISNUMBER(D39),ISNUMBER(D38),D38&lt;&gt;0,ISNUMBER(D35),ISNUMBER(D34),D34&lt;&gt;0),D39/D38-D35/D34,"不適用"),"")</f>
        <v/>
      </c>
      <c r="E57" s="63" t="str">
        <f aca="false">IF(ISNUMBER(E39),IF(AND(ISNUMBER(E39),ISNUMBER(E38),E38&lt;&gt;0,ISNUMBER(E35),ISNUMBER(E34),E34&lt;&gt;0),E39/E38-E35/E34,"不適用"),"")</f>
        <v/>
      </c>
      <c r="F57" s="63" t="str">
        <f aca="false">IF(ISNUMBER(F39),IF(AND(ISNUMBER(F39),ISNUMBER(F38),F38&lt;&gt;0,ISNUMBER(F35),ISNUMBER(F34),F34&lt;&gt;0),F39/F38-F35/F34,"不適用"),"")</f>
        <v/>
      </c>
      <c r="G57" s="63" t="str">
        <f aca="false">IF(ISNUMBER(G39),IF(AND(ISNUMBER(G39),ISNUMBER(G38),G38&lt;&gt;0,ISNUMBER(G35),ISNUMBER(G34),G34&lt;&gt;0),G39/G38-G35/G34,"不適用"),"")</f>
        <v/>
      </c>
      <c r="H57" s="63" t="str">
        <f aca="false">IF(ISNUMBER(H39),IF(AND(ISNUMBER(H39),ISNUMBER(H38),H38&lt;&gt;0,ISNUMBER(H35),ISNUMBER(H34),H34&lt;&gt;0),H39/H38-H35/H34,"不適用"),"")</f>
        <v/>
      </c>
    </row>
    <row r="58" customFormat="false" ht="15" hidden="true" customHeight="false" outlineLevel="1" collapsed="false">
      <c r="A58" s="3" t="s">
        <v>996</v>
      </c>
      <c r="B58" s="11" t="s">
        <v>71</v>
      </c>
      <c r="C58" s="63" t="str">
        <f aca="false">IF(ISNUMBER(C39),"不適用","")</f>
        <v/>
      </c>
      <c r="D58" s="63" t="str">
        <f aca="false">IF(ISNUMBER(D39),"不適用","")</f>
        <v/>
      </c>
      <c r="E58" s="63" t="str">
        <f aca="false">IF(ISNUMBER(E39),"不適用","")</f>
        <v/>
      </c>
      <c r="F58" s="63" t="str">
        <f aca="false">IF(ISNUMBER(F39),"不適用","")</f>
        <v/>
      </c>
      <c r="G58" s="63" t="str">
        <f aca="false">IF(ISNUMBER(G39),"不適用","")</f>
        <v/>
      </c>
      <c r="H58" s="63" t="str">
        <f aca="false">IF(ISNUMBER(H39),"不適用","")</f>
        <v/>
      </c>
    </row>
    <row r="59" customFormat="false" ht="15" hidden="true" customHeight="false" outlineLevel="1" collapsed="false">
      <c r="A59" s="3" t="s">
        <v>997</v>
      </c>
      <c r="B59" s="11" t="s">
        <v>71</v>
      </c>
      <c r="C59" s="63" t="n">
        <f aca="false">IF(AND(ISNUMBER(C27),ISNUMBER(C36)),C27-(C36),"不適用")</f>
        <v>0.00983315603164259</v>
      </c>
      <c r="D59" s="63" t="n">
        <f aca="false">IF(AND(ISNUMBER(D27),ISNUMBER(D36)),D27-(D36),"不適用")</f>
        <v>0.00988075949110057</v>
      </c>
      <c r="E59" s="63" t="str">
        <f aca="false">IF(AND(ISNUMBER(E27),ISNUMBER(E36)),E27-(E36),"不適用")</f>
        <v>不適用</v>
      </c>
      <c r="F59" s="63" t="str">
        <f aca="false">IF(AND(ISNUMBER(F27),ISNUMBER(F36)),F27-(F36),"不適用")</f>
        <v>不適用</v>
      </c>
      <c r="G59" s="63" t="str">
        <f aca="false">IF(AND(ISNUMBER(G27),ISNUMBER(G36)),G27-(G36),"不適用")</f>
        <v>不適用</v>
      </c>
      <c r="H59" s="63" t="str">
        <f aca="false">IF(AND(ISNUMBER(H27),ISNUMBER(H36)),H27-(H36),"不適用")</f>
        <v>不適用</v>
      </c>
    </row>
    <row r="60" customFormat="false" ht="15" hidden="true" customHeight="false" outlineLevel="1" collapsed="false">
      <c r="A60" s="3" t="s">
        <v>998</v>
      </c>
      <c r="B60" s="11" t="s">
        <v>71</v>
      </c>
      <c r="C60" s="63" t="s">
        <v>578</v>
      </c>
      <c r="D60" s="63" t="s">
        <v>578</v>
      </c>
      <c r="E60" s="63" t="s">
        <v>578</v>
      </c>
      <c r="F60" s="63" t="s">
        <v>578</v>
      </c>
      <c r="G60" s="63" t="s">
        <v>578</v>
      </c>
      <c r="H60" s="63" t="s">
        <v>578</v>
      </c>
    </row>
    <row r="61" customFormat="false" ht="15" hidden="true" customHeight="false" outlineLevel="1" collapsed="false">
      <c r="A61" s="3" t="s">
        <v>999</v>
      </c>
      <c r="B61" s="11" t="s">
        <v>71</v>
      </c>
      <c r="C61" s="63" t="str">
        <f aca="false">IF(ISNUMBER(C40),IF(AND(ISNUMBER(C27)),C40-(C27),"不適用"),"")</f>
        <v/>
      </c>
      <c r="D61" s="63" t="str">
        <f aca="false">IF(ISNUMBER(D40),IF(AND(ISNUMBER(D27)),D40-(D27),"不適用"),"")</f>
        <v/>
      </c>
      <c r="E61" s="63" t="str">
        <f aca="false">IF(ISNUMBER(E40),IF(AND(ISNUMBER(E27)),E40-(E27),"不適用"),"")</f>
        <v/>
      </c>
      <c r="F61" s="63" t="str">
        <f aca="false">IF(ISNUMBER(F40),IF(AND(ISNUMBER(F27)),F40-(F27),"不適用"),"")</f>
        <v/>
      </c>
      <c r="G61" s="63" t="str">
        <f aca="false">IF(ISNUMBER(G40),IF(AND(ISNUMBER(G27)),G40-(G27),"不適用"),"")</f>
        <v/>
      </c>
      <c r="H61" s="63" t="str">
        <f aca="false">IF(ISNUMBER(H40),IF(AND(ISNUMBER(H27)),H40-(H27),"不適用"),"")</f>
        <v/>
      </c>
    </row>
    <row r="62" customFormat="false" ht="15" hidden="true" customHeight="false" outlineLevel="1" collapsed="false">
      <c r="A62" s="3" t="s">
        <v>1000</v>
      </c>
      <c r="B62" s="11" t="s">
        <v>71</v>
      </c>
      <c r="C62" s="63" t="str">
        <f aca="false">IF(ISNUMBER(C40),IF(AND(ISNUMBER(C36)),C40-(C36),"不適用"),"")</f>
        <v/>
      </c>
      <c r="D62" s="63" t="str">
        <f aca="false">IF(ISNUMBER(D40),IF(AND(ISNUMBER(D36)),D40-(D36),"不適用"),"")</f>
        <v/>
      </c>
      <c r="E62" s="63" t="str">
        <f aca="false">IF(ISNUMBER(E40),IF(AND(ISNUMBER(E36)),E40-(E36),"不適用"),"")</f>
        <v/>
      </c>
      <c r="F62" s="63" t="str">
        <f aca="false">IF(ISNUMBER(F40),IF(AND(ISNUMBER(F36)),F40-(F36),"不適用"),"")</f>
        <v/>
      </c>
      <c r="G62" s="63" t="str">
        <f aca="false">IF(ISNUMBER(G40),IF(AND(ISNUMBER(G36)),G40-(G36),"不適用"),"")</f>
        <v/>
      </c>
      <c r="H62" s="63" t="str">
        <f aca="false">IF(ISNUMBER(H40),IF(AND(ISNUMBER(H36)),H40-(H36),"不適用"),"")</f>
        <v/>
      </c>
    </row>
    <row r="63" customFormat="false" ht="15" hidden="true" customHeight="false" outlineLevel="1" collapsed="false">
      <c r="A63" s="3" t="s">
        <v>1001</v>
      </c>
      <c r="B63" s="11" t="s">
        <v>71</v>
      </c>
      <c r="C63" s="63" t="str">
        <f aca="false">IF(ISNUMBER(C40),"不適用","")</f>
        <v/>
      </c>
      <c r="D63" s="63" t="str">
        <f aca="false">IF(ISNUMBER(D40),"不適用","")</f>
        <v/>
      </c>
      <c r="E63" s="63" t="str">
        <f aca="false">IF(ISNUMBER(E40),"不適用","")</f>
        <v/>
      </c>
      <c r="F63" s="63" t="str">
        <f aca="false">IF(ISNUMBER(F40),"不適用","")</f>
        <v/>
      </c>
      <c r="G63" s="63" t="str">
        <f aca="false">IF(ISNUMBER(G40),"不適用","")</f>
        <v/>
      </c>
      <c r="H63" s="63" t="str">
        <f aca="false">IF(ISNUMBER(H40),"不適用","")</f>
        <v/>
      </c>
    </row>
    <row r="64" customFormat="false" ht="15" hidden="true" customHeight="false" outlineLevel="1" collapsed="false">
      <c r="A64" s="3" t="s">
        <v>1002</v>
      </c>
      <c r="B64" s="11" t="s">
        <v>59</v>
      </c>
      <c r="C64" s="62" t="s">
        <v>578</v>
      </c>
      <c r="D64" s="62" t="s">
        <v>578</v>
      </c>
      <c r="E64" s="62" t="s">
        <v>578</v>
      </c>
      <c r="F64" s="62" t="s">
        <v>578</v>
      </c>
      <c r="G64" s="62" t="s">
        <v>578</v>
      </c>
      <c r="H64" s="62" t="s">
        <v>578</v>
      </c>
    </row>
    <row r="65" customFormat="false" ht="15" hidden="true" customHeight="false" outlineLevel="1" collapsed="false">
      <c r="A65" s="3" t="s">
        <v>1003</v>
      </c>
      <c r="B65" s="11" t="s">
        <v>59</v>
      </c>
      <c r="C65" s="62" t="s">
        <v>578</v>
      </c>
      <c r="D65" s="62" t="s">
        <v>578</v>
      </c>
      <c r="E65" s="62" t="s">
        <v>578</v>
      </c>
      <c r="F65" s="62" t="s">
        <v>578</v>
      </c>
      <c r="G65" s="62" t="s">
        <v>578</v>
      </c>
      <c r="H65" s="62" t="s">
        <v>578</v>
      </c>
    </row>
    <row r="66" customFormat="false" ht="15" hidden="true" customHeight="false" outlineLevel="1" collapsed="false">
      <c r="A66" s="3" t="s">
        <v>1004</v>
      </c>
      <c r="B66" s="11" t="s">
        <v>59</v>
      </c>
      <c r="C66" s="62" t="str">
        <f aca="false">IF(ISNUMBER(C41),IF(AND(ISNUMBER(C30)),C41-(C30),"不適用"),"")</f>
        <v/>
      </c>
      <c r="D66" s="62" t="str">
        <f aca="false">IF(ISNUMBER(D41),IF(AND(ISNUMBER(D30)),D41-(D30),"不適用"),"")</f>
        <v/>
      </c>
      <c r="E66" s="62" t="str">
        <f aca="false">IF(ISNUMBER(E41),IF(AND(ISNUMBER(E30)),E41-(E30),"不適用"),"")</f>
        <v/>
      </c>
      <c r="F66" s="62" t="str">
        <f aca="false">IF(ISNUMBER(F41),IF(AND(ISNUMBER(F30)),F41-(F30),"不適用"),"")</f>
        <v/>
      </c>
      <c r="G66" s="62" t="str">
        <f aca="false">IF(ISNUMBER(G41),IF(AND(ISNUMBER(G30)),G41-(G30),"不適用"),"")</f>
        <v/>
      </c>
      <c r="H66" s="62" t="str">
        <f aca="false">IF(ISNUMBER(H41),IF(AND(ISNUMBER(H30)),H41-(H30),"不適用"),"")</f>
        <v/>
      </c>
    </row>
    <row r="67" customFormat="false" ht="15" hidden="true" customHeight="false" outlineLevel="1" collapsed="false">
      <c r="A67" s="3" t="s">
        <v>1005</v>
      </c>
      <c r="B67" s="11" t="s">
        <v>59</v>
      </c>
      <c r="C67" s="62" t="str">
        <f aca="false">IF(ISNUMBER(C41),"不適用","")</f>
        <v/>
      </c>
      <c r="D67" s="62" t="str">
        <f aca="false">IF(ISNUMBER(D41),"不適用","")</f>
        <v/>
      </c>
      <c r="E67" s="62" t="str">
        <f aca="false">IF(ISNUMBER(E41),"不適用","")</f>
        <v/>
      </c>
      <c r="F67" s="62" t="str">
        <f aca="false">IF(ISNUMBER(F41),"不適用","")</f>
        <v/>
      </c>
      <c r="G67" s="62" t="str">
        <f aca="false">IF(ISNUMBER(G41),"不適用","")</f>
        <v/>
      </c>
      <c r="H67" s="62" t="str">
        <f aca="false">IF(ISNUMBER(H41),"不適用","")</f>
        <v/>
      </c>
    </row>
    <row r="68" customFormat="false" ht="15" hidden="true" customHeight="false" outlineLevel="1" collapsed="false">
      <c r="A68" s="3" t="s">
        <v>1006</v>
      </c>
      <c r="B68" s="11" t="s">
        <v>59</v>
      </c>
      <c r="C68" s="62" t="str">
        <f aca="false">IF(ISNUMBER(C41),"不適用","")</f>
        <v/>
      </c>
      <c r="D68" s="62" t="str">
        <f aca="false">IF(ISNUMBER(D41),"不適用","")</f>
        <v/>
      </c>
      <c r="E68" s="62" t="str">
        <f aca="false">IF(ISNUMBER(E41),"不適用","")</f>
        <v/>
      </c>
      <c r="F68" s="62" t="str">
        <f aca="false">IF(ISNUMBER(F41),"不適用","")</f>
        <v/>
      </c>
      <c r="G68" s="62" t="str">
        <f aca="false">IF(ISNUMBER(G41),"不適用","")</f>
        <v/>
      </c>
      <c r="H68" s="62" t="str">
        <f aca="false">IF(ISNUMBER(H41),"不適用","")</f>
        <v/>
      </c>
    </row>
    <row r="69" customFormat="false" ht="15" hidden="true" customHeight="false" outlineLevel="1" collapsed="false">
      <c r="A69" s="3" t="s">
        <v>1007</v>
      </c>
      <c r="B69" s="11" t="s">
        <v>71</v>
      </c>
      <c r="C69" s="63" t="s">
        <v>578</v>
      </c>
      <c r="D69" s="63" t="s">
        <v>578</v>
      </c>
      <c r="E69" s="63" t="s">
        <v>578</v>
      </c>
      <c r="F69" s="63" t="s">
        <v>578</v>
      </c>
      <c r="G69" s="63" t="s">
        <v>578</v>
      </c>
      <c r="H69" s="63" t="s">
        <v>578</v>
      </c>
    </row>
    <row r="70" customFormat="false" ht="15" hidden="true" customHeight="false" outlineLevel="1" collapsed="false">
      <c r="A70" s="3" t="s">
        <v>1008</v>
      </c>
      <c r="B70" s="11" t="s">
        <v>71</v>
      </c>
      <c r="C70" s="63" t="s">
        <v>578</v>
      </c>
      <c r="D70" s="63" t="s">
        <v>578</v>
      </c>
      <c r="E70" s="63" t="s">
        <v>578</v>
      </c>
      <c r="F70" s="63" t="s">
        <v>578</v>
      </c>
      <c r="G70" s="63" t="s">
        <v>578</v>
      </c>
      <c r="H70" s="63" t="s">
        <v>578</v>
      </c>
    </row>
    <row r="71" customFormat="false" ht="15" hidden="true" customHeight="false" outlineLevel="1" collapsed="false">
      <c r="A71" s="3" t="s">
        <v>1009</v>
      </c>
      <c r="B71" s="11" t="s">
        <v>71</v>
      </c>
      <c r="C71" s="63" t="str">
        <f aca="false">IF(ISNUMBER(C41),IF(AND(ISNUMBER(C41),ISNUMBER(C38),C38&lt;&gt;0,ISNUMBER(C30),ISNUMBER(C22),C22&lt;&gt;0),C41/C38-C30/C22,"不適用"),"")</f>
        <v/>
      </c>
      <c r="D71" s="63" t="str">
        <f aca="false">IF(ISNUMBER(D41),IF(AND(ISNUMBER(D41),ISNUMBER(D38),D38&lt;&gt;0,ISNUMBER(D30),ISNUMBER(D22),D22&lt;&gt;0),D41/D38-D30/D22,"不適用"),"")</f>
        <v/>
      </c>
      <c r="E71" s="63" t="str">
        <f aca="false">IF(ISNUMBER(E41),IF(AND(ISNUMBER(E41),ISNUMBER(E38),E38&lt;&gt;0,ISNUMBER(E30),ISNUMBER(E22),E22&lt;&gt;0),E41/E38-E30/E22,"不適用"),"")</f>
        <v/>
      </c>
      <c r="F71" s="63" t="str">
        <f aca="false">IF(ISNUMBER(F41),IF(AND(ISNUMBER(F41),ISNUMBER(F38),F38&lt;&gt;0,ISNUMBER(F30),ISNUMBER(F22),F22&lt;&gt;0),F41/F38-F30/F22,"不適用"),"")</f>
        <v/>
      </c>
      <c r="G71" s="63" t="str">
        <f aca="false">IF(ISNUMBER(G41),IF(AND(ISNUMBER(G41),ISNUMBER(G38),G38&lt;&gt;0,ISNUMBER(G30),ISNUMBER(G22),G22&lt;&gt;0),G41/G38-G30/G22,"不適用"),"")</f>
        <v/>
      </c>
      <c r="H71" s="63" t="str">
        <f aca="false">IF(ISNUMBER(H41),IF(AND(ISNUMBER(H41),ISNUMBER(H38),H38&lt;&gt;0,ISNUMBER(H30),ISNUMBER(H22),H22&lt;&gt;0),H41/H38-H30/H22,"不適用"),"")</f>
        <v/>
      </c>
    </row>
    <row r="72" customFormat="false" ht="15" hidden="true" customHeight="false" outlineLevel="1" collapsed="false">
      <c r="A72" s="3" t="s">
        <v>1010</v>
      </c>
      <c r="B72" s="11" t="s">
        <v>71</v>
      </c>
      <c r="C72" s="63" t="str">
        <f aca="false">IF(ISNUMBER(C41),"不適用","")</f>
        <v/>
      </c>
      <c r="D72" s="63" t="str">
        <f aca="false">IF(ISNUMBER(D41),"不適用","")</f>
        <v/>
      </c>
      <c r="E72" s="63" t="str">
        <f aca="false">IF(ISNUMBER(E41),"不適用","")</f>
        <v/>
      </c>
      <c r="F72" s="63" t="str">
        <f aca="false">IF(ISNUMBER(F41),"不適用","")</f>
        <v/>
      </c>
      <c r="G72" s="63" t="str">
        <f aca="false">IF(ISNUMBER(G41),"不適用","")</f>
        <v/>
      </c>
      <c r="H72" s="63" t="str">
        <f aca="false">IF(ISNUMBER(H41),"不適用","")</f>
        <v/>
      </c>
    </row>
    <row r="73" customFormat="false" ht="15" hidden="true" customHeight="false" outlineLevel="1" collapsed="false">
      <c r="A73" s="3" t="s">
        <v>1011</v>
      </c>
      <c r="B73" s="11" t="s">
        <v>71</v>
      </c>
      <c r="C73" s="63" t="str">
        <f aca="false">IF(ISNUMBER(C41),"不適用","")</f>
        <v/>
      </c>
      <c r="D73" s="63" t="str">
        <f aca="false">IF(ISNUMBER(D41),"不適用","")</f>
        <v/>
      </c>
      <c r="E73" s="63" t="str">
        <f aca="false">IF(ISNUMBER(E41),"不適用","")</f>
        <v/>
      </c>
      <c r="F73" s="63" t="str">
        <f aca="false">IF(ISNUMBER(F41),"不適用","")</f>
        <v/>
      </c>
      <c r="G73" s="63" t="str">
        <f aca="false">IF(ISNUMBER(G41),"不適用","")</f>
        <v/>
      </c>
      <c r="H73" s="63" t="str">
        <f aca="false">IF(ISNUMBER(H41),"不適用","")</f>
        <v/>
      </c>
    </row>
    <row r="74" customFormat="false" ht="15" hidden="true" customHeight="false" outlineLevel="1" collapsed="false">
      <c r="A74" s="3" t="s">
        <v>1012</v>
      </c>
      <c r="B74" s="11" t="s">
        <v>42</v>
      </c>
      <c r="C74" s="63" t="s">
        <v>578</v>
      </c>
      <c r="D74" s="63" t="s">
        <v>578</v>
      </c>
      <c r="E74" s="63" t="s">
        <v>578</v>
      </c>
      <c r="F74" s="63" t="s">
        <v>578</v>
      </c>
      <c r="G74" s="63" t="s">
        <v>578</v>
      </c>
      <c r="H74" s="63" t="s">
        <v>578</v>
      </c>
    </row>
    <row r="75" customFormat="false" ht="15" hidden="true" customHeight="false" outlineLevel="1" collapsed="false">
      <c r="A75" s="3" t="s">
        <v>1013</v>
      </c>
      <c r="B75" s="11" t="s">
        <v>42</v>
      </c>
      <c r="C75" s="63" t="s">
        <v>578</v>
      </c>
      <c r="D75" s="63" t="s">
        <v>578</v>
      </c>
      <c r="E75" s="63" t="s">
        <v>578</v>
      </c>
      <c r="F75" s="63" t="s">
        <v>578</v>
      </c>
      <c r="G75" s="63" t="s">
        <v>578</v>
      </c>
      <c r="H75" s="63" t="s">
        <v>578</v>
      </c>
    </row>
    <row r="76" customFormat="false" ht="15" hidden="true" customHeight="false" outlineLevel="1" collapsed="false">
      <c r="A76" s="3" t="s">
        <v>1014</v>
      </c>
      <c r="B76" s="11" t="s">
        <v>42</v>
      </c>
      <c r="C76" s="63" t="str">
        <f aca="false">IF(ISNUMBER(C42),IF(AND(ISNUMBER(C33),C33&lt;&gt;0),C42/(C33)-1,"不適用"),"")</f>
        <v/>
      </c>
      <c r="D76" s="63" t="str">
        <f aca="false">IF(ISNUMBER(D42),IF(AND(ISNUMBER(D33),D33&lt;&gt;0),D42/(D33)-1,"不適用"),"")</f>
        <v/>
      </c>
      <c r="E76" s="63" t="str">
        <f aca="false">IF(ISNUMBER(E42),IF(AND(ISNUMBER(E33),E33&lt;&gt;0),E42/(E33)-1,"不適用"),"")</f>
        <v/>
      </c>
      <c r="F76" s="63" t="str">
        <f aca="false">IF(ISNUMBER(F42),IF(AND(ISNUMBER(F33),F33&lt;&gt;0),F42/(F33)-1,"不適用"),"")</f>
        <v/>
      </c>
      <c r="G76" s="63" t="str">
        <f aca="false">IF(ISNUMBER(G42),IF(AND(ISNUMBER(G33),G33&lt;&gt;0),G42/(G33)-1,"不適用"),"")</f>
        <v/>
      </c>
      <c r="H76" s="63" t="str">
        <f aca="false">IF(ISNUMBER(H42),IF(AND(ISNUMBER(H33),H33&lt;&gt;0),H42/(H33)-1,"不適用"),"")</f>
        <v/>
      </c>
    </row>
    <row r="77" customFormat="false" ht="15" hidden="true" customHeight="false" outlineLevel="1" collapsed="false">
      <c r="A77" s="3" t="s">
        <v>1015</v>
      </c>
      <c r="B77" s="11" t="s">
        <v>42</v>
      </c>
      <c r="C77" s="63" t="str">
        <f aca="false">IF(ISNUMBER(C42),"不適用","")</f>
        <v/>
      </c>
      <c r="D77" s="63" t="str">
        <f aca="false">IF(ISNUMBER(D42),"不適用","")</f>
        <v/>
      </c>
      <c r="E77" s="63" t="str">
        <f aca="false">IF(ISNUMBER(E42),"不適用","")</f>
        <v/>
      </c>
      <c r="F77" s="63" t="str">
        <f aca="false">IF(ISNUMBER(F42),"不適用","")</f>
        <v/>
      </c>
      <c r="G77" s="63" t="str">
        <f aca="false">IF(ISNUMBER(G42),"不適用","")</f>
        <v/>
      </c>
      <c r="H77" s="63" t="str">
        <f aca="false">IF(ISNUMBER(H42),"不適用","")</f>
        <v/>
      </c>
    </row>
    <row r="78" customFormat="false" ht="15" hidden="true" customHeight="false" outlineLevel="1" collapsed="false">
      <c r="A78" s="3" t="s">
        <v>1016</v>
      </c>
      <c r="B78" s="11" t="s">
        <v>42</v>
      </c>
      <c r="C78" s="63" t="str">
        <f aca="false">IF(ISNUMBER(C42),"不適用","")</f>
        <v/>
      </c>
      <c r="D78" s="63" t="str">
        <f aca="false">IF(ISNUMBER(D42),"不適用","")</f>
        <v/>
      </c>
      <c r="E78" s="63" t="str">
        <f aca="false">IF(ISNUMBER(E42),"不適用","")</f>
        <v/>
      </c>
      <c r="F78" s="63" t="str">
        <f aca="false">IF(ISNUMBER(F42),"不適用","")</f>
        <v/>
      </c>
      <c r="G78" s="63" t="str">
        <f aca="false">IF(ISNUMBER(G42),"不適用","")</f>
        <v/>
      </c>
      <c r="H78" s="63" t="str">
        <f aca="false">IF(ISNUMBER(H42),"不適用","")</f>
        <v/>
      </c>
    </row>
    <row r="79" customFormat="false" ht="15" hidden="true" customHeight="false" outlineLevel="1" collapsed="false">
      <c r="A79" s="3" t="s">
        <v>1017</v>
      </c>
      <c r="B79" s="11" t="s">
        <v>151</v>
      </c>
      <c r="C79" s="64" t="s">
        <v>578</v>
      </c>
      <c r="D79" s="64" t="s">
        <v>578</v>
      </c>
      <c r="E79" s="64" t="s">
        <v>578</v>
      </c>
      <c r="F79" s="64" t="s">
        <v>578</v>
      </c>
      <c r="G79" s="64" t="s">
        <v>578</v>
      </c>
      <c r="H79" s="64" t="s">
        <v>578</v>
      </c>
    </row>
    <row r="80" customFormat="false" ht="15" hidden="true" customHeight="false" outlineLevel="1" collapsed="false">
      <c r="A80" s="3" t="s">
        <v>1018</v>
      </c>
      <c r="B80" s="11" t="s">
        <v>151</v>
      </c>
      <c r="C80" s="64" t="s">
        <v>578</v>
      </c>
      <c r="D80" s="64" t="s">
        <v>578</v>
      </c>
      <c r="E80" s="64" t="s">
        <v>578</v>
      </c>
      <c r="F80" s="64" t="s">
        <v>578</v>
      </c>
      <c r="G80" s="64" t="s">
        <v>578</v>
      </c>
      <c r="H80" s="64" t="s">
        <v>578</v>
      </c>
    </row>
    <row r="81" customFormat="false" ht="15" hidden="true" customHeight="false" outlineLevel="1" collapsed="false">
      <c r="A81" s="3" t="s">
        <v>1019</v>
      </c>
      <c r="B81" s="11" t="s">
        <v>151</v>
      </c>
      <c r="C81" s="64" t="str">
        <f aca="false">IF(ISNUMBER(C43),IF(AND(ISNUMBER(C19)),C43-(C19),"不適用"),"")</f>
        <v/>
      </c>
      <c r="D81" s="64" t="str">
        <f aca="false">IF(ISNUMBER(D43),IF(AND(ISNUMBER(D19)),D43-(D19),"不適用"),"")</f>
        <v/>
      </c>
      <c r="E81" s="64" t="str">
        <f aca="false">IF(ISNUMBER(E43),IF(AND(ISNUMBER(E19)),E43-(E19),"不適用"),"")</f>
        <v/>
      </c>
      <c r="F81" s="64" t="str">
        <f aca="false">IF(ISNUMBER(F43),IF(AND(ISNUMBER(F19)),F43-(F19),"不適用"),"")</f>
        <v/>
      </c>
      <c r="G81" s="64" t="str">
        <f aca="false">IF(ISNUMBER(G43),IF(AND(ISNUMBER(G19)),G43-(G19),"不適用"),"")</f>
        <v/>
      </c>
      <c r="H81" s="64" t="str">
        <f aca="false">IF(ISNUMBER(H43),IF(AND(ISNUMBER(H19)),H43-(H19),"不適用"),"")</f>
        <v/>
      </c>
    </row>
    <row r="82" customFormat="false" ht="15" hidden="true" customHeight="false" outlineLevel="1" collapsed="false">
      <c r="A82" s="3" t="s">
        <v>1020</v>
      </c>
      <c r="B82" s="11" t="s">
        <v>151</v>
      </c>
      <c r="C82" s="64" t="str">
        <f aca="false">IF(ISNUMBER(C43),"不適用","")</f>
        <v/>
      </c>
      <c r="D82" s="64" t="str">
        <f aca="false">IF(ISNUMBER(D43),"不適用","")</f>
        <v/>
      </c>
      <c r="E82" s="64" t="str">
        <f aca="false">IF(ISNUMBER(E43),"不適用","")</f>
        <v/>
      </c>
      <c r="F82" s="64" t="str">
        <f aca="false">IF(ISNUMBER(F43),"不適用","")</f>
        <v/>
      </c>
      <c r="G82" s="64" t="str">
        <f aca="false">IF(ISNUMBER(G43),"不適用","")</f>
        <v/>
      </c>
      <c r="H82" s="64" t="str">
        <f aca="false">IF(ISNUMBER(H43),"不適用","")</f>
        <v/>
      </c>
    </row>
    <row r="83" customFormat="false" ht="15" hidden="true" customHeight="false" outlineLevel="1" collapsed="false">
      <c r="A83" s="3" t="s">
        <v>1021</v>
      </c>
      <c r="B83" s="11" t="s">
        <v>151</v>
      </c>
      <c r="C83" s="64" t="str">
        <f aca="false">IF(ISNUMBER(C43),"不適用","")</f>
        <v/>
      </c>
      <c r="D83" s="64" t="str">
        <f aca="false">IF(ISNUMBER(D43),"不適用","")</f>
        <v/>
      </c>
      <c r="E83" s="64" t="str">
        <f aca="false">IF(ISNUMBER(E43),"不適用","")</f>
        <v/>
      </c>
      <c r="F83" s="64" t="str">
        <f aca="false">IF(ISNUMBER(F43),"不適用","")</f>
        <v/>
      </c>
      <c r="G83" s="64" t="str">
        <f aca="false">IF(ISNUMBER(G43),"不適用","")</f>
        <v/>
      </c>
      <c r="H83" s="64" t="str">
        <f aca="false">IF(ISNUMBER(H43),"不適用","")</f>
        <v/>
      </c>
    </row>
    <row r="84" customFormat="false" ht="15" hidden="true" customHeight="false" outlineLevel="1" collapsed="false">
      <c r="A84" s="3" t="s">
        <v>1022</v>
      </c>
      <c r="B84" s="11" t="s">
        <v>59</v>
      </c>
      <c r="C84" s="62" t="str">
        <f aca="false">IF(COUNT(C34,D34,E34)=3,C34+D34+E34,"不適用")</f>
        <v>不適用</v>
      </c>
      <c r="D84" s="62" t="str">
        <f aca="false">IF(COUNT(C34,D34,E34)=3,C34+D34+E34,"不適用")</f>
        <v>不適用</v>
      </c>
      <c r="E84" s="62" t="str">
        <f aca="false">IF(COUNT(C34,D34,E34)=3,C34+D34+E34,"不適用")</f>
        <v>不適用</v>
      </c>
      <c r="F84" s="62" t="str">
        <f aca="false">IF(COUNT(F34,G34,H34)=3,F34+G34+H34,"不適用")</f>
        <v>不適用</v>
      </c>
      <c r="G84" s="62" t="str">
        <f aca="false">IF(COUNT(F34,G34,H34)=3,F34+G34+H34,"不適用")</f>
        <v>不適用</v>
      </c>
      <c r="H84" s="62" t="str">
        <f aca="false">IF(COUNT(F34,G34,H34)=3,F34+G34+H34,"不適用")</f>
        <v>不適用</v>
      </c>
      <c r="J84" s="6" t="s">
        <v>1023</v>
      </c>
    </row>
    <row r="85" customFormat="false" ht="15" hidden="true" customHeight="false" outlineLevel="1" collapsed="false">
      <c r="A85" s="3" t="s">
        <v>1024</v>
      </c>
      <c r="B85" s="11" t="s">
        <v>59</v>
      </c>
      <c r="C85" s="62" t="str">
        <f aca="false">IF(AND(ISNUMBER(C84),C84&lt;&gt;0,ISNUMBER(C34),ISNUMBER(C22)),(損益!C9-C84)*(C34)/C84,"不適用")</f>
        <v>不適用</v>
      </c>
      <c r="D85" s="62" t="str">
        <f aca="false">IF(AND(ISNUMBER(D84),D84&lt;&gt;0,ISNUMBER(D34),ISNUMBER(D22)),(損益!C9-D84)*(D34)/D84,"不適用")</f>
        <v>不適用</v>
      </c>
      <c r="E85" s="62" t="str">
        <f aca="false">IF(AND(ISNUMBER(E84),E84&lt;&gt;0,ISNUMBER(E34),ISNUMBER(E22)),(損益!C9-E84)*(E34)/E84,"不適用")</f>
        <v>不適用</v>
      </c>
      <c r="F85" s="62" t="str">
        <f aca="false">IF(AND(ISNUMBER(F84),F84&lt;&gt;0,ISNUMBER(F34),ISNUMBER(F22)),(損益!D9-F84)*(F34)/F84,"不適用")</f>
        <v>不適用</v>
      </c>
      <c r="G85" s="62" t="str">
        <f aca="false">IF(AND(ISNUMBER(G84),G84&lt;&gt;0,ISNUMBER(G34),ISNUMBER(G22)),(損益!D9-G84)*(G34)/G84,"不適用")</f>
        <v>不適用</v>
      </c>
      <c r="H85" s="62" t="str">
        <f aca="false">IF(AND(ISNUMBER(H84),H84&lt;&gt;0,ISNUMBER(H34),ISNUMBER(H22)),(損益!D9-H84)*(H34)/H84,"不適用")</f>
        <v>不適用</v>
      </c>
      <c r="J85" s="11" t="s">
        <v>1025</v>
      </c>
    </row>
    <row r="86" customFormat="false" ht="15" hidden="true" customHeight="false" outlineLevel="1" collapsed="false">
      <c r="A86" s="3" t="s">
        <v>1026</v>
      </c>
      <c r="B86" s="11" t="s">
        <v>59</v>
      </c>
      <c r="C86" s="62" t="str">
        <f aca="false">IF(AND(ISNUMBER(C84),C84&lt;&gt;0,ISNUMBER(C34),ISNUMBER(C22)),(C22/損益!C9-(C34)/C84)*損益!C9,"不適用")</f>
        <v>不適用</v>
      </c>
      <c r="D86" s="62" t="str">
        <f aca="false">IF(AND(ISNUMBER(D84),D84&lt;&gt;0,ISNUMBER(D34),ISNUMBER(D22)),(D22/損益!C9-(D34)/D84)*損益!C9,"不適用")</f>
        <v>不適用</v>
      </c>
      <c r="E86" s="62" t="str">
        <f aca="false">IF(AND(ISNUMBER(E84),E84&lt;&gt;0,ISNUMBER(E34),ISNUMBER(E22)),(E22/損益!C9-(E34)/E84)*損益!C9,"不適用")</f>
        <v>不適用</v>
      </c>
      <c r="F86" s="62" t="str">
        <f aca="false">IF(AND(ISNUMBER(F84),F84&lt;&gt;0,ISNUMBER(F34),ISNUMBER(F22)),(F22/損益!D9-(F34)/F84)*損益!D9,"不適用")</f>
        <v>不適用</v>
      </c>
      <c r="G86" s="62" t="str">
        <f aca="false">IF(AND(ISNUMBER(G84),G84&lt;&gt;0,ISNUMBER(G34),ISNUMBER(G22)),(G22/損益!D9-(G34)/G84)*損益!D9,"不適用")</f>
        <v>不適用</v>
      </c>
      <c r="H86" s="62" t="str">
        <f aca="false">IF(AND(ISNUMBER(H84),H84&lt;&gt;0,ISNUMBER(H34),ISNUMBER(H22)),(H22/損益!D9-(H34)/H84)*損益!D9,"不適用")</f>
        <v>不適用</v>
      </c>
      <c r="J86" s="11" t="s">
        <v>1027</v>
      </c>
    </row>
    <row r="87" customFormat="false" ht="15" hidden="true" customHeight="false" outlineLevel="1" collapsed="false">
      <c r="A87" s="3" t="s">
        <v>1028</v>
      </c>
      <c r="B87" s="11" t="s">
        <v>59</v>
      </c>
      <c r="C87" s="62" t="n">
        <f aca="false">(輸入與假設!$C$352+輸入與假設!$D$352)/2-輸入與假設!$E$352</f>
        <v>70.655</v>
      </c>
      <c r="D87" s="62" t="n">
        <f aca="false">(輸入與假設!$C$352+輸入與假設!$D$352)/2-輸入與假設!$E$352</f>
        <v>70.655</v>
      </c>
      <c r="E87" s="62" t="n">
        <f aca="false">(輸入與假設!$C$352+輸入與假設!$D$352)/2-輸入與假設!$E$352</f>
        <v>70.655</v>
      </c>
      <c r="F87" s="62" t="s">
        <v>578</v>
      </c>
      <c r="G87" s="62" t="s">
        <v>578</v>
      </c>
      <c r="H87" s="62" t="s">
        <v>578</v>
      </c>
      <c r="J87" s="6" t="s">
        <v>1029</v>
      </c>
    </row>
    <row r="88" customFormat="false" ht="15" hidden="true" customHeight="false" outlineLevel="1" collapsed="false">
      <c r="A88" s="3" t="s">
        <v>1030</v>
      </c>
      <c r="B88" s="11" t="s">
        <v>59</v>
      </c>
      <c r="C88" s="62" t="n">
        <f aca="false">IF(AND(ISNUMBER(C87),C87&lt;&gt;0,ISNUMBER(((C31+C32)/2)),ISNUMBER(C22)),(損益!C9-C87)*(((C31+C32)/2))/C87,"不適用")</f>
        <v>-0.750714060000001</v>
      </c>
      <c r="D88" s="62" t="str">
        <f aca="false">IF(AND(ISNUMBER(D87),D87&lt;&gt;0,ISNUMBER(((D31+D32)/2)),ISNUMBER(D22)),(損益!C9-D87)*(((D31+D32)/2))/D87,"不適用")</f>
        <v>不適用</v>
      </c>
      <c r="E88" s="62" t="str">
        <f aca="false">IF(AND(ISNUMBER(E87),E87&lt;&gt;0,ISNUMBER(((E31+E32)/2)),ISNUMBER(E22)),(損益!C9-E87)*(((E31+E32)/2))/E87,"不適用")</f>
        <v>不適用</v>
      </c>
      <c r="F88" s="62" t="str">
        <f aca="false">IF(AND(ISNUMBER(F87),F87&lt;&gt;0,ISNUMBER(((F31+F32)/2)),ISNUMBER(F22)),(損益!D9-F87)*(((F31+F32)/2))/F87,"不適用")</f>
        <v>不適用</v>
      </c>
      <c r="G88" s="62" t="str">
        <f aca="false">IF(AND(ISNUMBER(G87),G87&lt;&gt;0,ISNUMBER(((G31+G32)/2)),ISNUMBER(G22)),(損益!D9-G87)*(((G31+G32)/2))/G87,"不適用")</f>
        <v>不適用</v>
      </c>
      <c r="H88" s="62" t="str">
        <f aca="false">IF(AND(ISNUMBER(H87),H87&lt;&gt;0,ISNUMBER(((H31+H32)/2)),ISNUMBER(H22)),(損益!D9-H87)*(((H31+H32)/2))/H87,"不適用")</f>
        <v>不適用</v>
      </c>
      <c r="J88" s="11" t="s">
        <v>1025</v>
      </c>
    </row>
    <row r="89" customFormat="false" ht="15" hidden="true" customHeight="false" outlineLevel="1" collapsed="false">
      <c r="A89" s="3" t="s">
        <v>1031</v>
      </c>
      <c r="B89" s="11" t="s">
        <v>59</v>
      </c>
      <c r="C89" s="62" t="n">
        <f aca="false">IF(AND(ISNUMBER(C87),C87&lt;&gt;0,ISNUMBER(((C31+C32)/2)),ISNUMBER(C22)),(C22/損益!C9-(((C31+C32)/2))/C87)*損益!C9,"不適用")</f>
        <v>0.585484026666667</v>
      </c>
      <c r="D89" s="62" t="str">
        <f aca="false">IF(AND(ISNUMBER(D87),D87&lt;&gt;0,ISNUMBER(((D31+D32)/2)),ISNUMBER(D22)),(D22/損益!C9-(((D31+D32)/2))/D87)*損益!C9,"不適用")</f>
        <v>不適用</v>
      </c>
      <c r="E89" s="62" t="str">
        <f aca="false">IF(AND(ISNUMBER(E87),E87&lt;&gt;0,ISNUMBER(((E31+E32)/2)),ISNUMBER(E22)),(E22/損益!C9-(((E31+E32)/2))/E87)*損益!C9,"不適用")</f>
        <v>不適用</v>
      </c>
      <c r="F89" s="62" t="str">
        <f aca="false">IF(AND(ISNUMBER(F87),F87&lt;&gt;0,ISNUMBER(((F31+F32)/2)),ISNUMBER(F22)),(F22/損益!D9-(((F31+F32)/2))/F87)*損益!D9,"不適用")</f>
        <v>不適用</v>
      </c>
      <c r="G89" s="62" t="str">
        <f aca="false">IF(AND(ISNUMBER(G87),G87&lt;&gt;0,ISNUMBER(((G31+G32)/2)),ISNUMBER(G22)),(G22/損益!D9-(((G31+G32)/2))/G87)*損益!D9,"不適用")</f>
        <v>不適用</v>
      </c>
      <c r="H89" s="62" t="str">
        <f aca="false">IF(AND(ISNUMBER(H87),H87&lt;&gt;0,ISNUMBER(((H31+H32)/2)),ISNUMBER(H22)),(H22/損益!D9-(((H31+H32)/2))/H87)*損益!D9,"不適用")</f>
        <v>不適用</v>
      </c>
      <c r="J89" s="11" t="s">
        <v>1027</v>
      </c>
    </row>
    <row r="90" customFormat="false" ht="15" hidden="true" customHeight="false" outlineLevel="1" collapsed="false">
      <c r="A90" s="3" t="s">
        <v>1032</v>
      </c>
      <c r="C90" s="42" t="str">
        <f aca="false">IF(ISNUMBER(C44),IF(ABS(C44)&gt;輸入與假設!$C$333,IF(ISNUMBER(C85),IF(ABS(C86)&gt;ABS(C85),"營收 vs 共識 "&amp;IF(C44&lt;0,"−","+")&amp;TEXT(ABS(C44)*100,"#,##0.0")&amp;"%"&amp;"：拆法（分配 "&amp;IF(C86&lt;0,"−","+")&amp;IF(ABS(C86)&lt;0,"−","")&amp;"$"&amp;TEXT(ABS(ABS(C86)),"#,##0.000")&amp;"bn"&amp;"（Q2 FY27 占 2Q–4Q27 "&amp;TEXT((C22/損益!C9)*100,"#,##0.0")&amp;"%"&amp;"，共識合計 "&amp;TEXT(((C34)/C84)*100,"#,##0.0")&amp;"%"&amp;"）；水準 "&amp;IF(C85&lt;0,"−","+")&amp;IF(ABS(C85)&lt;0,"−","")&amp;"$"&amp;TEXT(ABS(ABS(C85)),"#,##0.000")&amp;"bn"&amp;"）","營收 vs 共識 "&amp;IF(C44&lt;0,"−","+")&amp;TEXT(ABS(C44)*100,"#,##0.0")&amp;"%"&amp;"：觀點（水準 "&amp;IF(C85&lt;0,"−","+")&amp;IF(ABS(C85)&lt;0,"−","")&amp;"$"&amp;TEXT(ABS(ABS(C85)),"#,##0.000")&amp;"bn"&amp;"（2Q–4Q27 模型 "&amp;IF(損益!C9&lt;0,"−","")&amp;"$"&amp;TEXT(ABS(損益!C9),"#,##0.000")&amp;"bn"&amp;"，共識合計 "&amp;IF(C84&lt;0,"−","")&amp;"$"&amp;TEXT(ABS(C84),"#,##0.000")&amp;"bn"&amp;"）；分配 "&amp;IF(C86&lt;0,"−","+")&amp;IF(ABS(C86)&lt;0,"−","")&amp;"$"&amp;TEXT(ABS(ABS(C86)),"#,##0.000")&amp;"bn"&amp;"；"&amp;"OCI 營收＝在役 MW × 每 MW 年收入（Tokenomics 正向推導），期初可計費 MW 以 Q1 實際 OCI 年化校準；傳統事業四線依近四季年增率；共識未揭露 MW 與單價假設"&amp;"）"),"營收 vs 共識 "&amp;IF(C44&lt;0,"−","+")&amp;TEXT(ABS(C44)*100,"#,##0.0")&amp;"%"&amp;"：觀點（"&amp;"OCI 營收＝在役 MW × 每 MW 年收入（Tokenomics 正向推導），期初可計費 MW 以 Q1 實際 OCI 年化校準；傳統事業四線依近四季年增率；共識未揭露 MW 與單價假設"&amp;"）"),""),"")</f>
        <v/>
      </c>
      <c r="D90" s="42" t="str">
        <f aca="false">IF(ISNUMBER(D44),IF(ABS(D44)&gt;輸入與假設!$C$333,IF(ISNUMBER(D85),IF(ABS(D86)&gt;ABS(D85),"營收 vs 共識 "&amp;IF(D44&lt;0,"−","+")&amp;TEXT(ABS(D44)*100,"#,##0.0")&amp;"%"&amp;"：拆法（分配 "&amp;IF(D86&lt;0,"−","+")&amp;IF(ABS(D86)&lt;0,"−","")&amp;"$"&amp;TEXT(ABS(ABS(D86)),"#,##0.000")&amp;"bn"&amp;"（Q3 FY27 占 2Q–4Q27 "&amp;TEXT((D22/損益!C9)*100,"#,##0.0")&amp;"%"&amp;"，共識合計 "&amp;TEXT(((D34)/D84)*100,"#,##0.0")&amp;"%"&amp;"）；水準 "&amp;IF(D85&lt;0,"−","+")&amp;IF(ABS(D85)&lt;0,"−","")&amp;"$"&amp;TEXT(ABS(ABS(D85)),"#,##0.000")&amp;"bn"&amp;"）","營收 vs 共識 "&amp;IF(D44&lt;0,"−","+")&amp;TEXT(ABS(D44)*100,"#,##0.0")&amp;"%"&amp;"：觀點（水準 "&amp;IF(D85&lt;0,"−","+")&amp;IF(ABS(D85)&lt;0,"−","")&amp;"$"&amp;TEXT(ABS(ABS(D85)),"#,##0.000")&amp;"bn"&amp;"（2Q–4Q27 模型 "&amp;IF(損益!C9&lt;0,"−","")&amp;"$"&amp;TEXT(ABS(損益!C9),"#,##0.000")&amp;"bn"&amp;"，共識合計 "&amp;IF(D84&lt;0,"−","")&amp;"$"&amp;TEXT(ABS(D84),"#,##0.000")&amp;"bn"&amp;"）；分配 "&amp;IF(D86&lt;0,"−","+")&amp;IF(ABS(D86)&lt;0,"−","")&amp;"$"&amp;TEXT(ABS(ABS(D86)),"#,##0.000")&amp;"bn"&amp;"；"&amp;"OCI 營收＝在役 MW × 每 MW 年收入（Tokenomics 正向推導），期初可計費 MW 以 Q1 實際 OCI 年化校準；傳統事業四線依近四季年增率；共識未揭露 MW 與單價假設"&amp;"）"),"營收 vs 共識 "&amp;IF(D44&lt;0,"−","+")&amp;TEXT(ABS(D44)*100,"#,##0.0")&amp;"%"&amp;"：觀點（"&amp;"OCI 營收＝在役 MW × 每 MW 年收入（Tokenomics 正向推導），期初可計費 MW 以 Q1 實際 OCI 年化校準；傳統事業四線依近四季年增率；共識未揭露 MW 與單價假設"&amp;"）"),""),"")</f>
        <v/>
      </c>
      <c r="E90" s="42" t="str">
        <f aca="false">IF(ISNUMBER(E44),IF(ABS(E44)&gt;輸入與假設!$C$333,IF(ISNUMBER(E85),IF(ABS(E86)&gt;ABS(E85),"營收 vs 共識 "&amp;IF(E44&lt;0,"−","+")&amp;TEXT(ABS(E44)*100,"#,##0.0")&amp;"%"&amp;"：拆法（分配 "&amp;IF(E86&lt;0,"−","+")&amp;IF(ABS(E86)&lt;0,"−","")&amp;"$"&amp;TEXT(ABS(ABS(E86)),"#,##0.000")&amp;"bn"&amp;"（Q4 FY27 占 2Q–4Q27 "&amp;TEXT((E22/損益!C9)*100,"#,##0.0")&amp;"%"&amp;"，共識合計 "&amp;TEXT(((E34)/E84)*100,"#,##0.0")&amp;"%"&amp;"）；水準 "&amp;IF(E85&lt;0,"−","+")&amp;IF(ABS(E85)&lt;0,"−","")&amp;"$"&amp;TEXT(ABS(ABS(E85)),"#,##0.000")&amp;"bn"&amp;"）","營收 vs 共識 "&amp;IF(E44&lt;0,"−","+")&amp;TEXT(ABS(E44)*100,"#,##0.0")&amp;"%"&amp;"：觀點（水準 "&amp;IF(E85&lt;0,"−","+")&amp;IF(ABS(E85)&lt;0,"−","")&amp;"$"&amp;TEXT(ABS(ABS(E85)),"#,##0.000")&amp;"bn"&amp;"（2Q–4Q27 模型 "&amp;IF(損益!C9&lt;0,"−","")&amp;"$"&amp;TEXT(ABS(損益!C9),"#,##0.000")&amp;"bn"&amp;"，共識合計 "&amp;IF(E84&lt;0,"−","")&amp;"$"&amp;TEXT(ABS(E84),"#,##0.000")&amp;"bn"&amp;"）；分配 "&amp;IF(E86&lt;0,"−","+")&amp;IF(ABS(E86)&lt;0,"−","")&amp;"$"&amp;TEXT(ABS(ABS(E86)),"#,##0.000")&amp;"bn"&amp;"；"&amp;"OCI 營收＝在役 MW × 每 MW 年收入（Tokenomics 正向推導），期初可計費 MW 以 Q1 實際 OCI 年化校準；傳統事業四線依近四季年增率；共識未揭露 MW 與單價假設"&amp;"）"),"營收 vs 共識 "&amp;IF(E44&lt;0,"−","+")&amp;TEXT(ABS(E44)*100,"#,##0.0")&amp;"%"&amp;"：觀點（"&amp;"OCI 營收＝在役 MW × 每 MW 年收入（Tokenomics 正向推導），期初可計費 MW 以 Q1 實際 OCI 年化校準；傳統事業四線依近四季年增率；共識未揭露 MW 與單價假設"&amp;"）"),""),"")</f>
        <v/>
      </c>
      <c r="F90" s="42" t="str">
        <f aca="false">IF(ISNUMBER(F44),IF(ABS(F44)&gt;輸入與假設!$C$333,IF(ISNUMBER(F85),IF(ABS(F86)&gt;ABS(F85),"營收 vs 共識 "&amp;IF(F44&lt;0,"−","+")&amp;TEXT(ABS(F44)*100,"#,##0.0")&amp;"%"&amp;"：拆法（分配 "&amp;IF(F86&lt;0,"−","+")&amp;IF(ABS(F86)&lt;0,"−","")&amp;"$"&amp;TEXT(ABS(ABS(F86)),"#,##0.000")&amp;"bn"&amp;"（Q1 FY28 占 FY28 "&amp;TEXT((F22/損益!D9)*100,"#,##0.0")&amp;"%"&amp;"，共識合計 "&amp;TEXT(((F34)/F84)*100,"#,##0.0")&amp;"%"&amp;"）；水準 "&amp;IF(F85&lt;0,"−","+")&amp;IF(ABS(F85)&lt;0,"−","")&amp;"$"&amp;TEXT(ABS(ABS(F85)),"#,##0.000")&amp;"bn"&amp;"）","營收 vs 共識 "&amp;IF(F44&lt;0,"−","+")&amp;TEXT(ABS(F44)*100,"#,##0.0")&amp;"%"&amp;"：觀點（水準 "&amp;IF(F85&lt;0,"−","+")&amp;IF(ABS(F85)&lt;0,"−","")&amp;"$"&amp;TEXT(ABS(ABS(F85)),"#,##0.000")&amp;"bn"&amp;"（FY28 模型 "&amp;IF(損益!D9&lt;0,"−","")&amp;"$"&amp;TEXT(ABS(損益!D9),"#,##0.000")&amp;"bn"&amp;"，共識合計 "&amp;IF(F84&lt;0,"−","")&amp;"$"&amp;TEXT(ABS(F84),"#,##0.000")&amp;"bn"&amp;"）；分配 "&amp;IF(F86&lt;0,"−","+")&amp;IF(ABS(F86)&lt;0,"−","")&amp;"$"&amp;TEXT(ABS(ABS(F86)),"#,##0.000")&amp;"bn"&amp;"；"&amp;"OCI 營收＝在役 MW × 每 MW 年收入（Tokenomics 正向推導），期初可計費 MW 以 Q1 實際 OCI 年化校準；傳統事業四線依近四季年增率；共識未揭露 MW 與單價假設"&amp;"）"),"營收 vs 共識 "&amp;IF(F44&lt;0,"−","+")&amp;TEXT(ABS(F44)*100,"#,##0.0")&amp;"%"&amp;"：觀點（"&amp;"OCI 營收＝在役 MW × 每 MW 年收入（Tokenomics 正向推導），期初可計費 MW 以 Q1 實際 OCI 年化校準；傳統事業四線依近四季年增率；共識未揭露 MW 與單價假設"&amp;"）"),""),"")</f>
        <v/>
      </c>
      <c r="G90" s="42" t="str">
        <f aca="false">IF(ISNUMBER(G44),IF(ABS(G44)&gt;輸入與假設!$C$333,IF(ISNUMBER(G85),IF(ABS(G86)&gt;ABS(G85),"營收 vs 共識 "&amp;IF(G44&lt;0,"−","+")&amp;TEXT(ABS(G44)*100,"#,##0.0")&amp;"%"&amp;"：拆法（分配 "&amp;IF(G86&lt;0,"−","+")&amp;IF(ABS(G86)&lt;0,"−","")&amp;"$"&amp;TEXT(ABS(ABS(G86)),"#,##0.000")&amp;"bn"&amp;"（Q2 FY28 占 FY28 "&amp;TEXT((G22/損益!D9)*100,"#,##0.0")&amp;"%"&amp;"，共識合計 "&amp;TEXT(((G34)/G84)*100,"#,##0.0")&amp;"%"&amp;"）；水準 "&amp;IF(G85&lt;0,"−","+")&amp;IF(ABS(G85)&lt;0,"−","")&amp;"$"&amp;TEXT(ABS(ABS(G85)),"#,##0.000")&amp;"bn"&amp;"）","營收 vs 共識 "&amp;IF(G44&lt;0,"−","+")&amp;TEXT(ABS(G44)*100,"#,##0.0")&amp;"%"&amp;"：觀點（水準 "&amp;IF(G85&lt;0,"−","+")&amp;IF(ABS(G85)&lt;0,"−","")&amp;"$"&amp;TEXT(ABS(ABS(G85)),"#,##0.000")&amp;"bn"&amp;"（FY28 模型 "&amp;IF(損益!D9&lt;0,"−","")&amp;"$"&amp;TEXT(ABS(損益!D9),"#,##0.000")&amp;"bn"&amp;"，共識合計 "&amp;IF(G84&lt;0,"−","")&amp;"$"&amp;TEXT(ABS(G84),"#,##0.000")&amp;"bn"&amp;"）；分配 "&amp;IF(G86&lt;0,"−","+")&amp;IF(ABS(G86)&lt;0,"−","")&amp;"$"&amp;TEXT(ABS(ABS(G86)),"#,##0.000")&amp;"bn"&amp;"；"&amp;"OCI 營收＝在役 MW × 每 MW 年收入（Tokenomics 正向推導），期初可計費 MW 以 Q1 實際 OCI 年化校準；傳統事業四線依近四季年增率；共識未揭露 MW 與單價假設"&amp;"）"),"營收 vs 共識 "&amp;IF(G44&lt;0,"−","+")&amp;TEXT(ABS(G44)*100,"#,##0.0")&amp;"%"&amp;"：觀點（"&amp;"OCI 營收＝在役 MW × 每 MW 年收入（Tokenomics 正向推導），期初可計費 MW 以 Q1 實際 OCI 年化校準；傳統事業四線依近四季年增率；共識未揭露 MW 與單價假設"&amp;"）"),""),"")</f>
        <v/>
      </c>
      <c r="H90" s="42" t="str">
        <f aca="false">IF(ISNUMBER(H44),IF(ABS(H44)&gt;輸入與假設!$C$333,IF(ISNUMBER(H85),IF(ABS(H86)&gt;ABS(H85),"營收 vs 共識 "&amp;IF(H44&lt;0,"−","+")&amp;TEXT(ABS(H44)*100,"#,##0.0")&amp;"%"&amp;"：拆法（分配 "&amp;IF(H86&lt;0,"−","+")&amp;IF(ABS(H86)&lt;0,"−","")&amp;"$"&amp;TEXT(ABS(ABS(H86)),"#,##0.000")&amp;"bn"&amp;"（Q3 FY28 占 FY28 "&amp;TEXT((H22/損益!D9)*100,"#,##0.0")&amp;"%"&amp;"，共識合計 "&amp;TEXT(((H34)/H84)*100,"#,##0.0")&amp;"%"&amp;"）；水準 "&amp;IF(H85&lt;0,"−","+")&amp;IF(ABS(H85)&lt;0,"−","")&amp;"$"&amp;TEXT(ABS(ABS(H85)),"#,##0.000")&amp;"bn"&amp;"）","營收 vs 共識 "&amp;IF(H44&lt;0,"−","+")&amp;TEXT(ABS(H44)*100,"#,##0.0")&amp;"%"&amp;"：觀點（水準 "&amp;IF(H85&lt;0,"−","+")&amp;IF(ABS(H85)&lt;0,"−","")&amp;"$"&amp;TEXT(ABS(ABS(H85)),"#,##0.000")&amp;"bn"&amp;"（FY28 模型 "&amp;IF(損益!D9&lt;0,"−","")&amp;"$"&amp;TEXT(ABS(損益!D9),"#,##0.000")&amp;"bn"&amp;"，共識合計 "&amp;IF(H84&lt;0,"−","")&amp;"$"&amp;TEXT(ABS(H84),"#,##0.000")&amp;"bn"&amp;"）；分配 "&amp;IF(H86&lt;0,"−","+")&amp;IF(ABS(H86)&lt;0,"−","")&amp;"$"&amp;TEXT(ABS(ABS(H86)),"#,##0.000")&amp;"bn"&amp;"；"&amp;"OCI 營收＝在役 MW × 每 MW 年收入（Tokenomics 正向推導），期初可計費 MW 以 Q1 實際 OCI 年化校準；傳統事業四線依近四季年增率；共識未揭露 MW 與單價假設"&amp;"）"),"營收 vs 共識 "&amp;IF(H44&lt;0,"−","+")&amp;TEXT(ABS(H44)*100,"#,##0.0")&amp;"%"&amp;"：觀點（"&amp;"OCI 營收＝在役 MW × 每 MW 年收入（Tokenomics 正向推導），期初可計費 MW 以 Q1 實際 OCI 年化校準；傳統事業四線依近四季年增率；共識未揭露 MW 與單價假設"&amp;"）"),""),"")</f>
        <v/>
      </c>
    </row>
    <row r="91" customFormat="false" ht="15" hidden="true" customHeight="false" outlineLevel="1" collapsed="false">
      <c r="A91" s="3" t="s">
        <v>1033</v>
      </c>
      <c r="C91" s="42" t="str">
        <f aca="false">IF(ISNUMBER(C44),IF(ABS(C44)&gt;輸入與假設!$C$333,IF(ISNUMBER(C85),IF(ABS(C86)&gt;ABS(C85),"拆法","觀點"),"觀點"),""),"")</f>
        <v/>
      </c>
      <c r="D91" s="42" t="str">
        <f aca="false">IF(ISNUMBER(D44),IF(ABS(D44)&gt;輸入與假設!$C$333,IF(ISNUMBER(D85),IF(ABS(D86)&gt;ABS(D85),"拆法","觀點"),"觀點"),""),"")</f>
        <v/>
      </c>
      <c r="E91" s="42" t="str">
        <f aca="false">IF(ISNUMBER(E44),IF(ABS(E44)&gt;輸入與假設!$C$333,IF(ISNUMBER(E85),IF(ABS(E86)&gt;ABS(E85),"拆法","觀點"),"觀點"),""),"")</f>
        <v/>
      </c>
      <c r="F91" s="42" t="str">
        <f aca="false">IF(ISNUMBER(F44),IF(ABS(F44)&gt;輸入與假設!$C$333,IF(ISNUMBER(F85),IF(ABS(F86)&gt;ABS(F85),"拆法","觀點"),"觀點"),""),"")</f>
        <v/>
      </c>
      <c r="G91" s="42" t="str">
        <f aca="false">IF(ISNUMBER(G44),IF(ABS(G44)&gt;輸入與假設!$C$333,IF(ISNUMBER(G85),IF(ABS(G86)&gt;ABS(G85),"拆法","觀點"),"觀點"),""),"")</f>
        <v/>
      </c>
      <c r="H91" s="42" t="str">
        <f aca="false">IF(ISNUMBER(H44),IF(ABS(H44)&gt;輸入與假設!$C$333,IF(ISNUMBER(H85),IF(ABS(H86)&gt;ABS(H85),"拆法","觀點"),"觀點"),""),"")</f>
        <v/>
      </c>
    </row>
    <row r="92" customFormat="false" ht="15" hidden="true" customHeight="false" outlineLevel="1" collapsed="false">
      <c r="A92" s="3" t="s">
        <v>1034</v>
      </c>
      <c r="C92" s="42" t="str">
        <f aca="false">IF(ISNUMBER(C45),IF(OR(ABS(C45)&gt;輸入與假設!$C$333,C22&gt;C32,C22&lt;C31),IF(ISNUMBER(C88),IF(ABS(C89)&gt;ABS(C88),"營收 vs 指引中點 "&amp;IF(C45&lt;0,"−","+")&amp;TEXT(ABS(C45)*100,"#,##0.0")&amp;"%"&amp;"：拆法（分配 "&amp;IF(C89&lt;0,"−","+")&amp;IF(ABS(C89)&lt;0,"−","")&amp;"$"&amp;TEXT(ABS(ABS(C89)),"#,##0.000")&amp;"bn"&amp;"（Q2 FY27 占 2Q–4Q27 "&amp;TEXT((C22/損益!C9)*100,"#,##0.0")&amp;"%"&amp;"，指引隱含 "&amp;TEXT(((((C31+C32)/2))/C87)*100,"#,##0.0")&amp;"%"&amp;"）；水準 "&amp;IF(C88&lt;0,"−","+")&amp;IF(ABS(C88)&lt;0,"−","")&amp;"$"&amp;TEXT(ABS(ABS(C88)),"#,##0.000")&amp;"bn"&amp;"）","營收 vs 指引中點 "&amp;IF(C45&lt;0,"−","+")&amp;TEXT(ABS(C45)*100,"#,##0.0")&amp;"%"&amp;"：觀點（水準 "&amp;IF(C88&lt;0,"−","+")&amp;IF(ABS(C88)&lt;0,"−","")&amp;"$"&amp;TEXT(ABS(ABS(C88)),"#,##0.000")&amp;"bn"&amp;"（2Q–4Q27 模型 "&amp;IF(損益!C9&lt;0,"−","")&amp;"$"&amp;TEXT(ABS(損益!C9),"#,##0.000")&amp;"bn"&amp;"，指引隱含 "&amp;IF(C87&lt;0,"−","")&amp;"$"&amp;TEXT(ABS(C87),"#,##0.000")&amp;"bn"&amp;"）；分配 "&amp;IF(C89&lt;0,"−","+")&amp;IF(ABS(C89)&lt;0,"−","")&amp;"$"&amp;TEXT(ABS(ABS(C89)),"#,##0.000")&amp;"bn"&amp;"；"&amp;"OCI 營收＝在役 MW × 每 MW 年收入（Tokenomics 正向推導），期初可計費 MW 以 Q1 實際 OCI 年化校準；傳統事業四線依近四季年增率；共識未揭露 MW 與單價假設"&amp;"）"),"營收 vs 指引中點 "&amp;IF(C45&lt;0,"−","+")&amp;TEXT(ABS(C45)*100,"#,##0.0")&amp;"%"&amp;"：觀點（"&amp;"OCI 營收＝在役 MW × 每 MW 年收入（Tokenomics 正向推導），期初可計費 MW 以 Q1 實際 OCI 年化校準；傳統事業四線依近四季年增率；共識未揭露 MW 與單價假設"&amp;"）"),""),"")</f>
        <v/>
      </c>
      <c r="D92" s="42" t="str">
        <f aca="false">IF(ISNUMBER(D45),IF(OR(ABS(D45)&gt;輸入與假設!$C$333,D22&gt;D32,D22&lt;D31),IF(ISNUMBER(D88),IF(ABS(D89)&gt;ABS(D88),"營收 vs 指引中點 "&amp;IF(D45&lt;0,"−","+")&amp;TEXT(ABS(D45)*100,"#,##0.0")&amp;"%"&amp;"：拆法（分配 "&amp;IF(D89&lt;0,"−","+")&amp;IF(ABS(D89)&lt;0,"−","")&amp;"$"&amp;TEXT(ABS(ABS(D89)),"#,##0.000")&amp;"bn"&amp;"（Q3 FY27 占 2Q–4Q27 "&amp;TEXT((D22/損益!C9)*100,"#,##0.0")&amp;"%"&amp;"，指引隱含 "&amp;TEXT(((((D31+D32)/2))/D87)*100,"#,##0.0")&amp;"%"&amp;"）；水準 "&amp;IF(D88&lt;0,"−","+")&amp;IF(ABS(D88)&lt;0,"−","")&amp;"$"&amp;TEXT(ABS(ABS(D88)),"#,##0.000")&amp;"bn"&amp;"）","營收 vs 指引中點 "&amp;IF(D45&lt;0,"−","+")&amp;TEXT(ABS(D45)*100,"#,##0.0")&amp;"%"&amp;"：觀點（水準 "&amp;IF(D88&lt;0,"−","+")&amp;IF(ABS(D88)&lt;0,"−","")&amp;"$"&amp;TEXT(ABS(ABS(D88)),"#,##0.000")&amp;"bn"&amp;"（2Q–4Q27 模型 "&amp;IF(損益!C9&lt;0,"−","")&amp;"$"&amp;TEXT(ABS(損益!C9),"#,##0.000")&amp;"bn"&amp;"，指引隱含 "&amp;IF(D87&lt;0,"−","")&amp;"$"&amp;TEXT(ABS(D87),"#,##0.000")&amp;"bn"&amp;"）；分配 "&amp;IF(D89&lt;0,"−","+")&amp;IF(ABS(D89)&lt;0,"−","")&amp;"$"&amp;TEXT(ABS(ABS(D89)),"#,##0.000")&amp;"bn"&amp;"；"&amp;"OCI 營收＝在役 MW × 每 MW 年收入（Tokenomics 正向推導），期初可計費 MW 以 Q1 實際 OCI 年化校準；傳統事業四線依近四季年增率；共識未揭露 MW 與單價假設"&amp;"）"),"營收 vs 指引中點 "&amp;IF(D45&lt;0,"−","+")&amp;TEXT(ABS(D45)*100,"#,##0.0")&amp;"%"&amp;"：觀點（"&amp;"OCI 營收＝在役 MW × 每 MW 年收入（Tokenomics 正向推導），期初可計費 MW 以 Q1 實際 OCI 年化校準；傳統事業四線依近四季年增率；共識未揭露 MW 與單價假設"&amp;"）"),""),"")</f>
        <v/>
      </c>
      <c r="E92" s="42" t="str">
        <f aca="false">IF(ISNUMBER(E45),IF(OR(ABS(E45)&gt;輸入與假設!$C$333,E22&gt;E32,E22&lt;E31),IF(ISNUMBER(E88),IF(ABS(E89)&gt;ABS(E88),"營收 vs 指引中點 "&amp;IF(E45&lt;0,"−","+")&amp;TEXT(ABS(E45)*100,"#,##0.0")&amp;"%"&amp;"：拆法（分配 "&amp;IF(E89&lt;0,"−","+")&amp;IF(ABS(E89)&lt;0,"−","")&amp;"$"&amp;TEXT(ABS(ABS(E89)),"#,##0.000")&amp;"bn"&amp;"（Q4 FY27 占 2Q–4Q27 "&amp;TEXT((E22/損益!C9)*100,"#,##0.0")&amp;"%"&amp;"，指引隱含 "&amp;TEXT(((((E31+E32)/2))/E87)*100,"#,##0.0")&amp;"%"&amp;"）；水準 "&amp;IF(E88&lt;0,"−","+")&amp;IF(ABS(E88)&lt;0,"−","")&amp;"$"&amp;TEXT(ABS(ABS(E88)),"#,##0.000")&amp;"bn"&amp;"）","營收 vs 指引中點 "&amp;IF(E45&lt;0,"−","+")&amp;TEXT(ABS(E45)*100,"#,##0.0")&amp;"%"&amp;"：觀點（水準 "&amp;IF(E88&lt;0,"−","+")&amp;IF(ABS(E88)&lt;0,"−","")&amp;"$"&amp;TEXT(ABS(ABS(E88)),"#,##0.000")&amp;"bn"&amp;"（2Q–4Q27 模型 "&amp;IF(損益!C9&lt;0,"−","")&amp;"$"&amp;TEXT(ABS(損益!C9),"#,##0.000")&amp;"bn"&amp;"，指引隱含 "&amp;IF(E87&lt;0,"−","")&amp;"$"&amp;TEXT(ABS(E87),"#,##0.000")&amp;"bn"&amp;"）；分配 "&amp;IF(E89&lt;0,"−","+")&amp;IF(ABS(E89)&lt;0,"−","")&amp;"$"&amp;TEXT(ABS(ABS(E89)),"#,##0.000")&amp;"bn"&amp;"；"&amp;"OCI 營收＝在役 MW × 每 MW 年收入（Tokenomics 正向推導），期初可計費 MW 以 Q1 實際 OCI 年化校準；傳統事業四線依近四季年增率；共識未揭露 MW 與單價假設"&amp;"）"),"營收 vs 指引中點 "&amp;IF(E45&lt;0,"−","+")&amp;TEXT(ABS(E45)*100,"#,##0.0")&amp;"%"&amp;"：觀點（"&amp;"OCI 營收＝在役 MW × 每 MW 年收入（Tokenomics 正向推導），期初可計費 MW 以 Q1 實際 OCI 年化校準；傳統事業四線依近四季年增率；共識未揭露 MW 與單價假設"&amp;"）"),""),"")</f>
        <v/>
      </c>
      <c r="F92" s="42" t="str">
        <f aca="false">IF(ISNUMBER(F45),IF(OR(ABS(F45)&gt;輸入與假設!$C$333,F22&gt;F32,F22&lt;F31),IF(ISNUMBER(F88),IF(ABS(F89)&gt;ABS(F88),"營收 vs 指引中點 "&amp;IF(F45&lt;0,"−","+")&amp;TEXT(ABS(F45)*100,"#,##0.0")&amp;"%"&amp;"：拆法（分配 "&amp;IF(F89&lt;0,"−","+")&amp;IF(ABS(F89)&lt;0,"−","")&amp;"$"&amp;TEXT(ABS(ABS(F89)),"#,##0.000")&amp;"bn"&amp;"（Q1 FY28 占 FY28 "&amp;TEXT((F22/損益!D9)*100,"#,##0.0")&amp;"%"&amp;"，指引隱含 "&amp;TEXT(((((F31+F32)/2))/F87)*100,"#,##0.0")&amp;"%"&amp;"）；水準 "&amp;IF(F88&lt;0,"−","+")&amp;IF(ABS(F88)&lt;0,"−","")&amp;"$"&amp;TEXT(ABS(ABS(F88)),"#,##0.000")&amp;"bn"&amp;"）","營收 vs 指引中點 "&amp;IF(F45&lt;0,"−","+")&amp;TEXT(ABS(F45)*100,"#,##0.0")&amp;"%"&amp;"：觀點（水準 "&amp;IF(F88&lt;0,"−","+")&amp;IF(ABS(F88)&lt;0,"−","")&amp;"$"&amp;TEXT(ABS(ABS(F88)),"#,##0.000")&amp;"bn"&amp;"（FY28 模型 "&amp;IF(損益!D9&lt;0,"−","")&amp;"$"&amp;TEXT(ABS(損益!D9),"#,##0.000")&amp;"bn"&amp;"，指引隱含 "&amp;IF(F87&lt;0,"−","")&amp;"$"&amp;TEXT(ABS(F87),"#,##0.000")&amp;"bn"&amp;"）；分配 "&amp;IF(F89&lt;0,"−","+")&amp;IF(ABS(F89)&lt;0,"−","")&amp;"$"&amp;TEXT(ABS(ABS(F89)),"#,##0.000")&amp;"bn"&amp;"；"&amp;"OCI 營收＝在役 MW × 每 MW 年收入（Tokenomics 正向推導），期初可計費 MW 以 Q1 實際 OCI 年化校準；傳統事業四線依近四季年增率；共識未揭露 MW 與單價假設"&amp;"）"),"營收 vs 指引中點 "&amp;IF(F45&lt;0,"−","+")&amp;TEXT(ABS(F45)*100,"#,##0.0")&amp;"%"&amp;"：觀點（"&amp;"OCI 營收＝在役 MW × 每 MW 年收入（Tokenomics 正向推導），期初可計費 MW 以 Q1 實際 OCI 年化校準；傳統事業四線依近四季年增率；共識未揭露 MW 與單價假設"&amp;"）"),""),"")</f>
        <v/>
      </c>
      <c r="G92" s="42" t="str">
        <f aca="false">IF(ISNUMBER(G45),IF(OR(ABS(G45)&gt;輸入與假設!$C$333,G22&gt;G32,G22&lt;G31),IF(ISNUMBER(G88),IF(ABS(G89)&gt;ABS(G88),"營收 vs 指引中點 "&amp;IF(G45&lt;0,"−","+")&amp;TEXT(ABS(G45)*100,"#,##0.0")&amp;"%"&amp;"：拆法（分配 "&amp;IF(G89&lt;0,"−","+")&amp;IF(ABS(G89)&lt;0,"−","")&amp;"$"&amp;TEXT(ABS(ABS(G89)),"#,##0.000")&amp;"bn"&amp;"（Q2 FY28 占 FY28 "&amp;TEXT((G22/損益!D9)*100,"#,##0.0")&amp;"%"&amp;"，指引隱含 "&amp;TEXT(((((G31+G32)/2))/G87)*100,"#,##0.0")&amp;"%"&amp;"）；水準 "&amp;IF(G88&lt;0,"−","+")&amp;IF(ABS(G88)&lt;0,"−","")&amp;"$"&amp;TEXT(ABS(ABS(G88)),"#,##0.000")&amp;"bn"&amp;"）","營收 vs 指引中點 "&amp;IF(G45&lt;0,"−","+")&amp;TEXT(ABS(G45)*100,"#,##0.0")&amp;"%"&amp;"：觀點（水準 "&amp;IF(G88&lt;0,"−","+")&amp;IF(ABS(G88)&lt;0,"−","")&amp;"$"&amp;TEXT(ABS(ABS(G88)),"#,##0.000")&amp;"bn"&amp;"（FY28 模型 "&amp;IF(損益!D9&lt;0,"−","")&amp;"$"&amp;TEXT(ABS(損益!D9),"#,##0.000")&amp;"bn"&amp;"，指引隱含 "&amp;IF(G87&lt;0,"−","")&amp;"$"&amp;TEXT(ABS(G87),"#,##0.000")&amp;"bn"&amp;"）；分配 "&amp;IF(G89&lt;0,"−","+")&amp;IF(ABS(G89)&lt;0,"−","")&amp;"$"&amp;TEXT(ABS(ABS(G89)),"#,##0.000")&amp;"bn"&amp;"；"&amp;"OCI 營收＝在役 MW × 每 MW 年收入（Tokenomics 正向推導），期初可計費 MW 以 Q1 實際 OCI 年化校準；傳統事業四線依近四季年增率；共識未揭露 MW 與單價假設"&amp;"）"),"營收 vs 指引中點 "&amp;IF(G45&lt;0,"−","+")&amp;TEXT(ABS(G45)*100,"#,##0.0")&amp;"%"&amp;"：觀點（"&amp;"OCI 營收＝在役 MW × 每 MW 年收入（Tokenomics 正向推導），期初可計費 MW 以 Q1 實際 OCI 年化校準；傳統事業四線依近四季年增率；共識未揭露 MW 與單價假設"&amp;"）"),""),"")</f>
        <v/>
      </c>
      <c r="H92" s="42" t="str">
        <f aca="false">IF(ISNUMBER(H45),IF(OR(ABS(H45)&gt;輸入與假設!$C$333,H22&gt;H32,H22&lt;H31),IF(ISNUMBER(H88),IF(ABS(H89)&gt;ABS(H88),"營收 vs 指引中點 "&amp;IF(H45&lt;0,"−","+")&amp;TEXT(ABS(H45)*100,"#,##0.0")&amp;"%"&amp;"：拆法（分配 "&amp;IF(H89&lt;0,"−","+")&amp;IF(ABS(H89)&lt;0,"−","")&amp;"$"&amp;TEXT(ABS(ABS(H89)),"#,##0.000")&amp;"bn"&amp;"（Q3 FY28 占 FY28 "&amp;TEXT((H22/損益!D9)*100,"#,##0.0")&amp;"%"&amp;"，指引隱含 "&amp;TEXT(((((H31+H32)/2))/H87)*100,"#,##0.0")&amp;"%"&amp;"）；水準 "&amp;IF(H88&lt;0,"−","+")&amp;IF(ABS(H88)&lt;0,"−","")&amp;"$"&amp;TEXT(ABS(ABS(H88)),"#,##0.000")&amp;"bn"&amp;"）","營收 vs 指引中點 "&amp;IF(H45&lt;0,"−","+")&amp;TEXT(ABS(H45)*100,"#,##0.0")&amp;"%"&amp;"：觀點（水準 "&amp;IF(H88&lt;0,"−","+")&amp;IF(ABS(H88)&lt;0,"−","")&amp;"$"&amp;TEXT(ABS(ABS(H88)),"#,##0.000")&amp;"bn"&amp;"（FY28 模型 "&amp;IF(損益!D9&lt;0,"−","")&amp;"$"&amp;TEXT(ABS(損益!D9),"#,##0.000")&amp;"bn"&amp;"，指引隱含 "&amp;IF(H87&lt;0,"−","")&amp;"$"&amp;TEXT(ABS(H87),"#,##0.000")&amp;"bn"&amp;"）；分配 "&amp;IF(H89&lt;0,"−","+")&amp;IF(ABS(H89)&lt;0,"−","")&amp;"$"&amp;TEXT(ABS(ABS(H89)),"#,##0.000")&amp;"bn"&amp;"；"&amp;"OCI 營收＝在役 MW × 每 MW 年收入（Tokenomics 正向推導），期初可計費 MW 以 Q1 實際 OCI 年化校準；傳統事業四線依近四季年增率；共識未揭露 MW 與單價假設"&amp;"）"),"營收 vs 指引中點 "&amp;IF(H45&lt;0,"−","+")&amp;TEXT(ABS(H45)*100,"#,##0.0")&amp;"%"&amp;"：觀點（"&amp;"OCI 營收＝在役 MW × 每 MW 年收入（Tokenomics 正向推導），期初可計費 MW 以 Q1 實際 OCI 年化校準；傳統事業四線依近四季年增率；共識未揭露 MW 與單價假設"&amp;"）"),""),"")</f>
        <v/>
      </c>
    </row>
    <row r="93" customFormat="false" ht="15" hidden="true" customHeight="false" outlineLevel="1" collapsed="false">
      <c r="A93" s="3" t="s">
        <v>1035</v>
      </c>
      <c r="C93" s="42" t="str">
        <f aca="false">IF(ISNUMBER(C45),IF(OR(ABS(C45)&gt;輸入與假設!$C$333,C22&gt;C32,C22&lt;C31),IF(ISNUMBER(C88),IF(ABS(C89)&gt;ABS(C88),"拆法","觀點"),"觀點"),""),"")</f>
        <v/>
      </c>
      <c r="D93" s="42" t="str">
        <f aca="false">IF(ISNUMBER(D45),IF(OR(ABS(D45)&gt;輸入與假設!$C$333,D22&gt;D32,D22&lt;D31),IF(ISNUMBER(D88),IF(ABS(D89)&gt;ABS(D88),"拆法","觀點"),"觀點"),""),"")</f>
        <v/>
      </c>
      <c r="E93" s="42" t="str">
        <f aca="false">IF(ISNUMBER(E45),IF(OR(ABS(E45)&gt;輸入與假設!$C$333,E22&gt;E32,E22&lt;E31),IF(ISNUMBER(E88),IF(ABS(E89)&gt;ABS(E88),"拆法","觀點"),"觀點"),""),"")</f>
        <v/>
      </c>
      <c r="F93" s="42" t="str">
        <f aca="false">IF(ISNUMBER(F45),IF(OR(ABS(F45)&gt;輸入與假設!$C$333,F22&gt;F32,F22&lt;F31),IF(ISNUMBER(F88),IF(ABS(F89)&gt;ABS(F88),"拆法","觀點"),"觀點"),""),"")</f>
        <v/>
      </c>
      <c r="G93" s="42" t="str">
        <f aca="false">IF(ISNUMBER(G45),IF(OR(ABS(G45)&gt;輸入與假設!$C$333,G22&gt;G32,G22&lt;G31),IF(ISNUMBER(G88),IF(ABS(G89)&gt;ABS(G88),"拆法","觀點"),"觀點"),""),"")</f>
        <v/>
      </c>
      <c r="H93" s="42" t="str">
        <f aca="false">IF(ISNUMBER(H45),IF(OR(ABS(H45)&gt;輸入與假設!$C$333,H22&gt;H32,H22&lt;H31),IF(ISNUMBER(H88),IF(ABS(H89)&gt;ABS(H88),"拆法","觀點"),"觀點"),""),"")</f>
        <v/>
      </c>
    </row>
    <row r="94" customFormat="false" ht="15" hidden="true" customHeight="false" outlineLevel="1" collapsed="false">
      <c r="A94" s="3" t="s">
        <v>1036</v>
      </c>
      <c r="C94" s="42" t="str">
        <f aca="false">IF(ISNUMBER(C46),IF(ABS(C46)&gt;輸入與假設!$C$333,"營收 實際 vs 模型 "&amp;IF(C46&lt;0,"−","+")&amp;TEXT(ABS(C46)*100,"#,##0.0")&amp;"%"&amp;"：觀點（"&amp;"OCI 營收＝在役 MW × 每 MW 年收入（Tokenomics 正向推導），期初可計費 MW 以 Q1 實際 OCI 年化校準；傳統事業四線依近四季年增率；共識未揭露 MW 與單價假設"&amp;"）",""),"")</f>
        <v/>
      </c>
      <c r="D94" s="42" t="str">
        <f aca="false">IF(ISNUMBER(D46),IF(ABS(D46)&gt;輸入與假設!$C$333,"營收 實際 vs 模型 "&amp;IF(D46&lt;0,"−","+")&amp;TEXT(ABS(D46)*100,"#,##0.0")&amp;"%"&amp;"：觀點（"&amp;"OCI 營收＝在役 MW × 每 MW 年收入（Tokenomics 正向推導），期初可計費 MW 以 Q1 實際 OCI 年化校準；傳統事業四線依近四季年增率；共識未揭露 MW 與單價假設"&amp;"）",""),"")</f>
        <v/>
      </c>
      <c r="E94" s="42" t="str">
        <f aca="false">IF(ISNUMBER(E46),IF(ABS(E46)&gt;輸入與假設!$C$333,"營收 實際 vs 模型 "&amp;IF(E46&lt;0,"−","+")&amp;TEXT(ABS(E46)*100,"#,##0.0")&amp;"%"&amp;"：觀點（"&amp;"OCI 營收＝在役 MW × 每 MW 年收入（Tokenomics 正向推導），期初可計費 MW 以 Q1 實際 OCI 年化校準；傳統事業四線依近四季年增率；共識未揭露 MW 與單價假設"&amp;"）",""),"")</f>
        <v/>
      </c>
      <c r="F94" s="42" t="str">
        <f aca="false">IF(ISNUMBER(F46),IF(ABS(F46)&gt;輸入與假設!$C$333,"營收 實際 vs 模型 "&amp;IF(F46&lt;0,"−","+")&amp;TEXT(ABS(F46)*100,"#,##0.0")&amp;"%"&amp;"：觀點（"&amp;"OCI 營收＝在役 MW × 每 MW 年收入（Tokenomics 正向推導），期初可計費 MW 以 Q1 實際 OCI 年化校準；傳統事業四線依近四季年增率；共識未揭露 MW 與單價假設"&amp;"）",""),"")</f>
        <v/>
      </c>
      <c r="G94" s="42" t="str">
        <f aca="false">IF(ISNUMBER(G46),IF(ABS(G46)&gt;輸入與假設!$C$333,"營收 實際 vs 模型 "&amp;IF(G46&lt;0,"−","+")&amp;TEXT(ABS(G46)*100,"#,##0.0")&amp;"%"&amp;"：觀點（"&amp;"OCI 營收＝在役 MW × 每 MW 年收入（Tokenomics 正向推導），期初可計費 MW 以 Q1 實際 OCI 年化校準；傳統事業四線依近四季年增率；共識未揭露 MW 與單價假設"&amp;"）",""),"")</f>
        <v/>
      </c>
      <c r="H94" s="42" t="str">
        <f aca="false">IF(ISNUMBER(H46),IF(ABS(H46)&gt;輸入與假設!$C$333,"營收 實際 vs 模型 "&amp;IF(H46&lt;0,"−","+")&amp;TEXT(ABS(H46)*100,"#,##0.0")&amp;"%"&amp;"：觀點（"&amp;"OCI 營收＝在役 MW × 每 MW 年收入（Tokenomics 正向推導），期初可計費 MW 以 Q1 實際 OCI 年化校準；傳統事業四線依近四季年增率；共識未揭露 MW 與單價假設"&amp;"）",""),"")</f>
        <v/>
      </c>
    </row>
    <row r="95" customFormat="false" ht="15" hidden="true" customHeight="false" outlineLevel="1" collapsed="false">
      <c r="A95" s="3" t="s">
        <v>1037</v>
      </c>
      <c r="C95" s="42" t="str">
        <f aca="false">IF(ISNUMBER(C46),IF(ABS(C46)&gt;輸入與假設!$C$333,"觀點",""),"")</f>
        <v/>
      </c>
      <c r="D95" s="42" t="str">
        <f aca="false">IF(ISNUMBER(D46),IF(ABS(D46)&gt;輸入與假設!$C$333,"觀點",""),"")</f>
        <v/>
      </c>
      <c r="E95" s="42" t="str">
        <f aca="false">IF(ISNUMBER(E46),IF(ABS(E46)&gt;輸入與假設!$C$333,"觀點",""),"")</f>
        <v/>
      </c>
      <c r="F95" s="42" t="str">
        <f aca="false">IF(ISNUMBER(F46),IF(ABS(F46)&gt;輸入與假設!$C$333,"觀點",""),"")</f>
        <v/>
      </c>
      <c r="G95" s="42" t="str">
        <f aca="false">IF(ISNUMBER(G46),IF(ABS(G46)&gt;輸入與假設!$C$333,"觀點",""),"")</f>
        <v/>
      </c>
      <c r="H95" s="42" t="str">
        <f aca="false">IF(ISNUMBER(H46),IF(ABS(H46)&gt;輸入與假設!$C$333,"觀點",""),"")</f>
        <v/>
      </c>
    </row>
    <row r="96" customFormat="false" ht="15" hidden="true" customHeight="false" outlineLevel="1" collapsed="false">
      <c r="A96" s="3" t="s">
        <v>1038</v>
      </c>
      <c r="B96" s="11" t="s">
        <v>59</v>
      </c>
      <c r="C96" s="62" t="str">
        <f aca="false">IF(COUNT(C35,D35,E35)=3,C35+D35+E35,"不適用")</f>
        <v>不適用</v>
      </c>
      <c r="D96" s="62" t="str">
        <f aca="false">IF(COUNT(C35,D35,E35)=3,C35+D35+E35,"不適用")</f>
        <v>不適用</v>
      </c>
      <c r="E96" s="62" t="str">
        <f aca="false">IF(COUNT(C35,D35,E35)=3,C35+D35+E35,"不適用")</f>
        <v>不適用</v>
      </c>
      <c r="F96" s="62" t="str">
        <f aca="false">IF(COUNT(F35,G35,H35)=3,F35+G35+H35,"不適用")</f>
        <v>不適用</v>
      </c>
      <c r="G96" s="62" t="str">
        <f aca="false">IF(COUNT(F35,G35,H35)=3,F35+G35+H35,"不適用")</f>
        <v>不適用</v>
      </c>
      <c r="H96" s="62" t="str">
        <f aca="false">IF(COUNT(F35,G35,H35)=3,F35+G35+H35,"不適用")</f>
        <v>不適用</v>
      </c>
      <c r="J96" s="6" t="s">
        <v>1023</v>
      </c>
    </row>
    <row r="97" customFormat="false" ht="15" hidden="true" customHeight="false" outlineLevel="1" collapsed="false">
      <c r="A97" s="3" t="s">
        <v>1039</v>
      </c>
      <c r="B97" s="11" t="s">
        <v>59</v>
      </c>
      <c r="C97" s="62" t="str">
        <f aca="false">IF(AND(ISNUMBER(C96),C96&lt;&gt;0,ISNUMBER(C35),ISNUMBER(C28)),(損益!C22-C96)*(C35)/C96,"不適用")</f>
        <v>不適用</v>
      </c>
      <c r="D97" s="62" t="str">
        <f aca="false">IF(AND(ISNUMBER(D96),D96&lt;&gt;0,ISNUMBER(D35),ISNUMBER(D28)),(損益!C22-D96)*(D35)/D96,"不適用")</f>
        <v>不適用</v>
      </c>
      <c r="E97" s="62" t="str">
        <f aca="false">IF(AND(ISNUMBER(E96),E96&lt;&gt;0,ISNUMBER(E35),ISNUMBER(E28)),(損益!C22-E96)*(E35)/E96,"不適用")</f>
        <v>不適用</v>
      </c>
      <c r="F97" s="62" t="str">
        <f aca="false">IF(AND(ISNUMBER(F96),F96&lt;&gt;0,ISNUMBER(F35),ISNUMBER(F28)),(損益!D22-F96)*(F35)/F96,"不適用")</f>
        <v>不適用</v>
      </c>
      <c r="G97" s="62" t="str">
        <f aca="false">IF(AND(ISNUMBER(G96),G96&lt;&gt;0,ISNUMBER(G35),ISNUMBER(G28)),(損益!D22-G96)*(G35)/G96,"不適用")</f>
        <v>不適用</v>
      </c>
      <c r="H97" s="62" t="str">
        <f aca="false">IF(AND(ISNUMBER(H96),H96&lt;&gt;0,ISNUMBER(H35),ISNUMBER(H28)),(損益!D22-H96)*(H35)/H96,"不適用")</f>
        <v>不適用</v>
      </c>
      <c r="J97" s="11" t="s">
        <v>1025</v>
      </c>
    </row>
    <row r="98" customFormat="false" ht="15" hidden="true" customHeight="false" outlineLevel="1" collapsed="false">
      <c r="A98" s="3" t="s">
        <v>1040</v>
      </c>
      <c r="B98" s="11" t="s">
        <v>59</v>
      </c>
      <c r="C98" s="62" t="str">
        <f aca="false">IF(AND(ISNUMBER(C96),C96&lt;&gt;0,ISNUMBER(C35),ISNUMBER(C28)),(C28/損益!C22-(C35)/C96)*損益!C22,"不適用")</f>
        <v>不適用</v>
      </c>
      <c r="D98" s="62" t="str">
        <f aca="false">IF(AND(ISNUMBER(D96),D96&lt;&gt;0,ISNUMBER(D35),ISNUMBER(D28)),(D28/損益!C22-(D35)/D96)*損益!C22,"不適用")</f>
        <v>不適用</v>
      </c>
      <c r="E98" s="62" t="str">
        <f aca="false">IF(AND(ISNUMBER(E96),E96&lt;&gt;0,ISNUMBER(E35),ISNUMBER(E28)),(E28/損益!C22-(E35)/E96)*損益!C22,"不適用")</f>
        <v>不適用</v>
      </c>
      <c r="F98" s="62" t="str">
        <f aca="false">IF(AND(ISNUMBER(F96),F96&lt;&gt;0,ISNUMBER(F35),ISNUMBER(F28)),(F28/損益!D22-(F35)/F96)*損益!D22,"不適用")</f>
        <v>不適用</v>
      </c>
      <c r="G98" s="62" t="str">
        <f aca="false">IF(AND(ISNUMBER(G96),G96&lt;&gt;0,ISNUMBER(G35),ISNUMBER(G28)),(G28/損益!D22-(G35)/G96)*損益!D22,"不適用")</f>
        <v>不適用</v>
      </c>
      <c r="H98" s="62" t="str">
        <f aca="false">IF(AND(ISNUMBER(H96),H96&lt;&gt;0,ISNUMBER(H35),ISNUMBER(H28)),(H28/損益!D22-(H35)/H96)*損益!D22,"不適用")</f>
        <v>不適用</v>
      </c>
      <c r="J98" s="11" t="s">
        <v>1027</v>
      </c>
    </row>
    <row r="99" customFormat="false" ht="15" hidden="true" customHeight="false" outlineLevel="1" collapsed="false">
      <c r="A99" s="3" t="s">
        <v>1041</v>
      </c>
      <c r="C99" s="42" t="str">
        <f aca="false">IF(ISNUMBER(C49),IF(IF(ISNUMBER(C54),ABS(C54)&gt;輸入與假設!$C$334,OR(AND(C35&lt;&gt;0,ABS(C49)&gt;輸入與假設!$C$333*ABS(C35)),AND(C35=0,C49&lt;&gt;0))),IF(ISNUMBER(C97),IF(ABS(C98)&gt;ABS(C97),"調整後 EBITDA vs 共識 "&amp;IF(C49&lt;0,"−","+")&amp;IF(ABS(C49)&lt;0,"−","")&amp;"$"&amp;TEXT(ABS(ABS(C49)),"#,##0.00")&amp;"bn"&amp;IF(ISNUMBER(C54),"／"&amp;IF(C54&lt;0,"−","+")&amp;TEXT(ABS(C54)*100,"#,##0.0")&amp;"pt","")&amp;"：拆法（分配 "&amp;IF(C98&lt;0,"−","+")&amp;IF(ABS(C98)&lt;0,"−","")&amp;"$"&amp;TEXT(ABS(ABS(C98)),"#,##0.000")&amp;"bn"&amp;"（Q2 FY27 占 2Q–4Q27 "&amp;TEXT((C28/損益!C22)*100,"#,##0.0")&amp;"%"&amp;"，共識合計 "&amp;TEXT(((C35)/C96)*100,"#,##0.0")&amp;"%"&amp;"）；水準 "&amp;IF(C97&lt;0,"−","+")&amp;IF(ABS(C97)&lt;0,"−","")&amp;"$"&amp;TEXT(ABS(ABS(C97)),"#,##0.000")&amp;"bn"&amp;"）","調整後 EBITDA vs 共識 "&amp;IF(C49&lt;0,"−","+")&amp;IF(ABS(C49)&lt;0,"−","")&amp;"$"&amp;TEXT(ABS(ABS(C49)),"#,##0.00")&amp;"bn"&amp;IF(ISNUMBER(C54),"／"&amp;IF(C54&lt;0,"−","+")&amp;TEXT(ABS(C54)*100,"#,##0.0")&amp;"pt","")&amp;"：觀點（水準 "&amp;IF(C97&lt;0,"−","+")&amp;IF(ABS(C97)&lt;0,"−","")&amp;"$"&amp;TEXT(ABS(ABS(C97)),"#,##0.000")&amp;"bn"&amp;"（2Q–4Q27 模型 "&amp;IF(損益!C22&lt;0,"−","")&amp;"$"&amp;TEXT(ABS(損益!C22),"#,##0.000")&amp;"bn"&amp;"，共識合計 "&amp;IF(C96&lt;0,"−","")&amp;"$"&amp;TEXT(ABS(C96),"#,##0.000")&amp;"bn"&amp;"）；分配 "&amp;IF(C98&lt;0,"−","+")&amp;IF(ABS(C98)&lt;0,"−","")&amp;"$"&amp;TEXT(ABS(ABS(C98)),"#,##0.000")&amp;"bn"&amp;"；"&amp;"模型 EBITDA 率 "&amp;IF((C27)&lt;0,"−","")&amp;TEXT(ABS((C27))*100,"#,##0.0")&amp;"%"&amp;"；季度共識 EBITDA "&amp;IF((輸入與假設!$C$306)&lt;0,"−","")&amp;TEXT(ABS((輸入與假設!$C$306)),"#,##0.00")&amp;"、營收 "&amp;IF((輸入與假設!$C$305)&lt;0,"−","")&amp;TEXT(ABS((輸入與假設!$C$305)),"#,##0.00")&amp;"（共識 EBITDA＝非 GAAP 營業利益＋折舊）"&amp;"）"),"調整後 EBITDA vs 共識 "&amp;IF(C49&lt;0,"−","+")&amp;IF(ABS(C49)&lt;0,"−","")&amp;"$"&amp;TEXT(ABS(ABS(C49)),"#,##0.00")&amp;"bn"&amp;IF(ISNUMBER(C54),"／"&amp;IF(C54&lt;0,"−","+")&amp;TEXT(ABS(C54)*100,"#,##0.0")&amp;"pt","")&amp;"：觀點（"&amp;"模型 EBITDA 率 "&amp;IF((C27)&lt;0,"−","")&amp;TEXT(ABS((C27))*100,"#,##0.0")&amp;"%"&amp;"；季度共識 EBITDA "&amp;IF((輸入與假設!$C$306)&lt;0,"−","")&amp;TEXT(ABS((輸入與假設!$C$306)),"#,##0.00")&amp;"、營收 "&amp;IF((輸入與假設!$C$305)&lt;0,"−","")&amp;TEXT(ABS((輸入與假設!$C$305)),"#,##0.00")&amp;"（共識 EBITDA＝非 GAAP 營業利益＋折舊）"&amp;"）"),""),"")</f>
        <v/>
      </c>
      <c r="D99" s="42" t="str">
        <f aca="false">IF(ISNUMBER(D49),IF(IF(ISNUMBER(D54),ABS(D54)&gt;輸入與假設!$C$334,OR(AND(D35&lt;&gt;0,ABS(D49)&gt;輸入與假設!$C$333*ABS(D35)),AND(D35=0,D49&lt;&gt;0))),IF(ISNUMBER(D97),IF(ABS(D98)&gt;ABS(D97),"調整後 EBITDA vs 共識 "&amp;IF(D49&lt;0,"−","+")&amp;IF(ABS(D49)&lt;0,"−","")&amp;"$"&amp;TEXT(ABS(ABS(D49)),"#,##0.00")&amp;"bn"&amp;IF(ISNUMBER(D54),"／"&amp;IF(D54&lt;0,"−","+")&amp;TEXT(ABS(D54)*100,"#,##0.0")&amp;"pt","")&amp;"：拆法（分配 "&amp;IF(D98&lt;0,"−","+")&amp;IF(ABS(D98)&lt;0,"−","")&amp;"$"&amp;TEXT(ABS(ABS(D98)),"#,##0.000")&amp;"bn"&amp;"（Q3 FY27 占 2Q–4Q27 "&amp;TEXT((D28/損益!C22)*100,"#,##0.0")&amp;"%"&amp;"，共識合計 "&amp;TEXT(((D35)/D96)*100,"#,##0.0")&amp;"%"&amp;"）；水準 "&amp;IF(D97&lt;0,"−","+")&amp;IF(ABS(D97)&lt;0,"−","")&amp;"$"&amp;TEXT(ABS(ABS(D97)),"#,##0.000")&amp;"bn"&amp;"）","調整後 EBITDA vs 共識 "&amp;IF(D49&lt;0,"−","+")&amp;IF(ABS(D49)&lt;0,"−","")&amp;"$"&amp;TEXT(ABS(ABS(D49)),"#,##0.00")&amp;"bn"&amp;IF(ISNUMBER(D54),"／"&amp;IF(D54&lt;0,"−","+")&amp;TEXT(ABS(D54)*100,"#,##0.0")&amp;"pt","")&amp;"：觀點（水準 "&amp;IF(D97&lt;0,"−","+")&amp;IF(ABS(D97)&lt;0,"−","")&amp;"$"&amp;TEXT(ABS(ABS(D97)),"#,##0.000")&amp;"bn"&amp;"（2Q–4Q27 模型 "&amp;IF(損益!C22&lt;0,"−","")&amp;"$"&amp;TEXT(ABS(損益!C22),"#,##0.000")&amp;"bn"&amp;"，共識合計 "&amp;IF(D96&lt;0,"−","")&amp;"$"&amp;TEXT(ABS(D96),"#,##0.000")&amp;"bn"&amp;"）；分配 "&amp;IF(D98&lt;0,"−","+")&amp;IF(ABS(D98)&lt;0,"−","")&amp;"$"&amp;TEXT(ABS(ABS(D98)),"#,##0.000")&amp;"bn"&amp;"；"&amp;"模型 EBITDA 率 "&amp;IF((D27)&lt;0,"−","")&amp;TEXT(ABS((D27))*100,"#,##0.0")&amp;"%"&amp;"；季度共識 EBITDA "&amp;IF((輸入與假設!$D$306)&lt;0,"−","")&amp;TEXT(ABS((輸入與假設!$D$306)),"#,##0.00")&amp;"、營收 "&amp;IF((輸入與假設!$D$305)&lt;0,"−","")&amp;TEXT(ABS((輸入與假設!$D$305)),"#,##0.00")&amp;"（共識 EBITDA＝非 GAAP 營業利益＋折舊）"&amp;"）"),"調整後 EBITDA vs 共識 "&amp;IF(D49&lt;0,"−","+")&amp;IF(ABS(D49)&lt;0,"−","")&amp;"$"&amp;TEXT(ABS(ABS(D49)),"#,##0.00")&amp;"bn"&amp;IF(ISNUMBER(D54),"／"&amp;IF(D54&lt;0,"−","+")&amp;TEXT(ABS(D54)*100,"#,##0.0")&amp;"pt","")&amp;"：觀點（"&amp;"模型 EBITDA 率 "&amp;IF((D27)&lt;0,"−","")&amp;TEXT(ABS((D27))*100,"#,##0.0")&amp;"%"&amp;"；季度共識 EBITDA "&amp;IF((輸入與假設!$D$306)&lt;0,"−","")&amp;TEXT(ABS((輸入與假設!$D$306)),"#,##0.00")&amp;"、營收 "&amp;IF((輸入與假設!$D$305)&lt;0,"−","")&amp;TEXT(ABS((輸入與假設!$D$305)),"#,##0.00")&amp;"（共識 EBITDA＝非 GAAP 營業利益＋折舊）"&amp;"）"),""),"")</f>
        <v/>
      </c>
      <c r="E99" s="42" t="str">
        <f aca="false">IF(ISNUMBER(E49),IF(IF(ISNUMBER(E54),ABS(E54)&gt;輸入與假設!$C$334,OR(AND(E35&lt;&gt;0,ABS(E49)&gt;輸入與假設!$C$333*ABS(E35)),AND(E35=0,E49&lt;&gt;0))),IF(ISNUMBER(E97),IF(ABS(E98)&gt;ABS(E97),"調整後 EBITDA vs 共識 "&amp;IF(E49&lt;0,"−","+")&amp;IF(ABS(E49)&lt;0,"−","")&amp;"$"&amp;TEXT(ABS(ABS(E49)),"#,##0.00")&amp;"bn"&amp;IF(ISNUMBER(E54),"／"&amp;IF(E54&lt;0,"−","+")&amp;TEXT(ABS(E54)*100,"#,##0.0")&amp;"pt","")&amp;"：拆法（分配 "&amp;IF(E98&lt;0,"−","+")&amp;IF(ABS(E98)&lt;0,"−","")&amp;"$"&amp;TEXT(ABS(ABS(E98)),"#,##0.000")&amp;"bn"&amp;"（Q4 FY27 占 2Q–4Q27 "&amp;TEXT((E28/損益!C22)*100,"#,##0.0")&amp;"%"&amp;"，共識合計 "&amp;TEXT(((E35)/E96)*100,"#,##0.0")&amp;"%"&amp;"）；水準 "&amp;IF(E97&lt;0,"−","+")&amp;IF(ABS(E97)&lt;0,"−","")&amp;"$"&amp;TEXT(ABS(ABS(E97)),"#,##0.000")&amp;"bn"&amp;"）","調整後 EBITDA vs 共識 "&amp;IF(E49&lt;0,"−","+")&amp;IF(ABS(E49)&lt;0,"−","")&amp;"$"&amp;TEXT(ABS(ABS(E49)),"#,##0.00")&amp;"bn"&amp;IF(ISNUMBER(E54),"／"&amp;IF(E54&lt;0,"−","+")&amp;TEXT(ABS(E54)*100,"#,##0.0")&amp;"pt","")&amp;"：觀點（水準 "&amp;IF(E97&lt;0,"−","+")&amp;IF(ABS(E97)&lt;0,"−","")&amp;"$"&amp;TEXT(ABS(ABS(E97)),"#,##0.000")&amp;"bn"&amp;"（2Q–4Q27 模型 "&amp;IF(損益!C22&lt;0,"−","")&amp;"$"&amp;TEXT(ABS(損益!C22),"#,##0.000")&amp;"bn"&amp;"，共識合計 "&amp;IF(E96&lt;0,"−","")&amp;"$"&amp;TEXT(ABS(E96),"#,##0.000")&amp;"bn"&amp;"）；分配 "&amp;IF(E98&lt;0,"−","+")&amp;IF(ABS(E98)&lt;0,"−","")&amp;"$"&amp;TEXT(ABS(ABS(E98)),"#,##0.000")&amp;"bn"&amp;"；"&amp;"模型 EBITDA 率 "&amp;IF((E27)&lt;0,"−","")&amp;TEXT(ABS((E27))*100,"#,##0.0")&amp;"%"&amp;"；季度共識 EBITDA "&amp;"不適用"&amp;"、營收 "&amp;"不適用"&amp;"（共識 EBITDA＝非 GAAP 營業利益＋折舊）"&amp;"）"),"調整後 EBITDA vs 共識 "&amp;IF(E49&lt;0,"−","+")&amp;IF(ABS(E49)&lt;0,"−","")&amp;"$"&amp;TEXT(ABS(ABS(E49)),"#,##0.00")&amp;"bn"&amp;IF(ISNUMBER(E54),"／"&amp;IF(E54&lt;0,"−","+")&amp;TEXT(ABS(E54)*100,"#,##0.0")&amp;"pt","")&amp;"：觀點（"&amp;"模型 EBITDA 率 "&amp;IF((E27)&lt;0,"−","")&amp;TEXT(ABS((E27))*100,"#,##0.0")&amp;"%"&amp;"；季度共識 EBITDA "&amp;"不適用"&amp;"、營收 "&amp;"不適用"&amp;"（共識 EBITDA＝非 GAAP 營業利益＋折舊）"&amp;"）"),""),"")</f>
        <v/>
      </c>
      <c r="F99" s="42" t="str">
        <f aca="false">IF(ISNUMBER(F49),IF(IF(ISNUMBER(F54),ABS(F54)&gt;輸入與假設!$C$334,OR(AND(F35&lt;&gt;0,ABS(F49)&gt;輸入與假設!$C$333*ABS(F35)),AND(F35=0,F49&lt;&gt;0))),IF(ISNUMBER(F97),IF(ABS(F98)&gt;ABS(F97),"調整後 EBITDA vs 共識 "&amp;IF(F49&lt;0,"−","+")&amp;IF(ABS(F49)&lt;0,"−","")&amp;"$"&amp;TEXT(ABS(ABS(F49)),"#,##0.00")&amp;"bn"&amp;IF(ISNUMBER(F54),"／"&amp;IF(F54&lt;0,"−","+")&amp;TEXT(ABS(F54)*100,"#,##0.0")&amp;"pt","")&amp;"：拆法（分配 "&amp;IF(F98&lt;0,"−","+")&amp;IF(ABS(F98)&lt;0,"−","")&amp;"$"&amp;TEXT(ABS(ABS(F98)),"#,##0.000")&amp;"bn"&amp;"（Q1 FY28 占 FY28 "&amp;TEXT((F28/損益!D22)*100,"#,##0.0")&amp;"%"&amp;"，共識合計 "&amp;TEXT(((F35)/F96)*100,"#,##0.0")&amp;"%"&amp;"）；水準 "&amp;IF(F97&lt;0,"−","+")&amp;IF(ABS(F97)&lt;0,"−","")&amp;"$"&amp;TEXT(ABS(ABS(F97)),"#,##0.000")&amp;"bn"&amp;"）","調整後 EBITDA vs 共識 "&amp;IF(F49&lt;0,"−","+")&amp;IF(ABS(F49)&lt;0,"−","")&amp;"$"&amp;TEXT(ABS(ABS(F49)),"#,##0.00")&amp;"bn"&amp;IF(ISNUMBER(F54),"／"&amp;IF(F54&lt;0,"−","+")&amp;TEXT(ABS(F54)*100,"#,##0.0")&amp;"pt","")&amp;"：觀點（水準 "&amp;IF(F97&lt;0,"−","+")&amp;IF(ABS(F97)&lt;0,"−","")&amp;"$"&amp;TEXT(ABS(ABS(F97)),"#,##0.000")&amp;"bn"&amp;"（FY28 模型 "&amp;IF(損益!D22&lt;0,"−","")&amp;"$"&amp;TEXT(ABS(損益!D22),"#,##0.000")&amp;"bn"&amp;"，共識合計 "&amp;IF(F96&lt;0,"−","")&amp;"$"&amp;TEXT(ABS(F96),"#,##0.000")&amp;"bn"&amp;"）；分配 "&amp;IF(F98&lt;0,"−","+")&amp;IF(ABS(F98)&lt;0,"−","")&amp;"$"&amp;TEXT(ABS(ABS(F98)),"#,##0.000")&amp;"bn"&amp;"；"&amp;"模型 EBITDA 率 "&amp;IF((F27)&lt;0,"−","")&amp;TEXT(ABS((F27))*100,"#,##0.0")&amp;"%"&amp;"；季度共識 EBITDA "&amp;"不適用"&amp;"、營收 "&amp;"不適用"&amp;"（共識 EBITDA＝非 GAAP 營業利益＋折舊）"&amp;"）"),"調整後 EBITDA vs 共識 "&amp;IF(F49&lt;0,"−","+")&amp;IF(ABS(F49)&lt;0,"−","")&amp;"$"&amp;TEXT(ABS(ABS(F49)),"#,##0.00")&amp;"bn"&amp;IF(ISNUMBER(F54),"／"&amp;IF(F54&lt;0,"−","+")&amp;TEXT(ABS(F54)*100,"#,##0.0")&amp;"pt","")&amp;"：觀點（"&amp;"模型 EBITDA 率 "&amp;IF((F27)&lt;0,"−","")&amp;TEXT(ABS((F27))*100,"#,##0.0")&amp;"%"&amp;"；季度共識 EBITDA "&amp;"不適用"&amp;"、營收 "&amp;"不適用"&amp;"（共識 EBITDA＝非 GAAP 營業利益＋折舊）"&amp;"）"),""),"")</f>
        <v/>
      </c>
      <c r="G99" s="42" t="str">
        <f aca="false">IF(ISNUMBER(G49),IF(IF(ISNUMBER(G54),ABS(G54)&gt;輸入與假設!$C$334,OR(AND(G35&lt;&gt;0,ABS(G49)&gt;輸入與假設!$C$333*ABS(G35)),AND(G35=0,G49&lt;&gt;0))),IF(ISNUMBER(G97),IF(ABS(G98)&gt;ABS(G97),"調整後 EBITDA vs 共識 "&amp;IF(G49&lt;0,"−","+")&amp;IF(ABS(G49)&lt;0,"−","")&amp;"$"&amp;TEXT(ABS(ABS(G49)),"#,##0.00")&amp;"bn"&amp;IF(ISNUMBER(G54),"／"&amp;IF(G54&lt;0,"−","+")&amp;TEXT(ABS(G54)*100,"#,##0.0")&amp;"pt","")&amp;"：拆法（分配 "&amp;IF(G98&lt;0,"−","+")&amp;IF(ABS(G98)&lt;0,"−","")&amp;"$"&amp;TEXT(ABS(ABS(G98)),"#,##0.000")&amp;"bn"&amp;"（Q2 FY28 占 FY28 "&amp;TEXT((G28/損益!D22)*100,"#,##0.0")&amp;"%"&amp;"，共識合計 "&amp;TEXT(((G35)/G96)*100,"#,##0.0")&amp;"%"&amp;"）；水準 "&amp;IF(G97&lt;0,"−","+")&amp;IF(ABS(G97)&lt;0,"−","")&amp;"$"&amp;TEXT(ABS(ABS(G97)),"#,##0.000")&amp;"bn"&amp;"）","調整後 EBITDA vs 共識 "&amp;IF(G49&lt;0,"−","+")&amp;IF(ABS(G49)&lt;0,"−","")&amp;"$"&amp;TEXT(ABS(ABS(G49)),"#,##0.00")&amp;"bn"&amp;IF(ISNUMBER(G54),"／"&amp;IF(G54&lt;0,"−","+")&amp;TEXT(ABS(G54)*100,"#,##0.0")&amp;"pt","")&amp;"：觀點（水準 "&amp;IF(G97&lt;0,"−","+")&amp;IF(ABS(G97)&lt;0,"−","")&amp;"$"&amp;TEXT(ABS(ABS(G97)),"#,##0.000")&amp;"bn"&amp;"（FY28 模型 "&amp;IF(損益!D22&lt;0,"−","")&amp;"$"&amp;TEXT(ABS(損益!D22),"#,##0.000")&amp;"bn"&amp;"，共識合計 "&amp;IF(G96&lt;0,"−","")&amp;"$"&amp;TEXT(ABS(G96),"#,##0.000")&amp;"bn"&amp;"）；分配 "&amp;IF(G98&lt;0,"−","+")&amp;IF(ABS(G98)&lt;0,"−","")&amp;"$"&amp;TEXT(ABS(ABS(G98)),"#,##0.000")&amp;"bn"&amp;"；"&amp;"模型 EBITDA 率 "&amp;IF((G27)&lt;0,"−","")&amp;TEXT(ABS((G27))*100,"#,##0.0")&amp;"%"&amp;"；季度共識 EBITDA "&amp;"不適用"&amp;"、營收 "&amp;"不適用"&amp;"（共識 EBITDA＝非 GAAP 營業利益＋折舊）"&amp;"）"),"調整後 EBITDA vs 共識 "&amp;IF(G49&lt;0,"−","+")&amp;IF(ABS(G49)&lt;0,"−","")&amp;"$"&amp;TEXT(ABS(ABS(G49)),"#,##0.00")&amp;"bn"&amp;IF(ISNUMBER(G54),"／"&amp;IF(G54&lt;0,"−","+")&amp;TEXT(ABS(G54)*100,"#,##0.0")&amp;"pt","")&amp;"：觀點（"&amp;"模型 EBITDA 率 "&amp;IF((G27)&lt;0,"−","")&amp;TEXT(ABS((G27))*100,"#,##0.0")&amp;"%"&amp;"；季度共識 EBITDA "&amp;"不適用"&amp;"、營收 "&amp;"不適用"&amp;"（共識 EBITDA＝非 GAAP 營業利益＋折舊）"&amp;"）"),""),"")</f>
        <v/>
      </c>
      <c r="H99" s="42" t="str">
        <f aca="false">IF(ISNUMBER(H49),IF(IF(ISNUMBER(H54),ABS(H54)&gt;輸入與假設!$C$334,OR(AND(H35&lt;&gt;0,ABS(H49)&gt;輸入與假設!$C$333*ABS(H35)),AND(H35=0,H49&lt;&gt;0))),IF(ISNUMBER(H97),IF(ABS(H98)&gt;ABS(H97),"調整後 EBITDA vs 共識 "&amp;IF(H49&lt;0,"−","+")&amp;IF(ABS(H49)&lt;0,"−","")&amp;"$"&amp;TEXT(ABS(ABS(H49)),"#,##0.00")&amp;"bn"&amp;IF(ISNUMBER(H54),"／"&amp;IF(H54&lt;0,"−","+")&amp;TEXT(ABS(H54)*100,"#,##0.0")&amp;"pt","")&amp;"：拆法（分配 "&amp;IF(H98&lt;0,"−","+")&amp;IF(ABS(H98)&lt;0,"−","")&amp;"$"&amp;TEXT(ABS(ABS(H98)),"#,##0.000")&amp;"bn"&amp;"（Q3 FY28 占 FY28 "&amp;TEXT((H28/損益!D22)*100,"#,##0.0")&amp;"%"&amp;"，共識合計 "&amp;TEXT(((H35)/H96)*100,"#,##0.0")&amp;"%"&amp;"）；水準 "&amp;IF(H97&lt;0,"−","+")&amp;IF(ABS(H97)&lt;0,"−","")&amp;"$"&amp;TEXT(ABS(ABS(H97)),"#,##0.000")&amp;"bn"&amp;"）","調整後 EBITDA vs 共識 "&amp;IF(H49&lt;0,"−","+")&amp;IF(ABS(H49)&lt;0,"−","")&amp;"$"&amp;TEXT(ABS(ABS(H49)),"#,##0.00")&amp;"bn"&amp;IF(ISNUMBER(H54),"／"&amp;IF(H54&lt;0,"−","+")&amp;TEXT(ABS(H54)*100,"#,##0.0")&amp;"pt","")&amp;"：觀點（水準 "&amp;IF(H97&lt;0,"−","+")&amp;IF(ABS(H97)&lt;0,"−","")&amp;"$"&amp;TEXT(ABS(ABS(H97)),"#,##0.000")&amp;"bn"&amp;"（FY28 模型 "&amp;IF(損益!D22&lt;0,"−","")&amp;"$"&amp;TEXT(ABS(損益!D22),"#,##0.000")&amp;"bn"&amp;"，共識合計 "&amp;IF(H96&lt;0,"−","")&amp;"$"&amp;TEXT(ABS(H96),"#,##0.000")&amp;"bn"&amp;"）；分配 "&amp;IF(H98&lt;0,"−","+")&amp;IF(ABS(H98)&lt;0,"−","")&amp;"$"&amp;TEXT(ABS(ABS(H98)),"#,##0.000")&amp;"bn"&amp;"；"&amp;"模型 EBITDA 率 "&amp;IF((H27)&lt;0,"−","")&amp;TEXT(ABS((H27))*100,"#,##0.0")&amp;"%"&amp;"；季度共識 EBITDA "&amp;"不適用"&amp;"、營收 "&amp;"不適用"&amp;"（共識 EBITDA＝非 GAAP 營業利益＋折舊）"&amp;"）"),"調整後 EBITDA vs 共識 "&amp;IF(H49&lt;0,"−","+")&amp;IF(ABS(H49)&lt;0,"−","")&amp;"$"&amp;TEXT(ABS(ABS(H49)),"#,##0.00")&amp;"bn"&amp;IF(ISNUMBER(H54),"／"&amp;IF(H54&lt;0,"−","+")&amp;TEXT(ABS(H54)*100,"#,##0.0")&amp;"pt","")&amp;"：觀點（"&amp;"模型 EBITDA 率 "&amp;IF((H27)&lt;0,"−","")&amp;TEXT(ABS((H27))*100,"#,##0.0")&amp;"%"&amp;"；季度共識 EBITDA "&amp;"不適用"&amp;"、營收 "&amp;"不適用"&amp;"（共識 EBITDA＝非 GAAP 營業利益＋折舊）"&amp;"）"),""),"")</f>
        <v/>
      </c>
    </row>
    <row r="100" customFormat="false" ht="15" hidden="true" customHeight="false" outlineLevel="1" collapsed="false">
      <c r="A100" s="3" t="s">
        <v>1042</v>
      </c>
      <c r="C100" s="42" t="str">
        <f aca="false">IF(ISNUMBER(C49),IF(IF(ISNUMBER(C54),ABS(C54)&gt;輸入與假設!$C$334,OR(AND(C35&lt;&gt;0,ABS(C49)&gt;輸入與假設!$C$333*ABS(C35)),AND(C35=0,C49&lt;&gt;0))),IF(ISNUMBER(C97),IF(ABS(C98)&gt;ABS(C97),"拆法","觀點"),"觀點"),""),"")</f>
        <v/>
      </c>
      <c r="D100" s="42" t="str">
        <f aca="false">IF(ISNUMBER(D49),IF(IF(ISNUMBER(D54),ABS(D54)&gt;輸入與假設!$C$334,OR(AND(D35&lt;&gt;0,ABS(D49)&gt;輸入與假設!$C$333*ABS(D35)),AND(D35=0,D49&lt;&gt;0))),IF(ISNUMBER(D97),IF(ABS(D98)&gt;ABS(D97),"拆法","觀點"),"觀點"),""),"")</f>
        <v/>
      </c>
      <c r="E100" s="42" t="str">
        <f aca="false">IF(ISNUMBER(E49),IF(IF(ISNUMBER(E54),ABS(E54)&gt;輸入與假設!$C$334,OR(AND(E35&lt;&gt;0,ABS(E49)&gt;輸入與假設!$C$333*ABS(E35)),AND(E35=0,E49&lt;&gt;0))),IF(ISNUMBER(E97),IF(ABS(E98)&gt;ABS(E97),"拆法","觀點"),"觀點"),""),"")</f>
        <v/>
      </c>
      <c r="F100" s="42" t="str">
        <f aca="false">IF(ISNUMBER(F49),IF(IF(ISNUMBER(F54),ABS(F54)&gt;輸入與假設!$C$334,OR(AND(F35&lt;&gt;0,ABS(F49)&gt;輸入與假設!$C$333*ABS(F35)),AND(F35=0,F49&lt;&gt;0))),IF(ISNUMBER(F97),IF(ABS(F98)&gt;ABS(F97),"拆法","觀點"),"觀點"),""),"")</f>
        <v/>
      </c>
      <c r="G100" s="42" t="str">
        <f aca="false">IF(ISNUMBER(G49),IF(IF(ISNUMBER(G54),ABS(G54)&gt;輸入與假設!$C$334,OR(AND(G35&lt;&gt;0,ABS(G49)&gt;輸入與假設!$C$333*ABS(G35)),AND(G35=0,G49&lt;&gt;0))),IF(ISNUMBER(G97),IF(ABS(G98)&gt;ABS(G97),"拆法","觀點"),"觀點"),""),"")</f>
        <v/>
      </c>
      <c r="H100" s="42" t="str">
        <f aca="false">IF(ISNUMBER(H49),IF(IF(ISNUMBER(H54),ABS(H54)&gt;輸入與假設!$C$334,OR(AND(H35&lt;&gt;0,ABS(H49)&gt;輸入與假設!$C$333*ABS(H35)),AND(H35=0,H49&lt;&gt;0))),IF(ISNUMBER(H97),IF(ABS(H98)&gt;ABS(H97),"拆法","觀點"),"觀點"),""),"")</f>
        <v/>
      </c>
    </row>
    <row r="101" customFormat="false" ht="15" hidden="true" customHeight="false" outlineLevel="1" collapsed="false">
      <c r="A101" s="3" t="s">
        <v>1043</v>
      </c>
      <c r="C101" s="42"/>
      <c r="D101" s="42"/>
      <c r="E101" s="42"/>
      <c r="F101" s="42"/>
      <c r="G101" s="42"/>
      <c r="H101" s="42"/>
    </row>
    <row r="102" customFormat="false" ht="15" hidden="true" customHeight="false" outlineLevel="1" collapsed="false">
      <c r="A102" s="3" t="s">
        <v>1044</v>
      </c>
      <c r="C102" s="42"/>
      <c r="D102" s="42"/>
      <c r="E102" s="42"/>
      <c r="F102" s="42"/>
      <c r="G102" s="42"/>
      <c r="H102" s="42"/>
    </row>
    <row r="103" customFormat="false" ht="15" hidden="true" customHeight="false" outlineLevel="1" collapsed="false">
      <c r="A103" s="3" t="s">
        <v>1045</v>
      </c>
      <c r="C103" s="42" t="str">
        <f aca="false">IF(ISNUMBER(C51),IF(IF(ISNUMBER(C56),ABS(C56)&gt;輸入與假設!$C$334,OR(AND(C28&lt;&gt;0,ABS(C51)&gt;輸入與假設!$C$333*ABS(C28)),AND(C28=0,C51&lt;&gt;0))),"調整後 EBITDA 實際 vs 模型 "&amp;IF(C51&lt;0,"−","+")&amp;IF(ABS(C51)&lt;0,"−","")&amp;"$"&amp;TEXT(ABS(ABS(C51)),"#,##0.00")&amp;"bn"&amp;IF(ISNUMBER(C56),"／"&amp;IF(C56&lt;0,"−","+")&amp;TEXT(ABS(C56)*100,"#,##0.0")&amp;"pt","")&amp;"：觀點（"&amp;"模型 EBITDA 率 "&amp;IF((C27)&lt;0,"−","")&amp;TEXT(ABS((C27))*100,"#,##0.0")&amp;"%"&amp;"；季度共識 EBITDA "&amp;IF((輸入與假設!$C$306)&lt;0,"−","")&amp;TEXT(ABS((輸入與假設!$C$306)),"#,##0.00")&amp;"、營收 "&amp;IF((輸入與假設!$C$305)&lt;0,"−","")&amp;TEXT(ABS((輸入與假設!$C$305)),"#,##0.00")&amp;"（共識 EBITDA＝非 GAAP 營業利益＋折舊）"&amp;"）",""),"")</f>
        <v/>
      </c>
      <c r="D103" s="42" t="str">
        <f aca="false">IF(ISNUMBER(D51),IF(IF(ISNUMBER(D56),ABS(D56)&gt;輸入與假設!$C$334,OR(AND(D28&lt;&gt;0,ABS(D51)&gt;輸入與假設!$C$333*ABS(D28)),AND(D28=0,D51&lt;&gt;0))),"調整後 EBITDA 實際 vs 模型 "&amp;IF(D51&lt;0,"−","+")&amp;IF(ABS(D51)&lt;0,"−","")&amp;"$"&amp;TEXT(ABS(ABS(D51)),"#,##0.00")&amp;"bn"&amp;IF(ISNUMBER(D56),"／"&amp;IF(D56&lt;0,"−","+")&amp;TEXT(ABS(D56)*100,"#,##0.0")&amp;"pt","")&amp;"：觀點（"&amp;"模型 EBITDA 率 "&amp;IF((D27)&lt;0,"−","")&amp;TEXT(ABS((D27))*100,"#,##0.0")&amp;"%"&amp;"；季度共識 EBITDA "&amp;IF((輸入與假設!$D$306)&lt;0,"−","")&amp;TEXT(ABS((輸入與假設!$D$306)),"#,##0.00")&amp;"、營收 "&amp;IF((輸入與假設!$D$305)&lt;0,"−","")&amp;TEXT(ABS((輸入與假設!$D$305)),"#,##0.00")&amp;"（共識 EBITDA＝非 GAAP 營業利益＋折舊）"&amp;"）",""),"")</f>
        <v/>
      </c>
      <c r="E103" s="42" t="str">
        <f aca="false">IF(ISNUMBER(E51),IF(IF(ISNUMBER(E56),ABS(E56)&gt;輸入與假設!$C$334,OR(AND(E28&lt;&gt;0,ABS(E51)&gt;輸入與假設!$C$333*ABS(E28)),AND(E28=0,E51&lt;&gt;0))),"調整後 EBITDA 實際 vs 模型 "&amp;IF(E51&lt;0,"−","+")&amp;IF(ABS(E51)&lt;0,"−","")&amp;"$"&amp;TEXT(ABS(ABS(E51)),"#,##0.00")&amp;"bn"&amp;IF(ISNUMBER(E56),"／"&amp;IF(E56&lt;0,"−","+")&amp;TEXT(ABS(E56)*100,"#,##0.0")&amp;"pt","")&amp;"：觀點（"&amp;"模型 EBITDA 率 "&amp;IF((E27)&lt;0,"−","")&amp;TEXT(ABS((E27))*100,"#,##0.0")&amp;"%"&amp;"；季度共識 EBITDA "&amp;"不適用"&amp;"、營收 "&amp;"不適用"&amp;"（共識 EBITDA＝非 GAAP 營業利益＋折舊）"&amp;"）",""),"")</f>
        <v/>
      </c>
      <c r="F103" s="42" t="str">
        <f aca="false">IF(ISNUMBER(F51),IF(IF(ISNUMBER(F56),ABS(F56)&gt;輸入與假設!$C$334,OR(AND(F28&lt;&gt;0,ABS(F51)&gt;輸入與假設!$C$333*ABS(F28)),AND(F28=0,F51&lt;&gt;0))),"調整後 EBITDA 實際 vs 模型 "&amp;IF(F51&lt;0,"−","+")&amp;IF(ABS(F51)&lt;0,"−","")&amp;"$"&amp;TEXT(ABS(ABS(F51)),"#,##0.00")&amp;"bn"&amp;IF(ISNUMBER(F56),"／"&amp;IF(F56&lt;0,"−","+")&amp;TEXT(ABS(F56)*100,"#,##0.0")&amp;"pt","")&amp;"：觀點（"&amp;"模型 EBITDA 率 "&amp;IF((F27)&lt;0,"−","")&amp;TEXT(ABS((F27))*100,"#,##0.0")&amp;"%"&amp;"；季度共識 EBITDA "&amp;"不適用"&amp;"、營收 "&amp;"不適用"&amp;"（共識 EBITDA＝非 GAAP 營業利益＋折舊）"&amp;"）",""),"")</f>
        <v/>
      </c>
      <c r="G103" s="42" t="str">
        <f aca="false">IF(ISNUMBER(G51),IF(IF(ISNUMBER(G56),ABS(G56)&gt;輸入與假設!$C$334,OR(AND(G28&lt;&gt;0,ABS(G51)&gt;輸入與假設!$C$333*ABS(G28)),AND(G28=0,G51&lt;&gt;0))),"調整後 EBITDA 實際 vs 模型 "&amp;IF(G51&lt;0,"−","+")&amp;IF(ABS(G51)&lt;0,"−","")&amp;"$"&amp;TEXT(ABS(ABS(G51)),"#,##0.00")&amp;"bn"&amp;IF(ISNUMBER(G56),"／"&amp;IF(G56&lt;0,"−","+")&amp;TEXT(ABS(G56)*100,"#,##0.0")&amp;"pt","")&amp;"：觀點（"&amp;"模型 EBITDA 率 "&amp;IF((G27)&lt;0,"−","")&amp;TEXT(ABS((G27))*100,"#,##0.0")&amp;"%"&amp;"；季度共識 EBITDA "&amp;"不適用"&amp;"、營收 "&amp;"不適用"&amp;"（共識 EBITDA＝非 GAAP 營業利益＋折舊）"&amp;"）",""),"")</f>
        <v/>
      </c>
      <c r="H103" s="42" t="str">
        <f aca="false">IF(ISNUMBER(H51),IF(IF(ISNUMBER(H56),ABS(H56)&gt;輸入與假設!$C$334,OR(AND(H28&lt;&gt;0,ABS(H51)&gt;輸入與假設!$C$333*ABS(H28)),AND(H28=0,H51&lt;&gt;0))),"調整後 EBITDA 實際 vs 模型 "&amp;IF(H51&lt;0,"−","+")&amp;IF(ABS(H51)&lt;0,"−","")&amp;"$"&amp;TEXT(ABS(ABS(H51)),"#,##0.00")&amp;"bn"&amp;IF(ISNUMBER(H56),"／"&amp;IF(H56&lt;0,"−","+")&amp;TEXT(ABS(H56)*100,"#,##0.0")&amp;"pt","")&amp;"：觀點（"&amp;"模型 EBITDA 率 "&amp;IF((H27)&lt;0,"−","")&amp;TEXT(ABS((H27))*100,"#,##0.0")&amp;"%"&amp;"；季度共識 EBITDA "&amp;"不適用"&amp;"、營收 "&amp;"不適用"&amp;"（共識 EBITDA＝非 GAAP 營業利益＋折舊）"&amp;"）",""),"")</f>
        <v/>
      </c>
    </row>
    <row r="104" customFormat="false" ht="15" hidden="true" customHeight="false" outlineLevel="1" collapsed="false">
      <c r="A104" s="3" t="s">
        <v>1046</v>
      </c>
      <c r="C104" s="42" t="str">
        <f aca="false">IF(ISNUMBER(C51),IF(IF(ISNUMBER(C56),ABS(C56)&gt;輸入與假設!$C$334,OR(AND(C28&lt;&gt;0,ABS(C51)&gt;輸入與假設!$C$333*ABS(C28)),AND(C28=0,C51&lt;&gt;0))),"觀點",""),"")</f>
        <v/>
      </c>
      <c r="D104" s="42" t="str">
        <f aca="false">IF(ISNUMBER(D51),IF(IF(ISNUMBER(D56),ABS(D56)&gt;輸入與假設!$C$334,OR(AND(D28&lt;&gt;0,ABS(D51)&gt;輸入與假設!$C$333*ABS(D28)),AND(D28=0,D51&lt;&gt;0))),"觀點",""),"")</f>
        <v/>
      </c>
      <c r="E104" s="42" t="str">
        <f aca="false">IF(ISNUMBER(E51),IF(IF(ISNUMBER(E56),ABS(E56)&gt;輸入與假設!$C$334,OR(AND(E28&lt;&gt;0,ABS(E51)&gt;輸入與假設!$C$333*ABS(E28)),AND(E28=0,E51&lt;&gt;0))),"觀點",""),"")</f>
        <v/>
      </c>
      <c r="F104" s="42" t="str">
        <f aca="false">IF(ISNUMBER(F51),IF(IF(ISNUMBER(F56),ABS(F56)&gt;輸入與假設!$C$334,OR(AND(F28&lt;&gt;0,ABS(F51)&gt;輸入與假設!$C$333*ABS(F28)),AND(F28=0,F51&lt;&gt;0))),"觀點",""),"")</f>
        <v/>
      </c>
      <c r="G104" s="42" t="str">
        <f aca="false">IF(ISNUMBER(G51),IF(IF(ISNUMBER(G56),ABS(G56)&gt;輸入與假設!$C$334,OR(AND(G28&lt;&gt;0,ABS(G51)&gt;輸入與假設!$C$333*ABS(G28)),AND(G28=0,G51&lt;&gt;0))),"觀點",""),"")</f>
        <v/>
      </c>
      <c r="H104" s="42" t="str">
        <f aca="false">IF(ISNUMBER(H51),IF(IF(ISNUMBER(H56),ABS(H56)&gt;輸入與假設!$C$334,OR(AND(H28&lt;&gt;0,ABS(H51)&gt;輸入與假設!$C$333*ABS(H28)),AND(H28=0,H51&lt;&gt;0))),"觀點",""),"")</f>
        <v/>
      </c>
    </row>
    <row r="105" customFormat="false" ht="15" hidden="true" customHeight="false" outlineLevel="1" collapsed="false">
      <c r="A105" s="3" t="s">
        <v>1047</v>
      </c>
      <c r="C105" s="42"/>
      <c r="D105" s="42"/>
      <c r="E105" s="42"/>
      <c r="F105" s="42"/>
      <c r="G105" s="42"/>
      <c r="H105" s="42"/>
    </row>
    <row r="106" customFormat="false" ht="15" hidden="true" customHeight="false" outlineLevel="1" collapsed="false">
      <c r="A106" s="3" t="s">
        <v>1048</v>
      </c>
      <c r="C106" s="42"/>
      <c r="D106" s="42"/>
      <c r="E106" s="42"/>
      <c r="F106" s="42"/>
      <c r="G106" s="42"/>
      <c r="H106" s="42"/>
    </row>
    <row r="107" customFormat="false" ht="15" hidden="true" customHeight="false" outlineLevel="1" collapsed="false">
      <c r="A107" s="3" t="s">
        <v>1049</v>
      </c>
      <c r="C107" s="42"/>
      <c r="D107" s="42"/>
      <c r="E107" s="42"/>
      <c r="F107" s="42"/>
      <c r="G107" s="42"/>
      <c r="H107" s="42"/>
    </row>
    <row r="108" customFormat="false" ht="15" hidden="true" customHeight="false" outlineLevel="1" collapsed="false">
      <c r="A108" s="3" t="s">
        <v>1050</v>
      </c>
      <c r="C108" s="42"/>
      <c r="D108" s="42"/>
      <c r="E108" s="42"/>
      <c r="F108" s="42"/>
      <c r="G108" s="42"/>
      <c r="H108" s="42"/>
    </row>
    <row r="109" customFormat="false" ht="15" hidden="true" customHeight="false" outlineLevel="1" collapsed="false">
      <c r="A109" s="3" t="s">
        <v>1051</v>
      </c>
      <c r="C109" s="42" t="str">
        <f aca="false">IF(ISNUMBER(C66),IF(IF(ISNUMBER(C71),ABS(C71)&gt;輸入與假設!$C$334,OR(AND(C30&lt;&gt;0,ABS(C66)&gt;輸入與假設!$C$333*ABS(C30)),AND(C30=0,C66&lt;&gt;0))),"調整後營業利益 實際 vs 模型 "&amp;IF(C66&lt;0,"−","+")&amp;IF(ABS(C66)&lt;0,"−","")&amp;"$"&amp;TEXT(ABS(ABS(C66)),"#,##0.00")&amp;"bn"&amp;IF(ISNUMBER(C71),"／"&amp;IF(C71&lt;0,"−","+")&amp;TEXT(ABS(C71)*100,"#,##0.0")&amp;"pt","")&amp;"：已知限制（"&amp;"模型車隊折舊 "&amp;IF((C29)&lt;0,"−","")&amp;TEXT(ABS((C29)),"#,##0.00")&amp;" 以校準後期初 PP&amp;E 與成長型 CapEx 計，未扣 SBC；與公司非 GAAP 營業利益口徑不同"&amp;"）",""),"")</f>
        <v/>
      </c>
      <c r="D109" s="42" t="str">
        <f aca="false">IF(ISNUMBER(D66),IF(IF(ISNUMBER(D71),ABS(D71)&gt;輸入與假設!$C$334,OR(AND(D30&lt;&gt;0,ABS(D66)&gt;輸入與假設!$C$333*ABS(D30)),AND(D30=0,D66&lt;&gt;0))),"調整後營業利益 實際 vs 模型 "&amp;IF(D66&lt;0,"−","+")&amp;IF(ABS(D66)&lt;0,"−","")&amp;"$"&amp;TEXT(ABS(ABS(D66)),"#,##0.00")&amp;"bn"&amp;IF(ISNUMBER(D71),"／"&amp;IF(D71&lt;0,"−","+")&amp;TEXT(ABS(D71)*100,"#,##0.0")&amp;"pt","")&amp;"：已知限制（"&amp;"模型車隊折舊 "&amp;IF((D29)&lt;0,"−","")&amp;TEXT(ABS((D29)),"#,##0.00")&amp;" 以校準後期初 PP&amp;E 與成長型 CapEx 計，未扣 SBC；與公司非 GAAP 營業利益口徑不同"&amp;"）",""),"")</f>
        <v/>
      </c>
      <c r="E109" s="42" t="str">
        <f aca="false">IF(ISNUMBER(E66),IF(IF(ISNUMBER(E71),ABS(E71)&gt;輸入與假設!$C$334,OR(AND(E30&lt;&gt;0,ABS(E66)&gt;輸入與假設!$C$333*ABS(E30)),AND(E30=0,E66&lt;&gt;0))),"調整後營業利益 實際 vs 模型 "&amp;IF(E66&lt;0,"−","+")&amp;IF(ABS(E66)&lt;0,"−","")&amp;"$"&amp;TEXT(ABS(ABS(E66)),"#,##0.00")&amp;"bn"&amp;IF(ISNUMBER(E71),"／"&amp;IF(E71&lt;0,"−","+")&amp;TEXT(ABS(E71)*100,"#,##0.0")&amp;"pt","")&amp;"：已知限制（"&amp;"模型車隊折舊 "&amp;IF((E29)&lt;0,"−","")&amp;TEXT(ABS((E29)),"#,##0.00")&amp;" 以校準後期初 PP&amp;E 與成長型 CapEx 計，未扣 SBC；與公司非 GAAP 營業利益口徑不同"&amp;"）",""),"")</f>
        <v/>
      </c>
      <c r="F109" s="42" t="str">
        <f aca="false">IF(ISNUMBER(F66),IF(IF(ISNUMBER(F71),ABS(F71)&gt;輸入與假設!$C$334,OR(AND(F30&lt;&gt;0,ABS(F66)&gt;輸入與假設!$C$333*ABS(F30)),AND(F30=0,F66&lt;&gt;0))),"調整後營業利益 實際 vs 模型 "&amp;IF(F66&lt;0,"−","+")&amp;IF(ABS(F66)&lt;0,"−","")&amp;"$"&amp;TEXT(ABS(ABS(F66)),"#,##0.00")&amp;"bn"&amp;IF(ISNUMBER(F71),"／"&amp;IF(F71&lt;0,"−","+")&amp;TEXT(ABS(F71)*100,"#,##0.0")&amp;"pt","")&amp;"：已知限制（"&amp;"模型車隊折舊 "&amp;IF((F29)&lt;0,"−","")&amp;TEXT(ABS((F29)),"#,##0.00")&amp;" 以校準後期初 PP&amp;E 與成長型 CapEx 計，未扣 SBC；與公司非 GAAP 營業利益口徑不同"&amp;"）",""),"")</f>
        <v/>
      </c>
      <c r="G109" s="42" t="str">
        <f aca="false">IF(ISNUMBER(G66),IF(IF(ISNUMBER(G71),ABS(G71)&gt;輸入與假設!$C$334,OR(AND(G30&lt;&gt;0,ABS(G66)&gt;輸入與假設!$C$333*ABS(G30)),AND(G30=0,G66&lt;&gt;0))),"調整後營業利益 實際 vs 模型 "&amp;IF(G66&lt;0,"−","+")&amp;IF(ABS(G66)&lt;0,"−","")&amp;"$"&amp;TEXT(ABS(ABS(G66)),"#,##0.00")&amp;"bn"&amp;IF(ISNUMBER(G71),"／"&amp;IF(G71&lt;0,"−","+")&amp;TEXT(ABS(G71)*100,"#,##0.0")&amp;"pt","")&amp;"：已知限制（"&amp;"模型車隊折舊 "&amp;IF((G29)&lt;0,"−","")&amp;TEXT(ABS((G29)),"#,##0.00")&amp;" 以校準後期初 PP&amp;E 與成長型 CapEx 計，未扣 SBC；與公司非 GAAP 營業利益口徑不同"&amp;"）",""),"")</f>
        <v/>
      </c>
      <c r="H109" s="42" t="str">
        <f aca="false">IF(ISNUMBER(H66),IF(IF(ISNUMBER(H71),ABS(H71)&gt;輸入與假設!$C$334,OR(AND(H30&lt;&gt;0,ABS(H66)&gt;輸入與假設!$C$333*ABS(H30)),AND(H30=0,H66&lt;&gt;0))),"調整後營業利益 實際 vs 模型 "&amp;IF(H66&lt;0,"−","+")&amp;IF(ABS(H66)&lt;0,"−","")&amp;"$"&amp;TEXT(ABS(ABS(H66)),"#,##0.00")&amp;"bn"&amp;IF(ISNUMBER(H71),"／"&amp;IF(H71&lt;0,"−","+")&amp;TEXT(ABS(H71)*100,"#,##0.0")&amp;"pt","")&amp;"：已知限制（"&amp;"模型車隊折舊 "&amp;IF((H29)&lt;0,"−","")&amp;TEXT(ABS((H29)),"#,##0.00")&amp;" 以校準後期初 PP&amp;E 與成長型 CapEx 計，未扣 SBC；與公司非 GAAP 營業利益口徑不同"&amp;"）",""),"")</f>
        <v/>
      </c>
    </row>
    <row r="110" customFormat="false" ht="15" hidden="true" customHeight="false" outlineLevel="1" collapsed="false">
      <c r="A110" s="3" t="s">
        <v>1052</v>
      </c>
      <c r="C110" s="42" t="str">
        <f aca="false">IF(ISNUMBER(C66),IF(IF(ISNUMBER(C71),ABS(C71)&gt;輸入與假設!$C$334,OR(AND(C30&lt;&gt;0,ABS(C66)&gt;輸入與假設!$C$333*ABS(C30)),AND(C30=0,C66&lt;&gt;0))),"已知限制",""),"")</f>
        <v/>
      </c>
      <c r="D110" s="42" t="str">
        <f aca="false">IF(ISNUMBER(D66),IF(IF(ISNUMBER(D71),ABS(D71)&gt;輸入與假設!$C$334,OR(AND(D30&lt;&gt;0,ABS(D66)&gt;輸入與假設!$C$333*ABS(D30)),AND(D30=0,D66&lt;&gt;0))),"已知限制",""),"")</f>
        <v/>
      </c>
      <c r="E110" s="42" t="str">
        <f aca="false">IF(ISNUMBER(E66),IF(IF(ISNUMBER(E71),ABS(E71)&gt;輸入與假設!$C$334,OR(AND(E30&lt;&gt;0,ABS(E66)&gt;輸入與假設!$C$333*ABS(E30)),AND(E30=0,E66&lt;&gt;0))),"已知限制",""),"")</f>
        <v/>
      </c>
      <c r="F110" s="42" t="str">
        <f aca="false">IF(ISNUMBER(F66),IF(IF(ISNUMBER(F71),ABS(F71)&gt;輸入與假設!$C$334,OR(AND(F30&lt;&gt;0,ABS(F66)&gt;輸入與假設!$C$333*ABS(F30)),AND(F30=0,F66&lt;&gt;0))),"已知限制",""),"")</f>
        <v/>
      </c>
      <c r="G110" s="42" t="str">
        <f aca="false">IF(ISNUMBER(G66),IF(IF(ISNUMBER(G71),ABS(G71)&gt;輸入與假設!$C$334,OR(AND(G30&lt;&gt;0,ABS(G66)&gt;輸入與假設!$C$333*ABS(G30)),AND(G30=0,G66&lt;&gt;0))),"已知限制",""),"")</f>
        <v/>
      </c>
      <c r="H110" s="42" t="str">
        <f aca="false">IF(ISNUMBER(H66),IF(IF(ISNUMBER(H71),ABS(H71)&gt;輸入與假設!$C$334,OR(AND(H30&lt;&gt;0,ABS(H66)&gt;輸入與假設!$C$333*ABS(H30)),AND(H30=0,H66&lt;&gt;0))),"已知限制",""),"")</f>
        <v/>
      </c>
    </row>
    <row r="111" customFormat="false" ht="15" hidden="true" customHeight="false" outlineLevel="1" collapsed="false">
      <c r="A111" s="3" t="s">
        <v>1053</v>
      </c>
      <c r="C111" s="42"/>
      <c r="D111" s="42"/>
      <c r="E111" s="42"/>
      <c r="F111" s="42"/>
      <c r="G111" s="42"/>
      <c r="H111" s="42"/>
    </row>
    <row r="112" customFormat="false" ht="15" hidden="true" customHeight="false" outlineLevel="1" collapsed="false">
      <c r="A112" s="3" t="s">
        <v>1054</v>
      </c>
      <c r="C112" s="42"/>
      <c r="D112" s="42"/>
      <c r="E112" s="42"/>
      <c r="F112" s="42"/>
      <c r="G112" s="42"/>
      <c r="H112" s="42"/>
    </row>
    <row r="113" customFormat="false" ht="15" hidden="true" customHeight="false" outlineLevel="1" collapsed="false">
      <c r="A113" s="3" t="s">
        <v>1055</v>
      </c>
      <c r="C113" s="42"/>
      <c r="D113" s="42"/>
      <c r="E113" s="42"/>
      <c r="F113" s="42"/>
      <c r="G113" s="42"/>
      <c r="H113" s="42"/>
    </row>
    <row r="114" customFormat="false" ht="15" hidden="true" customHeight="false" outlineLevel="1" collapsed="false">
      <c r="A114" s="3" t="s">
        <v>1056</v>
      </c>
      <c r="C114" s="42"/>
      <c r="D114" s="42"/>
      <c r="E114" s="42"/>
      <c r="F114" s="42"/>
      <c r="G114" s="42"/>
      <c r="H114" s="42"/>
    </row>
    <row r="115" customFormat="false" ht="15" hidden="true" customHeight="false" outlineLevel="1" collapsed="false">
      <c r="A115" s="3" t="s">
        <v>1057</v>
      </c>
      <c r="C115" s="42" t="str">
        <f aca="false">IF(ISNUMBER(C76),IF(ABS(C76)&gt;輸入與假設!$C$333,"CapEx（毛額） 實際 vs 模型 "&amp;IF(C76&lt;0,"−","+")&amp;TEXT(ABS(C76)*100,"#,##0.0")&amp;"%"&amp;"：觀點（"&amp;"CapEx 依新增已連網 MW × 每 MW IT 建置成本（Tokenomics IF_CapexIT；機房由開發商建、以租賃取得）計算；客戶自帶硬體不建模"&amp;"）",""),"")</f>
        <v/>
      </c>
      <c r="D115" s="42" t="str">
        <f aca="false">IF(ISNUMBER(D76),IF(ABS(D76)&gt;輸入與假設!$C$333,"CapEx（毛額） 實際 vs 模型 "&amp;IF(D76&lt;0,"−","+")&amp;TEXT(ABS(D76)*100,"#,##0.0")&amp;"%"&amp;"：觀點（"&amp;"CapEx 依新增已連網 MW × 每 MW IT 建置成本（Tokenomics IF_CapexIT；機房由開發商建、以租賃取得）計算；客戶自帶硬體不建模"&amp;"）",""),"")</f>
        <v/>
      </c>
      <c r="E115" s="42" t="str">
        <f aca="false">IF(ISNUMBER(E76),IF(ABS(E76)&gt;輸入與假設!$C$333,"CapEx（毛額） 實際 vs 模型 "&amp;IF(E76&lt;0,"−","+")&amp;TEXT(ABS(E76)*100,"#,##0.0")&amp;"%"&amp;"：觀點（"&amp;"CapEx 依新增已連網 MW × 每 MW IT 建置成本（Tokenomics IF_CapexIT；機房由開發商建、以租賃取得）計算；客戶自帶硬體不建模"&amp;"）",""),"")</f>
        <v/>
      </c>
      <c r="F115" s="42" t="str">
        <f aca="false">IF(ISNUMBER(F76),IF(ABS(F76)&gt;輸入與假設!$C$333,"CapEx（毛額） 實際 vs 模型 "&amp;IF(F76&lt;0,"−","+")&amp;TEXT(ABS(F76)*100,"#,##0.0")&amp;"%"&amp;"：觀點（"&amp;"CapEx 依新增已連網 MW × 每 MW IT 建置成本（Tokenomics IF_CapexIT；機房由開發商建、以租賃取得）計算；客戶自帶硬體不建模"&amp;"）",""),"")</f>
        <v/>
      </c>
      <c r="G115" s="42" t="str">
        <f aca="false">IF(ISNUMBER(G76),IF(ABS(G76)&gt;輸入與假設!$C$333,"CapEx（毛額） 實際 vs 模型 "&amp;IF(G76&lt;0,"−","+")&amp;TEXT(ABS(G76)*100,"#,##0.0")&amp;"%"&amp;"：觀點（"&amp;"CapEx 依新增已連網 MW × 每 MW IT 建置成本（Tokenomics IF_CapexIT；機房由開發商建、以租賃取得）計算；客戶自帶硬體不建模"&amp;"）",""),"")</f>
        <v/>
      </c>
      <c r="H115" s="42" t="str">
        <f aca="false">IF(ISNUMBER(H76),IF(ABS(H76)&gt;輸入與假設!$C$333,"CapEx（毛額） 實際 vs 模型 "&amp;IF(H76&lt;0,"−","+")&amp;TEXT(ABS(H76)*100,"#,##0.0")&amp;"%"&amp;"：觀點（"&amp;"CapEx 依新增已連網 MW × 每 MW IT 建置成本（Tokenomics IF_CapexIT；機房由開發商建、以租賃取得）計算；客戶自帶硬體不建模"&amp;"）",""),"")</f>
        <v/>
      </c>
    </row>
    <row r="116" customFormat="false" ht="15" hidden="true" customHeight="false" outlineLevel="1" collapsed="false">
      <c r="A116" s="3" t="s">
        <v>1058</v>
      </c>
      <c r="C116" s="42" t="str">
        <f aca="false">IF(ISNUMBER(C76),IF(ABS(C76)&gt;輸入與假設!$C$333,"觀點",""),"")</f>
        <v/>
      </c>
      <c r="D116" s="42" t="str">
        <f aca="false">IF(ISNUMBER(D76),IF(ABS(D76)&gt;輸入與假設!$C$333,"觀點",""),"")</f>
        <v/>
      </c>
      <c r="E116" s="42" t="str">
        <f aca="false">IF(ISNUMBER(E76),IF(ABS(E76)&gt;輸入與假設!$C$333,"觀點",""),"")</f>
        <v/>
      </c>
      <c r="F116" s="42" t="str">
        <f aca="false">IF(ISNUMBER(F76),IF(ABS(F76)&gt;輸入與假設!$C$333,"觀點",""),"")</f>
        <v/>
      </c>
      <c r="G116" s="42" t="str">
        <f aca="false">IF(ISNUMBER(G76),IF(ABS(G76)&gt;輸入與假設!$C$333,"觀點",""),"")</f>
        <v/>
      </c>
      <c r="H116" s="42" t="str">
        <f aca="false">IF(ISNUMBER(H76),IF(ABS(H76)&gt;輸入與假設!$C$333,"觀點",""),"")</f>
        <v/>
      </c>
    </row>
    <row r="117" customFormat="false" ht="15" hidden="true" customHeight="false" outlineLevel="1" collapsed="false">
      <c r="A117" s="3" t="s">
        <v>1059</v>
      </c>
      <c r="C117" s="42"/>
      <c r="D117" s="42"/>
      <c r="E117" s="42"/>
      <c r="F117" s="42"/>
      <c r="G117" s="42"/>
      <c r="H117" s="42"/>
    </row>
    <row r="118" customFormat="false" ht="15" hidden="true" customHeight="false" outlineLevel="1" collapsed="false">
      <c r="A118" s="3" t="s">
        <v>1060</v>
      </c>
      <c r="C118" s="42"/>
      <c r="D118" s="42"/>
      <c r="E118" s="42"/>
      <c r="F118" s="42"/>
      <c r="G118" s="42"/>
      <c r="H118" s="42"/>
    </row>
    <row r="119" customFormat="false" ht="15" hidden="true" customHeight="false" outlineLevel="1" collapsed="false">
      <c r="A119" s="3" t="s">
        <v>1061</v>
      </c>
      <c r="C119" s="42"/>
      <c r="D119" s="42"/>
      <c r="E119" s="42"/>
      <c r="F119" s="42"/>
      <c r="G119" s="42"/>
      <c r="H119" s="42"/>
    </row>
    <row r="120" customFormat="false" ht="15" hidden="true" customHeight="false" outlineLevel="1" collapsed="false">
      <c r="A120" s="3" t="s">
        <v>1062</v>
      </c>
      <c r="C120" s="42"/>
      <c r="D120" s="42"/>
      <c r="E120" s="42"/>
      <c r="F120" s="42"/>
      <c r="G120" s="42"/>
      <c r="H120" s="42"/>
    </row>
    <row r="121" customFormat="false" ht="15" hidden="true" customHeight="false" outlineLevel="1" collapsed="false">
      <c r="A121" s="3" t="s">
        <v>1063</v>
      </c>
      <c r="C121" s="42"/>
      <c r="D121" s="42"/>
      <c r="E121" s="42"/>
      <c r="F121" s="42"/>
      <c r="G121" s="42"/>
      <c r="H121" s="42"/>
    </row>
    <row r="122" customFormat="false" ht="15" hidden="true" customHeight="false" outlineLevel="1" collapsed="false">
      <c r="A122" s="3" t="s">
        <v>1064</v>
      </c>
      <c r="C122" s="42"/>
      <c r="D122" s="42"/>
      <c r="E122" s="42"/>
      <c r="F122" s="42"/>
      <c r="G122" s="42"/>
      <c r="H122" s="42"/>
    </row>
    <row r="123" customFormat="false" ht="15" hidden="true" customHeight="false" outlineLevel="1" collapsed="false">
      <c r="A123" s="3" t="s">
        <v>1065</v>
      </c>
      <c r="C123" s="42" t="str">
        <f aca="false">MID(IF(C90&lt;&gt;"","；"&amp;C90,"")&amp;IF(C92&lt;&gt;"","；"&amp;C92,"")&amp;IF(C94&lt;&gt;"","；"&amp;C94,"")&amp;IF(C99&lt;&gt;"","；"&amp;C99,"")&amp;IF(C101&lt;&gt;"","；"&amp;C101,"")&amp;IF(C103&lt;&gt;"","；"&amp;C103,"")&amp;IF(C105&lt;&gt;"","；"&amp;C105,"")&amp;IF(C107&lt;&gt;"","；"&amp;C107,"")&amp;IF(C109&lt;&gt;"","；"&amp;C109,"")&amp;IF(C111&lt;&gt;"","；"&amp;C111,"")&amp;IF(C113&lt;&gt;"","；"&amp;C113,"")&amp;IF(C115&lt;&gt;"","；"&amp;C115,"")&amp;IF(C117&lt;&gt;"","；"&amp;C117,"")&amp;IF(C119&lt;&gt;"","；"&amp;C119,"")&amp;IF(C121&lt;&gt;"","；"&amp;C121,""),2,9999)</f>
        <v/>
      </c>
      <c r="D123" s="42" t="str">
        <f aca="false">MID(IF(D90&lt;&gt;"","；"&amp;D90,"")&amp;IF(D92&lt;&gt;"","；"&amp;D92,"")&amp;IF(D94&lt;&gt;"","；"&amp;D94,"")&amp;IF(D99&lt;&gt;"","；"&amp;D99,"")&amp;IF(D101&lt;&gt;"","；"&amp;D101,"")&amp;IF(D103&lt;&gt;"","；"&amp;D103,"")&amp;IF(D105&lt;&gt;"","；"&amp;D105,"")&amp;IF(D107&lt;&gt;"","；"&amp;D107,"")&amp;IF(D109&lt;&gt;"","；"&amp;D109,"")&amp;IF(D111&lt;&gt;"","；"&amp;D111,"")&amp;IF(D113&lt;&gt;"","；"&amp;D113,"")&amp;IF(D115&lt;&gt;"","；"&amp;D115,"")&amp;IF(D117&lt;&gt;"","；"&amp;D117,"")&amp;IF(D119&lt;&gt;"","；"&amp;D119,"")&amp;IF(D121&lt;&gt;"","；"&amp;D121,""),2,9999)</f>
        <v/>
      </c>
      <c r="E123" s="42" t="str">
        <f aca="false">MID(IF(E90&lt;&gt;"","；"&amp;E90,"")&amp;IF(E92&lt;&gt;"","；"&amp;E92,"")&amp;IF(E94&lt;&gt;"","；"&amp;E94,"")&amp;IF(E99&lt;&gt;"","；"&amp;E99,"")&amp;IF(E101&lt;&gt;"","；"&amp;E101,"")&amp;IF(E103&lt;&gt;"","；"&amp;E103,"")&amp;IF(E105&lt;&gt;"","；"&amp;E105,"")&amp;IF(E107&lt;&gt;"","；"&amp;E107,"")&amp;IF(E109&lt;&gt;"","；"&amp;E109,"")&amp;IF(E111&lt;&gt;"","；"&amp;E111,"")&amp;IF(E113&lt;&gt;"","；"&amp;E113,"")&amp;IF(E115&lt;&gt;"","；"&amp;E115,"")&amp;IF(E117&lt;&gt;"","；"&amp;E117,"")&amp;IF(E119&lt;&gt;"","；"&amp;E119,"")&amp;IF(E121&lt;&gt;"","；"&amp;E121,""),2,9999)</f>
        <v/>
      </c>
      <c r="F123" s="42" t="str">
        <f aca="false">MID(IF(F90&lt;&gt;"","；"&amp;F90,"")&amp;IF(F92&lt;&gt;"","；"&amp;F92,"")&amp;IF(F94&lt;&gt;"","；"&amp;F94,"")&amp;IF(F99&lt;&gt;"","；"&amp;F99,"")&amp;IF(F101&lt;&gt;"","；"&amp;F101,"")&amp;IF(F103&lt;&gt;"","；"&amp;F103,"")&amp;IF(F105&lt;&gt;"","；"&amp;F105,"")&amp;IF(F107&lt;&gt;"","；"&amp;F107,"")&amp;IF(F109&lt;&gt;"","；"&amp;F109,"")&amp;IF(F111&lt;&gt;"","；"&amp;F111,"")&amp;IF(F113&lt;&gt;"","；"&amp;F113,"")&amp;IF(F115&lt;&gt;"","；"&amp;F115,"")&amp;IF(F117&lt;&gt;"","；"&amp;F117,"")&amp;IF(F119&lt;&gt;"","；"&amp;F119,"")&amp;IF(F121&lt;&gt;"","；"&amp;F121,""),2,9999)</f>
        <v/>
      </c>
      <c r="G123" s="42" t="str">
        <f aca="false">MID(IF(G90&lt;&gt;"","；"&amp;G90,"")&amp;IF(G92&lt;&gt;"","；"&amp;G92,"")&amp;IF(G94&lt;&gt;"","；"&amp;G94,"")&amp;IF(G99&lt;&gt;"","；"&amp;G99,"")&amp;IF(G101&lt;&gt;"","；"&amp;G101,"")&amp;IF(G103&lt;&gt;"","；"&amp;G103,"")&amp;IF(G105&lt;&gt;"","；"&amp;G105,"")&amp;IF(G107&lt;&gt;"","；"&amp;G107,"")&amp;IF(G109&lt;&gt;"","；"&amp;G109,"")&amp;IF(G111&lt;&gt;"","；"&amp;G111,"")&amp;IF(G113&lt;&gt;"","；"&amp;G113,"")&amp;IF(G115&lt;&gt;"","；"&amp;G115,"")&amp;IF(G117&lt;&gt;"","；"&amp;G117,"")&amp;IF(G119&lt;&gt;"","；"&amp;G119,"")&amp;IF(G121&lt;&gt;"","；"&amp;G121,""),2,9999)</f>
        <v/>
      </c>
      <c r="H123" s="42" t="str">
        <f aca="false">MID(IF(H90&lt;&gt;"","；"&amp;H90,"")&amp;IF(H92&lt;&gt;"","；"&amp;H92,"")&amp;IF(H94&lt;&gt;"","；"&amp;H94,"")&amp;IF(H99&lt;&gt;"","；"&amp;H99,"")&amp;IF(H101&lt;&gt;"","；"&amp;H101,"")&amp;IF(H103&lt;&gt;"","；"&amp;H103,"")&amp;IF(H105&lt;&gt;"","；"&amp;H105,"")&amp;IF(H107&lt;&gt;"","；"&amp;H107,"")&amp;IF(H109&lt;&gt;"","；"&amp;H109,"")&amp;IF(H111&lt;&gt;"","；"&amp;H111,"")&amp;IF(H113&lt;&gt;"","；"&amp;H113,"")&amp;IF(H115&lt;&gt;"","；"&amp;H115,"")&amp;IF(H117&lt;&gt;"","；"&amp;H117,"")&amp;IF(H119&lt;&gt;"","；"&amp;H119,"")&amp;IF(H121&lt;&gt;"","；"&amp;H121,""),2,9999)</f>
        <v/>
      </c>
    </row>
    <row r="124" customFormat="false" ht="15" hidden="true" customHeight="false" outlineLevel="1" collapsed="false">
      <c r="A124" s="3" t="s">
        <v>1066</v>
      </c>
      <c r="C124" s="42" t="str">
        <f aca="false">IF((C91&amp;IF(AND(C93&lt;&gt;"",C93&lt;&gt;C91),IF((C91)&lt;&gt;"","、","")&amp;C93,"")&amp;IF(AND(C95&lt;&gt;"",C95&lt;&gt;C91,C95&lt;&gt;C93),IF((C91&amp;C93)&lt;&gt;"","、","")&amp;C95,""))&lt;&gt;"","〔"&amp;(C91&amp;IF(AND(C93&lt;&gt;"",C93&lt;&gt;C91),IF((C91)&lt;&gt;"","、","")&amp;C93,"")&amp;IF(AND(C95&lt;&gt;"",C95&lt;&gt;C91,C95&lt;&gt;C93),IF((C91&amp;C93)&lt;&gt;"","、","")&amp;C95,""))&amp;"〕","")</f>
        <v/>
      </c>
      <c r="D124" s="42" t="str">
        <f aca="false">IF((D91&amp;IF(AND(D93&lt;&gt;"",D93&lt;&gt;D91),IF((D91)&lt;&gt;"","、","")&amp;D93,"")&amp;IF(AND(D95&lt;&gt;"",D95&lt;&gt;D91,D95&lt;&gt;D93),IF((D91&amp;D93)&lt;&gt;"","、","")&amp;D95,""))&lt;&gt;"","〔"&amp;(D91&amp;IF(AND(D93&lt;&gt;"",D93&lt;&gt;D91),IF((D91)&lt;&gt;"","、","")&amp;D93,"")&amp;IF(AND(D95&lt;&gt;"",D95&lt;&gt;D91,D95&lt;&gt;D93),IF((D91&amp;D93)&lt;&gt;"","、","")&amp;D95,""))&amp;"〕","")</f>
        <v/>
      </c>
      <c r="E124" s="42" t="str">
        <f aca="false">IF((E91&amp;IF(AND(E93&lt;&gt;"",E93&lt;&gt;E91),IF((E91)&lt;&gt;"","、","")&amp;E93,"")&amp;IF(AND(E95&lt;&gt;"",E95&lt;&gt;E91,E95&lt;&gt;E93),IF((E91&amp;E93)&lt;&gt;"","、","")&amp;E95,""))&lt;&gt;"","〔"&amp;(E91&amp;IF(AND(E93&lt;&gt;"",E93&lt;&gt;E91),IF((E91)&lt;&gt;"","、","")&amp;E93,"")&amp;IF(AND(E95&lt;&gt;"",E95&lt;&gt;E91,E95&lt;&gt;E93),IF((E91&amp;E93)&lt;&gt;"","、","")&amp;E95,""))&amp;"〕","")</f>
        <v/>
      </c>
      <c r="F124" s="42" t="str">
        <f aca="false">IF((F91&amp;IF(AND(F93&lt;&gt;"",F93&lt;&gt;F91),IF((F91)&lt;&gt;"","、","")&amp;F93,"")&amp;IF(AND(F95&lt;&gt;"",F95&lt;&gt;F91,F95&lt;&gt;F93),IF((F91&amp;F93)&lt;&gt;"","、","")&amp;F95,""))&lt;&gt;"","〔"&amp;(F91&amp;IF(AND(F93&lt;&gt;"",F93&lt;&gt;F91),IF((F91)&lt;&gt;"","、","")&amp;F93,"")&amp;IF(AND(F95&lt;&gt;"",F95&lt;&gt;F91,F95&lt;&gt;F93),IF((F91&amp;F93)&lt;&gt;"","、","")&amp;F95,""))&amp;"〕","")</f>
        <v/>
      </c>
      <c r="G124" s="42" t="str">
        <f aca="false">IF((G91&amp;IF(AND(G93&lt;&gt;"",G93&lt;&gt;G91),IF((G91)&lt;&gt;"","、","")&amp;G93,"")&amp;IF(AND(G95&lt;&gt;"",G95&lt;&gt;G91,G95&lt;&gt;G93),IF((G91&amp;G93)&lt;&gt;"","、","")&amp;G95,""))&lt;&gt;"","〔"&amp;(G91&amp;IF(AND(G93&lt;&gt;"",G93&lt;&gt;G91),IF((G91)&lt;&gt;"","、","")&amp;G93,"")&amp;IF(AND(G95&lt;&gt;"",G95&lt;&gt;G91,G95&lt;&gt;G93),IF((G91&amp;G93)&lt;&gt;"","、","")&amp;G95,""))&amp;"〕","")</f>
        <v/>
      </c>
      <c r="H124" s="42" t="str">
        <f aca="false">IF((H91&amp;IF(AND(H93&lt;&gt;"",H93&lt;&gt;H91),IF((H91)&lt;&gt;"","、","")&amp;H93,"")&amp;IF(AND(H95&lt;&gt;"",H95&lt;&gt;H91,H95&lt;&gt;H93),IF((H91&amp;H93)&lt;&gt;"","、","")&amp;H95,""))&lt;&gt;"","〔"&amp;(H91&amp;IF(AND(H93&lt;&gt;"",H93&lt;&gt;H91),IF((H91)&lt;&gt;"","、","")&amp;H93,"")&amp;IF(AND(H95&lt;&gt;"",H95&lt;&gt;H91,H95&lt;&gt;H93),IF((H91&amp;H93)&lt;&gt;"","、","")&amp;H95,""))&amp;"〕","")</f>
        <v/>
      </c>
    </row>
    <row r="125" customFormat="false" ht="15" hidden="true" customHeight="false" outlineLevel="1" collapsed="false">
      <c r="A125" s="3" t="s">
        <v>1067</v>
      </c>
      <c r="C125" s="42" t="str">
        <f aca="false">IF((C100&amp;IF(AND(C102&lt;&gt;"",C102&lt;&gt;C100),IF((C100)&lt;&gt;"","、","")&amp;C102,"")&amp;IF(AND(C104&lt;&gt;"",C104&lt;&gt;C100,C104&lt;&gt;C102),IF((C100&amp;C102)&lt;&gt;"","、","")&amp;C104,""))&lt;&gt;"","〔"&amp;(C100&amp;IF(AND(C102&lt;&gt;"",C102&lt;&gt;C100),IF((C100)&lt;&gt;"","、","")&amp;C102,"")&amp;IF(AND(C104&lt;&gt;"",C104&lt;&gt;C100,C104&lt;&gt;C102),IF((C100&amp;C102)&lt;&gt;"","、","")&amp;C104,""))&amp;"〕","")</f>
        <v/>
      </c>
      <c r="D125" s="42" t="str">
        <f aca="false">IF((D100&amp;IF(AND(D102&lt;&gt;"",D102&lt;&gt;D100),IF((D100)&lt;&gt;"","、","")&amp;D102,"")&amp;IF(AND(D104&lt;&gt;"",D104&lt;&gt;D100,D104&lt;&gt;D102),IF((D100&amp;D102)&lt;&gt;"","、","")&amp;D104,""))&lt;&gt;"","〔"&amp;(D100&amp;IF(AND(D102&lt;&gt;"",D102&lt;&gt;D100),IF((D100)&lt;&gt;"","、","")&amp;D102,"")&amp;IF(AND(D104&lt;&gt;"",D104&lt;&gt;D100,D104&lt;&gt;D102),IF((D100&amp;D102)&lt;&gt;"","、","")&amp;D104,""))&amp;"〕","")</f>
        <v/>
      </c>
      <c r="E125" s="42" t="str">
        <f aca="false">IF((E100&amp;IF(AND(E102&lt;&gt;"",E102&lt;&gt;E100),IF((E100)&lt;&gt;"","、","")&amp;E102,"")&amp;IF(AND(E104&lt;&gt;"",E104&lt;&gt;E100,E104&lt;&gt;E102),IF((E100&amp;E102)&lt;&gt;"","、","")&amp;E104,""))&lt;&gt;"","〔"&amp;(E100&amp;IF(AND(E102&lt;&gt;"",E102&lt;&gt;E100),IF((E100)&lt;&gt;"","、","")&amp;E102,"")&amp;IF(AND(E104&lt;&gt;"",E104&lt;&gt;E100,E104&lt;&gt;E102),IF((E100&amp;E102)&lt;&gt;"","、","")&amp;E104,""))&amp;"〕","")</f>
        <v/>
      </c>
      <c r="F125" s="42" t="str">
        <f aca="false">IF((F100&amp;IF(AND(F102&lt;&gt;"",F102&lt;&gt;F100),IF((F100)&lt;&gt;"","、","")&amp;F102,"")&amp;IF(AND(F104&lt;&gt;"",F104&lt;&gt;F100,F104&lt;&gt;F102),IF((F100&amp;F102)&lt;&gt;"","、","")&amp;F104,""))&lt;&gt;"","〔"&amp;(F100&amp;IF(AND(F102&lt;&gt;"",F102&lt;&gt;F100),IF((F100)&lt;&gt;"","、","")&amp;F102,"")&amp;IF(AND(F104&lt;&gt;"",F104&lt;&gt;F100,F104&lt;&gt;F102),IF((F100&amp;F102)&lt;&gt;"","、","")&amp;F104,""))&amp;"〕","")</f>
        <v/>
      </c>
      <c r="G125" s="42" t="str">
        <f aca="false">IF((G100&amp;IF(AND(G102&lt;&gt;"",G102&lt;&gt;G100),IF((G100)&lt;&gt;"","、","")&amp;G102,"")&amp;IF(AND(G104&lt;&gt;"",G104&lt;&gt;G100,G104&lt;&gt;G102),IF((G100&amp;G102)&lt;&gt;"","、","")&amp;G104,""))&lt;&gt;"","〔"&amp;(G100&amp;IF(AND(G102&lt;&gt;"",G102&lt;&gt;G100),IF((G100)&lt;&gt;"","、","")&amp;G102,"")&amp;IF(AND(G104&lt;&gt;"",G104&lt;&gt;G100,G104&lt;&gt;G102),IF((G100&amp;G102)&lt;&gt;"","、","")&amp;G104,""))&amp;"〕","")</f>
        <v/>
      </c>
      <c r="H125" s="42" t="str">
        <f aca="false">IF((H100&amp;IF(AND(H102&lt;&gt;"",H102&lt;&gt;H100),IF((H100)&lt;&gt;"","、","")&amp;H102,"")&amp;IF(AND(H104&lt;&gt;"",H104&lt;&gt;H100,H104&lt;&gt;H102),IF((H100&amp;H102)&lt;&gt;"","、","")&amp;H104,""))&lt;&gt;"","〔"&amp;(H100&amp;IF(AND(H102&lt;&gt;"",H102&lt;&gt;H100),IF((H100)&lt;&gt;"","、","")&amp;H102,"")&amp;IF(AND(H104&lt;&gt;"",H104&lt;&gt;H100,H104&lt;&gt;H102),IF((H100&amp;H102)&lt;&gt;"","、","")&amp;H104,""))&amp;"〕","")</f>
        <v/>
      </c>
    </row>
    <row r="126" customFormat="false" ht="15" hidden="true" customHeight="false" outlineLevel="1" collapsed="false">
      <c r="A126" s="3" t="s">
        <v>1068</v>
      </c>
      <c r="C126" s="42" t="str">
        <f aca="false">IF((C106&amp;IF(AND(C108&lt;&gt;"",C108&lt;&gt;C106),IF((C106)&lt;&gt;"","、","")&amp;C108,"")&amp;IF(AND(C110&lt;&gt;"",C110&lt;&gt;C106,C110&lt;&gt;C108),IF((C106&amp;C108)&lt;&gt;"","、","")&amp;C110,""))&lt;&gt;"","〔"&amp;(C106&amp;IF(AND(C108&lt;&gt;"",C108&lt;&gt;C106),IF((C106)&lt;&gt;"","、","")&amp;C108,"")&amp;IF(AND(C110&lt;&gt;"",C110&lt;&gt;C106,C110&lt;&gt;C108),IF((C106&amp;C108)&lt;&gt;"","、","")&amp;C110,""))&amp;"〕","")</f>
        <v/>
      </c>
      <c r="D126" s="42" t="str">
        <f aca="false">IF((D106&amp;IF(AND(D108&lt;&gt;"",D108&lt;&gt;D106),IF((D106)&lt;&gt;"","、","")&amp;D108,"")&amp;IF(AND(D110&lt;&gt;"",D110&lt;&gt;D106,D110&lt;&gt;D108),IF((D106&amp;D108)&lt;&gt;"","、","")&amp;D110,""))&lt;&gt;"","〔"&amp;(D106&amp;IF(AND(D108&lt;&gt;"",D108&lt;&gt;D106),IF((D106)&lt;&gt;"","、","")&amp;D108,"")&amp;IF(AND(D110&lt;&gt;"",D110&lt;&gt;D106,D110&lt;&gt;D108),IF((D106&amp;D108)&lt;&gt;"","、","")&amp;D110,""))&amp;"〕","")</f>
        <v/>
      </c>
      <c r="E126" s="42" t="str">
        <f aca="false">IF((E106&amp;IF(AND(E108&lt;&gt;"",E108&lt;&gt;E106),IF((E106)&lt;&gt;"","、","")&amp;E108,"")&amp;IF(AND(E110&lt;&gt;"",E110&lt;&gt;E106,E110&lt;&gt;E108),IF((E106&amp;E108)&lt;&gt;"","、","")&amp;E110,""))&lt;&gt;"","〔"&amp;(E106&amp;IF(AND(E108&lt;&gt;"",E108&lt;&gt;E106),IF((E106)&lt;&gt;"","、","")&amp;E108,"")&amp;IF(AND(E110&lt;&gt;"",E110&lt;&gt;E106,E110&lt;&gt;E108),IF((E106&amp;E108)&lt;&gt;"","、","")&amp;E110,""))&amp;"〕","")</f>
        <v/>
      </c>
      <c r="F126" s="42" t="str">
        <f aca="false">IF((F106&amp;IF(AND(F108&lt;&gt;"",F108&lt;&gt;F106),IF((F106)&lt;&gt;"","、","")&amp;F108,"")&amp;IF(AND(F110&lt;&gt;"",F110&lt;&gt;F106,F110&lt;&gt;F108),IF((F106&amp;F108)&lt;&gt;"","、","")&amp;F110,""))&lt;&gt;"","〔"&amp;(F106&amp;IF(AND(F108&lt;&gt;"",F108&lt;&gt;F106),IF((F106)&lt;&gt;"","、","")&amp;F108,"")&amp;IF(AND(F110&lt;&gt;"",F110&lt;&gt;F106,F110&lt;&gt;F108),IF((F106&amp;F108)&lt;&gt;"","、","")&amp;F110,""))&amp;"〕","")</f>
        <v/>
      </c>
      <c r="G126" s="42" t="str">
        <f aca="false">IF((G106&amp;IF(AND(G108&lt;&gt;"",G108&lt;&gt;G106),IF((G106)&lt;&gt;"","、","")&amp;G108,"")&amp;IF(AND(G110&lt;&gt;"",G110&lt;&gt;G106,G110&lt;&gt;G108),IF((G106&amp;G108)&lt;&gt;"","、","")&amp;G110,""))&lt;&gt;"","〔"&amp;(G106&amp;IF(AND(G108&lt;&gt;"",G108&lt;&gt;G106),IF((G106)&lt;&gt;"","、","")&amp;G108,"")&amp;IF(AND(G110&lt;&gt;"",G110&lt;&gt;G106,G110&lt;&gt;G108),IF((G106&amp;G108)&lt;&gt;"","、","")&amp;G110,""))&amp;"〕","")</f>
        <v/>
      </c>
      <c r="H126" s="42" t="str">
        <f aca="false">IF((H106&amp;IF(AND(H108&lt;&gt;"",H108&lt;&gt;H106),IF((H106)&lt;&gt;"","、","")&amp;H108,"")&amp;IF(AND(H110&lt;&gt;"",H110&lt;&gt;H106,H110&lt;&gt;H108),IF((H106&amp;H108)&lt;&gt;"","、","")&amp;H110,""))&lt;&gt;"","〔"&amp;(H106&amp;IF(AND(H108&lt;&gt;"",H108&lt;&gt;H106),IF((H106)&lt;&gt;"","、","")&amp;H108,"")&amp;IF(AND(H110&lt;&gt;"",H110&lt;&gt;H106,H110&lt;&gt;H108),IF((H106&amp;H108)&lt;&gt;"","、","")&amp;H110,""))&amp;"〕","")</f>
        <v/>
      </c>
    </row>
    <row r="127" customFormat="false" ht="15" hidden="true" customHeight="false" outlineLevel="1" collapsed="false">
      <c r="A127" s="3" t="s">
        <v>1069</v>
      </c>
      <c r="C127" s="42" t="str">
        <f aca="false">IF((C112&amp;IF(AND(C114&lt;&gt;"",C114&lt;&gt;C112),IF((C112)&lt;&gt;"","、","")&amp;C114,"")&amp;IF(AND(C116&lt;&gt;"",C116&lt;&gt;C112,C116&lt;&gt;C114),IF((C112&amp;C114)&lt;&gt;"","、","")&amp;C116,""))&lt;&gt;"","〔"&amp;(C112&amp;IF(AND(C114&lt;&gt;"",C114&lt;&gt;C112),IF((C112)&lt;&gt;"","、","")&amp;C114,"")&amp;IF(AND(C116&lt;&gt;"",C116&lt;&gt;C112,C116&lt;&gt;C114),IF((C112&amp;C114)&lt;&gt;"","、","")&amp;C116,""))&amp;"〕","")</f>
        <v/>
      </c>
      <c r="D127" s="42" t="str">
        <f aca="false">IF((D112&amp;IF(AND(D114&lt;&gt;"",D114&lt;&gt;D112),IF((D112)&lt;&gt;"","、","")&amp;D114,"")&amp;IF(AND(D116&lt;&gt;"",D116&lt;&gt;D112,D116&lt;&gt;D114),IF((D112&amp;D114)&lt;&gt;"","、","")&amp;D116,""))&lt;&gt;"","〔"&amp;(D112&amp;IF(AND(D114&lt;&gt;"",D114&lt;&gt;D112),IF((D112)&lt;&gt;"","、","")&amp;D114,"")&amp;IF(AND(D116&lt;&gt;"",D116&lt;&gt;D112,D116&lt;&gt;D114),IF((D112&amp;D114)&lt;&gt;"","、","")&amp;D116,""))&amp;"〕","")</f>
        <v/>
      </c>
      <c r="E127" s="42" t="str">
        <f aca="false">IF((E112&amp;IF(AND(E114&lt;&gt;"",E114&lt;&gt;E112),IF((E112)&lt;&gt;"","、","")&amp;E114,"")&amp;IF(AND(E116&lt;&gt;"",E116&lt;&gt;E112,E116&lt;&gt;E114),IF((E112&amp;E114)&lt;&gt;"","、","")&amp;E116,""))&lt;&gt;"","〔"&amp;(E112&amp;IF(AND(E114&lt;&gt;"",E114&lt;&gt;E112),IF((E112)&lt;&gt;"","、","")&amp;E114,"")&amp;IF(AND(E116&lt;&gt;"",E116&lt;&gt;E112,E116&lt;&gt;E114),IF((E112&amp;E114)&lt;&gt;"","、","")&amp;E116,""))&amp;"〕","")</f>
        <v/>
      </c>
      <c r="F127" s="42" t="str">
        <f aca="false">IF((F112&amp;IF(AND(F114&lt;&gt;"",F114&lt;&gt;F112),IF((F112)&lt;&gt;"","、","")&amp;F114,"")&amp;IF(AND(F116&lt;&gt;"",F116&lt;&gt;F112,F116&lt;&gt;F114),IF((F112&amp;F114)&lt;&gt;"","、","")&amp;F116,""))&lt;&gt;"","〔"&amp;(F112&amp;IF(AND(F114&lt;&gt;"",F114&lt;&gt;F112),IF((F112)&lt;&gt;"","、","")&amp;F114,"")&amp;IF(AND(F116&lt;&gt;"",F116&lt;&gt;F112,F116&lt;&gt;F114),IF((F112&amp;F114)&lt;&gt;"","、","")&amp;F116,""))&amp;"〕","")</f>
        <v/>
      </c>
      <c r="G127" s="42" t="str">
        <f aca="false">IF((G112&amp;IF(AND(G114&lt;&gt;"",G114&lt;&gt;G112),IF((G112)&lt;&gt;"","、","")&amp;G114,"")&amp;IF(AND(G116&lt;&gt;"",G116&lt;&gt;G112,G116&lt;&gt;G114),IF((G112&amp;G114)&lt;&gt;"","、","")&amp;G116,""))&lt;&gt;"","〔"&amp;(G112&amp;IF(AND(G114&lt;&gt;"",G114&lt;&gt;G112),IF((G112)&lt;&gt;"","、","")&amp;G114,"")&amp;IF(AND(G116&lt;&gt;"",G116&lt;&gt;G112,G116&lt;&gt;G114),IF((G112&amp;G114)&lt;&gt;"","、","")&amp;G116,""))&amp;"〕","")</f>
        <v/>
      </c>
      <c r="H127" s="42" t="str">
        <f aca="false">IF((H112&amp;IF(AND(H114&lt;&gt;"",H114&lt;&gt;H112),IF((H112)&lt;&gt;"","、","")&amp;H114,"")&amp;IF(AND(H116&lt;&gt;"",H116&lt;&gt;H112,H116&lt;&gt;H114),IF((H112&amp;H114)&lt;&gt;"","、","")&amp;H116,""))&lt;&gt;"","〔"&amp;(H112&amp;IF(AND(H114&lt;&gt;"",H114&lt;&gt;H112),IF((H112)&lt;&gt;"","、","")&amp;H114,"")&amp;IF(AND(H116&lt;&gt;"",H116&lt;&gt;H112,H116&lt;&gt;H114),IF((H112&amp;H114)&lt;&gt;"","、","")&amp;H116,""))&amp;"〕","")</f>
        <v/>
      </c>
    </row>
    <row r="128" customFormat="false" ht="15" hidden="true" customHeight="false" outlineLevel="1" collapsed="false">
      <c r="A128" s="3" t="s">
        <v>1070</v>
      </c>
      <c r="C128" s="42" t="str">
        <f aca="false">IF((C118&amp;IF(AND(C120&lt;&gt;"",C120&lt;&gt;C118),IF((C118)&lt;&gt;"","、","")&amp;C120,"")&amp;IF(AND(C122&lt;&gt;"",C122&lt;&gt;C118,C122&lt;&gt;C120),IF((C118&amp;C120)&lt;&gt;"","、","")&amp;C122,""))&lt;&gt;"","〔"&amp;(C118&amp;IF(AND(C120&lt;&gt;"",C120&lt;&gt;C118),IF((C118)&lt;&gt;"","、","")&amp;C120,"")&amp;IF(AND(C122&lt;&gt;"",C122&lt;&gt;C118,C122&lt;&gt;C120),IF((C118&amp;C120)&lt;&gt;"","、","")&amp;C122,""))&amp;"〕","")</f>
        <v/>
      </c>
      <c r="D128" s="42" t="str">
        <f aca="false">IF((D118&amp;IF(AND(D120&lt;&gt;"",D120&lt;&gt;D118),IF((D118)&lt;&gt;"","、","")&amp;D120,"")&amp;IF(AND(D122&lt;&gt;"",D122&lt;&gt;D118,D122&lt;&gt;D120),IF((D118&amp;D120)&lt;&gt;"","、","")&amp;D122,""))&lt;&gt;"","〔"&amp;(D118&amp;IF(AND(D120&lt;&gt;"",D120&lt;&gt;D118),IF((D118)&lt;&gt;"","、","")&amp;D120,"")&amp;IF(AND(D122&lt;&gt;"",D122&lt;&gt;D118,D122&lt;&gt;D120),IF((D118&amp;D120)&lt;&gt;"","、","")&amp;D122,""))&amp;"〕","")</f>
        <v/>
      </c>
      <c r="E128" s="42" t="str">
        <f aca="false">IF((E118&amp;IF(AND(E120&lt;&gt;"",E120&lt;&gt;E118),IF((E118)&lt;&gt;"","、","")&amp;E120,"")&amp;IF(AND(E122&lt;&gt;"",E122&lt;&gt;E118,E122&lt;&gt;E120),IF((E118&amp;E120)&lt;&gt;"","、","")&amp;E122,""))&lt;&gt;"","〔"&amp;(E118&amp;IF(AND(E120&lt;&gt;"",E120&lt;&gt;E118),IF((E118)&lt;&gt;"","、","")&amp;E120,"")&amp;IF(AND(E122&lt;&gt;"",E122&lt;&gt;E118,E122&lt;&gt;E120),IF((E118&amp;E120)&lt;&gt;"","、","")&amp;E122,""))&amp;"〕","")</f>
        <v/>
      </c>
      <c r="F128" s="42" t="str">
        <f aca="false">IF((F118&amp;IF(AND(F120&lt;&gt;"",F120&lt;&gt;F118),IF((F118)&lt;&gt;"","、","")&amp;F120,"")&amp;IF(AND(F122&lt;&gt;"",F122&lt;&gt;F118,F122&lt;&gt;F120),IF((F118&amp;F120)&lt;&gt;"","、","")&amp;F122,""))&lt;&gt;"","〔"&amp;(F118&amp;IF(AND(F120&lt;&gt;"",F120&lt;&gt;F118),IF((F118)&lt;&gt;"","、","")&amp;F120,"")&amp;IF(AND(F122&lt;&gt;"",F122&lt;&gt;F118,F122&lt;&gt;F120),IF((F118&amp;F120)&lt;&gt;"","、","")&amp;F122,""))&amp;"〕","")</f>
        <v/>
      </c>
      <c r="G128" s="42" t="str">
        <f aca="false">IF((G118&amp;IF(AND(G120&lt;&gt;"",G120&lt;&gt;G118),IF((G118)&lt;&gt;"","、","")&amp;G120,"")&amp;IF(AND(G122&lt;&gt;"",G122&lt;&gt;G118,G122&lt;&gt;G120),IF((G118&amp;G120)&lt;&gt;"","、","")&amp;G122,""))&lt;&gt;"","〔"&amp;(G118&amp;IF(AND(G120&lt;&gt;"",G120&lt;&gt;G118),IF((G118)&lt;&gt;"","、","")&amp;G120,"")&amp;IF(AND(G122&lt;&gt;"",G122&lt;&gt;G118,G122&lt;&gt;G120),IF((G118&amp;G120)&lt;&gt;"","、","")&amp;G122,""))&amp;"〕","")</f>
        <v/>
      </c>
      <c r="H128" s="42" t="str">
        <f aca="false">IF((H118&amp;IF(AND(H120&lt;&gt;"",H120&lt;&gt;H118),IF((H118)&lt;&gt;"","、","")&amp;H120,"")&amp;IF(AND(H122&lt;&gt;"",H122&lt;&gt;H118,H122&lt;&gt;H120),IF((H118&amp;H120)&lt;&gt;"","、","")&amp;H122,""))&lt;&gt;"","〔"&amp;(H118&amp;IF(AND(H120&lt;&gt;"",H120&lt;&gt;H118),IF((H118)&lt;&gt;"","、","")&amp;H120,"")&amp;IF(AND(H122&lt;&gt;"",H122&lt;&gt;H118,H122&lt;&gt;H120),IF((H118&amp;H120)&lt;&gt;"","、","")&amp;H122,""))&amp;"〕","")</f>
        <v/>
      </c>
    </row>
    <row r="129" customFormat="false" ht="15" hidden="true" customHeight="false" outlineLevel="1" collapsed="false">
      <c r="A129" s="3" t="s">
        <v>1071</v>
      </c>
      <c r="C129" s="42" t="str">
        <f aca="false">"營收：模型 "&amp;IF(ISNUMBER(C22),IF(C22&lt;0,"−","")&amp;"$"&amp;TEXT(ABS(C22),"#,##0.00")&amp;"bn","不適用")&amp;IF(ISNUMBER(C34),"｜共識 "&amp;IF(C34&lt;0,"−","")&amp;"$"&amp;TEXT(ABS(C34),"#,##0.00")&amp;"bn"&amp;"（"&amp;IF(ISNUMBER(C44),IF(C44&lt;0,"−","+")&amp;TEXT(ABS(C44)*100,"#,##0.0")&amp;"%","不適用")&amp;"）","")&amp;IF(AND(ISNUMBER(C31),ISNUMBER(C32)),"｜指引 "&amp;"$"&amp;IF(C31&lt;0,"−","")&amp;TEXT(ABS(C31),"#,##0.00")&amp;"–"&amp;IF(C32&lt;0,"−","")&amp;TEXT(ABS(C32),"#,##0.00")&amp;"bn"&amp;"（中點 "&amp;IF(ISNUMBER(C45),IF(C45&lt;0,"−","+")&amp;TEXT(ABS(C45)*100,"#,##0.0")&amp;"%","不適用")&amp;"，"&amp;IF(C22&gt;C32,"高於上緣",IF(C22&lt;C31,"低於下緣",IF(C22&gt;=(C31+C32)/2,"區間上半部","區間下半部")))&amp;"）","")&amp;IF(ISNUMBER(C38),"｜實際 "&amp;IF(C38&lt;0,"−","")&amp;"$"&amp;TEXT(ABS(C38),"#,##0.00")&amp;"bn"&amp;"（較模型 "&amp;IF(ISNUMBER(C46),IF(C46&lt;0,"−","+")&amp;TEXT(ABS(C46)*100,"#,##0.0")&amp;"%","不適用")&amp;IF(ISNUMBER(C34),"、較共識 "&amp;IF(ISNUMBER(C47),IF(C47&lt;0,"−","+")&amp;TEXT(ABS(C47)*100,"#,##0.0")&amp;"%","不適用"),"")&amp;IF(AND(ISNUMBER(C31),ISNUMBER(C32)),"、"&amp;IF(C38&gt;C32,"高於上緣",IF(C38&lt;C31,"低於下緣",IF(C38&gt;=(C31+C32)/2,"區間上半部","區間下半部"))),"")&amp;"）","")&amp;C124</f>
        <v>營收：模型 $21.03bn｜共識 $21.32bn（−1.4%）｜指引 $20.88–21.52bn（中點 −0.8%，區間下半部）</v>
      </c>
      <c r="D129" s="42" t="str">
        <f aca="false">"營收：模型 "&amp;IF(ISNUMBER(D22),IF(D22&lt;0,"−","")&amp;"$"&amp;TEXT(ABS(D22),"#,##0.00")&amp;"bn","不適用")&amp;IF(ISNUMBER(D34),"｜共識 "&amp;IF(D34&lt;0,"−","")&amp;"$"&amp;TEXT(ABS(D34),"#,##0.00")&amp;"bn"&amp;"（"&amp;IF(ISNUMBER(D44),IF(D44&lt;0,"−","+")&amp;TEXT(ABS(D44)*100,"#,##0.0")&amp;"%","不適用")&amp;"）","")&amp;IF(AND(ISNUMBER(D31),ISNUMBER(D32)),"｜指引 "&amp;"$"&amp;IF(D31&lt;0,"−","")&amp;TEXT(ABS(D31),"#,##0.00")&amp;"–"&amp;IF(D32&lt;0,"−","")&amp;TEXT(ABS(D32),"#,##0.00")&amp;"bn"&amp;"（中點 "&amp;IF(ISNUMBER(D45),IF(D45&lt;0,"−","+")&amp;TEXT(ABS(D45)*100,"#,##0.0")&amp;"%","不適用")&amp;"，"&amp;IF(D22&gt;D32,"高於上緣",IF(D22&lt;D31,"低於下緣",IF(D22&gt;=(D31+D32)/2,"區間上半部","區間下半部")))&amp;"）","")&amp;IF(ISNUMBER(D38),"｜實際 "&amp;IF(D38&lt;0,"−","")&amp;"$"&amp;TEXT(ABS(D38),"#,##0.00")&amp;"bn"&amp;"（較模型 "&amp;IF(ISNUMBER(D46),IF(D46&lt;0,"−","+")&amp;TEXT(ABS(D46)*100,"#,##0.0")&amp;"%","不適用")&amp;IF(ISNUMBER(D34),"、較共識 "&amp;IF(ISNUMBER(D47),IF(D47&lt;0,"−","+")&amp;TEXT(ABS(D47)*100,"#,##0.0")&amp;"%","不適用"),"")&amp;IF(AND(ISNUMBER(D31),ISNUMBER(D32)),"、"&amp;IF(D38&gt;D32,"高於上緣",IF(D38&lt;D31,"低於下緣",IF(D38&gt;=(D31+D32)/2,"區間上半部","區間下半部"))),"")&amp;"）","")&amp;D124</f>
        <v>營收：模型 $22.72bn｜共識 $23.38bn（−2.8%）</v>
      </c>
      <c r="E129" s="42" t="str">
        <f aca="false">"營收：模型 "&amp;IF(ISNUMBER(E22),IF(E22&lt;0,"−","")&amp;"$"&amp;TEXT(ABS(E22),"#,##0.00")&amp;"bn","不適用")&amp;IF(ISNUMBER(E34),"｜共識 "&amp;IF(E34&lt;0,"−","")&amp;"$"&amp;TEXT(ABS(E34),"#,##0.00")&amp;"bn"&amp;"（"&amp;IF(ISNUMBER(E44),IF(E44&lt;0,"−","+")&amp;TEXT(ABS(E44)*100,"#,##0.0")&amp;"%","不適用")&amp;"）","")&amp;IF(AND(ISNUMBER(E31),ISNUMBER(E32)),"｜指引 "&amp;"$"&amp;IF(E31&lt;0,"−","")&amp;TEXT(ABS(E31),"#,##0.00")&amp;"–"&amp;IF(E32&lt;0,"−","")&amp;TEXT(ABS(E32),"#,##0.00")&amp;"bn"&amp;"（中點 "&amp;IF(ISNUMBER(E45),IF(E45&lt;0,"−","+")&amp;TEXT(ABS(E45)*100,"#,##0.0")&amp;"%","不適用")&amp;"，"&amp;IF(E22&gt;E32,"高於上緣",IF(E22&lt;E31,"低於下緣",IF(E22&gt;=(E31+E32)/2,"區間上半部","區間下半部")))&amp;"）","")&amp;IF(ISNUMBER(E38),"｜實際 "&amp;IF(E38&lt;0,"−","")&amp;"$"&amp;TEXT(ABS(E38),"#,##0.00")&amp;"bn"&amp;"（較模型 "&amp;IF(ISNUMBER(E46),IF(E46&lt;0,"−","+")&amp;TEXT(ABS(E46)*100,"#,##0.0")&amp;"%","不適用")&amp;IF(ISNUMBER(E34),"、較共識 "&amp;IF(ISNUMBER(E47),IF(E47&lt;0,"−","+")&amp;TEXT(ABS(E47)*100,"#,##0.0")&amp;"%","不適用"),"")&amp;IF(AND(ISNUMBER(E31),ISNUMBER(E32)),"、"&amp;IF(E38&gt;E32,"高於上緣",IF(E38&lt;E31,"低於下緣",IF(E38&gt;=(E31+E32)/2,"區間上半部","區間下半部"))),"")&amp;"）","")&amp;E124</f>
        <v>營收：模型 $24.40bn</v>
      </c>
      <c r="F129" s="42" t="str">
        <f aca="false">"營收：模型 "&amp;IF(ISNUMBER(F22),IF(F22&lt;0,"−","")&amp;"$"&amp;TEXT(ABS(F22),"#,##0.00")&amp;"bn","不適用")&amp;IF(ISNUMBER(F34),"｜共識 "&amp;IF(F34&lt;0,"−","")&amp;"$"&amp;TEXT(ABS(F34),"#,##0.00")&amp;"bn"&amp;"（"&amp;IF(ISNUMBER(F44),IF(F44&lt;0,"−","+")&amp;TEXT(ABS(F44)*100,"#,##0.0")&amp;"%","不適用")&amp;"）","")&amp;IF(AND(ISNUMBER(F31),ISNUMBER(F32)),"｜指引 "&amp;"$"&amp;IF(F31&lt;0,"−","")&amp;TEXT(ABS(F31),"#,##0.00")&amp;"–"&amp;IF(F32&lt;0,"−","")&amp;TEXT(ABS(F32),"#,##0.00")&amp;"bn"&amp;"（中點 "&amp;IF(ISNUMBER(F45),IF(F45&lt;0,"−","+")&amp;TEXT(ABS(F45)*100,"#,##0.0")&amp;"%","不適用")&amp;"，"&amp;IF(F22&gt;F32,"高於上緣",IF(F22&lt;F31,"低於下緣",IF(F22&gt;=(F31+F32)/2,"區間上半部","區間下半部")))&amp;"）","")&amp;IF(ISNUMBER(F38),"｜實際 "&amp;IF(F38&lt;0,"−","")&amp;"$"&amp;TEXT(ABS(F38),"#,##0.00")&amp;"bn"&amp;"（較模型 "&amp;IF(ISNUMBER(F46),IF(F46&lt;0,"−","+")&amp;TEXT(ABS(F46)*100,"#,##0.0")&amp;"%","不適用")&amp;IF(ISNUMBER(F34),"、較共識 "&amp;IF(ISNUMBER(F47),IF(F47&lt;0,"−","+")&amp;TEXT(ABS(F47)*100,"#,##0.0")&amp;"%","不適用"),"")&amp;IF(AND(ISNUMBER(F31),ISNUMBER(F32)),"、"&amp;IF(F38&gt;F32,"高於上緣",IF(F38&lt;F31,"低於下緣",IF(F38&gt;=(F31+F32)/2,"區間上半部","區間下半部"))),"")&amp;"）","")&amp;F124</f>
        <v>營收：模型 $32.11bn</v>
      </c>
      <c r="G129" s="42" t="str">
        <f aca="false">"營收：模型 "&amp;IF(ISNUMBER(G22),IF(G22&lt;0,"−","")&amp;"$"&amp;TEXT(ABS(G22),"#,##0.00")&amp;"bn","不適用")&amp;IF(ISNUMBER(G34),"｜共識 "&amp;IF(G34&lt;0,"−","")&amp;"$"&amp;TEXT(ABS(G34),"#,##0.00")&amp;"bn"&amp;"（"&amp;IF(ISNUMBER(G44),IF(G44&lt;0,"−","+")&amp;TEXT(ABS(G44)*100,"#,##0.0")&amp;"%","不適用")&amp;"）","")&amp;IF(AND(ISNUMBER(G31),ISNUMBER(G32)),"｜指引 "&amp;"$"&amp;IF(G31&lt;0,"−","")&amp;TEXT(ABS(G31),"#,##0.00")&amp;"–"&amp;IF(G32&lt;0,"−","")&amp;TEXT(ABS(G32),"#,##0.00")&amp;"bn"&amp;"（中點 "&amp;IF(ISNUMBER(G45),IF(G45&lt;0,"−","+")&amp;TEXT(ABS(G45)*100,"#,##0.0")&amp;"%","不適用")&amp;"，"&amp;IF(G22&gt;G32,"高於上緣",IF(G22&lt;G31,"低於下緣",IF(G22&gt;=(G31+G32)/2,"區間上半部","區間下半部")))&amp;"）","")&amp;IF(ISNUMBER(G38),"｜實際 "&amp;IF(G38&lt;0,"−","")&amp;"$"&amp;TEXT(ABS(G38),"#,##0.00")&amp;"bn"&amp;"（較模型 "&amp;IF(ISNUMBER(G46),IF(G46&lt;0,"−","+")&amp;TEXT(ABS(G46)*100,"#,##0.0")&amp;"%","不適用")&amp;IF(ISNUMBER(G34),"、較共識 "&amp;IF(ISNUMBER(G47),IF(G47&lt;0,"−","+")&amp;TEXT(ABS(G47)*100,"#,##0.0")&amp;"%","不適用"),"")&amp;IF(AND(ISNUMBER(G31),ISNUMBER(G32)),"、"&amp;IF(G38&gt;G32,"高於上緣",IF(G38&lt;G31,"低於下緣",IF(G38&gt;=(G31+G32)/2,"區間上半部","區間下半部"))),"")&amp;"）","")&amp;G124</f>
        <v>營收：模型 $41.80bn</v>
      </c>
      <c r="H129" s="42" t="str">
        <f aca="false">"營收：模型 "&amp;IF(ISNUMBER(H22),IF(H22&lt;0,"−","")&amp;"$"&amp;TEXT(ABS(H22),"#,##0.00")&amp;"bn","不適用")&amp;IF(ISNUMBER(H34),"｜共識 "&amp;IF(H34&lt;0,"−","")&amp;"$"&amp;TEXT(ABS(H34),"#,##0.00")&amp;"bn"&amp;"（"&amp;IF(ISNUMBER(H44),IF(H44&lt;0,"−","+")&amp;TEXT(ABS(H44)*100,"#,##0.0")&amp;"%","不適用")&amp;"）","")&amp;IF(AND(ISNUMBER(H31),ISNUMBER(H32)),"｜指引 "&amp;"$"&amp;IF(H31&lt;0,"−","")&amp;TEXT(ABS(H31),"#,##0.00")&amp;"–"&amp;IF(H32&lt;0,"−","")&amp;TEXT(ABS(H32),"#,##0.00")&amp;"bn"&amp;"（中點 "&amp;IF(ISNUMBER(H45),IF(H45&lt;0,"−","+")&amp;TEXT(ABS(H45)*100,"#,##0.0")&amp;"%","不適用")&amp;"，"&amp;IF(H22&gt;H32,"高於上緣",IF(H22&lt;H31,"低於下緣",IF(H22&gt;=(H31+H32)/2,"區間上半部","區間下半部")))&amp;"）","")&amp;IF(ISNUMBER(H38),"｜實際 "&amp;IF(H38&lt;0,"−","")&amp;"$"&amp;TEXT(ABS(H38),"#,##0.00")&amp;"bn"&amp;"（較模型 "&amp;IF(ISNUMBER(H46),IF(H46&lt;0,"−","+")&amp;TEXT(ABS(H46)*100,"#,##0.0")&amp;"%","不適用")&amp;IF(ISNUMBER(H34),"、較共識 "&amp;IF(ISNUMBER(H47),IF(H47&lt;0,"−","+")&amp;TEXT(ABS(H47)*100,"#,##0.0")&amp;"%","不適用"),"")&amp;IF(AND(ISNUMBER(H31),ISNUMBER(H32)),"、"&amp;IF(H38&gt;H32,"高於上緣",IF(H38&lt;H31,"低於下緣",IF(H38&gt;=(H31+H32)/2,"區間上半部","區間下半部"))),"")&amp;"）","")&amp;H124</f>
        <v>營收：模型 $51.48bn</v>
      </c>
    </row>
    <row r="130" customFormat="false" ht="15" hidden="true" customHeight="false" outlineLevel="1" collapsed="false">
      <c r="A130" s="3" t="s">
        <v>1072</v>
      </c>
      <c r="C130" s="42" t="str">
        <f aca="false">"調整後 EBITDA：模型 "&amp;IF(ISNUMBER(C28),IF(C28&lt;0,"−","")&amp;"$"&amp;TEXT(ABS(C28),"#,##0.00")&amp;"bn","不適用")&amp;IF(ISNUMBER(C35),"｜共識 "&amp;IF(C35&lt;0,"−","")&amp;"$"&amp;TEXT(ABS(C35),"#,##0.00")&amp;"bn"&amp;"（"&amp;IF(ISNUMBER(C49),IF(C49&lt;0,"−","+")&amp;IF(ABS(C49)&lt;0,"−","")&amp;"$"&amp;TEXT(ABS(ABS(C49)),"#,##0.00")&amp;"bn"&amp;IF(ISNUMBER(C54),"／"&amp;IF(C54&lt;0,"−","+")&amp;TEXT(ABS(C54)*100,"#,##0.0")&amp;"pt",""),"不適用")&amp;"）","")&amp;IF(ISNUMBER(C39),"｜實際 "&amp;IF(C39&lt;0,"−","")&amp;"$"&amp;TEXT(ABS(C39),"#,##0.00")&amp;"bn"&amp;"（較模型 "&amp;IF(ISNUMBER(C51),IF(C51&lt;0,"−","+")&amp;IF(ABS(C51)&lt;0,"−","")&amp;"$"&amp;TEXT(ABS(ABS(C51)),"#,##0.00")&amp;"bn"&amp;IF(ISNUMBER(C56),"／"&amp;IF(C56&lt;0,"−","+")&amp;TEXT(ABS(C56)*100,"#,##0.0")&amp;"pt",""),"不適用")&amp;IF(ISNUMBER(C35),"、較共識 "&amp;IF(ISNUMBER(C52),IF(C52&lt;0,"−","+")&amp;IF(ABS(C52)&lt;0,"−","")&amp;"$"&amp;TEXT(ABS(ABS(C52)),"#,##0.00")&amp;"bn"&amp;IF(ISNUMBER(C57),"／"&amp;IF(C57&lt;0,"−","+")&amp;TEXT(ABS(C57)*100,"#,##0.0")&amp;"pt",""),"不適用"),"")&amp;"）","")&amp;C125</f>
        <v>調整後 EBITDA：模型 $12.40bn｜共識 $12.36bn（+$0.04bn／+1.0pt）</v>
      </c>
      <c r="D130" s="42" t="str">
        <f aca="false">"調整後 EBITDA：模型 "&amp;IF(ISNUMBER(D28),IF(D28&lt;0,"−","")&amp;"$"&amp;TEXT(ABS(D28),"#,##0.00")&amp;"bn","不適用")&amp;IF(ISNUMBER(D35),"｜共識 "&amp;IF(D35&lt;0,"−","")&amp;"$"&amp;TEXT(ABS(D35),"#,##0.00")&amp;"bn"&amp;"（"&amp;IF(ISNUMBER(D49),IF(D49&lt;0,"−","+")&amp;IF(ABS(D49)&lt;0,"−","")&amp;"$"&amp;TEXT(ABS(ABS(D49)),"#,##0.00")&amp;"bn"&amp;IF(ISNUMBER(D54),"／"&amp;IF(D54&lt;0,"−","+")&amp;TEXT(ABS(D54)*100,"#,##0.0")&amp;"pt",""),"不適用")&amp;"）","")&amp;IF(ISNUMBER(D39),"｜實際 "&amp;IF(D39&lt;0,"−","")&amp;"$"&amp;TEXT(ABS(D39),"#,##0.00")&amp;"bn"&amp;"（較模型 "&amp;IF(ISNUMBER(D51),IF(D51&lt;0,"−","+")&amp;IF(ABS(D51)&lt;0,"−","")&amp;"$"&amp;TEXT(ABS(ABS(D51)),"#,##0.00")&amp;"bn"&amp;IF(ISNUMBER(D56),"／"&amp;IF(D56&lt;0,"−","+")&amp;TEXT(ABS(D56)*100,"#,##0.0")&amp;"pt",""),"不適用")&amp;IF(ISNUMBER(D35),"、較共識 "&amp;IF(ISNUMBER(D52),IF(D52&lt;0,"−","+")&amp;IF(ABS(D52)&lt;0,"−","")&amp;"$"&amp;TEXT(ABS(ABS(D52)),"#,##0.00")&amp;"bn"&amp;IF(ISNUMBER(D57),"／"&amp;IF(D57&lt;0,"−","+")&amp;TEXT(ABS(D57)*100,"#,##0.0")&amp;"pt",""),"不適用"),"")&amp;"）","")&amp;D125</f>
        <v>調整後 EBITDA：模型 $13.36bn｜共識 $13.52bn（−$0.16bn／+1.0pt）</v>
      </c>
      <c r="E130" s="42" t="str">
        <f aca="false">"調整後 EBITDA：模型 "&amp;IF(ISNUMBER(E28),IF(E28&lt;0,"−","")&amp;"$"&amp;TEXT(ABS(E28),"#,##0.00")&amp;"bn","不適用")&amp;IF(ISNUMBER(E35),"｜共識 "&amp;IF(E35&lt;0,"−","")&amp;"$"&amp;TEXT(ABS(E35),"#,##0.00")&amp;"bn"&amp;"（"&amp;IF(ISNUMBER(E49),IF(E49&lt;0,"−","+")&amp;IF(ABS(E49)&lt;0,"−","")&amp;"$"&amp;TEXT(ABS(ABS(E49)),"#,##0.00")&amp;"bn"&amp;IF(ISNUMBER(E54),"／"&amp;IF(E54&lt;0,"−","+")&amp;TEXT(ABS(E54)*100,"#,##0.0")&amp;"pt",""),"不適用")&amp;"）","")&amp;IF(ISNUMBER(E39),"｜實際 "&amp;IF(E39&lt;0,"−","")&amp;"$"&amp;TEXT(ABS(E39),"#,##0.00")&amp;"bn"&amp;"（較模型 "&amp;IF(ISNUMBER(E51),IF(E51&lt;0,"−","+")&amp;IF(ABS(E51)&lt;0,"−","")&amp;"$"&amp;TEXT(ABS(ABS(E51)),"#,##0.00")&amp;"bn"&amp;IF(ISNUMBER(E56),"／"&amp;IF(E56&lt;0,"−","+")&amp;TEXT(ABS(E56)*100,"#,##0.0")&amp;"pt",""),"不適用")&amp;IF(ISNUMBER(E35),"、較共識 "&amp;IF(ISNUMBER(E52),IF(E52&lt;0,"−","+")&amp;IF(ABS(E52)&lt;0,"−","")&amp;"$"&amp;TEXT(ABS(ABS(E52)),"#,##0.00")&amp;"bn"&amp;IF(ISNUMBER(E57),"／"&amp;IF(E57&lt;0,"−","+")&amp;TEXT(ABS(E57)*100,"#,##0.0")&amp;"pt",""),"不適用"),"")&amp;"）","")&amp;E125</f>
        <v>調整後 EBITDA：模型 $14.31bn</v>
      </c>
      <c r="F130" s="42" t="str">
        <f aca="false">"調整後 EBITDA：模型 "&amp;IF(ISNUMBER(F28),IF(F28&lt;0,"−","")&amp;"$"&amp;TEXT(ABS(F28),"#,##0.00")&amp;"bn","不適用")&amp;IF(ISNUMBER(F35),"｜共識 "&amp;IF(F35&lt;0,"−","")&amp;"$"&amp;TEXT(ABS(F35),"#,##0.00")&amp;"bn"&amp;"（"&amp;IF(ISNUMBER(F49),IF(F49&lt;0,"−","+")&amp;IF(ABS(F49)&lt;0,"−","")&amp;"$"&amp;TEXT(ABS(ABS(F49)),"#,##0.00")&amp;"bn"&amp;IF(ISNUMBER(F54),"／"&amp;IF(F54&lt;0,"−","+")&amp;TEXT(ABS(F54)*100,"#,##0.0")&amp;"pt",""),"不適用")&amp;"）","")&amp;IF(ISNUMBER(F39),"｜實際 "&amp;IF(F39&lt;0,"−","")&amp;"$"&amp;TEXT(ABS(F39),"#,##0.00")&amp;"bn"&amp;"（較模型 "&amp;IF(ISNUMBER(F51),IF(F51&lt;0,"−","+")&amp;IF(ABS(F51)&lt;0,"−","")&amp;"$"&amp;TEXT(ABS(ABS(F51)),"#,##0.00")&amp;"bn"&amp;IF(ISNUMBER(F56),"／"&amp;IF(F56&lt;0,"−","+")&amp;TEXT(ABS(F56)*100,"#,##0.0")&amp;"pt",""),"不適用")&amp;IF(ISNUMBER(F35),"、較共識 "&amp;IF(ISNUMBER(F52),IF(F52&lt;0,"−","+")&amp;IF(ABS(F52)&lt;0,"−","")&amp;"$"&amp;TEXT(ABS(ABS(F52)),"#,##0.00")&amp;"bn"&amp;IF(ISNUMBER(F57),"／"&amp;IF(F57&lt;0,"−","+")&amp;TEXT(ABS(F57)*100,"#,##0.0")&amp;"pt",""),"不適用"),"")&amp;"）","")&amp;F125</f>
        <v>調整後 EBITDA：模型 $18.78bn</v>
      </c>
      <c r="G130" s="42" t="str">
        <f aca="false">"調整後 EBITDA：模型 "&amp;IF(ISNUMBER(G28),IF(G28&lt;0,"−","")&amp;"$"&amp;TEXT(ABS(G28),"#,##0.00")&amp;"bn","不適用")&amp;IF(ISNUMBER(G35),"｜共識 "&amp;IF(G35&lt;0,"−","")&amp;"$"&amp;TEXT(ABS(G35),"#,##0.00")&amp;"bn"&amp;"（"&amp;IF(ISNUMBER(G49),IF(G49&lt;0,"−","+")&amp;IF(ABS(G49)&lt;0,"−","")&amp;"$"&amp;TEXT(ABS(ABS(G49)),"#,##0.00")&amp;"bn"&amp;IF(ISNUMBER(G54),"／"&amp;IF(G54&lt;0,"−","+")&amp;TEXT(ABS(G54)*100,"#,##0.0")&amp;"pt",""),"不適用")&amp;"）","")&amp;IF(ISNUMBER(G39),"｜實際 "&amp;IF(G39&lt;0,"−","")&amp;"$"&amp;TEXT(ABS(G39),"#,##0.00")&amp;"bn"&amp;"（較模型 "&amp;IF(ISNUMBER(G51),IF(G51&lt;0,"−","+")&amp;IF(ABS(G51)&lt;0,"−","")&amp;"$"&amp;TEXT(ABS(ABS(G51)),"#,##0.00")&amp;"bn"&amp;IF(ISNUMBER(G56),"／"&amp;IF(G56&lt;0,"−","+")&amp;TEXT(ABS(G56)*100,"#,##0.0")&amp;"pt",""),"不適用")&amp;IF(ISNUMBER(G35),"、較共識 "&amp;IF(ISNUMBER(G52),IF(G52&lt;0,"−","+")&amp;IF(ABS(G52)&lt;0,"−","")&amp;"$"&amp;TEXT(ABS(ABS(G52)),"#,##0.00")&amp;"bn"&amp;IF(ISNUMBER(G57),"／"&amp;IF(G57&lt;0,"−","+")&amp;TEXT(ABS(G57)*100,"#,##0.0")&amp;"pt",""),"不適用"),"")&amp;"）","")&amp;G125</f>
        <v>調整後 EBITDA：模型 $24.38bn</v>
      </c>
      <c r="H130" s="42" t="str">
        <f aca="false">"調整後 EBITDA：模型 "&amp;IF(ISNUMBER(H28),IF(H28&lt;0,"−","")&amp;"$"&amp;TEXT(ABS(H28),"#,##0.00")&amp;"bn","不適用")&amp;IF(ISNUMBER(H35),"｜共識 "&amp;IF(H35&lt;0,"−","")&amp;"$"&amp;TEXT(ABS(H35),"#,##0.00")&amp;"bn"&amp;"（"&amp;IF(ISNUMBER(H49),IF(H49&lt;0,"−","+")&amp;IF(ABS(H49)&lt;0,"−","")&amp;"$"&amp;TEXT(ABS(ABS(H49)),"#,##0.00")&amp;"bn"&amp;IF(ISNUMBER(H54),"／"&amp;IF(H54&lt;0,"−","+")&amp;TEXT(ABS(H54)*100,"#,##0.0")&amp;"pt",""),"不適用")&amp;"）","")&amp;IF(ISNUMBER(H39),"｜實際 "&amp;IF(H39&lt;0,"−","")&amp;"$"&amp;TEXT(ABS(H39),"#,##0.00")&amp;"bn"&amp;"（較模型 "&amp;IF(ISNUMBER(H51),IF(H51&lt;0,"−","+")&amp;IF(ABS(H51)&lt;0,"−","")&amp;"$"&amp;TEXT(ABS(ABS(H51)),"#,##0.00")&amp;"bn"&amp;IF(ISNUMBER(H56),"／"&amp;IF(H56&lt;0,"−","+")&amp;TEXT(ABS(H56)*100,"#,##0.0")&amp;"pt",""),"不適用")&amp;IF(ISNUMBER(H35),"、較共識 "&amp;IF(ISNUMBER(H52),IF(H52&lt;0,"−","+")&amp;IF(ABS(H52)&lt;0,"−","")&amp;"$"&amp;TEXT(ABS(ABS(H52)),"#,##0.00")&amp;"bn"&amp;IF(ISNUMBER(H57),"／"&amp;IF(H57&lt;0,"−","+")&amp;TEXT(ABS(H57)*100,"#,##0.0")&amp;"pt",""),"不適用"),"")&amp;"）","")&amp;H125</f>
        <v>調整後 EBITDA：模型 $29.95bn</v>
      </c>
    </row>
    <row r="131" customFormat="false" ht="15" hidden="true" customHeight="false" outlineLevel="1" collapsed="false">
      <c r="A131" s="3" t="s">
        <v>1073</v>
      </c>
      <c r="C131" s="42" t="str">
        <f aca="false">"EBITDA 率：模型 "&amp;IF(ISNUMBER(C27),IF(C27&lt;0,"−","")&amp;TEXT(ABS(C27)*100,"#,##0.0")&amp;"%","不適用")&amp;IF(ISNUMBER(C36),"｜共識 "&amp;IF(C36&lt;0,"−","")&amp;TEXT(ABS(C36)*100,"#,##0.0")&amp;"%"&amp;"（"&amp;IF(ISNUMBER(C59),IF(C59&lt;0,"−","+")&amp;TEXT(ABS(C59)*100,"#,##0.0")&amp;"pt","不適用")&amp;"）","")&amp;IF(ISNUMBER(C40),"｜實際 "&amp;IF(C40&lt;0,"−","")&amp;TEXT(ABS(C40)*100,"#,##0.0")&amp;"%"&amp;"（較模型 "&amp;IF(ISNUMBER(C61),IF(C61&lt;0,"−","+")&amp;TEXT(ABS(C61)*100,"#,##0.0")&amp;"pt","不適用")&amp;IF(ISNUMBER(C36),"、較共識 "&amp;IF(ISNUMBER(C62),IF(C62&lt;0,"−","+")&amp;TEXT(ABS(C62)*100,"#,##0.0")&amp;"pt","不適用"),"")&amp;"）","")</f>
        <v>EBITDA 率：模型 58.9%｜共識 58.0%（+1.0pt）</v>
      </c>
      <c r="D131" s="42" t="str">
        <f aca="false">"EBITDA 率：模型 "&amp;IF(ISNUMBER(D27),IF(D27&lt;0,"−","")&amp;TEXT(ABS(D27)*100,"#,##0.0")&amp;"%","不適用")&amp;IF(ISNUMBER(D36),"｜共識 "&amp;IF(D36&lt;0,"−","")&amp;TEXT(ABS(D36)*100,"#,##0.0")&amp;"%"&amp;"（"&amp;IF(ISNUMBER(D59),IF(D59&lt;0,"−","+")&amp;TEXT(ABS(D59)*100,"#,##0.0")&amp;"pt","不適用")&amp;"）","")&amp;IF(ISNUMBER(D40),"｜實際 "&amp;IF(D40&lt;0,"−","")&amp;TEXT(ABS(D40)*100,"#,##0.0")&amp;"%"&amp;"（較模型 "&amp;IF(ISNUMBER(D61),IF(D61&lt;0,"−","+")&amp;TEXT(ABS(D61)*100,"#,##0.0")&amp;"pt","不適用")&amp;IF(ISNUMBER(D36),"、較共識 "&amp;IF(ISNUMBER(D62),IF(D62&lt;0,"−","+")&amp;TEXT(ABS(D62)*100,"#,##0.0")&amp;"pt","不適用"),"")&amp;"）","")</f>
        <v>EBITDA 率：模型 58.8%｜共識 57.8%（+1.0pt）</v>
      </c>
      <c r="E131" s="42" t="str">
        <f aca="false">"EBITDA 率：模型 "&amp;IF(ISNUMBER(E27),IF(E27&lt;0,"−","")&amp;TEXT(ABS(E27)*100,"#,##0.0")&amp;"%","不適用")&amp;IF(ISNUMBER(E36),"｜共識 "&amp;IF(E36&lt;0,"−","")&amp;TEXT(ABS(E36)*100,"#,##0.0")&amp;"%"&amp;"（"&amp;IF(ISNUMBER(E59),IF(E59&lt;0,"−","+")&amp;TEXT(ABS(E59)*100,"#,##0.0")&amp;"pt","不適用")&amp;"）","")&amp;IF(ISNUMBER(E40),"｜實際 "&amp;IF(E40&lt;0,"−","")&amp;TEXT(ABS(E40)*100,"#,##0.0")&amp;"%"&amp;"（較模型 "&amp;IF(ISNUMBER(E61),IF(E61&lt;0,"−","+")&amp;TEXT(ABS(E61)*100,"#,##0.0")&amp;"pt","不適用")&amp;IF(ISNUMBER(E36),"、較共識 "&amp;IF(ISNUMBER(E62),IF(E62&lt;0,"−","+")&amp;TEXT(ABS(E62)*100,"#,##0.0")&amp;"pt","不適用"),"")&amp;"）","")</f>
        <v>EBITDA 率：模型 58.6%</v>
      </c>
      <c r="F131" s="42" t="str">
        <f aca="false">"EBITDA 率：模型 "&amp;IF(ISNUMBER(F27),IF(F27&lt;0,"−","")&amp;TEXT(ABS(F27)*100,"#,##0.0")&amp;"%","不適用")&amp;IF(ISNUMBER(F36),"｜共識 "&amp;IF(F36&lt;0,"−","")&amp;TEXT(ABS(F36)*100,"#,##0.0")&amp;"%"&amp;"（"&amp;IF(ISNUMBER(F59),IF(F59&lt;0,"−","+")&amp;TEXT(ABS(F59)*100,"#,##0.0")&amp;"pt","不適用")&amp;"）","")&amp;IF(ISNUMBER(F40),"｜實際 "&amp;IF(F40&lt;0,"−","")&amp;TEXT(ABS(F40)*100,"#,##0.0")&amp;"%"&amp;"（較模型 "&amp;IF(ISNUMBER(F61),IF(F61&lt;0,"−","+")&amp;TEXT(ABS(F61)*100,"#,##0.0")&amp;"pt","不適用")&amp;IF(ISNUMBER(F36),"、較共識 "&amp;IF(ISNUMBER(F62),IF(F62&lt;0,"−","+")&amp;TEXT(ABS(F62)*100,"#,##0.0")&amp;"pt","不適用"),"")&amp;"）","")</f>
        <v>EBITDA 率：模型 58.5%</v>
      </c>
      <c r="G131" s="42" t="str">
        <f aca="false">"EBITDA 率：模型 "&amp;IF(ISNUMBER(G27),IF(G27&lt;0,"−","")&amp;TEXT(ABS(G27)*100,"#,##0.0")&amp;"%","不適用")&amp;IF(ISNUMBER(G36),"｜共識 "&amp;IF(G36&lt;0,"−","")&amp;TEXT(ABS(G36)*100,"#,##0.0")&amp;"%"&amp;"（"&amp;IF(ISNUMBER(G59),IF(G59&lt;0,"−","+")&amp;TEXT(ABS(G59)*100,"#,##0.0")&amp;"pt","不適用")&amp;"）","")&amp;IF(ISNUMBER(G40),"｜實際 "&amp;IF(G40&lt;0,"−","")&amp;TEXT(ABS(G40)*100,"#,##0.0")&amp;"%"&amp;"（較模型 "&amp;IF(ISNUMBER(G61),IF(G61&lt;0,"−","+")&amp;TEXT(ABS(G61)*100,"#,##0.0")&amp;"pt","不適用")&amp;IF(ISNUMBER(G36),"、較共識 "&amp;IF(ISNUMBER(G62),IF(G62&lt;0,"−","+")&amp;TEXT(ABS(G62)*100,"#,##0.0")&amp;"pt","不適用"),"")&amp;"）","")</f>
        <v>EBITDA 率：模型 58.3%</v>
      </c>
      <c r="H131" s="42" t="str">
        <f aca="false">"EBITDA 率：模型 "&amp;IF(ISNUMBER(H27),IF(H27&lt;0,"−","")&amp;TEXT(ABS(H27)*100,"#,##0.0")&amp;"%","不適用")&amp;IF(ISNUMBER(H36),"｜共識 "&amp;IF(H36&lt;0,"−","")&amp;TEXT(ABS(H36)*100,"#,##0.0")&amp;"%"&amp;"（"&amp;IF(ISNUMBER(H59),IF(H59&lt;0,"−","+")&amp;TEXT(ABS(H59)*100,"#,##0.0")&amp;"pt","不適用")&amp;"）","")&amp;IF(ISNUMBER(H40),"｜實際 "&amp;IF(H40&lt;0,"−","")&amp;TEXT(ABS(H40)*100,"#,##0.0")&amp;"%"&amp;"（較模型 "&amp;IF(ISNUMBER(H61),IF(H61&lt;0,"−","+")&amp;TEXT(ABS(H61)*100,"#,##0.0")&amp;"pt","不適用")&amp;IF(ISNUMBER(H36),"、較共識 "&amp;IF(ISNUMBER(H62),IF(H62&lt;0,"−","+")&amp;TEXT(ABS(H62)*100,"#,##0.0")&amp;"pt","不適用"),"")&amp;"）","")</f>
        <v>EBITDA 率：模型 58.2%</v>
      </c>
    </row>
    <row r="132" customFormat="false" ht="15" hidden="true" customHeight="false" outlineLevel="1" collapsed="false">
      <c r="A132" s="3" t="s">
        <v>1074</v>
      </c>
      <c r="C132" s="42" t="str">
        <f aca="false">"調整後營業利益：模型 "&amp;IF(ISNUMBER(C30),IF(C30&lt;0,"−","")&amp;"$"&amp;TEXT(ABS(C30),"#,##0.00")&amp;"bn","不適用")&amp;IF(ISNUMBER(C41),"｜實際 "&amp;IF(C41&lt;0,"−","")&amp;"$"&amp;TEXT(ABS(C41),"#,##0.00")&amp;"bn"&amp;"（較模型 "&amp;IF(ISNUMBER(C66),IF(C66&lt;0,"−","+")&amp;IF(ABS(C66)&lt;0,"−","")&amp;"$"&amp;TEXT(ABS(ABS(C66)),"#,##0.00")&amp;"bn"&amp;IF(ISNUMBER(C71),"／"&amp;IF(C71&lt;0,"−","+")&amp;TEXT(ABS(C71)*100,"#,##0.0")&amp;"pt",""),"不適用")&amp;"）","")&amp;C126</f>
        <v>調整後營業利益：模型 $8.88bn</v>
      </c>
      <c r="D132" s="42" t="str">
        <f aca="false">"調整後營業利益：模型 "&amp;IF(ISNUMBER(D30),IF(D30&lt;0,"−","")&amp;"$"&amp;TEXT(ABS(D30),"#,##0.00")&amp;"bn","不適用")&amp;IF(ISNUMBER(D41),"｜實際 "&amp;IF(D41&lt;0,"−","")&amp;"$"&amp;TEXT(ABS(D41),"#,##0.00")&amp;"bn"&amp;"（較模型 "&amp;IF(ISNUMBER(D66),IF(D66&lt;0,"−","+")&amp;IF(ABS(D66)&lt;0,"−","")&amp;"$"&amp;TEXT(ABS(ABS(D66)),"#,##0.00")&amp;"bn"&amp;IF(ISNUMBER(D71),"／"&amp;IF(D71&lt;0,"−","+")&amp;TEXT(ABS(D71)*100,"#,##0.0")&amp;"pt",""),"不適用")&amp;"）","")&amp;D126</f>
        <v>調整後營業利益：模型 $9.12bn</v>
      </c>
      <c r="E132" s="42" t="str">
        <f aca="false">"調整後營業利益：模型 "&amp;IF(ISNUMBER(E30),IF(E30&lt;0,"−","")&amp;"$"&amp;TEXT(ABS(E30),"#,##0.00")&amp;"bn","不適用")&amp;IF(ISNUMBER(E41),"｜實際 "&amp;IF(E41&lt;0,"−","")&amp;"$"&amp;TEXT(ABS(E41),"#,##0.00")&amp;"bn"&amp;"（較模型 "&amp;IF(ISNUMBER(E66),IF(E66&lt;0,"−","+")&amp;IF(ABS(E66)&lt;0,"−","")&amp;"$"&amp;TEXT(ABS(ABS(E66)),"#,##0.00")&amp;"bn"&amp;IF(ISNUMBER(E71),"／"&amp;IF(E71&lt;0,"−","+")&amp;TEXT(ABS(E71)*100,"#,##0.0")&amp;"pt",""),"不適用")&amp;"）","")&amp;E126</f>
        <v>調整後營業利益：模型 $9.36bn</v>
      </c>
      <c r="F132" s="42" t="str">
        <f aca="false">"調整後營業利益：模型 "&amp;IF(ISNUMBER(F30),IF(F30&lt;0,"−","")&amp;"$"&amp;TEXT(ABS(F30),"#,##0.00")&amp;"bn","不適用")&amp;IF(ISNUMBER(F41),"｜實際 "&amp;IF(F41&lt;0,"−","")&amp;"$"&amp;TEXT(ABS(F41),"#,##0.00")&amp;"bn"&amp;"（較模型 "&amp;IF(ISNUMBER(F66),IF(F66&lt;0,"−","+")&amp;IF(ABS(F66)&lt;0,"−","")&amp;"$"&amp;TEXT(ABS(ABS(F66)),"#,##0.00")&amp;"bn"&amp;IF(ISNUMBER(F71),"／"&amp;IF(F71&lt;0,"−","+")&amp;TEXT(ABS(F71)*100,"#,##0.0")&amp;"pt",""),"不適用")&amp;"）","")&amp;F126</f>
        <v>調整後營業利益：模型 $10.86bn</v>
      </c>
      <c r="G132" s="42" t="str">
        <f aca="false">"調整後營業利益：模型 "&amp;IF(ISNUMBER(G30),IF(G30&lt;0,"−","")&amp;"$"&amp;TEXT(ABS(G30),"#,##0.00")&amp;"bn","不適用")&amp;IF(ISNUMBER(G41),"｜實際 "&amp;IF(G41&lt;0,"−","")&amp;"$"&amp;TEXT(ABS(G41),"#,##0.00")&amp;"bn"&amp;"（較模型 "&amp;IF(ISNUMBER(G66),IF(G66&lt;0,"−","+")&amp;IF(ABS(G66)&lt;0,"−","")&amp;"$"&amp;TEXT(ABS(ABS(G66)),"#,##0.00")&amp;"bn"&amp;IF(ISNUMBER(G71),"／"&amp;IF(G71&lt;0,"−","+")&amp;TEXT(ABS(G71)*100,"#,##0.0")&amp;"pt",""),"不適用")&amp;"）","")&amp;G126</f>
        <v>調整後營業利益：模型 $14.79bn</v>
      </c>
      <c r="H132" s="42" t="str">
        <f aca="false">"調整後營業利益：模型 "&amp;IF(ISNUMBER(H30),IF(H30&lt;0,"−","")&amp;"$"&amp;TEXT(ABS(H30),"#,##0.00")&amp;"bn","不適用")&amp;IF(ISNUMBER(H41),"｜實際 "&amp;IF(H41&lt;0,"−","")&amp;"$"&amp;TEXT(ABS(H41),"#,##0.00")&amp;"bn"&amp;"（較模型 "&amp;IF(ISNUMBER(H66),IF(H66&lt;0,"−","+")&amp;IF(ABS(H66)&lt;0,"−","")&amp;"$"&amp;TEXT(ABS(ABS(H66)),"#,##0.00")&amp;"bn"&amp;IF(ISNUMBER(H71),"／"&amp;IF(H71&lt;0,"−","+")&amp;TEXT(ABS(H71)*100,"#,##0.0")&amp;"pt",""),"不適用")&amp;"）","")&amp;H126</f>
        <v>調整後營業利益：模型 $18.68bn</v>
      </c>
    </row>
    <row r="133" customFormat="false" ht="15" hidden="true" customHeight="false" outlineLevel="1" collapsed="false">
      <c r="A133" s="3" t="s">
        <v>1075</v>
      </c>
      <c r="C133" s="42" t="str">
        <f aca="false">"CapEx（毛額）：模型 "&amp;IF(ISNUMBER(C33),IF(C33&lt;0,"−","")&amp;"$"&amp;TEXT(ABS(C33),"#,##0.00")&amp;"bn","不適用")&amp;IF(ISNUMBER(C42),"｜實際 "&amp;IF(C42&lt;0,"−","")&amp;"$"&amp;TEXT(ABS(C42),"#,##0.00")&amp;"bn"&amp;"（較模型 "&amp;IF(ISNUMBER(C76),IF(C76&lt;0,"−","+")&amp;TEXT(ABS(C76)*100,"#,##0.0")&amp;"%","不適用")&amp;"）","")&amp;C127</f>
        <v>CapEx（毛額）：模型 $25.87bn</v>
      </c>
      <c r="D133" s="42" t="str">
        <f aca="false">"CapEx（毛額）：模型 "&amp;IF(ISNUMBER(D33),IF(D33&lt;0,"−","")&amp;"$"&amp;TEXT(ABS(D33),"#,##0.00")&amp;"bn","不適用")&amp;IF(ISNUMBER(D42),"｜實際 "&amp;IF(D42&lt;0,"−","")&amp;"$"&amp;TEXT(ABS(D42),"#,##0.00")&amp;"bn"&amp;"（較模型 "&amp;IF(ISNUMBER(D76),IF(D76&lt;0,"−","+")&amp;TEXT(ABS(D76)*100,"#,##0.0")&amp;"%","不適用")&amp;"）","")&amp;D127</f>
        <v>CapEx（毛額）：模型 $25.87bn</v>
      </c>
      <c r="E133" s="42" t="str">
        <f aca="false">"CapEx（毛額）：模型 "&amp;IF(ISNUMBER(E33),IF(E33&lt;0,"−","")&amp;"$"&amp;TEXT(ABS(E33),"#,##0.00")&amp;"bn","不適用")&amp;IF(ISNUMBER(E42),"｜實際 "&amp;IF(E42&lt;0,"−","")&amp;"$"&amp;TEXT(ABS(E42),"#,##0.00")&amp;"bn"&amp;"（較模型 "&amp;IF(ISNUMBER(E76),IF(E76&lt;0,"−","+")&amp;TEXT(ABS(E76)*100,"#,##0.0")&amp;"%","不適用")&amp;"）","")&amp;E127</f>
        <v>CapEx（毛額）：模型 $25.87bn</v>
      </c>
      <c r="F133" s="42" t="str">
        <f aca="false">"CapEx（毛額）：模型 "&amp;IF(ISNUMBER(F33),IF(F33&lt;0,"−","")&amp;"$"&amp;TEXT(ABS(F33),"#,##0.00")&amp;"bn","不適用")&amp;IF(ISNUMBER(F42),"｜實際 "&amp;IF(F42&lt;0,"−","")&amp;"$"&amp;TEXT(ABS(F42),"#,##0.00")&amp;"bn"&amp;"（較模型 "&amp;IF(ISNUMBER(F76),IF(F76&lt;0,"−","+")&amp;TEXT(ABS(F76)*100,"#,##0.0")&amp;"%","不適用")&amp;"）","")&amp;F127</f>
        <v>CapEx（毛額）：模型 $28.67bn</v>
      </c>
      <c r="G133" s="42" t="str">
        <f aca="false">"CapEx（毛額）：模型 "&amp;IF(ISNUMBER(G33),IF(G33&lt;0,"−","")&amp;"$"&amp;TEXT(ABS(G33),"#,##0.00")&amp;"bn","不適用")&amp;IF(ISNUMBER(G42),"｜實際 "&amp;IF(G42&lt;0,"−","")&amp;"$"&amp;TEXT(ABS(G42),"#,##0.00")&amp;"bn"&amp;"（較模型 "&amp;IF(ISNUMBER(G76),IF(G76&lt;0,"−","+")&amp;TEXT(ABS(G76)*100,"#,##0.0")&amp;"%","不適用")&amp;"）","")&amp;G127</f>
        <v>CapEx（毛額）：模型 $28.67bn</v>
      </c>
      <c r="H133" s="42" t="str">
        <f aca="false">"CapEx（毛額）：模型 "&amp;IF(ISNUMBER(H33),IF(H33&lt;0,"−","")&amp;"$"&amp;TEXT(ABS(H33),"#,##0.00")&amp;"bn","不適用")&amp;IF(ISNUMBER(H42),"｜實際 "&amp;IF(H42&lt;0,"−","")&amp;"$"&amp;TEXT(ABS(H42),"#,##0.00")&amp;"bn"&amp;"（較模型 "&amp;IF(ISNUMBER(H76),IF(H76&lt;0,"−","+")&amp;TEXT(ABS(H76)*100,"#,##0.0")&amp;"%","不適用")&amp;"）","")&amp;H127</f>
        <v>CapEx（毛額）：模型 $28.67bn</v>
      </c>
    </row>
    <row r="134" customFormat="false" ht="15" hidden="true" customHeight="false" outlineLevel="1" collapsed="false">
      <c r="A134" s="3" t="s">
        <v>1076</v>
      </c>
      <c r="C134" s="42" t="str">
        <f aca="false">"季末已連網 MW-IT：模型 "&amp;IF(ISNUMBER(C19),IF(C19&lt;0,"−","")&amp;TEXT(ABS(C19),"#,##0")&amp;" MW","不適用")&amp;IF(ISNUMBER(C43),"｜實際 "&amp;IF(C43&lt;0,"−","")&amp;TEXT(ABS(C43),"#,##0")&amp;" MW"&amp;"（較模型 "&amp;IF(ISNUMBER(C81),IF(C81&lt;0,"−","+")&amp;IF(ABS(C81)&lt;0,"−","")&amp;TEXT(ABS(ABS(C81)),"#,##0")&amp;" MW","不適用")&amp;"）","")&amp;C128</f>
        <v>季末已連網 MW-IT：模型 3,251 MW</v>
      </c>
      <c r="D134" s="42" t="str">
        <f aca="false">"季末已連網 MW-IT：模型 "&amp;IF(ISNUMBER(D19),IF(D19&lt;0,"−","")&amp;TEXT(ABS(D19),"#,##0")&amp;" MW","不適用")&amp;IF(ISNUMBER(D43),"｜實際 "&amp;IF(D43&lt;0,"−","")&amp;TEXT(ABS(D43),"#,##0")&amp;" MW"&amp;"（較模型 "&amp;IF(ISNUMBER(D81),IF(D81&lt;0,"−","+")&amp;IF(ABS(D81)&lt;0,"−","")&amp;TEXT(ABS(ABS(D81)),"#,##0")&amp;" MW","不適用")&amp;"）","")&amp;D128</f>
        <v>季末已連網 MW-IT：模型 3,960 MW</v>
      </c>
      <c r="E134" s="42" t="str">
        <f aca="false">"季末已連網 MW-IT：模型 "&amp;IF(ISNUMBER(E19),IF(E19&lt;0,"−","")&amp;TEXT(ABS(E19),"#,##0")&amp;" MW","不適用")&amp;IF(ISNUMBER(E43),"｜實際 "&amp;IF(E43&lt;0,"−","")&amp;TEXT(ABS(E43),"#,##0")&amp;" MW"&amp;"（較模型 "&amp;IF(ISNUMBER(E81),IF(E81&lt;0,"−","+")&amp;IF(ABS(E81)&lt;0,"−","")&amp;TEXT(ABS(ABS(E81)),"#,##0")&amp;" MW","不適用")&amp;"）","")&amp;E128</f>
        <v>季末已連網 MW-IT：模型 4,668 MW</v>
      </c>
      <c r="F134" s="42" t="str">
        <f aca="false">"季末已連網 MW-IT：模型 "&amp;IF(ISNUMBER(F19),IF(F19&lt;0,"−","")&amp;TEXT(ABS(F19),"#,##0")&amp;" MW","不適用")&amp;IF(ISNUMBER(F43),"｜實際 "&amp;IF(F43&lt;0,"−","")&amp;TEXT(ABS(F43),"#,##0")&amp;" MW"&amp;"（較模型 "&amp;IF(ISNUMBER(F81),IF(F81&lt;0,"−","+")&amp;IF(ABS(F81)&lt;0,"−","")&amp;TEXT(ABS(ABS(F81)),"#,##0")&amp;" MW","不適用")&amp;"）","")&amp;F128</f>
        <v>季末已連網 MW-IT：模型 5,612 MW</v>
      </c>
      <c r="G134" s="42" t="str">
        <f aca="false">"季末已連網 MW-IT：模型 "&amp;IF(ISNUMBER(G19),IF(G19&lt;0,"−","")&amp;TEXT(ABS(G19),"#,##0")&amp;" MW","不適用")&amp;IF(ISNUMBER(G43),"｜實際 "&amp;IF(G43&lt;0,"−","")&amp;TEXT(ABS(G43),"#,##0")&amp;" MW"&amp;"（較模型 "&amp;IF(ISNUMBER(G81),IF(G81&lt;0,"−","+")&amp;IF(ABS(G81)&lt;0,"−","")&amp;TEXT(ABS(ABS(G81)),"#,##0")&amp;" MW","不適用")&amp;"）","")&amp;G128</f>
        <v>季末已連網 MW-IT：模型 6,557 MW</v>
      </c>
      <c r="H134" s="42" t="str">
        <f aca="false">"季末已連網 MW-IT：模型 "&amp;IF(ISNUMBER(H19),IF(H19&lt;0,"−","")&amp;TEXT(ABS(H19),"#,##0")&amp;" MW","不適用")&amp;IF(ISNUMBER(H43),"｜實際 "&amp;IF(H43&lt;0,"−","")&amp;TEXT(ABS(H43),"#,##0")&amp;" MW"&amp;"（較模型 "&amp;IF(ISNUMBER(H81),IF(H81&lt;0,"−","+")&amp;IF(ABS(H81)&lt;0,"−","")&amp;TEXT(ABS(ABS(H81)),"#,##0")&amp;" MW","不適用")&amp;"）","")&amp;H128</f>
        <v>季末已連網 MW-IT：模型 7,501 MW</v>
      </c>
    </row>
    <row r="135" customFormat="false" ht="15" hidden="true" customHeight="false" outlineLevel="1" collapsed="false"/>
    <row r="136" customFormat="false" ht="15" hidden="true" customHeight="false" outlineLevel="1" collapsed="false">
      <c r="A136" s="2" t="s">
        <v>1077</v>
      </c>
    </row>
    <row r="137" customFormat="false" ht="15" hidden="true" customHeight="false" outlineLevel="1" collapsed="false">
      <c r="A137" s="3" t="s">
        <v>1078</v>
      </c>
      <c r="C137" s="65" t="n">
        <f aca="false">C22+D22+E22-損益!C9</f>
        <v>0</v>
      </c>
      <c r="D137" s="65" t="n">
        <f aca="false">F22+G22+H22-損益!D9</f>
        <v>0</v>
      </c>
    </row>
    <row r="138" customFormat="false" ht="15" hidden="true" customHeight="false" outlineLevel="1" collapsed="false">
      <c r="A138" s="3" t="s">
        <v>1079</v>
      </c>
      <c r="C138" s="65" t="n">
        <f aca="false">C28+D28+E28-損益!C22</f>
        <v>0</v>
      </c>
      <c r="D138" s="65" t="n">
        <f aca="false">F28+G28+H28-損益!D22</f>
        <v>0</v>
      </c>
    </row>
    <row r="139" customFormat="false" ht="15" hidden="true" customHeight="false" outlineLevel="1" collapsed="false">
      <c r="A139" s="3" t="s">
        <v>1080</v>
      </c>
      <c r="C139" s="65" t="n">
        <f aca="false">C30+D30+E30-損益!C12</f>
        <v>0</v>
      </c>
      <c r="D139" s="65" t="n">
        <f aca="false">F30+G30+H30-損益!D12</f>
        <v>0</v>
      </c>
    </row>
    <row r="140" customFormat="false" ht="15" hidden="true" customHeight="false" outlineLevel="1" collapsed="false">
      <c r="A140" s="3" t="s">
        <v>1081</v>
      </c>
      <c r="C140" s="65" t="n">
        <f aca="false">C33+D33+E33-輸入與假設!C$135</f>
        <v>0</v>
      </c>
      <c r="D140" s="65" t="n">
        <f aca="false">F33+G33+H33-輸入與假設!D$135</f>
        <v>0</v>
      </c>
    </row>
    <row r="141" customFormat="false" ht="15" hidden="true" customHeight="false" outlineLevel="1" collapsed="false">
      <c r="A141" s="3" t="s">
        <v>1082</v>
      </c>
      <c r="C141" s="65" t="n">
        <f aca="false">C29+D29+E29-輸入與假設!C$136</f>
        <v>0</v>
      </c>
      <c r="D141" s="65" t="n">
        <f aca="false">F29+G29+H29-輸入與假設!D$136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F5C61"/>
    <outlinePr summaryBelow="0" summaryRight="1"/>
    <pageSetUpPr fitToPage="false"/>
  </sheetPr>
  <dimension ref="A1:I6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1" outlineLevelCol="0"/>
  <cols>
    <col collapsed="false" customWidth="true" hidden="false" outlineLevel="0" max="1" min="1" style="0" width="42"/>
    <col collapsed="false" customWidth="true" hidden="false" outlineLevel="0" max="2" min="2" style="0" width="12"/>
    <col collapsed="false" customWidth="true" hidden="false" outlineLevel="0" max="7" min="3" style="0" width="13"/>
    <col collapsed="false" customWidth="true" hidden="false" outlineLevel="0" max="9" min="9" style="0" width="96"/>
  </cols>
  <sheetData>
    <row r="1" customFormat="false" ht="21.6" hidden="false" customHeight="false" outlineLevel="0" collapsed="false">
      <c r="A1" s="5" t="s">
        <v>1083</v>
      </c>
    </row>
    <row r="2" customFormat="false" ht="15" hidden="false" customHeight="false" outlineLevel="0" collapsed="false">
      <c r="A2" s="6" t="s">
        <v>1084</v>
      </c>
    </row>
    <row r="3" customFormat="false" ht="15" hidden="false" customHeight="false" outlineLevel="0" collapsed="false">
      <c r="A3" s="11" t="s">
        <v>1085</v>
      </c>
    </row>
    <row r="5" customFormat="false" ht="15" hidden="false" customHeight="false" outlineLevel="0" collapsed="false">
      <c r="A5" s="14" t="s">
        <v>53</v>
      </c>
      <c r="B5" s="14" t="s">
        <v>54</v>
      </c>
      <c r="C5" s="28" t="s">
        <v>55</v>
      </c>
      <c r="D5" s="28" t="s">
        <v>56</v>
      </c>
      <c r="E5" s="28" t="s">
        <v>57</v>
      </c>
      <c r="F5" s="28" t="s">
        <v>147</v>
      </c>
      <c r="G5" s="28" t="s">
        <v>148</v>
      </c>
      <c r="I5" s="14" t="s">
        <v>749</v>
      </c>
    </row>
    <row r="6" customFormat="false" ht="15" hidden="false" customHeight="false" outlineLevel="0" collapsed="false">
      <c r="A6" s="3" t="s">
        <v>526</v>
      </c>
      <c r="B6" s="6"/>
      <c r="C6" s="62" t="str">
        <f aca="false">"2026-09-01~05-31"</f>
        <v>2026-09-01~05-31</v>
      </c>
      <c r="D6" s="62" t="str">
        <f aca="false">"2028 全年"</f>
        <v>2028 全年</v>
      </c>
      <c r="E6" s="62" t="str">
        <f aca="false">"2029 全年"</f>
        <v>2029 全年</v>
      </c>
      <c r="F6" s="62" t="str">
        <f aca="false">"2030 全年"</f>
        <v>2030 全年</v>
      </c>
      <c r="G6" s="62" t="str">
        <f aca="false">"2031 全年"</f>
        <v>2031 全年</v>
      </c>
      <c r="I6" s="11" t="s">
        <v>1086</v>
      </c>
    </row>
    <row r="7" customFormat="false" ht="15" hidden="false" customHeight="false" outlineLevel="0" collapsed="false">
      <c r="A7" s="3" t="s">
        <v>212</v>
      </c>
      <c r="B7" s="6"/>
      <c r="C7" s="39" t="n">
        <f aca="false">輸入與假設!C$41</f>
        <v>0.75</v>
      </c>
      <c r="D7" s="39" t="n">
        <f aca="false">輸入與假設!D$41</f>
        <v>1</v>
      </c>
      <c r="E7" s="39" t="n">
        <f aca="false">輸入與假設!E$41</f>
        <v>1</v>
      </c>
      <c r="F7" s="39" t="n">
        <f aca="false">輸入與假設!F$41</f>
        <v>1</v>
      </c>
      <c r="G7" s="39" t="n">
        <f aca="false">輸入與假設!G$41</f>
        <v>1</v>
      </c>
      <c r="I7" s="6" t="s">
        <v>1087</v>
      </c>
    </row>
    <row r="8" customFormat="false" ht="15" hidden="false" customHeight="false" outlineLevel="0" collapsed="false">
      <c r="A8" s="46" t="s">
        <v>1088</v>
      </c>
      <c r="B8" s="8"/>
      <c r="C8" s="8"/>
      <c r="D8" s="8"/>
      <c r="E8" s="8"/>
      <c r="F8" s="8"/>
      <c r="G8" s="8"/>
      <c r="H8" s="8"/>
    </row>
    <row r="9" customFormat="false" ht="15" hidden="false" customHeight="false" outlineLevel="1" collapsed="false">
      <c r="A9" s="4" t="s">
        <v>1089</v>
      </c>
      <c r="B9" s="11" t="s">
        <v>151</v>
      </c>
      <c r="C9" s="64" t="n">
        <f aca="false">MAX(0,輸入與假設!C$43)</f>
        <v>4668</v>
      </c>
      <c r="D9" s="64" t="n">
        <f aca="false">MAX(輸入與假設!D$43,C9)</f>
        <v>7501</v>
      </c>
      <c r="E9" s="64" t="n">
        <f aca="false">MAX(輸入與假設!E$43,D9)</f>
        <v>8778</v>
      </c>
      <c r="F9" s="64" t="n">
        <f aca="false">MAX(輸入與假設!F$43,E9)</f>
        <v>8778</v>
      </c>
      <c r="G9" s="64" t="n">
        <f aca="false">MAX(輸入與假設!G$43,F9)</f>
        <v>8778</v>
      </c>
      <c r="I9" s="6" t="s">
        <v>1090</v>
      </c>
    </row>
    <row r="10" customFormat="false" ht="15" hidden="false" customHeight="false" outlineLevel="1" collapsed="false">
      <c r="A10" s="4" t="s">
        <v>1091</v>
      </c>
      <c r="B10" s="11" t="s">
        <v>151</v>
      </c>
      <c r="C10" s="64" t="n">
        <f aca="false">MIN(MAX(0,輸入與假設!C$44),C9)</f>
        <v>3183</v>
      </c>
      <c r="D10" s="64" t="n">
        <f aca="false">MIN(MAX(0,輸入與假設!D$44),D9)</f>
        <v>6340</v>
      </c>
      <c r="E10" s="64" t="n">
        <f aca="false">MIN(MAX(0,輸入與假設!E$44),E9)</f>
        <v>7716</v>
      </c>
      <c r="F10" s="64" t="n">
        <f aca="false">MIN(MAX(0,輸入與假設!F$44),F9)</f>
        <v>8070</v>
      </c>
      <c r="G10" s="64" t="n">
        <f aca="false">MIN(MAX(0,輸入與假設!G$44),G9)</f>
        <v>8070</v>
      </c>
      <c r="I10" s="6" t="s">
        <v>1092</v>
      </c>
    </row>
    <row r="11" customFormat="false" ht="15" hidden="false" customHeight="false" outlineLevel="1" collapsed="false">
      <c r="A11" s="4" t="s">
        <v>1093</v>
      </c>
      <c r="B11" s="11" t="s">
        <v>151</v>
      </c>
      <c r="C11" s="64" t="n">
        <f aca="false">IF($C$50&lt;=0,$C$10,輸入與假設!$C$36+($C$10-輸入與假設!$C$36)*MAX(0,MIN(1,($C$51-$C$50/12-0)/$C$7))+($D$10-$C$10)*MAX(0,MIN(1,($C$51-$C$50/12-$C$51)/$D$7))+($E$10-$D$10)*MAX(0,MIN(1,($C$51-$C$50/12-$D$51)/$E$7))+($F$10-$E$10)*MAX(0,MIN(1,($C$51-$C$50/12-$E$51)/$F$7))+($G$10-$F$10)*MAX(0,MIN(1,($C$51-$C$50/12-$F$51)/$G$7)))</f>
        <v>2688</v>
      </c>
      <c r="D11" s="64" t="n">
        <f aca="false">IF($C$50&lt;=0,$D$10,輸入與假設!$C$36+($C$10-輸入與假設!$C$36)*MAX(0,MIN(1,($D$51-$C$50/12-0)/$C$7))+($D$10-$C$10)*MAX(0,MIN(1,($D$51-$C$50/12-$C$51)/$D$7))+($E$10-$D$10)*MAX(0,MIN(1,($D$51-$C$50/12-$D$51)/$E$7))+($F$10-$E$10)*MAX(0,MIN(1,($D$51-$C$50/12-$E$51)/$F$7))+($G$10-$F$10)*MAX(0,MIN(1,($D$51-$C$50/12-$F$51)/$G$7)))</f>
        <v>5550.75</v>
      </c>
      <c r="E11" s="64" t="n">
        <f aca="false">IF($C$50&lt;=0,$E$10,輸入與假設!$C$36+($C$10-輸入與假設!$C$36)*MAX(0,MIN(1,($E$51-$C$50/12-0)/$C$7))+($D$10-$C$10)*MAX(0,MIN(1,($E$51-$C$50/12-$C$51)/$D$7))+($E$10-$D$10)*MAX(0,MIN(1,($E$51-$C$50/12-$D$51)/$E$7))+($F$10-$E$10)*MAX(0,MIN(1,($E$51-$C$50/12-$E$51)/$F$7))+($G$10-$F$10)*MAX(0,MIN(1,($E$51-$C$50/12-$F$51)/$G$7)))</f>
        <v>7372</v>
      </c>
      <c r="F11" s="64" t="n">
        <f aca="false">IF($C$50&lt;=0,$F$10,輸入與假設!$C$36+($C$10-輸入與假設!$C$36)*MAX(0,MIN(1,($F$51-$C$50/12-0)/$C$7))+($D$10-$C$10)*MAX(0,MIN(1,($F$51-$C$50/12-$C$51)/$D$7))+($E$10-$D$10)*MAX(0,MIN(1,($F$51-$C$50/12-$D$51)/$E$7))+($F$10-$E$10)*MAX(0,MIN(1,($F$51-$C$50/12-$E$51)/$F$7))+($G$10-$F$10)*MAX(0,MIN(1,($F$51-$C$50/12-$F$51)/$G$7)))</f>
        <v>7981.5</v>
      </c>
      <c r="G11" s="64" t="n">
        <f aca="false">IF($C$50&lt;=0,$G$10,輸入與假設!$C$36+($C$10-輸入與假設!$C$36)*MAX(0,MIN(1,($G$51-$C$50/12-0)/$C$7))+($D$10-$C$10)*MAX(0,MIN(1,($G$51-$C$50/12-$C$51)/$D$7))+($E$10-$D$10)*MAX(0,MIN(1,($G$51-$C$50/12-$D$51)/$E$7))+($F$10-$E$10)*MAX(0,MIN(1,($G$51-$C$50/12-$E$51)/$F$7))+($G$10-$F$10)*MAX(0,MIN(1,($G$51-$C$50/12-$F$51)/$G$7)))</f>
        <v>8070</v>
      </c>
      <c r="I11" s="6" t="s">
        <v>1094</v>
      </c>
    </row>
    <row r="12" customFormat="false" ht="15" hidden="false" customHeight="false" outlineLevel="1" collapsed="false">
      <c r="A12" s="3" t="s">
        <v>1095</v>
      </c>
      <c r="B12" s="11" t="s">
        <v>151</v>
      </c>
      <c r="C12" s="64" t="n">
        <f aca="false">輸入與假設!$C$36</f>
        <v>1698</v>
      </c>
      <c r="D12" s="64" t="n">
        <f aca="false">C11</f>
        <v>2688</v>
      </c>
      <c r="E12" s="64" t="n">
        <f aca="false">D11</f>
        <v>5550.75</v>
      </c>
      <c r="F12" s="64" t="n">
        <f aca="false">E11</f>
        <v>7372</v>
      </c>
      <c r="G12" s="64" t="n">
        <f aca="false">F11</f>
        <v>7981.5</v>
      </c>
      <c r="I12" s="6" t="s">
        <v>1096</v>
      </c>
    </row>
    <row r="13" customFormat="false" ht="15" hidden="false" customHeight="false" outlineLevel="1" collapsed="false">
      <c r="A13" s="3" t="s">
        <v>1097</v>
      </c>
      <c r="B13" s="11" t="s">
        <v>151</v>
      </c>
      <c r="C13" s="64" t="n">
        <f aca="false">IF(輸入與假設!$C$37=1,(C12+C11)/2,C11)</f>
        <v>2193</v>
      </c>
      <c r="D13" s="64" t="n">
        <f aca="false">IF(輸入與假設!$C$37=1,(D12+D11)/2,D11)</f>
        <v>4119.375</v>
      </c>
      <c r="E13" s="64" t="n">
        <f aca="false">IF(輸入與假設!$C$37=1,(E12+E11)/2,E11)</f>
        <v>6461.375</v>
      </c>
      <c r="F13" s="64" t="n">
        <f aca="false">IF(輸入與假設!$C$37=1,(F12+F11)/2,F11)</f>
        <v>7676.75</v>
      </c>
      <c r="G13" s="64" t="n">
        <f aca="false">IF(輸入與假設!$C$37=1,(G12+G11)/2,G11)</f>
        <v>8025.75</v>
      </c>
      <c r="I13" s="6" t="s">
        <v>1098</v>
      </c>
    </row>
    <row r="14" customFormat="false" ht="15" hidden="false" customHeight="false" outlineLevel="1" collapsed="false">
      <c r="A14" s="3" t="s">
        <v>220</v>
      </c>
      <c r="B14" s="11" t="s">
        <v>42</v>
      </c>
      <c r="C14" s="47" t="n">
        <f aca="false">輸入與假設!C$45</f>
        <v>1</v>
      </c>
      <c r="D14" s="47" t="n">
        <f aca="false">輸入與假設!D$45</f>
        <v>1</v>
      </c>
      <c r="E14" s="47" t="n">
        <f aca="false">輸入與假設!E$45</f>
        <v>1</v>
      </c>
      <c r="F14" s="47" t="n">
        <f aca="false">輸入與假設!F$45</f>
        <v>1</v>
      </c>
      <c r="G14" s="47" t="n">
        <f aca="false">輸入與假設!G$45</f>
        <v>1</v>
      </c>
    </row>
    <row r="15" customFormat="false" ht="15" hidden="false" customHeight="false" outlineLevel="1" collapsed="false">
      <c r="A15" s="3" t="s">
        <v>222</v>
      </c>
      <c r="B15" s="11" t="s">
        <v>169</v>
      </c>
      <c r="C15" s="66" t="n">
        <f aca="false">輸入與假設!C$46</f>
        <v>0.0174</v>
      </c>
      <c r="D15" s="66" t="n">
        <f aca="false">輸入與假設!D$46</f>
        <v>0.0174</v>
      </c>
      <c r="E15" s="66" t="n">
        <f aca="false">輸入與假設!E$46</f>
        <v>0.0174</v>
      </c>
      <c r="F15" s="66" t="n">
        <f aca="false">輸入與假設!F$46</f>
        <v>0.0174</v>
      </c>
      <c r="G15" s="66" t="n">
        <f aca="false">輸入與假設!G$46</f>
        <v>0.0174</v>
      </c>
    </row>
    <row r="16" customFormat="false" ht="15" hidden="false" customHeight="false" outlineLevel="1" collapsed="false">
      <c r="A16" s="3" t="s">
        <v>1099</v>
      </c>
      <c r="B16" s="11" t="s">
        <v>59</v>
      </c>
      <c r="C16" s="36" t="n">
        <f aca="false">C13*輸入與假設!C$46*輸入與假設!$C$39*輸入與假設!C$45*C7</f>
        <v>28.61865</v>
      </c>
      <c r="D16" s="36" t="n">
        <f aca="false">D13*輸入與假設!D$46*輸入與假設!$C$39*輸入與假設!D$45*D7</f>
        <v>71.677125</v>
      </c>
      <c r="E16" s="36" t="n">
        <f aca="false">E13*輸入與假設!E$46*輸入與假設!$C$39*輸入與假設!E$45*E7</f>
        <v>112.427925</v>
      </c>
      <c r="F16" s="36" t="n">
        <f aca="false">F13*輸入與假設!F$46*輸入與假設!$C$39*輸入與假設!F$45*F7</f>
        <v>133.57545</v>
      </c>
      <c r="G16" s="36" t="n">
        <f aca="false">G13*輸入與假設!G$46*輸入與假設!$C$39*輸入與假設!G$45*G7</f>
        <v>139.64805</v>
      </c>
      <c r="I16" s="6" t="s">
        <v>1100</v>
      </c>
    </row>
    <row r="17" customFormat="false" ht="15" hidden="false" customHeight="false" outlineLevel="0" collapsed="false">
      <c r="A17" s="46" t="s">
        <v>1101</v>
      </c>
      <c r="B17" s="8"/>
      <c r="C17" s="8"/>
      <c r="D17" s="8"/>
      <c r="E17" s="8"/>
      <c r="F17" s="8"/>
      <c r="G17" s="8"/>
      <c r="H17" s="8"/>
    </row>
    <row r="18" customFormat="false" ht="15" hidden="false" customHeight="false" outlineLevel="1" collapsed="false">
      <c r="A18" s="3" t="s">
        <v>1102</v>
      </c>
      <c r="B18" s="11" t="s">
        <v>59</v>
      </c>
      <c r="C18" s="62" t="n">
        <f aca="false">(輸入與假設!$C$31+輸入與假設!$C$32)*(輸入與假設!C$42/輸入與假設!$C$34)*輸入與假設!$C$33</f>
        <v>64.74</v>
      </c>
      <c r="D18" s="62" t="n">
        <f aca="false">(輸入與假設!$C$31+輸入與假設!$C$32)*(輸入與假設!D$42/輸入與假設!$C$34)*輸入與假設!$C$33</f>
        <v>113.71</v>
      </c>
      <c r="E18" s="62" t="n">
        <f aca="false">(輸入與假設!$C$31+輸入與假設!$C$32)*(輸入與假設!E$42/輸入與假設!$C$34)*輸入與假設!$C$33</f>
        <v>122.84</v>
      </c>
      <c r="F18" s="62" t="n">
        <f aca="false">(輸入與假設!$C$31+輸入與假設!$C$32)*(輸入與假設!F$42/輸入與假設!$C$34)*輸入與假設!$C$33</f>
        <v>115.37</v>
      </c>
      <c r="G18" s="62" t="n">
        <f aca="false">(輸入與假設!$C$31+輸入與假設!$C$32)*(輸入與假設!G$42/輸入與假設!$C$34)*輸入與假設!$C$33</f>
        <v>112.88</v>
      </c>
      <c r="I18" s="6" t="s">
        <v>1103</v>
      </c>
    </row>
    <row r="19" customFormat="false" ht="15" hidden="false" customHeight="false" outlineLevel="0" collapsed="false">
      <c r="A19" s="46" t="s">
        <v>1104</v>
      </c>
      <c r="B19" s="8"/>
      <c r="C19" s="8"/>
      <c r="D19" s="8"/>
      <c r="E19" s="8"/>
      <c r="F19" s="8"/>
      <c r="G19" s="8"/>
      <c r="H19" s="8"/>
    </row>
    <row r="20" customFormat="false" ht="15" hidden="false" customHeight="false" outlineLevel="1" collapsed="false">
      <c r="A20" s="3" t="s">
        <v>1105</v>
      </c>
      <c r="B20" s="11" t="s">
        <v>59</v>
      </c>
      <c r="C20" s="36" t="n">
        <f aca="false">MAX(0,C18-C16)</f>
        <v>36.12135</v>
      </c>
      <c r="D20" s="36" t="n">
        <f aca="false">MAX(0,D18-D16)</f>
        <v>42.032875</v>
      </c>
      <c r="E20" s="36" t="n">
        <f aca="false">MAX(0,E18-E16)</f>
        <v>10.412075</v>
      </c>
      <c r="F20" s="36" t="n">
        <f aca="false">MAX(0,F18-F16)</f>
        <v>0</v>
      </c>
      <c r="G20" s="36" t="n">
        <f aca="false">MAX(0,G18-G16)</f>
        <v>0</v>
      </c>
      <c r="I20" s="6" t="s">
        <v>1106</v>
      </c>
    </row>
    <row r="21" customFormat="false" ht="15" hidden="false" customHeight="false" outlineLevel="1" collapsed="false">
      <c r="A21" s="3" t="s">
        <v>1107</v>
      </c>
      <c r="B21" s="11" t="s">
        <v>59</v>
      </c>
      <c r="C21" s="62" t="n">
        <f aca="false">C18-C20</f>
        <v>28.61865</v>
      </c>
      <c r="D21" s="62" t="n">
        <f aca="false">D18-D20</f>
        <v>71.677125</v>
      </c>
      <c r="E21" s="62" t="n">
        <f aca="false">E18-E20</f>
        <v>112.427925</v>
      </c>
      <c r="F21" s="62" t="n">
        <f aca="false">F18-F20</f>
        <v>115.37</v>
      </c>
      <c r="G21" s="62" t="n">
        <f aca="false">G18-G20</f>
        <v>112.88</v>
      </c>
      <c r="I21" s="6" t="s">
        <v>1108</v>
      </c>
    </row>
    <row r="22" customFormat="false" ht="15" hidden="false" customHeight="false" outlineLevel="1" collapsed="false">
      <c r="A22" s="3" t="s">
        <v>1109</v>
      </c>
      <c r="B22" s="11" t="s">
        <v>59</v>
      </c>
      <c r="C22" s="62" t="n">
        <f aca="false">MAX(0,C16-C18)</f>
        <v>0</v>
      </c>
      <c r="D22" s="62" t="n">
        <f aca="false">MAX(0,D16-D18)</f>
        <v>0</v>
      </c>
      <c r="E22" s="62" t="n">
        <f aca="false">MAX(0,E16-E18)</f>
        <v>0</v>
      </c>
      <c r="F22" s="62" t="n">
        <f aca="false">MAX(0,F16-F18)</f>
        <v>18.20545</v>
      </c>
      <c r="G22" s="62" t="n">
        <f aca="false">MAX(0,G16-G18)</f>
        <v>26.76805</v>
      </c>
      <c r="I22" s="6" t="s">
        <v>1110</v>
      </c>
    </row>
    <row r="23" customFormat="false" ht="15" hidden="false" customHeight="false" outlineLevel="1" collapsed="false">
      <c r="A23" s="3" t="s">
        <v>224</v>
      </c>
      <c r="B23" s="11" t="s">
        <v>42</v>
      </c>
      <c r="C23" s="47" t="n">
        <f aca="false">IF(輸入與假設!$C$38="mw",1,輸入與假設!C$47)</f>
        <v>1</v>
      </c>
      <c r="D23" s="47" t="n">
        <f aca="false">IF(輸入與假設!$C$38="mw",1,輸入與假設!D$47)</f>
        <v>1</v>
      </c>
      <c r="E23" s="47" t="n">
        <f aca="false">IF(輸入與假設!$C$38="mw",1,輸入與假設!E$47)</f>
        <v>1</v>
      </c>
      <c r="F23" s="47" t="n">
        <f aca="false">IF(輸入與假設!$C$38="mw",1,輸入與假設!F$47)</f>
        <v>1</v>
      </c>
      <c r="G23" s="47" t="n">
        <f aca="false">IF(輸入與假設!$C$38="mw",1,輸入與假設!G$47)</f>
        <v>1</v>
      </c>
      <c r="I23" s="11" t="s">
        <v>1111</v>
      </c>
    </row>
    <row r="24" customFormat="false" ht="15" hidden="false" customHeight="false" outlineLevel="1" collapsed="false">
      <c r="A24" s="3" t="s">
        <v>1112</v>
      </c>
      <c r="B24" s="11" t="s">
        <v>59</v>
      </c>
      <c r="C24" s="62" t="n">
        <f aca="false">C22*C23</f>
        <v>0</v>
      </c>
      <c r="D24" s="62" t="n">
        <f aca="false">D22*D23</f>
        <v>0</v>
      </c>
      <c r="E24" s="62" t="n">
        <f aca="false">E22*E23</f>
        <v>0</v>
      </c>
      <c r="F24" s="62" t="n">
        <f aca="false">F22*F23</f>
        <v>18.20545</v>
      </c>
      <c r="G24" s="62" t="n">
        <f aca="false">G22*G23</f>
        <v>26.76805</v>
      </c>
      <c r="I24" s="6" t="s">
        <v>1113</v>
      </c>
    </row>
    <row r="25" customFormat="false" ht="15" hidden="false" customHeight="false" outlineLevel="1" collapsed="false">
      <c r="A25" s="3" t="s">
        <v>1114</v>
      </c>
      <c r="B25" s="11" t="s">
        <v>59</v>
      </c>
      <c r="C25" s="62" t="n">
        <f aca="false">MAX(0,C16-C21-C24)</f>
        <v>0</v>
      </c>
      <c r="D25" s="62" t="n">
        <f aca="false">MAX(0,D16-D21-D24)</f>
        <v>0</v>
      </c>
      <c r="E25" s="62" t="n">
        <f aca="false">MAX(0,E16-E21-E24)</f>
        <v>0</v>
      </c>
      <c r="F25" s="62" t="n">
        <f aca="false">MAX(0,F16-F21-F24)</f>
        <v>0</v>
      </c>
      <c r="G25" s="62" t="n">
        <f aca="false">MAX(0,G16-G21-G24)</f>
        <v>0</v>
      </c>
      <c r="I25" s="6" t="s">
        <v>1115</v>
      </c>
    </row>
    <row r="26" customFormat="false" ht="15" hidden="false" customHeight="false" outlineLevel="1" collapsed="false">
      <c r="A26" s="3" t="s">
        <v>1116</v>
      </c>
      <c r="B26" s="11" t="s">
        <v>59</v>
      </c>
      <c r="C26" s="36" t="n">
        <f aca="false">C21+C24</f>
        <v>28.61865</v>
      </c>
      <c r="D26" s="36" t="n">
        <f aca="false">D21+D24</f>
        <v>71.677125</v>
      </c>
      <c r="E26" s="36" t="n">
        <f aca="false">E21+E24</f>
        <v>112.427925</v>
      </c>
      <c r="F26" s="36" t="n">
        <f aca="false">F21+F24</f>
        <v>133.57545</v>
      </c>
      <c r="G26" s="36" t="n">
        <f aca="false">G21+G24</f>
        <v>139.64805</v>
      </c>
      <c r="I26" s="6" t="s">
        <v>1117</v>
      </c>
    </row>
    <row r="27" customFormat="false" ht="15" hidden="false" customHeight="false" outlineLevel="1" collapsed="false">
      <c r="A27" s="3" t="s">
        <v>1118</v>
      </c>
      <c r="B27" s="11" t="s">
        <v>59</v>
      </c>
      <c r="C27" s="62" t="n">
        <f aca="false">C26-C13*輸入與假設!C$46*輸入與假設!$C$39*輸入與假設!C$45*C7</f>
        <v>0</v>
      </c>
      <c r="D27" s="62" t="n">
        <f aca="false">D26-D13*輸入與假設!D$46*輸入與假設!$C$39*輸入與假設!D$45*D7</f>
        <v>0</v>
      </c>
      <c r="E27" s="62" t="n">
        <f aca="false">E26-E13*輸入與假設!E$46*輸入與假設!$C$39*輸入與假設!E$45*E7</f>
        <v>0</v>
      </c>
      <c r="F27" s="62" t="n">
        <f aca="false">F26-F13*輸入與假設!F$46*輸入與假設!$C$39*輸入與假設!F$45*F7</f>
        <v>0</v>
      </c>
      <c r="G27" s="62" t="n">
        <f aca="false">G26-G13*輸入與假設!G$46*輸入與假設!$C$39*輸入與假設!G$45*G7</f>
        <v>0</v>
      </c>
      <c r="I27" s="11" t="s">
        <v>1119</v>
      </c>
    </row>
    <row r="28" customFormat="false" ht="15" hidden="false" customHeight="false" outlineLevel="1" collapsed="false">
      <c r="A28" s="3" t="s">
        <v>1120</v>
      </c>
      <c r="B28" s="11" t="s">
        <v>42</v>
      </c>
      <c r="C28" s="63" t="n">
        <v>1</v>
      </c>
      <c r="D28" s="63" t="n">
        <v>1</v>
      </c>
      <c r="E28" s="63" t="n">
        <v>1</v>
      </c>
      <c r="F28" s="63" t="n">
        <v>0.25</v>
      </c>
      <c r="G28" s="63" t="n">
        <v>0</v>
      </c>
      <c r="I28" s="11" t="s">
        <v>1121</v>
      </c>
    </row>
    <row r="29" customFormat="false" ht="15" hidden="false" customHeight="false" outlineLevel="1" collapsed="false">
      <c r="A29" s="3" t="s">
        <v>1122</v>
      </c>
      <c r="B29" s="11" t="s">
        <v>59</v>
      </c>
      <c r="C29" s="62" t="n">
        <f aca="false">C26*C28</f>
        <v>28.61865</v>
      </c>
      <c r="D29" s="62" t="n">
        <f aca="false">D26*D28</f>
        <v>71.677125</v>
      </c>
      <c r="E29" s="62" t="n">
        <f aca="false">E26*E28</f>
        <v>112.427925</v>
      </c>
      <c r="F29" s="62" t="n">
        <f aca="false">F26*F28</f>
        <v>33.3938625</v>
      </c>
      <c r="G29" s="62" t="n">
        <f aca="false">G26*G28</f>
        <v>0</v>
      </c>
      <c r="I29" s="6" t="s">
        <v>1123</v>
      </c>
    </row>
    <row r="30" customFormat="false" ht="15" hidden="false" customHeight="false" outlineLevel="1" collapsed="false">
      <c r="A30" s="4" t="s">
        <v>1124</v>
      </c>
      <c r="B30" s="11" t="s">
        <v>59</v>
      </c>
      <c r="C30" s="39" t="n">
        <f aca="false">輸入與假設!$C$251</f>
        <v>19.345</v>
      </c>
      <c r="D30" s="39" t="n">
        <f aca="false">0</f>
        <v>0</v>
      </c>
      <c r="E30" s="39" t="n">
        <f aca="false">0</f>
        <v>0</v>
      </c>
      <c r="F30" s="39" t="n">
        <f aca="false">0</f>
        <v>0</v>
      </c>
      <c r="G30" s="39" t="n">
        <f aca="false">0</f>
        <v>0</v>
      </c>
      <c r="I30" s="11" t="s">
        <v>1125</v>
      </c>
    </row>
    <row r="31" customFormat="false" ht="15" hidden="false" customHeight="false" outlineLevel="1" collapsed="false">
      <c r="A31" s="4" t="s">
        <v>1126</v>
      </c>
      <c r="B31" s="11" t="s">
        <v>59</v>
      </c>
      <c r="C31" s="67" t="n">
        <f aca="false">C30+C26+輸入與假設!C$50+輸入與假設!C$81</f>
        <v>87.4976198</v>
      </c>
      <c r="D31" s="36" t="n">
        <f aca="false">D30+D26+輸入與假設!D$50+輸入與假設!D$81</f>
        <v>125.38524705094</v>
      </c>
      <c r="E31" s="36" t="n">
        <f aca="false">E30+E26+輸入與假設!E$50+輸入與假設!E$81</f>
        <v>168.281736541921</v>
      </c>
      <c r="F31" s="36" t="n">
        <f aca="false">F30+F26+輸入與假設!F$50+輸入與假設!F$81</f>
        <v>191.45057274757</v>
      </c>
      <c r="G31" s="36" t="n">
        <f aca="false">G30+G26+輸入與假設!G$50+輸入與假設!G$81</f>
        <v>199.370529376888</v>
      </c>
      <c r="I31" s="11" t="s">
        <v>1127</v>
      </c>
    </row>
    <row r="32" customFormat="false" ht="15" hidden="false" customHeight="false" outlineLevel="0" collapsed="false">
      <c r="A32" s="46" t="s">
        <v>1128</v>
      </c>
      <c r="B32" s="8"/>
      <c r="C32" s="8"/>
      <c r="D32" s="8"/>
      <c r="E32" s="8"/>
      <c r="F32" s="8"/>
      <c r="G32" s="8"/>
      <c r="H32" s="8"/>
    </row>
    <row r="33" customFormat="false" ht="15" hidden="false" customHeight="false" outlineLevel="1" collapsed="false">
      <c r="A33" s="3" t="s">
        <v>226</v>
      </c>
      <c r="B33" s="11" t="s">
        <v>42</v>
      </c>
      <c r="C33" s="47" t="n">
        <f aca="false">輸入與假設!C$48</f>
        <v>0.005</v>
      </c>
      <c r="D33" s="47" t="n">
        <f aca="false">輸入與假設!D$48</f>
        <v>0.01</v>
      </c>
      <c r="E33" s="47" t="n">
        <f aca="false">輸入與假設!E$48</f>
        <v>0.015</v>
      </c>
      <c r="F33" s="47" t="n">
        <f aca="false">輸入與假設!F$48</f>
        <v>0.02</v>
      </c>
      <c r="G33" s="47" t="n">
        <f aca="false">輸入與假設!G$48</f>
        <v>0.025</v>
      </c>
    </row>
    <row r="34" customFormat="false" ht="15" hidden="false" customHeight="false" outlineLevel="1" collapsed="false">
      <c r="A34" s="3" t="s">
        <v>228</v>
      </c>
      <c r="B34" s="11" t="s">
        <v>42</v>
      </c>
      <c r="C34" s="47" t="n">
        <f aca="false">輸入與假設!C$49</f>
        <v>0.5</v>
      </c>
      <c r="D34" s="47" t="n">
        <f aca="false">輸入與假設!D$49</f>
        <v>0.5</v>
      </c>
      <c r="E34" s="47" t="n">
        <f aca="false">輸入與假設!E$49</f>
        <v>0.5</v>
      </c>
      <c r="F34" s="47" t="n">
        <f aca="false">輸入與假設!F$49</f>
        <v>0.5</v>
      </c>
      <c r="G34" s="47" t="n">
        <f aca="false">輸入與假設!G$49</f>
        <v>0.5</v>
      </c>
    </row>
    <row r="35" customFormat="false" ht="15" hidden="false" customHeight="false" outlineLevel="1" collapsed="false">
      <c r="A35" s="3" t="s">
        <v>1129</v>
      </c>
      <c r="B35" s="11" t="s">
        <v>59</v>
      </c>
      <c r="C35" s="62" t="n">
        <f aca="false">C21*輸入與假設!C$48*(1-輸入與假設!C$49)</f>
        <v>0.071546625</v>
      </c>
      <c r="D35" s="62" t="n">
        <f aca="false">D21*輸入與假設!D$48*(1-輸入與假設!D$49)</f>
        <v>0.358385625</v>
      </c>
      <c r="E35" s="62" t="n">
        <f aca="false">E21*輸入與假設!E$48*(1-輸入與假設!E$49)</f>
        <v>0.8432094375</v>
      </c>
      <c r="F35" s="62" t="n">
        <f aca="false">F21*輸入與假設!F$48*(1-輸入與假設!F$49)</f>
        <v>1.1537</v>
      </c>
      <c r="G35" s="62" t="n">
        <f aca="false">G21*輸入與假設!G$48*(1-輸入與假設!G$49)</f>
        <v>1.411</v>
      </c>
      <c r="I35" s="6" t="s">
        <v>1130</v>
      </c>
    </row>
    <row r="36" customFormat="false" ht="15" hidden="false" customHeight="false" outlineLevel="1" collapsed="false">
      <c r="A36" s="3" t="s">
        <v>1131</v>
      </c>
      <c r="B36" s="11" t="s">
        <v>59</v>
      </c>
      <c r="C36" s="62" t="n">
        <f aca="false">C21-C35</f>
        <v>28.547103375</v>
      </c>
      <c r="D36" s="62" t="n">
        <f aca="false">D21-D35</f>
        <v>71.318739375</v>
      </c>
      <c r="E36" s="62" t="n">
        <f aca="false">E21-E35</f>
        <v>111.5847155625</v>
      </c>
      <c r="F36" s="62" t="n">
        <f aca="false">F21-F35</f>
        <v>114.2163</v>
      </c>
      <c r="G36" s="62" t="n">
        <f aca="false">G21-G35</f>
        <v>111.469</v>
      </c>
    </row>
    <row r="37" customFormat="false" ht="15" hidden="false" customHeight="false" outlineLevel="1" collapsed="false">
      <c r="A37" s="4" t="s">
        <v>1132</v>
      </c>
      <c r="B37" s="11" t="s">
        <v>42</v>
      </c>
      <c r="C37" s="47" t="n">
        <f aca="false">輸入與假設!C$93</f>
        <v>0.650390054314036</v>
      </c>
      <c r="D37" s="47" t="n">
        <f aca="false">輸入與假設!D$93</f>
        <v>0.613467462307769</v>
      </c>
      <c r="E37" s="47" t="n">
        <f aca="false">輸入與假設!E$93</f>
        <v>0.567940629111763</v>
      </c>
      <c r="F37" s="47" t="n">
        <f aca="false">輸入與假設!F$93</f>
        <v>0.516601214376308</v>
      </c>
      <c r="G37" s="47" t="n">
        <f aca="false">輸入與假設!G$93</f>
        <v>0.4691356767786</v>
      </c>
      <c r="I37" s="6" t="s">
        <v>1133</v>
      </c>
    </row>
    <row r="38" customFormat="false" ht="15" hidden="false" customHeight="false" outlineLevel="1" collapsed="false">
      <c r="A38" s="3" t="s">
        <v>1134</v>
      </c>
      <c r="B38" s="11" t="s">
        <v>59</v>
      </c>
      <c r="C38" s="62" t="n">
        <f aca="false">C26+輸入與假設!C$50</f>
        <v>28.61865</v>
      </c>
      <c r="D38" s="62" t="n">
        <f aca="false">D26+輸入與假設!D$50</f>
        <v>71.677125</v>
      </c>
      <c r="E38" s="62" t="n">
        <f aca="false">E26+輸入與假設!E$50</f>
        <v>112.427925</v>
      </c>
      <c r="F38" s="62" t="n">
        <f aca="false">F26+輸入與假設!F$50</f>
        <v>133.57545</v>
      </c>
      <c r="G38" s="62" t="n">
        <f aca="false">G26+輸入與假設!G$50</f>
        <v>139.64805</v>
      </c>
    </row>
    <row r="39" customFormat="false" ht="15" hidden="false" customHeight="false" outlineLevel="1" collapsed="false">
      <c r="A39" s="4" t="s">
        <v>1135</v>
      </c>
      <c r="B39" s="11" t="s">
        <v>42</v>
      </c>
      <c r="C39" s="68" t="n">
        <f aca="false">輸入與假設!C$93+各期收支!C16/MAX(0.01,C38)</f>
        <v>0.845075</v>
      </c>
      <c r="D39" s="68" t="n">
        <f aca="false">輸入與假設!D$93+各期收支!D16/MAX(0.01,D38)</f>
        <v>0.790477</v>
      </c>
      <c r="E39" s="68" t="n">
        <f aca="false">輸入與假設!E$93+各期收支!E16/MAX(0.01,E38)</f>
        <v>0.735879</v>
      </c>
      <c r="F39" s="68" t="n">
        <f aca="false">輸入與假設!F$93+各期收支!F16/MAX(0.01,F38)</f>
        <v>0.681281</v>
      </c>
      <c r="G39" s="68" t="n">
        <f aca="false">輸入與假設!G$93+各期收支!G16/MAX(0.01,G38)</f>
        <v>0.626683</v>
      </c>
      <c r="I39" s="6" t="s">
        <v>1136</v>
      </c>
    </row>
    <row r="40" customFormat="false" ht="15" hidden="false" customHeight="false" outlineLevel="1" collapsed="false">
      <c r="A40" s="4" t="s">
        <v>1137</v>
      </c>
      <c r="B40" s="11" t="s">
        <v>59</v>
      </c>
      <c r="C40" s="36" t="n">
        <f aca="false">C36*C39</f>
        <v>24.1244433846281</v>
      </c>
      <c r="D40" s="36" t="n">
        <f aca="false">D36*D39</f>
        <v>56.3758231449319</v>
      </c>
      <c r="E40" s="36" t="n">
        <f aca="false">E36*E39</f>
        <v>82.1128489034169</v>
      </c>
      <c r="F40" s="36" t="n">
        <f aca="false">F36*F39</f>
        <v>77.8133950803</v>
      </c>
      <c r="G40" s="36" t="n">
        <f aca="false">G36*G39</f>
        <v>69.855727327</v>
      </c>
      <c r="I40" s="11" t="s">
        <v>1138</v>
      </c>
    </row>
    <row r="41" customFormat="false" ht="15" hidden="false" customHeight="false" outlineLevel="1" collapsed="false">
      <c r="A41" s="3" t="s">
        <v>1139</v>
      </c>
      <c r="B41" s="11" t="s">
        <v>59</v>
      </c>
      <c r="C41" s="62" t="n">
        <f aca="false">C24*(1-輸入與假設!C$48*(1-輸入與假設!C$49))*C39</f>
        <v>0</v>
      </c>
      <c r="D41" s="62" t="n">
        <f aca="false">D24*(1-輸入與假設!D$48*(1-輸入與假設!D$49))*D39</f>
        <v>0</v>
      </c>
      <c r="E41" s="62" t="n">
        <f aca="false">E24*(1-輸入與假設!E$48*(1-輸入與假設!E$49))*E39</f>
        <v>0</v>
      </c>
      <c r="F41" s="62" t="n">
        <f aca="false">F24*(1-輸入與假設!F$48*(1-輸入與假設!F$49))*F39</f>
        <v>12.2789969096355</v>
      </c>
      <c r="G41" s="62" t="n">
        <f aca="false">G24*(1-輸入與假設!G$48*(1-輸入與假設!G$49))*G39</f>
        <v>16.5653933546731</v>
      </c>
      <c r="I41" s="6" t="s">
        <v>1140</v>
      </c>
    </row>
    <row r="42" customFormat="false" ht="15" hidden="false" customHeight="false" outlineLevel="1" collapsed="false"/>
    <row r="43" customFormat="false" ht="15" hidden="false" customHeight="false" outlineLevel="1" collapsed="false">
      <c r="A43" s="2" t="s">
        <v>1141</v>
      </c>
    </row>
    <row r="44" customFormat="false" ht="15" hidden="false" customHeight="false" outlineLevel="1" collapsed="false">
      <c r="A44" s="6" t="s">
        <v>1142</v>
      </c>
    </row>
    <row r="46" customFormat="false" ht="15" hidden="false" customHeight="false" outlineLevel="0" collapsed="false">
      <c r="A46" s="46" t="s">
        <v>1143</v>
      </c>
      <c r="B46" s="8"/>
      <c r="C46" s="8"/>
      <c r="D46" s="8"/>
      <c r="E46" s="8"/>
      <c r="F46" s="8"/>
      <c r="G46" s="8"/>
      <c r="H46" s="8"/>
    </row>
    <row r="47" customFormat="false" ht="15" hidden="false" customHeight="false" outlineLevel="1" collapsed="false">
      <c r="A47" s="3" t="s">
        <v>1144</v>
      </c>
      <c r="B47" s="6" t="s">
        <v>514</v>
      </c>
      <c r="C47" s="26" t="n">
        <v>6</v>
      </c>
      <c r="I47" s="11" t="s">
        <v>1145</v>
      </c>
    </row>
    <row r="48" customFormat="false" ht="15" hidden="false" customHeight="false" outlineLevel="1" collapsed="false">
      <c r="A48" s="3" t="s">
        <v>1146</v>
      </c>
      <c r="B48" s="6" t="s">
        <v>514</v>
      </c>
      <c r="C48" s="26" t="n">
        <v>3</v>
      </c>
      <c r="I48" s="11" t="s">
        <v>1145</v>
      </c>
    </row>
    <row r="49" customFormat="false" ht="15" hidden="false" customHeight="false" outlineLevel="1" collapsed="false">
      <c r="A49" s="3" t="s">
        <v>1147</v>
      </c>
      <c r="B49" s="6" t="s">
        <v>514</v>
      </c>
      <c r="C49" s="26" t="n">
        <v>0</v>
      </c>
      <c r="I49" s="11" t="s">
        <v>1145</v>
      </c>
    </row>
    <row r="50" customFormat="false" ht="15" hidden="false" customHeight="false" outlineLevel="1" collapsed="false">
      <c r="A50" s="3" t="s">
        <v>1148</v>
      </c>
      <c r="B50" s="6" t="s">
        <v>514</v>
      </c>
      <c r="C50" s="69" t="n">
        <f aca="false">CHOOSE(輸入與假設!$C$5,運營_產能與收入!$C$47,運營_產能與收入!$C$48,運營_產能與收入!$C$49)</f>
        <v>3</v>
      </c>
      <c r="I50" s="6" t="s">
        <v>1149</v>
      </c>
    </row>
    <row r="51" customFormat="false" ht="15" hidden="false" customHeight="false" outlineLevel="1" collapsed="false">
      <c r="A51" s="3" t="s">
        <v>1150</v>
      </c>
      <c r="B51" s="6" t="s">
        <v>189</v>
      </c>
      <c r="C51" s="62" t="n">
        <f aca="false">SUM($C$7:C7)</f>
        <v>0.75</v>
      </c>
      <c r="D51" s="62" t="n">
        <f aca="false">SUM($C$7:D7)</f>
        <v>1.75</v>
      </c>
      <c r="E51" s="62" t="n">
        <f aca="false">SUM($C$7:E7)</f>
        <v>2.75</v>
      </c>
      <c r="F51" s="62" t="n">
        <f aca="false">SUM($C$7:F7)</f>
        <v>3.75</v>
      </c>
      <c r="G51" s="62" t="n">
        <f aca="false">SUM($C$7:G7)</f>
        <v>4.75</v>
      </c>
      <c r="I51" s="6" t="s">
        <v>1151</v>
      </c>
    </row>
    <row r="52" customFormat="false" ht="15" hidden="false" customHeight="false" outlineLevel="1" collapsed="false">
      <c r="A52" s="3" t="s">
        <v>1152</v>
      </c>
      <c r="B52" s="11" t="s">
        <v>59</v>
      </c>
      <c r="C52" s="62" t="n">
        <f aca="false">SUM(輸入與假設!$C$128:C$128)</f>
        <v>77.59685</v>
      </c>
      <c r="D52" s="62" t="n">
        <f aca="false">SUM(輸入與假設!$C$128:D$128)</f>
        <v>163.617806</v>
      </c>
      <c r="E52" s="62" t="n">
        <f aca="false">SUM(輸入與假設!$C$128:E$128)</f>
        <v>194.8193855</v>
      </c>
      <c r="F52" s="62" t="n">
        <f aca="false">SUM(輸入與假設!$C$128:F$128)</f>
        <v>194.8193855</v>
      </c>
      <c r="G52" s="62" t="n">
        <f aca="false">SUM(輸入與假設!$C$128:G$128)</f>
        <v>194.8193855</v>
      </c>
      <c r="I52" s="11" t="s">
        <v>1153</v>
      </c>
    </row>
    <row r="53" customFormat="false" ht="15" hidden="false" customHeight="false" outlineLevel="1" collapsed="false">
      <c r="A53" s="3" t="s">
        <v>1154</v>
      </c>
      <c r="B53" s="11" t="s">
        <v>59</v>
      </c>
      <c r="C53" s="62" t="n">
        <f aca="false">IF($C$50&lt;=0,$C$52,0+($C$52-0)*MAX(0,MIN(1,($C$51-$C$50/12-0)/$C$7))+($D$52-$C$52)*MAX(0,MIN(1,($C$51-$C$50/12-$C$51)/$D$7))+($E$52-$D$52)*MAX(0,MIN(1,($C$51-$C$50/12-$D$51)/$E$7))+($F$52-$E$52)*MAX(0,MIN(1,($C$51-$C$50/12-$E$51)/$F$7))+($G$52-$F$52)*MAX(0,MIN(1,($C$51-$C$50/12-$F$51)/$G$7)))</f>
        <v>51.7312333333333</v>
      </c>
      <c r="D53" s="62" t="n">
        <f aca="false">IF($C$50&lt;=0,$D$52,0+($C$52-0)*MAX(0,MIN(1,($D$51-$C$50/12-0)/$C$7))+($D$52-$C$52)*MAX(0,MIN(1,($D$51-$C$50/12-$C$51)/$D$7))+($E$52-$D$52)*MAX(0,MIN(1,($D$51-$C$50/12-$D$51)/$E$7))+($F$52-$E$52)*MAX(0,MIN(1,($D$51-$C$50/12-$E$51)/$F$7))+($G$52-$F$52)*MAX(0,MIN(1,($D$51-$C$50/12-$F$51)/$G$7)))</f>
        <v>142.112567</v>
      </c>
      <c r="E53" s="62" t="n">
        <f aca="false">IF($C$50&lt;=0,$E$52,0+($C$52-0)*MAX(0,MIN(1,($E$51-$C$50/12-0)/$C$7))+($D$52-$C$52)*MAX(0,MIN(1,($E$51-$C$50/12-$C$51)/$D$7))+($E$52-$D$52)*MAX(0,MIN(1,($E$51-$C$50/12-$D$51)/$E$7))+($F$52-$E$52)*MAX(0,MIN(1,($E$51-$C$50/12-$E$51)/$F$7))+($G$52-$F$52)*MAX(0,MIN(1,($E$51-$C$50/12-$F$51)/$G$7)))</f>
        <v>187.018990625</v>
      </c>
      <c r="F53" s="62" t="n">
        <f aca="false">IF($C$50&lt;=0,$F$52,0+($C$52-0)*MAX(0,MIN(1,($F$51-$C$50/12-0)/$C$7))+($D$52-$C$52)*MAX(0,MIN(1,($F$51-$C$50/12-$C$51)/$D$7))+($E$52-$D$52)*MAX(0,MIN(1,($F$51-$C$50/12-$D$51)/$E$7))+($F$52-$E$52)*MAX(0,MIN(1,($F$51-$C$50/12-$E$51)/$F$7))+($G$52-$F$52)*MAX(0,MIN(1,($F$51-$C$50/12-$F$51)/$G$7)))</f>
        <v>194.8193855</v>
      </c>
      <c r="G53" s="62" t="n">
        <f aca="false">IF($C$50&lt;=0,$G$52,0+($C$52-0)*MAX(0,MIN(1,($G$51-$C$50/12-0)/$C$7))+($D$52-$C$52)*MAX(0,MIN(1,($G$51-$C$50/12-$C$51)/$D$7))+($E$52-$D$52)*MAX(0,MIN(1,($G$51-$C$50/12-$D$51)/$E$7))+($F$52-$E$52)*MAX(0,MIN(1,($G$51-$C$50/12-$E$51)/$F$7))+($G$52-$F$52)*MAX(0,MIN(1,($G$51-$C$50/12-$F$51)/$G$7)))</f>
        <v>194.8193855</v>
      </c>
      <c r="I53" s="6" t="s">
        <v>1155</v>
      </c>
    </row>
    <row r="54" customFormat="false" ht="15" hidden="false" customHeight="false" outlineLevel="1" collapsed="false">
      <c r="A54" s="3" t="s">
        <v>1156</v>
      </c>
      <c r="B54" s="11" t="s">
        <v>59</v>
      </c>
      <c r="C54" s="62" t="n">
        <f aca="false">C53</f>
        <v>51.7312333333333</v>
      </c>
      <c r="D54" s="62" t="n">
        <f aca="false">D53-C53</f>
        <v>90.3813336666667</v>
      </c>
      <c r="E54" s="62" t="n">
        <f aca="false">E53-D53</f>
        <v>44.906423625</v>
      </c>
      <c r="F54" s="62" t="n">
        <f aca="false">F53-E53</f>
        <v>7.800394875</v>
      </c>
      <c r="G54" s="62" t="n">
        <f aca="false">G53-F53</f>
        <v>0</v>
      </c>
      <c r="I54" s="6" t="s">
        <v>1157</v>
      </c>
    </row>
    <row r="55" customFormat="false" ht="15" hidden="false" customHeight="false" outlineLevel="1" collapsed="false">
      <c r="A55" s="3" t="s">
        <v>1158</v>
      </c>
      <c r="B55" s="11" t="s">
        <v>59</v>
      </c>
      <c r="C55" s="36" t="n">
        <f aca="false">C52-C53</f>
        <v>25.8656166666667</v>
      </c>
      <c r="D55" s="36" t="n">
        <f aca="false">D52-D53</f>
        <v>21.505239</v>
      </c>
      <c r="E55" s="36" t="n">
        <f aca="false">E52-E53</f>
        <v>7.800394875</v>
      </c>
      <c r="F55" s="36" t="n">
        <f aca="false">F52-F53</f>
        <v>0</v>
      </c>
      <c r="G55" s="36" t="n">
        <f aca="false">G52-G53</f>
        <v>0</v>
      </c>
      <c r="I55" s="6" t="s">
        <v>1159</v>
      </c>
    </row>
    <row r="56" customFormat="false" ht="15" hidden="false" customHeight="false" outlineLevel="1" collapsed="false">
      <c r="A56" s="3" t="s">
        <v>1160</v>
      </c>
      <c r="B56" s="11" t="s">
        <v>42</v>
      </c>
      <c r="C56" s="24" t="n">
        <v>0.5</v>
      </c>
      <c r="I56" s="6" t="s">
        <v>1161</v>
      </c>
    </row>
    <row r="57" customFormat="false" ht="15" hidden="false" customHeight="false" outlineLevel="1" collapsed="false">
      <c r="A57" s="3" t="s">
        <v>1162</v>
      </c>
      <c r="B57" s="11" t="s">
        <v>42</v>
      </c>
      <c r="C57" s="24" t="n">
        <v>0</v>
      </c>
      <c r="I57" s="6" t="s">
        <v>1163</v>
      </c>
    </row>
    <row r="58" customFormat="false" ht="15" hidden="false" customHeight="false" outlineLevel="1" collapsed="false">
      <c r="A58" s="3" t="s">
        <v>1164</v>
      </c>
      <c r="B58" s="11" t="s">
        <v>59</v>
      </c>
      <c r="C58" s="62" t="n">
        <f aca="false">輸入與假設!$C$26/輸入與假設!$C$28/輸入與假設!$C$29/4*((MIN(MAX(0,輸入與假設!C$118-(輸入與假設!$C$27+運營_產能與收入!$C$50/3)),輸入與假設!$C$28)*(MIN(MAX(0,輸入與假設!C$118-(輸入與假設!$C$27+運營_產能與收入!$C$50/3)),輸入與假設!$C$28)+1)/2+輸入與假設!$C$28*MAX(0,MAX(0,輸入與假設!C$118-(輸入與假設!$C$27+運營_產能與收入!$C$50/3))-輸入與假設!$C$28))-(MIN(MAX(0,0-(輸入與假設!$C$27+運營_產能與收入!$C$50/3)),輸入與假設!$C$28)*(MIN(MAX(0,0-(輸入與假設!$C$27+運營_產能與收入!$C$50/3)),輸入與假設!$C$28)+1)/2+輸入與假設!$C$28*MAX(0,MAX(0,0-(輸入與假設!$C$27+運營_產能與收入!$C$50/3))-輸入與假設!$C$28)))</f>
        <v>1.15508021390374</v>
      </c>
      <c r="D58" s="62" t="n">
        <f aca="false">輸入與假設!$C$26/輸入與假設!$C$28/輸入與假設!$C$29/4*((MIN(MAX(0,輸入與假設!D$118-(輸入與假設!$C$27+運營_產能與收入!$C$50/3)),輸入與假設!$C$28)*(MIN(MAX(0,輸入與假設!D$118-(輸入與假設!$C$27+運營_產能與收入!$C$50/3)),輸入與假設!$C$28)+1)/2+輸入與假設!$C$28*MAX(0,MAX(0,輸入與假設!D$118-(輸入與假設!$C$27+運營_產能與收入!$C$50/3))-輸入與假設!$C$28))-(MIN(MAX(0,輸入與假設!C$118-(輸入與假設!$C$27+運營_產能與收入!$C$50/3)),輸入與假設!$C$28)*(MIN(MAX(0,輸入與假設!C$118-(輸入與假設!$C$27+運營_產能與收入!$C$50/3)),輸入與假設!$C$28)+1)/2+輸入與假設!$C$28*MAX(0,MAX(0,輸入與假設!C$118-(輸入與假設!$C$27+運營_產能與收入!$C$50/3))-輸入與假設!$C$28)))</f>
        <v>6.93048128342246</v>
      </c>
      <c r="E58" s="62" t="n">
        <f aca="false">輸入與假設!$C$26/輸入與假設!$C$28/輸入與假設!$C$29/4*((MIN(MAX(0,輸入與假設!E$118-(輸入與假設!$C$27+運營_產能與收入!$C$50/3)),輸入與假設!$C$28)*(MIN(MAX(0,輸入與假設!E$118-(輸入與假設!$C$27+運營_產能與收入!$C$50/3)),輸入與假設!$C$28)+1)/2+輸入與假設!$C$28*MAX(0,MAX(0,輸入與假設!E$118-(輸入與假設!$C$27+運營_產能與收入!$C$50/3))-輸入與假設!$C$28))-(MIN(MAX(0,輸入與假設!D$118-(輸入與假設!$C$27+運營_產能與收入!$C$50/3)),輸入與假設!$C$28)*(MIN(MAX(0,輸入與假設!D$118-(輸入與假設!$C$27+運營_產能與收入!$C$50/3)),輸入與假設!$C$28)+1)/2+輸入與假設!$C$28*MAX(0,MAX(0,輸入與假設!D$118-(輸入與假設!$C$27+運營_產能與收入!$C$50/3))-輸入與假設!$C$28)))</f>
        <v>13.0909090909091</v>
      </c>
      <c r="F58" s="62" t="n">
        <f aca="false">輸入與假設!$C$26/輸入與假設!$C$28/輸入與假設!$C$29/4*((MIN(MAX(0,輸入與假設!F$118-(輸入與假設!$C$27+運營_產能與收入!$C$50/3)),輸入與假設!$C$28)*(MIN(MAX(0,輸入與假設!F$118-(輸入與假設!$C$27+運營_產能與收入!$C$50/3)),輸入與假設!$C$28)+1)/2+輸入與假設!$C$28*MAX(0,MAX(0,輸入與假設!F$118-(輸入與假設!$C$27+運營_產能與收入!$C$50/3))-輸入與假設!$C$28))-(MIN(MAX(0,輸入與假設!E$118-(輸入與假設!$C$27+運營_產能與收入!$C$50/3)),輸入與假設!$C$28)*(MIN(MAX(0,輸入與假設!E$118-(輸入與假設!$C$27+運營_產能與收入!$C$50/3)),輸入與假設!$C$28)+1)/2+輸入與假設!$C$28*MAX(0,MAX(0,輸入與假設!E$118-(輸入與假設!$C$27+運營_產能與收入!$C$50/3))-輸入與假設!$C$28)))</f>
        <v>16.9411764705882</v>
      </c>
      <c r="G58" s="62" t="n">
        <f aca="false">輸入與假設!$C$26/輸入與假設!$C$28/輸入與假設!$C$29/4*((MIN(MAX(0,輸入與假設!G$118-(輸入與假設!$C$27+運營_產能與收入!$C$50/3)),輸入與假設!$C$28)*(MIN(MAX(0,輸入與假設!G$118-(輸入與假設!$C$27+運營_產能與收入!$C$50/3)),輸入與假設!$C$28)+1)/2+輸入與假設!$C$28*MAX(0,MAX(0,輸入與假設!G$118-(輸入與假設!$C$27+運營_產能與收入!$C$50/3))-輸入與假設!$C$28))-(MIN(MAX(0,輸入與假設!F$118-(輸入與假設!$C$27+運營_產能與收入!$C$50/3)),輸入與假設!$C$28)*(MIN(MAX(0,輸入與假設!F$118-(輸入與假設!$C$27+運營_產能與收入!$C$50/3)),輸入與假設!$C$28)+1)/2+輸入與假設!$C$28*MAX(0,MAX(0,輸入與假設!F$118-(輸入與假設!$C$27+運營_產能與收入!$C$50/3))-輸入與假設!$C$28)))</f>
        <v>16.9411764705882</v>
      </c>
      <c r="I58" s="6" t="s">
        <v>1165</v>
      </c>
    </row>
    <row r="59" customFormat="false" ht="15" hidden="false" customHeight="false" outlineLevel="1" collapsed="false">
      <c r="A59" s="3" t="s">
        <v>1166</v>
      </c>
      <c r="B59" s="11" t="s">
        <v>59</v>
      </c>
      <c r="C59" s="36" t="n">
        <f aca="false">IF(OR(運營_產能與收入!$C$50&lt;=0,運營_產能與收入!$C$56&lt;=0),輸入與假設!C$119,(1-運營_產能與收入!$C$56)*輸入與假設!C$119+運營_產能與收入!$C$56*C58)</f>
        <v>1.73262032085562</v>
      </c>
      <c r="D59" s="36" t="n">
        <f aca="false">IF(OR(運營_產能與收入!$C$50&lt;=0,運營_產能與收入!$C$56&lt;=0),輸入與假設!D$119,(1-運營_產能與收入!$C$56)*輸入與假設!D$119+運營_產能與收入!$C$56*D58)</f>
        <v>7.70053475935829</v>
      </c>
      <c r="E59" s="36" t="n">
        <f aca="false">IF(OR(運營_產能與收入!$C$50&lt;=0,運營_產能與收入!$C$56&lt;=0),輸入與假設!E$119,(1-運營_產能與收入!$C$56)*輸入與假設!E$119+運營_產能與收入!$C$56*E58)</f>
        <v>13.8609625668449</v>
      </c>
      <c r="F59" s="36" t="n">
        <f aca="false">IF(OR(運營_產能與收入!$C$50&lt;=0,運營_產能與收入!$C$56&lt;=0),輸入與假設!F$119,(1-運營_產能與收入!$C$56)*輸入與假設!F$119+運營_產能與收入!$C$56*F58)</f>
        <v>16.9411764705882</v>
      </c>
      <c r="G59" s="36" t="n">
        <f aca="false">IF(OR(運營_產能與收入!$C$50&lt;=0,運營_產能與收入!$C$56&lt;=0),輸入與假設!G$119,(1-運營_產能與收入!$C$56)*輸入與假設!G$119+運營_產能與收入!$C$56*G58)</f>
        <v>16.9411764705882</v>
      </c>
      <c r="I59" s="6" t="s">
        <v>1167</v>
      </c>
    </row>
    <row r="60" customFormat="false" ht="15" hidden="false" customHeight="false" outlineLevel="1" collapsed="false">
      <c r="A60" s="3" t="s">
        <v>1168</v>
      </c>
      <c r="B60" s="11" t="s">
        <v>59</v>
      </c>
      <c r="C60" s="62" t="n">
        <f aca="false">IF(輸入與假設!$C$37=1,(輸入與假設!$C$36+C10)/2,C10)*輸入與假設!C$46*輸入與假設!$C$39*輸入與假設!C$45*C7</f>
        <v>31.848525</v>
      </c>
      <c r="D60" s="62" t="n">
        <f aca="false">IF(輸入與假設!$C$37=1,(C10+D10)/2,D10)*輸入與假設!D$46*輸入與假設!$C$39*輸入與假設!D$45*D7</f>
        <v>82.8501</v>
      </c>
      <c r="E60" s="62" t="n">
        <f aca="false">IF(輸入與假設!$C$37=1,(D10+E10)/2,E10)*輸入與假設!E$46*輸入與假設!$C$39*輸入與假設!E$45*E7</f>
        <v>122.2872</v>
      </c>
      <c r="F60" s="62" t="n">
        <f aca="false">IF(輸入與假設!$C$37=1,(E10+F10)/2,F10)*輸入與假設!F$46*輸入與假設!$C$39*輸入與假設!F$45*F7</f>
        <v>137.3382</v>
      </c>
      <c r="G60" s="62" t="n">
        <f aca="false">IF(輸入與假設!$C$37=1,(F10+G10)/2,G10)*輸入與假設!G$46*輸入與假設!$C$39*輸入與假設!G$45*G7</f>
        <v>140.418</v>
      </c>
      <c r="I60" s="6" t="s">
        <v>1169</v>
      </c>
    </row>
    <row r="61" customFormat="false" ht="15" hidden="false" customHeight="false" outlineLevel="1" collapsed="false">
      <c r="A61" s="3" t="s">
        <v>1170</v>
      </c>
      <c r="B61" s="11" t="s">
        <v>59</v>
      </c>
      <c r="C61" s="62" t="n">
        <f aca="false">IF(運營_產能與收入!$C$50&lt;=0,0,MAX(0,C60-C16))</f>
        <v>3.229875</v>
      </c>
      <c r="D61" s="62" t="n">
        <f aca="false">IF(運營_產能與收入!$C$50&lt;=0,0,MAX(0,D60-D16))</f>
        <v>11.172975</v>
      </c>
      <c r="E61" s="62" t="n">
        <f aca="false">IF(運營_產能與收入!$C$50&lt;=0,0,MAX(0,E60-E16))</f>
        <v>9.85927500000001</v>
      </c>
      <c r="F61" s="62" t="n">
        <f aca="false">IF(運營_產能與收入!$C$50&lt;=0,0,MAX(0,F60-F16))</f>
        <v>3.76275000000001</v>
      </c>
      <c r="G61" s="62" t="n">
        <f aca="false">IF(運營_產能與收入!$C$50&lt;=0,0,MAX(0,G60-G16))</f>
        <v>0.769949999999994</v>
      </c>
      <c r="I61" s="6" t="s">
        <v>1171</v>
      </c>
    </row>
    <row r="62" customFormat="false" ht="15" hidden="false" customHeight="false" outlineLevel="1" collapsed="false">
      <c r="A62" s="3" t="s">
        <v>1172</v>
      </c>
      <c r="B62" s="11" t="s">
        <v>59</v>
      </c>
      <c r="C62" s="62" t="n">
        <f aca="false">運營_產能與收入!$C$57*C61</f>
        <v>0</v>
      </c>
      <c r="D62" s="62" t="n">
        <f aca="false">運營_產能與收入!$C$57*D61</f>
        <v>0</v>
      </c>
      <c r="E62" s="62" t="n">
        <f aca="false">運營_產能與收入!$C$57*E61</f>
        <v>0</v>
      </c>
      <c r="F62" s="62" t="n">
        <f aca="false">運營_產能與收入!$C$57*F61</f>
        <v>0</v>
      </c>
      <c r="G62" s="62" t="n">
        <f aca="false">運營_產能與收入!$C$57*G61</f>
        <v>0</v>
      </c>
      <c r="I62" s="6" t="s">
        <v>1173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F5C61"/>
    <outlinePr summaryBelow="0" summaryRight="1"/>
    <pageSetUpPr fitToPage="false"/>
  </sheetPr>
  <dimension ref="A1:K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1" outlineLevelCol="0"/>
  <cols>
    <col collapsed="false" customWidth="true" hidden="false" outlineLevel="0" max="1" min="1" style="0" width="30"/>
    <col collapsed="false" customWidth="true" hidden="false" outlineLevel="0" max="2" min="2" style="0" width="18"/>
    <col collapsed="false" customWidth="true" hidden="false" outlineLevel="0" max="4" min="3" style="0" width="10"/>
    <col collapsed="false" customWidth="true" hidden="false" outlineLevel="0" max="5" min="5" style="0" width="12"/>
    <col collapsed="false" customWidth="true" hidden="false" outlineLevel="0" max="6" min="6" style="0" width="8"/>
    <col collapsed="false" customWidth="true" hidden="false" outlineLevel="0" max="8" min="7" style="0" width="12"/>
    <col collapsed="false" customWidth="true" hidden="false" outlineLevel="0" max="9" min="9" style="0" width="18"/>
    <col collapsed="false" customWidth="true" hidden="false" outlineLevel="0" max="10" min="10" style="0" width="26"/>
    <col collapsed="false" customWidth="true" hidden="false" outlineLevel="0" max="11" min="11" style="0" width="60"/>
  </cols>
  <sheetData>
    <row r="1" customFormat="false" ht="21.6" hidden="false" customHeight="false" outlineLevel="0" collapsed="false">
      <c r="A1" s="5" t="s">
        <v>1174</v>
      </c>
    </row>
    <row r="2" customFormat="false" ht="15" hidden="false" customHeight="false" outlineLevel="0" collapsed="false">
      <c r="A2" s="6" t="s">
        <v>1175</v>
      </c>
    </row>
    <row r="4" customFormat="false" ht="17.15" hidden="false" customHeight="false" outlineLevel="0" collapsed="false">
      <c r="A4" s="14" t="s">
        <v>1176</v>
      </c>
      <c r="B4" s="14" t="s">
        <v>1177</v>
      </c>
      <c r="C4" s="14" t="s">
        <v>1178</v>
      </c>
      <c r="D4" s="14" t="s">
        <v>1179</v>
      </c>
      <c r="E4" s="14" t="s">
        <v>1180</v>
      </c>
      <c r="F4" s="14" t="s">
        <v>1181</v>
      </c>
      <c r="G4" s="14" t="s">
        <v>1182</v>
      </c>
      <c r="H4" s="14" t="s">
        <v>1183</v>
      </c>
      <c r="I4" s="14" t="s">
        <v>1184</v>
      </c>
      <c r="J4" s="14" t="s">
        <v>1185</v>
      </c>
      <c r="K4" s="14" t="s">
        <v>723</v>
      </c>
    </row>
    <row r="5" customFormat="false" ht="15" hidden="false" customHeight="false" outlineLevel="0" collapsed="false">
      <c r="A5" s="4" t="s">
        <v>1186</v>
      </c>
      <c r="B5" s="11" t="s">
        <v>1187</v>
      </c>
      <c r="C5" s="21" t="n">
        <v>1000</v>
      </c>
      <c r="D5" s="21" t="n">
        <v>515</v>
      </c>
      <c r="E5" s="70" t="s">
        <v>1188</v>
      </c>
      <c r="F5" s="70" t="s">
        <v>1188</v>
      </c>
      <c r="I5" s="11" t="s">
        <v>1189</v>
      </c>
      <c r="J5" s="11" t="s">
        <v>1190</v>
      </c>
      <c r="K5" s="6" t="s">
        <v>1191</v>
      </c>
    </row>
    <row r="6" customFormat="false" ht="15" hidden="false" customHeight="false" outlineLevel="0" collapsed="false">
      <c r="A6" s="4" t="s">
        <v>1192</v>
      </c>
      <c r="B6" s="11" t="s">
        <v>1193</v>
      </c>
      <c r="C6" s="21" t="n">
        <v>1667</v>
      </c>
      <c r="D6" s="21" t="n">
        <v>0</v>
      </c>
      <c r="E6" s="70" t="s">
        <v>1188</v>
      </c>
      <c r="F6" s="70" t="s">
        <v>1188</v>
      </c>
      <c r="I6" s="11" t="s">
        <v>1194</v>
      </c>
      <c r="J6" s="11" t="s">
        <v>1190</v>
      </c>
      <c r="K6" s="11" t="s">
        <v>1195</v>
      </c>
    </row>
    <row r="7" customFormat="false" ht="15" hidden="false" customHeight="false" outlineLevel="0" collapsed="false">
      <c r="A7" s="4" t="s">
        <v>1196</v>
      </c>
      <c r="B7" s="11" t="s">
        <v>1197</v>
      </c>
      <c r="C7" s="21" t="n">
        <v>1833</v>
      </c>
      <c r="D7" s="21" t="n">
        <v>0</v>
      </c>
      <c r="E7" s="70" t="s">
        <v>1188</v>
      </c>
      <c r="F7" s="70" t="s">
        <v>1188</v>
      </c>
      <c r="I7" s="6" t="s">
        <v>1198</v>
      </c>
      <c r="J7" s="11" t="s">
        <v>1190</v>
      </c>
      <c r="K7" s="11" t="s">
        <v>1199</v>
      </c>
    </row>
    <row r="8" customFormat="false" ht="15" hidden="false" customHeight="false" outlineLevel="0" collapsed="false">
      <c r="A8" s="4" t="s">
        <v>1200</v>
      </c>
      <c r="B8" s="11" t="s">
        <v>1193</v>
      </c>
      <c r="C8" s="21" t="n">
        <v>1083</v>
      </c>
      <c r="D8" s="21" t="n">
        <v>0</v>
      </c>
      <c r="E8" s="70" t="s">
        <v>1188</v>
      </c>
      <c r="F8" s="70" t="s">
        <v>1188</v>
      </c>
      <c r="I8" s="11" t="s">
        <v>1194</v>
      </c>
      <c r="J8" s="11" t="s">
        <v>1190</v>
      </c>
      <c r="K8" s="11" t="s">
        <v>1201</v>
      </c>
    </row>
    <row r="9" customFormat="false" ht="15" hidden="false" customHeight="false" outlineLevel="0" collapsed="false">
      <c r="A9" s="4" t="s">
        <v>1202</v>
      </c>
      <c r="B9" s="11" t="s">
        <v>1203</v>
      </c>
      <c r="C9" s="21" t="n">
        <v>1167</v>
      </c>
      <c r="D9" s="21" t="n">
        <v>0</v>
      </c>
      <c r="E9" s="70" t="s">
        <v>1188</v>
      </c>
      <c r="F9" s="70" t="s">
        <v>1188</v>
      </c>
      <c r="I9" s="11" t="s">
        <v>1194</v>
      </c>
      <c r="J9" s="11" t="s">
        <v>1190</v>
      </c>
      <c r="K9" s="11" t="s">
        <v>1204</v>
      </c>
    </row>
    <row r="10" customFormat="false" ht="15" hidden="false" customHeight="false" outlineLevel="0" collapsed="false">
      <c r="A10" s="2" t="s">
        <v>1205</v>
      </c>
      <c r="C10" s="71" t="n">
        <f aca="false">SUM(C5:C9)</f>
        <v>6750</v>
      </c>
      <c r="D10" s="71" t="n">
        <f aca="false">SUM(D5:D9)</f>
        <v>515</v>
      </c>
      <c r="E10" s="53" t="n">
        <f aca="false">SUM(E5:E9)</f>
        <v>0</v>
      </c>
      <c r="G10" s="53" t="n">
        <f aca="false">SUM(G5:G9)</f>
        <v>0</v>
      </c>
      <c r="H10" s="72" t="n">
        <f aca="false">IF(I10&gt;0,G10/I10*1000,0)</f>
        <v>0</v>
      </c>
      <c r="I10" s="44" t="n">
        <f aca="false">SUMPRODUCT(ISNUMBER(G5:G9)*C5:C9)</f>
        <v>0</v>
      </c>
      <c r="K10" s="6" t="s">
        <v>1206</v>
      </c>
    </row>
    <row r="12" customFormat="false" ht="15" hidden="false" customHeight="false" outlineLevel="0" collapsed="false">
      <c r="A12" s="46" t="s">
        <v>1207</v>
      </c>
      <c r="B12" s="8"/>
      <c r="C12" s="8"/>
      <c r="D12" s="8"/>
      <c r="E12" s="8"/>
      <c r="F12" s="8"/>
      <c r="G12" s="8"/>
      <c r="H12" s="8"/>
      <c r="I12" s="8"/>
      <c r="J12" s="8"/>
      <c r="K12" s="8"/>
    </row>
    <row r="13" customFormat="false" ht="15" hidden="false" customHeight="false" outlineLevel="1" collapsed="false">
      <c r="A13" s="3" t="s">
        <v>1208</v>
      </c>
      <c r="E13" s="25" t="n">
        <v>63.245</v>
      </c>
      <c r="K13" s="11" t="s">
        <v>1209</v>
      </c>
    </row>
    <row r="14" customFormat="false" ht="15" hidden="false" customHeight="false" outlineLevel="1" collapsed="false">
      <c r="A14" s="3" t="s">
        <v>1210</v>
      </c>
      <c r="E14" s="25" t="n">
        <v>288</v>
      </c>
      <c r="K14" s="11" t="s">
        <v>1211</v>
      </c>
    </row>
    <row r="15" customFormat="false" ht="15" hidden="false" customHeight="false" outlineLevel="1" collapsed="false">
      <c r="A15" s="3" t="s">
        <v>1212</v>
      </c>
      <c r="E15" s="25" t="n">
        <v>0</v>
      </c>
      <c r="K15" s="11" t="s">
        <v>1213</v>
      </c>
    </row>
    <row r="16" customFormat="false" ht="15" hidden="false" customHeight="false" outlineLevel="1" collapsed="false">
      <c r="A16" s="2" t="s">
        <v>1214</v>
      </c>
      <c r="E16" s="53" t="n">
        <f aca="false">SUM(E13:E15)</f>
        <v>351.245</v>
      </c>
      <c r="K16" s="6" t="s">
        <v>1215</v>
      </c>
    </row>
    <row r="17" customFormat="false" ht="15" hidden="false" customHeight="false" outlineLevel="1" collapsed="false">
      <c r="A17" s="3" t="s">
        <v>1216</v>
      </c>
      <c r="E17" s="52" t="n">
        <f aca="false">-E10</f>
        <v>-0</v>
      </c>
    </row>
    <row r="18" customFormat="false" ht="15" hidden="false" customHeight="false" outlineLevel="1" collapsed="false">
      <c r="A18" s="2" t="s">
        <v>1217</v>
      </c>
      <c r="E18" s="53" t="n">
        <f aca="false">E16+E17</f>
        <v>351.245</v>
      </c>
      <c r="K18" s="6" t="s">
        <v>1218</v>
      </c>
    </row>
    <row r="19" customFormat="false" ht="15" hidden="false" customHeight="false" outlineLevel="1" collapsed="false">
      <c r="A19" s="3" t="s">
        <v>1219</v>
      </c>
      <c r="E19" s="29" t="n">
        <f aca="false">IF(E16&lt;&gt;0,E18/E16,0)</f>
        <v>1</v>
      </c>
    </row>
    <row r="21" customFormat="false" ht="15" hidden="false" customHeight="false" outlineLevel="0" collapsed="false">
      <c r="A21" s="46" t="s">
        <v>1220</v>
      </c>
      <c r="B21" s="8"/>
      <c r="C21" s="8"/>
      <c r="D21" s="8"/>
      <c r="E21" s="8"/>
      <c r="F21" s="8"/>
      <c r="G21" s="8"/>
      <c r="H21" s="8"/>
      <c r="I21" s="8"/>
      <c r="J21" s="8"/>
      <c r="K21" s="8"/>
    </row>
    <row r="22" customFormat="false" ht="15" hidden="false" customHeight="false" outlineLevel="1" collapsed="false">
      <c r="A22" s="14" t="s">
        <v>53</v>
      </c>
      <c r="B22" s="14" t="s">
        <v>54</v>
      </c>
      <c r="C22" s="15" t="s">
        <v>55</v>
      </c>
      <c r="D22" s="15" t="s">
        <v>56</v>
      </c>
      <c r="E22" s="15" t="s">
        <v>57</v>
      </c>
      <c r="F22" s="15" t="s">
        <v>147</v>
      </c>
      <c r="G22" s="15" t="s">
        <v>148</v>
      </c>
    </row>
    <row r="23" customFormat="false" ht="15" hidden="false" customHeight="false" outlineLevel="1" collapsed="false">
      <c r="A23" s="3" t="s">
        <v>1221</v>
      </c>
      <c r="B23" s="11" t="s">
        <v>59</v>
      </c>
      <c r="C23" s="62" t="n">
        <f aca="false">各期收支!C16</f>
        <v>5.57162032085562</v>
      </c>
      <c r="D23" s="62" t="n">
        <f aca="false">各期收支!D16</f>
        <v>12.6875347593583</v>
      </c>
      <c r="E23" s="62" t="n">
        <f aca="false">各期收支!E16</f>
        <v>18.8809625668449</v>
      </c>
      <c r="F23" s="62" t="n">
        <f aca="false">各期收支!F16</f>
        <v>21.9971764705882</v>
      </c>
      <c r="G23" s="62" t="n">
        <f aca="false">各期收支!G16</f>
        <v>22.0011764705882</v>
      </c>
    </row>
    <row r="24" customFormat="false" ht="15" hidden="false" customHeight="false" outlineLevel="1" collapsed="false">
      <c r="A24" s="3" t="s">
        <v>1222</v>
      </c>
      <c r="B24" s="11" t="s">
        <v>151</v>
      </c>
      <c r="C24" s="64" t="n">
        <f aca="false">(輸入與假設!C$124+輸入與假設!C$43)/2</f>
        <v>3251.5</v>
      </c>
      <c r="D24" s="64" t="n">
        <f aca="false">(輸入與假設!D$124+輸入與假設!D$43)/2</f>
        <v>6084.5</v>
      </c>
      <c r="E24" s="64" t="n">
        <f aca="false">(輸入與假設!E$124+輸入與假設!E$43)/2</f>
        <v>8139.5</v>
      </c>
      <c r="F24" s="64" t="n">
        <f aca="false">(輸入與假設!F$124+輸入與假設!F$43)/2</f>
        <v>8778</v>
      </c>
      <c r="G24" s="64" t="n">
        <f aca="false">(輸入與假設!G$124+輸入與假設!G$43)/2</f>
        <v>8778</v>
      </c>
    </row>
    <row r="25" customFormat="false" ht="15" hidden="false" customHeight="false" outlineLevel="1" collapsed="false">
      <c r="A25" s="3" t="s">
        <v>212</v>
      </c>
      <c r="B25" s="6" t="s">
        <v>189</v>
      </c>
      <c r="C25" s="62" t="n">
        <f aca="false">輸入與假設!C$41</f>
        <v>0.75</v>
      </c>
      <c r="D25" s="62" t="n">
        <f aca="false">輸入與假設!D$41</f>
        <v>1</v>
      </c>
      <c r="E25" s="62" t="n">
        <f aca="false">輸入與假設!E$41</f>
        <v>1</v>
      </c>
      <c r="F25" s="62" t="n">
        <f aca="false">輸入與假設!F$41</f>
        <v>1</v>
      </c>
      <c r="G25" s="62" t="n">
        <f aca="false">輸入與假設!G$41</f>
        <v>1</v>
      </c>
    </row>
    <row r="26" customFormat="false" ht="15" hidden="false" customHeight="false" outlineLevel="1" collapsed="false">
      <c r="A26" s="2" t="s">
        <v>1223</v>
      </c>
      <c r="B26" s="11" t="s">
        <v>301</v>
      </c>
      <c r="C26" s="36" t="n">
        <f aca="false">C23/C25/C24*1000</f>
        <v>2.28473845747321</v>
      </c>
      <c r="D26" s="36" t="n">
        <f aca="false">D23/D25/D24*1000</f>
        <v>2.08522224658695</v>
      </c>
      <c r="E26" s="36" t="n">
        <f aca="false">E23/E25/E24*1000</f>
        <v>2.31967105680262</v>
      </c>
      <c r="F26" s="36" t="n">
        <f aca="false">F23/F25/F24*1000</f>
        <v>2.50594400439602</v>
      </c>
      <c r="G26" s="36" t="n">
        <f aca="false">G23/G25/G24*1000</f>
        <v>2.50639968906223</v>
      </c>
      <c r="K26" s="11" t="s">
        <v>1224</v>
      </c>
    </row>
    <row r="27" customFormat="false" ht="15" hidden="false" customHeight="false" outlineLevel="1" collapsed="false">
      <c r="A27" s="3" t="s">
        <v>1225</v>
      </c>
      <c r="C27" s="24" t="n">
        <v>1</v>
      </c>
      <c r="K27" s="6" t="s">
        <v>1226</v>
      </c>
    </row>
    <row r="28" customFormat="false" ht="15" hidden="false" customHeight="false" outlineLevel="1" collapsed="false">
      <c r="A28" s="3" t="s">
        <v>1227</v>
      </c>
      <c r="B28" s="11" t="s">
        <v>59</v>
      </c>
      <c r="C28" s="62" t="n">
        <f aca="false">C24*運營_站點!$H$10/1000*$C$27*C25</f>
        <v>0</v>
      </c>
      <c r="D28" s="62" t="n">
        <f aca="false">D24*運營_站點!$H$10/1000*$C$27*D25</f>
        <v>0</v>
      </c>
      <c r="E28" s="62" t="n">
        <f aca="false">E24*運營_站點!$H$10/1000*$C$27*E25</f>
        <v>0</v>
      </c>
      <c r="F28" s="62" t="n">
        <f aca="false">F24*運營_站點!$H$10/1000*$C$27*F25</f>
        <v>0</v>
      </c>
      <c r="G28" s="62" t="n">
        <f aca="false">G24*運營_站點!$H$10/1000*$C$27*G25</f>
        <v>0</v>
      </c>
      <c r="K28" s="6" t="s">
        <v>1228</v>
      </c>
    </row>
    <row r="29" customFormat="false" ht="15" hidden="false" customHeight="false" outlineLevel="1" collapsed="false">
      <c r="A29" s="2" t="s">
        <v>1229</v>
      </c>
      <c r="B29" s="11" t="s">
        <v>59</v>
      </c>
      <c r="C29" s="36" t="n">
        <f aca="false">C28-C23</f>
        <v>-5.57162032085562</v>
      </c>
      <c r="D29" s="36" t="n">
        <f aca="false">D28-D23</f>
        <v>-12.6875347593583</v>
      </c>
      <c r="E29" s="36" t="n">
        <f aca="false">E28-E23</f>
        <v>-18.8809625668449</v>
      </c>
      <c r="F29" s="36" t="n">
        <f aca="false">F28-F23</f>
        <v>-21.9971764705882</v>
      </c>
      <c r="G29" s="36" t="n">
        <f aca="false">G28-G23</f>
        <v>-22.0011764705882</v>
      </c>
      <c r="K29" s="6" t="s">
        <v>1230</v>
      </c>
    </row>
    <row r="30" customFormat="false" ht="15" hidden="false" customHeight="false" outlineLevel="1" collapsed="false">
      <c r="A30" s="2" t="s">
        <v>1231</v>
      </c>
      <c r="C30" s="72" t="n">
        <f aca="false">SUM(C29:G29)</f>
        <v>-81.1384705882353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B5778"/>
    <outlinePr summaryBelow="0" summaryRight="1"/>
    <pageSetUpPr fitToPage="false"/>
  </sheetPr>
  <dimension ref="A1:I8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1" outlineLevelCol="0"/>
  <cols>
    <col collapsed="false" customWidth="true" hidden="false" outlineLevel="0" max="1" min="1" style="0" width="38"/>
    <col collapsed="false" customWidth="true" hidden="false" outlineLevel="0" max="2" min="2" style="0" width="12"/>
    <col collapsed="false" customWidth="true" hidden="false" outlineLevel="0" max="8" min="3" style="0" width="13"/>
    <col collapsed="false" customWidth="true" hidden="false" outlineLevel="0" max="9" min="9" style="0" width="90"/>
  </cols>
  <sheetData>
    <row r="1" customFormat="false" ht="21.6" hidden="false" customHeight="false" outlineLevel="0" collapsed="false">
      <c r="A1" s="5" t="s">
        <v>1232</v>
      </c>
    </row>
    <row r="2" customFormat="false" ht="15" hidden="false" customHeight="false" outlineLevel="0" collapsed="false">
      <c r="A2" s="6" t="s">
        <v>1233</v>
      </c>
    </row>
    <row r="4" customFormat="false" ht="17.15" hidden="false" customHeight="false" outlineLevel="0" collapsed="false">
      <c r="A4" s="14" t="s">
        <v>1234</v>
      </c>
      <c r="B4" s="14" t="s">
        <v>1235</v>
      </c>
      <c r="C4" s="14" t="s">
        <v>1236</v>
      </c>
      <c r="D4" s="14" t="s">
        <v>1237</v>
      </c>
      <c r="E4" s="15" t="s">
        <v>1238</v>
      </c>
      <c r="F4" s="14" t="s">
        <v>1239</v>
      </c>
      <c r="I4" s="14" t="s">
        <v>618</v>
      </c>
    </row>
    <row r="5" customFormat="false" ht="15" hidden="false" customHeight="false" outlineLevel="0" collapsed="false">
      <c r="A5" s="4" t="s">
        <v>1240</v>
      </c>
      <c r="B5" s="6" t="s">
        <v>1241</v>
      </c>
      <c r="C5" s="11" t="s">
        <v>1242</v>
      </c>
      <c r="D5" s="24" t="n">
        <v>0.028</v>
      </c>
      <c r="E5" s="25" t="n">
        <v>2.25</v>
      </c>
      <c r="F5" s="62" t="n">
        <f aca="false">D5*E5</f>
        <v>0.063</v>
      </c>
      <c r="I5" s="11" t="s">
        <v>1243</v>
      </c>
    </row>
    <row r="6" customFormat="false" ht="15" hidden="false" customHeight="false" outlineLevel="0" collapsed="false">
      <c r="A6" s="4" t="s">
        <v>1244</v>
      </c>
      <c r="B6" s="6" t="s">
        <v>1241</v>
      </c>
      <c r="C6" s="11" t="s">
        <v>1245</v>
      </c>
      <c r="D6" s="24" t="n">
        <v>0.0325</v>
      </c>
      <c r="E6" s="25" t="n">
        <v>2.75</v>
      </c>
      <c r="F6" s="62" t="n">
        <f aca="false">D6*E6</f>
        <v>0.089375</v>
      </c>
      <c r="I6" s="11" t="s">
        <v>1246</v>
      </c>
    </row>
    <row r="7" customFormat="false" ht="15" hidden="false" customHeight="false" outlineLevel="0" collapsed="false">
      <c r="A7" s="4" t="s">
        <v>1247</v>
      </c>
      <c r="B7" s="6" t="s">
        <v>1241</v>
      </c>
      <c r="C7" s="11" t="s">
        <v>1248</v>
      </c>
      <c r="D7" s="24" t="n">
        <v>0.023</v>
      </c>
      <c r="E7" s="25" t="n">
        <v>2</v>
      </c>
      <c r="F7" s="62" t="n">
        <f aca="false">D7*E7</f>
        <v>0.046</v>
      </c>
      <c r="I7" s="11" t="s">
        <v>1249</v>
      </c>
    </row>
    <row r="8" customFormat="false" ht="15" hidden="false" customHeight="false" outlineLevel="0" collapsed="false">
      <c r="A8" s="4" t="s">
        <v>1250</v>
      </c>
      <c r="B8" s="6" t="s">
        <v>1241</v>
      </c>
      <c r="C8" s="11" t="s">
        <v>1251</v>
      </c>
      <c r="D8" s="24" t="n">
        <v>0.045</v>
      </c>
      <c r="E8" s="25" t="n">
        <v>0.75</v>
      </c>
      <c r="F8" s="62" t="n">
        <f aca="false">D8*E8</f>
        <v>0.03375</v>
      </c>
      <c r="I8" s="11" t="s">
        <v>1252</v>
      </c>
    </row>
    <row r="9" customFormat="false" ht="15" hidden="false" customHeight="false" outlineLevel="0" collapsed="false">
      <c r="A9" s="4" t="s">
        <v>1253</v>
      </c>
      <c r="B9" s="6" t="s">
        <v>1241</v>
      </c>
      <c r="C9" s="11" t="s">
        <v>1254</v>
      </c>
      <c r="D9" s="24" t="n">
        <v>0.048</v>
      </c>
      <c r="E9" s="25" t="n">
        <v>1.5</v>
      </c>
      <c r="F9" s="62" t="n">
        <f aca="false">D9*E9</f>
        <v>0.072</v>
      </c>
      <c r="I9" s="11" t="s">
        <v>1255</v>
      </c>
    </row>
    <row r="10" customFormat="false" ht="15" hidden="false" customHeight="false" outlineLevel="0" collapsed="false">
      <c r="A10" s="4" t="s">
        <v>1256</v>
      </c>
      <c r="B10" s="6" t="s">
        <v>1241</v>
      </c>
      <c r="C10" s="11" t="s">
        <v>1257</v>
      </c>
      <c r="D10" s="24" t="n">
        <v>0.0455</v>
      </c>
      <c r="E10" s="25" t="n">
        <v>3</v>
      </c>
      <c r="F10" s="62" t="n">
        <f aca="false">D10*E10</f>
        <v>0.1365</v>
      </c>
      <c r="I10" s="11" t="s">
        <v>1258</v>
      </c>
    </row>
    <row r="11" customFormat="false" ht="15" hidden="false" customHeight="false" outlineLevel="0" collapsed="false">
      <c r="A11" s="4" t="s">
        <v>1259</v>
      </c>
      <c r="B11" s="6" t="s">
        <v>1241</v>
      </c>
      <c r="C11" s="11" t="s">
        <v>1260</v>
      </c>
      <c r="D11" s="24" t="n">
        <v>0.042</v>
      </c>
      <c r="E11" s="25" t="n">
        <v>1.5</v>
      </c>
      <c r="F11" s="62" t="n">
        <f aca="false">D11*E11</f>
        <v>0.063</v>
      </c>
      <c r="I11" s="11" t="s">
        <v>1261</v>
      </c>
    </row>
    <row r="12" customFormat="false" ht="15" hidden="false" customHeight="false" outlineLevel="0" collapsed="false">
      <c r="A12" s="4" t="s">
        <v>1262</v>
      </c>
      <c r="B12" s="6" t="s">
        <v>1241</v>
      </c>
      <c r="C12" s="11" t="s">
        <v>1263</v>
      </c>
      <c r="D12" s="24" t="n">
        <v>0.0615</v>
      </c>
      <c r="E12" s="25" t="n">
        <v>1.25</v>
      </c>
      <c r="F12" s="62" t="n">
        <f aca="false">D12*E12</f>
        <v>0.076875</v>
      </c>
      <c r="I12" s="11" t="s">
        <v>1264</v>
      </c>
    </row>
    <row r="13" customFormat="false" ht="15" hidden="false" customHeight="false" outlineLevel="0" collapsed="false">
      <c r="A13" s="4" t="s">
        <v>1265</v>
      </c>
      <c r="B13" s="6" t="s">
        <v>1241</v>
      </c>
      <c r="C13" s="11" t="s">
        <v>1266</v>
      </c>
      <c r="D13" s="24" t="n">
        <v>0.0295</v>
      </c>
      <c r="E13" s="25" t="n">
        <v>3.25</v>
      </c>
      <c r="F13" s="62" t="n">
        <f aca="false">D13*E13</f>
        <v>0.095875</v>
      </c>
      <c r="I13" s="11" t="s">
        <v>1243</v>
      </c>
    </row>
    <row r="14" customFormat="false" ht="15" hidden="false" customHeight="false" outlineLevel="0" collapsed="false">
      <c r="A14" s="4" t="s">
        <v>1267</v>
      </c>
      <c r="B14" s="6" t="s">
        <v>1241</v>
      </c>
      <c r="C14" s="11" t="s">
        <v>1268</v>
      </c>
      <c r="D14" s="24" t="n">
        <v>0.0465</v>
      </c>
      <c r="E14" s="25" t="n">
        <v>0.75</v>
      </c>
      <c r="F14" s="62" t="n">
        <f aca="false">D14*E14</f>
        <v>0.034875</v>
      </c>
      <c r="I14" s="11" t="s">
        <v>1252</v>
      </c>
    </row>
    <row r="15" customFormat="false" ht="15" hidden="false" customHeight="false" outlineLevel="0" collapsed="false">
      <c r="A15" s="4" t="s">
        <v>1269</v>
      </c>
      <c r="B15" s="6" t="s">
        <v>1241</v>
      </c>
      <c r="C15" s="11" t="s">
        <v>1268</v>
      </c>
      <c r="D15" s="24" t="n">
        <v>0.0325</v>
      </c>
      <c r="E15" s="25" t="n">
        <v>0.5</v>
      </c>
      <c r="F15" s="62" t="n">
        <f aca="false">D15*E15</f>
        <v>0.01625</v>
      </c>
      <c r="I15" s="11" t="s">
        <v>1270</v>
      </c>
    </row>
    <row r="16" customFormat="false" ht="15" hidden="false" customHeight="false" outlineLevel="0" collapsed="false">
      <c r="A16" s="4" t="s">
        <v>1271</v>
      </c>
      <c r="B16" s="6" t="s">
        <v>1241</v>
      </c>
      <c r="C16" s="11" t="s">
        <v>1272</v>
      </c>
      <c r="D16" s="24" t="n">
        <v>0.0445</v>
      </c>
      <c r="E16" s="25" t="n">
        <v>3</v>
      </c>
      <c r="F16" s="62" t="n">
        <f aca="false">D16*E16</f>
        <v>0.1335</v>
      </c>
      <c r="I16" s="11" t="s">
        <v>1273</v>
      </c>
    </row>
    <row r="17" customFormat="false" ht="15" hidden="false" customHeight="false" outlineLevel="0" collapsed="false">
      <c r="A17" s="4" t="s">
        <v>1274</v>
      </c>
      <c r="B17" s="6" t="s">
        <v>1241</v>
      </c>
      <c r="C17" s="11" t="s">
        <v>1275</v>
      </c>
      <c r="D17" s="24" t="n">
        <v>0.0495</v>
      </c>
      <c r="E17" s="25" t="n">
        <v>3.5</v>
      </c>
      <c r="F17" s="62" t="n">
        <f aca="false">D17*E17</f>
        <v>0.17325</v>
      </c>
      <c r="I17" s="11" t="s">
        <v>1258</v>
      </c>
    </row>
    <row r="18" customFormat="false" ht="15" hidden="false" customHeight="false" outlineLevel="0" collapsed="false">
      <c r="A18" s="4" t="s">
        <v>1276</v>
      </c>
      <c r="B18" s="6" t="s">
        <v>1241</v>
      </c>
      <c r="C18" s="11" t="s">
        <v>1277</v>
      </c>
      <c r="D18" s="24" t="n">
        <v>0.02875</v>
      </c>
      <c r="E18" s="25" t="n">
        <v>3.25</v>
      </c>
      <c r="F18" s="62" t="n">
        <f aca="false">D18*E18</f>
        <v>0.0934375</v>
      </c>
      <c r="I18" s="11" t="s">
        <v>1249</v>
      </c>
    </row>
    <row r="19" customFormat="false" ht="15" hidden="false" customHeight="false" outlineLevel="0" collapsed="false">
      <c r="A19" s="4" t="s">
        <v>1278</v>
      </c>
      <c r="B19" s="6" t="s">
        <v>1241</v>
      </c>
      <c r="C19" s="11" t="s">
        <v>1279</v>
      </c>
      <c r="D19" s="24" t="n">
        <v>0.0525</v>
      </c>
      <c r="E19" s="25" t="n">
        <v>1.25</v>
      </c>
      <c r="F19" s="62" t="n">
        <f aca="false">D19*E19</f>
        <v>0.065625</v>
      </c>
      <c r="I19" s="11" t="s">
        <v>1255</v>
      </c>
    </row>
    <row r="20" customFormat="false" ht="15" hidden="false" customHeight="false" outlineLevel="0" collapsed="false">
      <c r="A20" s="4" t="s">
        <v>1280</v>
      </c>
      <c r="B20" s="6" t="s">
        <v>1241</v>
      </c>
      <c r="C20" s="11" t="s">
        <v>1281</v>
      </c>
      <c r="D20" s="24" t="n">
        <v>0.048</v>
      </c>
      <c r="E20" s="25" t="n">
        <v>3</v>
      </c>
      <c r="F20" s="62" t="n">
        <f aca="false">D20*E20</f>
        <v>0.144</v>
      </c>
      <c r="I20" s="11" t="s">
        <v>1273</v>
      </c>
    </row>
    <row r="21" customFormat="false" ht="15" hidden="false" customHeight="false" outlineLevel="0" collapsed="false">
      <c r="A21" s="4" t="s">
        <v>1282</v>
      </c>
      <c r="B21" s="6" t="s">
        <v>1241</v>
      </c>
      <c r="C21" s="11" t="s">
        <v>1283</v>
      </c>
      <c r="D21" s="24" t="n">
        <v>0.0625</v>
      </c>
      <c r="E21" s="25" t="n">
        <v>2.25</v>
      </c>
      <c r="F21" s="62" t="n">
        <f aca="false">D21*E21</f>
        <v>0.140625</v>
      </c>
      <c r="I21" s="11" t="s">
        <v>1264</v>
      </c>
    </row>
    <row r="22" customFormat="false" ht="15" hidden="false" customHeight="false" outlineLevel="0" collapsed="false">
      <c r="A22" s="4" t="s">
        <v>1284</v>
      </c>
      <c r="B22" s="6" t="s">
        <v>1241</v>
      </c>
      <c r="C22" s="11" t="s">
        <v>1285</v>
      </c>
      <c r="D22" s="24" t="n">
        <v>0.049</v>
      </c>
      <c r="E22" s="25" t="n">
        <v>1.5</v>
      </c>
      <c r="F22" s="62" t="n">
        <f aca="false">D22*E22</f>
        <v>0.0735</v>
      </c>
      <c r="I22" s="11" t="s">
        <v>1252</v>
      </c>
    </row>
    <row r="23" customFormat="false" ht="15" hidden="false" customHeight="false" outlineLevel="0" collapsed="false">
      <c r="A23" s="4" t="s">
        <v>1286</v>
      </c>
      <c r="B23" s="6" t="s">
        <v>1241</v>
      </c>
      <c r="C23" s="11" t="s">
        <v>1287</v>
      </c>
      <c r="D23" s="24" t="n">
        <v>0.0535</v>
      </c>
      <c r="E23" s="25" t="n">
        <v>3</v>
      </c>
      <c r="F23" s="62" t="n">
        <f aca="false">D23*E23</f>
        <v>0.1605</v>
      </c>
      <c r="I23" s="11" t="s">
        <v>1258</v>
      </c>
    </row>
    <row r="24" customFormat="false" ht="15" hidden="false" customHeight="false" outlineLevel="0" collapsed="false">
      <c r="A24" s="4" t="s">
        <v>1288</v>
      </c>
      <c r="B24" s="6" t="s">
        <v>1241</v>
      </c>
      <c r="C24" s="11" t="s">
        <v>1289</v>
      </c>
      <c r="D24" s="24" t="n">
        <v>0.043</v>
      </c>
      <c r="E24" s="25" t="n">
        <v>1.75</v>
      </c>
      <c r="F24" s="62" t="n">
        <f aca="false">D24*E24</f>
        <v>0.07525</v>
      </c>
      <c r="I24" s="11" t="s">
        <v>1290</v>
      </c>
    </row>
    <row r="25" customFormat="false" ht="15" hidden="false" customHeight="false" outlineLevel="0" collapsed="false">
      <c r="A25" s="4" t="s">
        <v>1291</v>
      </c>
      <c r="B25" s="6" t="s">
        <v>1241</v>
      </c>
      <c r="C25" s="11" t="s">
        <v>1292</v>
      </c>
      <c r="D25" s="24" t="n">
        <v>0.047</v>
      </c>
      <c r="E25" s="25" t="n">
        <v>1.75</v>
      </c>
      <c r="F25" s="62" t="n">
        <f aca="false">D25*E25</f>
        <v>0.08225</v>
      </c>
      <c r="I25" s="11" t="s">
        <v>1261</v>
      </c>
    </row>
    <row r="26" customFormat="false" ht="15" hidden="false" customHeight="false" outlineLevel="0" collapsed="false">
      <c r="A26" s="4" t="s">
        <v>1293</v>
      </c>
      <c r="B26" s="6" t="s">
        <v>1241</v>
      </c>
      <c r="C26" s="11" t="s">
        <v>1294</v>
      </c>
      <c r="D26" s="24" t="n">
        <v>0.039</v>
      </c>
      <c r="E26" s="25" t="n">
        <v>1.25</v>
      </c>
      <c r="F26" s="62" t="n">
        <f aca="false">D26*E26</f>
        <v>0.04875</v>
      </c>
      <c r="I26" s="11" t="s">
        <v>1270</v>
      </c>
    </row>
    <row r="27" customFormat="false" ht="15" hidden="false" customHeight="false" outlineLevel="0" collapsed="false">
      <c r="A27" s="4" t="s">
        <v>1295</v>
      </c>
      <c r="B27" s="6" t="s">
        <v>1241</v>
      </c>
      <c r="C27" s="11" t="s">
        <v>1296</v>
      </c>
      <c r="D27" s="24" t="n">
        <v>0.055</v>
      </c>
      <c r="E27" s="25" t="n">
        <v>1.75</v>
      </c>
      <c r="F27" s="62" t="n">
        <f aca="false">D27*E27</f>
        <v>0.09625</v>
      </c>
      <c r="I27" s="11" t="s">
        <v>1255</v>
      </c>
    </row>
    <row r="28" customFormat="false" ht="15" hidden="false" customHeight="false" outlineLevel="0" collapsed="false">
      <c r="A28" s="4" t="s">
        <v>1297</v>
      </c>
      <c r="B28" s="6" t="s">
        <v>1241</v>
      </c>
      <c r="C28" s="11" t="s">
        <v>1298</v>
      </c>
      <c r="D28" s="24" t="n">
        <v>0.052</v>
      </c>
      <c r="E28" s="25" t="n">
        <v>4</v>
      </c>
      <c r="F28" s="62" t="n">
        <f aca="false">D28*E28</f>
        <v>0.208</v>
      </c>
      <c r="I28" s="11" t="s">
        <v>1273</v>
      </c>
    </row>
    <row r="29" customFormat="false" ht="15" hidden="false" customHeight="false" outlineLevel="0" collapsed="false">
      <c r="A29" s="4" t="s">
        <v>1299</v>
      </c>
      <c r="B29" s="6" t="s">
        <v>1241</v>
      </c>
      <c r="C29" s="11" t="s">
        <v>1300</v>
      </c>
      <c r="D29" s="24" t="n">
        <v>0.057</v>
      </c>
      <c r="E29" s="25" t="n">
        <v>5</v>
      </c>
      <c r="F29" s="62" t="n">
        <f aca="false">D29*E29</f>
        <v>0.285</v>
      </c>
      <c r="I29" s="11" t="s">
        <v>1258</v>
      </c>
    </row>
    <row r="30" customFormat="false" ht="15" hidden="false" customHeight="false" outlineLevel="0" collapsed="false">
      <c r="A30" s="4" t="s">
        <v>1301</v>
      </c>
      <c r="B30" s="6" t="s">
        <v>1241</v>
      </c>
      <c r="C30" s="11" t="s">
        <v>1302</v>
      </c>
      <c r="D30" s="24" t="n">
        <v>0.0385</v>
      </c>
      <c r="E30" s="25" t="n">
        <v>1.25</v>
      </c>
      <c r="F30" s="62" t="n">
        <f aca="false">D30*E30</f>
        <v>0.048125</v>
      </c>
      <c r="I30" s="11" t="s">
        <v>1303</v>
      </c>
    </row>
    <row r="31" customFormat="false" ht="15" hidden="false" customHeight="false" outlineLevel="0" collapsed="false">
      <c r="A31" s="4" t="s">
        <v>1304</v>
      </c>
      <c r="B31" s="6" t="s">
        <v>1241</v>
      </c>
      <c r="C31" s="11" t="s">
        <v>1305</v>
      </c>
      <c r="D31" s="24" t="n">
        <v>0.038</v>
      </c>
      <c r="E31" s="25" t="n">
        <v>1.75</v>
      </c>
      <c r="F31" s="62" t="n">
        <f aca="false">D31*E31</f>
        <v>0.0665</v>
      </c>
      <c r="I31" s="11" t="s">
        <v>1246</v>
      </c>
    </row>
    <row r="32" customFormat="false" ht="15" hidden="false" customHeight="false" outlineLevel="0" collapsed="false">
      <c r="A32" s="4" t="s">
        <v>1306</v>
      </c>
      <c r="B32" s="6" t="s">
        <v>1241</v>
      </c>
      <c r="C32" s="11" t="s">
        <v>1307</v>
      </c>
      <c r="D32" s="24" t="n">
        <v>0.065</v>
      </c>
      <c r="E32" s="25" t="n">
        <v>1.25</v>
      </c>
      <c r="F32" s="62" t="n">
        <f aca="false">D32*E32</f>
        <v>0.08125</v>
      </c>
      <c r="I32" s="11" t="s">
        <v>1308</v>
      </c>
    </row>
    <row r="33" customFormat="false" ht="15" hidden="false" customHeight="false" outlineLevel="0" collapsed="false">
      <c r="A33" s="4" t="s">
        <v>1309</v>
      </c>
      <c r="B33" s="6" t="s">
        <v>1241</v>
      </c>
      <c r="C33" s="11" t="s">
        <v>1310</v>
      </c>
      <c r="D33" s="24" t="n">
        <v>0.06125</v>
      </c>
      <c r="E33" s="25" t="n">
        <v>1.25</v>
      </c>
      <c r="F33" s="62" t="n">
        <f aca="false">D33*E33</f>
        <v>0.0765625</v>
      </c>
      <c r="I33" s="11" t="s">
        <v>1311</v>
      </c>
    </row>
    <row r="34" customFormat="false" ht="15" hidden="false" customHeight="false" outlineLevel="0" collapsed="false">
      <c r="A34" s="4" t="s">
        <v>1312</v>
      </c>
      <c r="B34" s="6" t="s">
        <v>1241</v>
      </c>
      <c r="C34" s="11" t="s">
        <v>1313</v>
      </c>
      <c r="D34" s="24" t="n">
        <v>0.036</v>
      </c>
      <c r="E34" s="25" t="n">
        <v>3</v>
      </c>
      <c r="F34" s="62" t="n">
        <f aca="false">D34*E34</f>
        <v>0.108</v>
      </c>
      <c r="I34" s="11" t="s">
        <v>1243</v>
      </c>
    </row>
    <row r="35" customFormat="false" ht="15" hidden="false" customHeight="false" outlineLevel="0" collapsed="false">
      <c r="A35" s="4" t="s">
        <v>1314</v>
      </c>
      <c r="B35" s="6" t="s">
        <v>1241</v>
      </c>
      <c r="C35" s="11" t="s">
        <v>1315</v>
      </c>
      <c r="D35" s="24" t="n">
        <v>0.05375</v>
      </c>
      <c r="E35" s="25" t="n">
        <v>2.25</v>
      </c>
      <c r="F35" s="62" t="n">
        <f aca="false">D35*E35</f>
        <v>0.1209375</v>
      </c>
      <c r="I35" s="11" t="s">
        <v>1316</v>
      </c>
    </row>
    <row r="36" customFormat="false" ht="15" hidden="false" customHeight="false" outlineLevel="0" collapsed="false">
      <c r="A36" s="4" t="s">
        <v>1317</v>
      </c>
      <c r="B36" s="6" t="s">
        <v>1241</v>
      </c>
      <c r="C36" s="11" t="s">
        <v>1318</v>
      </c>
      <c r="D36" s="24" t="n">
        <v>0.0365</v>
      </c>
      <c r="E36" s="25" t="n">
        <v>2.25</v>
      </c>
      <c r="F36" s="62" t="n">
        <f aca="false">D36*E36</f>
        <v>0.082125</v>
      </c>
      <c r="I36" s="11" t="s">
        <v>1249</v>
      </c>
    </row>
    <row r="37" customFormat="false" ht="15" hidden="false" customHeight="false" outlineLevel="0" collapsed="false">
      <c r="A37" s="4" t="s">
        <v>1319</v>
      </c>
      <c r="B37" s="6" t="s">
        <v>1241</v>
      </c>
      <c r="C37" s="11" t="s">
        <v>1320</v>
      </c>
      <c r="D37" s="24" t="n">
        <v>0.045</v>
      </c>
      <c r="E37" s="25" t="n">
        <v>1</v>
      </c>
      <c r="F37" s="62" t="n">
        <f aca="false">D37*E37</f>
        <v>0.045</v>
      </c>
      <c r="I37" s="11" t="s">
        <v>1290</v>
      </c>
    </row>
    <row r="38" customFormat="false" ht="15" hidden="false" customHeight="false" outlineLevel="0" collapsed="false">
      <c r="A38" s="4" t="s">
        <v>1321</v>
      </c>
      <c r="B38" s="6" t="s">
        <v>1241</v>
      </c>
      <c r="C38" s="11" t="s">
        <v>1322</v>
      </c>
      <c r="D38" s="24" t="n">
        <v>0.04125</v>
      </c>
      <c r="E38" s="25" t="n">
        <v>2</v>
      </c>
      <c r="F38" s="62" t="n">
        <f aca="false">D38*E38</f>
        <v>0.0825</v>
      </c>
      <c r="I38" s="11" t="s">
        <v>1270</v>
      </c>
    </row>
    <row r="39" customFormat="false" ht="15" hidden="false" customHeight="false" outlineLevel="0" collapsed="false">
      <c r="A39" s="4" t="s">
        <v>1323</v>
      </c>
      <c r="B39" s="6" t="s">
        <v>1241</v>
      </c>
      <c r="C39" s="11" t="s">
        <v>1324</v>
      </c>
      <c r="D39" s="24" t="n">
        <v>0.05875</v>
      </c>
      <c r="E39" s="25" t="n">
        <v>2.5</v>
      </c>
      <c r="F39" s="62" t="n">
        <f aca="false">D39*E39</f>
        <v>0.146875</v>
      </c>
      <c r="I39" s="11" t="s">
        <v>1273</v>
      </c>
    </row>
    <row r="40" customFormat="false" ht="15" hidden="false" customHeight="false" outlineLevel="0" collapsed="false">
      <c r="A40" s="4" t="s">
        <v>1325</v>
      </c>
      <c r="B40" s="6" t="s">
        <v>1241</v>
      </c>
      <c r="C40" s="11" t="s">
        <v>1326</v>
      </c>
      <c r="D40" s="24" t="n">
        <v>0.0655</v>
      </c>
      <c r="E40" s="25" t="n">
        <v>2.25</v>
      </c>
      <c r="F40" s="62" t="n">
        <f aca="false">D40*E40</f>
        <v>0.147375</v>
      </c>
      <c r="I40" s="11" t="s">
        <v>1258</v>
      </c>
    </row>
    <row r="41" customFormat="false" ht="15" hidden="false" customHeight="false" outlineLevel="0" collapsed="false">
      <c r="A41" s="4" t="s">
        <v>1327</v>
      </c>
      <c r="B41" s="6" t="s">
        <v>1241</v>
      </c>
      <c r="C41" s="11" t="s">
        <v>1328</v>
      </c>
      <c r="D41" s="24" t="n">
        <v>0.04</v>
      </c>
      <c r="E41" s="25" t="n">
        <v>3</v>
      </c>
      <c r="F41" s="62" t="n">
        <f aca="false">D41*E41</f>
        <v>0.12</v>
      </c>
      <c r="I41" s="11" t="s">
        <v>1303</v>
      </c>
    </row>
    <row r="42" customFormat="false" ht="15" hidden="false" customHeight="false" outlineLevel="0" collapsed="false">
      <c r="A42" s="4" t="s">
        <v>1329</v>
      </c>
      <c r="B42" s="6" t="s">
        <v>1241</v>
      </c>
      <c r="C42" s="11" t="s">
        <v>1330</v>
      </c>
      <c r="D42" s="24" t="n">
        <v>0.04</v>
      </c>
      <c r="E42" s="25" t="n">
        <v>2.25</v>
      </c>
      <c r="F42" s="62" t="n">
        <f aca="false">D42*E42</f>
        <v>0.09</v>
      </c>
      <c r="I42" s="11" t="s">
        <v>1246</v>
      </c>
    </row>
    <row r="43" customFormat="false" ht="15" hidden="false" customHeight="false" outlineLevel="0" collapsed="false">
      <c r="A43" s="4" t="s">
        <v>1331</v>
      </c>
      <c r="B43" s="6" t="s">
        <v>1241</v>
      </c>
      <c r="C43" s="11" t="s">
        <v>1332</v>
      </c>
      <c r="D43" s="24" t="n">
        <v>0.036</v>
      </c>
      <c r="E43" s="25" t="n">
        <v>4.5</v>
      </c>
      <c r="F43" s="62" t="n">
        <f aca="false">D43*E43</f>
        <v>0.162</v>
      </c>
      <c r="I43" s="11" t="s">
        <v>1243</v>
      </c>
    </row>
    <row r="44" customFormat="false" ht="15" hidden="false" customHeight="false" outlineLevel="0" collapsed="false">
      <c r="A44" s="4" t="s">
        <v>1333</v>
      </c>
      <c r="B44" s="6" t="s">
        <v>1241</v>
      </c>
      <c r="C44" s="11" t="s">
        <v>1334</v>
      </c>
      <c r="D44" s="24" t="n">
        <v>0.0395</v>
      </c>
      <c r="E44" s="25" t="n">
        <v>3.25</v>
      </c>
      <c r="F44" s="62" t="n">
        <f aca="false">D44*E44</f>
        <v>0.128375</v>
      </c>
      <c r="I44" s="11" t="s">
        <v>1249</v>
      </c>
    </row>
    <row r="45" customFormat="false" ht="15" hidden="false" customHeight="false" outlineLevel="0" collapsed="false">
      <c r="A45" s="4" t="s">
        <v>1335</v>
      </c>
      <c r="B45" s="6" t="s">
        <v>1241</v>
      </c>
      <c r="C45" s="11" t="s">
        <v>1336</v>
      </c>
      <c r="D45" s="24" t="n">
        <v>0.069</v>
      </c>
      <c r="E45" s="25" t="n">
        <v>2.5</v>
      </c>
      <c r="F45" s="62" t="n">
        <f aca="false">D45*E45</f>
        <v>0.1725</v>
      </c>
      <c r="I45" s="11" t="s">
        <v>1264</v>
      </c>
    </row>
    <row r="46" customFormat="false" ht="15" hidden="false" customHeight="false" outlineLevel="0" collapsed="false">
      <c r="A46" s="4" t="s">
        <v>1337</v>
      </c>
      <c r="B46" s="6" t="s">
        <v>1241</v>
      </c>
      <c r="C46" s="11" t="s">
        <v>1338</v>
      </c>
      <c r="D46" s="24" t="n">
        <v>0.0555</v>
      </c>
      <c r="E46" s="25" t="n">
        <v>2.25</v>
      </c>
      <c r="F46" s="62" t="n">
        <f aca="false">D46*E46</f>
        <v>0.124875</v>
      </c>
      <c r="I46" s="11" t="s">
        <v>1252</v>
      </c>
    </row>
    <row r="47" customFormat="false" ht="15" hidden="false" customHeight="false" outlineLevel="0" collapsed="false">
      <c r="A47" s="4" t="s">
        <v>1339</v>
      </c>
      <c r="B47" s="6" t="s">
        <v>1241</v>
      </c>
      <c r="C47" s="11" t="s">
        <v>1340</v>
      </c>
      <c r="D47" s="24" t="n">
        <v>0.05375</v>
      </c>
      <c r="E47" s="25" t="n">
        <v>1.75</v>
      </c>
      <c r="F47" s="62" t="n">
        <f aca="false">D47*E47</f>
        <v>0.0940625</v>
      </c>
      <c r="I47" s="11" t="s">
        <v>1261</v>
      </c>
    </row>
    <row r="48" customFormat="false" ht="15" hidden="false" customHeight="false" outlineLevel="0" collapsed="false">
      <c r="A48" s="4" t="s">
        <v>1341</v>
      </c>
      <c r="B48" s="6" t="s">
        <v>1241</v>
      </c>
      <c r="C48" s="11" t="s">
        <v>1342</v>
      </c>
      <c r="D48" s="24" t="n">
        <v>0.04375</v>
      </c>
      <c r="E48" s="25" t="n">
        <v>1.25</v>
      </c>
      <c r="F48" s="62" t="n">
        <f aca="false">D48*E48</f>
        <v>0.0546875</v>
      </c>
      <c r="I48" s="11" t="s">
        <v>1270</v>
      </c>
    </row>
    <row r="49" customFormat="false" ht="15" hidden="false" customHeight="false" outlineLevel="0" collapsed="false">
      <c r="A49" s="4" t="s">
        <v>1343</v>
      </c>
      <c r="B49" s="6" t="s">
        <v>1241</v>
      </c>
      <c r="C49" s="11" t="s">
        <v>1344</v>
      </c>
      <c r="D49" s="24" t="n">
        <v>0.06</v>
      </c>
      <c r="E49" s="25" t="n">
        <v>1.75</v>
      </c>
      <c r="F49" s="62" t="n">
        <f aca="false">D49*E49</f>
        <v>0.105</v>
      </c>
      <c r="I49" s="11" t="s">
        <v>1255</v>
      </c>
    </row>
    <row r="50" customFormat="false" ht="15" hidden="false" customHeight="false" outlineLevel="0" collapsed="false">
      <c r="A50" s="4" t="s">
        <v>1345</v>
      </c>
      <c r="B50" s="6" t="s">
        <v>1241</v>
      </c>
      <c r="C50" s="11" t="s">
        <v>1346</v>
      </c>
      <c r="D50" s="24" t="n">
        <v>0.0595</v>
      </c>
      <c r="E50" s="25" t="n">
        <v>3.5</v>
      </c>
      <c r="F50" s="62" t="n">
        <f aca="false">D50*E50</f>
        <v>0.20825</v>
      </c>
      <c r="I50" s="11" t="s">
        <v>1273</v>
      </c>
    </row>
    <row r="51" customFormat="false" ht="15" hidden="false" customHeight="false" outlineLevel="0" collapsed="false">
      <c r="A51" s="4" t="s">
        <v>1347</v>
      </c>
      <c r="B51" s="6" t="s">
        <v>1241</v>
      </c>
      <c r="C51" s="11" t="s">
        <v>1348</v>
      </c>
      <c r="D51" s="24" t="n">
        <v>0.067</v>
      </c>
      <c r="E51" s="25" t="n">
        <v>5</v>
      </c>
      <c r="F51" s="62" t="n">
        <f aca="false">D51*E51</f>
        <v>0.335</v>
      </c>
      <c r="I51" s="11" t="s">
        <v>1258</v>
      </c>
    </row>
    <row r="52" customFormat="false" ht="15" hidden="false" customHeight="false" outlineLevel="0" collapsed="false">
      <c r="A52" s="4" t="s">
        <v>1349</v>
      </c>
      <c r="B52" s="6" t="s">
        <v>1241</v>
      </c>
      <c r="C52" s="11" t="s">
        <v>1350</v>
      </c>
      <c r="D52" s="24" t="n">
        <v>0.0385</v>
      </c>
      <c r="E52" s="25" t="n">
        <v>3.5</v>
      </c>
      <c r="F52" s="62" t="n">
        <f aca="false">D52*E52</f>
        <v>0.13475</v>
      </c>
      <c r="I52" s="11" t="s">
        <v>1243</v>
      </c>
    </row>
    <row r="53" customFormat="false" ht="15" hidden="false" customHeight="false" outlineLevel="0" collapsed="false">
      <c r="A53" s="4" t="s">
        <v>1351</v>
      </c>
      <c r="B53" s="6" t="s">
        <v>1241</v>
      </c>
      <c r="C53" s="11" t="s">
        <v>1352</v>
      </c>
      <c r="D53" s="24" t="n">
        <v>0.041</v>
      </c>
      <c r="E53" s="25" t="n">
        <v>1.5</v>
      </c>
      <c r="F53" s="62" t="n">
        <f aca="false">D53*E53</f>
        <v>0.0615</v>
      </c>
      <c r="I53" s="11" t="s">
        <v>1249</v>
      </c>
    </row>
    <row r="54" customFormat="false" ht="15" hidden="false" customHeight="false" outlineLevel="0" collapsed="false">
      <c r="A54" s="4" t="s">
        <v>1353</v>
      </c>
      <c r="B54" s="6" t="s">
        <v>1241</v>
      </c>
      <c r="C54" s="11" t="s">
        <v>1354</v>
      </c>
      <c r="D54" s="24" t="n">
        <v>0.055</v>
      </c>
      <c r="E54" s="25" t="n">
        <v>1.25</v>
      </c>
      <c r="F54" s="62" t="n">
        <f aca="false">D54*E54</f>
        <v>0.06875</v>
      </c>
      <c r="I54" s="11" t="s">
        <v>1261</v>
      </c>
    </row>
    <row r="55" customFormat="false" ht="15" hidden="false" customHeight="false" outlineLevel="0" collapsed="false">
      <c r="A55" s="4" t="s">
        <v>1355</v>
      </c>
      <c r="B55" s="6" t="s">
        <v>1241</v>
      </c>
      <c r="C55" s="11" t="s">
        <v>1356</v>
      </c>
      <c r="D55" s="24" t="n">
        <v>0.06125</v>
      </c>
      <c r="E55" s="25" t="n">
        <v>1</v>
      </c>
      <c r="F55" s="62" t="n">
        <f aca="false">D55*E55</f>
        <v>0.06125</v>
      </c>
      <c r="I55" s="11" t="s">
        <v>1255</v>
      </c>
    </row>
    <row r="56" customFormat="false" ht="15" hidden="false" customHeight="false" outlineLevel="0" collapsed="false">
      <c r="A56" s="4" t="s">
        <v>1357</v>
      </c>
      <c r="B56" s="6" t="s">
        <v>1241</v>
      </c>
      <c r="C56" s="11" t="s">
        <v>1358</v>
      </c>
      <c r="D56" s="24" t="n">
        <v>0.061</v>
      </c>
      <c r="E56" s="25" t="n">
        <v>2</v>
      </c>
      <c r="F56" s="62" t="n">
        <f aca="false">D56*E56</f>
        <v>0.122</v>
      </c>
      <c r="I56" s="11" t="s">
        <v>1273</v>
      </c>
    </row>
    <row r="57" customFormat="false" ht="15" hidden="false" customHeight="false" outlineLevel="0" collapsed="false">
      <c r="A57" s="4" t="s">
        <v>1359</v>
      </c>
      <c r="B57" s="6" t="s">
        <v>1241</v>
      </c>
      <c r="C57" s="11" t="s">
        <v>1360</v>
      </c>
      <c r="D57" s="24" t="n">
        <v>0.0685</v>
      </c>
      <c r="E57" s="25" t="n">
        <v>2.75</v>
      </c>
      <c r="F57" s="62" t="n">
        <f aca="false">D57*E57</f>
        <v>0.188375</v>
      </c>
      <c r="I57" s="11" t="s">
        <v>1258</v>
      </c>
    </row>
    <row r="58" customFormat="false" ht="15" hidden="false" customHeight="false" outlineLevel="0" collapsed="false">
      <c r="A58" s="3" t="s">
        <v>1361</v>
      </c>
      <c r="B58" s="6" t="s">
        <v>1241</v>
      </c>
      <c r="C58" s="11" t="s">
        <v>1254</v>
      </c>
      <c r="D58" s="24" t="n">
        <v>0.0443</v>
      </c>
      <c r="E58" s="25" t="n">
        <v>0.5</v>
      </c>
      <c r="F58" s="62" t="n">
        <f aca="false">D58*E58</f>
        <v>0.02215</v>
      </c>
      <c r="I58" s="11" t="s">
        <v>1255</v>
      </c>
    </row>
    <row r="59" customFormat="false" ht="15" hidden="false" customHeight="false" outlineLevel="0" collapsed="false">
      <c r="A59" s="3" t="s">
        <v>1362</v>
      </c>
      <c r="B59" s="6" t="s">
        <v>1241</v>
      </c>
      <c r="C59" s="11" t="s">
        <v>1257</v>
      </c>
      <c r="D59" s="24" t="n">
        <v>0.0478</v>
      </c>
      <c r="E59" s="25" t="n">
        <v>0.5</v>
      </c>
      <c r="F59" s="62" t="n">
        <f aca="false">D59*E59</f>
        <v>0.0239</v>
      </c>
      <c r="I59" s="11" t="s">
        <v>1258</v>
      </c>
    </row>
    <row r="60" customFormat="false" ht="15" hidden="false" customHeight="false" outlineLevel="0" collapsed="false">
      <c r="A60" s="3" t="s">
        <v>1363</v>
      </c>
      <c r="B60" s="6" t="s">
        <v>1241</v>
      </c>
      <c r="C60" s="11" t="s">
        <v>1364</v>
      </c>
      <c r="D60" s="24" t="n">
        <v>0.0474</v>
      </c>
      <c r="E60" s="25" t="n">
        <v>5.067</v>
      </c>
      <c r="F60" s="62" t="n">
        <f aca="false">D60*E60</f>
        <v>0.2401758</v>
      </c>
      <c r="I60" s="11" t="s">
        <v>1365</v>
      </c>
    </row>
    <row r="61" customFormat="false" ht="15" hidden="false" customHeight="false" outlineLevel="0" collapsed="false">
      <c r="A61" s="3" t="s">
        <v>1366</v>
      </c>
      <c r="B61" s="6" t="s">
        <v>1241</v>
      </c>
      <c r="C61" s="11" t="s">
        <v>1367</v>
      </c>
      <c r="D61" s="24" t="n">
        <v>0.0435</v>
      </c>
      <c r="E61" s="25" t="n">
        <v>0.337</v>
      </c>
      <c r="F61" s="62" t="n">
        <f aca="false">D61*E61</f>
        <v>0.0146595</v>
      </c>
      <c r="I61" s="6" t="s">
        <v>1368</v>
      </c>
    </row>
    <row r="62" customFormat="false" ht="15" hidden="false" customHeight="false" outlineLevel="0" collapsed="false">
      <c r="A62" s="2" t="s">
        <v>1369</v>
      </c>
      <c r="E62" s="53" t="n">
        <f aca="false">SUM(E5:E61)</f>
        <v>125.904</v>
      </c>
      <c r="F62" s="53" t="n">
        <f aca="false">SUM(F5:F61)</f>
        <v>6.0449478</v>
      </c>
      <c r="I62" s="6" t="s">
        <v>1370</v>
      </c>
    </row>
    <row r="63" customFormat="false" ht="15" hidden="false" customHeight="false" outlineLevel="0" collapsed="false">
      <c r="A63" s="2" t="s">
        <v>1371</v>
      </c>
      <c r="D63" s="73" t="n">
        <f aca="false">F62/E62</f>
        <v>0.0480123570339306</v>
      </c>
      <c r="I63" s="6" t="s">
        <v>1372</v>
      </c>
    </row>
    <row r="65" customFormat="false" ht="15" hidden="false" customHeight="false" outlineLevel="0" collapsed="false">
      <c r="A65" s="3" t="s">
        <v>1373</v>
      </c>
      <c r="D65" s="74" t="n">
        <v>0</v>
      </c>
      <c r="E65" s="25" t="n">
        <v>0</v>
      </c>
      <c r="F65" s="10" t="n">
        <f aca="false">D65*E65</f>
        <v>0</v>
      </c>
      <c r="I65" s="11" t="s">
        <v>1374</v>
      </c>
    </row>
    <row r="67" customFormat="false" ht="15" hidden="false" customHeight="false" outlineLevel="0" collapsed="false">
      <c r="A67" s="46" t="s">
        <v>1375</v>
      </c>
      <c r="B67" s="8"/>
      <c r="C67" s="8"/>
      <c r="D67" s="8"/>
      <c r="E67" s="8"/>
      <c r="F67" s="8"/>
      <c r="G67" s="8"/>
      <c r="H67" s="8"/>
    </row>
    <row r="68" customFormat="false" ht="17.15" hidden="false" customHeight="false" outlineLevel="1" collapsed="false">
      <c r="A68" s="14" t="s">
        <v>1376</v>
      </c>
      <c r="B68" s="14" t="s">
        <v>1236</v>
      </c>
      <c r="C68" s="14" t="s">
        <v>1377</v>
      </c>
      <c r="D68" s="14" t="s">
        <v>1378</v>
      </c>
      <c r="E68" s="14" t="s">
        <v>1379</v>
      </c>
      <c r="F68" s="14" t="s">
        <v>1380</v>
      </c>
      <c r="G68" s="14" t="s">
        <v>1381</v>
      </c>
      <c r="H68" s="14" t="s">
        <v>1382</v>
      </c>
      <c r="I68" s="14" t="s">
        <v>618</v>
      </c>
    </row>
    <row r="69" customFormat="false" ht="15" hidden="false" customHeight="false" outlineLevel="1" collapsed="false">
      <c r="A69" s="4" t="s">
        <v>1383</v>
      </c>
      <c r="B69" s="11" t="s">
        <v>1384</v>
      </c>
      <c r="C69" s="74" t="n">
        <v>0.065</v>
      </c>
      <c r="D69" s="23" t="n">
        <v>5</v>
      </c>
      <c r="E69" s="75" t="n">
        <v>1</v>
      </c>
      <c r="F69" s="38" t="n">
        <v>160.06</v>
      </c>
      <c r="G69" s="64" t="n">
        <v>2</v>
      </c>
      <c r="H69" s="21" t="n">
        <v>1</v>
      </c>
      <c r="I69" s="6" t="s">
        <v>1385</v>
      </c>
    </row>
    <row r="70" customFormat="false" ht="15" hidden="false" customHeight="false" outlineLevel="1" collapsed="false">
      <c r="I70" s="6" t="s">
        <v>1386</v>
      </c>
    </row>
    <row r="71" customFormat="false" ht="15" hidden="false" customHeight="false" outlineLevel="1" collapsed="false"/>
    <row r="72" customFormat="false" ht="15" hidden="false" customHeight="false" outlineLevel="1" collapsed="false">
      <c r="A72" s="14" t="s">
        <v>1387</v>
      </c>
      <c r="C72" s="14" t="s">
        <v>1388</v>
      </c>
      <c r="D72" s="14" t="s">
        <v>1389</v>
      </c>
      <c r="E72" s="14" t="s">
        <v>1390</v>
      </c>
      <c r="F72" s="14" t="s">
        <v>1391</v>
      </c>
      <c r="G72" s="14" t="s">
        <v>1392</v>
      </c>
      <c r="H72" s="14" t="s">
        <v>1393</v>
      </c>
      <c r="I72" s="14" t="s">
        <v>723</v>
      </c>
    </row>
    <row r="73" customFormat="false" ht="15" hidden="false" customHeight="false" outlineLevel="1" collapsed="false">
      <c r="A73" s="3" t="str">
        <f aca="false">A69</f>
        <v>6.50% Series D 強制轉換特別股（2026-02）</v>
      </c>
      <c r="C73" s="30" t="n">
        <f aca="false">D69*E69</f>
        <v>5</v>
      </c>
      <c r="D73" s="30" t="n">
        <f aca="false">D69/F69</f>
        <v>0.0312382856428839</v>
      </c>
      <c r="E73" s="49" t="n">
        <f aca="false">F69*E69</f>
        <v>160.06</v>
      </c>
      <c r="F73" s="64" t="n">
        <f aca="false">IF(OR(H69=1,E73&lt;輸入與假設!$C$152),1,0)</f>
        <v>1</v>
      </c>
      <c r="G73" s="64" t="n">
        <f aca="false">IF(OR(H69=1,E73&lt;輸入與假設!$C$175),1,0)</f>
        <v>1</v>
      </c>
      <c r="H73" s="64" t="n">
        <f aca="false">IF(OR(H69=1,E73&lt;評價_DCF與目標價!$C$66),1,0)</f>
        <v>1</v>
      </c>
    </row>
    <row r="74" customFormat="false" ht="15" hidden="false" customHeight="false" outlineLevel="1" collapsed="false">
      <c r="A74" s="2" t="s">
        <v>1394</v>
      </c>
      <c r="C74" s="76" t="n">
        <f aca="false">SUM(C73:C73)</f>
        <v>5</v>
      </c>
      <c r="D74" s="76" t="n">
        <f aca="false">SUM(D73:D73)</f>
        <v>0.0312382856428839</v>
      </c>
      <c r="I74" s="6" t="s">
        <v>1395</v>
      </c>
    </row>
    <row r="76" customFormat="false" ht="15" hidden="false" customHeight="false" outlineLevel="0" collapsed="false">
      <c r="A76" s="46" t="s">
        <v>1396</v>
      </c>
      <c r="B76" s="8"/>
      <c r="C76" s="8"/>
      <c r="D76" s="8"/>
      <c r="E76" s="8"/>
      <c r="F76" s="8"/>
      <c r="G76" s="8"/>
      <c r="H76" s="8"/>
    </row>
    <row r="77" customFormat="false" ht="15" hidden="false" customHeight="false" outlineLevel="1" collapsed="false">
      <c r="A77" s="14" t="s">
        <v>53</v>
      </c>
      <c r="B77" s="14" t="s">
        <v>54</v>
      </c>
      <c r="C77" s="28" t="s">
        <v>55</v>
      </c>
      <c r="D77" s="28" t="s">
        <v>56</v>
      </c>
      <c r="E77" s="28" t="s">
        <v>57</v>
      </c>
      <c r="F77" s="28" t="s">
        <v>147</v>
      </c>
      <c r="G77" s="28" t="s">
        <v>148</v>
      </c>
      <c r="I77" s="14" t="s">
        <v>749</v>
      </c>
    </row>
    <row r="78" customFormat="false" ht="15" hidden="false" customHeight="false" outlineLevel="1" collapsed="false">
      <c r="A78" s="3" t="s">
        <v>1397</v>
      </c>
      <c r="B78" s="11" t="s">
        <v>59</v>
      </c>
      <c r="C78" s="62" t="n">
        <f aca="false">E62</f>
        <v>125.904</v>
      </c>
      <c r="D78" s="62" t="n">
        <f aca="false">C80</f>
        <v>122.897</v>
      </c>
      <c r="E78" s="62" t="n">
        <f aca="false">D80</f>
        <v>112.75</v>
      </c>
      <c r="F78" s="62" t="n">
        <f aca="false">E80</f>
        <v>107.25</v>
      </c>
      <c r="G78" s="62" t="n">
        <f aca="false">F80</f>
        <v>100</v>
      </c>
      <c r="I78" s="11" t="s">
        <v>1398</v>
      </c>
    </row>
    <row r="79" customFormat="false" ht="15" hidden="false" customHeight="false" outlineLevel="1" collapsed="false">
      <c r="A79" s="3" t="s">
        <v>1399</v>
      </c>
      <c r="B79" s="11" t="s">
        <v>59</v>
      </c>
      <c r="C79" s="39" t="n">
        <f aca="false">輸入與假設!C$170</f>
        <v>3.007</v>
      </c>
      <c r="D79" s="39" t="n">
        <f aca="false">輸入與假設!D$170</f>
        <v>10.147</v>
      </c>
      <c r="E79" s="39" t="n">
        <f aca="false">輸入與假設!E$170</f>
        <v>5.5</v>
      </c>
      <c r="F79" s="39" t="n">
        <f aca="false">輸入與假設!F$170</f>
        <v>7.25</v>
      </c>
      <c r="G79" s="39" t="n">
        <f aca="false">輸入與假設!G$170</f>
        <v>9.75</v>
      </c>
      <c r="I79" s="6" t="s">
        <v>1400</v>
      </c>
    </row>
    <row r="80" customFormat="false" ht="15" hidden="false" customHeight="false" outlineLevel="1" collapsed="false">
      <c r="A80" s="3" t="s">
        <v>1401</v>
      </c>
      <c r="B80" s="11" t="s">
        <v>59</v>
      </c>
      <c r="C80" s="62" t="n">
        <f aca="false">C78-C79</f>
        <v>122.897</v>
      </c>
      <c r="D80" s="62" t="n">
        <f aca="false">D78-D79</f>
        <v>112.75</v>
      </c>
      <c r="E80" s="62" t="n">
        <f aca="false">E78-E79</f>
        <v>107.25</v>
      </c>
      <c r="F80" s="62" t="n">
        <f aca="false">F78-F79</f>
        <v>100</v>
      </c>
      <c r="G80" s="62" t="n">
        <f aca="false">G78-G79</f>
        <v>90.25</v>
      </c>
    </row>
    <row r="81" customFormat="false" ht="15" hidden="false" customHeight="false" outlineLevel="1" collapsed="false">
      <c r="A81" s="3" t="s">
        <v>1402</v>
      </c>
      <c r="B81" s="11" t="s">
        <v>59</v>
      </c>
      <c r="C81" s="62" t="n">
        <f aca="false">(C78+C80)/2</f>
        <v>124.4005</v>
      </c>
      <c r="D81" s="62" t="n">
        <f aca="false">(D78+D80)/2</f>
        <v>117.8235</v>
      </c>
      <c r="E81" s="62" t="n">
        <f aca="false">(E78+E80)/2</f>
        <v>110</v>
      </c>
      <c r="F81" s="62" t="n">
        <f aca="false">(F78+F80)/2</f>
        <v>103.625</v>
      </c>
      <c r="G81" s="62" t="n">
        <f aca="false">(G78+G80)/2</f>
        <v>95.125</v>
      </c>
    </row>
    <row r="82" customFormat="false" ht="15" hidden="false" customHeight="false" outlineLevel="1" collapsed="false">
      <c r="A82" s="3" t="s">
        <v>1403</v>
      </c>
      <c r="B82" s="11" t="s">
        <v>59</v>
      </c>
      <c r="C82" s="62" t="n">
        <f aca="false">C81*資產負債_既有債務!$D$63*輸入與假設!C$41</f>
        <v>4.47957091589961</v>
      </c>
      <c r="D82" s="62" t="n">
        <f aca="false">D81*資產負債_既有債務!$D$63*輸入與假設!D$41</f>
        <v>5.65698394898732</v>
      </c>
      <c r="E82" s="62" t="n">
        <f aca="false">E81*資產負債_既有債務!$D$63*輸入與假設!E$41</f>
        <v>5.28135927373237</v>
      </c>
      <c r="F82" s="62" t="n">
        <f aca="false">F81*資產負債_既有債務!$D$63*輸入與假設!F$41</f>
        <v>4.97528049764106</v>
      </c>
      <c r="G82" s="62" t="n">
        <f aca="false">G81*資產負債_既有債務!$D$63*輸入與假設!G$41</f>
        <v>4.56717546285265</v>
      </c>
      <c r="I82" s="6" t="s">
        <v>1404</v>
      </c>
    </row>
    <row r="83" customFormat="false" ht="15" hidden="false" customHeight="false" outlineLevel="1" collapsed="false">
      <c r="A83" s="3" t="s">
        <v>1405</v>
      </c>
      <c r="B83" s="11" t="s">
        <v>59</v>
      </c>
      <c r="C83" s="62" t="n">
        <f aca="false">資產負債_既有債務!$F$65*輸入與假設!C$41</f>
        <v>0</v>
      </c>
      <c r="D83" s="62" t="n">
        <f aca="false">資產負債_既有債務!$F$65*輸入與假設!D$41</f>
        <v>0</v>
      </c>
      <c r="E83" s="62" t="n">
        <f aca="false">資產負債_既有債務!$F$65*輸入與假設!E$41</f>
        <v>0</v>
      </c>
      <c r="F83" s="62" t="n">
        <f aca="false">資產負債_既有債務!$F$65*輸入與假設!F$41</f>
        <v>0</v>
      </c>
      <c r="G83" s="62" t="n">
        <f aca="false">資產負債_既有債務!$F$65*輸入與假設!G$41</f>
        <v>0</v>
      </c>
    </row>
    <row r="84" customFormat="false" ht="15" hidden="false" customHeight="false" outlineLevel="1" collapsed="false">
      <c r="A84" s="3" t="s">
        <v>1406</v>
      </c>
      <c r="B84" s="11" t="s">
        <v>59</v>
      </c>
      <c r="C84" s="62" t="n">
        <f aca="false">IF(輸入與假設!$C$144=1,SUMPRODUCT((1-資產負債_既有債務!$F$73:$F$73)*資產負債_既有債務!$C$73:$C$73*(資產負債_既有債務!$G$69:$G$69=0)),0)</f>
        <v>0</v>
      </c>
      <c r="D84" s="62" t="n">
        <f aca="false">IF(輸入與假設!$C$144=1,SUMPRODUCT((1-資產負債_既有債務!$F$73:$F$73)*資產負債_既有債務!$C$73:$C$73*(資產負債_既有債務!$G$69:$G$69=1)),0)</f>
        <v>0</v>
      </c>
      <c r="E84" s="62" t="n">
        <f aca="false">IF(輸入與假設!$C$144=1,SUMPRODUCT((1-資產負債_既有債務!$F$73:$F$73)*資產負債_既有債務!$C$73:$C$73*(資產負債_既有債務!$G$69:$G$69=2)),0)</f>
        <v>0</v>
      </c>
      <c r="F84" s="62" t="n">
        <f aca="false">IF(輸入與假設!$C$144=1,SUMPRODUCT((1-資產負債_既有債務!$F$73:$F$73)*資產負債_既有債務!$C$73:$C$73*(資產負債_既有債務!$G$69:$G$69=3)),0)</f>
        <v>0</v>
      </c>
      <c r="G84" s="62" t="n">
        <f aca="false">IF(輸入與假設!$C$144=1,SUMPRODUCT((1-資產負債_既有債務!$F$73:$F$73)*資產負債_既有債務!$C$73:$C$73*(資產負債_既有債務!$G$69:$G$69=4)),0)</f>
        <v>0</v>
      </c>
      <c r="I84" s="6" t="s">
        <v>1407</v>
      </c>
    </row>
    <row r="85" customFormat="false" ht="15" hidden="false" customHeight="false" outlineLevel="1" collapsed="false">
      <c r="A85" s="3" t="s">
        <v>1408</v>
      </c>
      <c r="B85" s="11" t="s">
        <v>59</v>
      </c>
      <c r="C85" s="62" t="n">
        <f aca="false">IF(輸入與假設!$C$144=1,SUMPRODUCT((1-資產負債_既有債務!$F$73:$F$73)*資產負債_既有債務!$C$73:$C$73*(資產負債_既有債務!$G$69:$G$69&gt;0)),SUMPRODUCT((1-資產負債_既有債務!$F$73:$F$73)*資產負債_既有債務!$C$73:$C$73))</f>
        <v>0</v>
      </c>
      <c r="D85" s="62" t="n">
        <f aca="false">IF(輸入與假設!$C$144=1,SUMPRODUCT((1-資產負債_既有債務!$F$73:$F$73)*資產負債_既有債務!$C$73:$C$73*(資產負債_既有債務!$G$69:$G$69&gt;1)),SUMPRODUCT((1-資產負債_既有債務!$F$73:$F$73)*資產負債_既有債務!$C$73:$C$73))</f>
        <v>0</v>
      </c>
      <c r="E85" s="62" t="n">
        <f aca="false">IF(輸入與假設!$C$144=1,SUMPRODUCT((1-資產負債_既有債務!$F$73:$F$73)*資產負債_既有債務!$C$73:$C$73*(資產負債_既有債務!$G$69:$G$69&gt;2)),SUMPRODUCT((1-資產負債_既有債務!$F$73:$F$73)*資產負債_既有債務!$C$73:$C$73))</f>
        <v>0</v>
      </c>
      <c r="F85" s="62" t="n">
        <f aca="false">IF(輸入與假設!$C$144=1,SUMPRODUCT((1-資產負債_既有債務!$F$73:$F$73)*資產負債_既有債務!$C$73:$C$73*(資產負債_既有債務!$G$69:$G$69&gt;3)),SUMPRODUCT((1-資產負債_既有債務!$F$73:$F$73)*資產負債_既有債務!$C$73:$C$73))</f>
        <v>0</v>
      </c>
      <c r="G85" s="62" t="n">
        <f aca="false">IF(輸入與假設!$C$144=1,SUMPRODUCT((1-資產負債_既有債務!$F$73:$F$73)*資產負債_既有債務!$C$73:$C$73*(資產負債_既有債務!$G$69:$G$69&gt;4)),SUMPRODUCT((1-資產負債_既有債務!$F$73:$F$73)*資產負債_既有債務!$C$73:$C$73))</f>
        <v>0</v>
      </c>
      <c r="I85" s="6" t="s">
        <v>1409</v>
      </c>
    </row>
    <row r="86" customFormat="false" ht="15" hidden="false" customHeight="false" outlineLevel="1" collapsed="false">
      <c r="A86" s="3" t="s">
        <v>1410</v>
      </c>
      <c r="B86" s="11" t="s">
        <v>59</v>
      </c>
      <c r="C86" s="62" t="n">
        <f aca="false">IF(輸入與假設!$C$144=1,SUMPRODUCT((1-資產負債_既有債務!$F$73:$F$73)*資產負債_既有債務!$D$69:$D$69*資產負債_既有債務!$C$69:$C$69*((資產負債_既有債務!$G$69:$G$69&gt;0)+0.5*(資產負債_既有債務!$G$69:$G$69=0))),SUMPRODUCT((1-資產負債_既有債務!$F$73:$F$73)*資產負債_既有債務!$D$69:$D$69*資產負債_既有債務!$C$69:$C$69))*輸入與假設!C$41</f>
        <v>0</v>
      </c>
      <c r="D86" s="62" t="n">
        <f aca="false">IF(輸入與假設!$C$144=1,SUMPRODUCT((1-資產負債_既有債務!$F$73:$F$73)*資產負債_既有債務!$D$69:$D$69*資產負債_既有債務!$C$69:$C$69*((資產負債_既有債務!$G$69:$G$69&gt;1)+0.5*(資產負債_既有債務!$G$69:$G$69=1))),SUMPRODUCT((1-資產負債_既有債務!$F$73:$F$73)*資產負債_既有債務!$D$69:$D$69*資產負債_既有債務!$C$69:$C$69))*輸入與假設!D$41</f>
        <v>0</v>
      </c>
      <c r="E86" s="62" t="n">
        <f aca="false">IF(輸入與假設!$C$144=1,SUMPRODUCT((1-資產負債_既有債務!$F$73:$F$73)*資產負債_既有債務!$D$69:$D$69*資產負債_既有債務!$C$69:$C$69*((資產負債_既有債務!$G$69:$G$69&gt;2)+0.5*(資產負債_既有債務!$G$69:$G$69=2))),SUMPRODUCT((1-資產負債_既有債務!$F$73:$F$73)*資產負債_既有債務!$D$69:$D$69*資產負債_既有債務!$C$69:$C$69))*輸入與假設!E$41</f>
        <v>0</v>
      </c>
      <c r="F86" s="62" t="n">
        <f aca="false">IF(輸入與假設!$C$144=1,SUMPRODUCT((1-資產負債_既有債務!$F$73:$F$73)*資產負債_既有債務!$D$69:$D$69*資產負債_既有債務!$C$69:$C$69*((資產負債_既有債務!$G$69:$G$69&gt;3)+0.5*(資產負債_既有債務!$G$69:$G$69=3))),SUMPRODUCT((1-資產負債_既有債務!$F$73:$F$73)*資產負債_既有債務!$D$69:$D$69*資產負債_既有債務!$C$69:$C$69))*輸入與假設!F$41</f>
        <v>0</v>
      </c>
      <c r="G86" s="62" t="n">
        <f aca="false">IF(輸入與假設!$C$144=1,SUMPRODUCT((1-資產負債_既有債務!$F$73:$F$73)*資產負債_既有債務!$D$69:$D$69*資產負債_既有債務!$C$69:$C$69*((資產負債_既有債務!$G$69:$G$69&gt;4)+0.5*(資產負債_既有債務!$G$69:$G$69=4))),SUMPRODUCT((1-資產負債_既有債務!$F$73:$F$73)*資產負債_既有債務!$D$69:$D$69*資產負債_既有債務!$C$69:$C$69))*輸入與假設!G$41</f>
        <v>0</v>
      </c>
      <c r="I86" s="6" t="s">
        <v>1411</v>
      </c>
    </row>
    <row r="87" customFormat="false" ht="15" hidden="false" customHeight="false" outlineLevel="1" collapsed="false">
      <c r="A87" s="4" t="s">
        <v>1412</v>
      </c>
      <c r="B87" s="11" t="s">
        <v>59</v>
      </c>
      <c r="C87" s="25" t="n">
        <f aca="false">0</f>
        <v>0</v>
      </c>
      <c r="D87" s="25" t="n">
        <f aca="false">0</f>
        <v>0</v>
      </c>
      <c r="E87" s="25" t="n">
        <f aca="false">0</f>
        <v>0</v>
      </c>
      <c r="F87" s="25" t="n">
        <f aca="false">0</f>
        <v>0</v>
      </c>
      <c r="G87" s="25" t="n">
        <f aca="false">0</f>
        <v>0</v>
      </c>
      <c r="I87" s="6" t="s">
        <v>1413</v>
      </c>
    </row>
    <row r="88" customFormat="false" ht="15" hidden="false" customHeight="false" outlineLevel="1" collapsed="false">
      <c r="A88" s="2" t="s">
        <v>1414</v>
      </c>
      <c r="B88" s="11" t="s">
        <v>59</v>
      </c>
      <c r="C88" s="36" t="n">
        <f aca="false">C82+C83+C86+C87</f>
        <v>4.47957091589961</v>
      </c>
      <c r="D88" s="36" t="n">
        <f aca="false">D82+D83+D86+D87</f>
        <v>5.65698394898732</v>
      </c>
      <c r="E88" s="36" t="n">
        <f aca="false">E82+E83+E86+E87</f>
        <v>5.28135927373237</v>
      </c>
      <c r="F88" s="36" t="n">
        <f aca="false">F82+F83+F86+F87</f>
        <v>4.97528049764106</v>
      </c>
      <c r="G88" s="36" t="n">
        <f aca="false">G82+G83+G86+G87</f>
        <v>4.56717546285265</v>
      </c>
      <c r="I88" s="6" t="s">
        <v>1415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B5778"/>
    <outlinePr summaryBelow="0" summaryRight="1"/>
    <pageSetUpPr fitToPage="false"/>
  </sheetPr>
  <dimension ref="A1:I3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1" outlineLevelCol="0"/>
  <cols>
    <col collapsed="false" customWidth="true" hidden="false" outlineLevel="0" max="1" min="1" style="0" width="44"/>
    <col collapsed="false" customWidth="true" hidden="false" outlineLevel="0" max="2" min="2" style="0" width="10"/>
    <col collapsed="false" customWidth="true" hidden="false" outlineLevel="0" max="7" min="3" style="0" width="12"/>
    <col collapsed="false" customWidth="true" hidden="false" outlineLevel="0" max="9" min="9" style="0" width="80"/>
  </cols>
  <sheetData>
    <row r="1" customFormat="false" ht="17.35" hidden="false" customHeight="false" outlineLevel="0" collapsed="false">
      <c r="A1" s="5" t="s">
        <v>1416</v>
      </c>
    </row>
    <row r="2" customFormat="false" ht="15" hidden="false" customHeight="false" outlineLevel="0" collapsed="false">
      <c r="A2" s="6" t="s">
        <v>1417</v>
      </c>
    </row>
    <row r="4" customFormat="false" ht="15" hidden="false" customHeight="false" outlineLevel="0" collapsed="false">
      <c r="A4" s="14" t="s">
        <v>53</v>
      </c>
      <c r="B4" s="14" t="s">
        <v>54</v>
      </c>
      <c r="C4" s="28" t="s">
        <v>55</v>
      </c>
      <c r="D4" s="28" t="s">
        <v>56</v>
      </c>
      <c r="E4" s="28" t="s">
        <v>57</v>
      </c>
      <c r="F4" s="28" t="s">
        <v>147</v>
      </c>
      <c r="G4" s="28" t="s">
        <v>148</v>
      </c>
      <c r="I4" s="14" t="s">
        <v>749</v>
      </c>
    </row>
    <row r="5" customFormat="false" ht="15" hidden="false" customHeight="false" outlineLevel="0" collapsed="false">
      <c r="A5" s="46" t="s">
        <v>1418</v>
      </c>
      <c r="B5" s="8"/>
      <c r="C5" s="8"/>
      <c r="D5" s="8"/>
      <c r="E5" s="8"/>
      <c r="F5" s="8"/>
      <c r="G5" s="8"/>
      <c r="H5" s="8"/>
    </row>
    <row r="6" customFormat="false" ht="15" hidden="false" customHeight="false" outlineLevel="1" collapsed="false">
      <c r="A6" s="3" t="s">
        <v>1419</v>
      </c>
      <c r="B6" s="11" t="s">
        <v>59</v>
      </c>
      <c r="C6" s="62" t="n">
        <f aca="false">輸入與假設!$C$139</f>
        <v>36.369</v>
      </c>
      <c r="D6" s="62" t="n">
        <f aca="false">各期收支!C52</f>
        <v>9.99999999999997</v>
      </c>
      <c r="E6" s="62" t="n">
        <f aca="false">各期收支!D52</f>
        <v>9.99999999999997</v>
      </c>
      <c r="F6" s="62" t="n">
        <f aca="false">各期收支!E52</f>
        <v>42.0381454094186</v>
      </c>
      <c r="G6" s="62" t="n">
        <f aca="false">各期收支!F52</f>
        <v>60.1796673785598</v>
      </c>
      <c r="I6" s="11" t="s">
        <v>1420</v>
      </c>
    </row>
    <row r="7" customFormat="false" ht="15" hidden="false" customHeight="false" outlineLevel="1" collapsed="false">
      <c r="A7" s="3" t="s">
        <v>1421</v>
      </c>
      <c r="B7" s="11" t="s">
        <v>59</v>
      </c>
      <c r="C7" s="62" t="n">
        <f aca="false">各期收支!C95-輸入與假設!$C$139</f>
        <v>-37.0833793881732</v>
      </c>
      <c r="D7" s="62" t="n">
        <f aca="false">各期收支!D95-各期收支!C95</f>
        <v>-27.7672806797347</v>
      </c>
      <c r="E7" s="62" t="n">
        <f aca="false">各期收支!E95-各期收支!D95</f>
        <v>34.4375063966339</v>
      </c>
      <c r="F7" s="62" t="n">
        <f aca="false">各期收支!F95-各期收支!E95</f>
        <v>20.5408829563565</v>
      </c>
      <c r="G7" s="62" t="n">
        <f aca="false">各期收支!G95-各期收支!F95</f>
        <v>14.7163953722017</v>
      </c>
      <c r="I7" s="6" t="s">
        <v>1422</v>
      </c>
    </row>
    <row r="8" customFormat="false" ht="15" hidden="false" customHeight="false" outlineLevel="1" collapsed="false">
      <c r="A8" s="3" t="s">
        <v>1423</v>
      </c>
      <c r="B8" s="11" t="s">
        <v>59</v>
      </c>
      <c r="C8" s="62" t="n">
        <f aca="false">各期收支!C78</f>
        <v>11.2016512160724</v>
      </c>
      <c r="D8" s="62" t="n">
        <f aca="false">各期收支!D78</f>
        <v>30.16664166695</v>
      </c>
      <c r="E8" s="62" t="n">
        <f aca="false">各期收支!E78</f>
        <v>0</v>
      </c>
      <c r="F8" s="62" t="n">
        <f aca="false">各期收支!F78</f>
        <v>0</v>
      </c>
      <c r="G8" s="62" t="n">
        <f aca="false">各期收支!G78</f>
        <v>0</v>
      </c>
    </row>
    <row r="9" customFormat="false" ht="15" hidden="false" customHeight="false" outlineLevel="1" collapsed="false">
      <c r="A9" s="3" t="s">
        <v>1424</v>
      </c>
      <c r="B9" s="11" t="s">
        <v>59</v>
      </c>
      <c r="C9" s="62" t="n">
        <f aca="false">各期收支!C81</f>
        <v>0</v>
      </c>
      <c r="D9" s="62" t="n">
        <f aca="false">各期收支!D81</f>
        <v>0</v>
      </c>
      <c r="E9" s="62" t="n">
        <f aca="false">各期收支!E81</f>
        <v>0</v>
      </c>
      <c r="F9" s="62" t="n">
        <f aca="false">各期收支!F81</f>
        <v>0</v>
      </c>
      <c r="G9" s="62" t="n">
        <f aca="false">各期收支!G81</f>
        <v>0</v>
      </c>
    </row>
    <row r="10" customFormat="false" ht="15" hidden="false" customHeight="false" outlineLevel="1" collapsed="false">
      <c r="A10" s="3" t="s">
        <v>1425</v>
      </c>
      <c r="B10" s="11" t="s">
        <v>59</v>
      </c>
      <c r="C10" s="62" t="n">
        <f aca="false">各期收支!C85</f>
        <v>0</v>
      </c>
      <c r="D10" s="62" t="n">
        <f aca="false">各期收支!D85</f>
        <v>0</v>
      </c>
      <c r="E10" s="62" t="n">
        <f aca="false">各期收支!E85</f>
        <v>0</v>
      </c>
      <c r="F10" s="62" t="n">
        <f aca="false">各期收支!F85</f>
        <v>0</v>
      </c>
      <c r="G10" s="62" t="n">
        <f aca="false">各期收支!G85</f>
        <v>0</v>
      </c>
    </row>
    <row r="11" customFormat="false" ht="15" hidden="false" customHeight="false" outlineLevel="1" collapsed="false">
      <c r="A11" s="3" t="s">
        <v>1426</v>
      </c>
      <c r="B11" s="11" t="s">
        <v>59</v>
      </c>
      <c r="C11" s="62" t="n">
        <f aca="false">各期收支!C84</f>
        <v>0</v>
      </c>
      <c r="D11" s="62" t="n">
        <f aca="false">各期收支!D84</f>
        <v>0</v>
      </c>
      <c r="E11" s="62" t="n">
        <f aca="false">各期收支!E84</f>
        <v>0</v>
      </c>
      <c r="F11" s="62" t="n">
        <f aca="false">各期收支!F84</f>
        <v>0</v>
      </c>
      <c r="G11" s="62" t="n">
        <f aca="false">各期收支!G84</f>
        <v>0</v>
      </c>
    </row>
    <row r="12" customFormat="false" ht="15" hidden="false" customHeight="false" outlineLevel="1" collapsed="false">
      <c r="A12" s="3" t="s">
        <v>1427</v>
      </c>
      <c r="B12" s="11" t="s">
        <v>59</v>
      </c>
      <c r="C12" s="62" t="n">
        <f aca="false">-各期收支!C86</f>
        <v>-0.487271827899148</v>
      </c>
      <c r="D12" s="62" t="n">
        <f aca="false">-各期收支!D86</f>
        <v>-2.3993609872153</v>
      </c>
      <c r="E12" s="62" t="n">
        <f aca="false">-各期收支!E86</f>
        <v>-2.3993609872153</v>
      </c>
      <c r="F12" s="62" t="n">
        <f aca="false">-各期收支!F86</f>
        <v>-2.3993609872153</v>
      </c>
      <c r="G12" s="62" t="n">
        <f aca="false">-各期收支!G86</f>
        <v>-2.3993609872153</v>
      </c>
    </row>
    <row r="13" customFormat="false" ht="15" hidden="false" customHeight="false" outlineLevel="1" collapsed="false">
      <c r="A13" s="2" t="s">
        <v>1428</v>
      </c>
      <c r="B13" s="11" t="s">
        <v>59</v>
      </c>
      <c r="C13" s="36" t="n">
        <f aca="false">SUM(C6:C12)</f>
        <v>10</v>
      </c>
      <c r="D13" s="36" t="n">
        <f aca="false">SUM(D6:D12)</f>
        <v>10</v>
      </c>
      <c r="E13" s="36" t="n">
        <f aca="false">SUM(E6:E12)</f>
        <v>42.0381454094186</v>
      </c>
      <c r="F13" s="36" t="n">
        <f aca="false">SUM(F6:F12)</f>
        <v>60.1796673785598</v>
      </c>
      <c r="G13" s="36" t="n">
        <f aca="false">SUM(G6:G12)</f>
        <v>72.4967017635462</v>
      </c>
      <c r="I13" s="6" t="s">
        <v>1429</v>
      </c>
    </row>
    <row r="14" customFormat="false" ht="15" hidden="false" customHeight="false" outlineLevel="1" collapsed="false">
      <c r="A14" s="3" t="s">
        <v>1430</v>
      </c>
      <c r="B14" s="11" t="s">
        <v>59</v>
      </c>
      <c r="C14" s="62" t="n">
        <f aca="false">C13-各期收支!C52</f>
        <v>0</v>
      </c>
      <c r="D14" s="62" t="n">
        <f aca="false">D13-各期收支!D52</f>
        <v>0</v>
      </c>
      <c r="E14" s="62" t="n">
        <f aca="false">E13-各期收支!E52</f>
        <v>0</v>
      </c>
      <c r="F14" s="62" t="n">
        <f aca="false">F13-各期收支!F52</f>
        <v>0</v>
      </c>
      <c r="G14" s="62" t="n">
        <f aca="false">G13-各期收支!G52</f>
        <v>0</v>
      </c>
      <c r="I14" s="6" t="s">
        <v>1431</v>
      </c>
    </row>
    <row r="15" customFormat="false" ht="15" hidden="false" customHeight="false" outlineLevel="0" collapsed="false">
      <c r="A15" s="46" t="s">
        <v>1432</v>
      </c>
      <c r="B15" s="8"/>
      <c r="C15" s="8"/>
      <c r="D15" s="8"/>
      <c r="E15" s="8"/>
      <c r="F15" s="8"/>
      <c r="G15" s="8"/>
      <c r="H15" s="8"/>
    </row>
    <row r="16" customFormat="false" ht="15" hidden="false" customHeight="false" outlineLevel="1" collapsed="false">
      <c r="A16" s="3" t="s">
        <v>1433</v>
      </c>
      <c r="B16" s="11" t="s">
        <v>59</v>
      </c>
      <c r="C16" s="62" t="n">
        <f aca="false">資產負債_既有債務!$E$62+SUMPRODUCT((1-資產負債_既有債務!$F$73:$F$73)*資產負債_既有債務!$C$73:$C$73)</f>
        <v>125.904</v>
      </c>
      <c r="D16" s="62" t="n">
        <f aca="false">C18</f>
        <v>122.897</v>
      </c>
      <c r="E16" s="62" t="n">
        <f aca="false">D18</f>
        <v>112.75</v>
      </c>
      <c r="F16" s="62" t="n">
        <f aca="false">E18</f>
        <v>107.25</v>
      </c>
      <c r="G16" s="62" t="n">
        <f aca="false">F18</f>
        <v>100</v>
      </c>
      <c r="I16" s="11" t="s">
        <v>1434</v>
      </c>
    </row>
    <row r="17" customFormat="false" ht="15" hidden="false" customHeight="false" outlineLevel="1" collapsed="false">
      <c r="A17" s="3" t="s">
        <v>1435</v>
      </c>
      <c r="B17" s="11" t="s">
        <v>59</v>
      </c>
      <c r="C17" s="62" t="n">
        <f aca="false">-IF(輸入與假設!$C$144=1,輸入與假設!C$170,0)-資產負債_既有債務!C84</f>
        <v>-3.007</v>
      </c>
      <c r="D17" s="62" t="n">
        <f aca="false">-IF(輸入與假設!$C$144=1,輸入與假設!D$170,0)-資產負債_既有債務!D84</f>
        <v>-10.147</v>
      </c>
      <c r="E17" s="62" t="n">
        <f aca="false">-IF(輸入與假設!$C$144=1,輸入與假設!E$170,0)-資產負債_既有債務!E84</f>
        <v>-5.5</v>
      </c>
      <c r="F17" s="62" t="n">
        <f aca="false">-IF(輸入與假設!$C$144=1,輸入與假設!F$170,0)-資產負債_既有債務!F84</f>
        <v>-7.25</v>
      </c>
      <c r="G17" s="62" t="n">
        <f aca="false">-IF(輸入與假設!$C$144=1,輸入與假設!G$170,0)-資產負債_既有債務!G84</f>
        <v>-9.75</v>
      </c>
    </row>
    <row r="18" customFormat="false" ht="15" hidden="false" customHeight="false" outlineLevel="1" collapsed="false">
      <c r="A18" s="3" t="s">
        <v>1436</v>
      </c>
      <c r="B18" s="11" t="s">
        <v>59</v>
      </c>
      <c r="C18" s="62" t="n">
        <f aca="false">各期收支!C74-0</f>
        <v>122.897</v>
      </c>
      <c r="D18" s="62" t="n">
        <f aca="false">各期收支!D74-0</f>
        <v>112.75</v>
      </c>
      <c r="E18" s="62" t="n">
        <f aca="false">各期收支!E74-0</f>
        <v>107.25</v>
      </c>
      <c r="F18" s="62" t="n">
        <f aca="false">各期收支!F74-0</f>
        <v>100</v>
      </c>
      <c r="G18" s="62" t="n">
        <f aca="false">各期收支!G74-0</f>
        <v>90.25</v>
      </c>
      <c r="I18" s="6" t="s">
        <v>1437</v>
      </c>
    </row>
    <row r="19" customFormat="false" ht="15" hidden="false" customHeight="false" outlineLevel="1" collapsed="false">
      <c r="A19" s="3" t="s">
        <v>1438</v>
      </c>
      <c r="B19" s="11" t="s">
        <v>59</v>
      </c>
      <c r="C19" s="62" t="n">
        <f aca="false">0</f>
        <v>0</v>
      </c>
      <c r="D19" s="62" t="n">
        <f aca="false">0</f>
        <v>0</v>
      </c>
      <c r="E19" s="62" t="n">
        <f aca="false">0</f>
        <v>0</v>
      </c>
      <c r="F19" s="62" t="n">
        <f aca="false">0</f>
        <v>0</v>
      </c>
      <c r="G19" s="62" t="n">
        <f aca="false">0</f>
        <v>0</v>
      </c>
    </row>
    <row r="20" customFormat="false" ht="15" hidden="false" customHeight="false" outlineLevel="1" collapsed="false">
      <c r="A20" s="3" t="s">
        <v>1439</v>
      </c>
      <c r="B20" s="11" t="s">
        <v>59</v>
      </c>
      <c r="C20" s="62" t="n">
        <f aca="false">各期收支!C90</f>
        <v>11.2016512160724</v>
      </c>
      <c r="D20" s="62" t="n">
        <f aca="false">各期收支!D90</f>
        <v>41.3682928830224</v>
      </c>
      <c r="E20" s="62" t="n">
        <f aca="false">各期收支!E90</f>
        <v>41.3682928830224</v>
      </c>
      <c r="F20" s="62" t="n">
        <f aca="false">各期收支!F90</f>
        <v>41.3682928830224</v>
      </c>
      <c r="G20" s="62" t="n">
        <f aca="false">各期收支!G90</f>
        <v>41.3682928830224</v>
      </c>
    </row>
    <row r="21" customFormat="false" ht="15" hidden="false" customHeight="false" outlineLevel="1" collapsed="false">
      <c r="A21" s="3" t="s">
        <v>1440</v>
      </c>
      <c r="B21" s="11" t="s">
        <v>59</v>
      </c>
      <c r="C21" s="62" t="n">
        <f aca="false">各期收支!C93</f>
        <v>0</v>
      </c>
      <c r="D21" s="62" t="n">
        <f aca="false">各期收支!D93</f>
        <v>0</v>
      </c>
      <c r="E21" s="62" t="n">
        <f aca="false">各期收支!E93</f>
        <v>0</v>
      </c>
      <c r="F21" s="62" t="n">
        <f aca="false">各期收支!F93</f>
        <v>0</v>
      </c>
      <c r="G21" s="62" t="n">
        <f aca="false">各期收支!G93</f>
        <v>0</v>
      </c>
    </row>
    <row r="22" customFormat="false" ht="15" hidden="false" customHeight="false" outlineLevel="1" collapsed="false">
      <c r="A22" s="3" t="s">
        <v>1441</v>
      </c>
      <c r="B22" s="11" t="s">
        <v>59</v>
      </c>
      <c r="C22" s="62" t="n">
        <f aca="false">各期收支!C92</f>
        <v>0</v>
      </c>
      <c r="D22" s="62" t="n">
        <f aca="false">各期收支!D92</f>
        <v>0</v>
      </c>
      <c r="E22" s="62" t="n">
        <f aca="false">各期收支!E92</f>
        <v>0</v>
      </c>
      <c r="F22" s="62" t="n">
        <f aca="false">各期收支!F92</f>
        <v>0</v>
      </c>
      <c r="G22" s="62" t="n">
        <f aca="false">各期收支!G92</f>
        <v>0</v>
      </c>
    </row>
    <row r="23" customFormat="false" ht="15" hidden="false" customHeight="false" outlineLevel="1" collapsed="false">
      <c r="A23" s="2" t="s">
        <v>1442</v>
      </c>
      <c r="B23" s="11" t="s">
        <v>59</v>
      </c>
      <c r="C23" s="36" t="n">
        <f aca="false">SUM(C18:C22)</f>
        <v>134.098651216072</v>
      </c>
      <c r="D23" s="36" t="n">
        <f aca="false">SUM(D18:D22)</f>
        <v>154.118292883022</v>
      </c>
      <c r="E23" s="36" t="n">
        <f aca="false">SUM(E18:E22)</f>
        <v>148.618292883022</v>
      </c>
      <c r="F23" s="36" t="n">
        <f aca="false">SUM(F18:F22)</f>
        <v>141.368292883022</v>
      </c>
      <c r="G23" s="36" t="n">
        <f aca="false">SUM(G18:G22)</f>
        <v>131.618292883022</v>
      </c>
      <c r="I23" s="6" t="s">
        <v>1443</v>
      </c>
    </row>
    <row r="24" customFormat="false" ht="15" hidden="false" customHeight="false" outlineLevel="1" collapsed="false">
      <c r="A24" s="2" t="s">
        <v>1444</v>
      </c>
      <c r="B24" s="11" t="s">
        <v>59</v>
      </c>
      <c r="C24" s="36" t="n">
        <f aca="false">C23-C13</f>
        <v>124.098651216072</v>
      </c>
      <c r="D24" s="36" t="n">
        <f aca="false">D23-D13</f>
        <v>144.118292883022</v>
      </c>
      <c r="E24" s="36" t="n">
        <f aca="false">E23-E13</f>
        <v>106.580147473604</v>
      </c>
      <c r="F24" s="36" t="n">
        <f aca="false">F23-F13</f>
        <v>81.1886255044626</v>
      </c>
      <c r="G24" s="36" t="n">
        <f aca="false">G23-G13</f>
        <v>59.1215911194762</v>
      </c>
    </row>
    <row r="25" customFormat="false" ht="15" hidden="false" customHeight="false" outlineLevel="0" collapsed="false">
      <c r="A25" s="46" t="s">
        <v>1445</v>
      </c>
      <c r="B25" s="8"/>
      <c r="C25" s="8"/>
      <c r="D25" s="8"/>
      <c r="E25" s="8"/>
      <c r="F25" s="8"/>
      <c r="G25" s="8"/>
      <c r="H25" s="8"/>
    </row>
    <row r="26" customFormat="false" ht="15" hidden="false" customHeight="false" outlineLevel="1" collapsed="false">
      <c r="A26" s="3" t="s">
        <v>1446</v>
      </c>
      <c r="B26" s="11" t="s">
        <v>390</v>
      </c>
      <c r="C26" s="50" t="n">
        <f aca="false">損益!C23</f>
        <v>3.08897428564288</v>
      </c>
      <c r="D26" s="50" t="n">
        <f aca="false">損益!D23</f>
        <v>3.11986402849931</v>
      </c>
      <c r="E26" s="50" t="n">
        <f aca="false">損益!E23</f>
        <v>3.15106266878431</v>
      </c>
      <c r="F26" s="50" t="n">
        <f aca="false">損益!F23</f>
        <v>3.18257329547215</v>
      </c>
      <c r="G26" s="50" t="n">
        <f aca="false">損益!G23</f>
        <v>3.21439902842687</v>
      </c>
    </row>
    <row r="27" customFormat="false" ht="15" hidden="false" customHeight="false" outlineLevel="1" collapsed="false">
      <c r="A27" s="3" t="s">
        <v>1447</v>
      </c>
      <c r="B27" s="11" t="s">
        <v>390</v>
      </c>
      <c r="C27" s="50" t="n">
        <f aca="false">各期收支!C88</f>
        <v>0</v>
      </c>
      <c r="D27" s="50" t="n">
        <f aca="false">各期收支!D88</f>
        <v>0</v>
      </c>
      <c r="E27" s="50" t="n">
        <f aca="false">各期收支!E88</f>
        <v>0</v>
      </c>
      <c r="F27" s="50" t="n">
        <f aca="false">各期收支!F88</f>
        <v>0</v>
      </c>
      <c r="G27" s="50" t="n">
        <f aca="false">各期收支!G88</f>
        <v>0</v>
      </c>
    </row>
    <row r="28" customFormat="false" ht="15" hidden="false" customHeight="false" outlineLevel="1" collapsed="false">
      <c r="A28" s="2" t="s">
        <v>1448</v>
      </c>
      <c r="B28" s="11" t="s">
        <v>390</v>
      </c>
      <c r="C28" s="51" t="n">
        <f aca="false">損益!C24</f>
        <v>3.08897428564288</v>
      </c>
      <c r="D28" s="51" t="n">
        <f aca="false">損益!D24</f>
        <v>3.11986402849931</v>
      </c>
      <c r="E28" s="51" t="n">
        <f aca="false">損益!E24</f>
        <v>3.15106266878431</v>
      </c>
      <c r="F28" s="51" t="n">
        <f aca="false">損益!F24</f>
        <v>3.18257329547215</v>
      </c>
      <c r="G28" s="51" t="n">
        <f aca="false">損益!G24</f>
        <v>3.21439902842687</v>
      </c>
      <c r="I28" s="6" t="s">
        <v>1449</v>
      </c>
    </row>
    <row r="29" customFormat="false" ht="15" hidden="false" customHeight="false" outlineLevel="0" collapsed="false">
      <c r="A29" s="46" t="s">
        <v>1450</v>
      </c>
      <c r="B29" s="8"/>
      <c r="C29" s="8"/>
      <c r="D29" s="8"/>
      <c r="E29" s="8"/>
      <c r="F29" s="8"/>
      <c r="G29" s="8"/>
      <c r="H29" s="8"/>
    </row>
    <row r="30" customFormat="false" ht="15" hidden="false" customHeight="false" outlineLevel="1" collapsed="false">
      <c r="A30" s="3" t="s">
        <v>856</v>
      </c>
      <c r="B30" s="11" t="s">
        <v>59</v>
      </c>
      <c r="C30" s="62" t="n">
        <f aca="false">各期收支!C73</f>
        <v>599.26</v>
      </c>
      <c r="D30" s="62" t="n">
        <f aca="false">各期收支!D73</f>
        <v>485.55</v>
      </c>
      <c r="E30" s="62" t="n">
        <f aca="false">各期收支!E73</f>
        <v>362.71</v>
      </c>
      <c r="F30" s="62" t="n">
        <f aca="false">各期收支!F73</f>
        <v>283.7509</v>
      </c>
      <c r="G30" s="62" t="n">
        <f aca="false">各期收支!G73</f>
        <v>169.79065</v>
      </c>
    </row>
    <row r="31" customFormat="false" ht="15" hidden="false" customHeight="false" outlineLevel="1" collapsed="false">
      <c r="A31" s="3" t="s">
        <v>1451</v>
      </c>
      <c r="B31" s="11" t="s">
        <v>59</v>
      </c>
      <c r="C31" s="62" t="n">
        <f aca="false">各期收支!C75</f>
        <v>191.379571476776</v>
      </c>
      <c r="D31" s="62" t="n">
        <f aca="false">各期收支!D75</f>
        <v>242.195973303831</v>
      </c>
      <c r="E31" s="62" t="n">
        <f aca="false">各期收支!E75</f>
        <v>306.11719111858</v>
      </c>
      <c r="F31" s="62" t="n">
        <f aca="false">各期收支!F75</f>
        <v>350.315517512606</v>
      </c>
      <c r="G31" s="62" t="n">
        <f aca="false">各期收支!G75</f>
        <v>350.205409082679</v>
      </c>
    </row>
    <row r="32" customFormat="false" ht="15" hidden="false" customHeight="false" outlineLevel="1" collapsed="false">
      <c r="A32" s="3" t="s">
        <v>1452</v>
      </c>
      <c r="B32" s="11" t="s">
        <v>105</v>
      </c>
      <c r="C32" s="77" t="n">
        <f aca="false">C23/MAX(0.01,C30)</f>
        <v>0.223773739639009</v>
      </c>
      <c r="D32" s="77" t="n">
        <f aca="false">D23/MAX(0.01,D30)</f>
        <v>0.317409726872665</v>
      </c>
      <c r="E32" s="77" t="n">
        <f aca="false">E23/MAX(0.01,E30)</f>
        <v>0.40974412859591</v>
      </c>
      <c r="F32" s="77" t="n">
        <f aca="false">F23/MAX(0.01,F30)</f>
        <v>0.498212667811882</v>
      </c>
      <c r="G32" s="77" t="n">
        <f aca="false">G23/MAX(0.01,G30)</f>
        <v>0.775179863455511</v>
      </c>
      <c r="I32" s="6" t="s">
        <v>1453</v>
      </c>
    </row>
    <row r="33" customFormat="false" ht="15" hidden="false" customHeight="false" outlineLevel="1" collapsed="false">
      <c r="A33" s="3" t="s">
        <v>1454</v>
      </c>
      <c r="B33" s="11" t="s">
        <v>105</v>
      </c>
      <c r="C33" s="41" t="n">
        <f aca="false">C23/MAX(0.01,損益!C22/輸入與假設!C$41)</f>
        <v>2.51030702768244</v>
      </c>
      <c r="D33" s="41" t="n">
        <f aca="false">D23/MAX(0.01,損益!D22/輸入與假設!D$41)</f>
        <v>2.10792888993495</v>
      </c>
      <c r="E33" s="41" t="n">
        <f aca="false">E23/MAX(0.01,損益!E22/輸入與假設!E$41)</f>
        <v>1.57838148532911</v>
      </c>
      <c r="F33" s="41" t="n">
        <f aca="false">F23/MAX(0.01,損益!F22/輸入與假設!F$41)</f>
        <v>1.4079345953906</v>
      </c>
      <c r="G33" s="41" t="n">
        <f aca="false">G23/MAX(0.01,損益!G22/輸入與假設!G$41)</f>
        <v>1.34415067518897</v>
      </c>
      <c r="I33" s="11" t="s">
        <v>1455</v>
      </c>
    </row>
    <row r="34" customFormat="false" ht="15" hidden="false" customHeight="false" outlineLevel="1" collapsed="false">
      <c r="A34" s="3" t="s">
        <v>1456</v>
      </c>
      <c r="B34" s="11" t="s">
        <v>59</v>
      </c>
      <c r="C34" s="62" t="n">
        <f aca="false">各期收支!C59</f>
        <v>82.436654496604</v>
      </c>
      <c r="D34" s="62" t="n">
        <f aca="false">各期收支!D59</f>
        <v>143.909182631762</v>
      </c>
      <c r="E34" s="62" t="n">
        <f aca="false">各期收支!E59</f>
        <v>202.561131118165</v>
      </c>
      <c r="F34" s="62" t="n">
        <f aca="false">各期收支!F59</f>
        <v>200.509042381662</v>
      </c>
      <c r="G34" s="62" t="n">
        <f aca="false">各期收支!G59</f>
        <v>189.436733943543</v>
      </c>
      <c r="I34" s="6" t="s">
        <v>1457</v>
      </c>
    </row>
    <row r="35" customFormat="false" ht="15" hidden="false" customHeight="false" outlineLevel="1" collapsed="false">
      <c r="A35" s="4" t="s">
        <v>1458</v>
      </c>
      <c r="B35" s="11" t="s">
        <v>59</v>
      </c>
      <c r="C35" s="62" t="n">
        <f aca="false">(損益!C22+各期收支!C16)/輸入與假設!C$41</f>
        <v>60.8480502163067</v>
      </c>
      <c r="D35" s="62" t="n">
        <f aca="false">(損益!D22+各期收支!D16)/輸入與假設!D$41</f>
        <v>85.801145763465</v>
      </c>
      <c r="E35" s="62" t="n">
        <f aca="false">(損益!E22+各期收支!E16)/輸入與假設!E$41</f>
        <v>113.039627163721</v>
      </c>
      <c r="F35" s="62" t="n">
        <f aca="false">(損益!F22+各期收支!F16)/輸入與假設!F$41</f>
        <v>122.405457754282</v>
      </c>
      <c r="G35" s="62" t="n">
        <f aca="false">(損益!G22+各期收支!G16)/輸入與假設!G$41</f>
        <v>119.920476228049</v>
      </c>
    </row>
    <row r="36" customFormat="false" ht="15" hidden="false" customHeight="false" outlineLevel="1" collapsed="false">
      <c r="A36" s="2" t="s">
        <v>1459</v>
      </c>
      <c r="B36" s="11" t="s">
        <v>105</v>
      </c>
      <c r="C36" s="78" t="n">
        <f aca="false">(C23+C34)/MAX(0.01,C35)</f>
        <v>3.55862357040073</v>
      </c>
      <c r="D36" s="78" t="n">
        <f aca="false">(D23+D34)/MAX(0.01,D35)</f>
        <v>3.47346731635008</v>
      </c>
      <c r="E36" s="78" t="n">
        <f aca="false">(E23+E34)/MAX(0.01,E35)</f>
        <v>3.10669304926631</v>
      </c>
      <c r="F36" s="78" t="n">
        <f aca="false">(F23+F34)/MAX(0.01,F35)</f>
        <v>2.79299094613063</v>
      </c>
      <c r="G36" s="78" t="n">
        <f aca="false">(G23+G34)/MAX(0.01,G35)</f>
        <v>2.67723275394624</v>
      </c>
      <c r="I36" s="11" t="s">
        <v>1460</v>
      </c>
    </row>
    <row r="37" customFormat="false" ht="15" hidden="false" customHeight="false" outlineLevel="1" collapsed="false">
      <c r="A37" s="3" t="s">
        <v>1461</v>
      </c>
      <c r="B37" s="11" t="s">
        <v>105</v>
      </c>
      <c r="C37" s="77" t="n">
        <f aca="false">輸入與假設!$C$147-C36</f>
        <v>0.941376429599267</v>
      </c>
      <c r="D37" s="77" t="n">
        <f aca="false">輸入與假設!$C$147-D36</f>
        <v>1.02653268364992</v>
      </c>
      <c r="E37" s="77" t="n">
        <f aca="false">輸入與假設!$C$147-E36</f>
        <v>1.39330695073369</v>
      </c>
      <c r="F37" s="77" t="n">
        <f aca="false">輸入與假設!$C$147-F36</f>
        <v>1.70700905386937</v>
      </c>
      <c r="G37" s="77" t="n">
        <f aca="false">輸入與假設!$C$147-G36</f>
        <v>1.82276724605376</v>
      </c>
      <c r="I37" s="6" t="s">
        <v>1462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B5778"/>
    <pageSetUpPr fitToPage="false"/>
  </sheetPr>
  <dimension ref="A1:I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4"/>
    <col collapsed="false" customWidth="true" hidden="false" outlineLevel="0" max="8" min="3" style="0" width="13"/>
    <col collapsed="false" customWidth="true" hidden="false" outlineLevel="0" max="9" min="9" style="0" width="86"/>
  </cols>
  <sheetData>
    <row r="1" customFormat="false" ht="21.6" hidden="false" customHeight="false" outlineLevel="0" collapsed="false">
      <c r="A1" s="5" t="s">
        <v>1463</v>
      </c>
    </row>
    <row r="2" customFormat="false" ht="15" hidden="false" customHeight="false" outlineLevel="0" collapsed="false">
      <c r="A2" s="6" t="s">
        <v>1464</v>
      </c>
    </row>
    <row r="4" customFormat="false" ht="15" hidden="false" customHeight="false" outlineLevel="0" collapsed="false">
      <c r="A4" s="2" t="s">
        <v>1465</v>
      </c>
    </row>
    <row r="5" customFormat="false" ht="17.15" hidden="false" customHeight="false" outlineLevel="0" collapsed="false">
      <c r="A5" s="14" t="s">
        <v>53</v>
      </c>
      <c r="B5" s="14" t="s">
        <v>54</v>
      </c>
      <c r="C5" s="15" t="s">
        <v>1466</v>
      </c>
      <c r="D5" s="15" t="s">
        <v>1467</v>
      </c>
      <c r="E5" s="15" t="s">
        <v>1468</v>
      </c>
      <c r="F5" s="15" t="s">
        <v>1469</v>
      </c>
      <c r="G5" s="15" t="s">
        <v>1470</v>
      </c>
      <c r="H5" s="14" t="s">
        <v>1471</v>
      </c>
    </row>
    <row r="6" customFormat="false" ht="15" hidden="false" customHeight="false" outlineLevel="0" collapsed="false">
      <c r="A6" s="3" t="s">
        <v>1472</v>
      </c>
      <c r="B6" s="11" t="s">
        <v>59</v>
      </c>
      <c r="C6" s="25" t="n">
        <v>3.219</v>
      </c>
      <c r="D6" s="25" t="n">
        <v>4.135</v>
      </c>
      <c r="E6" s="25" t="n">
        <v>4.097</v>
      </c>
      <c r="F6" s="25" t="n">
        <v>4.109</v>
      </c>
      <c r="G6" s="25" t="n">
        <v>4.089</v>
      </c>
      <c r="H6" s="25" t="n">
        <v>28.401</v>
      </c>
    </row>
    <row r="7" customFormat="false" ht="15" hidden="false" customHeight="false" outlineLevel="0" collapsed="false">
      <c r="A7" s="3" t="s">
        <v>1473</v>
      </c>
      <c r="B7" s="11" t="s">
        <v>59</v>
      </c>
      <c r="C7" s="25" t="n">
        <v>0.62</v>
      </c>
      <c r="D7" s="25" t="n">
        <v>0.852</v>
      </c>
      <c r="E7" s="25" t="n">
        <v>0.923</v>
      </c>
      <c r="F7" s="25" t="n">
        <v>0.947</v>
      </c>
      <c r="G7" s="25" t="n">
        <v>0.971</v>
      </c>
      <c r="H7" s="25" t="n">
        <v>10.882</v>
      </c>
    </row>
    <row r="8" customFormat="false" ht="15" hidden="false" customHeight="false" outlineLevel="0" collapsed="false">
      <c r="A8" s="2" t="s">
        <v>1474</v>
      </c>
      <c r="C8" s="53" t="n">
        <f aca="false">SUM(C6:C7)</f>
        <v>3.839</v>
      </c>
      <c r="D8" s="53" t="n">
        <f aca="false">SUM(D6:D7)</f>
        <v>4.987</v>
      </c>
      <c r="E8" s="53" t="n">
        <f aca="false">SUM(E6:E7)</f>
        <v>5.02</v>
      </c>
      <c r="F8" s="53" t="n">
        <f aca="false">SUM(F6:F7)</f>
        <v>5.056</v>
      </c>
      <c r="G8" s="53" t="n">
        <f aca="false">SUM(G6:G7)</f>
        <v>5.06</v>
      </c>
      <c r="H8" s="53" t="n">
        <f aca="false">SUM(H6:H7)</f>
        <v>39.283</v>
      </c>
      <c r="I8" s="6" t="s">
        <v>1475</v>
      </c>
    </row>
    <row r="10" customFormat="false" ht="15" hidden="false" customHeight="false" outlineLevel="0" collapsed="false">
      <c r="A10" s="2" t="s">
        <v>1476</v>
      </c>
    </row>
    <row r="11" customFormat="false" ht="17.15" hidden="false" customHeight="false" outlineLevel="0" collapsed="false">
      <c r="A11" s="14" t="s">
        <v>53</v>
      </c>
      <c r="B11" s="14" t="s">
        <v>54</v>
      </c>
      <c r="C11" s="15" t="s">
        <v>1466</v>
      </c>
      <c r="D11" s="15" t="s">
        <v>1467</v>
      </c>
      <c r="E11" s="15" t="s">
        <v>1468</v>
      </c>
      <c r="F11" s="15" t="s">
        <v>1469</v>
      </c>
      <c r="G11" s="15" t="s">
        <v>1470</v>
      </c>
      <c r="H11" s="14" t="s">
        <v>1471</v>
      </c>
    </row>
    <row r="12" customFormat="false" ht="15" hidden="false" customHeight="false" outlineLevel="0" collapsed="false">
      <c r="A12" s="3" t="s">
        <v>1477</v>
      </c>
      <c r="B12" s="11" t="s">
        <v>59</v>
      </c>
      <c r="C12" s="25" t="n">
        <v>3.007</v>
      </c>
      <c r="D12" s="25" t="n">
        <v>10.147</v>
      </c>
      <c r="E12" s="25" t="n">
        <v>5.5</v>
      </c>
      <c r="F12" s="25" t="n">
        <v>7.25</v>
      </c>
      <c r="G12" s="25" t="n">
        <v>9.75</v>
      </c>
      <c r="H12" s="25" t="n">
        <v>90.25</v>
      </c>
      <c r="I12" s="6" t="s">
        <v>1478</v>
      </c>
    </row>
    <row r="13" customFormat="false" ht="15" hidden="false" customHeight="false" outlineLevel="0" collapsed="false">
      <c r="A13" s="2" t="s">
        <v>1394</v>
      </c>
      <c r="C13" s="53" t="n">
        <f aca="false">SUM(C12:H12)</f>
        <v>125.904</v>
      </c>
    </row>
    <row r="15" customFormat="false" ht="15" hidden="false" customHeight="false" outlineLevel="0" collapsed="false">
      <c r="A15" s="2" t="s">
        <v>1479</v>
      </c>
    </row>
    <row r="16" customFormat="false" ht="15" hidden="false" customHeight="false" outlineLevel="0" collapsed="false">
      <c r="A16" s="14" t="s">
        <v>53</v>
      </c>
      <c r="B16" s="14" t="s">
        <v>54</v>
      </c>
      <c r="C16" s="14" t="s">
        <v>1480</v>
      </c>
      <c r="D16" s="14" t="s">
        <v>1184</v>
      </c>
      <c r="E16" s="14" t="s">
        <v>1481</v>
      </c>
      <c r="F16" s="14" t="s">
        <v>1482</v>
      </c>
    </row>
    <row r="17" customFormat="false" ht="15" hidden="false" customHeight="false" outlineLevel="0" collapsed="false">
      <c r="A17" s="3" t="s">
        <v>1483</v>
      </c>
      <c r="B17" s="11" t="s">
        <v>59</v>
      </c>
      <c r="C17" s="79" t="n">
        <v>288</v>
      </c>
      <c r="D17" s="6" t="s">
        <v>1484</v>
      </c>
      <c r="E17" s="6" t="s">
        <v>1485</v>
      </c>
      <c r="F17" s="6" t="s">
        <v>1486</v>
      </c>
    </row>
    <row r="18" customFormat="false" ht="15" hidden="false" customHeight="false" outlineLevel="0" collapsed="false">
      <c r="A18" s="3" t="s">
        <v>1487</v>
      </c>
      <c r="B18" s="11" t="s">
        <v>59</v>
      </c>
      <c r="C18" s="79" t="n">
        <v>0</v>
      </c>
      <c r="D18" s="6" t="s">
        <v>1488</v>
      </c>
      <c r="E18" s="6" t="s">
        <v>1485</v>
      </c>
      <c r="F18" s="6" t="s">
        <v>1486</v>
      </c>
    </row>
    <row r="19" customFormat="false" ht="15" hidden="false" customHeight="false" outlineLevel="0" collapsed="false">
      <c r="A19" s="3" t="s">
        <v>372</v>
      </c>
      <c r="B19" s="11" t="s">
        <v>59</v>
      </c>
      <c r="C19" s="79" t="n">
        <v>10</v>
      </c>
      <c r="D19" s="11" t="s">
        <v>1489</v>
      </c>
      <c r="E19" s="6" t="s">
        <v>1490</v>
      </c>
      <c r="F19" s="6" t="s">
        <v>1491</v>
      </c>
    </row>
    <row r="20" customFormat="false" ht="15" hidden="false" customHeight="false" outlineLevel="0" collapsed="false">
      <c r="A20" s="2" t="s">
        <v>1492</v>
      </c>
      <c r="C20" s="53" t="n">
        <f aca="false">C17+C18</f>
        <v>288</v>
      </c>
    </row>
    <row r="21" customFormat="false" ht="15" hidden="false" customHeight="false" outlineLevel="0" collapsed="false">
      <c r="A21" s="3" t="s">
        <v>1493</v>
      </c>
      <c r="C21" s="80" t="n">
        <f aca="false">SUM(各期收支!C15:G15)</f>
        <v>57.1764705882353</v>
      </c>
    </row>
    <row r="22" customFormat="false" ht="15" hidden="false" customHeight="false" outlineLevel="0" collapsed="false">
      <c r="A22" s="3" t="s">
        <v>1494</v>
      </c>
      <c r="C22" s="52" t="n">
        <f aca="false">MAX(0,輸入與假設!$C$26-C21)</f>
        <v>230.823529411765</v>
      </c>
    </row>
    <row r="23" customFormat="false" ht="15" hidden="false" customHeight="false" outlineLevel="0" collapsed="false">
      <c r="A23" s="2" t="s">
        <v>1495</v>
      </c>
      <c r="C23" s="81" t="n">
        <f aca="false">(C21+C22)/C20</f>
        <v>1</v>
      </c>
      <c r="I23" s="6" t="s">
        <v>1496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4A35A"/>
    <outlinePr summaryBelow="0" summaryRight="1"/>
    <pageSetUpPr fitToPage="false"/>
  </sheetPr>
  <dimension ref="A1:I3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1" outlineLevelCol="0"/>
  <cols>
    <col collapsed="false" customWidth="true" hidden="false" outlineLevel="0" max="1" min="1" style="0" width="42"/>
    <col collapsed="false" customWidth="true" hidden="false" outlineLevel="0" max="2" min="2" style="0" width="12"/>
    <col collapsed="false" customWidth="true" hidden="false" outlineLevel="0" max="7" min="3" style="0" width="13"/>
    <col collapsed="false" customWidth="true" hidden="false" outlineLevel="0" max="9" min="9" style="0" width="92"/>
  </cols>
  <sheetData>
    <row r="1" customFormat="false" ht="17.35" hidden="false" customHeight="false" outlineLevel="0" collapsed="false">
      <c r="A1" s="5" t="s">
        <v>1497</v>
      </c>
    </row>
    <row r="2" customFormat="false" ht="15" hidden="false" customHeight="false" outlineLevel="0" collapsed="false">
      <c r="A2" s="6" t="s">
        <v>1498</v>
      </c>
    </row>
    <row r="4" customFormat="false" ht="15" hidden="false" customHeight="false" outlineLevel="0" collapsed="false">
      <c r="A4" s="14" t="s">
        <v>53</v>
      </c>
      <c r="B4" s="14" t="s">
        <v>54</v>
      </c>
      <c r="C4" s="28" t="s">
        <v>55</v>
      </c>
      <c r="D4" s="28" t="s">
        <v>56</v>
      </c>
      <c r="E4" s="28" t="s">
        <v>57</v>
      </c>
      <c r="F4" s="28" t="s">
        <v>147</v>
      </c>
      <c r="G4" s="28" t="s">
        <v>148</v>
      </c>
      <c r="I4" s="14" t="s">
        <v>749</v>
      </c>
    </row>
    <row r="5" customFormat="false" ht="15" hidden="false" customHeight="false" outlineLevel="0" collapsed="false">
      <c r="A5" s="46" t="s">
        <v>1499</v>
      </c>
      <c r="B5" s="8"/>
      <c r="C5" s="8"/>
      <c r="D5" s="8"/>
      <c r="E5" s="8"/>
      <c r="F5" s="8"/>
      <c r="G5" s="8"/>
      <c r="H5" s="8"/>
    </row>
    <row r="6" customFormat="false" ht="15" hidden="false" customHeight="false" outlineLevel="1" collapsed="false">
      <c r="A6" s="3" t="s">
        <v>1500</v>
      </c>
      <c r="B6" s="11" t="s">
        <v>59</v>
      </c>
      <c r="C6" s="39" t="n">
        <f aca="false">運營_產能與收入!C26</f>
        <v>28.61865</v>
      </c>
      <c r="D6" s="39" t="n">
        <f aca="false">運營_產能與收入!D26</f>
        <v>71.677125</v>
      </c>
      <c r="E6" s="39" t="n">
        <f aca="false">運營_產能與收入!E26</f>
        <v>112.427925</v>
      </c>
      <c r="F6" s="39" t="n">
        <f aca="false">運營_產能與收入!F26</f>
        <v>133.57545</v>
      </c>
      <c r="G6" s="39" t="n">
        <f aca="false">運營_產能與收入!G26</f>
        <v>139.64805</v>
      </c>
      <c r="I6" s="6" t="s">
        <v>1501</v>
      </c>
    </row>
    <row r="7" customFormat="false" ht="15" hidden="false" customHeight="false" outlineLevel="1" collapsed="false">
      <c r="A7" s="3" t="s">
        <v>1502</v>
      </c>
      <c r="B7" s="11" t="s">
        <v>59</v>
      </c>
      <c r="C7" s="39" t="n">
        <f aca="false">輸入與假設!C$50</f>
        <v>0</v>
      </c>
      <c r="D7" s="39" t="n">
        <f aca="false">輸入與假設!D$50</f>
        <v>0</v>
      </c>
      <c r="E7" s="39" t="n">
        <f aca="false">輸入與假設!E$50</f>
        <v>0</v>
      </c>
      <c r="F7" s="39" t="n">
        <f aca="false">輸入與假設!F$50</f>
        <v>0</v>
      </c>
      <c r="G7" s="39" t="n">
        <f aca="false">輸入與假設!G$50</f>
        <v>0</v>
      </c>
    </row>
    <row r="8" customFormat="false" ht="15" hidden="false" customHeight="false" outlineLevel="1" collapsed="false">
      <c r="A8" s="3" t="s">
        <v>1503</v>
      </c>
      <c r="B8" s="11" t="s">
        <v>59</v>
      </c>
      <c r="C8" s="39" t="n">
        <f aca="false">輸入與假設!C$81</f>
        <v>39.5339698</v>
      </c>
      <c r="D8" s="39" t="n">
        <f aca="false">輸入與假設!D$81</f>
        <v>53.70812205094</v>
      </c>
      <c r="E8" s="39" t="n">
        <f aca="false">輸入與假設!E$81</f>
        <v>55.8538115419205</v>
      </c>
      <c r="F8" s="39" t="n">
        <f aca="false">輸入與假設!F$81</f>
        <v>57.8751227475705</v>
      </c>
      <c r="G8" s="39" t="n">
        <f aca="false">輸入與假設!G$81</f>
        <v>59.7224793768877</v>
      </c>
      <c r="I8" s="11" t="s">
        <v>1504</v>
      </c>
    </row>
    <row r="9" customFormat="false" ht="15" hidden="false" customHeight="false" outlineLevel="1" collapsed="false">
      <c r="A9" s="2" t="s">
        <v>1505</v>
      </c>
      <c r="B9" s="11" t="s">
        <v>59</v>
      </c>
      <c r="C9" s="36" t="n">
        <f aca="false">C6+C7+C8</f>
        <v>68.1526198</v>
      </c>
      <c r="D9" s="36" t="n">
        <f aca="false">D6+D7+D8</f>
        <v>125.38524705094</v>
      </c>
      <c r="E9" s="36" t="n">
        <f aca="false">E6+E7+E8</f>
        <v>168.281736541921</v>
      </c>
      <c r="F9" s="36" t="n">
        <f aca="false">F6+F7+F8</f>
        <v>191.45057274757</v>
      </c>
      <c r="G9" s="36" t="n">
        <f aca="false">G6+G7+G8</f>
        <v>199.370529376888</v>
      </c>
    </row>
    <row r="10" customFormat="false" ht="15" hidden="false" customHeight="false" outlineLevel="1" collapsed="false">
      <c r="A10" s="4" t="s">
        <v>289</v>
      </c>
      <c r="B10" s="11" t="s">
        <v>42</v>
      </c>
      <c r="C10" s="47" t="n">
        <f aca="false">輸入與假設!C$93</f>
        <v>0.650390054314036</v>
      </c>
      <c r="D10" s="47" t="n">
        <f aca="false">輸入與假設!D$93</f>
        <v>0.613467462307769</v>
      </c>
      <c r="E10" s="47" t="n">
        <f aca="false">輸入與假設!E$93</f>
        <v>0.567940629111763</v>
      </c>
      <c r="F10" s="47" t="n">
        <f aca="false">輸入與假設!F$93</f>
        <v>0.516601214376308</v>
      </c>
      <c r="G10" s="47" t="n">
        <f aca="false">輸入與假設!G$93</f>
        <v>0.4691356767786</v>
      </c>
    </row>
    <row r="11" customFormat="false" ht="15" hidden="false" customHeight="false" outlineLevel="1" collapsed="false">
      <c r="A11" s="3" t="s">
        <v>1506</v>
      </c>
      <c r="B11" s="11" t="s">
        <v>59</v>
      </c>
      <c r="C11" s="39" t="n">
        <f aca="false">運營_產能與收入!C62</f>
        <v>0</v>
      </c>
      <c r="D11" s="39" t="n">
        <f aca="false">運營_產能與收入!D62</f>
        <v>0</v>
      </c>
      <c r="E11" s="39" t="n">
        <f aca="false">運營_產能與收入!E62</f>
        <v>0</v>
      </c>
      <c r="F11" s="39" t="n">
        <f aca="false">運營_產能與收入!F62</f>
        <v>0</v>
      </c>
      <c r="G11" s="39" t="n">
        <f aca="false">運營_產能與收入!G62</f>
        <v>0</v>
      </c>
      <c r="I11" s="6" t="s">
        <v>806</v>
      </c>
    </row>
    <row r="12" customFormat="false" ht="15" hidden="false" customHeight="false" outlineLevel="1" collapsed="false">
      <c r="A12" s="3" t="s">
        <v>1507</v>
      </c>
      <c r="B12" s="11" t="s">
        <v>59</v>
      </c>
      <c r="C12" s="62" t="n">
        <f aca="false">(C6+C7)*輸入與假設!C$93+輸入與假設!C$51+輸入與假設!C$83-C11-輸入與假設!C$136</f>
        <v>27.3637152580411</v>
      </c>
      <c r="D12" s="62" t="n">
        <f aca="false">(D6+D7)*輸入與假設!D$93+輸入與假設!D$51+輸入與假設!D$83-D11-輸入與假設!D$136</f>
        <v>44.3366276429957</v>
      </c>
      <c r="E12" s="62" t="n">
        <f aca="false">(E6+E7)*輸入與假設!E$93+輸入與假設!E$51+輸入與假設!E$83-E11-輸入與假設!E$136</f>
        <v>54.1077014614595</v>
      </c>
      <c r="F12" s="62" t="n">
        <f aca="false">(F6+F7)*輸入與假設!F$93+輸入與假設!F$51+輸入與假設!F$83-F11-輸入與假設!F$136</f>
        <v>55.9650832732768</v>
      </c>
      <c r="G12" s="62" t="n">
        <f aca="false">(G6+G7)*輸入與假設!G$93+輸入與假設!G$51+輸入與假設!G$83-G11-輸入與假設!G$136</f>
        <v>52.8260688407944</v>
      </c>
      <c r="I12" s="6" t="s">
        <v>1508</v>
      </c>
    </row>
    <row r="13" customFormat="false" ht="15" hidden="false" customHeight="false" outlineLevel="1" collapsed="false">
      <c r="A13" s="3" t="s">
        <v>1509</v>
      </c>
      <c r="B13" s="11" t="s">
        <v>59</v>
      </c>
      <c r="C13" s="39" t="n">
        <f aca="false">各期收支!C21</f>
        <v>4.96684274379876</v>
      </c>
      <c r="D13" s="39" t="n">
        <f aca="false">各期收支!D21</f>
        <v>8.05634493620262</v>
      </c>
      <c r="E13" s="39" t="n">
        <f aca="false">各期收支!E21</f>
        <v>7.68072026094767</v>
      </c>
      <c r="F13" s="39" t="n">
        <f aca="false">各期收支!F21</f>
        <v>7.37464148485636</v>
      </c>
      <c r="G13" s="39" t="n">
        <f aca="false">各期收支!G21</f>
        <v>6.96653645006795</v>
      </c>
    </row>
    <row r="14" customFormat="false" ht="15" hidden="false" customHeight="false" outlineLevel="1" collapsed="false">
      <c r="A14" s="3" t="s">
        <v>1510</v>
      </c>
      <c r="B14" s="11" t="s">
        <v>59</v>
      </c>
      <c r="C14" s="39" t="n">
        <f aca="false">各期收支!C10</f>
        <v>1.54392202575188</v>
      </c>
      <c r="D14" s="39" t="n">
        <f aca="false">各期收支!D10</f>
        <v>3.58313298493961</v>
      </c>
      <c r="E14" s="39" t="n">
        <f aca="false">各期收支!E10</f>
        <v>4.42357397156202</v>
      </c>
      <c r="F14" s="39" t="n">
        <f aca="false">各期收支!F10</f>
        <v>4.73669329235327</v>
      </c>
      <c r="G14" s="39" t="n">
        <f aca="false">各期收支!G10</f>
        <v>5.2888365617756</v>
      </c>
      <c r="I14" s="6" t="s">
        <v>1511</v>
      </c>
    </row>
    <row r="15" customFormat="false" ht="15" hidden="false" customHeight="false" outlineLevel="1" collapsed="false">
      <c r="A15" s="3" t="s">
        <v>1512</v>
      </c>
      <c r="B15" s="11" t="s">
        <v>59</v>
      </c>
      <c r="C15" s="62" t="n">
        <f aca="false">C12-C13-C14</f>
        <v>20.8529504884904</v>
      </c>
      <c r="D15" s="62" t="n">
        <f aca="false">D12-D13-D14</f>
        <v>32.6971497218534</v>
      </c>
      <c r="E15" s="62" t="n">
        <f aca="false">E12-E13-E14</f>
        <v>42.0034072289498</v>
      </c>
      <c r="F15" s="62" t="n">
        <f aca="false">F12-F13-F14</f>
        <v>43.8537484960672</v>
      </c>
      <c r="G15" s="62" t="n">
        <f aca="false">G12-G13-G14</f>
        <v>40.5706958289508</v>
      </c>
    </row>
    <row r="16" customFormat="false" ht="15" hidden="false" customHeight="false" outlineLevel="1" collapsed="false">
      <c r="A16" s="4" t="s">
        <v>1513</v>
      </c>
      <c r="B16" s="11" t="s">
        <v>59</v>
      </c>
      <c r="C16" s="62" t="n">
        <f aca="false">輸入與假設!$C$193</f>
        <v>0</v>
      </c>
      <c r="D16" s="62" t="n">
        <f aca="false">C18</f>
        <v>0</v>
      </c>
      <c r="E16" s="62" t="n">
        <f aca="false">D18</f>
        <v>0</v>
      </c>
      <c r="F16" s="62" t="n">
        <f aca="false">E18</f>
        <v>0</v>
      </c>
      <c r="G16" s="62" t="n">
        <f aca="false">F18</f>
        <v>0</v>
      </c>
      <c r="I16" s="11" t="s">
        <v>1514</v>
      </c>
    </row>
    <row r="17" customFormat="false" ht="15" hidden="false" customHeight="false" outlineLevel="1" collapsed="false">
      <c r="A17" s="3" t="s">
        <v>1515</v>
      </c>
      <c r="B17" s="11" t="s">
        <v>59</v>
      </c>
      <c r="C17" s="62" t="n">
        <f aca="false">MIN(C16,MAX(0,C15)*輸入與假設!$C$194)</f>
        <v>0</v>
      </c>
      <c r="D17" s="62" t="n">
        <f aca="false">MIN(D16,MAX(0,D15)*輸入與假設!$C$194)</f>
        <v>0</v>
      </c>
      <c r="E17" s="62" t="n">
        <f aca="false">MIN(E16,MAX(0,E15)*輸入與假設!$C$194)</f>
        <v>0</v>
      </c>
      <c r="F17" s="62" t="n">
        <f aca="false">MIN(F16,MAX(0,F15)*輸入與假設!$C$194)</f>
        <v>0</v>
      </c>
      <c r="G17" s="62" t="n">
        <f aca="false">MIN(G16,MAX(0,G15)*輸入與假設!$C$194)</f>
        <v>0</v>
      </c>
      <c r="I17" s="6" t="s">
        <v>1516</v>
      </c>
    </row>
    <row r="18" customFormat="false" ht="15" hidden="false" customHeight="false" outlineLevel="1" collapsed="false">
      <c r="A18" s="4" t="s">
        <v>1517</v>
      </c>
      <c r="B18" s="11" t="s">
        <v>59</v>
      </c>
      <c r="C18" s="62" t="n">
        <f aca="false">C16-C17+MAX(0,-C15)</f>
        <v>0</v>
      </c>
      <c r="D18" s="62" t="n">
        <f aca="false">D16-D17+MAX(0,-D15)</f>
        <v>0</v>
      </c>
      <c r="E18" s="62" t="n">
        <f aca="false">E16-E17+MAX(0,-E15)</f>
        <v>0</v>
      </c>
      <c r="F18" s="62" t="n">
        <f aca="false">F16-F17+MAX(0,-F15)</f>
        <v>0</v>
      </c>
      <c r="G18" s="62" t="n">
        <f aca="false">G16-G17+MAX(0,-G15)</f>
        <v>0</v>
      </c>
    </row>
    <row r="19" customFormat="false" ht="15" hidden="false" customHeight="false" outlineLevel="1" collapsed="false">
      <c r="A19" s="3" t="s">
        <v>1518</v>
      </c>
      <c r="B19" s="11" t="s">
        <v>59</v>
      </c>
      <c r="C19" s="62" t="n">
        <f aca="false">MAX(0,C15-C17)*輸入與假設!$C$180</f>
        <v>3.14879552376205</v>
      </c>
      <c r="D19" s="62" t="n">
        <f aca="false">MAX(0,D15-D17)*輸入與假設!$C$180</f>
        <v>4.93726960799987</v>
      </c>
      <c r="E19" s="62" t="n">
        <f aca="false">MAX(0,E15-E17)*輸入與假設!$C$180</f>
        <v>6.34251449157142</v>
      </c>
      <c r="F19" s="62" t="n">
        <f aca="false">MAX(0,F15-F17)*輸入與假設!$C$180</f>
        <v>6.62191602290615</v>
      </c>
      <c r="G19" s="62" t="n">
        <f aca="false">MAX(0,G15-G17)*輸入與假設!$C$180</f>
        <v>6.12617507017157</v>
      </c>
      <c r="I19" s="6" t="s">
        <v>1519</v>
      </c>
    </row>
    <row r="20" customFormat="false" ht="15" hidden="false" customHeight="false" outlineLevel="1" collapsed="false">
      <c r="A20" s="2" t="s">
        <v>1520</v>
      </c>
      <c r="B20" s="11" t="s">
        <v>59</v>
      </c>
      <c r="C20" s="36" t="n">
        <f aca="false">C15-C19</f>
        <v>17.7041549647284</v>
      </c>
      <c r="D20" s="36" t="n">
        <f aca="false">D15-D19</f>
        <v>27.7598801138536</v>
      </c>
      <c r="E20" s="36" t="n">
        <f aca="false">E15-E19</f>
        <v>35.6608927373784</v>
      </c>
      <c r="F20" s="36" t="n">
        <f aca="false">F15-F19</f>
        <v>37.2318324731611</v>
      </c>
      <c r="G20" s="36" t="n">
        <f aca="false">G15-G19</f>
        <v>34.4445207587793</v>
      </c>
    </row>
    <row r="21" customFormat="false" ht="15" hidden="false" customHeight="false" outlineLevel="1" collapsed="false">
      <c r="A21" s="4" t="s">
        <v>593</v>
      </c>
      <c r="B21" s="11" t="s">
        <v>59</v>
      </c>
      <c r="C21" s="39" t="n">
        <f aca="false">輸入與假設!C$136</f>
        <v>12.7007020833333</v>
      </c>
      <c r="D21" s="39" t="n">
        <f aca="false">輸入與假設!D$136</f>
        <v>28.7769833611111</v>
      </c>
      <c r="E21" s="39" t="n">
        <f aca="false">輸入與假設!E$136</f>
        <v>40.0509631354167</v>
      </c>
      <c r="F21" s="39" t="n">
        <f aca="false">輸入與假設!F$136</f>
        <v>44.4431980104167</v>
      </c>
      <c r="G21" s="39" t="n">
        <f aca="false">輸入與假設!G$136</f>
        <v>45.0932309166667</v>
      </c>
      <c r="I21" s="6" t="s">
        <v>1521</v>
      </c>
    </row>
    <row r="22" customFormat="false" ht="15" hidden="false" customHeight="false" outlineLevel="1" collapsed="false">
      <c r="A22" s="82" t="s">
        <v>1522</v>
      </c>
      <c r="B22" s="11" t="s">
        <v>59</v>
      </c>
      <c r="C22" s="36" t="n">
        <f aca="false">C12+C21</f>
        <v>40.0644173413744</v>
      </c>
      <c r="D22" s="36" t="n">
        <f aca="false">D12+D21</f>
        <v>73.1136110041068</v>
      </c>
      <c r="E22" s="36" t="n">
        <f aca="false">E12+E21</f>
        <v>94.1586645968762</v>
      </c>
      <c r="F22" s="36" t="n">
        <f aca="false">F12+F21</f>
        <v>100.408281283694</v>
      </c>
      <c r="G22" s="36" t="n">
        <f aca="false">G12+G21</f>
        <v>97.919299757461</v>
      </c>
    </row>
    <row r="23" customFormat="false" ht="15" hidden="false" customHeight="false" outlineLevel="1" collapsed="false">
      <c r="A23" s="3" t="s">
        <v>1523</v>
      </c>
      <c r="B23" s="11" t="s">
        <v>390</v>
      </c>
      <c r="C23" s="30" t="n">
        <f aca="false">評價_DCF與目標價!$C$69</f>
        <v>3.08897428564288</v>
      </c>
      <c r="D23" s="30" t="n">
        <f aca="false">C23*(1+輸入與假設!$C$210)</f>
        <v>3.11986402849931</v>
      </c>
      <c r="E23" s="30" t="n">
        <f aca="false">D23*(1+輸入與假設!$C$210)</f>
        <v>3.15106266878431</v>
      </c>
      <c r="F23" s="30" t="n">
        <f aca="false">E23*(1+輸入與假設!$C$210)</f>
        <v>3.18257329547215</v>
      </c>
      <c r="G23" s="30" t="n">
        <f aca="false">F23*(1+輸入與假設!$C$210)</f>
        <v>3.21439902842687</v>
      </c>
      <c r="I23" s="11" t="s">
        <v>1524</v>
      </c>
    </row>
    <row r="24" customFormat="false" ht="15" hidden="false" customHeight="false" outlineLevel="1" collapsed="false">
      <c r="A24" s="3" t="s">
        <v>1525</v>
      </c>
      <c r="B24" s="11" t="s">
        <v>390</v>
      </c>
      <c r="C24" s="30" t="n">
        <f aca="false">C23+各期收支!C89</f>
        <v>3.08897428564288</v>
      </c>
      <c r="D24" s="30" t="n">
        <f aca="false">D23+各期收支!D89</f>
        <v>3.11986402849931</v>
      </c>
      <c r="E24" s="30" t="n">
        <f aca="false">E23+各期收支!E89</f>
        <v>3.15106266878431</v>
      </c>
      <c r="F24" s="30" t="n">
        <f aca="false">F23+各期收支!F89</f>
        <v>3.18257329547215</v>
      </c>
      <c r="G24" s="30" t="n">
        <f aca="false">G23+各期收支!G89</f>
        <v>3.21439902842687</v>
      </c>
      <c r="I24" s="6" t="s">
        <v>1526</v>
      </c>
    </row>
    <row r="25" customFormat="false" ht="15" hidden="false" customHeight="false" outlineLevel="1" collapsed="false">
      <c r="A25" s="3" t="s">
        <v>1527</v>
      </c>
      <c r="B25" s="11" t="s">
        <v>39</v>
      </c>
      <c r="C25" s="49" t="n">
        <f aca="false">C20/C24</f>
        <v>5.73140250697935</v>
      </c>
      <c r="D25" s="49" t="n">
        <f aca="false">D20/D24</f>
        <v>8.89778524329035</v>
      </c>
      <c r="E25" s="49" t="n">
        <f aca="false">E20/E24</f>
        <v>11.3171004469856</v>
      </c>
      <c r="F25" s="49" t="n">
        <f aca="false">F20/F24</f>
        <v>11.6986567210034</v>
      </c>
      <c r="G25" s="49" t="n">
        <f aca="false">G20/G24</f>
        <v>10.715695361455</v>
      </c>
      <c r="I25" s="11" t="s">
        <v>1528</v>
      </c>
    </row>
    <row r="27" customFormat="false" ht="15" hidden="false" customHeight="false" outlineLevel="0" collapsed="false">
      <c r="A27" s="46" t="s">
        <v>1529</v>
      </c>
      <c r="B27" s="8"/>
      <c r="C27" s="8"/>
      <c r="D27" s="8"/>
      <c r="E27" s="8"/>
      <c r="F27" s="8"/>
      <c r="G27" s="8"/>
      <c r="H27" s="8"/>
    </row>
    <row r="28" customFormat="false" ht="15" hidden="false" customHeight="false" outlineLevel="1" collapsed="false">
      <c r="A28" s="4" t="s">
        <v>1530</v>
      </c>
      <c r="B28" s="11" t="s">
        <v>59</v>
      </c>
      <c r="C28" s="39" t="n">
        <f aca="false">輸入與假設!$C$251</f>
        <v>19.345</v>
      </c>
      <c r="D28" s="39" t="n">
        <f aca="false">0</f>
        <v>0</v>
      </c>
      <c r="E28" s="39" t="n">
        <f aca="false">0</f>
        <v>0</v>
      </c>
      <c r="F28" s="39" t="n">
        <f aca="false">0</f>
        <v>0</v>
      </c>
      <c r="G28" s="39" t="n">
        <f aca="false">0</f>
        <v>0</v>
      </c>
    </row>
    <row r="29" customFormat="false" ht="15" hidden="false" customHeight="false" outlineLevel="1" collapsed="false">
      <c r="A29" s="2" t="s">
        <v>1531</v>
      </c>
      <c r="B29" s="11" t="s">
        <v>59</v>
      </c>
      <c r="C29" s="36" t="n">
        <f aca="false">C28+C9</f>
        <v>87.4976198</v>
      </c>
      <c r="D29" s="36" t="n">
        <f aca="false">D28+D9</f>
        <v>125.38524705094</v>
      </c>
      <c r="E29" s="36" t="n">
        <f aca="false">E28+E9</f>
        <v>168.281736541921</v>
      </c>
      <c r="F29" s="36" t="n">
        <f aca="false">F28+F9</f>
        <v>191.45057274757</v>
      </c>
      <c r="G29" s="36" t="n">
        <f aca="false">G28+G9</f>
        <v>199.370529376888</v>
      </c>
      <c r="I29" s="11" t="s">
        <v>1532</v>
      </c>
    </row>
    <row r="30" customFormat="false" ht="15" hidden="false" customHeight="false" outlineLevel="1" collapsed="false">
      <c r="A30" s="3" t="s">
        <v>1533</v>
      </c>
      <c r="B30" s="11" t="s">
        <v>42</v>
      </c>
      <c r="C30" s="63" t="n">
        <f aca="false">C29/67.357-1</f>
        <v>0.299013017206823</v>
      </c>
      <c r="D30" s="63" t="n">
        <f aca="false">D29/C29-1</f>
        <v>0.433013233246146</v>
      </c>
      <c r="E30" s="63" t="n">
        <f aca="false">E29/D29-1</f>
        <v>0.342117517809357</v>
      </c>
      <c r="F30" s="63" t="n">
        <f aca="false">F29/E29-1</f>
        <v>0.137678851441365</v>
      </c>
      <c r="G30" s="63" t="n">
        <f aca="false">G29/F29-1</f>
        <v>0.0413681532296055</v>
      </c>
      <c r="I30" s="11" t="s">
        <v>1534</v>
      </c>
    </row>
    <row r="31" customFormat="false" ht="15" hidden="false" customHeight="false" outlineLevel="1" collapsed="false">
      <c r="A31" s="3" t="s">
        <v>1535</v>
      </c>
      <c r="B31" s="11" t="s">
        <v>59</v>
      </c>
      <c r="C31" s="62" t="n">
        <f aca="false">輸入與假設!$C$252+C12</f>
        <v>34.0917152580411</v>
      </c>
      <c r="D31" s="62" t="n">
        <f aca="false">D12</f>
        <v>44.3366276429957</v>
      </c>
      <c r="E31" s="62" t="n">
        <f aca="false">E12</f>
        <v>54.1077014614595</v>
      </c>
      <c r="F31" s="62" t="n">
        <f aca="false">F12</f>
        <v>55.9650832732768</v>
      </c>
      <c r="G31" s="62" t="n">
        <f aca="false">G12</f>
        <v>52.8260688407944</v>
      </c>
    </row>
    <row r="32" customFormat="false" ht="15" hidden="false" customHeight="false" outlineLevel="1" collapsed="false">
      <c r="A32" s="3" t="s">
        <v>1536</v>
      </c>
      <c r="B32" s="11" t="s">
        <v>42</v>
      </c>
      <c r="C32" s="63" t="n">
        <f aca="false">C31/C29</f>
        <v>0.389630201781112</v>
      </c>
      <c r="D32" s="63" t="n">
        <f aca="false">D31/D29</f>
        <v>0.353603224348899</v>
      </c>
      <c r="E32" s="63" t="n">
        <f aca="false">E31/E29</f>
        <v>0.321530443964611</v>
      </c>
      <c r="F32" s="63" t="n">
        <f aca="false">F31/F29</f>
        <v>0.29232131547116</v>
      </c>
      <c r="G32" s="63" t="n">
        <f aca="false">G31/G29</f>
        <v>0.264964280357267</v>
      </c>
    </row>
    <row r="33" customFormat="false" ht="15" hidden="false" customHeight="false" outlineLevel="1" collapsed="false">
      <c r="A33" s="3" t="s">
        <v>1537</v>
      </c>
      <c r="B33" s="11" t="s">
        <v>59</v>
      </c>
      <c r="C33" s="62" t="n">
        <f aca="false">輸入與假設!$C$255+C21</f>
        <v>16.0587020833333</v>
      </c>
      <c r="D33" s="62" t="n">
        <f aca="false">D21</f>
        <v>28.7769833611111</v>
      </c>
      <c r="E33" s="62" t="n">
        <f aca="false">E21</f>
        <v>40.0509631354167</v>
      </c>
      <c r="F33" s="62" t="n">
        <f aca="false">F21</f>
        <v>44.4431980104167</v>
      </c>
      <c r="G33" s="62" t="n">
        <f aca="false">G21</f>
        <v>45.0932309166667</v>
      </c>
      <c r="I33" s="11" t="s">
        <v>1538</v>
      </c>
    </row>
    <row r="34" customFormat="false" ht="15" hidden="false" customHeight="false" outlineLevel="1" collapsed="false">
      <c r="A34" s="2" t="s">
        <v>1539</v>
      </c>
      <c r="B34" s="11" t="s">
        <v>59</v>
      </c>
      <c r="C34" s="36" t="n">
        <f aca="false">C31+C33</f>
        <v>50.1504173413744</v>
      </c>
      <c r="D34" s="36" t="n">
        <f aca="false">D31+D33</f>
        <v>73.1136110041068</v>
      </c>
      <c r="E34" s="36" t="n">
        <f aca="false">E31+E33</f>
        <v>94.1586645968762</v>
      </c>
      <c r="F34" s="36" t="n">
        <f aca="false">F31+F33</f>
        <v>100.408281283694</v>
      </c>
      <c r="G34" s="36" t="n">
        <f aca="false">G31+G33</f>
        <v>97.919299757461</v>
      </c>
    </row>
    <row r="35" customFormat="false" ht="15" hidden="false" customHeight="false" outlineLevel="1" collapsed="false">
      <c r="A35" s="3" t="s">
        <v>1540</v>
      </c>
      <c r="B35" s="11" t="s">
        <v>59</v>
      </c>
      <c r="C35" s="62" t="n">
        <f aca="false">輸入與假設!$C$249+C13</f>
        <v>6.39484274379876</v>
      </c>
      <c r="D35" s="62" t="n">
        <f aca="false">D13</f>
        <v>8.05634493620262</v>
      </c>
      <c r="E35" s="62" t="n">
        <f aca="false">E13</f>
        <v>7.68072026094767</v>
      </c>
      <c r="F35" s="62" t="n">
        <f aca="false">F13</f>
        <v>7.37464148485636</v>
      </c>
      <c r="G35" s="62" t="n">
        <f aca="false">G13</f>
        <v>6.96653645006795</v>
      </c>
      <c r="I35" s="11" t="s">
        <v>1541</v>
      </c>
    </row>
    <row r="36" customFormat="false" ht="15" hidden="false" customHeight="false" outlineLevel="1" collapsed="false">
      <c r="A36" s="2" t="s">
        <v>1542</v>
      </c>
      <c r="B36" s="11" t="s">
        <v>59</v>
      </c>
      <c r="C36" s="36" t="n">
        <f aca="false">輸入與假設!$C$253+C20</f>
        <v>22.4641549647284</v>
      </c>
      <c r="D36" s="36" t="n">
        <f aca="false">D20</f>
        <v>27.7598801138536</v>
      </c>
      <c r="E36" s="36" t="n">
        <f aca="false">E20</f>
        <v>35.6608927373784</v>
      </c>
      <c r="F36" s="36" t="n">
        <f aca="false">F20</f>
        <v>37.2318324731611</v>
      </c>
      <c r="G36" s="36" t="n">
        <f aca="false">G20</f>
        <v>34.4445207587793</v>
      </c>
    </row>
    <row r="37" customFormat="false" ht="15" hidden="false" customHeight="false" outlineLevel="1" collapsed="false">
      <c r="A37" s="3" t="s">
        <v>1543</v>
      </c>
      <c r="B37" s="11" t="s">
        <v>42</v>
      </c>
      <c r="C37" s="63" t="n">
        <f aca="false">C36/C29</f>
        <v>0.256740183516722</v>
      </c>
      <c r="D37" s="63" t="n">
        <f aca="false">D36/D29</f>
        <v>0.221396701500102</v>
      </c>
      <c r="E37" s="63" t="n">
        <f aca="false">E36/E29</f>
        <v>0.21191184183255</v>
      </c>
      <c r="F37" s="63" t="n">
        <f aca="false">F36/F29</f>
        <v>0.194472296106691</v>
      </c>
      <c r="G37" s="63" t="n">
        <f aca="false">G36/G29</f>
        <v>0.172766360536997</v>
      </c>
    </row>
    <row r="38" customFormat="false" ht="15" hidden="false" customHeight="false" outlineLevel="1" collapsed="false">
      <c r="A38" s="2" t="s">
        <v>1544</v>
      </c>
      <c r="B38" s="11" t="s">
        <v>39</v>
      </c>
      <c r="C38" s="83" t="n">
        <f aca="false">輸入與假設!$C$257+C20/C24</f>
        <v>7.29140250697935</v>
      </c>
      <c r="D38" s="83" t="n">
        <f aca="false">D20/D24</f>
        <v>8.89778524329035</v>
      </c>
      <c r="E38" s="83" t="n">
        <f aca="false">E20/E24</f>
        <v>11.3171004469856</v>
      </c>
      <c r="F38" s="83" t="n">
        <f aca="false">F20/F24</f>
        <v>11.6986567210034</v>
      </c>
      <c r="G38" s="83" t="n">
        <f aca="false">G20/G24</f>
        <v>10.715695361455</v>
      </c>
      <c r="I38" s="11" t="s">
        <v>1545</v>
      </c>
    </row>
    <row r="39" customFormat="false" ht="15" hidden="false" customHeight="false" outlineLevel="1" collapsed="false">
      <c r="A39" s="3" t="s">
        <v>1546</v>
      </c>
      <c r="B39" s="11" t="s">
        <v>39</v>
      </c>
      <c r="C39" s="49" t="n">
        <f aca="false">輸入與假設!$C$258+(C20+輸入與假設!$C$211*輸入與假設!C$41)/C24</f>
        <v>8.78594059223127</v>
      </c>
      <c r="D39" s="49" t="n">
        <f aca="false">(D20+輸入與假設!$C$211*輸入與假設!D$41)/D24</f>
        <v>10.3427200092995</v>
      </c>
      <c r="E39" s="49" t="n">
        <f aca="false">(E20+輸入與假設!$C$211*輸入與假設!E$41)/E24</f>
        <v>12.7477289281827</v>
      </c>
      <c r="F39" s="49" t="n">
        <f aca="false">(F20+輸入與假設!$C$211*輸入與假設!F$41)/F24</f>
        <v>13.1151205637728</v>
      </c>
      <c r="G39" s="49" t="n">
        <f aca="false">(G20+輸入與假設!$C$211*輸入與假設!G$41)/G24</f>
        <v>12.1181348097416</v>
      </c>
      <c r="I39" s="6" t="s">
        <v>1547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F1239"/>
    <outlinePr summaryBelow="0" summaryRight="1"/>
    <pageSetUpPr fitToPage="false"/>
  </sheetPr>
  <dimension ref="A1:I10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1" outlineLevelCol="0"/>
  <cols>
    <col collapsed="false" customWidth="true" hidden="false" outlineLevel="0" max="1" min="1" style="0" width="42"/>
    <col collapsed="false" customWidth="true" hidden="false" outlineLevel="0" max="2" min="2" style="0" width="12"/>
    <col collapsed="false" customWidth="true" hidden="false" outlineLevel="0" max="7" min="3" style="0" width="13"/>
    <col collapsed="false" customWidth="true" hidden="false" outlineLevel="0" max="9" min="9" style="0" width="92"/>
  </cols>
  <sheetData>
    <row r="1" customFormat="false" ht="21.6" hidden="false" customHeight="false" outlineLevel="0" collapsed="false">
      <c r="A1" s="5" t="s">
        <v>1548</v>
      </c>
    </row>
    <row r="2" customFormat="false" ht="15" hidden="false" customHeight="false" outlineLevel="0" collapsed="false">
      <c r="A2" s="6" t="s">
        <v>1549</v>
      </c>
    </row>
    <row r="4" customFormat="false" ht="15" hidden="false" customHeight="false" outlineLevel="0" collapsed="false">
      <c r="A4" s="14" t="s">
        <v>53</v>
      </c>
      <c r="B4" s="14" t="s">
        <v>54</v>
      </c>
      <c r="C4" s="28" t="s">
        <v>55</v>
      </c>
      <c r="D4" s="28" t="s">
        <v>56</v>
      </c>
      <c r="E4" s="28" t="s">
        <v>57</v>
      </c>
      <c r="F4" s="28" t="s">
        <v>147</v>
      </c>
      <c r="G4" s="28" t="s">
        <v>148</v>
      </c>
      <c r="I4" s="14" t="s">
        <v>749</v>
      </c>
    </row>
    <row r="5" customFormat="false" ht="15" hidden="false" customHeight="false" outlineLevel="0" collapsed="false">
      <c r="A5" s="7" t="s">
        <v>1550</v>
      </c>
      <c r="B5" s="8"/>
      <c r="C5" s="8"/>
      <c r="D5" s="8"/>
      <c r="E5" s="8"/>
      <c r="F5" s="8"/>
      <c r="G5" s="8"/>
      <c r="H5" s="8"/>
    </row>
    <row r="6" customFormat="false" ht="15" hidden="false" customHeight="false" outlineLevel="1" collapsed="false">
      <c r="A6" s="3" t="s">
        <v>1551</v>
      </c>
      <c r="B6" s="11" t="s">
        <v>59</v>
      </c>
      <c r="C6" s="62" t="n">
        <f aca="false">輸入與假設!C$135-各期收支!C8</f>
        <v>58.74081545</v>
      </c>
      <c r="D6" s="62" t="n">
        <f aca="false">輸入與假設!D$135-各期收支!D8</f>
        <v>65.117863692</v>
      </c>
      <c r="E6" s="62" t="n">
        <f aca="false">輸入與假設!E$135-各期收支!E8</f>
        <v>23.6195956815</v>
      </c>
      <c r="F6" s="62" t="n">
        <f aca="false">輸入與假設!F$135-各期收支!F8</f>
        <v>41.63058669</v>
      </c>
      <c r="G6" s="62" t="n">
        <f aca="false">輸入與假設!G$135-各期收支!G8</f>
        <v>41.63058669</v>
      </c>
      <c r="I6" s="11" t="s">
        <v>1552</v>
      </c>
    </row>
    <row r="7" customFormat="false" ht="15" hidden="false" customHeight="false" outlineLevel="1" collapsed="false">
      <c r="A7" s="3" t="s">
        <v>1553</v>
      </c>
      <c r="B7" s="11" t="s">
        <v>59</v>
      </c>
      <c r="C7" s="62" t="n">
        <f aca="false">67.357</f>
        <v>67.357</v>
      </c>
      <c r="D7" s="62" t="n">
        <f aca="false">19.345+損益!C9</f>
        <v>87.4976198</v>
      </c>
      <c r="E7" s="62" t="n">
        <f aca="false">損益!D9</f>
        <v>125.38524705094</v>
      </c>
      <c r="F7" s="62" t="n">
        <f aca="false">損益!E9</f>
        <v>168.281736541921</v>
      </c>
      <c r="G7" s="62" t="n">
        <f aca="false">損益!F9</f>
        <v>191.45057274757</v>
      </c>
      <c r="I7" s="11" t="s">
        <v>1554</v>
      </c>
    </row>
    <row r="8" customFormat="false" ht="15" hidden="false" customHeight="false" outlineLevel="1" collapsed="false">
      <c r="A8" s="3" t="s">
        <v>1555</v>
      </c>
      <c r="B8" s="11" t="s">
        <v>59</v>
      </c>
      <c r="C8" s="39" t="n">
        <f aca="false">各期收支!C11</f>
        <v>2.62483830386278</v>
      </c>
      <c r="D8" s="39" t="n">
        <f aca="false">各期收支!D11</f>
        <v>7.46265025136574</v>
      </c>
      <c r="E8" s="39" t="n">
        <f aca="false">各期收支!E11</f>
        <v>11.035453457005</v>
      </c>
      <c r="F8" s="39" t="n">
        <f aca="false">各期收支!F11</f>
        <v>11.2920981877747</v>
      </c>
      <c r="G8" s="39" t="n">
        <f aca="false">各期收支!G11</f>
        <v>12.7641625245748</v>
      </c>
      <c r="I8" s="6" t="s">
        <v>1556</v>
      </c>
    </row>
    <row r="9" customFormat="false" ht="15" hidden="false" customHeight="false" outlineLevel="1" collapsed="false">
      <c r="A9" s="3" t="s">
        <v>1557</v>
      </c>
      <c r="B9" s="11" t="s">
        <v>59</v>
      </c>
      <c r="C9" s="62" t="n">
        <f aca="false">輸入與假設!$C$195*MAX(0,損益!C9-C7)</f>
        <v>0.0159123959999999</v>
      </c>
      <c r="D9" s="62" t="n">
        <f aca="false">輸入與假設!$C$195*MAX(0,損益!D9-D7)</f>
        <v>0.7577525450188</v>
      </c>
      <c r="E9" s="62" t="n">
        <f aca="false">輸入與假設!$C$195*MAX(0,損益!E9-E7)</f>
        <v>0.857929789819611</v>
      </c>
      <c r="F9" s="62" t="n">
        <f aca="false">輸入與假設!$C$195*MAX(0,損益!F9-F7)</f>
        <v>0.463376724112999</v>
      </c>
      <c r="G9" s="62" t="n">
        <f aca="false">輸入與假設!$C$195*MAX(0,損益!G9-G7)</f>
        <v>0.158399132586345</v>
      </c>
      <c r="I9" s="6" t="s">
        <v>1558</v>
      </c>
    </row>
    <row r="10" customFormat="false" ht="15" hidden="false" customHeight="false" outlineLevel="1" collapsed="false">
      <c r="A10" s="3" t="s">
        <v>1559</v>
      </c>
      <c r="B10" s="11" t="s">
        <v>59</v>
      </c>
      <c r="C10" s="62" t="n">
        <f aca="false">輸入與假設!$C$193</f>
        <v>0</v>
      </c>
      <c r="D10" s="62" t="n">
        <f aca="false">C12</f>
        <v>0</v>
      </c>
      <c r="E10" s="62" t="n">
        <f aca="false">D12</f>
        <v>0</v>
      </c>
      <c r="F10" s="62" t="n">
        <f aca="false">E12</f>
        <v>0</v>
      </c>
      <c r="G10" s="62" t="n">
        <f aca="false">F12</f>
        <v>0</v>
      </c>
      <c r="I10" s="11" t="s">
        <v>1560</v>
      </c>
    </row>
    <row r="11" customFormat="false" ht="15" hidden="false" customHeight="false" outlineLevel="1" collapsed="false">
      <c r="A11" s="3" t="s">
        <v>1561</v>
      </c>
      <c r="B11" s="11" t="s">
        <v>59</v>
      </c>
      <c r="C11" s="62" t="n">
        <f aca="false">MIN(C10,MAX(0,損益!C12)*輸入與假設!$C$194)</f>
        <v>0</v>
      </c>
      <c r="D11" s="62" t="n">
        <f aca="false">MIN(D10,MAX(0,損益!D12)*輸入與假設!$C$194)</f>
        <v>0</v>
      </c>
      <c r="E11" s="62" t="n">
        <f aca="false">MIN(E10,MAX(0,損益!E12)*輸入與假設!$C$194)</f>
        <v>0</v>
      </c>
      <c r="F11" s="62" t="n">
        <f aca="false">MIN(F10,MAX(0,損益!F12)*輸入與假設!$C$194)</f>
        <v>0</v>
      </c>
      <c r="G11" s="62" t="n">
        <f aca="false">MIN(G10,MAX(0,損益!G12)*輸入與假設!$C$194)</f>
        <v>0</v>
      </c>
    </row>
    <row r="12" customFormat="false" ht="15" hidden="false" customHeight="false" outlineLevel="1" collapsed="false">
      <c r="A12" s="3" t="s">
        <v>1562</v>
      </c>
      <c r="B12" s="11" t="s">
        <v>59</v>
      </c>
      <c r="C12" s="62" t="n">
        <f aca="false">C10-C11+MAX(0,-損益!C12)</f>
        <v>0</v>
      </c>
      <c r="D12" s="62" t="n">
        <f aca="false">D10-D11+MAX(0,-損益!D12)</f>
        <v>0</v>
      </c>
      <c r="E12" s="62" t="n">
        <f aca="false">E10-E11+MAX(0,-損益!E12)</f>
        <v>0</v>
      </c>
      <c r="F12" s="62" t="n">
        <f aca="false">F10-F11+MAX(0,-損益!F12)</f>
        <v>0</v>
      </c>
      <c r="G12" s="62" t="n">
        <f aca="false">G10-G11+MAX(0,-損益!G12)</f>
        <v>0</v>
      </c>
    </row>
    <row r="13" customFormat="false" ht="15" hidden="false" customHeight="false" outlineLevel="1" collapsed="false">
      <c r="A13" s="3" t="s">
        <v>1563</v>
      </c>
      <c r="B13" s="11" t="s">
        <v>59</v>
      </c>
      <c r="C13" s="62" t="n">
        <f aca="false">MAX(0,損益!C12-C11)*輸入與假設!$C$180</f>
        <v>4.1319210039642</v>
      </c>
      <c r="D13" s="62" t="n">
        <f aca="false">MAX(0,損益!D12-D11)*輸入與假設!$C$180</f>
        <v>6.69483077409234</v>
      </c>
      <c r="E13" s="62" t="n">
        <f aca="false">MAX(0,損益!E12-E11)*輸入與假設!$C$180</f>
        <v>8.17026292068038</v>
      </c>
      <c r="F13" s="62" t="n">
        <f aca="false">MAX(0,損益!F12-F11)*輸入與假設!$C$180</f>
        <v>8.4507275742648</v>
      </c>
      <c r="G13" s="62" t="n">
        <f aca="false">MAX(0,損益!G12-G11)*輸入與假設!$C$180</f>
        <v>7.97673639495995</v>
      </c>
      <c r="I13" s="6" t="s">
        <v>1564</v>
      </c>
    </row>
    <row r="14" customFormat="false" ht="15" hidden="false" customHeight="false" outlineLevel="1" collapsed="false">
      <c r="A14" s="82" t="s">
        <v>1565</v>
      </c>
      <c r="B14" s="11" t="s">
        <v>59</v>
      </c>
      <c r="C14" s="36" t="n">
        <f aca="false">損益!C12-C13+損益!C21-C6-C9-C8</f>
        <v>-25.4490698124526</v>
      </c>
      <c r="D14" s="36" t="n">
        <f aca="false">損益!D12-D13+損益!D21-D6-D9-D8</f>
        <v>-6.91948625837013</v>
      </c>
      <c r="E14" s="36" t="n">
        <f aca="false">損益!E12-E13+損益!E21-E6-E9-E8</f>
        <v>50.4754227478712</v>
      </c>
      <c r="F14" s="36" t="n">
        <f aca="false">損益!F12-F13+損益!F21-F6-F9-F8</f>
        <v>38.5714921075411</v>
      </c>
      <c r="G14" s="36" t="n">
        <f aca="false">損益!G12-G13+損益!G21-G6-G9-G8</f>
        <v>35.3894150153399</v>
      </c>
      <c r="I14" s="6" t="s">
        <v>1566</v>
      </c>
    </row>
    <row r="15" customFormat="false" ht="15" hidden="false" customHeight="false" outlineLevel="1" collapsed="false">
      <c r="A15" s="3" t="s">
        <v>1567</v>
      </c>
      <c r="B15" s="6" t="s">
        <v>189</v>
      </c>
      <c r="C15" s="84" t="n">
        <f aca="false">輸入與假設!$C$228</f>
        <v>0.75</v>
      </c>
      <c r="D15" s="84" t="n">
        <f aca="false">輸入與假設!$D$228</f>
        <v>1.75</v>
      </c>
      <c r="E15" s="84" t="n">
        <f aca="false">輸入與假設!$E$228</f>
        <v>2.75</v>
      </c>
      <c r="F15" s="84" t="n">
        <f aca="false">輸入與假設!$F$228</f>
        <v>3.75</v>
      </c>
      <c r="G15" s="84" t="n">
        <f aca="false">輸入與假設!$G$228</f>
        <v>4.75</v>
      </c>
      <c r="I15" s="6" t="s">
        <v>1568</v>
      </c>
    </row>
    <row r="16" customFormat="false" ht="15" hidden="false" customHeight="false" outlineLevel="1" collapsed="false">
      <c r="A16" s="3" t="s">
        <v>1569</v>
      </c>
      <c r="B16" s="6"/>
      <c r="C16" s="50" t="n">
        <f aca="false">1/(1+輸入與假設!$C$190)^C15</f>
        <v>0.915427734040045</v>
      </c>
      <c r="D16" s="50" t="n">
        <f aca="false">1/(1+輸入與假設!$C$190)^D15</f>
        <v>0.813684706803842</v>
      </c>
      <c r="E16" s="50" t="n">
        <f aca="false">1/(1+輸入與假設!$C$190)^E15</f>
        <v>0.723249665120472</v>
      </c>
      <c r="F16" s="50" t="n">
        <f aca="false">1/(1+輸入與假設!$C$190)^F15</f>
        <v>0.642865809966584</v>
      </c>
      <c r="G16" s="50" t="n">
        <f aca="false">1/(1+輸入與假設!$C$190)^G15</f>
        <v>0.571416026241993</v>
      </c>
    </row>
    <row r="17" customFormat="false" ht="15" hidden="false" customHeight="false" outlineLevel="1" collapsed="false">
      <c r="A17" s="4" t="s">
        <v>1570</v>
      </c>
      <c r="B17" s="11" t="s">
        <v>59</v>
      </c>
      <c r="C17" s="62" t="n">
        <f aca="false">C14*C16</f>
        <v>-23.2967843118404</v>
      </c>
      <c r="D17" s="62" t="n">
        <f aca="false">D14*D16</f>
        <v>-5.63028014737512</v>
      </c>
      <c r="E17" s="62" t="n">
        <f aca="false">E14*E16</f>
        <v>36.5063325992121</v>
      </c>
      <c r="F17" s="62" t="n">
        <f aca="false">F14*F16</f>
        <v>24.7962935153341</v>
      </c>
      <c r="G17" s="62" t="n">
        <f aca="false">G14*G16</f>
        <v>20.2220788990942</v>
      </c>
    </row>
    <row r="18" customFormat="false" ht="15" hidden="false" customHeight="false" outlineLevel="1" collapsed="false"/>
    <row r="19" customFormat="false" ht="15" hidden="false" customHeight="false" outlineLevel="1" collapsed="false">
      <c r="A19" s="3" t="s">
        <v>1571</v>
      </c>
      <c r="C19" s="10" t="n">
        <f aca="false">SUM(C17:G17)</f>
        <v>52.5976405544249</v>
      </c>
      <c r="I19" s="6" t="s">
        <v>1572</v>
      </c>
    </row>
    <row r="20" customFormat="false" ht="15" hidden="false" customHeight="false" outlineLevel="1" collapsed="false">
      <c r="A20" s="3" t="s">
        <v>1573</v>
      </c>
      <c r="C20" s="10" t="n">
        <f aca="false">G14+輸入與假設!G128*(1-各期收支!G7)</f>
        <v>35.3894150153399</v>
      </c>
      <c r="I20" s="11" t="s">
        <v>1574</v>
      </c>
    </row>
    <row r="21" customFormat="false" ht="15" hidden="false" customHeight="false" outlineLevel="1" collapsed="false">
      <c r="A21" s="3" t="s">
        <v>1575</v>
      </c>
      <c r="C21" s="52" t="n">
        <f aca="false">IF(C30=1,0,C20*(1+輸入與假設!$C$191)/(輸入與假設!$C$190-輸入與假設!$C$191))</f>
        <v>383.534812805981</v>
      </c>
      <c r="I21" s="6" t="s">
        <v>1576</v>
      </c>
    </row>
    <row r="22" customFormat="false" ht="15" hidden="false" customHeight="false" outlineLevel="1" collapsed="false">
      <c r="A22" s="3" t="s">
        <v>1577</v>
      </c>
      <c r="C22" s="52" t="n">
        <f aca="false">C21*G16</f>
        <v>219.15793865906</v>
      </c>
    </row>
    <row r="23" customFormat="false" ht="15" hidden="false" customHeight="false" outlineLevel="1" collapsed="false">
      <c r="A23" s="3" t="s">
        <v>1578</v>
      </c>
      <c r="C23" s="52" t="n">
        <f aca="false">C19+C22</f>
        <v>271.755579213485</v>
      </c>
    </row>
    <row r="24" customFormat="false" ht="15" hidden="false" customHeight="false" outlineLevel="1" collapsed="false">
      <c r="A24" s="3" t="s">
        <v>1579</v>
      </c>
      <c r="C24" s="10" t="n">
        <f aca="false">-評價_DCF與目標價!$C$70</f>
        <v>-88.827</v>
      </c>
      <c r="I24" s="6" t="s">
        <v>1580</v>
      </c>
    </row>
    <row r="25" customFormat="false" ht="15" hidden="false" customHeight="false" outlineLevel="1" collapsed="false">
      <c r="A25" s="3" t="s">
        <v>1581</v>
      </c>
      <c r="C25" s="52" t="n">
        <f aca="false">C23+C24</f>
        <v>182.928579213485</v>
      </c>
    </row>
    <row r="26" customFormat="false" ht="15" hidden="false" customHeight="false" outlineLevel="1" collapsed="false">
      <c r="A26" s="82" t="s">
        <v>1582</v>
      </c>
      <c r="C26" s="85" t="n">
        <f aca="false">IF(C30=1,0,IF(輸入與假設!$C$213=2,C32,C31))</f>
        <v>59.2198452618111</v>
      </c>
      <c r="I26" s="6" t="s">
        <v>1583</v>
      </c>
    </row>
    <row r="27" customFormat="false" ht="15" hidden="false" customHeight="false" outlineLevel="1" collapsed="false">
      <c r="A27" s="3" t="s">
        <v>1584</v>
      </c>
      <c r="C27" s="29" t="n">
        <f aca="false">C22/C23</f>
        <v>0.806452398487446</v>
      </c>
      <c r="I27" s="6" t="str">
        <f aca="false">"超過 "&amp;IF(ROUND(ABS(輸入與假設!$C$237)*100,4)=INT(ROUND(ABS(輸入與假設!$C$237)*100,4)),TEXT(ROUND(ABS(輸入與假設!$C$237)*100,4),"0"),TEXT(ROUND(ABS(輸入與假設!$C$237)*100,4),"0.0"))&amp;"%"&amp;" 表示結論由終值假設決定，不由現金流決定"</f>
        <v>超過 85% 表示結論由終值假設決定，不由現金流決定</v>
      </c>
    </row>
    <row r="28" customFormat="false" ht="15" hidden="false" customHeight="false" outlineLevel="1" collapsed="false">
      <c r="A28" s="3" t="s">
        <v>1585</v>
      </c>
      <c r="C28" s="52" t="n">
        <f aca="false">各期收支!C84/(1+輸入與假設!$C$190)^輸入與假設!$C$229+各期收支!D84/(1+輸入與假設!$C$190)^輸入與假設!$D$229+各期收支!E84/(1+輸入與假設!$C$190)^輸入與假設!$E$229+各期收支!F84/(1+輸入與假設!$C$190)^輸入與假設!$F$229+各期收支!G84/(1+輸入與假設!$C$190)^輸入與假設!$G$229</f>
        <v>0</v>
      </c>
      <c r="I28" s="6" t="s">
        <v>1586</v>
      </c>
    </row>
    <row r="29" customFormat="false" ht="15" hidden="false" customHeight="false" outlineLevel="1" collapsed="false">
      <c r="A29" s="3" t="s">
        <v>1587</v>
      </c>
      <c r="C29" s="86" t="n">
        <f aca="false">評價_DCF與目標價!$C$69+各期收支!G89</f>
        <v>3.08897428564288</v>
      </c>
    </row>
    <row r="30" customFormat="false" ht="15" hidden="false" customHeight="false" outlineLevel="1" collapsed="false">
      <c r="A30" s="4" t="s">
        <v>1588</v>
      </c>
      <c r="C30" s="44" t="n">
        <f aca="false">IF(OR(輸入與假設!$C$190&lt;=輸入與假設!$C$191,C20&lt;=0),1,0)</f>
        <v>0</v>
      </c>
      <c r="I30" s="11" t="s">
        <v>1589</v>
      </c>
    </row>
    <row r="31" customFormat="false" ht="15" hidden="false" customHeight="false" outlineLevel="1" collapsed="false">
      <c r="A31" s="82" t="s">
        <v>1590</v>
      </c>
      <c r="C31" s="43" t="n">
        <f aca="false">MAX(0,(C25+C28)/C29)</f>
        <v>59.2198452618111</v>
      </c>
    </row>
    <row r="32" customFormat="false" ht="15" hidden="false" customHeight="false" outlineLevel="1" collapsed="false">
      <c r="A32" s="82" t="s">
        <v>1591</v>
      </c>
      <c r="C32" s="43" t="n">
        <f aca="false">IF((C23+C28)&lt;=0,0,IF(評價_DCF與目標價!$C$70&lt;=0,(C23+C28),(C23+C28)*NORMSDIST(C33)-評價_DCF與目標價!$C$70*EXP(-輸入與假設!$C$181*輸入與假設!$C$215)*NORMSDIST(C34))/C29)</f>
        <v>67.772473660232</v>
      </c>
      <c r="I32" s="11" t="s">
        <v>1592</v>
      </c>
    </row>
    <row r="33" customFormat="false" ht="15" hidden="false" customHeight="false" outlineLevel="1" collapsed="false">
      <c r="A33" s="3" t="s">
        <v>1593</v>
      </c>
      <c r="C33" s="86" t="n">
        <f aca="false">IF(OR((C23+C28)&lt;=0,評價_DCF與目標價!$C$70&lt;=0),0,(LN((C23+C28)/評價_DCF與目標價!$C$70)+(輸入與假設!$C$181+輸入與假設!$C$214^2/2)*輸入與假設!$C$215)/(輸入與假設!$C$214*SQRT(輸入與假設!$C$215)))</f>
        <v>1.80071841449383</v>
      </c>
    </row>
    <row r="34" customFormat="false" ht="15" hidden="false" customHeight="false" outlineLevel="1" collapsed="false">
      <c r="A34" s="3" t="s">
        <v>1594</v>
      </c>
      <c r="C34" s="86" t="n">
        <f aca="false">C33-輸入與假設!$C$214*SQRT(輸入與假設!$C$215)</f>
        <v>0.710993678608665</v>
      </c>
    </row>
    <row r="36" customFormat="false" ht="15" hidden="false" customHeight="false" outlineLevel="0" collapsed="false">
      <c r="A36" s="46" t="s">
        <v>1595</v>
      </c>
      <c r="B36" s="8"/>
      <c r="C36" s="8"/>
      <c r="D36" s="8"/>
      <c r="E36" s="8"/>
      <c r="F36" s="8"/>
      <c r="G36" s="8"/>
      <c r="H36" s="8"/>
    </row>
    <row r="37" customFormat="false" ht="15" hidden="false" customHeight="false" outlineLevel="1" collapsed="false">
      <c r="A37" s="3" t="s">
        <v>1596</v>
      </c>
      <c r="C37" s="87" t="str">
        <f aca="false">CHOOSE(輸入與假設!$C$205,"FY28","FY29","FY30","FY31")</f>
        <v>FY29</v>
      </c>
      <c r="I37" s="6" t="s">
        <v>1597</v>
      </c>
    </row>
    <row r="38" customFormat="false" ht="15" hidden="false" customHeight="false" outlineLevel="1" collapsed="false">
      <c r="A38" s="3" t="s">
        <v>1598</v>
      </c>
      <c r="C38" s="10" t="n">
        <f aca="false">INDEX(損益!$D$22:$G$22,1,輸入與假設!$C$205)</f>
        <v>94.1586645968762</v>
      </c>
    </row>
    <row r="39" customFormat="false" ht="15" hidden="false" customHeight="false" outlineLevel="1" collapsed="false">
      <c r="A39" s="3" t="s">
        <v>1599</v>
      </c>
      <c r="C39" s="52" t="n">
        <f aca="false">C45*輸入與假設!$C$196+C44*輸入與假設!$C$204</f>
        <v>838.314616427925</v>
      </c>
      <c r="I39" s="6" t="s">
        <v>1600</v>
      </c>
    </row>
    <row r="40" customFormat="false" ht="15" hidden="false" customHeight="false" outlineLevel="1" collapsed="false">
      <c r="A40" s="3" t="s">
        <v>1601</v>
      </c>
      <c r="C40" s="10" t="n">
        <f aca="false">INDEX(各期收支!$D$94:$G$94,1,輸入與假設!$C$205)-INDEX(各期收支!$D$52:$G$52,1,輸入與假設!$C$205)+評價_DCF與目標價!$C$71</f>
        <v>106.580147473604</v>
      </c>
      <c r="I40" s="6" t="s">
        <v>1602</v>
      </c>
    </row>
    <row r="41" customFormat="false" ht="15" hidden="false" customHeight="false" outlineLevel="1" collapsed="false">
      <c r="A41" s="3" t="s">
        <v>1603</v>
      </c>
      <c r="C41" s="88" t="n">
        <f aca="false">INDEX(損益!$D$24:$G$24,1,輸入與假設!$C$205)</f>
        <v>3.15106266878431</v>
      </c>
      <c r="I41" s="6" t="s">
        <v>1604</v>
      </c>
    </row>
    <row r="42" customFormat="false" ht="15" hidden="false" customHeight="false" outlineLevel="1" collapsed="false">
      <c r="A42" s="3" t="s">
        <v>1605</v>
      </c>
      <c r="C42" s="88" t="n">
        <f aca="false">1/(1+輸入與假設!$C$190)^(輸入與假設!$C$205-輸入與假設!$C$225)</f>
        <v>0.813684706803842</v>
      </c>
      <c r="I42" s="6" t="s">
        <v>1606</v>
      </c>
    </row>
    <row r="43" customFormat="false" ht="15" hidden="false" customHeight="false" outlineLevel="1" collapsed="false">
      <c r="A43" s="4" t="s">
        <v>1607</v>
      </c>
      <c r="C43" s="43" t="n">
        <f aca="false">MAX(0,(C39-C40)/C41)*C42</f>
        <v>188.952492988364</v>
      </c>
      <c r="I43" s="6" t="s">
        <v>1608</v>
      </c>
    </row>
    <row r="44" customFormat="false" ht="15" hidden="false" customHeight="false" outlineLevel="1" collapsed="false">
      <c r="A44" s="3" t="s">
        <v>1609</v>
      </c>
      <c r="C44" s="10" t="n">
        <f aca="false">INDEX(輸入與假設!$D$83:$G$83,1,輸入與假設!$C$205)</f>
        <v>30.3062781426461</v>
      </c>
      <c r="I44" s="11" t="s">
        <v>1610</v>
      </c>
    </row>
    <row r="45" customFormat="false" ht="15" hidden="false" customHeight="false" outlineLevel="1" collapsed="false">
      <c r="A45" s="3" t="s">
        <v>1611</v>
      </c>
      <c r="C45" s="52" t="n">
        <f aca="false">C38-C44</f>
        <v>63.8523864542301</v>
      </c>
      <c r="I45" s="6" t="s">
        <v>1612</v>
      </c>
    </row>
    <row r="47" customFormat="false" ht="15" hidden="false" customHeight="false" outlineLevel="0" collapsed="false">
      <c r="A47" s="46" t="s">
        <v>1613</v>
      </c>
      <c r="B47" s="8"/>
      <c r="C47" s="8"/>
      <c r="D47" s="8"/>
      <c r="E47" s="8"/>
      <c r="F47" s="8"/>
      <c r="G47" s="8"/>
      <c r="H47" s="8"/>
    </row>
    <row r="48" customFormat="false" ht="15" hidden="false" customHeight="false" outlineLevel="1" collapsed="false">
      <c r="A48" s="4" t="s">
        <v>1614</v>
      </c>
      <c r="C48" s="12" t="n">
        <f aca="false">C26*(1+輸入與假設!$C$190)^輸入與假設!$C$221</f>
        <v>66.6246868165494</v>
      </c>
      <c r="I48" s="6" t="s">
        <v>1615</v>
      </c>
    </row>
    <row r="49" customFormat="false" ht="15" hidden="false" customHeight="false" outlineLevel="1" collapsed="false">
      <c r="A49" s="4" t="s">
        <v>1616</v>
      </c>
      <c r="C49" s="12" t="n">
        <f aca="false">C48*IF(C30=1,0,輸入與假設!$C$206)</f>
        <v>29.9811090674472</v>
      </c>
    </row>
    <row r="50" customFormat="false" ht="15" hidden="false" customHeight="false" outlineLevel="1" collapsed="false">
      <c r="A50" s="4" t="s">
        <v>1617</v>
      </c>
      <c r="C50" s="12" t="n">
        <f aca="false">C43*IF(C30=1,1,1-輸入與假設!$C$206)</f>
        <v>103.9238711436</v>
      </c>
    </row>
    <row r="51" customFormat="false" ht="15" hidden="false" customHeight="false" outlineLevel="1" collapsed="false">
      <c r="A51" s="2" t="s">
        <v>1613</v>
      </c>
      <c r="C51" s="89" t="n">
        <f aca="false">SUM(C49:C50)</f>
        <v>133.904980211047</v>
      </c>
      <c r="I51" s="6" t="s">
        <v>1618</v>
      </c>
    </row>
    <row r="52" customFormat="false" ht="15" hidden="false" customHeight="false" outlineLevel="1" collapsed="false">
      <c r="A52" s="3" t="s">
        <v>1619</v>
      </c>
      <c r="C52" s="12" t="n">
        <f aca="false">輸入與假設!$C$175</f>
        <v>144.77</v>
      </c>
    </row>
    <row r="53" customFormat="false" ht="15" hidden="false" customHeight="false" outlineLevel="1" collapsed="false">
      <c r="A53" s="3" t="s">
        <v>1620</v>
      </c>
      <c r="C53" s="29" t="n">
        <f aca="false">C51/C52-1</f>
        <v>-0.0750502161287052</v>
      </c>
    </row>
    <row r="55" customFormat="false" ht="15" hidden="false" customHeight="false" outlineLevel="0" collapsed="false">
      <c r="A55" s="46" t="s">
        <v>1621</v>
      </c>
      <c r="B55" s="8"/>
      <c r="C55" s="8"/>
      <c r="D55" s="8"/>
      <c r="E55" s="8"/>
      <c r="F55" s="8"/>
      <c r="G55" s="8"/>
      <c r="H55" s="8"/>
    </row>
    <row r="56" customFormat="false" ht="15" hidden="false" customHeight="false" outlineLevel="1" collapsed="false">
      <c r="A56" s="3" t="s">
        <v>1622</v>
      </c>
      <c r="C56" s="90" t="n">
        <f aca="false">SUMPRODUCT(資產負債_既有債務!$D$73:$D$73*資產負債_既有債務!$G$73:$G$73)</f>
        <v>0.0312382856428839</v>
      </c>
      <c r="I56" s="6" t="s">
        <v>1623</v>
      </c>
    </row>
    <row r="57" customFormat="false" ht="15" hidden="false" customHeight="false" outlineLevel="1" collapsed="false">
      <c r="A57" s="3" t="s">
        <v>1624</v>
      </c>
      <c r="C57" s="90" t="n">
        <f aca="false">輸入與假設!$C$176+C56</f>
        <v>3.08897428564288</v>
      </c>
    </row>
    <row r="58" customFormat="false" ht="15" hidden="false" customHeight="false" outlineLevel="1" collapsed="false">
      <c r="A58" s="3" t="s">
        <v>1625</v>
      </c>
      <c r="C58" s="10" t="n">
        <f aca="false">輸入與假設!$C$177+SUMPRODUCT(資產負債_既有債務!$C$73:$C$73*(1-資產負債_既有債務!$G$73:$G$73))+輸入與假設!$C$179</f>
        <v>88.827</v>
      </c>
      <c r="I58" s="6" t="s">
        <v>1626</v>
      </c>
    </row>
    <row r="59" customFormat="false" ht="15" hidden="false" customHeight="false" outlineLevel="1" collapsed="false">
      <c r="A59" s="3" t="s">
        <v>1627</v>
      </c>
      <c r="C59" s="88" t="n">
        <f aca="false">C57+各期收支!G89</f>
        <v>3.08897428564288</v>
      </c>
    </row>
    <row r="60" customFormat="false" ht="15" hidden="false" customHeight="false" outlineLevel="1" collapsed="false">
      <c r="A60" s="3" t="s">
        <v>1628</v>
      </c>
      <c r="C60" s="88" t="n">
        <f aca="false">IF(OR((C23+C28)&lt;=0,C58&lt;=0),0,(LN((C23+C28)/C58)+(輸入與假設!$C$181+輸入與假設!$C$214^2/2)*輸入與假設!$C$215)/(輸入與假設!$C$214*SQRT(輸入與假設!$C$215)))</f>
        <v>1.80071841449383</v>
      </c>
    </row>
    <row r="61" customFormat="false" ht="15" hidden="false" customHeight="false" outlineLevel="1" collapsed="false">
      <c r="A61" s="3" t="s">
        <v>1629</v>
      </c>
      <c r="C61" s="12" t="n">
        <f aca="false">IF(C30=1,0,IF(輸入與假設!$C$213=2,IF((C23+C28)&lt;=0,0,IF(C58&lt;=0,(C23+C28),(C23+C28)*NORMSDIST(C60)-C58*EXP(-輸入與假設!$C$181*輸入與假設!$C$215)*NORMSDIST(C60-輸入與假設!$C$214*SQRT(輸入與假設!$C$215)))/C59),MAX(0,(C23-C58+C28)/C59)))</f>
        <v>59.2198452618111</v>
      </c>
      <c r="I61" s="6" t="s">
        <v>1630</v>
      </c>
    </row>
    <row r="62" customFormat="false" ht="15" hidden="false" customHeight="false" outlineLevel="1" collapsed="false">
      <c r="A62" s="3" t="s">
        <v>1631</v>
      </c>
      <c r="C62" s="10" t="n">
        <f aca="false">INDEX(各期收支!$D$94:$G$94,1,輸入與假設!$C$205)-INDEX(各期收支!$D$52:$G$52,1,輸入與假設!$C$205)+SUMPRODUCT(資產負債_既有債務!$C$73:$C$73*(資產負債_既有債務!$F$73:$F$73-資產負債_既有債務!$G$73:$G$73))+輸入與假設!$C$179</f>
        <v>106.580147473604</v>
      </c>
      <c r="I62" s="6" t="s">
        <v>1632</v>
      </c>
    </row>
    <row r="63" customFormat="false" ht="15" hidden="false" customHeight="false" outlineLevel="1" collapsed="false">
      <c r="A63" s="3" t="s">
        <v>1633</v>
      </c>
      <c r="C63" s="88" t="n">
        <f aca="false">C57*(1+輸入與假設!$C$210)^輸入與假設!$C$205+INDEX(各期收支!$D$89:$G$89,1,輸入與假設!$C$205)</f>
        <v>3.15106266878431</v>
      </c>
    </row>
    <row r="64" customFormat="false" ht="15" hidden="false" customHeight="false" outlineLevel="1" collapsed="false">
      <c r="A64" s="3" t="s">
        <v>1634</v>
      </c>
      <c r="C64" s="12" t="n">
        <f aca="false">MAX(0,(C39-C62)/C63)*C42</f>
        <v>188.952492988364</v>
      </c>
    </row>
    <row r="65" customFormat="false" ht="15" hidden="false" customHeight="false" outlineLevel="1" collapsed="false">
      <c r="A65" s="2" t="s">
        <v>1635</v>
      </c>
      <c r="C65" s="85" t="n">
        <f aca="false">C61*(1+輸入與假設!$C$190)^輸入與假設!$C$221*IF(C30=1,0,輸入與假設!$C$206)+C64*IF(C30=1,1,1-輸入與假設!$C$206)</f>
        <v>133.904980211047</v>
      </c>
    </row>
    <row r="66" customFormat="false" ht="15" hidden="false" customHeight="false" outlineLevel="1" collapsed="false">
      <c r="A66" s="2" t="s">
        <v>1636</v>
      </c>
      <c r="C66" s="85" t="n">
        <f aca="false">MIN(輸入與假設!$C$175,C65)</f>
        <v>133.904980211047</v>
      </c>
      <c r="I66" s="6" t="s">
        <v>1637</v>
      </c>
    </row>
    <row r="67" customFormat="false" ht="15" hidden="false" customHeight="false" outlineLevel="1" collapsed="false">
      <c r="A67" s="3" t="s">
        <v>1638</v>
      </c>
      <c r="C67" s="90" t="n">
        <f aca="false">SUMPRODUCT(資產負債_既有債務!$D$73:$D$73*資產負債_既有債務!$H$73:$H$73)</f>
        <v>0.0312382856428839</v>
      </c>
      <c r="I67" s="6" t="s">
        <v>1639</v>
      </c>
    </row>
    <row r="68" customFormat="false" ht="15" hidden="false" customHeight="false" outlineLevel="1" collapsed="false">
      <c r="A68" s="3" t="s">
        <v>1640</v>
      </c>
      <c r="C68" s="10" t="n">
        <f aca="false">SUMPRODUCT(資產負債_既有債務!$C$73:$C$73*(1-資產負債_既有債務!$H$73:$H$73))</f>
        <v>0</v>
      </c>
    </row>
    <row r="69" customFormat="false" ht="15" hidden="false" customHeight="false" outlineLevel="1" collapsed="false">
      <c r="A69" s="2" t="s">
        <v>1641</v>
      </c>
      <c r="C69" s="76" t="n">
        <f aca="false">輸入與假設!$C$176+C67</f>
        <v>3.08897428564288</v>
      </c>
      <c r="I69" s="11" t="s">
        <v>1642</v>
      </c>
    </row>
    <row r="70" customFormat="false" ht="15" hidden="false" customHeight="false" outlineLevel="1" collapsed="false">
      <c r="A70" s="2" t="s">
        <v>1643</v>
      </c>
      <c r="C70" s="53" t="n">
        <f aca="false">輸入與假設!$C$177+C68+輸入與假設!$C$179</f>
        <v>88.827</v>
      </c>
      <c r="I70" s="11" t="s">
        <v>1644</v>
      </c>
    </row>
    <row r="71" customFormat="false" ht="15" hidden="false" customHeight="false" outlineLevel="1" collapsed="false">
      <c r="A71" s="3" t="s">
        <v>1645</v>
      </c>
      <c r="C71" s="10" t="n">
        <f aca="false">SUMPRODUCT(資產負債_既有債務!$C$73:$C$73*(資產負債_既有債務!$F$73:$F$73-資產負債_既有債務!$H$73:$H$73))+輸入與假設!$C$179</f>
        <v>0</v>
      </c>
      <c r="I71" s="6" t="s">
        <v>1646</v>
      </c>
    </row>
    <row r="72" customFormat="false" ht="15" hidden="false" customHeight="false" outlineLevel="1" collapsed="false">
      <c r="A72" s="4" t="s">
        <v>1647</v>
      </c>
      <c r="C72" s="3" t="str">
        <f aca="false">IF(C30=1,"DCF 失效，已以 EV/EBITDA 100% 計。",IF(AND(輸入與假設!$C$213&lt;&gt;2,C87&lt;0),"DCF 為 $0 仍計 "&amp;TEXT(輸入與假設!$C$206,"0%")&amp;" 權重的原因：DCF 沒有失效，而是算出的股權價值為負（每股約 −$"&amp;TEXT(ABS(C87),"0.0")&amp;"），代表自由現金流折現後的企業價值不足以償還淨負債。EV/EBITDA 沒有扣除 GPU 汰換與擴張支出，保留 DCF 權重，是為了讓目標價反映「EBITDA 付不起資本成本」。若不計 DCF，目標價為 $"&amp;TEXT(C43,"0.0")&amp;"（"&amp;CHOOSE(D86+2,"賣出","中立","買進")&amp;"）；"&amp;TEXT(輸入與假設!$C$206,"0%")&amp;"／"&amp;TEXT(1-輸入與假設!$C$206,"0%")&amp;" 為判斷值。",""))</f>
        <v/>
      </c>
      <c r="I72" s="6" t="s">
        <v>1648</v>
      </c>
    </row>
    <row r="74" customFormat="false" ht="15" hidden="false" customHeight="false" outlineLevel="0" collapsed="false">
      <c r="A74" s="46" t="s">
        <v>1649</v>
      </c>
      <c r="B74" s="8"/>
      <c r="C74" s="8"/>
      <c r="D74" s="8"/>
      <c r="E74" s="8"/>
      <c r="F74" s="8"/>
      <c r="G74" s="8"/>
      <c r="H74" s="8"/>
    </row>
    <row r="75" customFormat="false" ht="15" hidden="false" customHeight="false" outlineLevel="1" collapsed="false">
      <c r="A75" s="3" t="s">
        <v>1650</v>
      </c>
      <c r="C75" s="12" t="n">
        <f aca="false">C51</f>
        <v>133.904980211047</v>
      </c>
      <c r="I75" s="6" t="str">
        <f aca="false">"評等規則不變：空間 ≥"&amp;IF(ROUND(ABS(輸入與假設!$C$231)*100,4)=INT(ROUND(ABS(輸入與假設!$C$231)*100,4)),TEXT(ROUND(ABS(輸入與假設!$C$231)*100,4),"0"),TEXT(ROUND(ABS(輸入與假設!$C$231)*100,4),"0.0"))&amp;"%"&amp;" 且終值占比 &lt;"&amp;IF(ROUND(ABS(輸入與假設!$C$232)*100,4)=INT(ROUND(ABS(輸入與假設!$C$232)*100,4)),TEXT(ROUND(ABS(輸入與假設!$C$232)*100,4),"0"),TEXT(ROUND(ABS(輸入與假設!$C$232)*100,4),"0.0"))&amp;"%"&amp;"、股權募資 ≤"&amp;IF(輸入與假設!$C$234=INT(輸入與假設!$C$234),TEXT(輸入與假設!$C$234,"0"),TEXT(輸入與假設!$C$234,"0.0"))&amp;" 倍現市值 → 買進；空間 ≤−"&amp;IF(ROUND(ABS(輸入與假設!$C$233)*100,4)=INT(ROUND(ABS(輸入與假設!$C$233)*100,4)),TEXT(ROUND(ABS(輸入與假設!$C$233)*100,4),"0"),TEXT(ROUND(ABS(輸入與假設!$C$233)*100,4),"0.0"))&amp;"%"&amp;"，或股權募資 &gt;"&amp;IF(輸入與假設!$C$234=INT(輸入與假設!$C$234),TEXT(輸入與假設!$C$234,"0"),TEXT(輸入與假設!$C$234,"0.0"))&amp;" 倍且空間 ≤−"&amp;IF(ROUND(ABS(輸入與假設!$C$235)*100,4)=INT(ROUND(ABS(輸入與假設!$C$235)*100,4)),TEXT(ROUND(ABS(輸入與假設!$C$235)*100,4),"0"),TEXT(ROUND(ABS(輸入與假設!$C$235)*100,4),"0.0"))&amp;"%"&amp;" → 賣出；其餘中立"</f>
        <v>評等規則不變：空間 ≥25% 且終值占比 &lt;90%、股權募資 ≤1.5 倍現市值 → 買進；空間 ≤−15%，或股權募資 &gt;1.5 倍且空間 ≤−8% → 賣出；其餘中立</v>
      </c>
    </row>
    <row r="76" customFormat="false" ht="15" hidden="false" customHeight="false" outlineLevel="1" collapsed="false">
      <c r="A76" s="3" t="s">
        <v>1651</v>
      </c>
      <c r="C76" s="13" t="n">
        <f aca="false">C22/MAX(ABS(C23),1)*IF(C23=0,1,SIGN(C23))</f>
        <v>0.806452398487446</v>
      </c>
    </row>
    <row r="77" customFormat="false" ht="15" hidden="false" customHeight="false" outlineLevel="1" collapsed="false">
      <c r="A77" s="3" t="s">
        <v>1652</v>
      </c>
      <c r="C77" s="16" t="n">
        <f aca="false">SUM(各期收支!C84:G84)/(輸入與假設!$C$175*輸入與假設!$C$176)</f>
        <v>0</v>
      </c>
    </row>
    <row r="78" customFormat="false" ht="15" hidden="false" customHeight="false" outlineLevel="1" collapsed="false">
      <c r="A78" s="3" t="s">
        <v>1653</v>
      </c>
      <c r="C78" s="9" t="n">
        <f aca="false">IF(AND((C51/MAX(輸入與假設!$C$175,0.01)-1)&gt;=輸入與假設!$C$231,$C$76&lt;輸入與假設!$C$232,$C$77&lt;=輸入與假設!$C$234),1,IF(OR((C51/MAX(輸入與假設!$C$175,0.01)-1)&lt;=輸入與假設!$C$233,AND($C$77&gt;輸入與假設!$C$234,(C51/MAX(輸入與假設!$C$175,0.01)-1)&lt;=輸入與假設!$C$235)),-1,0))</f>
        <v>0</v>
      </c>
      <c r="D78" s="9" t="str">
        <f aca="false">CHOOSE(C78+2,"賣出","中立","買進")</f>
        <v>中立</v>
      </c>
    </row>
    <row r="79" customFormat="false" ht="15" hidden="false" customHeight="false" outlineLevel="1" collapsed="false">
      <c r="A79" s="3" t="s">
        <v>1654</v>
      </c>
      <c r="C79" s="12" t="n">
        <f aca="false">輸入與假設!$C$175*(1+輸入與假設!$C$233)</f>
        <v>123.0545</v>
      </c>
    </row>
    <row r="80" customFormat="false" ht="15" hidden="false" customHeight="false" outlineLevel="1" collapsed="false">
      <c r="A80" s="3" t="s">
        <v>1655</v>
      </c>
      <c r="C80" s="12" t="n">
        <f aca="false">輸入與假設!D264</f>
        <v>73.988811619981</v>
      </c>
      <c r="D80" s="9" t="n">
        <f aca="false">輸入與假設!E264</f>
        <v>-1</v>
      </c>
      <c r="E80" s="12" t="n">
        <f aca="false">C80-$C$79</f>
        <v>-49.065688380019</v>
      </c>
      <c r="I80" s="6" t="s">
        <v>1656</v>
      </c>
    </row>
    <row r="81" customFormat="false" ht="15" hidden="false" customHeight="false" outlineLevel="1" collapsed="false">
      <c r="A81" s="3" t="s">
        <v>1657</v>
      </c>
      <c r="C81" s="12" t="n">
        <f aca="false">輸入與假設!D265</f>
        <v>133.904980211047</v>
      </c>
      <c r="D81" s="9" t="n">
        <f aca="false">輸入與假設!E265</f>
        <v>0</v>
      </c>
      <c r="E81" s="12" t="n">
        <f aca="false">C81-$C$79</f>
        <v>10.8504802110474</v>
      </c>
    </row>
    <row r="82" customFormat="false" ht="15" hidden="false" customHeight="false" outlineLevel="1" collapsed="false">
      <c r="A82" s="3" t="s">
        <v>1658</v>
      </c>
      <c r="C82" s="12" t="n">
        <f aca="false">輸入與假設!D266</f>
        <v>226.609587065156</v>
      </c>
      <c r="D82" s="9" t="n">
        <f aca="false">輸入與假設!E266</f>
        <v>1</v>
      </c>
      <c r="E82" s="12" t="n">
        <f aca="false">C82-$C$79</f>
        <v>103.555087065156</v>
      </c>
    </row>
    <row r="83" customFormat="false" ht="15" hidden="false" customHeight="false" outlineLevel="1" collapsed="false">
      <c r="A83" s="3" t="s">
        <v>1659</v>
      </c>
      <c r="C83" s="12" t="n">
        <f aca="false">MIN(C80,C82)</f>
        <v>73.988811619981</v>
      </c>
      <c r="D83" s="12" t="n">
        <f aca="false">MAX(C80,C82)</f>
        <v>226.609587065156</v>
      </c>
    </row>
    <row r="84" customFormat="false" ht="15" hidden="false" customHeight="false" outlineLevel="1" collapsed="false">
      <c r="A84" s="3" t="s">
        <v>1660</v>
      </c>
      <c r="C84" s="16" t="n">
        <f aca="false">MIN(輸入與假設!$C$208,輸入與假設!$C$209)</f>
        <v>5</v>
      </c>
      <c r="D84" s="16" t="n">
        <f aca="false">MAX(輸入與假設!$C$208,輸入與假設!$C$209)</f>
        <v>6</v>
      </c>
    </row>
    <row r="85" customFormat="false" ht="15" hidden="false" customHeight="false" outlineLevel="1" collapsed="false">
      <c r="A85" s="3" t="s">
        <v>1661</v>
      </c>
      <c r="C85" s="12" t="n">
        <f aca="false">MIN(C48*IF(C30=1,0,輸入與假設!$C$206)+MAX(0,(C45*C84+C44*輸入與假設!$C$204-C40)/C41)*C42*IF(C30=1,1,1-輸入與假設!$C$206),C48*IF(C30=1,0,輸入與假設!$C$206)+MAX(0,(C45*D84+C44*輸入與假設!$C$204-C40)/C41)*C42*IF(C30=1,1,1-輸入與假設!$C$206))</f>
        <v>124.836407574906</v>
      </c>
      <c r="D85" s="12" t="n">
        <f aca="false">MAX(C48*IF(C30=1,0,輸入與假設!$C$206)+MAX(0,(C45*C84+C44*輸入與假設!$C$204-C40)/C41)*C42*IF(C30=1,1,1-輸入與假設!$C$206),C48*IF(C30=1,0,輸入與假設!$C$206)+MAX(0,(C45*D84+C44*輸入與假設!$C$204-C40)/C41)*C42*IF(C30=1,1,1-輸入與假設!$C$206))</f>
        <v>133.904980211047</v>
      </c>
      <c r="I85" s="6" t="s">
        <v>1662</v>
      </c>
    </row>
    <row r="86" customFormat="false" ht="15" hidden="false" customHeight="false" outlineLevel="1" collapsed="false">
      <c r="A86" s="3" t="s">
        <v>1663</v>
      </c>
      <c r="C86" s="12" t="n">
        <f aca="false">C43</f>
        <v>188.952492988364</v>
      </c>
      <c r="D86" s="9" t="n">
        <f aca="false">IF(AND((C43/MAX(輸入與假設!$C$175,0.01)-1)&gt;=輸入與假設!$C$231,$C$76&lt;輸入與假設!$C$232,$C$77&lt;=輸入與假設!$C$234),1,IF(OR((C43/MAX(輸入與假設!$C$175,0.01)-1)&lt;=輸入與假設!$C$233,AND($C$77&gt;輸入與假設!$C$234,(C43/MAX(輸入與假設!$C$175,0.01)-1)&lt;=輸入與假設!$C$235)),-1,0))</f>
        <v>1</v>
      </c>
      <c r="E86" s="12" t="str">
        <f aca="false">CHOOSE(D86+2,"賣出","中立","買進")</f>
        <v>買進</v>
      </c>
    </row>
    <row r="87" customFormat="false" ht="15" hidden="false" customHeight="false" outlineLevel="1" collapsed="false">
      <c r="A87" s="3" t="s">
        <v>1664</v>
      </c>
      <c r="C87" s="12" t="n">
        <f aca="false">(C25+C28)/C29</f>
        <v>59.2198452618111</v>
      </c>
    </row>
    <row r="88" customFormat="false" ht="15" hidden="false" customHeight="false" outlineLevel="1" collapsed="false">
      <c r="A88" s="3" t="s">
        <v>1665</v>
      </c>
      <c r="C88" s="3" t="str">
        <f aca="false">"目標價 $"&amp;TEXT(C51,"0.0")&amp;"（情境區間 $"&amp;TEXT(C83,"0.0")&amp;"–$"&amp;TEXT(D83,"0.0")&amp;"）"</f>
        <v>目標價 $133.9（情境區間 $74.0–$226.6）</v>
      </c>
    </row>
    <row r="89" customFormat="false" ht="15" hidden="false" customHeight="false" outlineLevel="1" collapsed="false">
      <c r="A89" s="3" t="s">
        <v>1666</v>
      </c>
      <c r="C89" s="3" t="str">
        <f aca="false">"方法區間（目前情境，"&amp;IF(C84=INT(C84),TEXT(C84,"0"),TEXT(C84,"0.0"))&amp;"–"&amp;IF(D84=INT(D84),TEXT(D84,"0"),TEXT(D84,"0.0"))&amp;"x）"</f>
        <v>方法區間（目前情境，5–6x）</v>
      </c>
    </row>
    <row r="90" customFormat="false" ht="15" hidden="false" customHeight="false" outlineLevel="1" collapsed="false">
      <c r="A90" s="3" t="s">
        <v>1667</v>
      </c>
      <c r="C90" s="3" t="str">
        <f aca="false">IF(ABS(輸入與假設!$C$196-D84)&lt;0.000000001,"目前點位位於方法區間上緣（"&amp;IF(D84=INT(D84),TEXT(D84,"0"),TEXT(D84,"0.0"))&amp;"x 為穩態倍數上緣）",IF(ABS(輸入與假設!$C$196-C84)&lt;0.000000001,"目前點位位於方法區間下緣（"&amp;IF(C84=INT(C84),TEXT(C84,"0"),TEXT(C84,"0.0"))&amp;"x）","目前點位"&amp;IF(AND(輸入與假設!$C$196&gt;C84,輸入與假設!$C$196&lt;D84),"位於方法區間內",IF(輸入與假設!$C$196&gt;D84,"高於方法區間上緣","低於方法區間下緣"))&amp;"（目前倍數 "&amp;IF(輸入與假設!$C$196=INT(輸入與假設!$C$196),TEXT(輸入與假設!$C$196,"0"),TEXT(輸入與假設!$C$196,"0.0"))&amp;"x）"))</f>
        <v>目前點位位於方法區間上緣（6x 為穩態倍數上緣）</v>
      </c>
    </row>
    <row r="91" customFormat="false" ht="15" hidden="false" customHeight="false" outlineLevel="1" collapsed="false">
      <c r="A91" s="2" t="s">
        <v>1668</v>
      </c>
      <c r="C91" s="3" t="str">
        <f aca="false">IF(D83&lt;輸入與假設!$C$175,"情境區間上緣 $"&amp;TEXT(D83,"0.0")&amp;" 低於現價 $"&amp;TEXT(輸入與假設!$C$175,"0.00")&amp;IF((D80&lt;&gt;-1)+(D81&lt;&gt;-1)+(D82&lt;&gt;-1)&gt;0,"，但"&amp;SUBSTITUTE(TRIM(IF(D80&lt;&gt;-1,"保守","")&amp;" "&amp;IF(D81&lt;&gt;-1,"基準","")&amp;" "&amp;IF(D82&lt;&gt;-1,"積極",""))," ","、")&amp;"情境未達賣出門檻 $"&amp;TEXT($C$79,"0.0"),"：賣出在三個擴張情境下都成立"),"情境區間上緣 $"&amp;TEXT(D83,"0.0")&amp;" 不低於現價 $"&amp;TEXT(輸入與假設!$C$175,"0.00")&amp;"：賣出並非在三個擴張情境下都成立")&amp;"。"&amp;IF(ABS(E80)&lt;輸入與假設!$C$236*輸入與假設!$C$175,"保守情境 $"&amp;TEXT(C80,"0.0")&amp;"，"&amp;IF(E80&lt;0,"距賣出門檻","高於賣出門檻")&amp;" $"&amp;TEXT($C$79,"0.0")&amp;" 僅 $"&amp;TEXT(ABS(E80),"0.0")&amp;"。","")&amp;IF(ABS(E81)&lt;輸入與假設!$C$236*輸入與假設!$C$175,"基準情境 $"&amp;TEXT(C81,"0.0")&amp;"，"&amp;IF(E81&lt;0,"距賣出門檻","高於賣出門檻")&amp;" $"&amp;TEXT($C$79,"0.0")&amp;" 僅 $"&amp;TEXT(ABS(E81),"0.0")&amp;"。","")&amp;IF(ABS(E82)&lt;輸入與假設!$C$236*輸入與假設!$C$175,"積極情境 $"&amp;TEXT(C82,"0.0")&amp;"，"&amp;IF(E82&lt;0,"距賣出門檻","高於賣出門檻")&amp;" $"&amp;TEXT($C$79,"0.0")&amp;" 僅 $"&amp;TEXT(ABS(E82),"0.0")&amp;"。","")</f>
        <v>情境區間上緣 $226.6 不低於現價 $144.77：賣出並非在三個擴張情境下都成立。</v>
      </c>
    </row>
    <row r="93" customFormat="false" ht="15" hidden="false" customHeight="false" outlineLevel="0" collapsed="false">
      <c r="A93" s="46" t="s">
        <v>1669</v>
      </c>
      <c r="B93" s="8"/>
      <c r="C93" s="8"/>
      <c r="D93" s="8"/>
      <c r="E93" s="8"/>
      <c r="F93" s="8"/>
      <c r="G93" s="8"/>
      <c r="H93" s="8"/>
    </row>
    <row r="94" customFormat="false" ht="17.15" hidden="false" customHeight="false" outlineLevel="1" collapsed="false">
      <c r="A94" s="15" t="s">
        <v>1670</v>
      </c>
      <c r="B94" s="14" t="s">
        <v>1671</v>
      </c>
      <c r="C94" s="15" t="s">
        <v>56</v>
      </c>
      <c r="D94" s="15" t="s">
        <v>57</v>
      </c>
      <c r="E94" s="15" t="s">
        <v>147</v>
      </c>
      <c r="F94" s="15" t="s">
        <v>148</v>
      </c>
      <c r="I94" s="11" t="s">
        <v>1672</v>
      </c>
    </row>
    <row r="95" customFormat="false" ht="15" hidden="false" customHeight="false" outlineLevel="1" collapsed="false">
      <c r="A95" s="3" t="s">
        <v>1673</v>
      </c>
      <c r="B95" s="91" t="n">
        <v>3.4</v>
      </c>
      <c r="C95" s="12" t="n">
        <f aca="false">MAX(0,((INDEX(損益!$D$22:$G$22,1,1)-INDEX(輸入與假設!$D$83:$G$83,1,1))*$B95+INDEX(輸入與假設!$D$83:$G$83,1,1)*輸入與假設!$C$204-(INDEX(各期收支!$D$94:$G$94,1,1)-INDEX(各期收支!$D$52:$G$52,1,1)+評價_DCF與目標價!$C$71))/INDEX(損益!$D$24:$G$24,1,1))/(1+輸入與假設!$C$190)^(1-輸入與假設!$C$225)</f>
        <v>130.013521204517</v>
      </c>
      <c r="D95" s="12" t="n">
        <f aca="false">MAX(0,((INDEX(損益!$D$22:$G$22,1,2)-INDEX(輸入與假設!$D$83:$G$83,1,2))*$B95+INDEX(輸入與假設!$D$83:$G$83,1,2)*輸入與假設!$C$204-(INDEX(各期收支!$D$94:$G$94,1,2)-INDEX(各期收支!$D$52:$G$52,1,2)+評價_DCF與目標價!$C$71))/INDEX(損益!$D$24:$G$24,1,2))/(1+輸入與假設!$C$190)^(2-輸入與假設!$C$225)</f>
        <v>146.08287689024</v>
      </c>
      <c r="E95" s="12" t="n">
        <f aca="false">MAX(0,((INDEX(損益!$D$22:$G$22,1,3)-INDEX(輸入與假設!$D$83:$G$83,1,3))*$B95+INDEX(輸入與假設!$D$83:$G$83,1,3)*輸入與假設!$C$204-(INDEX(各期收支!$D$94:$G$94,1,3)-INDEX(各期收支!$D$52:$G$52,1,3)+評價_DCF與目標價!$C$71))/INDEX(損益!$D$24:$G$24,1,3))/(1+輸入與假設!$C$190)^(3-輸入與假設!$C$225)</f>
        <v>142.056569485982</v>
      </c>
      <c r="F95" s="12" t="n">
        <f aca="false">MAX(0,((INDEX(損益!$D$22:$G$22,1,4)-INDEX(輸入與假設!$D$83:$G$83,1,4))*$B95+INDEX(輸入與假設!$D$83:$G$83,1,4)*輸入與假設!$C$204-(INDEX(各期收支!$D$94:$G$94,1,4)-INDEX(各期收支!$D$52:$G$52,1,4)+評價_DCF與目標價!$C$71))/INDEX(損益!$D$24:$G$24,1,4))/(1+輸入與假設!$C$190)^(4-輸入與假設!$C$225)</f>
        <v>130.068163748205</v>
      </c>
    </row>
    <row r="96" customFormat="false" ht="15" hidden="false" customHeight="false" outlineLevel="1" collapsed="false">
      <c r="A96" s="3" t="s">
        <v>1674</v>
      </c>
      <c r="B96" s="91" t="n">
        <v>4.5</v>
      </c>
      <c r="C96" s="12" t="n">
        <f aca="false">MAX(0,((INDEX(損益!$D$22:$G$22,1,1)-INDEX(輸入與假設!$D$83:$G$83,1,1))*$B96+INDEX(輸入與假設!$D$83:$G$83,1,1)*輸入與假設!$C$204-(INDEX(各期收支!$D$94:$G$94,1,1)-INDEX(各期收支!$D$52:$G$52,1,1)+評價_DCF與目標價!$C$71))/INDEX(損益!$D$24:$G$24,1,1))/(1+輸入與假設!$C$190)^(1-輸入與假設!$C$225)</f>
        <v>144.205834660569</v>
      </c>
      <c r="D96" s="12" t="n">
        <f aca="false">MAX(0,((INDEX(損益!$D$22:$G$22,1,2)-INDEX(輸入與假設!$D$83:$G$83,1,2))*$B96+INDEX(輸入與假設!$D$83:$G$83,1,2)*輸入與假設!$C$204-(INDEX(各期收支!$D$94:$G$94,1,2)-INDEX(各期收支!$D$52:$G$52,1,2)+評價_DCF與目標價!$C$71))/INDEX(損益!$D$24:$G$24,1,2))/(1+輸入與假設!$C$190)^(2-輸入與假設!$C$225)</f>
        <v>164.220022162523</v>
      </c>
      <c r="E96" s="12" t="n">
        <f aca="false">MAX(0,((INDEX(損益!$D$22:$G$22,1,3)-INDEX(輸入與假設!$D$83:$G$83,1,3))*$B96+INDEX(輸入與假設!$D$83:$G$83,1,3)*輸入與假設!$C$204-(INDEX(各期收支!$D$94:$G$94,1,3)-INDEX(各期收支!$D$52:$G$52,1,3)+評價_DCF與目標價!$C$71))/INDEX(損益!$D$24:$G$24,1,3))/(1+輸入與假設!$C$190)^(3-輸入與假設!$C$225)</f>
        <v>159.306390006352</v>
      </c>
      <c r="F96" s="12" t="n">
        <f aca="false">MAX(0,((INDEX(損益!$D$22:$G$22,1,4)-INDEX(輸入與假設!$D$83:$G$83,1,4))*$B96+INDEX(輸入與假設!$D$83:$G$83,1,4)*輸入與假設!$C$204-(INDEX(各期收支!$D$94:$G$94,1,4)-INDEX(各期收支!$D$52:$G$52,1,4)+評價_DCF與目標價!$C$71))/INDEX(損益!$D$24:$G$24,1,4))/(1+輸入與假設!$C$190)^(4-輸入與假設!$C$225)</f>
        <v>144.480904109426</v>
      </c>
    </row>
    <row r="97" customFormat="false" ht="15" hidden="false" customHeight="false" outlineLevel="1" collapsed="false">
      <c r="A97" s="3" t="s">
        <v>1675</v>
      </c>
      <c r="B97" s="91" t="n">
        <v>5</v>
      </c>
      <c r="C97" s="12" t="n">
        <f aca="false">MAX(0,((INDEX(損益!$D$22:$G$22,1,1)-INDEX(輸入與假設!$D$83:$G$83,1,1))*$B97+INDEX(輸入與假設!$D$83:$G$83,1,1)*輸入與假設!$C$204-(INDEX(各期收支!$D$94:$G$94,1,1)-INDEX(各期收支!$D$52:$G$52,1,1)+評價_DCF與目標價!$C$71))/INDEX(損益!$D$24:$G$24,1,1))/(1+輸入與假設!$C$190)^(1-輸入與假設!$C$225)</f>
        <v>150.656886231501</v>
      </c>
      <c r="D97" s="12" t="n">
        <f aca="false">MAX(0,((INDEX(損益!$D$22:$G$22,1,2)-INDEX(輸入與假設!$D$83:$G$83,1,2))*$B97+INDEX(輸入與假設!$D$83:$G$83,1,2)*輸入與假設!$C$204-(INDEX(各期收支!$D$94:$G$94,1,2)-INDEX(各期收支!$D$52:$G$52,1,2)+評價_DCF與目標價!$C$71))/INDEX(損益!$D$24:$G$24,1,2))/(1+輸入與假設!$C$190)^(2-輸入與假設!$C$225)</f>
        <v>172.46417910447</v>
      </c>
      <c r="E97" s="12" t="n">
        <f aca="false">MAX(0,((INDEX(損益!$D$22:$G$22,1,3)-INDEX(輸入與假設!$D$83:$G$83,1,3))*$B97+INDEX(輸入與假設!$D$83:$G$83,1,3)*輸入與假設!$C$204-(INDEX(各期收支!$D$94:$G$94,1,3)-INDEX(各期收支!$D$52:$G$52,1,3)+評價_DCF與目標價!$C$71))/INDEX(損益!$D$24:$G$24,1,3))/(1+輸入與假設!$C$190)^(3-輸入與假設!$C$225)</f>
        <v>167.147217515611</v>
      </c>
      <c r="F97" s="12" t="n">
        <f aca="false">MAX(0,((INDEX(損益!$D$22:$G$22,1,4)-INDEX(輸入與假設!$D$83:$G$83,1,4))*$B97+INDEX(輸入與假設!$D$83:$G$83,1,4)*輸入與假設!$C$204-(INDEX(各期收支!$D$94:$G$94,1,4)-INDEX(各期收支!$D$52:$G$52,1,4)+評價_DCF與目標價!$C$71))/INDEX(損益!$D$24:$G$24,1,4))/(1+輸入與假設!$C$190)^(4-輸入與假設!$C$225)</f>
        <v>151.032149728163</v>
      </c>
    </row>
    <row r="98" customFormat="false" ht="15" hidden="false" customHeight="false" outlineLevel="1" collapsed="false">
      <c r="A98" s="3" t="s">
        <v>1676</v>
      </c>
      <c r="B98" s="91" t="n">
        <v>6</v>
      </c>
      <c r="C98" s="12" t="n">
        <f aca="false">MAX(0,((INDEX(損益!$D$22:$G$22,1,1)-INDEX(輸入與假設!$D$83:$G$83,1,1))*$B98+INDEX(輸入與假設!$D$83:$G$83,1,1)*輸入與假設!$C$204-(INDEX(各期收支!$D$94:$G$94,1,1)-INDEX(各期收支!$D$52:$G$52,1,1)+評價_DCF與目標價!$C$71))/INDEX(損益!$D$24:$G$24,1,1))/(1+輸入與假設!$C$190)^(1-輸入與假設!$C$225)</f>
        <v>163.558989373366</v>
      </c>
      <c r="D98" s="12" t="n">
        <f aca="false">MAX(0,((INDEX(損益!$D$22:$G$22,1,2)-INDEX(輸入與假設!$D$83:$G$83,1,2))*$B98+INDEX(輸入與假設!$D$83:$G$83,1,2)*輸入與假設!$C$204-(INDEX(各期收支!$D$94:$G$94,1,2)-INDEX(各期收支!$D$52:$G$52,1,2)+評價_DCF與目標價!$C$71))/INDEX(損益!$D$24:$G$24,1,2))/(1+輸入與假設!$C$190)^(2-輸入與假設!$C$225)</f>
        <v>188.952492988364</v>
      </c>
      <c r="E98" s="12" t="n">
        <f aca="false">MAX(0,((INDEX(損益!$D$22:$G$22,1,3)-INDEX(輸入與假設!$D$83:$G$83,1,3))*$B98+INDEX(輸入與假設!$D$83:$G$83,1,3)*輸入與假設!$C$204-(INDEX(各期收支!$D$94:$G$94,1,3)-INDEX(各期收支!$D$52:$G$52,1,3)+評價_DCF與目標價!$C$71))/INDEX(損益!$D$24:$G$24,1,3))/(1+輸入與假設!$C$190)^(3-輸入與假設!$C$225)</f>
        <v>182.828872534128</v>
      </c>
      <c r="F98" s="12" t="n">
        <f aca="false">MAX(0,((INDEX(損益!$D$22:$G$22,1,4)-INDEX(輸入與假設!$D$83:$G$83,1,4))*$B98+INDEX(輸入與假設!$D$83:$G$83,1,4)*輸入與假設!$C$204-(INDEX(各期收支!$D$94:$G$94,1,4)-INDEX(各期收支!$D$52:$G$52,1,4)+評價_DCF與目標價!$C$71))/INDEX(損益!$D$24:$G$24,1,4))/(1+輸入與假設!$C$190)^(4-輸入與假設!$C$225)</f>
        <v>164.134640965637</v>
      </c>
    </row>
    <row r="99" customFormat="false" ht="15" hidden="false" customHeight="false" outlineLevel="1" collapsed="false">
      <c r="A99" s="3" t="s">
        <v>1677</v>
      </c>
      <c r="B99" s="91" t="n">
        <v>7</v>
      </c>
      <c r="C99" s="12" t="n">
        <f aca="false">MAX(0,((INDEX(損益!$D$22:$G$22,1,1)-INDEX(輸入與假設!$D$83:$G$83,1,1))*$B99+INDEX(輸入與假設!$D$83:$G$83,1,1)*輸入與假設!$C$204-(INDEX(各期收支!$D$94:$G$94,1,1)-INDEX(各期收支!$D$52:$G$52,1,1)+評價_DCF與目標價!$C$71))/INDEX(損益!$D$24:$G$24,1,1))/(1+輸入與假設!$C$190)^(1-輸入與假設!$C$225)</f>
        <v>176.46109251523</v>
      </c>
      <c r="D99" s="12" t="n">
        <f aca="false">MAX(0,((INDEX(損益!$D$22:$G$22,1,2)-INDEX(輸入與假設!$D$83:$G$83,1,2))*$B99+INDEX(輸入與假設!$D$83:$G$83,1,2)*輸入與假設!$C$204-(INDEX(各期收支!$D$94:$G$94,1,2)-INDEX(各期收支!$D$52:$G$52,1,2)+評價_DCF與目標價!$C$71))/INDEX(損益!$D$24:$G$24,1,2))/(1+輸入與假設!$C$190)^(2-輸入與假設!$C$225)</f>
        <v>205.440806872258</v>
      </c>
      <c r="E99" s="12" t="n">
        <f aca="false">MAX(0,((INDEX(損益!$D$22:$G$22,1,3)-INDEX(輸入與假設!$D$83:$G$83,1,3))*$B99+INDEX(輸入與假設!$D$83:$G$83,1,3)*輸入與假設!$C$204-(INDEX(各期收支!$D$94:$G$94,1,3)-INDEX(各期收支!$D$52:$G$52,1,3)+評價_DCF與目標價!$C$71))/INDEX(損益!$D$24:$G$24,1,3))/(1+輸入與假設!$C$190)^(3-輸入與假設!$C$225)</f>
        <v>198.510527552646</v>
      </c>
      <c r="F99" s="12" t="n">
        <f aca="false">MAX(0,((INDEX(損益!$D$22:$G$22,1,4)-INDEX(輸入與假設!$D$83:$G$83,1,4))*$B99+INDEX(輸入與假設!$D$83:$G$83,1,4)*輸入與假設!$C$204-(INDEX(各期收支!$D$94:$G$94,1,4)-INDEX(各期收支!$D$52:$G$52,1,4)+評價_DCF與目標價!$C$71))/INDEX(損益!$D$24:$G$24,1,4))/(1+輸入與假設!$C$190)^(4-輸入與假設!$C$225)</f>
        <v>177.237132203111</v>
      </c>
    </row>
    <row r="100" customFormat="false" ht="15" hidden="false" customHeight="false" outlineLevel="1" collapsed="false"/>
    <row r="101" customFormat="false" ht="17.15" hidden="false" customHeight="false" outlineLevel="1" collapsed="false">
      <c r="A101" s="15" t="s">
        <v>1678</v>
      </c>
      <c r="B101" s="14" t="s">
        <v>1671</v>
      </c>
      <c r="C101" s="15" t="s">
        <v>56</v>
      </c>
      <c r="D101" s="15" t="s">
        <v>57</v>
      </c>
      <c r="E101" s="15" t="s">
        <v>147</v>
      </c>
      <c r="F101" s="15" t="s">
        <v>148</v>
      </c>
    </row>
    <row r="102" customFormat="false" ht="15" hidden="false" customHeight="false" outlineLevel="1" collapsed="false">
      <c r="A102" s="3" t="s">
        <v>1679</v>
      </c>
      <c r="B102" s="91" t="n">
        <v>3.4</v>
      </c>
      <c r="C102" s="12" t="n">
        <f aca="false">C48*IF(C30=1,0,輸入與假設!$C$206)+C95*IF(C30=1,1,1-輸入與假設!$C$206)</f>
        <v>101.488545729932</v>
      </c>
      <c r="D102" s="12" t="n">
        <f aca="false">C48*IF(C30=1,0,輸入與假設!$C$206)+D95*IF(C30=1,1,1-輸入與假設!$C$206)</f>
        <v>110.326691357079</v>
      </c>
      <c r="E102" s="12" t="n">
        <f aca="false">C48*IF(C30=1,0,輸入與假設!$C$206)+E95*IF(C30=1,1,1-輸入與假設!$C$206)</f>
        <v>108.112222284737</v>
      </c>
      <c r="F102" s="12" t="n">
        <f aca="false">C48*IF(C30=1,0,輸入與假設!$C$206)+F95*IF(C30=1,1,1-輸入與假設!$C$206)</f>
        <v>101.51859912896</v>
      </c>
    </row>
    <row r="103" customFormat="false" ht="15" hidden="false" customHeight="false" outlineLevel="1" collapsed="false">
      <c r="A103" s="3" t="s">
        <v>1680</v>
      </c>
      <c r="B103" s="91" t="n">
        <v>4.5</v>
      </c>
      <c r="C103" s="12" t="n">
        <f aca="false">C48*IF(C30=1,0,輸入與假設!$C$206)+C96*IF(C30=1,1,1-輸入與假設!$C$206)</f>
        <v>109.29431813076</v>
      </c>
      <c r="D103" s="12" t="n">
        <f aca="false">C48*IF(C30=1,0,輸入與假設!$C$206)+D96*IF(C30=1,1,1-輸入與假設!$C$206)</f>
        <v>120.302121256835</v>
      </c>
      <c r="E103" s="12" t="n">
        <f aca="false">C48*IF(C30=1,0,輸入與假設!$C$206)+E96*IF(C30=1,1,1-輸入與假設!$C$206)</f>
        <v>117.599623570941</v>
      </c>
      <c r="F103" s="12" t="n">
        <f aca="false">C48*IF(C30=1,0,輸入與假設!$C$206)+F96*IF(C30=1,1,1-輸入與假設!$C$206)</f>
        <v>109.445606327632</v>
      </c>
    </row>
    <row r="104" customFormat="false" ht="15" hidden="false" customHeight="false" outlineLevel="1" collapsed="false">
      <c r="A104" s="3" t="s">
        <v>1681</v>
      </c>
      <c r="B104" s="91" t="n">
        <v>5</v>
      </c>
      <c r="C104" s="12" t="n">
        <f aca="false">C48*IF(C30=1,0,輸入與假設!$C$206)+C97*IF(C30=1,1,1-輸入與假設!$C$206)</f>
        <v>112.842396494773</v>
      </c>
      <c r="D104" s="12" t="n">
        <f aca="false">C48*IF(C30=1,0,輸入與假設!$C$206)+D97*IF(C30=1,1,1-輸入與假設!$C$206)</f>
        <v>124.836407574906</v>
      </c>
      <c r="E104" s="12" t="n">
        <f aca="false">C48*IF(C30=1,0,輸入與假設!$C$206)+E97*IF(C30=1,1,1-輸入與假設!$C$206)</f>
        <v>121.912078701033</v>
      </c>
      <c r="F104" s="12" t="n">
        <f aca="false">C48*IF(C30=1,0,輸入與假設!$C$206)+F97*IF(C30=1,1,1-輸入與假設!$C$206)</f>
        <v>113.048791417937</v>
      </c>
    </row>
    <row r="105" customFormat="false" ht="15" hidden="false" customHeight="false" outlineLevel="1" collapsed="false">
      <c r="A105" s="3" t="s">
        <v>1682</v>
      </c>
      <c r="B105" s="91" t="n">
        <v>6</v>
      </c>
      <c r="C105" s="12" t="n">
        <f aca="false">C48*IF(C30=1,0,輸入與假設!$C$206)+C98*IF(C30=1,1,1-輸入與假設!$C$206)</f>
        <v>119.938553222798</v>
      </c>
      <c r="D105" s="12" t="n">
        <f aca="false">C48*IF(C30=1,0,輸入與假設!$C$206)+D98*IF(C30=1,1,1-輸入與假設!$C$206)</f>
        <v>133.904980211047</v>
      </c>
      <c r="E105" s="12" t="n">
        <f aca="false">C48*IF(C30=1,0,輸入與假設!$C$206)+E98*IF(C30=1,1,1-輸入與假設!$C$206)</f>
        <v>130.536988961218</v>
      </c>
      <c r="F105" s="12" t="n">
        <f aca="false">C48*IF(C30=1,0,輸入與假設!$C$206)+F98*IF(C30=1,1,1-輸入與假設!$C$206)</f>
        <v>120.255161598548</v>
      </c>
    </row>
    <row r="106" customFormat="false" ht="15" hidden="false" customHeight="false" outlineLevel="1" collapsed="false">
      <c r="A106" s="3" t="s">
        <v>1683</v>
      </c>
      <c r="B106" s="91" t="n">
        <v>7</v>
      </c>
      <c r="C106" s="12" t="n">
        <f aca="false">C48*IF(C30=1,0,輸入與假設!$C$206)+C99*IF(C30=1,1,1-輸入與假設!$C$206)</f>
        <v>127.034709950824</v>
      </c>
      <c r="D106" s="12" t="n">
        <f aca="false">C48*IF(C30=1,0,輸入與假設!$C$206)+D99*IF(C30=1,1,1-輸入與假設!$C$206)</f>
        <v>142.973552847189</v>
      </c>
      <c r="E106" s="12" t="n">
        <f aca="false">C48*IF(C30=1,0,輸入與假設!$C$206)+E99*IF(C30=1,1,1-輸入與假設!$C$206)</f>
        <v>139.161899221402</v>
      </c>
      <c r="F106" s="12" t="n">
        <f aca="false">C48*IF(C30=1,0,輸入與假設!$C$206)+F99*IF(C30=1,1,1-輸入與假設!$C$206)</f>
        <v>127.461531779158</v>
      </c>
    </row>
  </sheetData>
  <conditionalFormatting sqref="C95:F99">
    <cfRule type="cellIs" priority="2" operator="greaterThanOrEqual" aboveAverage="0" equalAverage="0" bottom="0" percent="0" rank="0" text="" dxfId="0">
      <formula>輸入與假設!$C$175</formula>
    </cfRule>
  </conditionalFormatting>
  <conditionalFormatting sqref="C102:F106">
    <cfRule type="cellIs" priority="3" operator="greaterThanOrEqual" aboveAverage="0" equalAverage="0" bottom="0" percent="0" rank="0" text="" dxfId="0">
      <formula>輸入與假設!$C$175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F1239"/>
    <outlinePr summaryBelow="0" summaryRight="1"/>
    <pageSetUpPr fitToPage="false"/>
  </sheetPr>
  <dimension ref="A1:I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1" outlineLevelCol="0"/>
  <cols>
    <col collapsed="false" customWidth="true" hidden="false" outlineLevel="0" max="1" min="1" style="0" width="46"/>
    <col collapsed="false" customWidth="true" hidden="false" outlineLevel="0" max="6" min="2" style="0" width="16"/>
    <col collapsed="false" customWidth="true" hidden="false" outlineLevel="0" max="7" min="7" style="0" width="70"/>
  </cols>
  <sheetData>
    <row r="1" customFormat="false" ht="21.6" hidden="false" customHeight="false" outlineLevel="0" collapsed="false">
      <c r="A1" s="5" t="s">
        <v>1684</v>
      </c>
    </row>
    <row r="2" customFormat="false" ht="15" hidden="false" customHeight="false" outlineLevel="0" collapsed="false">
      <c r="A2" s="6" t="s">
        <v>1685</v>
      </c>
    </row>
    <row r="4" customFormat="false" ht="15" hidden="false" customHeight="false" outlineLevel="0" collapsed="false">
      <c r="A4" s="46" t="s">
        <v>1686</v>
      </c>
      <c r="B4" s="8"/>
      <c r="C4" s="8"/>
      <c r="D4" s="8"/>
      <c r="E4" s="8"/>
      <c r="F4" s="8"/>
      <c r="G4" s="8"/>
    </row>
    <row r="5" customFormat="false" ht="15" hidden="false" customHeight="false" outlineLevel="1" collapsed="false">
      <c r="A5" s="3" t="s">
        <v>1619</v>
      </c>
      <c r="B5" s="92" t="n">
        <f aca="false">輸入與假設!$C$175</f>
        <v>144.77</v>
      </c>
    </row>
    <row r="6" customFormat="false" ht="15" hidden="false" customHeight="false" outlineLevel="1" collapsed="false">
      <c r="A6" s="3" t="s">
        <v>1687</v>
      </c>
      <c r="B6" s="92" t="n">
        <f aca="false">評價_DCF與目標價!C26</f>
        <v>59.2198452618111</v>
      </c>
    </row>
    <row r="7" customFormat="false" ht="15" hidden="false" customHeight="false" outlineLevel="1" collapsed="false">
      <c r="A7" s="2" t="s">
        <v>1688</v>
      </c>
      <c r="B7" s="89" t="n">
        <f aca="false">B6-B5</f>
        <v>-85.550154738189</v>
      </c>
    </row>
    <row r="8" customFormat="false" ht="15" hidden="false" customHeight="false" outlineLevel="1" collapsed="false">
      <c r="A8" s="3" t="s">
        <v>1689</v>
      </c>
      <c r="B8" s="93" t="n">
        <f aca="false">輸入與假設!$C$39</f>
        <v>1</v>
      </c>
      <c r="C8" s="93" t="n">
        <f aca="false">輸入與假設!$C$107</f>
        <v>1</v>
      </c>
    </row>
    <row r="10" customFormat="false" ht="15" hidden="false" customHeight="false" outlineLevel="0" collapsed="false">
      <c r="A10" s="46" t="s">
        <v>1690</v>
      </c>
      <c r="B10" s="8"/>
      <c r="C10" s="8"/>
      <c r="D10" s="8"/>
      <c r="E10" s="8"/>
      <c r="F10" s="8"/>
      <c r="G10" s="8"/>
    </row>
    <row r="11" customFormat="false" ht="15" hidden="false" customHeight="false" outlineLevel="1" collapsed="false">
      <c r="A11" s="6" t="s">
        <v>1691</v>
      </c>
    </row>
    <row r="12" customFormat="false" ht="15" hidden="false" customHeight="false" outlineLevel="1" collapsed="false">
      <c r="A12" s="6" t="s">
        <v>1692</v>
      </c>
    </row>
    <row r="13" customFormat="false" ht="15" hidden="false" customHeight="false" outlineLevel="1" collapsed="false">
      <c r="A13" s="6" t="s">
        <v>1693</v>
      </c>
    </row>
    <row r="14" customFormat="false" ht="15" hidden="false" customHeight="false" outlineLevel="1" collapsed="false">
      <c r="A14" s="6" t="s">
        <v>1694</v>
      </c>
    </row>
    <row r="16" customFormat="false" ht="15" hidden="false" customHeight="false" outlineLevel="0" collapsed="false">
      <c r="A16" s="46" t="s">
        <v>1695</v>
      </c>
      <c r="B16" s="8"/>
      <c r="C16" s="8"/>
      <c r="D16" s="8"/>
      <c r="E16" s="8"/>
      <c r="F16" s="8"/>
      <c r="G16" s="8"/>
    </row>
    <row r="17" customFormat="false" ht="15" hidden="false" customHeight="false" outlineLevel="1" collapsed="false">
      <c r="A17" s="14" t="s">
        <v>1696</v>
      </c>
      <c r="B17" s="14" t="s">
        <v>1697</v>
      </c>
      <c r="C17" s="14" t="s">
        <v>1698</v>
      </c>
      <c r="D17" s="14" t="s">
        <v>1699</v>
      </c>
      <c r="G17" s="14" t="s">
        <v>1700</v>
      </c>
    </row>
    <row r="18" customFormat="false" ht="15" hidden="false" customHeight="false" outlineLevel="1" collapsed="false">
      <c r="A18" s="4" t="s">
        <v>1701</v>
      </c>
      <c r="B18" s="94" t="n">
        <v>17.4</v>
      </c>
      <c r="C18" s="94" t="n">
        <v>24.3872</v>
      </c>
      <c r="D18" s="55" t="n">
        <v>0.4016</v>
      </c>
      <c r="G18" s="11" t="s">
        <v>1702</v>
      </c>
    </row>
    <row r="19" customFormat="false" ht="15" hidden="false" customHeight="false" outlineLevel="1" collapsed="false">
      <c r="A19" s="3" t="s">
        <v>1703</v>
      </c>
      <c r="B19" s="94" t="n">
        <v>37.59</v>
      </c>
      <c r="C19" s="94" t="n">
        <v>14.8903</v>
      </c>
      <c r="D19" s="55" t="n">
        <v>-0.6039</v>
      </c>
      <c r="G19" s="11" t="s">
        <v>1704</v>
      </c>
    </row>
    <row r="20" customFormat="false" ht="15" hidden="false" customHeight="false" outlineLevel="1" collapsed="false">
      <c r="A20" s="3" t="s">
        <v>281</v>
      </c>
      <c r="B20" s="55" t="n">
        <v>0.47</v>
      </c>
      <c r="C20" s="55" t="n">
        <v>0.7625</v>
      </c>
      <c r="D20" s="55" t="n">
        <v>0.2925</v>
      </c>
      <c r="G20" s="11" t="s">
        <v>1705</v>
      </c>
    </row>
    <row r="21" customFormat="false" ht="15" hidden="false" customHeight="false" outlineLevel="1" collapsed="false">
      <c r="A21" s="3" t="s">
        <v>1706</v>
      </c>
      <c r="B21" s="94" t="n">
        <v>17.4</v>
      </c>
      <c r="C21" s="94" t="n">
        <v>18.3486</v>
      </c>
      <c r="D21" s="55" t="n">
        <v>0.0545</v>
      </c>
      <c r="G21" s="6" t="s">
        <v>1707</v>
      </c>
    </row>
    <row r="23" customFormat="false" ht="15" hidden="false" customHeight="false" outlineLevel="0" collapsed="false">
      <c r="A23" s="46" t="s">
        <v>1708</v>
      </c>
      <c r="B23" s="8"/>
      <c r="C23" s="8"/>
      <c r="D23" s="8"/>
      <c r="E23" s="8"/>
      <c r="F23" s="8"/>
      <c r="G23" s="8"/>
    </row>
    <row r="24" customFormat="false" ht="17.15" hidden="false" customHeight="false" outlineLevel="1" collapsed="false">
      <c r="A24" s="14" t="s">
        <v>1709</v>
      </c>
      <c r="B24" s="95" t="n">
        <v>0.35</v>
      </c>
      <c r="C24" s="95" t="n">
        <v>0.47</v>
      </c>
      <c r="D24" s="95" t="n">
        <v>0.59</v>
      </c>
      <c r="E24" s="95" t="n">
        <v>0.7</v>
      </c>
      <c r="I24" s="6" t="s">
        <v>1710</v>
      </c>
    </row>
    <row r="25" customFormat="false" ht="15" hidden="false" customHeight="false" outlineLevel="1" collapsed="false">
      <c r="A25" s="4" t="s">
        <v>1711</v>
      </c>
      <c r="B25" s="94" t="n">
        <v>24.84</v>
      </c>
      <c r="C25" s="94" t="n">
        <v>20.74</v>
      </c>
      <c r="D25" s="94" t="n">
        <v>17.81</v>
      </c>
      <c r="E25" s="94" t="n">
        <v>15.77</v>
      </c>
    </row>
    <row r="26" customFormat="false" ht="15" hidden="false" customHeight="false" outlineLevel="1" collapsed="false">
      <c r="A26" s="4" t="s">
        <v>1712</v>
      </c>
      <c r="B26" s="94" t="n">
        <v>26.15</v>
      </c>
      <c r="C26" s="94" t="n">
        <v>21.84</v>
      </c>
      <c r="D26" s="94" t="n">
        <v>18.75</v>
      </c>
      <c r="E26" s="94" t="n">
        <v>16.6</v>
      </c>
    </row>
    <row r="27" customFormat="false" ht="15" hidden="false" customHeight="false" outlineLevel="1" collapsed="false">
      <c r="A27" s="4" t="s">
        <v>1713</v>
      </c>
      <c r="B27" s="94" t="n">
        <v>27.61</v>
      </c>
      <c r="C27" s="94" t="n">
        <v>23.06</v>
      </c>
      <c r="D27" s="94" t="n">
        <v>19.8</v>
      </c>
      <c r="E27" s="94" t="n">
        <v>17.53</v>
      </c>
    </row>
    <row r="28" customFormat="false" ht="15" hidden="false" customHeight="false" outlineLevel="1" collapsed="false">
      <c r="A28" s="4" t="s">
        <v>1714</v>
      </c>
      <c r="B28" s="94" t="n">
        <v>29.2</v>
      </c>
      <c r="C28" s="96" t="n">
        <v>24.39</v>
      </c>
      <c r="D28" s="94" t="n">
        <v>20.94</v>
      </c>
      <c r="E28" s="94" t="n">
        <v>18.53</v>
      </c>
    </row>
    <row r="29" customFormat="false" ht="15" hidden="false" customHeight="false" outlineLevel="1" collapsed="false">
      <c r="A29" s="4" t="s">
        <v>1715</v>
      </c>
      <c r="B29" s="94" t="n">
        <v>30.79</v>
      </c>
      <c r="C29" s="94" t="n">
        <v>25.71</v>
      </c>
      <c r="D29" s="94" t="n">
        <v>22.08</v>
      </c>
      <c r="E29" s="94" t="n">
        <v>19.54</v>
      </c>
    </row>
    <row r="30" customFormat="false" ht="15" hidden="false" customHeight="false" outlineLevel="1" collapsed="false">
      <c r="A30" s="6" t="s">
        <v>1716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F1239"/>
    <pageSetUpPr fitToPage="false"/>
  </sheetPr>
  <dimension ref="A1:K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5" min="2" style="0" width="10"/>
    <col collapsed="false" customWidth="true" hidden="false" outlineLevel="0" max="7" min="6" style="0" width="13"/>
    <col collapsed="false" customWidth="true" hidden="false" outlineLevel="0" max="9" min="8" style="0" width="11"/>
    <col collapsed="false" customWidth="true" hidden="false" outlineLevel="0" max="10" min="10" style="0" width="18"/>
    <col collapsed="false" customWidth="true" hidden="false" outlineLevel="0" max="11" min="11" style="0" width="70"/>
    <col collapsed="false" customWidth="true" hidden="false" outlineLevel="0" max="12" min="12" style="0" width="4"/>
  </cols>
  <sheetData>
    <row r="1" customFormat="false" ht="21.6" hidden="false" customHeight="false" outlineLevel="0" collapsed="false">
      <c r="A1" s="5" t="s">
        <v>1717</v>
      </c>
    </row>
    <row r="2" customFormat="false" ht="15" hidden="false" customHeight="false" outlineLevel="0" collapsed="false">
      <c r="A2" s="11" t="s">
        <v>1718</v>
      </c>
    </row>
    <row r="4" customFormat="false" ht="17.15" hidden="false" customHeight="false" outlineLevel="0" collapsed="false">
      <c r="A4" s="14" t="s">
        <v>1719</v>
      </c>
      <c r="B4" s="14" t="s">
        <v>1720</v>
      </c>
      <c r="C4" s="14" t="s">
        <v>1721</v>
      </c>
      <c r="D4" s="15" t="s">
        <v>1722</v>
      </c>
      <c r="E4" s="15" t="s">
        <v>1723</v>
      </c>
      <c r="F4" s="97" t="s">
        <v>1724</v>
      </c>
      <c r="G4" s="14" t="s">
        <v>1725</v>
      </c>
      <c r="H4" s="15" t="s">
        <v>1726</v>
      </c>
      <c r="I4" s="15" t="s">
        <v>1727</v>
      </c>
      <c r="J4" s="14" t="s">
        <v>1728</v>
      </c>
      <c r="K4" s="14" t="s">
        <v>618</v>
      </c>
    </row>
    <row r="5" customFormat="false" ht="15" hidden="false" customHeight="false" outlineLevel="0" collapsed="false">
      <c r="A5" s="4" t="s">
        <v>1729</v>
      </c>
      <c r="B5" s="25" t="n">
        <v>49.11</v>
      </c>
      <c r="C5" s="25" t="n">
        <v>46.03</v>
      </c>
      <c r="D5" s="54" t="n">
        <f aca="false">B5+C5</f>
        <v>95.14</v>
      </c>
      <c r="E5" s="25" t="n">
        <v>7.59</v>
      </c>
      <c r="F5" s="98" t="n">
        <f aca="false">D5/E5</f>
        <v>12.5349143610013</v>
      </c>
      <c r="G5" s="99" t="n">
        <f aca="false">(D5+16.54)/E5</f>
        <v>14.7140974967062</v>
      </c>
      <c r="H5" s="25" t="n">
        <f aca="false">-0.231+3.991</f>
        <v>3.76</v>
      </c>
      <c r="I5" s="99" t="n">
        <f aca="false">IF(H5&gt;0,D5/H5,"n/m")</f>
        <v>25.3031914893617</v>
      </c>
      <c r="J5" s="11" t="s">
        <v>1730</v>
      </c>
      <c r="K5" s="6" t="s">
        <v>1731</v>
      </c>
    </row>
    <row r="6" customFormat="false" ht="15" hidden="false" customHeight="false" outlineLevel="0" collapsed="false">
      <c r="A6" s="4" t="s">
        <v>1732</v>
      </c>
      <c r="B6" s="25" t="n">
        <v>68.49</v>
      </c>
      <c r="C6" s="25" t="n">
        <v>2.15</v>
      </c>
      <c r="D6" s="54" t="n">
        <f aca="false">B6+C6</f>
        <v>70.64</v>
      </c>
      <c r="E6" s="25" t="n">
        <v>1.36</v>
      </c>
      <c r="F6" s="98" t="n">
        <f aca="false">D6/E6</f>
        <v>51.9411764705882</v>
      </c>
      <c r="G6" s="99" t="n">
        <f aca="false">(D6+1.6253)/E6</f>
        <v>53.13625</v>
      </c>
      <c r="H6" s="25" t="n">
        <f aca="false">-0.612+0.418</f>
        <v>-0.194</v>
      </c>
      <c r="I6" s="99" t="str">
        <f aca="false">IF(H6&gt;0,D6/H6,"n/m")</f>
        <v>n/m</v>
      </c>
      <c r="J6" s="6" t="s">
        <v>1733</v>
      </c>
      <c r="K6" s="6" t="s">
        <v>1734</v>
      </c>
    </row>
    <row r="7" customFormat="false" ht="15" hidden="false" customHeight="false" outlineLevel="0" collapsed="false">
      <c r="A7" s="4" t="s">
        <v>1735</v>
      </c>
      <c r="B7" s="25" t="n">
        <v>18.61</v>
      </c>
      <c r="C7" s="25" t="n">
        <v>1.7</v>
      </c>
      <c r="D7" s="54" t="n">
        <f aca="false">B7+C7</f>
        <v>20.31</v>
      </c>
      <c r="E7" s="25" t="n">
        <v>0.707</v>
      </c>
      <c r="F7" s="98" t="n">
        <f aca="false">D7/E7</f>
        <v>28.7270155586987</v>
      </c>
      <c r="G7" s="99" t="n">
        <f aca="false">(D7+0.003)/E7</f>
        <v>28.7312588401697</v>
      </c>
      <c r="H7" s="25" t="n">
        <f aca="false">-1.047+0.418</f>
        <v>-0.629</v>
      </c>
      <c r="I7" s="99" t="str">
        <f aca="false">IF(H7&gt;0,D7/H7,"n/m")</f>
        <v>n/m</v>
      </c>
      <c r="J7" s="11" t="s">
        <v>1736</v>
      </c>
      <c r="K7" s="6" t="s">
        <v>1737</v>
      </c>
    </row>
    <row r="8" customFormat="false" ht="15" hidden="false" customHeight="false" outlineLevel="0" collapsed="false">
      <c r="A8" s="4" t="s">
        <v>1738</v>
      </c>
      <c r="B8" s="25" t="n">
        <v>8.22</v>
      </c>
      <c r="C8" s="25" t="n">
        <v>3.37</v>
      </c>
      <c r="D8" s="54" t="n">
        <f aca="false">B8+C8</f>
        <v>11.59</v>
      </c>
      <c r="E8" s="25" t="n">
        <v>0.6113</v>
      </c>
      <c r="F8" s="98" t="n">
        <f aca="false">D8/E8</f>
        <v>18.9595943072141</v>
      </c>
      <c r="G8" s="99" t="n">
        <f aca="false">(D8+0.066)/E8</f>
        <v>19.0675609357108</v>
      </c>
      <c r="H8" s="25" t="n">
        <f aca="false">-0.236+0.067</f>
        <v>-0.169</v>
      </c>
      <c r="I8" s="99" t="str">
        <f aca="false">IF(H8&gt;0,D8/H8,"n/m")</f>
        <v>n/m</v>
      </c>
      <c r="J8" s="11" t="s">
        <v>1739</v>
      </c>
      <c r="K8" s="6" t="s">
        <v>1740</v>
      </c>
    </row>
    <row r="9" customFormat="false" ht="15" hidden="false" customHeight="false" outlineLevel="0" collapsed="false">
      <c r="A9" s="4" t="s">
        <v>1741</v>
      </c>
      <c r="B9" s="25" t="n">
        <v>5.9</v>
      </c>
      <c r="C9" s="25" t="n">
        <v>2.53</v>
      </c>
      <c r="D9" s="54" t="n">
        <f aca="false">B9+C9</f>
        <v>8.43</v>
      </c>
      <c r="E9" s="25" t="n">
        <v>0.4403</v>
      </c>
      <c r="F9" s="98" t="n">
        <f aca="false">D9/E9</f>
        <v>19.1460367930956</v>
      </c>
      <c r="G9" s="99" t="n">
        <f aca="false">(D9+0.109)/E9</f>
        <v>19.3935952759482</v>
      </c>
      <c r="H9" s="25" t="n">
        <f aca="false">-0.561+0.063</f>
        <v>-0.498</v>
      </c>
      <c r="I9" s="99" t="str">
        <f aca="false">IF(H9&gt;0,D9/H9,"n/m")</f>
        <v>n/m</v>
      </c>
      <c r="J9" s="11" t="s">
        <v>1742</v>
      </c>
      <c r="K9" s="6" t="s">
        <v>1743</v>
      </c>
    </row>
    <row r="10" customFormat="false" ht="15" hidden="false" customHeight="false" outlineLevel="0" collapsed="false">
      <c r="A10" s="2" t="s">
        <v>1744</v>
      </c>
      <c r="F10" s="81" t="n">
        <f aca="false">MEDIAN(F5:F9)</f>
        <v>19.1460367930956</v>
      </c>
      <c r="G10" s="100" t="n">
        <f aca="false">MEDIAN(G5:G9)</f>
        <v>19.3935952759482</v>
      </c>
    </row>
    <row r="11" customFormat="false" ht="15" hidden="false" customHeight="false" outlineLevel="0" collapsed="false">
      <c r="A11" s="82" t="s">
        <v>1745</v>
      </c>
      <c r="B11" s="79" t="n">
        <v>437.75</v>
      </c>
      <c r="C11" s="80" t="n">
        <f aca="false">輸入與假設!$C$177+SUMPRODUCT(資產負債_既有債務!$C$73:$C$73*(1-資產負債_既有債務!$H$69:$H$69))+輸入與假設!$C$179</f>
        <v>88.827</v>
      </c>
      <c r="D11" s="52" t="n">
        <f aca="false">B11+C11</f>
        <v>526.577</v>
      </c>
      <c r="E11" s="79" t="n">
        <v>71.777</v>
      </c>
      <c r="F11" s="81" t="n">
        <f aca="false">D11/E11</f>
        <v>7.33629156972289</v>
      </c>
      <c r="G11" s="100" t="n">
        <f aca="false">(D11+34.621)/E11</f>
        <v>7.81863270964236</v>
      </c>
      <c r="H11" s="79" t="n">
        <f aca="false">23.056+10.881</f>
        <v>33.937</v>
      </c>
      <c r="I11" s="100" t="n">
        <f aca="false">IF(H11&gt;0,D11/H11,"n/m")</f>
        <v>15.5163096325544</v>
      </c>
      <c r="J11" s="11" t="s">
        <v>1746</v>
      </c>
      <c r="K11" s="11" t="s">
        <v>1747</v>
      </c>
    </row>
    <row r="12" customFormat="false" ht="15" hidden="false" customHeight="false" outlineLevel="0" collapsed="false">
      <c r="A12" s="4" t="s">
        <v>1748</v>
      </c>
      <c r="B12" s="52" t="n">
        <f aca="false">輸入與假設!$C$175*評價_DCF與目標價!$C$69</f>
        <v>447.19080733252</v>
      </c>
      <c r="C12" s="52" t="n">
        <f aca="false">評價_DCF與目標價!$C$70</f>
        <v>88.827</v>
      </c>
      <c r="D12" s="52" t="n">
        <f aca="false">B12+C12</f>
        <v>536.01780733252</v>
      </c>
      <c r="E12" s="80" t="n">
        <f aca="false">損益!D9</f>
        <v>125.38524705094</v>
      </c>
      <c r="F12" s="100" t="n">
        <f aca="false">D12/E12</f>
        <v>4.2749671108815</v>
      </c>
      <c r="G12" s="100" t="n">
        <f aca="false">(D12+34.621)/E12</f>
        <v>4.55108412475902</v>
      </c>
      <c r="H12" s="80" t="n">
        <f aca="false">損益!D22</f>
        <v>73.1136110041068</v>
      </c>
      <c r="I12" s="100" t="n">
        <f aca="false">D12/H12</f>
        <v>7.33129987660454</v>
      </c>
      <c r="K12" s="6" t="s">
        <v>1749</v>
      </c>
    </row>
    <row r="14" customFormat="false" ht="15" hidden="false" customHeight="false" outlineLevel="0" collapsed="false">
      <c r="A14" s="6" t="s">
        <v>1750</v>
      </c>
    </row>
    <row r="15" customFormat="false" ht="15" hidden="false" customHeight="false" outlineLevel="0" collapsed="false">
      <c r="A15" s="11" t="s">
        <v>1751</v>
      </c>
    </row>
    <row r="16" customFormat="false" ht="15" hidden="false" customHeight="false" outlineLevel="0" collapsed="false">
      <c r="A16" s="6" t="s">
        <v>1752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08080"/>
    <pageSetUpPr fitToPage="false"/>
  </sheetPr>
  <dimension ref="A1:E4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6"/>
    <col collapsed="false" customWidth="true" hidden="false" outlineLevel="0" max="3" min="3" style="0" width="14"/>
    <col collapsed="false" customWidth="true" hidden="false" outlineLevel="0" max="4" min="4" style="0" width="12"/>
    <col collapsed="false" customWidth="true" hidden="false" outlineLevel="0" max="5" min="5" style="0" width="100"/>
  </cols>
  <sheetData>
    <row r="1" customFormat="false" ht="17.35" hidden="false" customHeight="false" outlineLevel="0" collapsed="false">
      <c r="A1" s="5" t="s">
        <v>1753</v>
      </c>
    </row>
    <row r="3" customFormat="false" ht="15" hidden="false" customHeight="false" outlineLevel="0" collapsed="false">
      <c r="A3" s="14" t="s">
        <v>1754</v>
      </c>
      <c r="B3" s="14" t="s">
        <v>1755</v>
      </c>
      <c r="C3" s="14" t="s">
        <v>1756</v>
      </c>
      <c r="D3" s="14" t="s">
        <v>1757</v>
      </c>
      <c r="E3" s="14" t="s">
        <v>723</v>
      </c>
    </row>
    <row r="4" customFormat="false" ht="15" hidden="false" customHeight="false" outlineLevel="0" collapsed="false">
      <c r="A4" s="4" t="s">
        <v>198</v>
      </c>
      <c r="B4" s="13" t="n">
        <f aca="false">SUM(輸入與假設!C42:G42)</f>
        <v>0.7975</v>
      </c>
      <c r="C4" s="101" t="n">
        <f aca="false">輸入與假設!$C$34</f>
        <v>0.7975</v>
      </c>
      <c r="D4" s="2" t="str">
        <f aca="false">IF(ABS(B4-C4)&lt;0.0001,"通過","不一致")</f>
        <v>通過</v>
      </c>
      <c r="E4" s="6" t="s">
        <v>1758</v>
      </c>
    </row>
    <row r="5" customFormat="false" ht="15" hidden="false" customHeight="false" outlineLevel="0" collapsed="false">
      <c r="A5" s="3" t="s">
        <v>1759</v>
      </c>
      <c r="B5" s="10" t="n">
        <f aca="false">各期收支!C108</f>
        <v>0</v>
      </c>
      <c r="C5" s="6" t="n">
        <f aca="false">0</f>
        <v>0</v>
      </c>
      <c r="D5" s="2" t="str">
        <f aca="false">IF(ABS(B5)&lt;0.01,"通過","不一致")</f>
        <v>通過</v>
      </c>
      <c r="E5" s="6" t="s">
        <v>1760</v>
      </c>
    </row>
    <row r="6" customFormat="false" ht="15" hidden="false" customHeight="false" outlineLevel="0" collapsed="false">
      <c r="A6" s="4" t="s">
        <v>1761</v>
      </c>
      <c r="B6" s="9" t="n">
        <f aca="false">運營_產能與收入!G9-運營_產能與收入!G10</f>
        <v>708</v>
      </c>
      <c r="C6" s="11" t="s">
        <v>1762</v>
      </c>
      <c r="D6" s="2" t="str">
        <f aca="false">IF(B6&gt;=0,"通過","不一致")</f>
        <v>通過</v>
      </c>
      <c r="E6" s="6" t="s">
        <v>1763</v>
      </c>
    </row>
    <row r="7" customFormat="false" ht="15" hidden="false" customHeight="false" outlineLevel="0" collapsed="false">
      <c r="A7" s="4" t="s">
        <v>1764</v>
      </c>
      <c r="B7" s="10" t="n">
        <f aca="false">各期收支!C112</f>
        <v>106.09585</v>
      </c>
      <c r="C7" s="11" t="s">
        <v>1765</v>
      </c>
      <c r="D7" s="2" t="str">
        <f aca="false">IF(AND(B7&gt;=90,B7&lt;=95),"通過","觀察")</f>
        <v>觀察</v>
      </c>
      <c r="E7" s="11" t="s">
        <v>1766</v>
      </c>
    </row>
    <row r="8" customFormat="false" ht="15" hidden="false" customHeight="false" outlineLevel="0" collapsed="false">
      <c r="A8" s="4" t="s">
        <v>1767</v>
      </c>
      <c r="B8" s="10" t="n">
        <f aca="false">各期收支!C111</f>
        <v>87.4976198</v>
      </c>
      <c r="C8" s="11" t="s">
        <v>1768</v>
      </c>
      <c r="D8" s="2" t="str">
        <f aca="false">IF(B8&gt;=90,"通過","觀察")</f>
        <v>觀察</v>
      </c>
      <c r="E8" s="11" t="s">
        <v>1769</v>
      </c>
    </row>
    <row r="9" customFormat="false" ht="15" hidden="false" customHeight="false" outlineLevel="0" collapsed="false">
      <c r="A9" s="4" t="s">
        <v>1770</v>
      </c>
      <c r="B9" s="44" t="n">
        <f aca="false">SUM(各期收支!C6:G6)/((運營_產能與收入!G9-輸入與假設!$C$36)/1000)/1000*1000</f>
        <v>47.0772211158192</v>
      </c>
      <c r="C9" s="11" t="s">
        <v>1771</v>
      </c>
      <c r="D9" s="2" t="str">
        <f aca="false">IF(AND(B9&gt;=28,B9&lt;=51),"通過","觀察")</f>
        <v>通過</v>
      </c>
      <c r="E9" s="11" t="s">
        <v>1772</v>
      </c>
    </row>
    <row r="10" customFormat="false" ht="15" hidden="false" customHeight="false" outlineLevel="0" collapsed="false">
      <c r="A10" s="3" t="s">
        <v>1773</v>
      </c>
      <c r="B10" s="16" t="n">
        <f aca="false">資產負債_租賃承諾!C23</f>
        <v>1</v>
      </c>
      <c r="C10" s="11" t="s">
        <v>1774</v>
      </c>
      <c r="D10" s="2" t="str">
        <f aca="false">IF(B10&gt;=0.8,"通過","不一致")</f>
        <v>通過</v>
      </c>
      <c r="E10" s="6" t="s">
        <v>1775</v>
      </c>
    </row>
    <row r="11" customFormat="false" ht="15" hidden="false" customHeight="false" outlineLevel="0" collapsed="false">
      <c r="A11" s="4" t="s">
        <v>1776</v>
      </c>
      <c r="B11" s="10" t="n">
        <f aca="false">各期收支!C113</f>
        <v>6.39484274379876</v>
      </c>
      <c r="C11" s="11" t="s">
        <v>1777</v>
      </c>
      <c r="D11" s="2" t="str">
        <f aca="false">IF(B11&gt;=1.4,"通過","觀察")</f>
        <v>通過</v>
      </c>
      <c r="E11" s="6" t="str">
        <f aca="false">"1Q 實際 1.428＋2Q–4Q 模型 "&amp;TEXT(各期收支!C17,"0.0")&amp;"；公司未提供季度利息指引（不適用）"</f>
        <v>1Q 實際 1.428＋2Q–4Q 模型 4.5；公司未提供季度利息指引（不適用）</v>
      </c>
    </row>
    <row r="12" customFormat="false" ht="15" hidden="false" customHeight="false" outlineLevel="0" collapsed="false">
      <c r="A12" s="4" t="s">
        <v>1778</v>
      </c>
      <c r="B12" s="29" t="n">
        <f aca="false">SUM(運營_產能與收入!E24:G24)/SUM(運營_產能與收入!E26:G26)</f>
        <v>0.116616968289434</v>
      </c>
      <c r="C12" s="11" t="s">
        <v>1779</v>
      </c>
      <c r="D12" s="2" t="str">
        <f aca="false">IF(B12&lt;0.5,"通過","觀察")</f>
        <v>通過</v>
      </c>
      <c r="E12" s="11" t="s">
        <v>1780</v>
      </c>
    </row>
    <row r="13" customFormat="false" ht="15" hidden="false" customHeight="false" outlineLevel="0" collapsed="false">
      <c r="A13" s="3" t="s">
        <v>1781</v>
      </c>
      <c r="B13" s="52" t="n">
        <f aca="false">損益!D6-運營_產能與收入!D26</f>
        <v>0</v>
      </c>
      <c r="C13" s="6" t="n">
        <f aca="false">0</f>
        <v>0</v>
      </c>
      <c r="D13" s="2" t="str">
        <f aca="false">IF(ABS(B13)&lt;0.001,"通過","不一致")</f>
        <v>通過</v>
      </c>
      <c r="E13" s="11" t="s">
        <v>1782</v>
      </c>
    </row>
    <row r="14" customFormat="false" ht="15" hidden="false" customHeight="false" outlineLevel="0" collapsed="false">
      <c r="A14" s="3" t="s">
        <v>1584</v>
      </c>
      <c r="B14" s="13" t="n">
        <f aca="false">評價_DCF與目標價!C27</f>
        <v>0.806452398487446</v>
      </c>
      <c r="C14" s="6" t="str">
        <f aca="false">"&lt;"&amp;IF(ROUND(ABS(輸入與假設!$C$237)*100,4)=INT(ROUND(ABS(輸入與假設!$C$237)*100,4)),TEXT(ROUND(ABS(輸入與假設!$C$237)*100,4),"0"),TEXT(ROUND(ABS(輸入與假設!$C$237)*100,4),"0.0"))&amp;"%"</f>
        <v>&lt;85%</v>
      </c>
      <c r="D14" s="2" t="str">
        <f aca="false">IF(B14&lt;輸入與假設!$C$237,"通過","觀察")</f>
        <v>通過</v>
      </c>
      <c r="E14" s="6" t="s">
        <v>1783</v>
      </c>
    </row>
    <row r="15" customFormat="false" ht="15" hidden="false" customHeight="false" outlineLevel="0" collapsed="false">
      <c r="A15" s="4" t="s">
        <v>1784</v>
      </c>
      <c r="B15" s="102" t="n">
        <f aca="false">(損益!D22+損益!D11-輸入與假設!D83-輸入與假設!D51)/(損益!D6+損益!D7)-輸入與假設!D93</f>
        <v>0</v>
      </c>
      <c r="C15" s="6" t="n">
        <f aca="false">0</f>
        <v>0</v>
      </c>
      <c r="D15" s="2" t="str">
        <f aca="false">IF(ABS(B15)&lt;0.0001,"通過","不一致")</f>
        <v>通過</v>
      </c>
      <c r="E15" s="6" t="s">
        <v>1785</v>
      </c>
    </row>
    <row r="16" customFormat="false" ht="15" hidden="false" customHeight="false" outlineLevel="0" collapsed="false">
      <c r="A16" s="3" t="s">
        <v>1786</v>
      </c>
      <c r="B16" s="52" t="n">
        <f aca="false">(運營_產能與收入!D40+運營_產能與收入!D41+輸入與假設!D94+輸入與假設!D51+輸入與假設!D83-運營_產能與收入!D62-各期收支!D16)+(運營_產能與收入!D35+運營_產能與收入!D24*輸入與假設!D48*(1-輸入與假設!D49))*運營_產能與收入!D39-損益!D22</f>
        <v>0</v>
      </c>
      <c r="C16" s="6" t="n">
        <f aca="false">0</f>
        <v>0</v>
      </c>
      <c r="D16" s="2" t="str">
        <f aca="false">IF(ABS(B16)&lt;0.001,"通過","不一致")</f>
        <v>通過</v>
      </c>
      <c r="E16" s="6" t="s">
        <v>1787</v>
      </c>
    </row>
    <row r="17" customFormat="false" ht="15" hidden="false" customHeight="false" outlineLevel="0" collapsed="false">
      <c r="A17" s="4" t="s">
        <v>1788</v>
      </c>
      <c r="B17" s="44" t="n">
        <f aca="false">評價_DCF與目標價!C30</f>
        <v>0</v>
      </c>
      <c r="C17" s="11" t="s">
        <v>1789</v>
      </c>
      <c r="D17" s="2" t="str">
        <f aca="false">IF(B17=0,"通過","觀察")</f>
        <v>通過</v>
      </c>
      <c r="E17" s="6" t="s">
        <v>1790</v>
      </c>
    </row>
    <row r="18" customFormat="false" ht="15" hidden="false" customHeight="false" outlineLevel="0" collapsed="false">
      <c r="A18" s="3" t="s">
        <v>1791</v>
      </c>
      <c r="B18" s="52" t="n">
        <f aca="false">MIN(各期收支!C52:G52)</f>
        <v>9.99999999999997</v>
      </c>
      <c r="C18" s="11" t="s">
        <v>1792</v>
      </c>
      <c r="D18" s="2" t="str">
        <f aca="false">IF(B18&gt;=9.999,"通過","不一致")</f>
        <v>通過</v>
      </c>
      <c r="E18" s="6" t="s">
        <v>1793</v>
      </c>
    </row>
    <row r="19" customFormat="false" ht="15" hidden="false" customHeight="false" outlineLevel="0" collapsed="false">
      <c r="A19" s="3" t="s">
        <v>1794</v>
      </c>
      <c r="B19" s="100" t="n">
        <f aca="false">SUM(各期收支!C84:G84)/(輸入與假設!$C$175*輸入與假設!$C$176)</f>
        <v>0</v>
      </c>
      <c r="C19" s="6" t="str">
        <f aca="false">"≤"&amp;IF(輸入與假設!$C$234=INT(輸入與假設!$C$234),TEXT(輸入與假設!$C$234,"0"),TEXT(輸入與假設!$C$234,"0.0"))&amp;"x"</f>
        <v>≤1.5x</v>
      </c>
      <c r="D19" s="2" t="str">
        <f aca="false">IF(B19&lt;=輸入與假設!$C$234,"通過","觀察")</f>
        <v>通過</v>
      </c>
      <c r="E19" s="6" t="str">
        <f aca="false">"超過 "&amp;IF(輸入與假設!$C$234=INT(輸入與假設!$C$234),TEXT(輸入與假設!$C$234,"0"),TEXT(輸入與假設!$C$234,"0.0"))&amp;" 倍：市場吸收能力存疑，結論不得為買進"</f>
        <v>超過 1.5 倍：市場吸收能力存疑，結論不得為買進</v>
      </c>
    </row>
    <row r="20" customFormat="false" ht="15" hidden="false" customHeight="false" outlineLevel="0" collapsed="false">
      <c r="A20" s="3" t="s">
        <v>1795</v>
      </c>
      <c r="B20" s="52" t="n">
        <f aca="false">資產負債_既有債務!E62+SUMPRODUCT(資產負債_既有債務!$C$73:$C$73*(1-資產負債_既有債務!$H$69:$H$69))</f>
        <v>125.904</v>
      </c>
      <c r="C20" s="11" t="s">
        <v>1796</v>
      </c>
      <c r="D20" s="2" t="str">
        <f aca="false">IF(ABS(B20-125.904)&lt;0.01,"通過","不一致")</f>
        <v>通過</v>
      </c>
      <c r="E20" s="6" t="s">
        <v>1797</v>
      </c>
    </row>
    <row r="21" customFormat="false" ht="15" hidden="false" customHeight="false" outlineLevel="0" collapsed="false">
      <c r="A21" s="4" t="s">
        <v>1798</v>
      </c>
      <c r="B21" s="52" t="n">
        <f aca="false">輸入與假設!C127</f>
        <v>106.09585</v>
      </c>
      <c r="C21" s="11" t="s">
        <v>1765</v>
      </c>
      <c r="D21" s="2" t="str">
        <f aca="false">IF(AND(B21&gt;=90,B21&lt;=95),"通過","觀察")</f>
        <v>觀察</v>
      </c>
      <c r="E21" s="6" t="s">
        <v>1799</v>
      </c>
    </row>
    <row r="22" customFormat="false" ht="15" hidden="false" customHeight="false" outlineLevel="0" collapsed="false">
      <c r="A22" s="4" t="s">
        <v>1800</v>
      </c>
      <c r="B22" s="52" t="n">
        <f aca="false">SUM(輸入與假設!C120:G120)</f>
        <v>0</v>
      </c>
      <c r="C22" s="6" t="n">
        <f aca="false">0</f>
        <v>0</v>
      </c>
      <c r="D22" s="2" t="str">
        <f aca="false">IF(ABS(B22-0)&lt;0.01,"通過","不一致")</f>
        <v>通過</v>
      </c>
      <c r="E22" s="6" t="s">
        <v>336</v>
      </c>
    </row>
    <row r="23" customFormat="false" ht="15" hidden="false" customHeight="false" outlineLevel="0" collapsed="false">
      <c r="A23" s="3" t="s">
        <v>1801</v>
      </c>
      <c r="B23" s="52" t="n">
        <f aca="false">運營_站點!G26</f>
        <v>2.50639968906223</v>
      </c>
      <c r="C23" s="6" t="s">
        <v>1802</v>
      </c>
      <c r="D23" s="2" t="str">
        <f aca="false">IF(B23&gt;=運營_站點!$H$10*運營_站點!$C$27*0.8,"通過","觀察")</f>
        <v>通過</v>
      </c>
      <c r="E23" s="6" t="s">
        <v>1803</v>
      </c>
    </row>
    <row r="24" customFormat="false" ht="15" hidden="false" customHeight="false" outlineLevel="0" collapsed="false">
      <c r="A24" s="3" t="s">
        <v>1804</v>
      </c>
      <c r="B24" s="52" t="n">
        <f aca="false">運營_站點!$C$30</f>
        <v>-81.1384705882353</v>
      </c>
      <c r="C24" s="11" t="s">
        <v>1805</v>
      </c>
      <c r="D24" s="2" t="str">
        <f aca="false">IF(B24&lt;10,"通過","觀察")</f>
        <v>通過</v>
      </c>
      <c r="E24" s="6" t="s">
        <v>1806</v>
      </c>
    </row>
    <row r="25" customFormat="false" ht="15" hidden="false" customHeight="false" outlineLevel="0" collapsed="false">
      <c r="A25" s="3" t="s">
        <v>1807</v>
      </c>
      <c r="B25" s="10" t="n">
        <f aca="false">664*0.5-SUM(運營_產能與收入!C29:G29)</f>
        <v>85.8824375</v>
      </c>
      <c r="C25" s="6" t="s">
        <v>1808</v>
      </c>
      <c r="D25" s="2" t="str">
        <f aca="false">"對照"</f>
        <v>對照</v>
      </c>
      <c r="E25" s="11" t="s">
        <v>1809</v>
      </c>
    </row>
    <row r="26" customFormat="false" ht="15" hidden="false" customHeight="false" outlineLevel="0" collapsed="false">
      <c r="A26" s="3" t="s">
        <v>1810</v>
      </c>
      <c r="B26" s="10" t="n">
        <f aca="false">輸入與假設!$C$84</f>
        <v>0</v>
      </c>
      <c r="C26" s="6" t="n">
        <f aca="false">0</f>
        <v>0</v>
      </c>
      <c r="D26" s="2" t="str">
        <f aca="false">IF(ABS(B26)&lt;0.000001,"通過","不一致")</f>
        <v>通過</v>
      </c>
      <c r="E26" s="6" t="s">
        <v>1811</v>
      </c>
    </row>
    <row r="27" customFormat="false" ht="15" hidden="false" customHeight="false" outlineLevel="0" collapsed="false">
      <c r="A27" s="3" t="s">
        <v>1812</v>
      </c>
      <c r="B27" s="10" t="n">
        <f aca="false">SUM(運營_產能與收入!C27:G27)</f>
        <v>0</v>
      </c>
      <c r="C27" s="6" t="n">
        <f aca="false">0</f>
        <v>0</v>
      </c>
      <c r="D27" s="2" t="str">
        <f aca="false">IF(ABS(B27)&lt;0.000001,"通過","不一致")</f>
        <v>通過</v>
      </c>
      <c r="E27" s="11" t="s">
        <v>1813</v>
      </c>
    </row>
    <row r="29" customFormat="false" ht="15" hidden="false" customHeight="false" outlineLevel="0" collapsed="false">
      <c r="A29" s="2" t="s">
        <v>1814</v>
      </c>
    </row>
    <row r="30" customFormat="false" ht="15" hidden="false" customHeight="false" outlineLevel="0" collapsed="false">
      <c r="A30" s="3" t="s">
        <v>1815</v>
      </c>
      <c r="B30" s="10" t="n">
        <f aca="false">SUM(運營_產能與收入!C18:G18)</f>
        <v>529.54</v>
      </c>
    </row>
    <row r="31" customFormat="false" ht="15" hidden="false" customHeight="false" outlineLevel="0" collapsed="false">
      <c r="A31" s="3" t="s">
        <v>1816</v>
      </c>
      <c r="B31" s="10" t="n">
        <f aca="false">SUM(運營_產能與收入!C20:G20)</f>
        <v>88.5663</v>
      </c>
    </row>
    <row r="32" customFormat="false" ht="15" hidden="false" customHeight="false" outlineLevel="0" collapsed="false">
      <c r="A32" s="3" t="s">
        <v>1817</v>
      </c>
      <c r="B32" s="10" t="n">
        <f aca="false">SUM(運營_產能與收入!C24:G24)</f>
        <v>44.9735</v>
      </c>
    </row>
    <row r="33" customFormat="false" ht="15" hidden="false" customHeight="false" outlineLevel="0" collapsed="false">
      <c r="A33" s="3" t="s">
        <v>1818</v>
      </c>
      <c r="B33" s="10" t="n">
        <f aca="false">SUM(輸入與假設!C135:G135)</f>
        <v>304.8077255</v>
      </c>
    </row>
    <row r="34" customFormat="false" ht="15" hidden="false" customHeight="false" outlineLevel="0" collapsed="false">
      <c r="A34" s="3" t="s">
        <v>1819</v>
      </c>
      <c r="B34" s="10" t="n">
        <f aca="false">SUM(各期收支!C16:G16)</f>
        <v>81.1384705882353</v>
      </c>
    </row>
    <row r="35" customFormat="false" ht="15" hidden="false" customHeight="false" outlineLevel="0" collapsed="false">
      <c r="A35" s="3" t="s">
        <v>1820</v>
      </c>
      <c r="B35" s="10" t="n">
        <f aca="false">SUM(各期收支!C21:G21)</f>
        <v>35.0450858758734</v>
      </c>
    </row>
    <row r="36" customFormat="false" ht="15" hidden="false" customHeight="false" outlineLevel="0" collapsed="false">
      <c r="A36" s="3" t="s">
        <v>1821</v>
      </c>
      <c r="B36" s="10" t="n">
        <f aca="false">SUM(輸入與假設!C170:G170)*輸入與假設!$C$144+SUM(資產負債_既有債務!C84:G84)</f>
        <v>35.654</v>
      </c>
    </row>
    <row r="37" customFormat="false" ht="15" hidden="false" customHeight="false" outlineLevel="0" collapsed="false">
      <c r="A37" s="3" t="s">
        <v>1822</v>
      </c>
      <c r="B37" s="10" t="n">
        <f aca="false">SUM(各期收支!C50:G50)-(輸入與假設!$C$241-輸入與假設!$C$242-輸入與假設!$C$244-輸入與假設!$C$259)</f>
        <v>30.4134088805239</v>
      </c>
    </row>
    <row r="38" customFormat="false" ht="15" hidden="false" customHeight="false" outlineLevel="0" collapsed="false">
      <c r="A38" s="4" t="s">
        <v>1823</v>
      </c>
      <c r="B38" s="10" t="n">
        <f aca="false">SUM(各期收支!C50:G50)</f>
        <v>23.4524088805239</v>
      </c>
    </row>
    <row r="39" customFormat="false" ht="15" hidden="false" customHeight="false" outlineLevel="0" collapsed="false">
      <c r="A39" s="3" t="s">
        <v>1428</v>
      </c>
      <c r="B39" s="10" t="n">
        <f aca="false">各期收支!G52</f>
        <v>72.4967017635462</v>
      </c>
    </row>
    <row r="40" customFormat="false" ht="15" hidden="false" customHeight="false" outlineLevel="0" collapsed="false">
      <c r="A40" s="4" t="s">
        <v>1824</v>
      </c>
      <c r="B40" s="12" t="n">
        <f aca="false">評價_DCF與目標價!C26</f>
        <v>59.2198452618111</v>
      </c>
    </row>
    <row r="41" customFormat="false" ht="15" hidden="false" customHeight="false" outlineLevel="0" collapsed="false">
      <c r="A41" s="3" t="s">
        <v>1613</v>
      </c>
      <c r="B41" s="12" t="n">
        <f aca="false">評價_DCF與目標價!C51</f>
        <v>133.904980211047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08080"/>
    <pageSetUpPr fitToPage="false"/>
  </sheetPr>
  <dimension ref="A1:E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0"/>
    <col collapsed="false" customWidth="true" hidden="false" outlineLevel="0" max="3" min="3" style="0" width="90"/>
    <col collapsed="false" customWidth="true" hidden="false" outlineLevel="0" max="4" min="4" style="0" width="14"/>
    <col collapsed="false" customWidth="true" hidden="false" outlineLevel="0" max="5" min="5" style="0" width="48"/>
  </cols>
  <sheetData>
    <row r="1" customFormat="false" ht="17.35" hidden="false" customHeight="false" outlineLevel="0" collapsed="false">
      <c r="A1" s="5" t="s">
        <v>1825</v>
      </c>
    </row>
    <row r="2" customFormat="false" ht="15" hidden="false" customHeight="false" outlineLevel="0" collapsed="false">
      <c r="A2" s="11" t="s">
        <v>1826</v>
      </c>
    </row>
    <row r="4" customFormat="false" ht="15" hidden="false" customHeight="false" outlineLevel="0" collapsed="false">
      <c r="A4" s="14" t="s">
        <v>1827</v>
      </c>
      <c r="B4" s="14" t="s">
        <v>1828</v>
      </c>
      <c r="C4" s="14" t="s">
        <v>1829</v>
      </c>
      <c r="D4" s="14" t="s">
        <v>1830</v>
      </c>
      <c r="E4" s="14" t="s">
        <v>1831</v>
      </c>
    </row>
    <row r="5" customFormat="false" ht="72.35" hidden="false" customHeight="false" outlineLevel="0" collapsed="false">
      <c r="A5" s="103" t="s">
        <v>1832</v>
      </c>
      <c r="B5" s="103" t="s">
        <v>1833</v>
      </c>
      <c r="C5" s="104" t="s">
        <v>1834</v>
      </c>
      <c r="D5" s="105" t="s">
        <v>1835</v>
      </c>
      <c r="E5" s="106" t="s">
        <v>1836</v>
      </c>
    </row>
    <row r="6" customFormat="false" ht="44" hidden="false" customHeight="false" outlineLevel="0" collapsed="false">
      <c r="A6" s="103" t="s">
        <v>1837</v>
      </c>
      <c r="B6" s="103" t="s">
        <v>1833</v>
      </c>
      <c r="C6" s="104" t="s">
        <v>1838</v>
      </c>
      <c r="D6" s="105" t="s">
        <v>1839</v>
      </c>
      <c r="E6" s="104" t="s">
        <v>1840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08080"/>
    <pageSetUpPr fitToPage="false"/>
  </sheetPr>
  <dimension ref="A1:B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20"/>
  </cols>
  <sheetData>
    <row r="1" customFormat="false" ht="17.35" hidden="false" customHeight="false" outlineLevel="0" collapsed="false">
      <c r="A1" s="5" t="s">
        <v>1841</v>
      </c>
    </row>
    <row r="3" customFormat="false" ht="15" hidden="false" customHeight="false" outlineLevel="0" collapsed="false">
      <c r="A3" s="14" t="s">
        <v>1842</v>
      </c>
      <c r="B3" s="14" t="s">
        <v>1843</v>
      </c>
    </row>
    <row r="4" customFormat="false" ht="45.75" hidden="false" customHeight="true" outlineLevel="0" collapsed="false">
      <c r="A4" s="82" t="s">
        <v>625</v>
      </c>
      <c r="B4" s="106" t="s">
        <v>1844</v>
      </c>
    </row>
    <row r="5" customFormat="false" ht="45.75" hidden="false" customHeight="true" outlineLevel="0" collapsed="false">
      <c r="A5" s="82" t="s">
        <v>625</v>
      </c>
      <c r="B5" s="104" t="s">
        <v>1845</v>
      </c>
    </row>
    <row r="6" customFormat="false" ht="45.75" hidden="false" customHeight="true" outlineLevel="0" collapsed="false">
      <c r="A6" s="82" t="s">
        <v>625</v>
      </c>
      <c r="B6" s="104" t="s">
        <v>1846</v>
      </c>
    </row>
    <row r="7" customFormat="false" ht="45.75" hidden="false" customHeight="true" outlineLevel="0" collapsed="false">
      <c r="A7" s="82" t="s">
        <v>625</v>
      </c>
      <c r="B7" s="106" t="s">
        <v>1847</v>
      </c>
    </row>
    <row r="8" customFormat="false" ht="45.75" hidden="false" customHeight="true" outlineLevel="0" collapsed="false">
      <c r="A8" s="82" t="s">
        <v>620</v>
      </c>
      <c r="B8" s="106" t="s">
        <v>1848</v>
      </c>
    </row>
    <row r="9" customFormat="false" ht="45.75" hidden="false" customHeight="true" outlineLevel="0" collapsed="false">
      <c r="A9" s="82" t="s">
        <v>625</v>
      </c>
      <c r="B9" s="104" t="s">
        <v>1849</v>
      </c>
    </row>
    <row r="10" customFormat="false" ht="45.75" hidden="false" customHeight="true" outlineLevel="0" collapsed="false">
      <c r="A10" s="82" t="s">
        <v>625</v>
      </c>
      <c r="B10" s="104" t="s">
        <v>1850</v>
      </c>
    </row>
    <row r="11" customFormat="false" ht="45.75" hidden="false" customHeight="true" outlineLevel="0" collapsed="false">
      <c r="A11" s="82" t="s">
        <v>1851</v>
      </c>
      <c r="B11" s="104" t="s">
        <v>1852</v>
      </c>
    </row>
    <row r="12" customFormat="false" ht="45.75" hidden="false" customHeight="true" outlineLevel="0" collapsed="false">
      <c r="A12" s="82" t="s">
        <v>1853</v>
      </c>
      <c r="B12" s="106" t="s">
        <v>1854</v>
      </c>
    </row>
    <row r="13" customFormat="false" ht="45.75" hidden="false" customHeight="true" outlineLevel="0" collapsed="false">
      <c r="A13" s="82" t="s">
        <v>620</v>
      </c>
      <c r="B13" s="104" t="s">
        <v>1855</v>
      </c>
    </row>
    <row r="14" customFormat="false" ht="45.75" hidden="false" customHeight="true" outlineLevel="0" collapsed="false">
      <c r="A14" s="82" t="s">
        <v>625</v>
      </c>
      <c r="B14" s="104" t="s">
        <v>1856</v>
      </c>
    </row>
    <row r="15" customFormat="false" ht="45.75" hidden="false" customHeight="true" outlineLevel="0" collapsed="false">
      <c r="A15" s="2" t="s">
        <v>1857</v>
      </c>
      <c r="B15" s="104" t="s">
        <v>1858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2026-10-07T23:53:50Z</dcterms:created>
  <dc:creator>openpyxl</dc:creator>
  <dc:description/>
  <dc:language>en-US</dc:language>
  <cp:lastModifiedBy/>
  <dcterms:modified xsi:type="dcterms:W3CDTF">2026-10-07T23:53:50Z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